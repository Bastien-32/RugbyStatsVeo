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703" codeName="{F3310B89-0DAA-6C43-5919-0D5897632BE8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/Users/bastiendallago/Library/Mobile Documents/com~apple~CloudDocs/Documents/DD/1- PERSO/12- AUTRES/1- RUGBY/2026-2027 MXV/STATS/"/>
    </mc:Choice>
  </mc:AlternateContent>
  <xr:revisionPtr revIDLastSave="0" documentId="13_ncr:1_{FBB7EFD5-1A04-CE4F-B7AD-95CABE9E2298}" xr6:coauthVersionLast="47" xr6:coauthVersionMax="47" xr10:uidLastSave="{00000000-0000-0000-0000-000000000000}"/>
  <bookViews>
    <workbookView xWindow="0" yWindow="660" windowWidth="18340" windowHeight="8160" activeTab="2" xr2:uid="{8C3BD507-0DD9-7C4A-87B1-41F2F13480E4}"/>
  </bookViews>
  <sheets>
    <sheet name="Compo" sheetId="7" r:id="rId1"/>
    <sheet name="Saisie vidéo" sheetId="2" r:id="rId2"/>
    <sheet name="Journal actions" sheetId="10" r:id="rId3"/>
    <sheet name="Stats match" sheetId="11" r:id="rId4"/>
    <sheet name="Listes" sheetId="3" r:id="rId5"/>
    <sheet name="Paramètres" sheetId="6" r:id="rId6"/>
    <sheet name="Popup" sheetId="8" state="veryHidden" r:id="rId7"/>
    <sheet name="Feuille1" sheetId="1" state="veryHidden" r:id="rId8"/>
  </sheets>
  <functionGroups builtInGroupCount="19"/>
  <definedNames>
    <definedName name="_xleta.T" hidden="1" xlm="1">#NAME?</definedName>
    <definedName name="ACT_ARRET_DU_JEU">Paramètres!$R$23</definedName>
    <definedName name="ACT_CONTRE_RUCK">Paramètres!$R$29</definedName>
    <definedName name="ACT_EN_AVANT">Paramètres!$R$24</definedName>
    <definedName name="ACT_GRATTAGE">Paramètres!$R$28</definedName>
    <definedName name="ACT_JEU_AU_PIED">Paramètres!$R$25</definedName>
    <definedName name="ACT_PEN_CONTRE_ADV">Paramètres!$R$12</definedName>
    <definedName name="ACT_PEN_CONTRE_NOUS">Paramètres!$R$13</definedName>
    <definedName name="ACT_PEN_HORS_JEU">Paramètres!$R$32</definedName>
    <definedName name="ACT_PEN_MAUL">Paramètres!$R$30</definedName>
    <definedName name="ACT_PEN_PL_A_2">Paramètres!$R$33</definedName>
    <definedName name="ACT_PEN_PL_HAUT">Paramètres!$R$34</definedName>
    <definedName name="ACT_PEN_RUCK">Paramètres!$R$31</definedName>
    <definedName name="ACT_PEN_UNKNOWN">Paramètres!$R$35</definedName>
    <definedName name="ACT_PL_A2">Paramètres!$R$5</definedName>
    <definedName name="ACT_PL_HAUT">Paramètres!$R$6</definedName>
    <definedName name="ACT_PL_NORMAL">Paramètres!$R$3</definedName>
    <definedName name="ACT_PL_OFF">Paramètres!$R$2</definedName>
    <definedName name="ACT_PL_RATE">Paramètres!$R$4</definedName>
    <definedName name="ACT_PTS_DROP">Paramètres!$R$18</definedName>
    <definedName name="ACT_PTS_ESSAI">Paramètres!$R$14</definedName>
    <definedName name="ACT_PTS_ESSAI_PEN">Paramètres!$R$15</definedName>
    <definedName name="ACT_PTS_PENALITE">Paramètres!$R$17</definedName>
    <definedName name="ACT_PTS_TRANSFO">Paramètres!$R$16</definedName>
    <definedName name="ACT_RECEPTION_ADV">Paramètres!$R$27</definedName>
    <definedName name="ACT_RECEPTION_NOUS">Paramètres!$R$26</definedName>
    <definedName name="ACT_REPRISE_A_LA_MAIN">Paramètres!$R$22</definedName>
    <definedName name="ACT_REPRISE_MELEE">Paramètres!$R$20</definedName>
    <definedName name="ACT_REPRISE_RENVOI">Paramètres!$R$21</definedName>
    <definedName name="ACT_REPRISE_TOUCHE">Paramètres!$R$19</definedName>
    <definedName name="ACT_TO_ADV_PERDUE">Paramètres!$R$11</definedName>
    <definedName name="ACT_TO_ADV_VOLEE">Paramètres!$R$10</definedName>
    <definedName name="ACT_TO_NS_G">Paramètres!$R$7</definedName>
    <definedName name="ACT_TO_NS_P">Paramètres!$R$8</definedName>
    <definedName name="ACT_TO_NS_PAS_DROIT">Paramètres!$R$9</definedName>
    <definedName name="AVANT_OU_ARRIERE">LstLignePoste[AVANT_OU_ARRIERE]</definedName>
    <definedName name="BTN_ADV">'Saisie vidéo'!$H$4</definedName>
    <definedName name="BTN_ARRET_DU_JEU">'Saisie vidéo'!$N$26</definedName>
    <definedName name="BTN_CHRONO_MINUS_5_SEC">'Saisie vidéo'!$H$46</definedName>
    <definedName name="BTN_CHRONO_PLAY_PAUSE">'Saisie vidéo'!$J$46</definedName>
    <definedName name="BTN_CHRONO_PLUS_5_SEC">'Saisie vidéo'!$L$46</definedName>
    <definedName name="BTN_CHRONO_RESET">'Saisie vidéo'!$N$46</definedName>
    <definedName name="BTN_CONTRE_RUCK">'Saisie vidéo'!$H$18</definedName>
    <definedName name="BTN_EN_AVANT">'Saisie vidéo'!$F$16</definedName>
    <definedName name="BTN_GRATTAGE">'Saisie vidéo'!$F$18</definedName>
    <definedName name="BTN_JEU_AU_PIED">'Saisie vidéo'!$H$16</definedName>
    <definedName name="BTN_JO_1">'Saisie vidéo'!$D$32</definedName>
    <definedName name="BTN_JO_10">'Saisie vidéo'!$J$34</definedName>
    <definedName name="BTN_JO_11">'Saisie vidéo'!$L$34</definedName>
    <definedName name="BTN_JO_12">'Saisie vidéo'!$N$34</definedName>
    <definedName name="BTN_JO_13">'Saisie vidéo'!$D$36</definedName>
    <definedName name="BTN_JO_14">'Saisie vidéo'!$F$36</definedName>
    <definedName name="BTN_JO_15">'Saisie vidéo'!$H$36</definedName>
    <definedName name="BTN_JO_16">'Saisie vidéo'!$J$36</definedName>
    <definedName name="BTN_JO_17">'Saisie vidéo'!$L$36</definedName>
    <definedName name="BTN_JO_18">'Saisie vidéo'!$N$36</definedName>
    <definedName name="BTN_JO_19">'Saisie vidéo'!$D$38</definedName>
    <definedName name="BTN_JO_2">'Saisie vidéo'!$F$32</definedName>
    <definedName name="BTN_JO_20">'Saisie vidéo'!$F$38</definedName>
    <definedName name="BTN_JO_21">'Saisie vidéo'!$H$38</definedName>
    <definedName name="BTN_JO_22">'Saisie vidéo'!$J$38</definedName>
    <definedName name="BTN_JO_3">'Saisie vidéo'!$H$32</definedName>
    <definedName name="BTN_JO_4">'Saisie vidéo'!$J$32</definedName>
    <definedName name="BTN_JO_5">'Saisie vidéo'!$L$32</definedName>
    <definedName name="BTN_JO_6">'Saisie vidéo'!$N$32</definedName>
    <definedName name="BTN_JO_7">'Saisie vidéo'!$D$34</definedName>
    <definedName name="BTN_JO_8">'Saisie vidéo'!$F$34</definedName>
    <definedName name="BTN_JO_9">'Saisie vidéo'!$H$34</definedName>
    <definedName name="BTN_JO_COLLECTIF">'Saisie vidéo'!$L$38</definedName>
    <definedName name="BTN_JO_NON_IDENTIFIE">'Saisie vidéo'!$N$38</definedName>
    <definedName name="BTN_MT1">'Saisie vidéo'!$L$4</definedName>
    <definedName name="BTN_MT2">'Saisie vidéo'!$N$4</definedName>
    <definedName name="BTN_NOUS">'Saisie vidéo'!$F$4</definedName>
    <definedName name="BTN_PARKING">'Saisie vidéo'!$A$1</definedName>
    <definedName name="BTN_PEN_CONTRE_ADV">'Saisie vidéo'!$F$20</definedName>
    <definedName name="BTN_PEN_CONTRE_NOUS">'Saisie vidéo'!$H$20</definedName>
    <definedName name="BTN_PEN_HORS_JEU">'Saisie vidéo'!$J$22</definedName>
    <definedName name="BTN_PEN_MAUL">'Saisie vidéo'!$F$22</definedName>
    <definedName name="BTN_PEN_PL_A_2">'Saisie vidéo'!$L$22</definedName>
    <definedName name="BTN_PEN_PL_HAUT">'Saisie vidéo'!$N$22</definedName>
    <definedName name="BTN_PEN_RUCK">'Saisie vidéo'!$H$22</definedName>
    <definedName name="BTN_PL_A2">'Saisie vidéo'!$L$10</definedName>
    <definedName name="BTN_PL_HAUT">'Saisie vidéo'!$N$10</definedName>
    <definedName name="BTN_PL_NORMAL">'Saisie vidéo'!$H$10</definedName>
    <definedName name="BTN_PL_OFF">'Saisie vidéo'!$F$10</definedName>
    <definedName name="BTN_PL_RATE">'Saisie vidéo'!$J$10</definedName>
    <definedName name="BTN_PTS_DROP">'Saisie vidéo'!$N$24</definedName>
    <definedName name="BTN_PTS_ESSAI">'Saisie vidéo'!$F$24</definedName>
    <definedName name="BTN_PTS_ESSAI_PEN">'Saisie vidéo'!$H$24</definedName>
    <definedName name="BTN_PTS_PENALITE">'Saisie vidéo'!$L$24</definedName>
    <definedName name="BTN_PTS_TRANSFO">'Saisie vidéo'!$J$24</definedName>
    <definedName name="BTN_RECEPTION_ADV">'Saisie vidéo'!$L$16</definedName>
    <definedName name="BTN_RECEPTION_NOUS">'Saisie vidéo'!$J$16</definedName>
    <definedName name="BTN_REPRISE_A_LA_MAIN">'Saisie vidéo'!$L$26</definedName>
    <definedName name="BTN_REPRISE_MELEE">'Saisie vidéo'!$H$26</definedName>
    <definedName name="BTN_REPRISE_RENVOI">'Saisie vidéo'!$J$26</definedName>
    <definedName name="BTN_REPRISE_TOUCHE">'Saisie vidéo'!$F$26</definedName>
    <definedName name="BTN_TO_ADV_PERDUE">'Saisie vidéo'!$H$14</definedName>
    <definedName name="BTN_TO_ADV_VOLEE">'Saisie vidéo'!$F$14</definedName>
    <definedName name="BTN_TO_NS_G">'Saisie vidéo'!$F$12</definedName>
    <definedName name="BTN_TO_NS_P">'Saisie vidéo'!$H$12</definedName>
    <definedName name="BTN_TO_NS_PAS_DROIT">'Saisie vidéo'!$J$12</definedName>
    <definedName name="BTNS_JOUEURS">'Saisie vidéo'!$D$32,'Saisie vidéo'!$F$32,'Saisie vidéo'!$H$32,'Saisie vidéo'!$J$32,'Saisie vidéo'!$L$32,'Saisie vidéo'!$N$32,'Saisie vidéo'!$N$34,'Saisie vidéo'!$L$34,'Saisie vidéo'!$J$34,'Saisie vidéo'!$H$34,'Saisie vidéo'!$F$34,'Saisie vidéo'!$D$34,'Saisie vidéo'!$D$36,'Saisie vidéo'!$F$36,'Saisie vidéo'!$H$36,'Saisie vidéo'!$J$36,'Saisie vidéo'!$L$36,'Saisie vidéo'!$N$36,'Saisie vidéo'!$D$38,'Saisie vidéo'!$F$38,'Saisie vidéo'!$H$38,'Saisie vidéo'!$J$38,'Saisie vidéo'!$L$38,'Saisie vidéo'!$N$38</definedName>
    <definedName name="CELL_CHRONO_VIDEO">'Saisie vidéo'!$D$46</definedName>
    <definedName name="EQUIPE_NIV">LstEquipesClub[EQUIPE_NIV]</definedName>
    <definedName name="EQUIPES_POULE">LstEquipesPoule[EQUIPES_POULE]</definedName>
    <definedName name="LIEU_MATCH">LstLieuxMatch[LIEU_MATCH]</definedName>
    <definedName name="LISTE_ACTIONS_JOURNAL">TblActionsJournal[Libellé]</definedName>
    <definedName name="LISTE_EQUIPES_JOURNAL">TblEquipesJournal[LISTE_EQUIPES_JOURNAL]</definedName>
    <definedName name="LISTE_JOUEURS">LstEffectif[prenom NOM]</definedName>
    <definedName name="LISTE_JOUEURS_JOURNAL">Paramètres!$K$2:$K$26</definedName>
    <definedName name="LISTE_LECTEURS_VIDEO">TblLecteurVideo[LISTE_LECTEUR_VIDEO]</definedName>
    <definedName name="LISTE_MOTIFS_PENALITE">Paramètres!$R$30:$R$35</definedName>
    <definedName name="LISTE_MT_JOURNAL">Paramètres!$I$6:$I$7</definedName>
    <definedName name="LST_JOUEURS">LstEffectif[NOM Prénom]</definedName>
    <definedName name="LSTResultat">Tableau14[[#All],[RESULTAT]]</definedName>
    <definedName name="MATCH_ADV">'Compo'!$C$10</definedName>
    <definedName name="MATCH_ADVERSAIRE">'Compo'!$C$10</definedName>
    <definedName name="MATCH_CAT">'Compo'!$C$20</definedName>
    <definedName name="MATCH_DATE">'Compo'!$C$8</definedName>
    <definedName name="MATCH_ID">'Compo'!$C$59</definedName>
    <definedName name="MATCH_JOURNEE">'Compo'!$C$16</definedName>
    <definedName name="MATCH_LIEU">'Compo'!$C$12</definedName>
    <definedName name="MATCH_PHASE">'Compo'!$C$14</definedName>
    <definedName name="MATCH_RESULTAT">'Compo'!$C$18</definedName>
    <definedName name="MATCH_SAISON">'Compo'!$C$6</definedName>
    <definedName name="PALETTE_JOUEURS">'Saisie vidéo'!$C$31:$O$39</definedName>
    <definedName name="PHASE">LstPhases[PHASE]</definedName>
    <definedName name="POPUP_ADD_PLAYER">Popup!$H$26:$K$32</definedName>
    <definedName name="POPUP_NOM">Popup!$I$28</definedName>
    <definedName name="POPUP_PRENOM">Popup!$I$30</definedName>
    <definedName name="RESULTAT">Tableau14[RESULTAT]</definedName>
    <definedName name="STYLE_BTN_ACTIF">Paramètres!$G$12</definedName>
    <definedName name="STYLE_BTN_ARRET_JEU">Paramètres!$G$8</definedName>
    <definedName name="STYLE_BTN_CHRONO_RESET">Paramètres!$G$10</definedName>
    <definedName name="STYLE_BTN_CHRONO_TMP">Paramètres!$G$9</definedName>
    <definedName name="STYLE_BTN_MT">Paramètres!$G$3</definedName>
    <definedName name="STYLE_BTN_PEN">Paramètres!$G$5</definedName>
    <definedName name="STYLE_BTN_PL_TOUCHES">Paramètres!$G$4</definedName>
    <definedName name="STYLE_BTN_POSSESSION">Paramètres!$G$2</definedName>
    <definedName name="STYLE_BTN_PTS">Paramètres!$G$7</definedName>
    <definedName name="STYLE_BTN_REPRISE">Paramètres!$G$6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" i="2" l="1"/>
  <c r="M2" i="11"/>
  <c r="N26" i="11" s="1"/>
  <c r="M43" i="11"/>
  <c r="M42" i="11"/>
  <c r="M41" i="11"/>
  <c r="M40" i="11"/>
  <c r="M39" i="11"/>
  <c r="M38" i="11"/>
  <c r="L35" i="11"/>
  <c r="L34" i="11"/>
  <c r="L43" i="11"/>
  <c r="L42" i="11"/>
  <c r="L41" i="11"/>
  <c r="L40" i="11"/>
  <c r="L39" i="11"/>
  <c r="L38" i="11"/>
  <c r="M35" i="11"/>
  <c r="K35" i="11"/>
  <c r="M34" i="11"/>
  <c r="K34" i="11"/>
  <c r="D38" i="11"/>
  <c r="D37" i="11"/>
  <c r="E38" i="11"/>
  <c r="D34" i="11"/>
  <c r="D33" i="11"/>
  <c r="E34" i="11"/>
  <c r="E37" i="11"/>
  <c r="E33" i="11"/>
  <c r="H38" i="11"/>
  <c r="H34" i="11"/>
  <c r="H37" i="11"/>
  <c r="H33" i="11"/>
  <c r="K2" i="11"/>
  <c r="K26" i="11" s="1"/>
  <c r="I2" i="11"/>
  <c r="I26" i="11" s="1"/>
  <c r="G2" i="11"/>
  <c r="G27" i="11" s="1"/>
  <c r="E2" i="11"/>
  <c r="E26" i="11" s="1"/>
  <c r="C2" i="11"/>
  <c r="C26" i="11" s="1"/>
  <c r="B4" i="11" a="1"/>
  <c r="B4" i="11" s="1"/>
  <c r="N4" i="11" s="1"/>
  <c r="E2" i="3"/>
  <c r="E3" i="3"/>
  <c r="E4" i="3"/>
  <c r="E5" i="3"/>
  <c r="E6" i="3"/>
  <c r="E7" i="3"/>
  <c r="E8" i="3"/>
  <c r="E9" i="3"/>
  <c r="E10" i="3"/>
  <c r="E11" i="3"/>
  <c r="E12" i="3"/>
  <c r="E13" i="3"/>
  <c r="E14" i="3"/>
  <c r="E15" i="3"/>
  <c r="E16" i="3"/>
  <c r="E17" i="3"/>
  <c r="E18" i="3"/>
  <c r="E19" i="3"/>
  <c r="E20" i="3"/>
  <c r="E21" i="3"/>
  <c r="E22" i="3"/>
  <c r="E23" i="3"/>
  <c r="E24" i="3"/>
  <c r="D2" i="3"/>
  <c r="D3" i="3"/>
  <c r="D4" i="3"/>
  <c r="D5" i="3"/>
  <c r="D6" i="3"/>
  <c r="D7" i="3"/>
  <c r="D8" i="3"/>
  <c r="D9" i="3"/>
  <c r="D10" i="3"/>
  <c r="D11" i="3"/>
  <c r="D12" i="3"/>
  <c r="D13" i="3"/>
  <c r="D14" i="3"/>
  <c r="D15" i="3"/>
  <c r="D16" i="3"/>
  <c r="D17" i="3"/>
  <c r="D18" i="3"/>
  <c r="D19" i="3"/>
  <c r="D20" i="3"/>
  <c r="D21" i="3"/>
  <c r="D22" i="3"/>
  <c r="D23" i="3"/>
  <c r="D24" i="3"/>
  <c r="J24" i="1"/>
  <c r="I24" i="1"/>
  <c r="H24" i="1"/>
  <c r="G24" i="1"/>
  <c r="F24" i="1"/>
  <c r="D24" i="1"/>
  <c r="C24" i="1"/>
  <c r="B24" i="1"/>
  <c r="M27" i="11" l="1"/>
  <c r="M26" i="11"/>
  <c r="L27" i="11"/>
  <c r="L26" i="11"/>
  <c r="K27" i="11"/>
  <c r="J27" i="11"/>
  <c r="J26" i="11"/>
  <c r="I27" i="11"/>
  <c r="H27" i="11"/>
  <c r="H26" i="11"/>
  <c r="G26" i="11"/>
  <c r="F27" i="11"/>
  <c r="F26" i="11"/>
  <c r="E27" i="11"/>
  <c r="D27" i="11"/>
  <c r="D26" i="11"/>
  <c r="C27" i="11"/>
  <c r="N27" i="11"/>
  <c r="N24" i="11"/>
  <c r="N21" i="11"/>
  <c r="N15" i="11"/>
  <c r="N11" i="11"/>
  <c r="N8" i="11"/>
  <c r="H4" i="11"/>
  <c r="M25" i="11"/>
  <c r="M24" i="11"/>
  <c r="M23" i="11"/>
  <c r="M22" i="11"/>
  <c r="M21" i="11"/>
  <c r="M20" i="11"/>
  <c r="M19" i="11"/>
  <c r="M18" i="11"/>
  <c r="M17" i="11"/>
  <c r="M16" i="11"/>
  <c r="M15" i="11"/>
  <c r="M14" i="11"/>
  <c r="M13" i="11"/>
  <c r="M12" i="11"/>
  <c r="M11" i="11"/>
  <c r="M10" i="11"/>
  <c r="M9" i="11"/>
  <c r="M8" i="11"/>
  <c r="M7" i="11"/>
  <c r="M6" i="11"/>
  <c r="M5" i="11"/>
  <c r="E4" i="11"/>
  <c r="L25" i="11"/>
  <c r="L24" i="11"/>
  <c r="L23" i="11"/>
  <c r="L22" i="11"/>
  <c r="L21" i="11"/>
  <c r="L20" i="11"/>
  <c r="L19" i="11"/>
  <c r="L18" i="11"/>
  <c r="L17" i="11"/>
  <c r="L16" i="11"/>
  <c r="L15" i="11"/>
  <c r="L14" i="11"/>
  <c r="L13" i="11"/>
  <c r="L12" i="11"/>
  <c r="L11" i="11"/>
  <c r="L10" i="11"/>
  <c r="L9" i="11"/>
  <c r="L8" i="11"/>
  <c r="L7" i="11"/>
  <c r="L6" i="11"/>
  <c r="L5" i="11"/>
  <c r="F4" i="11"/>
  <c r="K25" i="11"/>
  <c r="K24" i="11"/>
  <c r="K23" i="11"/>
  <c r="K22" i="11"/>
  <c r="K21" i="11"/>
  <c r="K20" i="11"/>
  <c r="K19" i="11"/>
  <c r="K18" i="11"/>
  <c r="K17" i="11"/>
  <c r="K16" i="11"/>
  <c r="K15" i="11"/>
  <c r="K14" i="11"/>
  <c r="K13" i="11"/>
  <c r="K12" i="11"/>
  <c r="K11" i="11"/>
  <c r="K10" i="11"/>
  <c r="K9" i="11"/>
  <c r="K8" i="11"/>
  <c r="K7" i="11"/>
  <c r="K6" i="11"/>
  <c r="K5" i="11"/>
  <c r="I5" i="11"/>
  <c r="H5" i="11"/>
  <c r="G5" i="11"/>
  <c r="N23" i="11"/>
  <c r="N19" i="11"/>
  <c r="N17" i="11"/>
  <c r="N14" i="11"/>
  <c r="N10" i="11"/>
  <c r="N7" i="11"/>
  <c r="C4" i="11"/>
  <c r="J23" i="11"/>
  <c r="J20" i="11"/>
  <c r="J17" i="11"/>
  <c r="J13" i="11"/>
  <c r="J10" i="11"/>
  <c r="J6" i="11"/>
  <c r="I25" i="11"/>
  <c r="I22" i="11"/>
  <c r="I20" i="11"/>
  <c r="I18" i="11"/>
  <c r="I14" i="11"/>
  <c r="I9" i="11"/>
  <c r="I6" i="11"/>
  <c r="I4" i="11"/>
  <c r="H23" i="11"/>
  <c r="H20" i="11"/>
  <c r="H19" i="11"/>
  <c r="H17" i="11"/>
  <c r="H16" i="11"/>
  <c r="H14" i="11"/>
  <c r="H12" i="11"/>
  <c r="H10" i="11"/>
  <c r="H9" i="11"/>
  <c r="H6" i="11"/>
  <c r="G24" i="11"/>
  <c r="G21" i="11"/>
  <c r="G17" i="11"/>
  <c r="G14" i="11"/>
  <c r="G11" i="11"/>
  <c r="G7" i="11"/>
  <c r="K4" i="11"/>
  <c r="F25" i="11"/>
  <c r="F24" i="11"/>
  <c r="F23" i="11"/>
  <c r="F22" i="11"/>
  <c r="F21" i="11"/>
  <c r="F20" i="11"/>
  <c r="F19" i="11"/>
  <c r="F18" i="11"/>
  <c r="F17" i="11"/>
  <c r="F16" i="11"/>
  <c r="F15" i="11"/>
  <c r="F14" i="11"/>
  <c r="F13" i="11"/>
  <c r="F12" i="11"/>
  <c r="F11" i="11"/>
  <c r="F10" i="11"/>
  <c r="F9" i="11"/>
  <c r="F8" i="11"/>
  <c r="F7" i="11"/>
  <c r="F6" i="11"/>
  <c r="F5" i="11"/>
  <c r="G4" i="11"/>
  <c r="N22" i="11"/>
  <c r="N18" i="11"/>
  <c r="N12" i="11"/>
  <c r="N6" i="11"/>
  <c r="J24" i="11"/>
  <c r="J21" i="11"/>
  <c r="J18" i="11"/>
  <c r="J14" i="11"/>
  <c r="J11" i="11"/>
  <c r="J8" i="11"/>
  <c r="J5" i="11"/>
  <c r="I24" i="11"/>
  <c r="I21" i="11"/>
  <c r="I17" i="11"/>
  <c r="I15" i="11"/>
  <c r="I12" i="11"/>
  <c r="I10" i="11"/>
  <c r="I8" i="11"/>
  <c r="H24" i="11"/>
  <c r="H21" i="11"/>
  <c r="H15" i="11"/>
  <c r="H7" i="11"/>
  <c r="G25" i="11"/>
  <c r="G22" i="11"/>
  <c r="G18" i="11"/>
  <c r="G15" i="11"/>
  <c r="G12" i="11"/>
  <c r="G9" i="11"/>
  <c r="G8" i="11"/>
  <c r="L4" i="11"/>
  <c r="E25" i="11"/>
  <c r="E24" i="11"/>
  <c r="E23" i="11"/>
  <c r="E22" i="11"/>
  <c r="E21" i="11"/>
  <c r="E20" i="11"/>
  <c r="E19" i="11"/>
  <c r="E18" i="11"/>
  <c r="E17" i="11"/>
  <c r="E16" i="11"/>
  <c r="E15" i="11"/>
  <c r="E14" i="11"/>
  <c r="E13" i="11"/>
  <c r="E12" i="11"/>
  <c r="E11" i="11"/>
  <c r="E10" i="11"/>
  <c r="E9" i="11"/>
  <c r="E8" i="11"/>
  <c r="E7" i="11"/>
  <c r="E6" i="11"/>
  <c r="E5" i="11"/>
  <c r="N25" i="11"/>
  <c r="N20" i="11"/>
  <c r="N16" i="11"/>
  <c r="N13" i="11"/>
  <c r="N9" i="11"/>
  <c r="N5" i="11"/>
  <c r="J25" i="11"/>
  <c r="J22" i="11"/>
  <c r="J19" i="11"/>
  <c r="J16" i="11"/>
  <c r="J15" i="11"/>
  <c r="J12" i="11"/>
  <c r="J9" i="11"/>
  <c r="J7" i="11"/>
  <c r="D4" i="11"/>
  <c r="I23" i="11"/>
  <c r="I19" i="11"/>
  <c r="I16" i="11"/>
  <c r="I13" i="11"/>
  <c r="I11" i="11"/>
  <c r="I7" i="11"/>
  <c r="H25" i="11"/>
  <c r="H22" i="11"/>
  <c r="H18" i="11"/>
  <c r="H13" i="11"/>
  <c r="H11" i="11"/>
  <c r="H8" i="11"/>
  <c r="J4" i="11"/>
  <c r="G23" i="11"/>
  <c r="G20" i="11"/>
  <c r="G19" i="11"/>
  <c r="G16" i="11"/>
  <c r="G13" i="11"/>
  <c r="G10" i="11"/>
  <c r="G6" i="11"/>
  <c r="M4" i="11"/>
  <c r="D25" i="11"/>
  <c r="D24" i="11"/>
  <c r="D23" i="11"/>
  <c r="D22" i="11"/>
  <c r="D21" i="11"/>
  <c r="D20" i="11"/>
  <c r="D19" i="11"/>
  <c r="D18" i="11"/>
  <c r="D17" i="11"/>
  <c r="D16" i="11"/>
  <c r="D15" i="11"/>
  <c r="D14" i="11"/>
  <c r="D13" i="11"/>
  <c r="D12" i="11"/>
  <c r="D11" i="11"/>
  <c r="D10" i="11"/>
  <c r="D9" i="11"/>
  <c r="D8" i="11"/>
  <c r="D7" i="11"/>
  <c r="D6" i="11"/>
  <c r="D5" i="11"/>
  <c r="C25" i="11"/>
  <c r="C24" i="11"/>
  <c r="C23" i="11"/>
  <c r="C22" i="11"/>
  <c r="C21" i="11"/>
  <c r="C20" i="11"/>
  <c r="C19" i="11"/>
  <c r="C18" i="11"/>
  <c r="C17" i="11"/>
  <c r="C16" i="11"/>
  <c r="C15" i="11"/>
  <c r="C14" i="11"/>
  <c r="C13" i="11"/>
  <c r="C12" i="11"/>
  <c r="C11" i="11"/>
  <c r="C10" i="11"/>
  <c r="C9" i="11"/>
  <c r="C8" i="11"/>
  <c r="C7" i="11"/>
  <c r="C6" i="11"/>
  <c r="C5" i="11"/>
  <c r="M28" i="11" l="1"/>
  <c r="N28" i="11"/>
  <c r="C28" i="11"/>
  <c r="I28" i="11"/>
  <c r="E28" i="11"/>
  <c r="K28" i="11"/>
  <c r="D28" i="11"/>
  <c r="G28" i="11"/>
  <c r="F28" i="11"/>
  <c r="H28" i="11"/>
  <c r="L28" i="11"/>
  <c r="J28" i="11"/>
  <c r="M29" i="11" l="1"/>
  <c r="E29" i="11"/>
  <c r="G29" i="11"/>
  <c r="K29" i="11"/>
  <c r="I29" i="11"/>
  <c r="C29" i="1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<sst xmlns="http://schemas.openxmlformats.org/spreadsheetml/2006/main" count="608" uniqueCount="415">
  <si>
    <t>JOUEURS</t>
  </si>
  <si>
    <t>PLAQUAGES
1ERE</t>
  </si>
  <si>
    <t>PLAQUAGES
2EME</t>
  </si>
  <si>
    <t>PLAQUAGES
OFFENSIFS</t>
  </si>
  <si>
    <t>PLAQUAGES
RATES</t>
  </si>
  <si>
    <t>GRATTAGES</t>
  </si>
  <si>
    <t>1  DALLA ROSA</t>
  </si>
  <si>
    <t>2 DASTUGUE</t>
  </si>
  <si>
    <t>3 MICHELIN</t>
  </si>
  <si>
    <t>4 ABADIE E</t>
  </si>
  <si>
    <t>1+0</t>
  </si>
  <si>
    <t>5 BAYLE</t>
  </si>
  <si>
    <t>1+1</t>
  </si>
  <si>
    <t>6 ROUSSEL</t>
  </si>
  <si>
    <t>7 SALLES D</t>
  </si>
  <si>
    <t>0+1</t>
  </si>
  <si>
    <t>8 PIQUEMIL</t>
  </si>
  <si>
    <t>9 MONLOR</t>
  </si>
  <si>
    <t>10 BAQUE</t>
  </si>
  <si>
    <t>11 BOURREC</t>
  </si>
  <si>
    <t>12 FAULONG</t>
  </si>
  <si>
    <t>13 LAUDET</t>
  </si>
  <si>
    <t>14 KAPFER</t>
  </si>
  <si>
    <t>15 SALLES</t>
  </si>
  <si>
    <t>16 ROBERT</t>
  </si>
  <si>
    <t>0+3</t>
  </si>
  <si>
    <t>17 BAUP</t>
  </si>
  <si>
    <t>18 STEFANI</t>
  </si>
  <si>
    <t>0+2</t>
  </si>
  <si>
    <t>FAUTES SUR</t>
  </si>
  <si>
    <t>19 BARATGIN</t>
  </si>
  <si>
    <t>MAUL</t>
  </si>
  <si>
    <t>20 BARTHIE</t>
  </si>
  <si>
    <t xml:space="preserve">RUCKS  </t>
  </si>
  <si>
    <t>21 CASTERA</t>
  </si>
  <si>
    <t>HORS JEU</t>
  </si>
  <si>
    <t>22 JOUNAUX</t>
  </si>
  <si>
    <t xml:space="preserve">PLAQUAGES A 2              </t>
  </si>
  <si>
    <t>TOTAL</t>
  </si>
  <si>
    <t xml:space="preserve">PLAQUAGES HAUTS       </t>
  </si>
  <si>
    <r>
      <t xml:space="preserve">TOUCHES
</t>
    </r>
    <r>
      <rPr>
        <b/>
        <sz val="10"/>
        <color theme="1"/>
        <rFont val="Arial"/>
        <family val="2"/>
      </rPr>
      <t>1 ERE MI-TEMPS</t>
    </r>
  </si>
  <si>
    <t>GAGNEES</t>
  </si>
  <si>
    <t>PERDUES</t>
  </si>
  <si>
    <t>SCORES 1ERE</t>
  </si>
  <si>
    <t>PENALITES
CONTRE 1ERE</t>
  </si>
  <si>
    <t>pas toutes sifflées car avantage</t>
  </si>
  <si>
    <t>à NOUS</t>
  </si>
  <si>
    <t xml:space="preserve">AV             3/4  </t>
  </si>
  <si>
    <t>à EUX</t>
  </si>
  <si>
    <t>6                  2</t>
  </si>
  <si>
    <t>EUX    7</t>
  </si>
  <si>
    <r>
      <t xml:space="preserve">TOUCHES
</t>
    </r>
    <r>
      <rPr>
        <b/>
        <sz val="10"/>
        <color theme="1"/>
        <rFont val="Arial"/>
        <family val="2"/>
      </rPr>
      <t>2 EME MI-TEMPS</t>
    </r>
  </si>
  <si>
    <t>SCORES 2EME</t>
  </si>
  <si>
    <t>PENALITES
CONTRE 2EME</t>
  </si>
  <si>
    <t xml:space="preserve">AV              3/4  </t>
  </si>
  <si>
    <t>9                 3</t>
  </si>
  <si>
    <t>EUX  2</t>
  </si>
  <si>
    <t>Actions</t>
  </si>
  <si>
    <t>Mi-temps</t>
  </si>
  <si>
    <t>Plaquage offensif</t>
  </si>
  <si>
    <t>Plaquage raté</t>
  </si>
  <si>
    <t>Grattage</t>
  </si>
  <si>
    <t>PLAY / PAUSE</t>
  </si>
  <si>
    <t>-5 sec</t>
  </si>
  <si>
    <t>RESET</t>
  </si>
  <si>
    <t>Temps vidéo</t>
  </si>
  <si>
    <t>Joueur</t>
  </si>
  <si>
    <t>Action</t>
  </si>
  <si>
    <t>Commentaire</t>
  </si>
  <si>
    <t>Horodatage saisie</t>
  </si>
  <si>
    <t>PALETTE JOUEURS</t>
  </si>
  <si>
    <t>N°</t>
  </si>
  <si>
    <t>Plaquage</t>
  </si>
  <si>
    <t>PALETTE ACTIONS</t>
  </si>
  <si>
    <t>normal</t>
  </si>
  <si>
    <t>Haut</t>
  </si>
  <si>
    <t>Offensif</t>
  </si>
  <si>
    <t>raté</t>
  </si>
  <si>
    <t>à 2</t>
  </si>
  <si>
    <t>gagnée</t>
  </si>
  <si>
    <t>perdue</t>
  </si>
  <si>
    <t>Touches adv</t>
  </si>
  <si>
    <t>volée</t>
  </si>
  <si>
    <t>contre-ruck</t>
  </si>
  <si>
    <t>Pénalités</t>
  </si>
  <si>
    <t>essai</t>
  </si>
  <si>
    <t>penalité</t>
  </si>
  <si>
    <t>drop</t>
  </si>
  <si>
    <t>?</t>
  </si>
  <si>
    <t>Touches nous</t>
  </si>
  <si>
    <t xml:space="preserve">Touche </t>
  </si>
  <si>
    <t xml:space="preserve">Melée </t>
  </si>
  <si>
    <t>renvoi</t>
  </si>
  <si>
    <t>à la main</t>
  </si>
  <si>
    <t>Arret du jeu</t>
  </si>
  <si>
    <t>Points</t>
  </si>
  <si>
    <t xml:space="preserve">Nous </t>
  </si>
  <si>
    <t>Plaquage - Offensif</t>
  </si>
  <si>
    <t>Plaquage - normal</t>
  </si>
  <si>
    <t>Plaquage - raté</t>
  </si>
  <si>
    <t>Plaquage - à 2</t>
  </si>
  <si>
    <t>Plaquage - Haut</t>
  </si>
  <si>
    <t>Touches nous - gagnée</t>
  </si>
  <si>
    <t>Touches nous - perdue</t>
  </si>
  <si>
    <t>Touches adv - perdue</t>
  </si>
  <si>
    <t>Pénalités - Grattage</t>
  </si>
  <si>
    <t>Pénalités - contre-ruck</t>
  </si>
  <si>
    <t>Pénalités - Autre</t>
  </si>
  <si>
    <t>Points - essai</t>
  </si>
  <si>
    <t>Points - transfo</t>
  </si>
  <si>
    <t>Points - penalité</t>
  </si>
  <si>
    <t>Points - drop</t>
  </si>
  <si>
    <t>Reprise du jeu sur/à - renvoi</t>
  </si>
  <si>
    <t>Reprise du jeu sur/à - à la main</t>
  </si>
  <si>
    <t xml:space="preserve">Points - essai de pen. </t>
  </si>
  <si>
    <t xml:space="preserve">Reprise du jeu sur/à - Touche </t>
  </si>
  <si>
    <t xml:space="preserve">Reprise du jeu sur/à - Melée </t>
  </si>
  <si>
    <t>Gestion chrono  + vidéo</t>
  </si>
  <si>
    <t>Position vidéo</t>
  </si>
  <si>
    <t>Collectif</t>
  </si>
  <si>
    <t>1DALLA ROSA</t>
  </si>
  <si>
    <t>DASTUGUE</t>
  </si>
  <si>
    <t>MICHELIN</t>
  </si>
  <si>
    <t>ABADIE E</t>
  </si>
  <si>
    <t>BAYLE</t>
  </si>
  <si>
    <t>ROUSSEL</t>
  </si>
  <si>
    <t>SALLES D</t>
  </si>
  <si>
    <t>PIQUEMIL</t>
  </si>
  <si>
    <t>MONLOR</t>
  </si>
  <si>
    <t>BAQUE</t>
  </si>
  <si>
    <t>BOURREC</t>
  </si>
  <si>
    <t>FAULONG</t>
  </si>
  <si>
    <t>LAUDET</t>
  </si>
  <si>
    <t>KAPFER</t>
  </si>
  <si>
    <t>SALLES</t>
  </si>
  <si>
    <t>ROBERT</t>
  </si>
  <si>
    <t>BAUP</t>
  </si>
  <si>
    <t>STEFANI</t>
  </si>
  <si>
    <t>BARATGIN</t>
  </si>
  <si>
    <t>BARTHIE</t>
  </si>
  <si>
    <t>JOUNAUX</t>
  </si>
  <si>
    <t>MT 1</t>
  </si>
  <si>
    <t>MT2</t>
  </si>
  <si>
    <t xml:space="preserve">  </t>
  </si>
  <si>
    <t>pas droit</t>
  </si>
  <si>
    <t>Touches adv - volée</t>
  </si>
  <si>
    <t>F10</t>
  </si>
  <si>
    <t>H10</t>
  </si>
  <si>
    <t>F12</t>
  </si>
  <si>
    <t>J10</t>
  </si>
  <si>
    <t>L10</t>
  </si>
  <si>
    <t>N10</t>
  </si>
  <si>
    <t>H12</t>
  </si>
  <si>
    <t>J12</t>
  </si>
  <si>
    <t>F14</t>
  </si>
  <si>
    <t>H14</t>
  </si>
  <si>
    <t>F16</t>
  </si>
  <si>
    <t>H16</t>
  </si>
  <si>
    <t>J16</t>
  </si>
  <si>
    <t>F18</t>
  </si>
  <si>
    <t>H18</t>
  </si>
  <si>
    <t>J18</t>
  </si>
  <si>
    <t>L18</t>
  </si>
  <si>
    <t>N18</t>
  </si>
  <si>
    <t>F20</t>
  </si>
  <si>
    <t>H20</t>
  </si>
  <si>
    <t>J20</t>
  </si>
  <si>
    <t>L20</t>
  </si>
  <si>
    <t>MT1</t>
  </si>
  <si>
    <t>Nous</t>
  </si>
  <si>
    <t>Reprise du jeu sur / ou arret</t>
  </si>
  <si>
    <t>Reprise du jeu sur renvoi</t>
  </si>
  <si>
    <t>Reprise du jeu à la main</t>
  </si>
  <si>
    <t>essai de penalité</t>
  </si>
  <si>
    <t>Essai</t>
  </si>
  <si>
    <t>Reprise du jeu sur touche</t>
  </si>
  <si>
    <t>Reprise du jeu sur melée</t>
  </si>
  <si>
    <t>Adversaire</t>
  </si>
  <si>
    <t>Drop</t>
  </si>
  <si>
    <t>Plaquage normal</t>
  </si>
  <si>
    <t>Touche à nous perdue</t>
  </si>
  <si>
    <t>Touche à eux volée</t>
  </si>
  <si>
    <t>Touche à nous conservée</t>
  </si>
  <si>
    <t>Touche à nous pas droite</t>
  </si>
  <si>
    <t>Touche à eux perdue</t>
  </si>
  <si>
    <t>Essai de pénalité</t>
  </si>
  <si>
    <t>Transformation</t>
  </si>
  <si>
    <t>Pénalité</t>
  </si>
  <si>
    <t xml:space="preserve"> </t>
  </si>
  <si>
    <t>Poste</t>
  </si>
  <si>
    <t>Nom du joueur</t>
  </si>
  <si>
    <t>CASTERA</t>
  </si>
  <si>
    <t>DALLA ROSA</t>
  </si>
  <si>
    <t>id</t>
  </si>
  <si>
    <t>nom</t>
  </si>
  <si>
    <t>prenom</t>
  </si>
  <si>
    <t>prenom NOM</t>
  </si>
  <si>
    <t>Jonah</t>
  </si>
  <si>
    <t>Paul</t>
  </si>
  <si>
    <t>Thomas</t>
  </si>
  <si>
    <t>Emeric</t>
  </si>
  <si>
    <t xml:space="preserve">ABADIE </t>
  </si>
  <si>
    <t>Jean</t>
  </si>
  <si>
    <t>Dorian</t>
  </si>
  <si>
    <t>xx</t>
  </si>
  <si>
    <t>Yohan</t>
  </si>
  <si>
    <t>Lucas</t>
  </si>
  <si>
    <t>Anthony</t>
  </si>
  <si>
    <t>Marius</t>
  </si>
  <si>
    <t>Jean-Baptiste</t>
  </si>
  <si>
    <t>Bastien</t>
  </si>
  <si>
    <t>Fabien</t>
  </si>
  <si>
    <t>Jimmy</t>
  </si>
  <si>
    <t>Titouan</t>
  </si>
  <si>
    <t>Sébastien</t>
  </si>
  <si>
    <t>Tom</t>
  </si>
  <si>
    <t>Joris</t>
  </si>
  <si>
    <t>Quentin</t>
  </si>
  <si>
    <t>Nom</t>
  </si>
  <si>
    <t>Prenom</t>
  </si>
  <si>
    <t>Ajouter un joueur</t>
  </si>
  <si>
    <t>Nom de cellule à créer</t>
  </si>
  <si>
    <t>ACT_PL_OFF</t>
  </si>
  <si>
    <t>ACT_PL_NORMAL</t>
  </si>
  <si>
    <t>ACT_PL_RATE</t>
  </si>
  <si>
    <t>ACT_PL_A2</t>
  </si>
  <si>
    <t>Plaquage à 2</t>
  </si>
  <si>
    <t>ACT_PL_HAUT</t>
  </si>
  <si>
    <t>Plaquage haut</t>
  </si>
  <si>
    <t>ACT_TO_NS_G</t>
  </si>
  <si>
    <t>ACT_TO_NS_P</t>
  </si>
  <si>
    <t>ACT_TO_NS_PAS_DROIT</t>
  </si>
  <si>
    <t>ACT_TO_ADV_VOLEE</t>
  </si>
  <si>
    <t>ACT_TO_ADV_PERDUE</t>
  </si>
  <si>
    <t>ACT_PTS_ESSAI</t>
  </si>
  <si>
    <t>ACT_PTS_ESSAI_PEN</t>
  </si>
  <si>
    <t>ACT_PTS_TRANSFO</t>
  </si>
  <si>
    <t>ACT_PTS_PENALITE</t>
  </si>
  <si>
    <t>ACT_PTS_DROP</t>
  </si>
  <si>
    <t>ACT_REPRISE_TOUCHE</t>
  </si>
  <si>
    <t>ACT_REPRISE_MELEE</t>
  </si>
  <si>
    <t>ACT_REPRISE_RENVOI</t>
  </si>
  <si>
    <t>ACT_REPRISE_A_LA_MAIN</t>
  </si>
  <si>
    <t>ACT_ARRET_DU_JEU</t>
  </si>
  <si>
    <t>STYLE_BTN_POSSESSION</t>
  </si>
  <si>
    <t>STYLE_BTN_MT</t>
  </si>
  <si>
    <t>STYLE_BTN_PL_TOUCHES</t>
  </si>
  <si>
    <t>STYLE_BTN_PEN</t>
  </si>
  <si>
    <t>STYLE_BTN_PTS</t>
  </si>
  <si>
    <t>STYLE_BTN_REPRISE</t>
  </si>
  <si>
    <t>STYLE_BTN_ARRET_JEU</t>
  </si>
  <si>
    <t>STYLE_BTN_CHRONO_TMP</t>
  </si>
  <si>
    <t>STYLE_BTN_CHRONO_RESET</t>
  </si>
  <si>
    <t>STYLE_BTN_ACTIF</t>
  </si>
  <si>
    <t>Nom des cellules de style</t>
  </si>
  <si>
    <t xml:space="preserve">Styles </t>
  </si>
  <si>
    <t>NOM Prénom</t>
  </si>
  <si>
    <t>DALLA ROSA Jonah</t>
  </si>
  <si>
    <t>DASTUGUE Thomas</t>
  </si>
  <si>
    <t>MICHELIN Paul</t>
  </si>
  <si>
    <t>ABADIE  Emeric</t>
  </si>
  <si>
    <t>BAYLE Jean</t>
  </si>
  <si>
    <t>ROUSSEL xx</t>
  </si>
  <si>
    <t>SALLES Dorian</t>
  </si>
  <si>
    <t>PIQUEMIL xx</t>
  </si>
  <si>
    <t>MONLOR Yohan</t>
  </si>
  <si>
    <t>BAQUE Lucas</t>
  </si>
  <si>
    <t>BOURREC Anthony</t>
  </si>
  <si>
    <t>FAULONG Marius</t>
  </si>
  <si>
    <t>LAUDET Jean-Baptiste</t>
  </si>
  <si>
    <t>KAPFER Bastien</t>
  </si>
  <si>
    <t>SALLES Fabien</t>
  </si>
  <si>
    <t>ROBERT Jimmy</t>
  </si>
  <si>
    <t>BAUP Bastien</t>
  </si>
  <si>
    <t>STEFANI Titouan</t>
  </si>
  <si>
    <t>BARATGIN xx</t>
  </si>
  <si>
    <t>BARTHIE Sébastien</t>
  </si>
  <si>
    <t>CASTERA Tom</t>
  </si>
  <si>
    <t>JOUNAUX Joris</t>
  </si>
  <si>
    <t>Adv</t>
  </si>
  <si>
    <t>LISTE_JOUEURS_JOURNAL</t>
  </si>
  <si>
    <t>LISTE_MT_JOURNAL</t>
  </si>
  <si>
    <t>LISTE_EQUIPES_JOURNAL</t>
  </si>
  <si>
    <t>Libellé</t>
  </si>
  <si>
    <t xml:space="preserve"> +5 sec</t>
  </si>
  <si>
    <r>
      <t xml:space="preserve">2
</t>
    </r>
    <r>
      <rPr>
        <sz val="9"/>
        <color theme="1"/>
        <rFont val="Arial"/>
        <family val="2"/>
      </rPr>
      <t>DASTUGUE</t>
    </r>
  </si>
  <si>
    <r>
      <t xml:space="preserve">3
</t>
    </r>
    <r>
      <rPr>
        <sz val="9"/>
        <color theme="1"/>
        <rFont val="Arial"/>
        <family val="2"/>
      </rPr>
      <t>MICHELIN</t>
    </r>
  </si>
  <si>
    <r>
      <t xml:space="preserve">5
</t>
    </r>
    <r>
      <rPr>
        <sz val="9"/>
        <color theme="1"/>
        <rFont val="Arial"/>
        <family val="2"/>
      </rPr>
      <t>BAYLE</t>
    </r>
  </si>
  <si>
    <r>
      <t xml:space="preserve">6
</t>
    </r>
    <r>
      <rPr>
        <sz val="9"/>
        <color theme="1"/>
        <rFont val="Arial"/>
        <family val="2"/>
      </rPr>
      <t>ROUSSEL</t>
    </r>
  </si>
  <si>
    <r>
      <t xml:space="preserve">7
</t>
    </r>
    <r>
      <rPr>
        <sz val="9"/>
        <color theme="1"/>
        <rFont val="Arial"/>
        <family val="2"/>
      </rPr>
      <t>SALLES</t>
    </r>
  </si>
  <si>
    <r>
      <t xml:space="preserve">8
</t>
    </r>
    <r>
      <rPr>
        <sz val="9"/>
        <color theme="1"/>
        <rFont val="Arial"/>
        <family val="2"/>
      </rPr>
      <t>PIQUEMIL</t>
    </r>
  </si>
  <si>
    <r>
      <t xml:space="preserve">9
</t>
    </r>
    <r>
      <rPr>
        <sz val="9"/>
        <color theme="1"/>
        <rFont val="Arial"/>
        <family val="2"/>
      </rPr>
      <t>MONLOR</t>
    </r>
  </si>
  <si>
    <r>
      <t xml:space="preserve">10
</t>
    </r>
    <r>
      <rPr>
        <sz val="9"/>
        <color theme="1"/>
        <rFont val="Arial"/>
        <family val="2"/>
      </rPr>
      <t>BAQUE</t>
    </r>
  </si>
  <si>
    <r>
      <t xml:space="preserve">11
</t>
    </r>
    <r>
      <rPr>
        <sz val="9"/>
        <color theme="1"/>
        <rFont val="Arial"/>
        <family val="2"/>
      </rPr>
      <t>BOURREC</t>
    </r>
  </si>
  <si>
    <r>
      <t xml:space="preserve">12
</t>
    </r>
    <r>
      <rPr>
        <sz val="9"/>
        <color theme="1"/>
        <rFont val="Arial"/>
        <family val="2"/>
      </rPr>
      <t>FAULONG</t>
    </r>
  </si>
  <si>
    <r>
      <t xml:space="preserve">13
</t>
    </r>
    <r>
      <rPr>
        <sz val="9"/>
        <color theme="1"/>
        <rFont val="Arial"/>
        <family val="2"/>
      </rPr>
      <t>LAUDET</t>
    </r>
  </si>
  <si>
    <r>
      <t xml:space="preserve">14
</t>
    </r>
    <r>
      <rPr>
        <sz val="9"/>
        <color theme="1"/>
        <rFont val="Arial"/>
        <family val="2"/>
      </rPr>
      <t>KAPFER</t>
    </r>
  </si>
  <si>
    <r>
      <t xml:space="preserve">15
</t>
    </r>
    <r>
      <rPr>
        <sz val="9"/>
        <color theme="1"/>
        <rFont val="Arial"/>
        <family val="2"/>
      </rPr>
      <t>SALLES</t>
    </r>
  </si>
  <si>
    <r>
      <t xml:space="preserve">16
</t>
    </r>
    <r>
      <rPr>
        <sz val="9"/>
        <color theme="1"/>
        <rFont val="Arial"/>
        <family val="2"/>
      </rPr>
      <t>ROBERT</t>
    </r>
  </si>
  <si>
    <r>
      <t xml:space="preserve">17
</t>
    </r>
    <r>
      <rPr>
        <sz val="9"/>
        <color theme="1"/>
        <rFont val="Arial"/>
        <family val="2"/>
      </rPr>
      <t>BAUP</t>
    </r>
  </si>
  <si>
    <r>
      <t xml:space="preserve">18
</t>
    </r>
    <r>
      <rPr>
        <sz val="9"/>
        <color theme="1"/>
        <rFont val="Arial"/>
        <family val="2"/>
      </rPr>
      <t>STEFANI</t>
    </r>
  </si>
  <si>
    <r>
      <t xml:space="preserve">19
</t>
    </r>
    <r>
      <rPr>
        <sz val="9"/>
        <color theme="1"/>
        <rFont val="Arial"/>
        <family val="2"/>
      </rPr>
      <t>BARATGIN</t>
    </r>
  </si>
  <si>
    <r>
      <t xml:space="preserve">20
</t>
    </r>
    <r>
      <rPr>
        <sz val="9"/>
        <color theme="1"/>
        <rFont val="Arial"/>
        <family val="2"/>
      </rPr>
      <t>BARTHIE</t>
    </r>
  </si>
  <si>
    <r>
      <t xml:space="preserve">21
</t>
    </r>
    <r>
      <rPr>
        <sz val="9"/>
        <color theme="1"/>
        <rFont val="Arial"/>
        <family val="2"/>
      </rPr>
      <t>CASTERA</t>
    </r>
  </si>
  <si>
    <r>
      <t xml:space="preserve">22
</t>
    </r>
    <r>
      <rPr>
        <sz val="9"/>
        <color theme="1"/>
        <rFont val="Arial"/>
        <family val="2"/>
      </rPr>
      <t>JOUNAUX</t>
    </r>
  </si>
  <si>
    <r>
      <t xml:space="preserve">4
</t>
    </r>
    <r>
      <rPr>
        <sz val="9"/>
        <color theme="1"/>
        <rFont val="Arial"/>
        <family val="2"/>
      </rPr>
      <t xml:space="preserve">ABADIE </t>
    </r>
  </si>
  <si>
    <r>
      <t xml:space="preserve">1
</t>
    </r>
    <r>
      <rPr>
        <sz val="9"/>
        <color theme="1"/>
        <rFont val="Arial"/>
        <family val="2"/>
      </rPr>
      <t>DALLA ROSA</t>
    </r>
  </si>
  <si>
    <t>VLC</t>
  </si>
  <si>
    <t>Safari</t>
  </si>
  <si>
    <t>Google Chrome</t>
  </si>
  <si>
    <t>Firefox</t>
  </si>
  <si>
    <t>LISTE_LECTEUR_VIDEO</t>
  </si>
  <si>
    <t xml:space="preserve">Possession en faveur de : </t>
  </si>
  <si>
    <t>Changement possession</t>
  </si>
  <si>
    <t>en-avant</t>
  </si>
  <si>
    <t>jeu au pied</t>
  </si>
  <si>
    <t>reception nous</t>
  </si>
  <si>
    <t>réception Adv</t>
  </si>
  <si>
    <t>ACT_EN_AVANT</t>
  </si>
  <si>
    <t>ACT_JEU_AU_PIED</t>
  </si>
  <si>
    <t>En avant</t>
  </si>
  <si>
    <t>Jeu au pied</t>
  </si>
  <si>
    <t>ACT_RECEPTION_NOUS</t>
  </si>
  <si>
    <t>Réception nous</t>
  </si>
  <si>
    <t>ACT_RECEPTION_ADV</t>
  </si>
  <si>
    <t>Réception adversaire</t>
  </si>
  <si>
    <t>ACT_GRATTAGE</t>
  </si>
  <si>
    <t>ACT_CONTRE_RUCK</t>
  </si>
  <si>
    <t>Contre-ruck</t>
  </si>
  <si>
    <t>transfo</t>
  </si>
  <si>
    <t>Pour nous</t>
  </si>
  <si>
    <t>Possession</t>
  </si>
  <si>
    <t>Perdues</t>
  </si>
  <si>
    <t>Touches MT1</t>
  </si>
  <si>
    <t>Touches MT2</t>
  </si>
  <si>
    <t>nous</t>
  </si>
  <si>
    <t>eux</t>
  </si>
  <si>
    <t>Score fin du match</t>
  </si>
  <si>
    <t>temps de jeu</t>
  </si>
  <si>
    <t>Avant ou 3/4</t>
  </si>
  <si>
    <t>AVANT_OU_ARRIERE</t>
  </si>
  <si>
    <t>Avant</t>
  </si>
  <si>
    <t>Motif pénalité</t>
  </si>
  <si>
    <t>Maul</t>
  </si>
  <si>
    <t>Ruck</t>
  </si>
  <si>
    <t>Hors-jeu</t>
  </si>
  <si>
    <t>Plaquage à deux</t>
  </si>
  <si>
    <t>contre adversaire</t>
  </si>
  <si>
    <t>contre
nous</t>
  </si>
  <si>
    <t>ACT_PEN_MAUL</t>
  </si>
  <si>
    <t>Pénalité contre adversaire</t>
  </si>
  <si>
    <t>Pénalité contre nous</t>
  </si>
  <si>
    <t>ACT_PEN_RUCK</t>
  </si>
  <si>
    <t>ACT_PEN_HORS_JEU</t>
  </si>
  <si>
    <t>ACT_PEN_PL_A_2</t>
  </si>
  <si>
    <t>ACT_PEN_PL_HAUT</t>
  </si>
  <si>
    <t>Groupe fautif</t>
  </si>
  <si>
    <t>Autre</t>
  </si>
  <si>
    <t>ACT_PEN_UNKNOWN</t>
  </si>
  <si>
    <t>Trois-quarts</t>
  </si>
  <si>
    <t>Trois-quart</t>
  </si>
  <si>
    <t>Gagnées</t>
  </si>
  <si>
    <t>Score mi-temps</t>
  </si>
  <si>
    <t>adversaire</t>
  </si>
  <si>
    <t>Pour l'adversaire</t>
  </si>
  <si>
    <t>ACT_PEN_CONTRE_NOUS</t>
  </si>
  <si>
    <t>ACT_PEN_CONTRE_ADV</t>
  </si>
  <si>
    <t>Total match</t>
  </si>
  <si>
    <t>Total par MT</t>
  </si>
  <si>
    <t>Domicile</t>
  </si>
  <si>
    <t>Aller</t>
  </si>
  <si>
    <t>Perdu</t>
  </si>
  <si>
    <t>26-27</t>
  </si>
  <si>
    <t>Saison :</t>
  </si>
  <si>
    <t>Équipe adverse :</t>
  </si>
  <si>
    <t>Phase :</t>
  </si>
  <si>
    <t>Journée :</t>
  </si>
  <si>
    <t>Résultat :</t>
  </si>
  <si>
    <t>ID_match</t>
  </si>
  <si>
    <t>Extérieur</t>
  </si>
  <si>
    <t>EQUIPES_POULE</t>
  </si>
  <si>
    <t>SA Condom</t>
  </si>
  <si>
    <t>RC Lomagne</t>
  </si>
  <si>
    <t>RC Muret</t>
  </si>
  <si>
    <t>Panjas AC</t>
  </si>
  <si>
    <t>US Eauze</t>
  </si>
  <si>
    <t>US Portet</t>
  </si>
  <si>
    <t>US Plaisance</t>
  </si>
  <si>
    <t>LIEU_MATCH</t>
  </si>
  <si>
    <t>Terrain neutre</t>
  </si>
  <si>
    <t>PHASE</t>
  </si>
  <si>
    <t>Retour</t>
  </si>
  <si>
    <t>Phase finale</t>
  </si>
  <si>
    <t>RESULTAT</t>
  </si>
  <si>
    <t>Gagné</t>
  </si>
  <si>
    <t>Nul</t>
  </si>
  <si>
    <t>ID match</t>
  </si>
  <si>
    <t>Saison</t>
  </si>
  <si>
    <t>Date match</t>
  </si>
  <si>
    <t>Lieu</t>
  </si>
  <si>
    <t>Phase</t>
  </si>
  <si>
    <t>Journée</t>
  </si>
  <si>
    <t>Résultat</t>
  </si>
  <si>
    <t>US Montreal</t>
  </si>
  <si>
    <t>Veuillez renseigner toutes les informations ci-dessous avant de cliquer sur "Créer le fichier de match"
La composition pourra être renseignée dans un second temps</t>
  </si>
  <si>
    <t>FEUILLE COMPO MASSEUBE</t>
  </si>
  <si>
    <t>EQUIPE_NIV</t>
  </si>
  <si>
    <t>Première</t>
  </si>
  <si>
    <t>Réserve</t>
  </si>
  <si>
    <t>Féminines</t>
  </si>
  <si>
    <t>Juniors</t>
  </si>
  <si>
    <t>Catégorie :</t>
  </si>
  <si>
    <t>Lieu :</t>
  </si>
  <si>
    <t>Date match :</t>
  </si>
  <si>
    <t>26-27_A1_Panjas AC_Première_EXT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</si>
</sst>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\ hh:mm:ss"/>
  </numFmts>
  <fonts count="35">
    <font>
      <sz val="10"/>
      <color theme="1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b/>
      <sz val="10"/>
      <color rgb="FFFFFFFF"/>
      <name val="Arial"/>
      <family val="2"/>
    </font>
    <font>
      <sz val="10"/>
      <color rgb="FFCC0000"/>
      <name val="Arial"/>
      <family val="2"/>
    </font>
    <font>
      <i/>
      <sz val="10"/>
      <color rgb="FF808080"/>
      <name val="Arial"/>
      <family val="2"/>
    </font>
    <font>
      <sz val="10"/>
      <color rgb="FF006600"/>
      <name val="Arial"/>
      <family val="2"/>
    </font>
    <font>
      <b/>
      <sz val="24"/>
      <color rgb="FF000000"/>
      <name val="Arial"/>
      <family val="2"/>
    </font>
    <font>
      <b/>
      <sz val="18"/>
      <color rgb="FF000000"/>
      <name val="Arial"/>
      <family val="2"/>
    </font>
    <font>
      <b/>
      <sz val="12"/>
      <color rgb="FF000000"/>
      <name val="Arial"/>
      <family val="2"/>
    </font>
    <font>
      <u/>
      <sz val="10"/>
      <color rgb="FF0000EE"/>
      <name val="Arial"/>
      <family val="2"/>
    </font>
    <font>
      <sz val="10"/>
      <color rgb="FF996600"/>
      <name val="Arial"/>
      <family val="2"/>
    </font>
    <font>
      <sz val="10"/>
      <color rgb="FF333333"/>
      <name val="Arial"/>
      <family val="2"/>
    </font>
    <font>
      <b/>
      <i/>
      <u/>
      <sz val="10"/>
      <color theme="1"/>
      <name val="Arial"/>
      <family val="2"/>
    </font>
    <font>
      <sz val="8"/>
      <color theme="1"/>
      <name val="Arial"/>
      <family val="2"/>
    </font>
    <font>
      <sz val="7"/>
      <color theme="1"/>
      <name val="Arial"/>
      <family val="2"/>
    </font>
    <font>
      <sz val="10.5"/>
      <color theme="1"/>
      <name val="Arial"/>
      <family val="2"/>
    </font>
    <font>
      <b/>
      <sz val="18"/>
      <color rgb="FFFFFFFF"/>
      <name val="Arial"/>
      <family val="2"/>
    </font>
    <font>
      <b/>
      <sz val="16"/>
      <color theme="1"/>
      <name val="Arial"/>
      <family val="2"/>
    </font>
    <font>
      <b/>
      <sz val="11"/>
      <color theme="1"/>
      <name val="Arial"/>
      <family val="2"/>
    </font>
    <font>
      <b/>
      <sz val="10"/>
      <color rgb="FF000000"/>
      <name val="Arial"/>
      <family val="2"/>
    </font>
    <font>
      <sz val="8"/>
      <name val="Arial"/>
      <family val="2"/>
    </font>
    <font>
      <b/>
      <sz val="9"/>
      <color theme="1"/>
      <name val="Arial"/>
      <family val="2"/>
    </font>
    <font>
      <b/>
      <sz val="9"/>
      <color theme="0"/>
      <name val="Arial"/>
      <family val="2"/>
    </font>
    <font>
      <b/>
      <sz val="12"/>
      <color theme="1"/>
      <name val="Arial"/>
      <family val="2"/>
    </font>
    <font>
      <b/>
      <sz val="11"/>
      <color rgb="FFFFFFFF"/>
      <name val="Carlito"/>
    </font>
    <font>
      <sz val="11"/>
      <color theme="1"/>
      <name val="Carlito"/>
    </font>
    <font>
      <b/>
      <sz val="11"/>
      <color rgb="FFFFFFFF"/>
      <name val="Arial"/>
      <family val="2"/>
    </font>
    <font>
      <b/>
      <sz val="18"/>
      <color theme="1"/>
      <name val="Arial"/>
      <family val="2"/>
    </font>
    <font>
      <sz val="9"/>
      <color theme="1"/>
      <name val="Arial"/>
      <family val="2"/>
    </font>
    <font>
      <b/>
      <sz val="11"/>
      <color theme="0"/>
      <name val="Arial"/>
      <family val="2"/>
    </font>
    <font>
      <i/>
      <sz val="9"/>
      <color theme="1"/>
      <name val="Arial"/>
      <family val="2"/>
    </font>
    <font>
      <b/>
      <sz val="12"/>
      <color theme="0"/>
      <name val="Arial"/>
      <family val="2"/>
    </font>
    <font>
      <sz val="10"/>
      <color theme="0"/>
      <name val="Arial"/>
      <family val="2"/>
    </font>
    <font>
      <sz val="9"/>
      <color theme="0"/>
      <name val="Arial"/>
      <family val="2"/>
    </font>
  </fonts>
  <fills count="28">
    <fill>
      <patternFill patternType="none"/>
    </fill>
    <fill>
      <patternFill patternType="gray125"/>
    </fill>
    <fill>
      <patternFill patternType="solid">
        <fgColor rgb="FF000000"/>
        <bgColor rgb="FF000000"/>
      </patternFill>
    </fill>
    <fill>
      <patternFill patternType="solid">
        <fgColor rgb="FF808080"/>
        <bgColor rgb="FF808080"/>
      </patternFill>
    </fill>
    <fill>
      <patternFill patternType="solid">
        <fgColor rgb="FFDDDDDD"/>
        <bgColor rgb="FFDDDDDD"/>
      </patternFill>
    </fill>
    <fill>
      <patternFill patternType="solid">
        <fgColor rgb="FFFFCCCC"/>
        <bgColor rgb="FFFFCCCC"/>
      </patternFill>
    </fill>
    <fill>
      <patternFill patternType="solid">
        <fgColor rgb="FFCC0000"/>
        <bgColor rgb="FFCC0000"/>
      </patternFill>
    </fill>
    <fill>
      <patternFill patternType="solid">
        <fgColor rgb="FFCCFFCC"/>
        <bgColor rgb="FFCCFFCC"/>
      </patternFill>
    </fill>
    <fill>
      <patternFill patternType="solid">
        <fgColor rgb="FFFFFFCC"/>
        <bgColor rgb="FFFFFFCC"/>
      </patternFill>
    </fill>
    <fill>
      <patternFill patternType="solid">
        <fgColor rgb="FF1F4E78"/>
        <bgColor indexed="64"/>
      </patternFill>
    </fill>
    <fill>
      <patternFill patternType="solid">
        <fgColor rgb="FFD9EAF7"/>
        <bgColor indexed="64"/>
      </patternFill>
    </fill>
    <fill>
      <patternFill patternType="solid">
        <fgColor rgb="FFF4B183"/>
        <bgColor indexed="64"/>
      </patternFill>
    </fill>
    <fill>
      <patternFill patternType="solid">
        <fgColor rgb="FFE2F0D9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CE4D6"/>
        <bgColor indexed="64"/>
      </patternFill>
    </fill>
    <fill>
      <patternFill patternType="solid">
        <fgColor rgb="FFF8CBAD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FDF27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1F4E78"/>
      </patternFill>
    </fill>
    <fill>
      <patternFill patternType="solid">
        <fgColor rgb="FF54E8DD"/>
        <bgColor indexed="64"/>
      </patternFill>
    </fill>
    <fill>
      <patternFill patternType="solid">
        <fgColor theme="9" tint="-0.24994659260841701"/>
        <bgColor indexed="64"/>
      </patternFill>
    </fill>
    <fill>
      <patternFill patternType="solid">
        <fgColor rgb="FF4DA72E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3C8224"/>
        <bgColor indexed="64"/>
      </patternFill>
    </fill>
  </fills>
  <borders count="50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rgb="FF4DA72E"/>
      </left>
      <right/>
      <top style="thick">
        <color rgb="FF4DA72E"/>
      </top>
      <bottom/>
      <diagonal/>
    </border>
    <border>
      <left/>
      <right/>
      <top style="thick">
        <color rgb="FF4DA72E"/>
      </top>
      <bottom/>
      <diagonal/>
    </border>
    <border>
      <left/>
      <right style="thick">
        <color rgb="FF4DA72E"/>
      </right>
      <top style="thick">
        <color rgb="FF4DA72E"/>
      </top>
      <bottom/>
      <diagonal/>
    </border>
    <border>
      <left style="thick">
        <color rgb="FF4DA72E"/>
      </left>
      <right/>
      <top/>
      <bottom/>
      <diagonal/>
    </border>
    <border>
      <left/>
      <right style="thick">
        <color rgb="FF4DA72E"/>
      </right>
      <top/>
      <bottom/>
      <diagonal/>
    </border>
    <border>
      <left style="thick">
        <color rgb="FF4DA72E"/>
      </left>
      <right/>
      <top/>
      <bottom style="thick">
        <color rgb="FF4DA72E"/>
      </bottom>
      <diagonal/>
    </border>
    <border>
      <left/>
      <right/>
      <top/>
      <bottom style="thick">
        <color rgb="FF4DA72E"/>
      </bottom>
      <diagonal/>
    </border>
    <border>
      <left/>
      <right style="thick">
        <color rgb="FF4DA72E"/>
      </right>
      <top/>
      <bottom style="thick">
        <color rgb="FF4DA72E"/>
      </bottom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/>
      </right>
      <top style="thin">
        <color indexed="64"/>
      </top>
      <bottom/>
      <diagonal/>
    </border>
    <border>
      <left style="thin">
        <color indexed="64"/>
      </left>
      <right/>
      <top style="thin">
        <color theme="0"/>
      </top>
      <bottom style="thin">
        <color indexed="64"/>
      </bottom>
      <diagonal/>
    </border>
    <border>
      <left/>
      <right style="thin">
        <color indexed="64"/>
      </right>
      <top style="thin">
        <color theme="0"/>
      </top>
      <bottom style="thin">
        <color indexed="64"/>
      </bottom>
      <diagonal/>
    </border>
    <border>
      <left/>
      <right/>
      <top style="thin">
        <color theme="0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0">
    <xf numFmtId="0" fontId="0" fillId="0" borderId="0"/>
    <xf numFmtId="0" fontId="12" fillId="8" borderId="1" applyNumberFormat="0" applyProtection="0"/>
    <xf numFmtId="0" fontId="2" fillId="0" borderId="0" applyNumberFormat="0" applyFill="0" applyBorder="0" applyProtection="0"/>
    <xf numFmtId="0" fontId="3" fillId="2" borderId="0" applyNumberFormat="0" applyBorder="0" applyProtection="0"/>
    <xf numFmtId="0" fontId="3" fillId="3" borderId="0" applyNumberFormat="0" applyBorder="0" applyProtection="0"/>
    <xf numFmtId="0" fontId="2" fillId="4" borderId="0" applyNumberFormat="0" applyBorder="0" applyProtection="0"/>
    <xf numFmtId="0" fontId="4" fillId="5" borderId="0" applyNumberFormat="0" applyBorder="0" applyProtection="0"/>
    <xf numFmtId="0" fontId="1" fillId="0" borderId="0" applyNumberFormat="0" applyFont="0" applyFill="0" applyBorder="0" applyAlignment="0" applyProtection="0"/>
    <xf numFmtId="0" fontId="3" fillId="6" borderId="0" applyNumberFormat="0" applyBorder="0" applyProtection="0"/>
    <xf numFmtId="0" fontId="5" fillId="0" borderId="0" applyNumberFormat="0" applyFill="0" applyBorder="0" applyProtection="0"/>
    <xf numFmtId="0" fontId="6" fillId="7" borderId="0" applyNumberFormat="0" applyBorder="0" applyProtection="0"/>
    <xf numFmtId="0" fontId="7" fillId="0" borderId="0" applyNumberFormat="0" applyFill="0" applyBorder="0" applyProtection="0"/>
    <xf numFmtId="0" fontId="8" fillId="0" borderId="0" applyNumberFormat="0" applyFill="0" applyBorder="0" applyProtection="0"/>
    <xf numFmtId="0" fontId="9" fillId="0" borderId="0" applyNumberFormat="0" applyFill="0" applyBorder="0" applyProtection="0"/>
    <xf numFmtId="0" fontId="10" fillId="0" borderId="0" applyNumberFormat="0" applyFill="0" applyBorder="0" applyProtection="0"/>
    <xf numFmtId="0" fontId="11" fillId="8" borderId="0" applyNumberFormat="0" applyBorder="0" applyProtection="0"/>
    <xf numFmtId="0" fontId="13" fillId="0" borderId="0" applyNumberFormat="0" applyFill="0" applyBorder="0" applyProtection="0"/>
    <xf numFmtId="0" fontId="1" fillId="0" borderId="0" applyNumberFormat="0" applyFont="0" applyFill="0" applyBorder="0" applyProtection="0"/>
    <xf numFmtId="0" fontId="1" fillId="0" borderId="0" applyNumberFormat="0" applyFont="0" applyFill="0" applyBorder="0" applyProtection="0"/>
    <xf numFmtId="0" fontId="4" fillId="0" borderId="0" applyNumberFormat="0" applyFill="0" applyBorder="0" applyProtection="0"/>
  </cellStyleXfs>
  <cellXfs count="170">
    <xf numFmtId="0" fontId="0" fillId="0" borderId="0" xfId="0"/>
    <xf numFmtId="0" fontId="0" fillId="0" borderId="2" xfId="7" applyFont="1" applyBorder="1" applyAlignment="1">
      <alignment horizontal="center" vertical="center"/>
    </xf>
    <xf numFmtId="0" fontId="14" fillId="0" borderId="2" xfId="7" applyFont="1" applyBorder="1" applyAlignment="1">
      <alignment horizontal="center" vertical="center"/>
    </xf>
    <xf numFmtId="0" fontId="15" fillId="0" borderId="2" xfId="7" applyFont="1" applyBorder="1" applyAlignment="1">
      <alignment horizontal="center" vertical="center"/>
    </xf>
    <xf numFmtId="0" fontId="0" fillId="0" borderId="0" xfId="7" applyFont="1"/>
    <xf numFmtId="0" fontId="0" fillId="0" borderId="2" xfId="7" applyFont="1" applyBorder="1" applyAlignment="1">
      <alignment horizontal="left"/>
    </xf>
    <xf numFmtId="0" fontId="0" fillId="0" borderId="2" xfId="7" applyFont="1" applyBorder="1" applyAlignment="1">
      <alignment horizontal="center"/>
    </xf>
    <xf numFmtId="0" fontId="16" fillId="0" borderId="2" xfId="7" applyFont="1" applyBorder="1" applyAlignment="1">
      <alignment horizontal="center"/>
    </xf>
    <xf numFmtId="0" fontId="16" fillId="0" borderId="2" xfId="7" applyFont="1" applyBorder="1" applyAlignment="1">
      <alignment horizontal="left"/>
    </xf>
    <xf numFmtId="0" fontId="1" fillId="0" borderId="0" xfId="7"/>
    <xf numFmtId="0" fontId="0" fillId="0" borderId="3" xfId="7" applyFont="1" applyBorder="1"/>
    <xf numFmtId="0" fontId="0" fillId="0" borderId="4" xfId="7" applyFont="1" applyBorder="1"/>
    <xf numFmtId="0" fontId="0" fillId="0" borderId="5" xfId="7" applyFont="1" applyBorder="1"/>
    <xf numFmtId="0" fontId="0" fillId="0" borderId="6" xfId="7" applyFont="1" applyBorder="1"/>
    <xf numFmtId="0" fontId="0" fillId="0" borderId="7" xfId="7" applyFont="1" applyBorder="1"/>
    <xf numFmtId="0" fontId="2" fillId="0" borderId="2" xfId="7" applyFont="1" applyBorder="1"/>
    <xf numFmtId="0" fontId="2" fillId="0" borderId="2" xfId="7" applyFont="1" applyBorder="1" applyAlignment="1">
      <alignment horizontal="center"/>
    </xf>
    <xf numFmtId="0" fontId="0" fillId="0" borderId="0" xfId="7" applyFont="1" applyAlignment="1">
      <alignment horizontal="center"/>
    </xf>
    <xf numFmtId="0" fontId="0" fillId="0" borderId="2" xfId="7" applyFont="1" applyBorder="1"/>
    <xf numFmtId="0" fontId="15" fillId="0" borderId="2" xfId="7" applyFont="1" applyBorder="1" applyAlignment="1">
      <alignment horizontal="center"/>
    </xf>
    <xf numFmtId="0" fontId="0" fillId="0" borderId="8" xfId="7" applyFont="1" applyBorder="1"/>
    <xf numFmtId="0" fontId="0" fillId="0" borderId="9" xfId="7" applyFont="1" applyBorder="1"/>
    <xf numFmtId="0" fontId="0" fillId="0" borderId="10" xfId="7" applyFont="1" applyBorder="1"/>
    <xf numFmtId="0" fontId="3" fillId="9" borderId="0" xfId="0" applyFont="1" applyFill="1"/>
    <xf numFmtId="164" fontId="0" fillId="0" borderId="0" xfId="0" applyNumberFormat="1"/>
    <xf numFmtId="0" fontId="0" fillId="0" borderId="0" xfId="0" applyAlignment="1">
      <alignment horizontal="center" vertical="center" wrapText="1"/>
    </xf>
    <xf numFmtId="0" fontId="18" fillId="16" borderId="0" xfId="0" applyFont="1" applyFill="1" applyAlignment="1">
      <alignment horizontal="center" vertical="center"/>
    </xf>
    <xf numFmtId="0" fontId="3" fillId="16" borderId="13" xfId="0" applyFont="1" applyFill="1" applyBorder="1" applyAlignment="1">
      <alignment horizontal="center" vertical="center" wrapText="1"/>
    </xf>
    <xf numFmtId="0" fontId="3" fillId="9" borderId="2" xfId="0" applyFont="1" applyFill="1" applyBorder="1" applyAlignment="1">
      <alignment horizontal="center" vertical="center" wrapText="1"/>
    </xf>
    <xf numFmtId="0" fontId="20" fillId="11" borderId="2" xfId="0" applyFont="1" applyFill="1" applyBorder="1" applyAlignment="1">
      <alignment horizontal="center" vertical="center" wrapText="1"/>
    </xf>
    <xf numFmtId="0" fontId="3" fillId="16" borderId="6" xfId="0" applyFont="1" applyFill="1" applyBorder="1" applyAlignment="1">
      <alignment horizontal="center" vertical="center" wrapText="1"/>
    </xf>
    <xf numFmtId="0" fontId="0" fillId="17" borderId="0" xfId="0" applyFill="1"/>
    <xf numFmtId="0" fontId="0" fillId="17" borderId="0" xfId="0" applyFill="1" applyAlignment="1">
      <alignment horizontal="center" vertical="center" wrapText="1"/>
    </xf>
    <xf numFmtId="0" fontId="3" fillId="17" borderId="0" xfId="0" applyFont="1" applyFill="1" applyAlignment="1">
      <alignment horizontal="center" vertical="center" wrapText="1"/>
    </xf>
    <xf numFmtId="0" fontId="0" fillId="19" borderId="11" xfId="0" applyFill="1" applyBorder="1" applyAlignment="1">
      <alignment horizontal="center" vertical="center"/>
    </xf>
    <xf numFmtId="0" fontId="2" fillId="12" borderId="2" xfId="0" applyFont="1" applyFill="1" applyBorder="1" applyAlignment="1">
      <alignment horizontal="center" vertical="center" wrapText="1"/>
    </xf>
    <xf numFmtId="0" fontId="2" fillId="14" borderId="2" xfId="0" applyFont="1" applyFill="1" applyBorder="1" applyAlignment="1">
      <alignment horizontal="center" vertical="center" wrapText="1"/>
    </xf>
    <xf numFmtId="0" fontId="2" fillId="15" borderId="2" xfId="0" applyFont="1" applyFill="1" applyBorder="1" applyAlignment="1">
      <alignment horizontal="center" vertical="center" wrapText="1"/>
    </xf>
    <xf numFmtId="0" fontId="22" fillId="18" borderId="11" xfId="0" applyFont="1" applyFill="1" applyBorder="1" applyAlignment="1">
      <alignment horizontal="center" vertical="center"/>
    </xf>
    <xf numFmtId="0" fontId="2" fillId="13" borderId="11" xfId="0" applyFont="1" applyFill="1" applyBorder="1" applyAlignment="1">
      <alignment horizontal="center" vertical="center"/>
    </xf>
    <xf numFmtId="0" fontId="23" fillId="20" borderId="11" xfId="0" applyFont="1" applyFill="1" applyBorder="1" applyAlignment="1">
      <alignment horizontal="center" vertical="center"/>
    </xf>
    <xf numFmtId="0" fontId="22" fillId="10" borderId="11" xfId="0" applyFont="1" applyFill="1" applyBorder="1" applyAlignment="1">
      <alignment horizontal="center" vertical="center" wrapText="1"/>
    </xf>
    <xf numFmtId="0" fontId="24" fillId="18" borderId="11" xfId="0" applyFont="1" applyFill="1" applyBorder="1" applyAlignment="1">
      <alignment horizontal="center" vertical="center"/>
    </xf>
    <xf numFmtId="46" fontId="0" fillId="0" borderId="0" xfId="0" applyNumberFormat="1"/>
    <xf numFmtId="0" fontId="0" fillId="17" borderId="16" xfId="0" applyFill="1" applyBorder="1"/>
    <xf numFmtId="0" fontId="0" fillId="17" borderId="17" xfId="0" applyFill="1" applyBorder="1"/>
    <xf numFmtId="0" fontId="0" fillId="17" borderId="18" xfId="0" applyFill="1" applyBorder="1"/>
    <xf numFmtId="0" fontId="0" fillId="17" borderId="19" xfId="0" applyFill="1" applyBorder="1"/>
    <xf numFmtId="0" fontId="0" fillId="17" borderId="20" xfId="0" applyFill="1" applyBorder="1"/>
    <xf numFmtId="0" fontId="0" fillId="17" borderId="21" xfId="0" applyFill="1" applyBorder="1"/>
    <xf numFmtId="0" fontId="0" fillId="17" borderId="22" xfId="0" applyFill="1" applyBorder="1"/>
    <xf numFmtId="0" fontId="0" fillId="17" borderId="23" xfId="0" applyFill="1" applyBorder="1"/>
    <xf numFmtId="0" fontId="0" fillId="17" borderId="11" xfId="0" applyFill="1" applyBorder="1"/>
    <xf numFmtId="0" fontId="0" fillId="17" borderId="19" xfId="0" applyFill="1" applyBorder="1" applyAlignment="1">
      <alignment horizontal="right"/>
    </xf>
    <xf numFmtId="0" fontId="2" fillId="23" borderId="2" xfId="0" applyFont="1" applyFill="1" applyBorder="1" applyAlignment="1">
      <alignment horizontal="center" vertical="center" wrapText="1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26" fillId="21" borderId="14" xfId="0" applyFont="1" applyFill="1" applyBorder="1" applyAlignment="1">
      <alignment horizontal="left" vertical="center" wrapText="1"/>
    </xf>
    <xf numFmtId="0" fontId="26" fillId="21" borderId="15" xfId="0" applyFont="1" applyFill="1" applyBorder="1" applyAlignment="1">
      <alignment horizontal="left" vertical="center" wrapText="1"/>
    </xf>
    <xf numFmtId="0" fontId="0" fillId="0" borderId="0" xfId="0" applyAlignment="1">
      <alignment horizontal="left" vertical="center"/>
    </xf>
    <xf numFmtId="0" fontId="26" fillId="0" borderId="14" xfId="0" applyFont="1" applyBorder="1" applyAlignment="1">
      <alignment horizontal="left" vertical="center" wrapText="1"/>
    </xf>
    <xf numFmtId="0" fontId="26" fillId="0" borderId="15" xfId="0" applyFont="1" applyBorder="1" applyAlignment="1">
      <alignment horizontal="left" vertical="center" wrapText="1"/>
    </xf>
    <xf numFmtId="0" fontId="25" fillId="22" borderId="14" xfId="0" applyFont="1" applyFill="1" applyBorder="1" applyAlignment="1">
      <alignment horizontal="center" vertical="center" wrapText="1"/>
    </xf>
    <xf numFmtId="0" fontId="25" fillId="22" borderId="15" xfId="0" applyFont="1" applyFill="1" applyBorder="1" applyAlignment="1">
      <alignment horizontal="center" vertical="center" wrapText="1"/>
    </xf>
    <xf numFmtId="0" fontId="3" fillId="17" borderId="27" xfId="0" applyFont="1" applyFill="1" applyBorder="1" applyAlignment="1">
      <alignment horizontal="center" vertical="center" wrapText="1"/>
    </xf>
    <xf numFmtId="0" fontId="0" fillId="17" borderId="27" xfId="0" applyFill="1" applyBorder="1" applyAlignment="1">
      <alignment horizontal="center" vertical="center" wrapText="1"/>
    </xf>
    <xf numFmtId="0" fontId="20" fillId="16" borderId="0" xfId="0" applyFont="1" applyFill="1" applyAlignment="1">
      <alignment horizontal="center" vertical="center" wrapText="1"/>
    </xf>
    <xf numFmtId="0" fontId="3" fillId="16" borderId="0" xfId="0" applyFont="1" applyFill="1" applyAlignment="1">
      <alignment horizontal="center" vertical="center" wrapText="1"/>
    </xf>
    <xf numFmtId="0" fontId="3" fillId="17" borderId="32" xfId="0" applyFont="1" applyFill="1" applyBorder="1" applyAlignment="1">
      <alignment horizontal="center" vertical="center" wrapText="1"/>
    </xf>
    <xf numFmtId="0" fontId="0" fillId="17" borderId="32" xfId="0" applyFill="1" applyBorder="1" applyAlignment="1">
      <alignment horizontal="center" vertical="center" wrapText="1"/>
    </xf>
    <xf numFmtId="0" fontId="18" fillId="17" borderId="0" xfId="0" applyFont="1" applyFill="1" applyAlignment="1">
      <alignment horizontal="center" vertical="center"/>
    </xf>
    <xf numFmtId="0" fontId="0" fillId="16" borderId="0" xfId="0" applyFill="1" applyAlignment="1">
      <alignment horizontal="center" vertical="center" wrapText="1"/>
    </xf>
    <xf numFmtId="0" fontId="0" fillId="17" borderId="0" xfId="0" applyFill="1" applyAlignment="1">
      <alignment horizontal="center" vertical="center"/>
    </xf>
    <xf numFmtId="0" fontId="0" fillId="17" borderId="26" xfId="0" applyFill="1" applyBorder="1" applyAlignment="1">
      <alignment horizontal="center" vertical="center"/>
    </xf>
    <xf numFmtId="0" fontId="0" fillId="17" borderId="28" xfId="0" applyFill="1" applyBorder="1" applyAlignment="1">
      <alignment horizontal="center" vertical="center"/>
    </xf>
    <xf numFmtId="0" fontId="0" fillId="17" borderId="29" xfId="0" applyFill="1" applyBorder="1" applyAlignment="1">
      <alignment horizontal="center" vertical="center"/>
    </xf>
    <xf numFmtId="0" fontId="0" fillId="17" borderId="30" xfId="0" applyFill="1" applyBorder="1" applyAlignment="1">
      <alignment horizontal="center" vertical="center"/>
    </xf>
    <xf numFmtId="0" fontId="0" fillId="17" borderId="31" xfId="0" applyFill="1" applyBorder="1" applyAlignment="1">
      <alignment horizontal="center" vertical="center"/>
    </xf>
    <xf numFmtId="0" fontId="0" fillId="17" borderId="33" xfId="0" applyFill="1" applyBorder="1" applyAlignment="1">
      <alignment horizontal="center" vertical="center"/>
    </xf>
    <xf numFmtId="0" fontId="0" fillId="16" borderId="0" xfId="0" applyFill="1" applyAlignment="1">
      <alignment horizontal="center" vertical="center"/>
    </xf>
    <xf numFmtId="0" fontId="0" fillId="16" borderId="26" xfId="0" applyFill="1" applyBorder="1" applyAlignment="1">
      <alignment horizontal="center" vertical="center"/>
    </xf>
    <xf numFmtId="0" fontId="0" fillId="16" borderId="27" xfId="0" applyFill="1" applyBorder="1" applyAlignment="1">
      <alignment horizontal="center" vertical="center"/>
    </xf>
    <xf numFmtId="0" fontId="0" fillId="16" borderId="28" xfId="0" applyFill="1" applyBorder="1" applyAlignment="1">
      <alignment horizontal="center" vertical="center"/>
    </xf>
    <xf numFmtId="0" fontId="0" fillId="16" borderId="29" xfId="0" applyFill="1" applyBorder="1" applyAlignment="1">
      <alignment horizontal="center" vertical="center"/>
    </xf>
    <xf numFmtId="0" fontId="0" fillId="16" borderId="30" xfId="0" applyFill="1" applyBorder="1" applyAlignment="1">
      <alignment horizontal="center" vertical="center"/>
    </xf>
    <xf numFmtId="0" fontId="25" fillId="22" borderId="34" xfId="0" applyFont="1" applyFill="1" applyBorder="1" applyAlignment="1">
      <alignment horizontal="center" vertical="center" wrapText="1"/>
    </xf>
    <xf numFmtId="0" fontId="26" fillId="0" borderId="35" xfId="0" applyFont="1" applyBorder="1" applyAlignment="1">
      <alignment horizontal="left" vertical="center" wrapText="1"/>
    </xf>
    <xf numFmtId="0" fontId="27" fillId="24" borderId="18" xfId="0" applyFont="1" applyFill="1" applyBorder="1" applyAlignment="1">
      <alignment horizontal="center" vertical="center"/>
    </xf>
    <xf numFmtId="0" fontId="2" fillId="10" borderId="11" xfId="0" applyFont="1" applyFill="1" applyBorder="1" applyAlignment="1">
      <alignment horizontal="center" vertical="center" wrapText="1"/>
    </xf>
    <xf numFmtId="0" fontId="2" fillId="16" borderId="12" xfId="0" applyFont="1" applyFill="1" applyBorder="1" applyAlignment="1">
      <alignment horizontal="center" vertical="center" wrapText="1"/>
    </xf>
    <xf numFmtId="0" fontId="28" fillId="10" borderId="11" xfId="0" applyFont="1" applyFill="1" applyBorder="1" applyAlignment="1">
      <alignment horizontal="center" vertical="center" wrapText="1"/>
    </xf>
    <xf numFmtId="0" fontId="2" fillId="17" borderId="0" xfId="0" applyFont="1" applyFill="1" applyAlignment="1">
      <alignment horizontal="center" vertical="center" wrapText="1"/>
    </xf>
    <xf numFmtId="0" fontId="20" fillId="17" borderId="0" xfId="0" applyFont="1" applyFill="1" applyAlignment="1">
      <alignment horizontal="center" vertical="center" wrapText="1"/>
    </xf>
    <xf numFmtId="0" fontId="3" fillId="9" borderId="11" xfId="0" applyFont="1" applyFill="1" applyBorder="1" applyAlignment="1">
      <alignment horizontal="center" vertical="center" wrapText="1"/>
    </xf>
    <xf numFmtId="0" fontId="0" fillId="0" borderId="19" xfId="0" applyBorder="1" applyAlignment="1">
      <alignment horizontal="right" vertical="center"/>
    </xf>
    <xf numFmtId="0" fontId="0" fillId="0" borderId="21" xfId="0" applyBorder="1" applyAlignment="1">
      <alignment horizontal="right" vertical="center"/>
    </xf>
    <xf numFmtId="0" fontId="27" fillId="24" borderId="19" xfId="0" applyFont="1" applyFill="1" applyBorder="1" applyAlignment="1">
      <alignment horizontal="center" vertical="center"/>
    </xf>
    <xf numFmtId="0" fontId="27" fillId="24" borderId="0" xfId="0" applyFont="1" applyFill="1" applyAlignment="1">
      <alignment horizontal="center" vertical="center"/>
    </xf>
    <xf numFmtId="0" fontId="27" fillId="24" borderId="17" xfId="0" applyFont="1" applyFill="1" applyBorder="1" applyAlignment="1">
      <alignment vertical="center"/>
    </xf>
    <xf numFmtId="0" fontId="27" fillId="24" borderId="20" xfId="0" applyFont="1" applyFill="1" applyBorder="1" applyAlignment="1">
      <alignment horizontal="center" vertical="center"/>
    </xf>
    <xf numFmtId="0" fontId="0" fillId="0" borderId="19" xfId="0" applyBorder="1"/>
    <xf numFmtId="0" fontId="0" fillId="0" borderId="20" xfId="0" applyBorder="1"/>
    <xf numFmtId="0" fontId="0" fillId="0" borderId="22" xfId="0" applyBorder="1"/>
    <xf numFmtId="0" fontId="0" fillId="0" borderId="23" xfId="0" applyBorder="1"/>
    <xf numFmtId="0" fontId="0" fillId="0" borderId="21" xfId="0" applyBorder="1"/>
    <xf numFmtId="0" fontId="0" fillId="0" borderId="16" xfId="0" applyBorder="1"/>
    <xf numFmtId="0" fontId="0" fillId="0" borderId="18" xfId="0" applyBorder="1"/>
    <xf numFmtId="0" fontId="0" fillId="0" borderId="17" xfId="0" applyBorder="1"/>
    <xf numFmtId="0" fontId="27" fillId="24" borderId="36" xfId="0" applyFont="1" applyFill="1" applyBorder="1" applyAlignment="1">
      <alignment horizontal="center" vertical="center"/>
    </xf>
    <xf numFmtId="0" fontId="27" fillId="24" borderId="37" xfId="0" applyFont="1" applyFill="1" applyBorder="1" applyAlignment="1">
      <alignment horizontal="center" vertical="center"/>
    </xf>
    <xf numFmtId="0" fontId="27" fillId="24" borderId="16" xfId="0" applyFont="1" applyFill="1" applyBorder="1" applyAlignment="1">
      <alignment vertical="center"/>
    </xf>
    <xf numFmtId="0" fontId="26" fillId="21" borderId="35" xfId="0" applyFont="1" applyFill="1" applyBorder="1" applyAlignment="1">
      <alignment horizontal="left" vertical="center" wrapText="1"/>
    </xf>
    <xf numFmtId="0" fontId="0" fillId="26" borderId="19" xfId="0" applyFill="1" applyBorder="1"/>
    <xf numFmtId="0" fontId="0" fillId="26" borderId="20" xfId="0" applyFill="1" applyBorder="1"/>
    <xf numFmtId="0" fontId="0" fillId="26" borderId="11" xfId="0" applyFill="1" applyBorder="1"/>
    <xf numFmtId="0" fontId="0" fillId="17" borderId="0" xfId="0" applyFill="1" applyAlignment="1">
      <alignment horizontal="left"/>
    </xf>
    <xf numFmtId="0" fontId="31" fillId="17" borderId="0" xfId="0" applyFont="1" applyFill="1" applyAlignment="1">
      <alignment horizontal="left"/>
    </xf>
    <xf numFmtId="0" fontId="30" fillId="27" borderId="16" xfId="0" applyFont="1" applyFill="1" applyBorder="1" applyAlignment="1">
      <alignment horizontal="center" vertical="center"/>
    </xf>
    <xf numFmtId="0" fontId="30" fillId="27" borderId="38" xfId="0" applyFont="1" applyFill="1" applyBorder="1" applyAlignment="1">
      <alignment horizontal="center" vertical="center"/>
    </xf>
    <xf numFmtId="0" fontId="30" fillId="27" borderId="18" xfId="0" applyFont="1" applyFill="1" applyBorder="1" applyAlignment="1">
      <alignment horizontal="center" vertical="center"/>
    </xf>
    <xf numFmtId="0" fontId="32" fillId="27" borderId="21" xfId="0" applyFont="1" applyFill="1" applyBorder="1" applyAlignment="1">
      <alignment horizontal="center" vertical="center"/>
    </xf>
    <xf numFmtId="0" fontId="24" fillId="17" borderId="0" xfId="0" applyFont="1" applyFill="1"/>
    <xf numFmtId="0" fontId="33" fillId="27" borderId="0" xfId="0" applyFont="1" applyFill="1" applyAlignment="1">
      <alignment horizontal="right"/>
    </xf>
    <xf numFmtId="14" fontId="0" fillId="26" borderId="0" xfId="0" applyNumberFormat="1" applyFill="1" applyAlignment="1">
      <alignment horizontal="left"/>
    </xf>
    <xf numFmtId="14" fontId="0" fillId="0" borderId="0" xfId="0" applyNumberFormat="1" applyAlignment="1">
      <alignment horizontal="left"/>
    </xf>
    <xf numFmtId="0" fontId="0" fillId="26" borderId="0" xfId="0" applyFill="1" applyAlignment="1">
      <alignment horizontal="left"/>
    </xf>
    <xf numFmtId="0" fontId="0" fillId="16" borderId="29" xfId="0" applyFill="1" applyBorder="1" applyAlignment="1">
      <alignment horizontal="center" vertical="center" wrapText="1"/>
    </xf>
    <xf numFmtId="0" fontId="0" fillId="16" borderId="30" xfId="0" applyFill="1" applyBorder="1" applyAlignment="1">
      <alignment horizontal="center" vertical="center" wrapText="1"/>
    </xf>
    <xf numFmtId="0" fontId="0" fillId="17" borderId="31" xfId="0" applyFill="1" applyBorder="1" applyAlignment="1">
      <alignment horizontal="center" vertical="center" wrapText="1"/>
    </xf>
    <xf numFmtId="0" fontId="18" fillId="17" borderId="32" xfId="0" applyFont="1" applyFill="1" applyBorder="1" applyAlignment="1">
      <alignment horizontal="center" vertical="center" wrapText="1"/>
    </xf>
    <xf numFmtId="0" fontId="0" fillId="17" borderId="33" xfId="0" applyFill="1" applyBorder="1" applyAlignment="1">
      <alignment horizontal="center" vertical="center" wrapText="1"/>
    </xf>
    <xf numFmtId="0" fontId="0" fillId="17" borderId="27" xfId="0" applyFill="1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0" fontId="19" fillId="17" borderId="0" xfId="0" applyFont="1" applyFill="1" applyAlignment="1">
      <alignment horizontal="left" vertical="center"/>
    </xf>
    <xf numFmtId="164" fontId="0" fillId="17" borderId="0" xfId="0" applyNumberFormat="1" applyFill="1" applyAlignment="1">
      <alignment horizontal="center" vertical="center"/>
    </xf>
    <xf numFmtId="0" fontId="0" fillId="17" borderId="32" xfId="0" applyFill="1" applyBorder="1" applyAlignment="1">
      <alignment horizontal="center" vertical="center"/>
    </xf>
    <xf numFmtId="14" fontId="0" fillId="0" borderId="0" xfId="0" applyNumberFormat="1"/>
    <xf numFmtId="22" fontId="0" fillId="0" borderId="0" xfId="0" applyNumberFormat="1"/>
    <xf numFmtId="0" fontId="17" fillId="25" borderId="0" xfId="0" applyFont="1" applyFill="1" applyAlignment="1">
      <alignment horizontal="center" vertical="center"/>
    </xf>
    <xf numFmtId="0" fontId="3" fillId="25" borderId="0" xfId="0" applyFont="1" applyFill="1" applyAlignment="1">
      <alignment horizontal="center" vertical="center"/>
    </xf>
    <xf numFmtId="0" fontId="0" fillId="25" borderId="0" xfId="0" applyFill="1" applyAlignment="1">
      <alignment horizontal="center" vertical="center"/>
    </xf>
    <xf numFmtId="46" fontId="18" fillId="10" borderId="0" xfId="0" applyNumberFormat="1" applyFont="1" applyFill="1" applyAlignment="1">
      <alignment horizontal="center" vertical="center"/>
    </xf>
    <xf numFmtId="21" fontId="18" fillId="10" borderId="0" xfId="0" applyNumberFormat="1" applyFont="1" applyFill="1" applyAlignment="1">
      <alignment horizontal="center" vertical="center"/>
    </xf>
    <xf numFmtId="0" fontId="3" fillId="25" borderId="0" xfId="0" applyFont="1" applyFill="1" applyAlignment="1">
      <alignment horizontal="center" vertical="center" wrapText="1"/>
    </xf>
    <xf numFmtId="0" fontId="0" fillId="25" borderId="0" xfId="0" applyFill="1" applyAlignment="1">
      <alignment horizontal="center" vertical="center" wrapText="1"/>
    </xf>
    <xf numFmtId="0" fontId="20" fillId="16" borderId="0" xfId="0" applyFont="1" applyFill="1" applyAlignment="1">
      <alignment horizontal="left" vertical="center" wrapText="1"/>
    </xf>
    <xf numFmtId="0" fontId="34" fillId="13" borderId="0" xfId="0" applyFont="1" applyFill="1" applyAlignment="1">
      <alignment horizontal="center" vertical="center" wrapText="1"/>
    </xf>
    <xf numFmtId="0" fontId="24" fillId="0" borderId="42" xfId="0" applyFont="1" applyBorder="1" applyAlignment="1">
      <alignment horizontal="center" vertical="center"/>
    </xf>
    <xf numFmtId="0" fontId="24" fillId="0" borderId="43" xfId="0" applyFont="1" applyBorder="1" applyAlignment="1">
      <alignment horizontal="center" vertical="center"/>
    </xf>
    <xf numFmtId="0" fontId="24" fillId="0" borderId="44" xfId="0" applyFont="1" applyBorder="1" applyAlignment="1">
      <alignment horizontal="center" vertical="center"/>
    </xf>
    <xf numFmtId="0" fontId="24" fillId="0" borderId="45" xfId="0" applyFont="1" applyBorder="1" applyAlignment="1">
      <alignment horizontal="center" vertical="center"/>
    </xf>
    <xf numFmtId="0" fontId="24" fillId="0" borderId="0" xfId="0" applyFont="1" applyAlignment="1">
      <alignment horizontal="center" vertical="center"/>
    </xf>
    <xf numFmtId="0" fontId="24" fillId="0" borderId="46" xfId="0" applyFont="1" applyBorder="1" applyAlignment="1">
      <alignment horizontal="center" vertical="center"/>
    </xf>
    <xf numFmtId="0" fontId="24" fillId="0" borderId="47" xfId="0" applyFont="1" applyBorder="1" applyAlignment="1">
      <alignment horizontal="center" vertical="center"/>
    </xf>
    <xf numFmtId="0" fontId="24" fillId="0" borderId="48" xfId="0" applyFont="1" applyBorder="1" applyAlignment="1">
      <alignment horizontal="center" vertical="center"/>
    </xf>
    <xf numFmtId="0" fontId="24" fillId="0" borderId="49" xfId="0" applyFont="1" applyBorder="1" applyAlignment="1">
      <alignment horizontal="center" vertical="center"/>
    </xf>
    <xf numFmtId="0" fontId="0" fillId="17" borderId="36" xfId="0" applyFill="1" applyBorder="1" applyAlignment="1">
      <alignment horizontal="left"/>
    </xf>
    <xf numFmtId="0" fontId="0" fillId="17" borderId="37" xfId="0" applyFill="1" applyBorder="1" applyAlignment="1">
      <alignment horizontal="left"/>
    </xf>
    <xf numFmtId="0" fontId="32" fillId="27" borderId="39" xfId="0" applyFont="1" applyFill="1" applyBorder="1" applyAlignment="1">
      <alignment horizontal="center" vertical="center"/>
    </xf>
    <xf numFmtId="0" fontId="32" fillId="27" borderId="40" xfId="0" applyFont="1" applyFill="1" applyBorder="1" applyAlignment="1">
      <alignment horizontal="center" vertical="center"/>
    </xf>
    <xf numFmtId="0" fontId="32" fillId="27" borderId="41" xfId="0" applyFont="1" applyFill="1" applyBorder="1" applyAlignment="1">
      <alignment horizontal="center" vertical="center"/>
    </xf>
    <xf numFmtId="0" fontId="0" fillId="26" borderId="36" xfId="0" applyFill="1" applyBorder="1" applyAlignment="1">
      <alignment horizontal="left"/>
    </xf>
    <xf numFmtId="0" fontId="0" fillId="26" borderId="37" xfId="0" applyFill="1" applyBorder="1" applyAlignment="1">
      <alignment horizontal="left"/>
    </xf>
    <xf numFmtId="0" fontId="27" fillId="24" borderId="17" xfId="0" applyFont="1" applyFill="1" applyBorder="1" applyAlignment="1">
      <alignment horizontal="center" vertical="center"/>
    </xf>
    <xf numFmtId="0" fontId="27" fillId="24" borderId="18" xfId="0" applyFont="1" applyFill="1" applyBorder="1" applyAlignment="1">
      <alignment horizontal="center" vertical="center"/>
    </xf>
    <xf numFmtId="0" fontId="27" fillId="24" borderId="16" xfId="0" applyFont="1" applyFill="1" applyBorder="1" applyAlignment="1">
      <alignment horizontal="center" vertical="center"/>
    </xf>
    <xf numFmtId="0" fontId="27" fillId="24" borderId="20" xfId="0" applyFont="1" applyFill="1" applyBorder="1" applyAlignment="1">
      <alignment horizontal="center" vertical="center"/>
    </xf>
    <xf numFmtId="0" fontId="27" fillId="24" borderId="19" xfId="0" applyFont="1" applyFill="1" applyBorder="1" applyAlignment="1">
      <alignment horizontal="center" vertical="center"/>
    </xf>
    <xf numFmtId="0" fontId="27" fillId="24" borderId="24" xfId="0" applyFont="1" applyFill="1" applyBorder="1" applyAlignment="1">
      <alignment horizontal="center" vertical="center"/>
    </xf>
    <xf numFmtId="0" fontId="27" fillId="24" borderId="25" xfId="0" applyFont="1" applyFill="1" applyBorder="1" applyAlignment="1">
      <alignment horizontal="center" vertical="center"/>
    </xf>
  </cellXfs>
  <cellStyles count="20">
    <cellStyle name="Accent" xfId="2" xr:uid="{8C12F157-22BF-124B-9F04-A9A081ECCBD3}"/>
    <cellStyle name="Accent 1" xfId="3" xr:uid="{8DCD8EFD-20B5-AB4C-8AD8-EB2E89BDD5D7}"/>
    <cellStyle name="Accent 2" xfId="4" xr:uid="{B027E7AF-424D-C546-BD69-7C0197AEA27D}"/>
    <cellStyle name="Accent 3" xfId="5" xr:uid="{06B1FF66-3D81-6E4E-B2E4-BA3CE91BB304}"/>
    <cellStyle name="Bad" xfId="6" xr:uid="{9A93CDE5-6292-7547-8439-9F83957B6859}"/>
    <cellStyle name="Default" xfId="7" xr:uid="{3EA4C102-0006-144E-83D8-2F30B7508219}"/>
    <cellStyle name="Error" xfId="8" xr:uid="{E066EB68-CDCD-9048-B459-AE828F59D0C4}"/>
    <cellStyle name="Footnote" xfId="9" xr:uid="{E1E18FDE-483F-F542-A946-4F45F7525905}"/>
    <cellStyle name="Good" xfId="10" xr:uid="{21394188-21FB-3A43-9703-34A8D42018DB}"/>
    <cellStyle name="Heading" xfId="11" xr:uid="{B364513B-33A0-014A-89B1-E55944610CA2}"/>
    <cellStyle name="Heading 1" xfId="12" xr:uid="{0EE0E936-C758-0B44-9F27-789928325B08}"/>
    <cellStyle name="Heading 2" xfId="13" xr:uid="{7AE4B235-21C7-5947-87E0-4950636FB9EE}"/>
    <cellStyle name="Hyperlink" xfId="14" xr:uid="{41A47067-0371-B34F-8BDE-626941C1C272}"/>
    <cellStyle name="Neutral" xfId="15" xr:uid="{91968EE9-A5AB-3445-B5DE-BE9C4F12C291}"/>
    <cellStyle name="Normal" xfId="0" builtinId="0" customBuiltin="1"/>
    <cellStyle name="Note" xfId="1" builtinId="10" customBuiltin="1"/>
    <cellStyle name="Result" xfId="16" xr:uid="{04692970-0A81-1B49-8746-D22CF300A1F0}"/>
    <cellStyle name="Status" xfId="17" xr:uid="{6CCD03E5-A06D-F746-A833-D47355A84455}"/>
    <cellStyle name="Text" xfId="18" xr:uid="{C4A568BA-FC23-8B42-9BEE-9EAF5F500DA4}"/>
    <cellStyle name="Warning" xfId="19" xr:uid="{6A33F19D-67C6-944A-B305-C1DB496A8BAE}"/>
  </cellStyles>
  <dxfs count="38"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top style="thin">
          <color theme="4" tint="0.39997558519241921"/>
        </top>
        <bottom style="thin">
          <color theme="4" tint="0.39997558519241921"/>
        </bottom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rlito"/>
        <scheme val="none"/>
      </font>
      <fill>
        <patternFill patternType="solid">
          <fgColor indexed="64"/>
          <bgColor rgb="FF1F4E78"/>
        </patternFill>
      </fill>
      <alignment horizontal="center" vertical="center" textRotation="0" wrapText="1" indent="0" justifyLastLine="0" shrinkToFit="0" readingOrder="0"/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top style="thin">
          <color theme="4" tint="0.39997558519241921"/>
        </top>
        <bottom style="thin">
          <color theme="4" tint="0.39997558519241921"/>
        </bottom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rlito"/>
        <scheme val="none"/>
      </font>
      <fill>
        <patternFill patternType="solid">
          <fgColor indexed="64"/>
          <bgColor rgb="FF1F4E78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rlito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1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rlito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1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rlito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1" indent="0" justifyLastLine="0" shrinkToFit="0" readingOrder="0"/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rlito"/>
        <scheme val="none"/>
      </font>
      <fill>
        <patternFill patternType="solid">
          <fgColor indexed="64"/>
          <bgColor rgb="FF1F4E78"/>
        </patternFill>
      </fill>
      <alignment horizontal="center" vertical="center" textRotation="0" wrapText="1" indent="0" justifyLastLine="0" shrinkToFit="0" readingOrder="0"/>
    </dxf>
    <dxf>
      <numFmt numFmtId="0" formatCode="General"/>
    </dxf>
    <dxf>
      <numFmt numFmtId="0" formatCode="General"/>
    </dxf>
    <dxf>
      <font>
        <strike val="0"/>
        <color auto="1"/>
      </font>
      <fill>
        <patternFill>
          <fgColor auto="1"/>
          <bgColor theme="9" tint="0.79995117038483843"/>
        </patternFill>
      </fill>
    </dxf>
    <dxf>
      <font>
        <strike val="0"/>
        <color auto="1"/>
      </font>
      <fill>
        <patternFill>
          <fgColor auto="1"/>
          <bgColor theme="9" tint="0.79995117038483843"/>
        </patternFill>
      </fill>
    </dxf>
    <dxf>
      <numFmt numFmtId="19" formatCode="dd/mm/yyyy"/>
    </dxf>
    <dxf>
      <numFmt numFmtId="27" formatCode="dd/mm/yyyy\ hh:mm"/>
    </dxf>
    <dxf>
      <numFmt numFmtId="31" formatCode="[h]:mm:ss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</dxfs>
  <tableStyles count="0" defaultTableStyle="TableStyleMedium2" defaultPivotStyle="PivotStyleLight16"/>
  <colors>
    <mruColors>
      <color rgb="FF4DA72E"/>
      <color rgb="FF3C8224"/>
      <color rgb="FF54E8DD"/>
      <color rgb="FF0FDF27"/>
      <color rgb="FF00FFEA"/>
      <color rgb="FFFF9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88900</xdr:colOff>
      <xdr:row>21</xdr:row>
      <xdr:rowOff>76200</xdr:rowOff>
    </xdr:from>
    <xdr:to>
      <xdr:col>2</xdr:col>
      <xdr:colOff>1625600</xdr:colOff>
      <xdr:row>24</xdr:row>
      <xdr:rowOff>25400</xdr:rowOff>
    </xdr:to>
    <xdr:sp macro="[0]!CreerFichierMatch" textlink="">
      <xdr:nvSpPr>
        <xdr:cNvPr id="2" name="BTN_CREER_FICHIER_MATCH">
          <a:extLst>
            <a:ext uri="{FF2B5EF4-FFF2-40B4-BE49-F238E27FC236}">
              <a16:creationId xmlns:a16="http://schemas.microsoft.com/office/drawing/2014/main" id="{37B50303-B735-E35D-5822-7750849B5A6B}"/>
            </a:ext>
          </a:extLst>
        </xdr:cNvPr>
        <xdr:cNvSpPr/>
      </xdr:nvSpPr>
      <xdr:spPr>
        <a:xfrm>
          <a:off x="723900" y="3784600"/>
          <a:ext cx="2895600" cy="444500"/>
        </a:xfrm>
        <a:prstGeom prst="roundRect">
          <a:avLst/>
        </a:prstGeom>
        <a:solidFill>
          <a:srgbClr val="4DA72E"/>
        </a:solidFill>
        <a:ln>
          <a:solidFill>
            <a:srgbClr val="4DA72E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600"/>
            <a:t>Créer le fichier de match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104775</xdr:colOff>
      <xdr:row>46</xdr:row>
      <xdr:rowOff>206375</xdr:rowOff>
    </xdr:from>
    <xdr:to>
      <xdr:col>5</xdr:col>
      <xdr:colOff>714375</xdr:colOff>
      <xdr:row>46</xdr:row>
      <xdr:rowOff>904875</xdr:rowOff>
    </xdr:to>
    <xdr:sp macro="[0]!ConnecterVideo" textlink="">
      <xdr:nvSpPr>
        <xdr:cNvPr id="2" name="BTN_CONNECTER_VIDEO">
          <a:extLst>
            <a:ext uri="{FF2B5EF4-FFF2-40B4-BE49-F238E27FC236}">
              <a16:creationId xmlns:a16="http://schemas.microsoft.com/office/drawing/2014/main" id="{FC82E7DA-7143-9244-8319-DD90B3A9674E}"/>
            </a:ext>
          </a:extLst>
        </xdr:cNvPr>
        <xdr:cNvSpPr/>
      </xdr:nvSpPr>
      <xdr:spPr>
        <a:xfrm>
          <a:off x="454025" y="12874625"/>
          <a:ext cx="1768475" cy="698500"/>
        </a:xfrm>
        <a:prstGeom prst="roundRect">
          <a:avLst/>
        </a:prstGeom>
        <a:solidFill>
          <a:srgbClr val="2F7E20"/>
        </a:solidFill>
        <a:ln>
          <a:solidFill>
            <a:srgbClr val="1F5A1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fr-FR" sz="1600">
              <a:solidFill>
                <a:srgbClr val="FFFFFF"/>
              </a:solidFill>
              <a:latin typeface="+mn-lt"/>
              <a:ea typeface="+mn-ea"/>
              <a:cs typeface="+mn-cs"/>
            </a:rPr>
            <a:t>Connecter lecteur vidéo</a:t>
          </a:r>
        </a:p>
      </xdr:txBody>
    </xdr:sp>
    <xdr:clientData/>
  </xdr:twoCellAnchor>
  <xdr:twoCellAnchor>
    <xdr:from>
      <xdr:col>7</xdr:col>
      <xdr:colOff>126999</xdr:colOff>
      <xdr:row>46</xdr:row>
      <xdr:rowOff>263525</xdr:rowOff>
    </xdr:from>
    <xdr:to>
      <xdr:col>14</xdr:col>
      <xdr:colOff>38099</xdr:colOff>
      <xdr:row>46</xdr:row>
      <xdr:rowOff>1063625</xdr:rowOff>
    </xdr:to>
    <xdr:sp macro="" textlink="">
      <xdr:nvSpPr>
        <xdr:cNvPr id="3" name="ETAT_CONNEXION_VIDEO">
          <a:extLst>
            <a:ext uri="{FF2B5EF4-FFF2-40B4-BE49-F238E27FC236}">
              <a16:creationId xmlns:a16="http://schemas.microsoft.com/office/drawing/2014/main" id="{98B939E8-AC03-1E46-8B78-5DC0844DC765}"/>
            </a:ext>
          </a:extLst>
        </xdr:cNvPr>
        <xdr:cNvSpPr/>
      </xdr:nvSpPr>
      <xdr:spPr>
        <a:xfrm>
          <a:off x="2603499" y="12931775"/>
          <a:ext cx="3641725" cy="800100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100">
              <a:solidFill>
                <a:schemeClr val="tx1"/>
              </a:solidFill>
            </a:rPr>
            <a:t>Google Chrome connecté</a:t>
          </a:r>
        </a:p>
      </xdr:txBody>
    </xdr:sp>
    <xdr:clientData/>
  </xdr:twoCellAnchor>
  <xdr:twoCellAnchor>
    <xdr:from>
      <xdr:col>6</xdr:col>
      <xdr:colOff>95250</xdr:colOff>
      <xdr:row>46</xdr:row>
      <xdr:rowOff>352425</xdr:rowOff>
    </xdr:from>
    <xdr:to>
      <xdr:col>7</xdr:col>
      <xdr:colOff>130175</xdr:colOff>
      <xdr:row>46</xdr:row>
      <xdr:rowOff>526161</xdr:rowOff>
    </xdr:to>
    <xdr:sp macro="" textlink="">
      <xdr:nvSpPr>
        <xdr:cNvPr id="4" name="PASTILLE_CONNEXION_VIDEO">
          <a:extLst>
            <a:ext uri="{FF2B5EF4-FFF2-40B4-BE49-F238E27FC236}">
              <a16:creationId xmlns:a16="http://schemas.microsoft.com/office/drawing/2014/main" id="{62BF7106-59C4-2C46-B850-2E01299234BA}"/>
            </a:ext>
          </a:extLst>
        </xdr:cNvPr>
        <xdr:cNvSpPr/>
      </xdr:nvSpPr>
      <xdr:spPr>
        <a:xfrm>
          <a:off x="2428875" y="13020675"/>
          <a:ext cx="177800" cy="173736"/>
        </a:xfrm>
        <a:prstGeom prst="ellipse">
          <a:avLst/>
        </a:prstGeom>
        <a:solidFill>
          <a:srgbClr val="28A745"/>
        </a:solidFill>
        <a:ln>
          <a:solidFill>
            <a:srgbClr val="28A74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254000</xdr:colOff>
      <xdr:row>1</xdr:row>
      <xdr:rowOff>139700</xdr:rowOff>
    </xdr:from>
    <xdr:to>
      <xdr:col>6</xdr:col>
      <xdr:colOff>812800</xdr:colOff>
      <xdr:row>4</xdr:row>
      <xdr:rowOff>63500</xdr:rowOff>
    </xdr:to>
    <xdr:sp macro="[0]!OuvrirPopupAjouterJoueur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0A1727F0-87D1-5F11-DE28-7A3735B5631B}"/>
            </a:ext>
          </a:extLst>
        </xdr:cNvPr>
        <xdr:cNvSpPr/>
      </xdr:nvSpPr>
      <xdr:spPr>
        <a:xfrm>
          <a:off x="6426200" y="304800"/>
          <a:ext cx="1384300" cy="419100"/>
        </a:xfrm>
        <a:prstGeom prst="roundRect">
          <a:avLst/>
        </a:prstGeom>
        <a:solidFill>
          <a:srgbClr val="4DA72E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/>
            <a:t>Ajouter</a:t>
          </a:r>
          <a:r>
            <a:rPr lang="fr-FR" sz="1100" b="1" baseline="0"/>
            <a:t> un joueur</a:t>
          </a:r>
          <a:endParaRPr lang="fr-FR" sz="1100" b="1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279400</xdr:colOff>
      <xdr:row>26</xdr:row>
      <xdr:rowOff>25400</xdr:rowOff>
    </xdr:from>
    <xdr:to>
      <xdr:col>10</xdr:col>
      <xdr:colOff>685800</xdr:colOff>
      <xdr:row>28</xdr:row>
      <xdr:rowOff>38100</xdr:rowOff>
    </xdr:to>
    <xdr:sp macro="[0]!ValiderPopupAjouterJoueur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84505B72-C8D7-5167-1ECD-9992154343A8}"/>
            </a:ext>
          </a:extLst>
        </xdr:cNvPr>
        <xdr:cNvSpPr/>
      </xdr:nvSpPr>
      <xdr:spPr>
        <a:xfrm>
          <a:off x="8940800" y="4318000"/>
          <a:ext cx="749300" cy="342900"/>
        </a:xfrm>
        <a:prstGeom prst="roundRect">
          <a:avLst/>
        </a:prstGeom>
        <a:solidFill>
          <a:srgbClr val="4DA72E"/>
        </a:solidFill>
        <a:ln>
          <a:solidFill>
            <a:srgbClr val="4DA72E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Ajouter</a:t>
          </a:r>
        </a:p>
      </xdr:txBody>
    </xdr:sp>
    <xdr:clientData/>
  </xdr:twoCellAnchor>
  <xdr:twoCellAnchor>
    <xdr:from>
      <xdr:col>9</xdr:col>
      <xdr:colOff>266700</xdr:colOff>
      <xdr:row>29</xdr:row>
      <xdr:rowOff>25400</xdr:rowOff>
    </xdr:from>
    <xdr:to>
      <xdr:col>10</xdr:col>
      <xdr:colOff>723900</xdr:colOff>
      <xdr:row>31</xdr:row>
      <xdr:rowOff>0</xdr:rowOff>
    </xdr:to>
    <xdr:sp macro="[0]!AnnulerPopupAjouterJoueur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7646DF26-71D5-9669-4481-8D76D5C583E5}"/>
            </a:ext>
          </a:extLst>
        </xdr:cNvPr>
        <xdr:cNvSpPr/>
      </xdr:nvSpPr>
      <xdr:spPr>
        <a:xfrm>
          <a:off x="8928100" y="4813300"/>
          <a:ext cx="800100" cy="3048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Annuler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D3756BE4-92E7-4947-91EF-BBE57EFF13F8}" name="COMPO" displayName="COMPO" ref="E6:H28" totalsRowShown="0" tableBorderDxfId="37">
  <autoFilter ref="E6:H28" xr:uid="{D3756BE4-92E7-4947-91EF-BBE57EFF13F8}"/>
  <tableColumns count="4">
    <tableColumn id="1" xr3:uid="{EA03E9A9-04D0-3047-BC15-336318EE9B9D}" name="Poste"/>
    <tableColumn id="2" xr3:uid="{856A43E9-70B2-6E47-8858-94DE48B1839A}" name="Nom du joueur"/>
    <tableColumn id="4" xr3:uid="{62914EDB-413E-EA42-AD3A-7CB019F63518}" name="Avant ou 3/4"/>
    <tableColumn id="5" xr3:uid="{A2741B2D-0F30-7E42-A289-425898538D06}" name="temps de jeu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74E98FB-BCE1-0347-AD79-C8025C407DEC}" name="JournalActions" displayName="JournalActions" ref="A1:Q2" totalsRowShown="0">
  <autoFilter ref="A1:Q2" xr:uid="{274E98FB-BCE1-0347-AD79-C8025C407DEC}"/>
  <tableColumns count="17">
    <tableColumn id="1" xr3:uid="{1C6F1113-17EB-A449-86BF-30B1CE9CAC0A}" name="Temps vidéo" dataDxfId="36"/>
    <tableColumn id="2" xr3:uid="{BB9E6042-63C4-8B44-A680-A0834418DCFD}" name="Mi-temps"/>
    <tableColumn id="3" xr3:uid="{FB582DC9-C560-C540-90DE-BC2A7F7642FF}" name="Joueur"/>
    <tableColumn id="9" xr3:uid="{E2EB226B-738E-5341-B46D-5645BE156C0D}" name="Groupe fautif"/>
    <tableColumn id="4" xr3:uid="{6910E752-45B7-C043-8391-986DAF08BB3C}" name="Action"/>
    <tableColumn id="5" xr3:uid="{30C078D3-FD8C-8941-89C1-432BFE9E81DC}" name="Motif pénalité"/>
    <tableColumn id="6" xr3:uid="{C6EC9A52-8158-7E4E-83E9-3584CD43B936}" name="Possession"/>
    <tableColumn id="7" xr3:uid="{834BAE38-B2DD-5F48-A00F-7B1113FB82E0}" name="Commentaire"/>
    <tableColumn id="8" xr3:uid="{E20C89CF-9EAF-2342-8190-77C66BCF3B42}" name="Horodatage saisie" dataDxfId="35"/>
    <tableColumn id="10" xr3:uid="{3EE428A6-32C2-F147-8C8E-3AEEE1B1AE6F}" name="ID match"/>
    <tableColumn id="11" xr3:uid="{9FC9DA5A-0ABC-CB4D-81B7-5108D1287F16}" name="Saison"/>
    <tableColumn id="12" xr3:uid="{35EAF0A6-63AD-F345-8AB6-13F20608EAD0}" name="Date match" dataDxfId="34"/>
    <tableColumn id="13" xr3:uid="{49D27AB2-B48F-EA44-90FF-87E3AFEDED72}" name="Adversaire"/>
    <tableColumn id="14" xr3:uid="{691DE690-946C-A542-9588-6EE22F7B62B1}" name="Lieu"/>
    <tableColumn id="15" xr3:uid="{18F5C68C-DE2A-9841-B274-25AAC1CB731D}" name="Phase"/>
    <tableColumn id="16" xr3:uid="{450F8E86-8FE6-0045-A0C0-129879D2D934}" name="Journée"/>
    <tableColumn id="17" xr3:uid="{322579C2-0E95-2F43-8BE1-43F51C43C350}" name="Résultat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BC8D92C-BAC5-B84A-942F-9991F3427889}" name="LstEffectif" displayName="LstEffectif" ref="A1:E24" totalsRowShown="0">
  <autoFilter ref="A1:E24" xr:uid="{DBC8D92C-BAC5-B84A-942F-9991F3427889}"/>
  <sortState xmlns:xlrd2="http://schemas.microsoft.com/office/spreadsheetml/2017/richdata2" ref="A2:D23">
    <sortCondition ref="B1:B23"/>
  </sortState>
  <tableColumns count="5">
    <tableColumn id="1" xr3:uid="{85EDFBC5-8A9C-C242-B7F2-D31BF1334751}" name="id"/>
    <tableColumn id="2" xr3:uid="{0C1B8A30-A3B8-DA4D-B893-C4C99FF33E90}" name="nom"/>
    <tableColumn id="3" xr3:uid="{8AE5AF32-0026-9B41-8B0B-16B9ED0F3727}" name="prenom"/>
    <tableColumn id="4" xr3:uid="{4CE41A86-7158-6B42-B932-A5275F10AB48}" name="prenom NOM" dataDxfId="31">
      <calculatedColumnFormula>LstEffectif[[#This Row],[prenom]] &amp; " " &amp; LstEffectif[[#This Row],[nom]]</calculatedColumnFormula>
    </tableColumn>
    <tableColumn id="5" xr3:uid="{EB017694-E6D2-7440-91BF-61113926AB7D}" name="NOM Prénom" dataDxfId="30">
      <calculatedColumnFormula>LstEffectif[[#This Row],[nom]] &amp; " " &amp; LstEffectif[[#This Row],[prenom]]</calculatedColumnFormula>
    </tableColumn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6D1F5F0A-5FD5-AC4E-A195-33A78A5E0E58}" name="TblActionsJournal" displayName="TblActionsJournal" ref="Q1:R35" totalsRowShown="0" headerRowDxfId="29" dataDxfId="27" headerRowBorderDxfId="28" tableBorderDxfId="26" totalsRowBorderDxfId="25">
  <autoFilter ref="Q1:R35" xr:uid="{6D1F5F0A-5FD5-AC4E-A195-33A78A5E0E58}"/>
  <tableColumns count="2">
    <tableColumn id="1" xr3:uid="{8A0D5429-5616-B849-BD27-167A576FE99E}" name="Nom de cellule à créer" dataDxfId="24"/>
    <tableColumn id="2" xr3:uid="{19545507-672A-9F40-8818-E4C9060AA52B}" name="Libellé" dataDxfId="23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B8C62D80-770F-3946-AD82-347B6A7ECFCE}" name="TblMTJournal" displayName="TblMTJournal" ref="I5:I7" totalsRowShown="0" headerRowDxfId="22" headerRowBorderDxfId="21" tableBorderDxfId="20" totalsRowBorderDxfId="19">
  <autoFilter ref="I5:I7" xr:uid="{B8C62D80-770F-3946-AD82-347B6A7ECFCE}"/>
  <tableColumns count="1">
    <tableColumn id="1" xr3:uid="{F415A74A-D2C3-8A43-ABDD-66FDE9C19538}" name="LISTE_MT_JOURNAL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323D7D7C-137F-E94A-BA0B-2518345251B7}" name="TblEquipesJournal" displayName="TblEquipesJournal" ref="I1:I3" totalsRowShown="0" headerRowDxfId="18" headerRowBorderDxfId="17" tableBorderDxfId="16" totalsRowBorderDxfId="15">
  <autoFilter ref="I1:I3" xr:uid="{323D7D7C-137F-E94A-BA0B-2518345251B7}"/>
  <tableColumns count="1">
    <tableColumn id="1" xr3:uid="{7CCADFBF-889D-204A-A382-A874BDAF58FA}" name="LISTE_EQUIPES_JOURNAL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CC940AF9-E81A-F746-8EAD-392809C3CFBE}" name="TblLecteurVideo" displayName="TblLecteurVideo" ref="I14:I18" totalsRowShown="0" headerRowDxfId="14" dataDxfId="13">
  <autoFilter ref="I14:I18" xr:uid="{CC940AF9-E81A-F746-8EAD-392809C3CFBE}"/>
  <tableColumns count="1">
    <tableColumn id="1" xr3:uid="{816CA1DF-3681-2948-A622-26353E2B9A97}" name="LISTE_LECTEUR_VIDEO" dataDxfId="12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10677972-8008-8F43-9CE8-795A65A91EE1}" name="LstLignePoste" displayName="LstLignePoste" ref="N1:N3" totalsRowShown="0">
  <autoFilter ref="N1:N3" xr:uid="{10677972-8008-8F43-9CE8-795A65A91EE1}"/>
  <tableColumns count="1">
    <tableColumn id="1" xr3:uid="{A5A95A53-246B-1848-90BD-5E21FAC4AF9C}" name="AVANT_OU_ARRIERE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37D6424-D1EC-894D-B963-D36ABCA682C4}" name="LstEquipesPoule" displayName="LstEquipesPoule" ref="A1:A9" totalsRowShown="0">
  <autoFilter ref="A1:A9" xr:uid="{037D6424-D1EC-894D-B963-D36ABCA682C4}"/>
  <tableColumns count="1">
    <tableColumn id="1" xr3:uid="{63806632-B9ED-294D-800A-F2FDB2EC48D2}" name="EQUIPES_POULE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61FC7709-08E5-D048-A38B-441B18CF5D35}" name="LstLieuxMatch" displayName="LstLieuxMatch" ref="C1:C4" totalsRowShown="0" headerRowDxfId="11" dataDxfId="10">
  <autoFilter ref="C1:C4" xr:uid="{61FC7709-08E5-D048-A38B-441B18CF5D35}"/>
  <tableColumns count="1">
    <tableColumn id="1" xr3:uid="{C41B523D-40DA-AF48-A2C2-015B04960B0A}" name="LIEU_MATCH" dataDxfId="9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86EA01CF-5567-6445-9906-AD2B60CA0A8A}" name="LstPhases" displayName="LstPhases" ref="C6:C9" totalsRowShown="0" headerRowDxfId="8" dataDxfId="7">
  <autoFilter ref="C6:C9" xr:uid="{86EA01CF-5567-6445-9906-AD2B60CA0A8A}"/>
  <tableColumns count="1">
    <tableColumn id="1" xr3:uid="{B57F8324-6F25-7B40-9B20-1BFDF9708631}" name="PHASE" dataDxfId="6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DAA9B017-78F0-D447-B788-CF8333AEAC38}" name="Tableau14" displayName="Tableau14" ref="C11:C14" totalsRowShown="0" headerRowDxfId="5" dataDxfId="4">
  <autoFilter ref="C11:C14" xr:uid="{DAA9B017-78F0-D447-B788-CF8333AEAC38}"/>
  <tableColumns count="1">
    <tableColumn id="1" xr3:uid="{C5E86C3D-762A-054E-B864-5A67DBB9A8CA}" name="RESULTAT" dataDxfId="3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F661D9E2-619C-DA44-92C5-8A09E8E281AC}" name="LstEquipesClub" displayName="LstEquipesClub" ref="C16:C20" totalsRowShown="0" headerRowDxfId="2" dataDxfId="1">
  <autoFilter ref="C16:C20" xr:uid="{F661D9E2-619C-DA44-92C5-8A09E8E281AC}"/>
  <tableColumns count="1">
    <tableColumn id="1" xr3:uid="{ADD3AF05-089E-D149-9728-7C2A6F62FA22}" name="EQUIPE_NIV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1.xml"/><Relationship Id="rId3" Type="http://schemas.openxmlformats.org/officeDocument/2006/relationships/table" Target="../tables/table6.xml"/><Relationship Id="rId7" Type="http://schemas.openxmlformats.org/officeDocument/2006/relationships/table" Target="../tables/table10.xml"/><Relationship Id="rId2" Type="http://schemas.openxmlformats.org/officeDocument/2006/relationships/table" Target="../tables/table5.xml"/><Relationship Id="rId1" Type="http://schemas.openxmlformats.org/officeDocument/2006/relationships/table" Target="../tables/table4.xml"/><Relationship Id="rId6" Type="http://schemas.openxmlformats.org/officeDocument/2006/relationships/table" Target="../tables/table9.xml"/><Relationship Id="rId5" Type="http://schemas.openxmlformats.org/officeDocument/2006/relationships/table" Target="../tables/table8.xml"/><Relationship Id="rId10" Type="http://schemas.openxmlformats.org/officeDocument/2006/relationships/table" Target="../tables/table13.xml"/><Relationship Id="rId4" Type="http://schemas.openxmlformats.org/officeDocument/2006/relationships/table" Target="../tables/table7.xml"/><Relationship Id="rId9" Type="http://schemas.openxmlformats.org/officeDocument/2006/relationships/table" Target="../tables/table1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B60976-CCCF-6B43-9472-2E520DB7F0C7}">
  <sheetPr codeName="Feuil5"/>
  <dimension ref="B1:AA59"/>
  <sheetViews>
    <sheetView workbookViewId="0"/>
  </sheetViews>
  <sheetFormatPr baseColWidth="10" defaultRowHeight="13"/>
  <cols>
    <col min="1" max="1" width="8.33203125" bestFit="1" customWidth="1"/>
    <col min="2" max="2" width="17.83203125" customWidth="1"/>
    <col min="3" max="3" width="24.83203125" customWidth="1"/>
    <col min="4" max="4" width="14.1640625" bestFit="1" customWidth="1"/>
    <col min="5" max="5" width="8.33203125" bestFit="1" customWidth="1"/>
    <col min="6" max="6" width="19.1640625" bestFit="1" customWidth="1"/>
    <col min="7" max="7" width="13.83203125" bestFit="1" customWidth="1"/>
    <col min="8" max="8" width="14.1640625" bestFit="1" customWidth="1"/>
    <col min="26" max="26" width="19.1640625" hidden="1" customWidth="1"/>
    <col min="27" max="27" width="0" hidden="1" customWidth="1"/>
  </cols>
  <sheetData>
    <row r="1" spans="2:27" ht="14" thickBot="1">
      <c r="Z1" t="s">
        <v>260</v>
      </c>
      <c r="AA1" t="s">
        <v>260</v>
      </c>
    </row>
    <row r="2" spans="2:27" ht="19" customHeight="1">
      <c r="B2" s="146" t="s">
        <v>404</v>
      </c>
      <c r="C2" s="146"/>
      <c r="E2" s="147" t="s">
        <v>405</v>
      </c>
      <c r="F2" s="148"/>
      <c r="G2" s="148"/>
      <c r="H2" s="149"/>
      <c r="Z2" t="s">
        <v>266</v>
      </c>
      <c r="AA2" t="s">
        <v>266</v>
      </c>
    </row>
    <row r="3" spans="2:27" ht="19" customHeight="1">
      <c r="B3" s="146"/>
      <c r="C3" s="146"/>
      <c r="E3" s="150"/>
      <c r="F3" s="151"/>
      <c r="G3" s="151"/>
      <c r="H3" s="152"/>
      <c r="Z3" t="s">
        <v>275</v>
      </c>
      <c r="AA3" t="s">
        <v>275</v>
      </c>
    </row>
    <row r="4" spans="2:27" ht="19" customHeight="1" thickBot="1">
      <c r="B4" s="146"/>
      <c r="C4" s="146"/>
      <c r="E4" s="153"/>
      <c r="F4" s="154"/>
      <c r="G4" s="154"/>
      <c r="H4" s="155"/>
      <c r="Z4" t="s">
        <v>276</v>
      </c>
      <c r="AA4" t="s">
        <v>276</v>
      </c>
    </row>
    <row r="5" spans="2:27">
      <c r="Z5" t="s">
        <v>273</v>
      </c>
      <c r="AA5" t="s">
        <v>273</v>
      </c>
    </row>
    <row r="6" spans="2:27">
      <c r="B6" s="122" t="s">
        <v>373</v>
      </c>
      <c r="C6" s="123" t="s">
        <v>372</v>
      </c>
      <c r="E6" t="s">
        <v>189</v>
      </c>
      <c r="F6" t="s">
        <v>190</v>
      </c>
      <c r="G6" t="s">
        <v>339</v>
      </c>
      <c r="H6" t="s">
        <v>338</v>
      </c>
      <c r="Z6" t="s">
        <v>261</v>
      </c>
      <c r="AA6" t="s">
        <v>261</v>
      </c>
    </row>
    <row r="7" spans="2:27">
      <c r="E7">
        <v>1</v>
      </c>
      <c r="F7" t="s">
        <v>257</v>
      </c>
      <c r="G7" t="s">
        <v>341</v>
      </c>
      <c r="Z7" t="s">
        <v>267</v>
      </c>
      <c r="AA7" t="s">
        <v>267</v>
      </c>
    </row>
    <row r="8" spans="2:27">
      <c r="B8" s="122" t="s">
        <v>413</v>
      </c>
      <c r="C8" s="123">
        <v>46290</v>
      </c>
      <c r="E8">
        <v>2</v>
      </c>
      <c r="F8" t="s">
        <v>258</v>
      </c>
      <c r="G8" t="s">
        <v>341</v>
      </c>
      <c r="Z8" t="s">
        <v>277</v>
      </c>
      <c r="AA8" t="s">
        <v>277</v>
      </c>
    </row>
    <row r="9" spans="2:27">
      <c r="E9">
        <v>3</v>
      </c>
      <c r="F9" t="s">
        <v>259</v>
      </c>
      <c r="G9" t="s">
        <v>341</v>
      </c>
      <c r="Z9" t="s">
        <v>257</v>
      </c>
      <c r="AA9" t="s">
        <v>257</v>
      </c>
    </row>
    <row r="10" spans="2:27">
      <c r="B10" s="122" t="s">
        <v>374</v>
      </c>
      <c r="C10" s="123" t="s">
        <v>384</v>
      </c>
      <c r="E10">
        <v>4</v>
      </c>
      <c r="F10" t="s">
        <v>260</v>
      </c>
      <c r="G10" t="s">
        <v>341</v>
      </c>
      <c r="Z10" t="s">
        <v>258</v>
      </c>
      <c r="AA10" t="s">
        <v>258</v>
      </c>
    </row>
    <row r="11" spans="2:27">
      <c r="E11">
        <v>5</v>
      </c>
      <c r="F11" t="s">
        <v>261</v>
      </c>
      <c r="G11" t="s">
        <v>341</v>
      </c>
      <c r="Z11" t="s">
        <v>268</v>
      </c>
      <c r="AA11" t="s">
        <v>268</v>
      </c>
    </row>
    <row r="12" spans="2:27">
      <c r="B12" s="122" t="s">
        <v>412</v>
      </c>
      <c r="C12" s="123" t="s">
        <v>389</v>
      </c>
      <c r="E12">
        <v>6</v>
      </c>
      <c r="F12" t="s">
        <v>262</v>
      </c>
      <c r="G12" t="s">
        <v>341</v>
      </c>
      <c r="Z12" t="s">
        <v>278</v>
      </c>
      <c r="AA12" t="s">
        <v>278</v>
      </c>
    </row>
    <row r="13" spans="2:27">
      <c r="E13">
        <v>7</v>
      </c>
      <c r="F13" t="s">
        <v>263</v>
      </c>
      <c r="G13" t="s">
        <v>341</v>
      </c>
      <c r="Z13" t="s">
        <v>270</v>
      </c>
      <c r="AA13" t="s">
        <v>270</v>
      </c>
    </row>
    <row r="14" spans="2:27">
      <c r="B14" s="122" t="s">
        <v>375</v>
      </c>
      <c r="C14" s="123" t="s">
        <v>370</v>
      </c>
      <c r="E14">
        <v>8</v>
      </c>
      <c r="F14" t="s">
        <v>264</v>
      </c>
      <c r="G14" t="s">
        <v>341</v>
      </c>
      <c r="Z14" t="s">
        <v>269</v>
      </c>
      <c r="AA14" t="s">
        <v>269</v>
      </c>
    </row>
    <row r="15" spans="2:27">
      <c r="C15" s="124"/>
      <c r="E15" s="107">
        <v>9</v>
      </c>
      <c r="F15" s="107" t="s">
        <v>265</v>
      </c>
      <c r="G15" s="107" t="s">
        <v>359</v>
      </c>
      <c r="H15" s="107"/>
      <c r="Z15" t="s">
        <v>259</v>
      </c>
      <c r="AA15" t="s">
        <v>259</v>
      </c>
    </row>
    <row r="16" spans="2:27">
      <c r="B16" s="122" t="s">
        <v>376</v>
      </c>
      <c r="C16" s="125">
        <v>1</v>
      </c>
      <c r="E16">
        <v>10</v>
      </c>
      <c r="F16" t="s">
        <v>266</v>
      </c>
      <c r="G16" t="s">
        <v>359</v>
      </c>
      <c r="Z16" t="s">
        <v>265</v>
      </c>
      <c r="AA16" t="s">
        <v>265</v>
      </c>
    </row>
    <row r="17" spans="2:27">
      <c r="E17">
        <v>11</v>
      </c>
      <c r="F17" t="s">
        <v>267</v>
      </c>
      <c r="G17" t="s">
        <v>359</v>
      </c>
      <c r="Z17" t="s">
        <v>264</v>
      </c>
      <c r="AA17" t="s">
        <v>264</v>
      </c>
    </row>
    <row r="18" spans="2:27">
      <c r="B18" s="122" t="s">
        <v>377</v>
      </c>
      <c r="C18" s="123" t="s">
        <v>394</v>
      </c>
      <c r="E18">
        <v>12</v>
      </c>
      <c r="F18" t="s">
        <v>268</v>
      </c>
      <c r="G18" t="s">
        <v>359</v>
      </c>
      <c r="Z18" t="s">
        <v>272</v>
      </c>
      <c r="AA18" t="s">
        <v>272</v>
      </c>
    </row>
    <row r="19" spans="2:27">
      <c r="C19" s="124"/>
      <c r="E19">
        <v>13</v>
      </c>
      <c r="F19" t="s">
        <v>269</v>
      </c>
      <c r="G19" t="s">
        <v>359</v>
      </c>
      <c r="Z19" t="s">
        <v>262</v>
      </c>
      <c r="AA19" t="s">
        <v>262</v>
      </c>
    </row>
    <row r="20" spans="2:27">
      <c r="B20" s="122" t="s">
        <v>411</v>
      </c>
      <c r="C20" s="123" t="s">
        <v>407</v>
      </c>
      <c r="E20">
        <v>14</v>
      </c>
      <c r="F20" t="s">
        <v>270</v>
      </c>
      <c r="G20" t="s">
        <v>359</v>
      </c>
      <c r="Z20" t="s">
        <v>263</v>
      </c>
      <c r="AA20" t="s">
        <v>263</v>
      </c>
    </row>
    <row r="21" spans="2:27">
      <c r="E21" s="102">
        <v>15</v>
      </c>
      <c r="F21" s="102" t="s">
        <v>271</v>
      </c>
      <c r="G21" s="102" t="s">
        <v>359</v>
      </c>
      <c r="H21" s="102"/>
      <c r="Z21" t="s">
        <v>271</v>
      </c>
      <c r="AA21" t="s">
        <v>271</v>
      </c>
    </row>
    <row r="22" spans="2:27">
      <c r="E22">
        <v>16</v>
      </c>
      <c r="F22" t="s">
        <v>272</v>
      </c>
      <c r="G22" t="s">
        <v>341</v>
      </c>
      <c r="Z22" t="s">
        <v>274</v>
      </c>
      <c r="AA22" t="s">
        <v>274</v>
      </c>
    </row>
    <row r="23" spans="2:27">
      <c r="E23">
        <v>17</v>
      </c>
      <c r="F23" t="s">
        <v>273</v>
      </c>
      <c r="G23" t="s">
        <v>341</v>
      </c>
      <c r="Z23" t="s">
        <v>119</v>
      </c>
      <c r="AA23" t="s">
        <v>119</v>
      </c>
    </row>
    <row r="24" spans="2:27">
      <c r="E24">
        <v>18</v>
      </c>
      <c r="F24" t="s">
        <v>274</v>
      </c>
      <c r="G24" t="s">
        <v>341</v>
      </c>
      <c r="Z24" t="s">
        <v>88</v>
      </c>
      <c r="AA24" t="s">
        <v>88</v>
      </c>
    </row>
    <row r="25" spans="2:27">
      <c r="E25">
        <v>19</v>
      </c>
      <c r="F25" t="s">
        <v>275</v>
      </c>
      <c r="G25" t="s">
        <v>341</v>
      </c>
    </row>
    <row r="26" spans="2:27">
      <c r="E26">
        <v>20</v>
      </c>
      <c r="F26" t="s">
        <v>276</v>
      </c>
      <c r="G26" t="s">
        <v>359</v>
      </c>
    </row>
    <row r="27" spans="2:27">
      <c r="E27">
        <v>21</v>
      </c>
      <c r="F27" t="s">
        <v>277</v>
      </c>
      <c r="G27" t="s">
        <v>359</v>
      </c>
    </row>
    <row r="28" spans="2:27">
      <c r="E28">
        <v>22</v>
      </c>
      <c r="F28" t="s">
        <v>278</v>
      </c>
      <c r="G28" t="s">
        <v>359</v>
      </c>
    </row>
    <row r="59" spans="2:3">
      <c r="B59" t="s">
        <v>378</v>
      </c>
      <c r="C59" t="s">
        <v>414</v>
      </c>
    </row>
  </sheetData>
  <mergeCells count="2">
    <mergeCell ref="B2:C4"/>
    <mergeCell ref="E2:H4"/>
  </mergeCells>
  <phoneticPr fontId="21" type="noConversion"/>
  <dataValidations count="7">
    <dataValidation type="list" allowBlank="1" showInputMessage="1" showErrorMessage="1" sqref="F7:F28" xr:uid="{7D95346C-CBAC-6743-84C7-A8CE22F7DA4F}">
      <formula1>LST_JOUEURS</formula1>
    </dataValidation>
    <dataValidation type="list" allowBlank="1" showInputMessage="1" showErrorMessage="1" sqref="G7:G28" xr:uid="{178F1CEA-1845-2443-98A3-BC0541626C35}">
      <formula1>AVANT_OU_ARRIERE</formula1>
    </dataValidation>
    <dataValidation type="list" allowBlank="1" showInputMessage="1" showErrorMessage="1" sqref="C10" xr:uid="{F7A7C27F-D003-1E4F-AF79-F53A658AD26A}">
      <formula1>EQUIPES_POULE</formula1>
    </dataValidation>
    <dataValidation type="list" allowBlank="1" showInputMessage="1" showErrorMessage="1" sqref="C12" xr:uid="{6107EDA2-EC1C-E544-8B52-424496E072D8}">
      <formula1>LIEU_MATCH</formula1>
    </dataValidation>
    <dataValidation type="list" allowBlank="1" showInputMessage="1" showErrorMessage="1" sqref="C14" xr:uid="{9507B46F-597C-A643-BAF7-A46B2C035C88}">
      <formula1>PHASE</formula1>
    </dataValidation>
    <dataValidation type="list" allowBlank="1" showInputMessage="1" showErrorMessage="1" sqref="C18" xr:uid="{DB77E999-E38C-8943-80F9-737EC98FD811}">
      <formula1>RESULTAT</formula1>
    </dataValidation>
    <dataValidation type="list" allowBlank="1" showInputMessage="1" showErrorMessage="1" sqref="C20" xr:uid="{C2784C45-6D6D-6C40-B2BA-432DAE632954}">
      <formula1>EQUIPE_NIV</formula1>
    </dataValidation>
  </dataValidations>
  <pageMargins left="0.7" right="0.7" top="0.75" bottom="0.75" header="0.3" footer="0.3"/>
  <drawing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A71A98-B23C-CC42-9091-5CDEE0D942F9}">
  <sheetPr codeName="Feuil2"/>
  <dimension ref="A1:AC2375"/>
  <sheetViews>
    <sheetView workbookViewId="0"/>
  </sheetViews>
  <sheetFormatPr baseColWidth="10" defaultRowHeight="13"/>
  <cols>
    <col min="1" max="1" width="2.6640625" customWidth="1"/>
    <col min="2" max="3" width="1.83203125" customWidth="1"/>
    <col min="4" max="4" width="11.5" customWidth="1"/>
    <col min="5" max="5" width="1.83203125" customWidth="1"/>
    <col min="6" max="6" width="10.83203125" customWidth="1"/>
    <col min="7" max="7" width="1.83203125" customWidth="1"/>
    <col min="8" max="8" width="10.83203125" customWidth="1"/>
    <col min="9" max="9" width="1.83203125" customWidth="1"/>
    <col min="10" max="10" width="10.83203125" customWidth="1"/>
    <col min="11" max="11" width="1.83203125" customWidth="1"/>
    <col min="12" max="12" width="10.83203125" customWidth="1"/>
    <col min="13" max="13" width="1.83203125" customWidth="1"/>
    <col min="14" max="14" width="10.83203125" customWidth="1"/>
    <col min="15" max="16" width="1.83203125" customWidth="1"/>
    <col min="17" max="18" width="12.83203125" customWidth="1"/>
    <col min="19" max="19" width="20" bestFit="1" customWidth="1"/>
    <col min="20" max="20" width="19.1640625" bestFit="1" customWidth="1"/>
    <col min="21" max="21" width="12.83203125" customWidth="1"/>
    <col min="22" max="22" width="15.5" bestFit="1" customWidth="1"/>
    <col min="23" max="23" width="18.5" bestFit="1" customWidth="1"/>
    <col min="24" max="24" width="7.33203125" customWidth="1"/>
    <col min="25" max="25" width="3.33203125" bestFit="1" customWidth="1"/>
    <col min="26" max="26" width="14.5" bestFit="1" customWidth="1"/>
    <col min="27" max="27" width="14.5" customWidth="1"/>
    <col min="29" max="29" width="26.5" bestFit="1" customWidth="1"/>
  </cols>
  <sheetData>
    <row r="1" spans="1:17" ht="39" customHeight="1">
      <c r="A1" s="31" t="s">
        <v>188</v>
      </c>
      <c r="C1" s="138" t="str">
        <f>"Match "&amp;IF('Compo'!C14="Aller","A",IF('Compo'!C14="Retour","R","PF"))&amp;'Compo'!C16&amp;IF('Compo'!C12="Extérieur"," : "&amp;'Compo'!C10&amp;" / MXV"," : MXV / "&amp;'Compo'!C10)</f>
        <v>Match A1 : MXV / Panjas AC</v>
      </c>
      <c r="D1" s="138"/>
      <c r="E1" s="138"/>
      <c r="F1" s="138"/>
      <c r="G1" s="138"/>
      <c r="H1" s="138"/>
      <c r="I1" s="138"/>
      <c r="J1" s="138"/>
      <c r="K1" s="138"/>
      <c r="L1" s="138"/>
      <c r="M1" s="138"/>
      <c r="N1" s="138"/>
      <c r="O1" s="138"/>
      <c r="P1" s="31"/>
      <c r="Q1" s="31"/>
    </row>
    <row r="2" spans="1:17" ht="10" customHeight="1" thickBot="1">
      <c r="A2" s="31"/>
      <c r="B2" s="31"/>
      <c r="C2" s="72"/>
      <c r="D2" s="33"/>
      <c r="E2" s="33"/>
      <c r="F2" s="32"/>
      <c r="G2" s="32"/>
      <c r="H2" s="32"/>
      <c r="I2" s="32"/>
      <c r="J2" s="32"/>
      <c r="K2" s="32"/>
      <c r="L2" s="32"/>
      <c r="M2" s="32"/>
      <c r="N2" s="32"/>
      <c r="O2" s="72"/>
      <c r="P2" s="31"/>
      <c r="Q2" s="31"/>
    </row>
    <row r="3" spans="1:17" ht="10" customHeight="1" thickTop="1">
      <c r="A3" s="31"/>
      <c r="B3" s="31"/>
      <c r="C3" s="73"/>
      <c r="D3" s="64"/>
      <c r="E3" s="64"/>
      <c r="F3" s="65"/>
      <c r="G3" s="65"/>
      <c r="H3" s="65"/>
      <c r="I3" s="65"/>
      <c r="J3" s="65"/>
      <c r="K3" s="65"/>
      <c r="L3" s="65"/>
      <c r="M3" s="65"/>
      <c r="N3" s="65"/>
      <c r="O3" s="74"/>
      <c r="P3" s="31"/>
      <c r="Q3" s="31"/>
    </row>
    <row r="4" spans="1:17" ht="42" customHeight="1">
      <c r="A4" s="31"/>
      <c r="B4" s="31"/>
      <c r="C4" s="75"/>
      <c r="D4" s="145" t="s">
        <v>312</v>
      </c>
      <c r="E4" s="145"/>
      <c r="F4" s="41" t="s">
        <v>96</v>
      </c>
      <c r="G4" s="67"/>
      <c r="H4" s="41" t="s">
        <v>177</v>
      </c>
      <c r="I4" s="32"/>
      <c r="J4" s="72"/>
      <c r="K4" s="72"/>
      <c r="L4" s="34" t="s">
        <v>141</v>
      </c>
      <c r="M4" s="72"/>
      <c r="N4" s="34" t="s">
        <v>142</v>
      </c>
      <c r="O4" s="76"/>
      <c r="P4" s="31"/>
      <c r="Q4" s="31"/>
    </row>
    <row r="5" spans="1:17" ht="10" customHeight="1" thickBot="1">
      <c r="A5" s="31"/>
      <c r="B5" s="31"/>
      <c r="C5" s="77"/>
      <c r="D5" s="68"/>
      <c r="E5" s="68"/>
      <c r="F5" s="69"/>
      <c r="G5" s="69"/>
      <c r="H5" s="69"/>
      <c r="I5" s="69"/>
      <c r="J5" s="69"/>
      <c r="K5" s="69"/>
      <c r="L5" s="69"/>
      <c r="M5" s="69"/>
      <c r="N5" s="69"/>
      <c r="O5" s="78"/>
      <c r="P5" s="31"/>
      <c r="Q5" s="31"/>
    </row>
    <row r="6" spans="1:17" ht="10" customHeight="1" thickTop="1" thickBot="1">
      <c r="A6" s="31"/>
      <c r="B6" s="31"/>
      <c r="C6" s="79"/>
      <c r="D6" s="26"/>
      <c r="E6" s="26"/>
      <c r="F6" s="26"/>
      <c r="G6" s="26"/>
      <c r="H6" s="26"/>
      <c r="I6" s="26"/>
      <c r="J6" s="26"/>
      <c r="K6" s="26"/>
      <c r="L6" s="26"/>
      <c r="M6" s="26"/>
      <c r="N6" s="26"/>
      <c r="O6" s="79"/>
      <c r="P6" s="31"/>
      <c r="Q6" s="31"/>
    </row>
    <row r="7" spans="1:17" ht="10" customHeight="1" thickTop="1">
      <c r="A7" s="31"/>
      <c r="B7" s="31" t="s">
        <v>143</v>
      </c>
      <c r="C7" s="80"/>
      <c r="D7" s="81"/>
      <c r="E7" s="81"/>
      <c r="F7" s="81"/>
      <c r="G7" s="81"/>
      <c r="H7" s="81"/>
      <c r="I7" s="81"/>
      <c r="J7" s="81"/>
      <c r="K7" s="81"/>
      <c r="L7" s="81"/>
      <c r="M7" s="81"/>
      <c r="N7" s="81"/>
      <c r="O7" s="82"/>
      <c r="P7" s="31"/>
      <c r="Q7" s="31"/>
    </row>
    <row r="8" spans="1:17" ht="15" customHeight="1">
      <c r="A8" s="31"/>
      <c r="B8" s="31"/>
      <c r="C8" s="83"/>
      <c r="D8" s="139" t="s">
        <v>73</v>
      </c>
      <c r="E8" s="139"/>
      <c r="F8" s="140"/>
      <c r="G8" s="140"/>
      <c r="H8" s="140"/>
      <c r="I8" s="140"/>
      <c r="J8" s="140"/>
      <c r="K8" s="140"/>
      <c r="L8" s="140"/>
      <c r="M8" s="140"/>
      <c r="N8" s="140"/>
      <c r="O8" s="84"/>
      <c r="P8" s="31"/>
      <c r="Q8" s="31"/>
    </row>
    <row r="9" spans="1:17">
      <c r="A9" s="31"/>
      <c r="B9" s="31"/>
      <c r="C9" s="83"/>
      <c r="D9" s="79"/>
      <c r="E9" s="79"/>
      <c r="F9" s="79"/>
      <c r="G9" s="79"/>
      <c r="H9" s="79"/>
      <c r="I9" s="79"/>
      <c r="J9" s="79"/>
      <c r="K9" s="79"/>
      <c r="L9" s="79"/>
      <c r="M9" s="79"/>
      <c r="N9" s="79"/>
      <c r="O9" s="84"/>
      <c r="P9" s="31"/>
      <c r="Q9" s="31"/>
    </row>
    <row r="10" spans="1:17" ht="42" customHeight="1">
      <c r="A10" s="31"/>
      <c r="B10" s="31"/>
      <c r="C10" s="83"/>
      <c r="D10" s="28" t="s">
        <v>72</v>
      </c>
      <c r="E10" s="27"/>
      <c r="F10" s="35" t="s">
        <v>76</v>
      </c>
      <c r="G10" s="27"/>
      <c r="H10" s="35" t="s">
        <v>74</v>
      </c>
      <c r="I10" s="27"/>
      <c r="J10" s="35" t="s">
        <v>77</v>
      </c>
      <c r="K10" s="27"/>
      <c r="L10" s="35" t="s">
        <v>78</v>
      </c>
      <c r="M10" s="27"/>
      <c r="N10" s="35" t="s">
        <v>75</v>
      </c>
      <c r="O10" s="84"/>
      <c r="P10" s="31"/>
      <c r="Q10" s="31"/>
    </row>
    <row r="11" spans="1:17" ht="10" customHeight="1">
      <c r="A11" s="31"/>
      <c r="B11" s="31"/>
      <c r="C11" s="83"/>
      <c r="D11" s="26"/>
      <c r="E11" s="26"/>
      <c r="F11" s="26"/>
      <c r="G11" s="26"/>
      <c r="H11" s="26"/>
      <c r="I11" s="26"/>
      <c r="J11" s="26"/>
      <c r="K11" s="26"/>
      <c r="L11" s="26"/>
      <c r="M11" s="26"/>
      <c r="N11" s="26"/>
      <c r="O11" s="84"/>
      <c r="P11" s="31"/>
      <c r="Q11" s="31"/>
    </row>
    <row r="12" spans="1:17" ht="42" customHeight="1">
      <c r="A12" s="31"/>
      <c r="B12" s="31"/>
      <c r="C12" s="83"/>
      <c r="D12" s="28" t="s">
        <v>89</v>
      </c>
      <c r="E12" s="27"/>
      <c r="F12" s="35" t="s">
        <v>79</v>
      </c>
      <c r="G12" s="27"/>
      <c r="H12" s="35" t="s">
        <v>80</v>
      </c>
      <c r="I12" s="30"/>
      <c r="J12" s="35" t="s">
        <v>144</v>
      </c>
      <c r="K12" s="33"/>
      <c r="L12" s="72"/>
      <c r="M12" s="72"/>
      <c r="N12" s="72"/>
      <c r="O12" s="76"/>
      <c r="P12" s="31"/>
      <c r="Q12" s="31"/>
    </row>
    <row r="13" spans="1:17" ht="10" customHeight="1">
      <c r="A13" s="31"/>
      <c r="B13" s="31"/>
      <c r="C13" s="83"/>
      <c r="D13" s="26"/>
      <c r="E13" s="26"/>
      <c r="F13" s="26"/>
      <c r="G13" s="26"/>
      <c r="H13" s="26"/>
      <c r="I13" s="26"/>
      <c r="J13" s="26"/>
      <c r="K13" s="70"/>
      <c r="L13" s="70"/>
      <c r="M13" s="70"/>
      <c r="N13" s="70"/>
      <c r="O13" s="76"/>
      <c r="P13" s="31"/>
      <c r="Q13" s="31"/>
    </row>
    <row r="14" spans="1:17" ht="42" customHeight="1">
      <c r="A14" s="31"/>
      <c r="B14" s="31"/>
      <c r="C14" s="83"/>
      <c r="D14" s="28" t="s">
        <v>81</v>
      </c>
      <c r="E14" s="27"/>
      <c r="F14" s="35" t="s">
        <v>82</v>
      </c>
      <c r="G14" s="27"/>
      <c r="H14" s="35" t="s">
        <v>80</v>
      </c>
      <c r="I14" s="30"/>
      <c r="J14" s="66"/>
      <c r="K14" s="33"/>
      <c r="L14" s="72"/>
      <c r="M14" s="72"/>
      <c r="N14" s="72"/>
      <c r="O14" s="76"/>
      <c r="P14" s="31"/>
      <c r="Q14" s="31"/>
    </row>
    <row r="15" spans="1:17" s="31" customFormat="1" ht="10" customHeight="1">
      <c r="C15" s="75"/>
      <c r="D15" s="33"/>
      <c r="E15" s="33"/>
      <c r="F15" s="91"/>
      <c r="G15" s="33"/>
      <c r="H15" s="91"/>
      <c r="I15" s="33"/>
      <c r="J15" s="92"/>
      <c r="K15" s="33"/>
      <c r="L15" s="72"/>
      <c r="M15" s="72"/>
      <c r="N15" s="72"/>
      <c r="O15" s="76"/>
    </row>
    <row r="16" spans="1:17" ht="42" customHeight="1">
      <c r="A16" s="31"/>
      <c r="B16" s="31"/>
      <c r="C16" s="83"/>
      <c r="D16" s="93" t="s">
        <v>313</v>
      </c>
      <c r="E16" s="67"/>
      <c r="F16" s="35" t="s">
        <v>314</v>
      </c>
      <c r="G16" s="67"/>
      <c r="H16" s="35" t="s">
        <v>315</v>
      </c>
      <c r="I16" s="67"/>
      <c r="J16" s="35" t="s">
        <v>316</v>
      </c>
      <c r="K16" s="67"/>
      <c r="L16" s="35" t="s">
        <v>317</v>
      </c>
      <c r="M16" s="72"/>
      <c r="N16" s="72"/>
      <c r="O16" s="76"/>
      <c r="P16" s="31"/>
      <c r="Q16" s="31"/>
    </row>
    <row r="17" spans="1:18" ht="10" customHeight="1">
      <c r="A17" s="31"/>
      <c r="B17" s="31"/>
      <c r="C17" s="83"/>
      <c r="D17" s="26"/>
      <c r="E17" s="26"/>
      <c r="F17" s="26"/>
      <c r="G17" s="26"/>
      <c r="H17" s="26"/>
      <c r="I17" s="26"/>
      <c r="J17" s="26"/>
      <c r="K17" s="70"/>
      <c r="L17" s="70"/>
      <c r="M17" s="70"/>
      <c r="N17" s="70"/>
      <c r="O17" s="76"/>
      <c r="P17" s="31"/>
      <c r="Q17" s="31"/>
    </row>
    <row r="18" spans="1:18" ht="42" customHeight="1">
      <c r="A18" s="31"/>
      <c r="B18" s="31"/>
      <c r="C18" s="83"/>
      <c r="D18" s="93" t="s">
        <v>313</v>
      </c>
      <c r="E18" s="67"/>
      <c r="F18" s="35" t="s">
        <v>61</v>
      </c>
      <c r="G18" s="67"/>
      <c r="H18" s="35" t="s">
        <v>83</v>
      </c>
      <c r="I18" s="67"/>
      <c r="J18" s="72"/>
      <c r="K18" s="67"/>
      <c r="L18" s="72"/>
      <c r="M18" s="72"/>
      <c r="N18" s="72"/>
      <c r="O18" s="76"/>
      <c r="P18" s="31"/>
      <c r="Q18" s="31"/>
    </row>
    <row r="19" spans="1:18" ht="10" customHeight="1">
      <c r="A19" s="31"/>
      <c r="B19" s="31"/>
      <c r="C19" s="83"/>
      <c r="D19" s="26"/>
      <c r="E19" s="26"/>
      <c r="F19" s="26"/>
      <c r="G19" s="26"/>
      <c r="H19" s="26"/>
      <c r="I19" s="26"/>
      <c r="J19" s="26"/>
      <c r="K19" s="70"/>
      <c r="L19" s="70"/>
      <c r="M19" s="70"/>
      <c r="N19" s="70"/>
      <c r="O19" s="76"/>
      <c r="P19" s="31"/>
      <c r="Q19" s="31"/>
    </row>
    <row r="20" spans="1:18" ht="42" customHeight="1">
      <c r="A20" s="31"/>
      <c r="B20" s="31"/>
      <c r="C20" s="83"/>
      <c r="D20" s="93" t="s">
        <v>187</v>
      </c>
      <c r="E20" s="27"/>
      <c r="F20" s="36" t="s">
        <v>347</v>
      </c>
      <c r="G20" s="27"/>
      <c r="H20" s="36" t="s">
        <v>348</v>
      </c>
      <c r="I20" s="30"/>
      <c r="J20" s="67"/>
      <c r="K20" s="66"/>
      <c r="L20" s="67"/>
      <c r="M20" s="67"/>
      <c r="N20" s="66"/>
      <c r="O20" s="84"/>
      <c r="P20" s="31"/>
      <c r="Q20" s="31"/>
    </row>
    <row r="21" spans="1:18" s="31" customFormat="1" ht="10" customHeight="1">
      <c r="C21" s="75"/>
      <c r="D21" s="33"/>
      <c r="E21" s="33"/>
      <c r="F21" s="91"/>
      <c r="G21" s="33"/>
      <c r="H21" s="91"/>
      <c r="I21" s="33"/>
      <c r="J21" s="33"/>
      <c r="K21" s="92"/>
      <c r="L21" s="33"/>
      <c r="M21" s="33"/>
      <c r="N21" s="92"/>
      <c r="O21" s="76"/>
    </row>
    <row r="22" spans="1:18" ht="42" customHeight="1">
      <c r="A22" s="31"/>
      <c r="B22" s="31"/>
      <c r="C22" s="83"/>
      <c r="D22" s="93" t="s">
        <v>342</v>
      </c>
      <c r="E22" s="67"/>
      <c r="F22" s="36" t="s">
        <v>343</v>
      </c>
      <c r="G22" s="67"/>
      <c r="H22" s="36" t="s">
        <v>344</v>
      </c>
      <c r="I22" s="67"/>
      <c r="J22" s="36" t="s">
        <v>345</v>
      </c>
      <c r="K22" s="66"/>
      <c r="L22" s="36" t="s">
        <v>346</v>
      </c>
      <c r="M22" s="67"/>
      <c r="N22" s="36" t="s">
        <v>228</v>
      </c>
      <c r="O22" s="84"/>
      <c r="P22" s="31"/>
      <c r="Q22" s="31"/>
    </row>
    <row r="23" spans="1:18" ht="10" customHeight="1">
      <c r="A23" s="31"/>
      <c r="B23" s="31"/>
      <c r="C23" s="83"/>
      <c r="D23" s="26"/>
      <c r="E23" s="26"/>
      <c r="F23" s="26"/>
      <c r="G23" s="26"/>
      <c r="H23" s="26"/>
      <c r="I23" s="26"/>
      <c r="J23" s="26"/>
      <c r="K23" s="26"/>
      <c r="L23" s="26"/>
      <c r="M23" s="26"/>
      <c r="N23" s="26"/>
      <c r="O23" s="84"/>
      <c r="P23" s="31"/>
      <c r="Q23" s="31"/>
    </row>
    <row r="24" spans="1:18" ht="42" customHeight="1">
      <c r="A24" s="31"/>
      <c r="B24" s="31"/>
      <c r="C24" s="83"/>
      <c r="D24" s="28" t="s">
        <v>95</v>
      </c>
      <c r="E24" s="27"/>
      <c r="F24" s="54" t="s">
        <v>85</v>
      </c>
      <c r="G24" s="27"/>
      <c r="H24" s="54" t="s">
        <v>173</v>
      </c>
      <c r="I24" s="27"/>
      <c r="J24" s="54" t="s">
        <v>329</v>
      </c>
      <c r="K24" s="27"/>
      <c r="L24" s="54" t="s">
        <v>86</v>
      </c>
      <c r="M24" s="27"/>
      <c r="N24" s="54" t="s">
        <v>87</v>
      </c>
      <c r="O24" s="84"/>
      <c r="P24" s="31"/>
      <c r="Q24" s="31"/>
      <c r="R24" t="s">
        <v>188</v>
      </c>
    </row>
    <row r="25" spans="1:18" ht="10" customHeight="1">
      <c r="A25" s="31"/>
      <c r="B25" s="31"/>
      <c r="C25" s="83"/>
      <c r="D25" s="67"/>
      <c r="E25" s="67"/>
      <c r="F25" s="71"/>
      <c r="G25" s="67"/>
      <c r="H25" s="71"/>
      <c r="I25" s="67"/>
      <c r="J25" s="71"/>
      <c r="K25" s="67"/>
      <c r="L25" s="71"/>
      <c r="M25" s="67"/>
      <c r="N25" s="71"/>
      <c r="O25" s="84"/>
      <c r="P25" s="31"/>
      <c r="Q25" s="31"/>
    </row>
    <row r="26" spans="1:18" ht="42" customHeight="1">
      <c r="A26" s="31"/>
      <c r="B26" s="31"/>
      <c r="C26" s="83"/>
      <c r="D26" s="28" t="s">
        <v>170</v>
      </c>
      <c r="E26" s="27"/>
      <c r="F26" s="37" t="s">
        <v>90</v>
      </c>
      <c r="G26" s="27"/>
      <c r="H26" s="37" t="s">
        <v>91</v>
      </c>
      <c r="I26" s="27"/>
      <c r="J26" s="37" t="s">
        <v>92</v>
      </c>
      <c r="K26" s="27"/>
      <c r="L26" s="37" t="s">
        <v>93</v>
      </c>
      <c r="M26" s="30"/>
      <c r="N26" s="29" t="s">
        <v>94</v>
      </c>
      <c r="O26" s="84"/>
      <c r="P26" s="31"/>
      <c r="Q26" s="31"/>
    </row>
    <row r="27" spans="1:18" ht="10" customHeight="1" thickBot="1">
      <c r="A27" s="31"/>
      <c r="B27" s="31"/>
      <c r="C27" s="77"/>
      <c r="D27" s="68"/>
      <c r="E27" s="68"/>
      <c r="F27" s="69"/>
      <c r="G27" s="69"/>
      <c r="H27" s="69"/>
      <c r="I27" s="69"/>
      <c r="J27" s="69"/>
      <c r="K27" s="69"/>
      <c r="L27" s="69"/>
      <c r="M27" s="69"/>
      <c r="N27" s="69"/>
      <c r="O27" s="78"/>
      <c r="P27" s="31"/>
      <c r="Q27" s="31"/>
    </row>
    <row r="28" spans="1:18" ht="10" customHeight="1" thickTop="1" thickBot="1">
      <c r="A28" s="31"/>
      <c r="B28" s="31"/>
      <c r="C28" s="72"/>
      <c r="D28" s="33"/>
      <c r="E28" s="33"/>
      <c r="F28" s="32"/>
      <c r="G28" s="32"/>
      <c r="H28" s="32"/>
      <c r="I28" s="32"/>
      <c r="J28" s="32"/>
      <c r="K28" s="32"/>
      <c r="L28" s="32"/>
      <c r="M28" s="32"/>
      <c r="N28" s="32"/>
      <c r="O28" s="72"/>
      <c r="P28" s="31"/>
      <c r="Q28" s="31"/>
    </row>
    <row r="29" spans="1:18" ht="10" customHeight="1" thickTop="1">
      <c r="A29" s="31"/>
      <c r="B29" s="31"/>
      <c r="C29" s="73"/>
      <c r="D29" s="64"/>
      <c r="E29" s="64"/>
      <c r="F29" s="65"/>
      <c r="G29" s="65"/>
      <c r="H29" s="65"/>
      <c r="I29" s="65"/>
      <c r="J29" s="65"/>
      <c r="K29" s="65"/>
      <c r="L29" s="65"/>
      <c r="M29" s="65"/>
      <c r="N29" s="65"/>
      <c r="O29" s="74"/>
      <c r="P29" s="31"/>
      <c r="Q29" s="31"/>
    </row>
    <row r="30" spans="1:18" ht="15" customHeight="1">
      <c r="A30" s="31"/>
      <c r="B30" s="31"/>
      <c r="C30" s="126"/>
      <c r="D30" s="143" t="s">
        <v>70</v>
      </c>
      <c r="E30" s="143"/>
      <c r="F30" s="144"/>
      <c r="G30" s="144"/>
      <c r="H30" s="144"/>
      <c r="I30" s="144"/>
      <c r="J30" s="144"/>
      <c r="K30" s="144"/>
      <c r="L30" s="144"/>
      <c r="M30" s="144"/>
      <c r="N30" s="144"/>
      <c r="O30" s="127"/>
      <c r="P30" s="31"/>
      <c r="Q30" s="31"/>
    </row>
    <row r="31" spans="1:18" ht="13" customHeight="1">
      <c r="A31" s="31"/>
      <c r="B31" s="31"/>
      <c r="C31" s="126"/>
      <c r="D31" s="71"/>
      <c r="E31" s="71"/>
      <c r="F31" s="71"/>
      <c r="G31" s="71"/>
      <c r="H31" s="71"/>
      <c r="I31" s="71"/>
      <c r="J31" s="71"/>
      <c r="K31" s="71"/>
      <c r="L31" s="71"/>
      <c r="M31" s="71"/>
      <c r="N31" s="71"/>
      <c r="O31" s="127"/>
      <c r="P31" s="31"/>
      <c r="Q31" s="31"/>
    </row>
    <row r="32" spans="1:18" ht="42" customHeight="1">
      <c r="A32" s="31"/>
      <c r="B32" s="31"/>
      <c r="C32" s="126"/>
      <c r="D32" s="90" t="s">
        <v>306</v>
      </c>
      <c r="E32" s="89"/>
      <c r="F32" s="90" t="s">
        <v>285</v>
      </c>
      <c r="G32" s="89"/>
      <c r="H32" s="90" t="s">
        <v>286</v>
      </c>
      <c r="I32" s="89"/>
      <c r="J32" s="90" t="s">
        <v>305</v>
      </c>
      <c r="K32" s="89"/>
      <c r="L32" s="90" t="s">
        <v>287</v>
      </c>
      <c r="M32" s="89"/>
      <c r="N32" s="90" t="s">
        <v>288</v>
      </c>
      <c r="O32" s="127"/>
      <c r="P32" s="31"/>
      <c r="Q32" s="31"/>
    </row>
    <row r="33" spans="1:21" ht="10" customHeight="1">
      <c r="A33" s="31"/>
      <c r="B33" s="31"/>
      <c r="C33" s="126"/>
      <c r="D33" s="71"/>
      <c r="E33" s="71"/>
      <c r="F33" s="71"/>
      <c r="G33" s="71"/>
      <c r="H33" s="71"/>
      <c r="I33" s="71"/>
      <c r="J33" s="71"/>
      <c r="K33" s="71"/>
      <c r="L33" s="71"/>
      <c r="M33" s="71"/>
      <c r="N33" s="71"/>
      <c r="O33" s="127"/>
      <c r="P33" s="31"/>
      <c r="Q33" s="31"/>
    </row>
    <row r="34" spans="1:21" ht="42" customHeight="1">
      <c r="A34" s="31"/>
      <c r="B34" s="31"/>
      <c r="C34" s="126"/>
      <c r="D34" s="90" t="s">
        <v>289</v>
      </c>
      <c r="E34" s="89"/>
      <c r="F34" s="90" t="s">
        <v>290</v>
      </c>
      <c r="G34" s="89"/>
      <c r="H34" s="90" t="s">
        <v>291</v>
      </c>
      <c r="I34" s="89"/>
      <c r="J34" s="90" t="s">
        <v>292</v>
      </c>
      <c r="K34" s="89"/>
      <c r="L34" s="90" t="s">
        <v>293</v>
      </c>
      <c r="M34" s="89"/>
      <c r="N34" s="90" t="s">
        <v>294</v>
      </c>
      <c r="O34" s="127"/>
      <c r="P34" s="31"/>
      <c r="Q34" s="31"/>
    </row>
    <row r="35" spans="1:21" ht="10" customHeight="1">
      <c r="A35" s="31"/>
      <c r="B35" s="31"/>
      <c r="C35" s="126"/>
      <c r="D35" s="71"/>
      <c r="E35" s="71"/>
      <c r="F35" s="71"/>
      <c r="G35" s="71"/>
      <c r="H35" s="71"/>
      <c r="I35" s="71"/>
      <c r="J35" s="71"/>
      <c r="K35" s="71"/>
      <c r="L35" s="71"/>
      <c r="M35" s="71"/>
      <c r="N35" s="71"/>
      <c r="O35" s="127"/>
      <c r="P35" s="31"/>
      <c r="Q35" s="31"/>
    </row>
    <row r="36" spans="1:21" ht="42" customHeight="1">
      <c r="A36" s="31"/>
      <c r="B36" s="31"/>
      <c r="C36" s="126"/>
      <c r="D36" s="90" t="s">
        <v>295</v>
      </c>
      <c r="E36" s="89"/>
      <c r="F36" s="90" t="s">
        <v>296</v>
      </c>
      <c r="G36" s="89"/>
      <c r="H36" s="90" t="s">
        <v>297</v>
      </c>
      <c r="I36" s="89"/>
      <c r="J36" s="90" t="s">
        <v>298</v>
      </c>
      <c r="K36" s="89"/>
      <c r="L36" s="90" t="s">
        <v>299</v>
      </c>
      <c r="M36" s="89"/>
      <c r="N36" s="90" t="s">
        <v>300</v>
      </c>
      <c r="O36" s="127"/>
      <c r="P36" s="31"/>
      <c r="Q36" s="31"/>
      <c r="R36" s="25"/>
      <c r="S36" s="25"/>
    </row>
    <row r="37" spans="1:21" ht="10" customHeight="1">
      <c r="A37" s="31"/>
      <c r="B37" s="31"/>
      <c r="C37" s="126"/>
      <c r="D37" s="71"/>
      <c r="E37" s="71"/>
      <c r="F37" s="71"/>
      <c r="G37" s="71"/>
      <c r="H37" s="71"/>
      <c r="I37" s="71"/>
      <c r="J37" s="71"/>
      <c r="K37" s="71"/>
      <c r="L37" s="71"/>
      <c r="M37" s="71"/>
      <c r="N37" s="71"/>
      <c r="O37" s="127"/>
      <c r="P37" s="31"/>
      <c r="Q37" s="31"/>
      <c r="R37" s="25"/>
      <c r="S37" s="25"/>
    </row>
    <row r="38" spans="1:21" ht="42" customHeight="1">
      <c r="A38" s="31"/>
      <c r="B38" s="31"/>
      <c r="C38" s="126"/>
      <c r="D38" s="90" t="s">
        <v>301</v>
      </c>
      <c r="E38" s="89"/>
      <c r="F38" s="90" t="s">
        <v>302</v>
      </c>
      <c r="G38" s="89"/>
      <c r="H38" s="90" t="s">
        <v>303</v>
      </c>
      <c r="I38" s="89"/>
      <c r="J38" s="90" t="s">
        <v>304</v>
      </c>
      <c r="K38" s="89"/>
      <c r="L38" s="88" t="s">
        <v>119</v>
      </c>
      <c r="M38" s="89"/>
      <c r="N38" s="88" t="s">
        <v>88</v>
      </c>
      <c r="O38" s="127"/>
      <c r="P38" s="31"/>
      <c r="Q38" s="31"/>
    </row>
    <row r="39" spans="1:21" s="31" customFormat="1" ht="10" customHeight="1" thickBot="1">
      <c r="C39" s="128"/>
      <c r="D39" s="129"/>
      <c r="E39" s="129"/>
      <c r="F39" s="129"/>
      <c r="G39" s="129"/>
      <c r="H39" s="129"/>
      <c r="I39" s="129"/>
      <c r="J39" s="129"/>
      <c r="K39" s="129"/>
      <c r="L39" s="129"/>
      <c r="M39" s="129"/>
      <c r="N39" s="129"/>
      <c r="O39" s="130"/>
      <c r="R39"/>
      <c r="S39"/>
    </row>
    <row r="40" spans="1:21" ht="10" customHeight="1" thickTop="1" thickBot="1">
      <c r="A40" s="31"/>
      <c r="B40" s="31"/>
      <c r="C40" s="72"/>
      <c r="D40" s="33"/>
      <c r="E40" s="33"/>
      <c r="F40" s="32"/>
      <c r="G40" s="32"/>
      <c r="H40" s="32"/>
      <c r="I40" s="32"/>
      <c r="J40" s="32"/>
      <c r="K40" s="32"/>
      <c r="L40" s="32"/>
      <c r="M40" s="32"/>
      <c r="N40" s="32"/>
      <c r="O40" s="72"/>
      <c r="P40" s="31"/>
      <c r="Q40" s="31"/>
    </row>
    <row r="41" spans="1:21" ht="10" customHeight="1" thickTop="1">
      <c r="A41" s="31"/>
      <c r="B41" s="31"/>
      <c r="C41" s="73"/>
      <c r="D41" s="131"/>
      <c r="E41" s="131"/>
      <c r="F41" s="131"/>
      <c r="G41" s="131"/>
      <c r="H41" s="131"/>
      <c r="I41" s="131"/>
      <c r="J41" s="131"/>
      <c r="K41" s="131"/>
      <c r="L41" s="131"/>
      <c r="M41" s="131"/>
      <c r="N41" s="131"/>
      <c r="O41" s="74"/>
      <c r="P41" s="31"/>
      <c r="Q41" s="33"/>
      <c r="T41" s="25"/>
      <c r="U41" s="25"/>
    </row>
    <row r="42" spans="1:21" ht="15" customHeight="1">
      <c r="A42" s="31"/>
      <c r="B42" s="31"/>
      <c r="C42" s="75"/>
      <c r="D42" s="139" t="s">
        <v>117</v>
      </c>
      <c r="E42" s="139"/>
      <c r="F42" s="140"/>
      <c r="G42" s="140"/>
      <c r="H42" s="140"/>
      <c r="I42" s="140"/>
      <c r="J42" s="140"/>
      <c r="K42" s="140"/>
      <c r="L42" s="140"/>
      <c r="M42" s="140"/>
      <c r="N42" s="140"/>
      <c r="O42" s="132"/>
      <c r="P42" s="31"/>
      <c r="Q42" s="31"/>
      <c r="U42" s="25"/>
    </row>
    <row r="43" spans="1:21" ht="11" customHeight="1">
      <c r="A43" s="31"/>
      <c r="B43" s="31"/>
      <c r="C43" s="75"/>
      <c r="D43" s="72"/>
      <c r="E43" s="72"/>
      <c r="F43" s="72"/>
      <c r="G43" s="72"/>
      <c r="H43" s="72"/>
      <c r="I43" s="72"/>
      <c r="J43" s="72"/>
      <c r="K43" s="72"/>
      <c r="L43" s="72"/>
      <c r="M43" s="72"/>
      <c r="N43" s="72"/>
      <c r="O43" s="76"/>
      <c r="P43" s="31"/>
      <c r="Q43" s="31"/>
      <c r="U43" s="25"/>
    </row>
    <row r="44" spans="1:21" ht="14">
      <c r="A44" s="31"/>
      <c r="B44" s="31"/>
      <c r="C44" s="75"/>
      <c r="D44" s="133" t="s">
        <v>118</v>
      </c>
      <c r="E44" s="72"/>
      <c r="F44" s="72"/>
      <c r="G44" s="72"/>
      <c r="H44" s="72"/>
      <c r="I44" s="72"/>
      <c r="J44" s="72"/>
      <c r="K44" s="72"/>
      <c r="L44" s="72"/>
      <c r="M44" s="72"/>
      <c r="N44" s="72"/>
      <c r="O44" s="76"/>
      <c r="P44" s="31"/>
      <c r="Q44" s="31" t="s">
        <v>188</v>
      </c>
      <c r="U44" s="25"/>
    </row>
    <row r="45" spans="1:21" ht="6" customHeight="1">
      <c r="A45" s="31"/>
      <c r="B45" s="31"/>
      <c r="C45" s="75"/>
      <c r="D45" s="72"/>
      <c r="E45" s="72"/>
      <c r="F45" s="72"/>
      <c r="G45" s="72"/>
      <c r="H45" s="72"/>
      <c r="I45" s="72"/>
      <c r="J45" s="72"/>
      <c r="K45" s="72"/>
      <c r="L45" s="134"/>
      <c r="M45" s="134"/>
      <c r="N45" s="72"/>
      <c r="O45" s="76"/>
      <c r="P45" s="31"/>
      <c r="Q45" s="31"/>
    </row>
    <row r="46" spans="1:21" ht="42" customHeight="1">
      <c r="A46" s="31"/>
      <c r="B46" s="31"/>
      <c r="C46" s="75"/>
      <c r="D46" s="141">
        <v>6.2408867592592598E-3</v>
      </c>
      <c r="E46" s="142"/>
      <c r="F46" s="142"/>
      <c r="G46" s="72"/>
      <c r="H46" s="42" t="s">
        <v>63</v>
      </c>
      <c r="J46" s="38" t="s">
        <v>62</v>
      </c>
      <c r="K46" s="72"/>
      <c r="L46" s="42" t="s">
        <v>284</v>
      </c>
      <c r="M46" s="134"/>
      <c r="N46" s="39" t="s">
        <v>64</v>
      </c>
      <c r="O46" s="76"/>
      <c r="P46" s="31"/>
      <c r="Q46" s="31"/>
    </row>
    <row r="47" spans="1:21" ht="93" customHeight="1" thickBot="1">
      <c r="A47" s="31"/>
      <c r="B47" s="31"/>
      <c r="C47" s="77"/>
      <c r="D47" s="135"/>
      <c r="E47" s="135"/>
      <c r="F47" s="135"/>
      <c r="G47" s="135"/>
      <c r="H47" s="135"/>
      <c r="I47" s="135"/>
      <c r="J47" s="135"/>
      <c r="K47" s="135"/>
      <c r="L47" s="135"/>
      <c r="M47" s="135"/>
      <c r="N47" s="135"/>
      <c r="O47" s="78"/>
      <c r="P47" s="31"/>
      <c r="Q47" s="31"/>
    </row>
    <row r="48" spans="1:21" ht="14" thickTop="1">
      <c r="A48" s="31"/>
      <c r="B48" s="31"/>
      <c r="C48" s="31"/>
      <c r="D48" s="31"/>
      <c r="E48" s="31"/>
      <c r="F48" s="31"/>
      <c r="G48" s="31"/>
      <c r="H48" s="31"/>
      <c r="I48" s="31"/>
      <c r="J48" s="31"/>
      <c r="K48" s="31"/>
      <c r="L48" s="31"/>
      <c r="M48" s="31"/>
      <c r="N48" s="31"/>
      <c r="O48" s="31"/>
      <c r="P48" s="31"/>
      <c r="Q48" s="31"/>
    </row>
    <row r="49" spans="1:17">
      <c r="A49" s="31"/>
      <c r="B49" s="31"/>
      <c r="C49" s="31"/>
      <c r="D49" s="31"/>
      <c r="E49" s="31"/>
      <c r="F49" s="31"/>
      <c r="G49" s="31"/>
      <c r="H49" s="31"/>
      <c r="I49" s="31"/>
      <c r="O49" s="31"/>
      <c r="P49" s="31"/>
      <c r="Q49" s="31"/>
    </row>
    <row r="409" spans="12:13">
      <c r="L409" s="24"/>
      <c r="M409" s="24"/>
    </row>
    <row r="410" spans="12:13">
      <c r="L410" s="24"/>
      <c r="M410" s="24"/>
    </row>
    <row r="411" spans="12:13">
      <c r="L411" s="24"/>
      <c r="M411" s="24"/>
    </row>
    <row r="412" spans="12:13">
      <c r="L412" s="24"/>
      <c r="M412" s="24"/>
    </row>
    <row r="413" spans="12:13">
      <c r="L413" s="24"/>
      <c r="M413" s="24"/>
    </row>
    <row r="414" spans="12:13">
      <c r="L414" s="24"/>
      <c r="M414" s="24"/>
    </row>
    <row r="415" spans="12:13">
      <c r="L415" s="24"/>
      <c r="M415" s="24"/>
    </row>
    <row r="416" spans="12:13">
      <c r="L416" s="24"/>
      <c r="M416" s="24"/>
    </row>
    <row r="417" spans="12:29">
      <c r="L417" s="24"/>
      <c r="M417" s="24"/>
    </row>
    <row r="418" spans="12:29">
      <c r="L418" s="24"/>
      <c r="M418" s="24"/>
    </row>
    <row r="419" spans="12:29">
      <c r="L419" s="24"/>
      <c r="M419" s="24"/>
    </row>
    <row r="420" spans="12:29">
      <c r="L420" s="24"/>
      <c r="M420" s="24"/>
    </row>
    <row r="421" spans="12:29">
      <c r="L421" s="24"/>
      <c r="M421" s="24"/>
    </row>
    <row r="422" spans="12:29">
      <c r="L422" s="24"/>
      <c r="M422" s="24"/>
    </row>
    <row r="423" spans="12:29">
      <c r="L423" s="24"/>
      <c r="M423" s="24"/>
    </row>
    <row r="424" spans="12:29">
      <c r="L424" s="24"/>
      <c r="M424" s="24"/>
    </row>
    <row r="425" spans="12:29">
      <c r="L425" s="24"/>
      <c r="M425" s="24"/>
    </row>
    <row r="426" spans="12:29">
      <c r="L426" s="24"/>
      <c r="M426" s="24"/>
    </row>
    <row r="427" spans="12:29">
      <c r="L427" s="24"/>
      <c r="M427" s="24"/>
      <c r="Y427" s="23" t="s">
        <v>71</v>
      </c>
      <c r="Z427" s="23" t="s">
        <v>66</v>
      </c>
      <c r="AA427" s="23"/>
      <c r="AC427" s="23" t="s">
        <v>57</v>
      </c>
    </row>
    <row r="428" spans="12:29">
      <c r="L428" s="24"/>
      <c r="M428" s="24"/>
      <c r="Y428">
        <v>1</v>
      </c>
      <c r="Z428" t="s">
        <v>120</v>
      </c>
      <c r="AB428" t="s">
        <v>146</v>
      </c>
      <c r="AC428" t="s">
        <v>97</v>
      </c>
    </row>
    <row r="429" spans="12:29">
      <c r="L429" s="24"/>
      <c r="M429" s="24"/>
      <c r="Y429">
        <v>2</v>
      </c>
      <c r="Z429" t="s">
        <v>121</v>
      </c>
      <c r="AB429" t="s">
        <v>147</v>
      </c>
      <c r="AC429" t="s">
        <v>98</v>
      </c>
    </row>
    <row r="430" spans="12:29">
      <c r="L430" s="24"/>
      <c r="M430" s="24"/>
      <c r="Y430">
        <v>3</v>
      </c>
      <c r="Z430" t="s">
        <v>122</v>
      </c>
      <c r="AB430" t="s">
        <v>149</v>
      </c>
      <c r="AC430" t="s">
        <v>99</v>
      </c>
    </row>
    <row r="431" spans="12:29">
      <c r="L431" s="24"/>
      <c r="M431" s="24"/>
      <c r="Y431">
        <v>4</v>
      </c>
      <c r="Z431" t="s">
        <v>123</v>
      </c>
      <c r="AB431" t="s">
        <v>150</v>
      </c>
      <c r="AC431" t="s">
        <v>100</v>
      </c>
    </row>
    <row r="432" spans="12:29">
      <c r="L432" s="24"/>
      <c r="M432" s="24"/>
      <c r="Y432">
        <v>5</v>
      </c>
      <c r="Z432" t="s">
        <v>124</v>
      </c>
      <c r="AB432" t="s">
        <v>151</v>
      </c>
      <c r="AC432" t="s">
        <v>101</v>
      </c>
    </row>
    <row r="433" spans="12:29">
      <c r="L433" s="24"/>
      <c r="M433" s="24"/>
      <c r="Y433">
        <v>6</v>
      </c>
      <c r="Z433" t="s">
        <v>125</v>
      </c>
      <c r="AB433" t="s">
        <v>148</v>
      </c>
      <c r="AC433" t="s">
        <v>102</v>
      </c>
    </row>
    <row r="434" spans="12:29">
      <c r="L434" s="24"/>
      <c r="M434" s="24"/>
      <c r="Y434">
        <v>7</v>
      </c>
      <c r="Z434" t="s">
        <v>126</v>
      </c>
      <c r="AB434" t="s">
        <v>152</v>
      </c>
      <c r="AC434" t="s">
        <v>103</v>
      </c>
    </row>
    <row r="435" spans="12:29">
      <c r="L435" s="24"/>
      <c r="M435" s="24"/>
      <c r="Y435">
        <v>8</v>
      </c>
      <c r="Z435" t="s">
        <v>127</v>
      </c>
      <c r="AB435" t="s">
        <v>153</v>
      </c>
      <c r="AC435" t="s">
        <v>145</v>
      </c>
    </row>
    <row r="436" spans="12:29">
      <c r="L436" s="24"/>
      <c r="M436" s="24"/>
      <c r="Y436">
        <v>9</v>
      </c>
      <c r="Z436" t="s">
        <v>128</v>
      </c>
      <c r="AB436" t="s">
        <v>154</v>
      </c>
      <c r="AC436" t="s">
        <v>104</v>
      </c>
    </row>
    <row r="437" spans="12:29">
      <c r="L437" s="24"/>
      <c r="M437" s="24"/>
      <c r="Y437">
        <v>10</v>
      </c>
      <c r="Z437" t="s">
        <v>129</v>
      </c>
      <c r="AB437" t="s">
        <v>155</v>
      </c>
      <c r="AC437" t="s">
        <v>105</v>
      </c>
    </row>
    <row r="438" spans="12:29">
      <c r="L438" s="24"/>
      <c r="M438" s="24"/>
      <c r="Y438">
        <v>11</v>
      </c>
      <c r="Z438" t="s">
        <v>130</v>
      </c>
      <c r="AB438" t="s">
        <v>156</v>
      </c>
      <c r="AC438" t="s">
        <v>106</v>
      </c>
    </row>
    <row r="439" spans="12:29">
      <c r="L439" s="24"/>
      <c r="M439" s="24"/>
      <c r="Y439">
        <v>12</v>
      </c>
      <c r="Z439" t="s">
        <v>131</v>
      </c>
      <c r="AB439" t="s">
        <v>157</v>
      </c>
      <c r="AC439" t="s">
        <v>107</v>
      </c>
    </row>
    <row r="440" spans="12:29">
      <c r="L440" s="24"/>
      <c r="M440" s="24"/>
      <c r="Y440">
        <v>13</v>
      </c>
      <c r="Z440" t="s">
        <v>132</v>
      </c>
      <c r="AB440" t="s">
        <v>158</v>
      </c>
      <c r="AC440" t="s">
        <v>108</v>
      </c>
    </row>
    <row r="441" spans="12:29">
      <c r="L441" s="24"/>
      <c r="M441" s="24"/>
      <c r="Y441">
        <v>14</v>
      </c>
      <c r="Z441" t="s">
        <v>133</v>
      </c>
      <c r="AB441" t="s">
        <v>159</v>
      </c>
      <c r="AC441" t="s">
        <v>114</v>
      </c>
    </row>
    <row r="442" spans="12:29">
      <c r="L442" s="24"/>
      <c r="M442" s="24"/>
      <c r="Y442">
        <v>15</v>
      </c>
      <c r="Z442" t="s">
        <v>134</v>
      </c>
      <c r="AB442" t="s">
        <v>160</v>
      </c>
      <c r="AC442" t="s">
        <v>109</v>
      </c>
    </row>
    <row r="443" spans="12:29">
      <c r="L443" s="24"/>
      <c r="M443" s="24"/>
      <c r="Y443">
        <v>16</v>
      </c>
      <c r="Z443" t="s">
        <v>135</v>
      </c>
      <c r="AB443" t="s">
        <v>161</v>
      </c>
      <c r="AC443" t="s">
        <v>110</v>
      </c>
    </row>
    <row r="444" spans="12:29">
      <c r="L444" s="24"/>
      <c r="M444" s="24"/>
      <c r="Y444">
        <v>17</v>
      </c>
      <c r="Z444" t="s">
        <v>136</v>
      </c>
      <c r="AB444" t="s">
        <v>162</v>
      </c>
      <c r="AC444" t="s">
        <v>111</v>
      </c>
    </row>
    <row r="445" spans="12:29">
      <c r="L445" s="24"/>
      <c r="M445" s="24"/>
      <c r="Y445">
        <v>18</v>
      </c>
      <c r="Z445" t="s">
        <v>137</v>
      </c>
      <c r="AB445" t="s">
        <v>163</v>
      </c>
      <c r="AC445" t="s">
        <v>115</v>
      </c>
    </row>
    <row r="446" spans="12:29">
      <c r="L446" s="24"/>
      <c r="M446" s="24"/>
      <c r="Y446">
        <v>19</v>
      </c>
      <c r="Z446" t="s">
        <v>138</v>
      </c>
      <c r="AB446" t="s">
        <v>164</v>
      </c>
      <c r="AC446" t="s">
        <v>116</v>
      </c>
    </row>
    <row r="447" spans="12:29">
      <c r="L447" s="24"/>
      <c r="M447" s="24"/>
      <c r="Y447">
        <v>20</v>
      </c>
      <c r="Z447" t="s">
        <v>139</v>
      </c>
      <c r="AB447" t="s">
        <v>165</v>
      </c>
      <c r="AC447" t="s">
        <v>112</v>
      </c>
    </row>
    <row r="448" spans="12:29">
      <c r="L448" s="24"/>
      <c r="M448" s="24"/>
      <c r="AB448" t="s">
        <v>166</v>
      </c>
      <c r="AC448" t="s">
        <v>113</v>
      </c>
    </row>
    <row r="449" spans="12:29">
      <c r="L449" s="24"/>
      <c r="M449" s="24"/>
      <c r="Y449">
        <v>22</v>
      </c>
      <c r="Z449" t="s">
        <v>140</v>
      </c>
      <c r="AB449" t="s">
        <v>167</v>
      </c>
      <c r="AC449" t="s">
        <v>94</v>
      </c>
    </row>
    <row r="450" spans="12:29">
      <c r="L450" s="24"/>
      <c r="M450" s="24"/>
    </row>
    <row r="451" spans="12:29">
      <c r="L451" s="24"/>
      <c r="M451" s="24"/>
    </row>
    <row r="452" spans="12:29">
      <c r="L452" s="24"/>
      <c r="M452" s="24"/>
    </row>
    <row r="453" spans="12:29">
      <c r="L453" s="24"/>
      <c r="M453" s="24"/>
    </row>
    <row r="454" spans="12:29">
      <c r="L454" s="24"/>
      <c r="M454" s="24"/>
    </row>
    <row r="455" spans="12:29">
      <c r="L455" s="24"/>
      <c r="M455" s="24"/>
    </row>
    <row r="456" spans="12:29">
      <c r="L456" s="24"/>
      <c r="M456" s="24"/>
    </row>
    <row r="457" spans="12:29">
      <c r="L457" s="24"/>
      <c r="M457" s="24"/>
    </row>
    <row r="458" spans="12:29">
      <c r="L458" s="24"/>
      <c r="M458" s="24"/>
    </row>
    <row r="459" spans="12:29">
      <c r="L459" s="24"/>
      <c r="M459" s="24"/>
    </row>
    <row r="460" spans="12:29">
      <c r="L460" s="24"/>
      <c r="M460" s="24"/>
    </row>
    <row r="461" spans="12:29">
      <c r="L461" s="24"/>
      <c r="M461" s="24"/>
    </row>
    <row r="462" spans="12:29">
      <c r="L462" s="24"/>
      <c r="M462" s="24"/>
    </row>
    <row r="463" spans="12:29">
      <c r="L463" s="24"/>
      <c r="M463" s="24"/>
    </row>
    <row r="464" spans="12:29">
      <c r="L464" s="24"/>
      <c r="M464" s="24"/>
    </row>
    <row r="465" spans="12:13">
      <c r="L465" s="24"/>
      <c r="M465" s="24"/>
    </row>
    <row r="466" spans="12:13">
      <c r="L466" s="24"/>
      <c r="M466" s="24"/>
    </row>
    <row r="467" spans="12:13">
      <c r="L467" s="24"/>
      <c r="M467" s="24"/>
    </row>
    <row r="468" spans="12:13">
      <c r="L468" s="24"/>
      <c r="M468" s="24"/>
    </row>
    <row r="469" spans="12:13">
      <c r="L469" s="24"/>
      <c r="M469" s="24"/>
    </row>
    <row r="470" spans="12:13">
      <c r="L470" s="24"/>
      <c r="M470" s="24"/>
    </row>
    <row r="471" spans="12:13">
      <c r="L471" s="24"/>
      <c r="M471" s="24"/>
    </row>
    <row r="472" spans="12:13">
      <c r="L472" s="24"/>
      <c r="M472" s="24"/>
    </row>
    <row r="473" spans="12:13">
      <c r="L473" s="24"/>
      <c r="M473" s="24"/>
    </row>
    <row r="474" spans="12:13">
      <c r="L474" s="24"/>
      <c r="M474" s="24"/>
    </row>
    <row r="475" spans="12:13">
      <c r="L475" s="24"/>
      <c r="M475" s="24"/>
    </row>
    <row r="476" spans="12:13">
      <c r="L476" s="24"/>
      <c r="M476" s="24"/>
    </row>
    <row r="477" spans="12:13">
      <c r="L477" s="24"/>
      <c r="M477" s="24"/>
    </row>
    <row r="478" spans="12:13">
      <c r="L478" s="24"/>
      <c r="M478" s="24"/>
    </row>
    <row r="479" spans="12:13">
      <c r="L479" s="24"/>
      <c r="M479" s="24"/>
    </row>
    <row r="480" spans="12:13">
      <c r="L480" s="24"/>
      <c r="M480" s="24"/>
    </row>
    <row r="481" spans="12:13">
      <c r="L481" s="24"/>
      <c r="M481" s="24"/>
    </row>
    <row r="482" spans="12:13">
      <c r="L482" s="24"/>
      <c r="M482" s="24"/>
    </row>
    <row r="483" spans="12:13">
      <c r="L483" s="24"/>
      <c r="M483" s="24"/>
    </row>
    <row r="484" spans="12:13">
      <c r="L484" s="24"/>
      <c r="M484" s="24"/>
    </row>
    <row r="485" spans="12:13">
      <c r="L485" s="24"/>
      <c r="M485" s="24"/>
    </row>
    <row r="486" spans="12:13">
      <c r="L486" s="24"/>
      <c r="M486" s="24"/>
    </row>
    <row r="487" spans="12:13">
      <c r="L487" s="24"/>
      <c r="M487" s="24"/>
    </row>
    <row r="488" spans="12:13">
      <c r="L488" s="24"/>
      <c r="M488" s="24"/>
    </row>
    <row r="489" spans="12:13">
      <c r="L489" s="24"/>
      <c r="M489" s="24"/>
    </row>
    <row r="490" spans="12:13">
      <c r="L490" s="24"/>
      <c r="M490" s="24"/>
    </row>
    <row r="491" spans="12:13">
      <c r="L491" s="24"/>
      <c r="M491" s="24"/>
    </row>
    <row r="492" spans="12:13">
      <c r="L492" s="24"/>
      <c r="M492" s="24"/>
    </row>
    <row r="493" spans="12:13">
      <c r="L493" s="24"/>
      <c r="M493" s="24"/>
    </row>
    <row r="494" spans="12:13">
      <c r="L494" s="24"/>
      <c r="M494" s="24"/>
    </row>
    <row r="495" spans="12:13">
      <c r="L495" s="24"/>
      <c r="M495" s="24"/>
    </row>
    <row r="496" spans="12:13">
      <c r="L496" s="24"/>
      <c r="M496" s="24"/>
    </row>
    <row r="497" spans="12:13">
      <c r="L497" s="24"/>
      <c r="M497" s="24"/>
    </row>
    <row r="498" spans="12:13">
      <c r="L498" s="24"/>
      <c r="M498" s="24"/>
    </row>
    <row r="499" spans="12:13">
      <c r="L499" s="24"/>
      <c r="M499" s="24"/>
    </row>
    <row r="500" spans="12:13">
      <c r="L500" s="24"/>
      <c r="M500" s="24"/>
    </row>
    <row r="501" spans="12:13">
      <c r="L501" s="24"/>
      <c r="M501" s="24"/>
    </row>
    <row r="502" spans="12:13">
      <c r="L502" s="24"/>
      <c r="M502" s="24"/>
    </row>
    <row r="503" spans="12:13">
      <c r="L503" s="24"/>
      <c r="M503" s="24"/>
    </row>
    <row r="504" spans="12:13">
      <c r="L504" s="24"/>
      <c r="M504" s="24"/>
    </row>
    <row r="505" spans="12:13">
      <c r="L505" s="24"/>
      <c r="M505" s="24"/>
    </row>
    <row r="506" spans="12:13">
      <c r="L506" s="24"/>
      <c r="M506" s="24"/>
    </row>
    <row r="507" spans="12:13">
      <c r="L507" s="24"/>
      <c r="M507" s="24"/>
    </row>
    <row r="508" spans="12:13">
      <c r="L508" s="24"/>
      <c r="M508" s="24"/>
    </row>
    <row r="509" spans="12:13">
      <c r="L509" s="24"/>
      <c r="M509" s="24"/>
    </row>
    <row r="510" spans="12:13">
      <c r="L510" s="24"/>
      <c r="M510" s="24"/>
    </row>
    <row r="511" spans="12:13">
      <c r="L511" s="24"/>
      <c r="M511" s="24"/>
    </row>
    <row r="512" spans="12:13">
      <c r="L512" s="24"/>
      <c r="M512" s="24"/>
    </row>
    <row r="513" spans="12:13">
      <c r="L513" s="24"/>
      <c r="M513" s="24"/>
    </row>
    <row r="514" spans="12:13">
      <c r="L514" s="24"/>
      <c r="M514" s="24"/>
    </row>
    <row r="515" spans="12:13">
      <c r="L515" s="24"/>
      <c r="M515" s="24"/>
    </row>
    <row r="516" spans="12:13">
      <c r="L516" s="24"/>
      <c r="M516" s="24"/>
    </row>
    <row r="517" spans="12:13">
      <c r="L517" s="24"/>
      <c r="M517" s="24"/>
    </row>
    <row r="518" spans="12:13">
      <c r="L518" s="24"/>
      <c r="M518" s="24"/>
    </row>
    <row r="519" spans="12:13">
      <c r="L519" s="24"/>
      <c r="M519" s="24"/>
    </row>
    <row r="520" spans="12:13">
      <c r="L520" s="24"/>
      <c r="M520" s="24"/>
    </row>
    <row r="521" spans="12:13">
      <c r="L521" s="24"/>
      <c r="M521" s="24"/>
    </row>
    <row r="522" spans="12:13">
      <c r="L522" s="24"/>
      <c r="M522" s="24"/>
    </row>
    <row r="523" spans="12:13">
      <c r="L523" s="24"/>
      <c r="M523" s="24"/>
    </row>
    <row r="524" spans="12:13">
      <c r="L524" s="24"/>
      <c r="M524" s="24"/>
    </row>
    <row r="525" spans="12:13">
      <c r="L525" s="24"/>
      <c r="M525" s="24"/>
    </row>
    <row r="526" spans="12:13">
      <c r="L526" s="24"/>
      <c r="M526" s="24"/>
    </row>
    <row r="527" spans="12:13">
      <c r="L527" s="24"/>
      <c r="M527" s="24"/>
    </row>
    <row r="528" spans="12:13">
      <c r="L528" s="24"/>
      <c r="M528" s="24"/>
    </row>
    <row r="529" spans="12:13">
      <c r="L529" s="24"/>
      <c r="M529" s="24"/>
    </row>
    <row r="530" spans="12:13">
      <c r="L530" s="24"/>
      <c r="M530" s="24"/>
    </row>
    <row r="531" spans="12:13">
      <c r="L531" s="24"/>
      <c r="M531" s="24"/>
    </row>
    <row r="532" spans="12:13">
      <c r="L532" s="24"/>
      <c r="M532" s="24"/>
    </row>
    <row r="533" spans="12:13">
      <c r="L533" s="24"/>
      <c r="M533" s="24"/>
    </row>
    <row r="534" spans="12:13">
      <c r="L534" s="24"/>
      <c r="M534" s="24"/>
    </row>
    <row r="535" spans="12:13">
      <c r="L535" s="24"/>
      <c r="M535" s="24"/>
    </row>
    <row r="536" spans="12:13">
      <c r="L536" s="24"/>
      <c r="M536" s="24"/>
    </row>
    <row r="537" spans="12:13">
      <c r="L537" s="24"/>
      <c r="M537" s="24"/>
    </row>
    <row r="538" spans="12:13">
      <c r="L538" s="24"/>
      <c r="M538" s="24"/>
    </row>
    <row r="539" spans="12:13">
      <c r="L539" s="24"/>
      <c r="M539" s="24"/>
    </row>
    <row r="540" spans="12:13">
      <c r="L540" s="24"/>
      <c r="M540" s="24"/>
    </row>
    <row r="541" spans="12:13">
      <c r="L541" s="24"/>
      <c r="M541" s="24"/>
    </row>
    <row r="542" spans="12:13">
      <c r="L542" s="24"/>
      <c r="M542" s="24"/>
    </row>
    <row r="543" spans="12:13">
      <c r="L543" s="24"/>
      <c r="M543" s="24"/>
    </row>
    <row r="544" spans="12:13">
      <c r="L544" s="24"/>
      <c r="M544" s="24"/>
    </row>
    <row r="545" spans="12:13">
      <c r="L545" s="24"/>
      <c r="M545" s="24"/>
    </row>
    <row r="546" spans="12:13">
      <c r="L546" s="24"/>
      <c r="M546" s="24"/>
    </row>
    <row r="547" spans="12:13">
      <c r="L547" s="24"/>
      <c r="M547" s="24"/>
    </row>
    <row r="548" spans="12:13">
      <c r="L548" s="24"/>
      <c r="M548" s="24"/>
    </row>
    <row r="549" spans="12:13">
      <c r="L549" s="24"/>
      <c r="M549" s="24"/>
    </row>
    <row r="550" spans="12:13">
      <c r="L550" s="24"/>
      <c r="M550" s="24"/>
    </row>
    <row r="551" spans="12:13">
      <c r="L551" s="24"/>
      <c r="M551" s="24"/>
    </row>
    <row r="552" spans="12:13">
      <c r="L552" s="24"/>
      <c r="M552" s="24"/>
    </row>
    <row r="553" spans="12:13">
      <c r="L553" s="24"/>
      <c r="M553" s="24"/>
    </row>
    <row r="554" spans="12:13">
      <c r="L554" s="24"/>
      <c r="M554" s="24"/>
    </row>
    <row r="555" spans="12:13">
      <c r="L555" s="24"/>
      <c r="M555" s="24"/>
    </row>
    <row r="556" spans="12:13">
      <c r="L556" s="24"/>
      <c r="M556" s="24"/>
    </row>
    <row r="557" spans="12:13">
      <c r="L557" s="24"/>
      <c r="M557" s="24"/>
    </row>
    <row r="558" spans="12:13">
      <c r="L558" s="24"/>
      <c r="M558" s="24"/>
    </row>
    <row r="559" spans="12:13">
      <c r="L559" s="24"/>
      <c r="M559" s="24"/>
    </row>
    <row r="560" spans="12:13">
      <c r="L560" s="24"/>
      <c r="M560" s="24"/>
    </row>
    <row r="561" spans="12:13">
      <c r="L561" s="24"/>
      <c r="M561" s="24"/>
    </row>
    <row r="562" spans="12:13">
      <c r="L562" s="24"/>
      <c r="M562" s="24"/>
    </row>
    <row r="563" spans="12:13">
      <c r="L563" s="24"/>
      <c r="M563" s="24"/>
    </row>
    <row r="564" spans="12:13">
      <c r="L564" s="24"/>
      <c r="M564" s="24"/>
    </row>
    <row r="565" spans="12:13">
      <c r="L565" s="24"/>
      <c r="M565" s="24"/>
    </row>
    <row r="566" spans="12:13">
      <c r="L566" s="24"/>
      <c r="M566" s="24"/>
    </row>
    <row r="567" spans="12:13">
      <c r="L567" s="24"/>
      <c r="M567" s="24"/>
    </row>
    <row r="568" spans="12:13">
      <c r="L568" s="24"/>
      <c r="M568" s="24"/>
    </row>
    <row r="569" spans="12:13">
      <c r="L569" s="24"/>
      <c r="M569" s="24"/>
    </row>
    <row r="570" spans="12:13">
      <c r="L570" s="24"/>
      <c r="M570" s="24"/>
    </row>
    <row r="571" spans="12:13">
      <c r="L571" s="24"/>
      <c r="M571" s="24"/>
    </row>
    <row r="572" spans="12:13">
      <c r="L572" s="24"/>
      <c r="M572" s="24"/>
    </row>
    <row r="573" spans="12:13">
      <c r="L573" s="24"/>
      <c r="M573" s="24"/>
    </row>
    <row r="574" spans="12:13">
      <c r="L574" s="24"/>
      <c r="M574" s="24"/>
    </row>
    <row r="575" spans="12:13">
      <c r="L575" s="24"/>
      <c r="M575" s="24"/>
    </row>
    <row r="576" spans="12:13">
      <c r="L576" s="24"/>
      <c r="M576" s="24"/>
    </row>
    <row r="577" spans="12:13">
      <c r="L577" s="24"/>
      <c r="M577" s="24"/>
    </row>
    <row r="578" spans="12:13">
      <c r="L578" s="24"/>
      <c r="M578" s="24"/>
    </row>
    <row r="579" spans="12:13">
      <c r="L579" s="24"/>
      <c r="M579" s="24"/>
    </row>
    <row r="580" spans="12:13">
      <c r="L580" s="24"/>
      <c r="M580" s="24"/>
    </row>
    <row r="581" spans="12:13">
      <c r="L581" s="24"/>
      <c r="M581" s="24"/>
    </row>
    <row r="582" spans="12:13">
      <c r="L582" s="24"/>
      <c r="M582" s="24"/>
    </row>
    <row r="583" spans="12:13">
      <c r="L583" s="24"/>
      <c r="M583" s="24"/>
    </row>
    <row r="584" spans="12:13">
      <c r="L584" s="24"/>
      <c r="M584" s="24"/>
    </row>
    <row r="585" spans="12:13">
      <c r="L585" s="24"/>
      <c r="M585" s="24"/>
    </row>
    <row r="586" spans="12:13">
      <c r="L586" s="24"/>
      <c r="M586" s="24"/>
    </row>
    <row r="587" spans="12:13">
      <c r="L587" s="24"/>
      <c r="M587" s="24"/>
    </row>
    <row r="588" spans="12:13">
      <c r="L588" s="24"/>
      <c r="M588" s="24"/>
    </row>
    <row r="589" spans="12:13">
      <c r="L589" s="24"/>
      <c r="M589" s="24"/>
    </row>
    <row r="590" spans="12:13">
      <c r="L590" s="24"/>
      <c r="M590" s="24"/>
    </row>
    <row r="591" spans="12:13">
      <c r="L591" s="24"/>
      <c r="M591" s="24"/>
    </row>
    <row r="592" spans="12:13">
      <c r="L592" s="24"/>
      <c r="M592" s="24"/>
    </row>
    <row r="593" spans="12:13">
      <c r="L593" s="24"/>
      <c r="M593" s="24"/>
    </row>
    <row r="594" spans="12:13">
      <c r="L594" s="24"/>
      <c r="M594" s="24"/>
    </row>
    <row r="595" spans="12:13">
      <c r="L595" s="24"/>
      <c r="M595" s="24"/>
    </row>
    <row r="596" spans="12:13">
      <c r="L596" s="24"/>
      <c r="M596" s="24"/>
    </row>
    <row r="597" spans="12:13">
      <c r="L597" s="24"/>
      <c r="M597" s="24"/>
    </row>
    <row r="598" spans="12:13">
      <c r="L598" s="24"/>
      <c r="M598" s="24"/>
    </row>
    <row r="599" spans="12:13">
      <c r="L599" s="24"/>
      <c r="M599" s="24"/>
    </row>
    <row r="600" spans="12:13">
      <c r="L600" s="24"/>
      <c r="M600" s="24"/>
    </row>
    <row r="601" spans="12:13">
      <c r="L601" s="24"/>
      <c r="M601" s="24"/>
    </row>
    <row r="602" spans="12:13">
      <c r="L602" s="24"/>
      <c r="M602" s="24"/>
    </row>
    <row r="603" spans="12:13">
      <c r="L603" s="24"/>
      <c r="M603" s="24"/>
    </row>
    <row r="604" spans="12:13">
      <c r="L604" s="24"/>
      <c r="M604" s="24"/>
    </row>
    <row r="605" spans="12:13">
      <c r="L605" s="24"/>
      <c r="M605" s="24"/>
    </row>
    <row r="606" spans="12:13">
      <c r="L606" s="24"/>
      <c r="M606" s="24"/>
    </row>
    <row r="607" spans="12:13">
      <c r="L607" s="24"/>
      <c r="M607" s="24"/>
    </row>
    <row r="608" spans="12:13">
      <c r="L608" s="24"/>
      <c r="M608" s="24"/>
    </row>
    <row r="609" spans="12:13">
      <c r="L609" s="24"/>
      <c r="M609" s="24"/>
    </row>
    <row r="610" spans="12:13">
      <c r="L610" s="24"/>
      <c r="M610" s="24"/>
    </row>
    <row r="611" spans="12:13">
      <c r="L611" s="24"/>
      <c r="M611" s="24"/>
    </row>
    <row r="612" spans="12:13">
      <c r="L612" s="24"/>
      <c r="M612" s="24"/>
    </row>
    <row r="613" spans="12:13">
      <c r="L613" s="24"/>
      <c r="M613" s="24"/>
    </row>
    <row r="614" spans="12:13">
      <c r="L614" s="24"/>
      <c r="M614" s="24"/>
    </row>
    <row r="615" spans="12:13">
      <c r="L615" s="24"/>
      <c r="M615" s="24"/>
    </row>
    <row r="616" spans="12:13">
      <c r="L616" s="24"/>
      <c r="M616" s="24"/>
    </row>
    <row r="617" spans="12:13">
      <c r="L617" s="24"/>
      <c r="M617" s="24"/>
    </row>
    <row r="618" spans="12:13">
      <c r="L618" s="24"/>
      <c r="M618" s="24"/>
    </row>
    <row r="619" spans="12:13">
      <c r="L619" s="24"/>
      <c r="M619" s="24"/>
    </row>
    <row r="620" spans="12:13">
      <c r="L620" s="24"/>
      <c r="M620" s="24"/>
    </row>
    <row r="621" spans="12:13">
      <c r="L621" s="24"/>
      <c r="M621" s="24"/>
    </row>
    <row r="622" spans="12:13">
      <c r="L622" s="24"/>
      <c r="M622" s="24"/>
    </row>
    <row r="623" spans="12:13">
      <c r="L623" s="24"/>
      <c r="M623" s="24"/>
    </row>
    <row r="624" spans="12:13">
      <c r="L624" s="24"/>
      <c r="M624" s="24"/>
    </row>
    <row r="625" spans="12:13">
      <c r="L625" s="24"/>
      <c r="M625" s="24"/>
    </row>
    <row r="626" spans="12:13">
      <c r="L626" s="24"/>
      <c r="M626" s="24"/>
    </row>
    <row r="627" spans="12:13">
      <c r="L627" s="24"/>
      <c r="M627" s="24"/>
    </row>
    <row r="628" spans="12:13">
      <c r="L628" s="24"/>
      <c r="M628" s="24"/>
    </row>
    <row r="629" spans="12:13">
      <c r="L629" s="24"/>
      <c r="M629" s="24"/>
    </row>
    <row r="630" spans="12:13">
      <c r="L630" s="24"/>
      <c r="M630" s="24"/>
    </row>
    <row r="631" spans="12:13">
      <c r="L631" s="24"/>
      <c r="M631" s="24"/>
    </row>
    <row r="632" spans="12:13">
      <c r="L632" s="24"/>
      <c r="M632" s="24"/>
    </row>
    <row r="633" spans="12:13">
      <c r="L633" s="24"/>
      <c r="M633" s="24"/>
    </row>
    <row r="634" spans="12:13">
      <c r="L634" s="24"/>
      <c r="M634" s="24"/>
    </row>
    <row r="635" spans="12:13">
      <c r="L635" s="24"/>
      <c r="M635" s="24"/>
    </row>
    <row r="636" spans="12:13">
      <c r="L636" s="24"/>
      <c r="M636" s="24"/>
    </row>
    <row r="637" spans="12:13">
      <c r="L637" s="24"/>
      <c r="M637" s="24"/>
    </row>
    <row r="638" spans="12:13">
      <c r="L638" s="24"/>
      <c r="M638" s="24"/>
    </row>
    <row r="639" spans="12:13">
      <c r="L639" s="24"/>
      <c r="M639" s="24"/>
    </row>
    <row r="640" spans="12:13">
      <c r="L640" s="24"/>
      <c r="M640" s="24"/>
    </row>
    <row r="641" spans="12:13">
      <c r="L641" s="24"/>
      <c r="M641" s="24"/>
    </row>
    <row r="642" spans="12:13">
      <c r="L642" s="24"/>
      <c r="M642" s="24"/>
    </row>
    <row r="643" spans="12:13">
      <c r="L643" s="24"/>
      <c r="M643" s="24"/>
    </row>
    <row r="644" spans="12:13">
      <c r="L644" s="24"/>
      <c r="M644" s="24"/>
    </row>
    <row r="645" spans="12:13">
      <c r="L645" s="24"/>
      <c r="M645" s="24"/>
    </row>
    <row r="646" spans="12:13">
      <c r="L646" s="24"/>
      <c r="M646" s="24"/>
    </row>
    <row r="647" spans="12:13">
      <c r="L647" s="24"/>
      <c r="M647" s="24"/>
    </row>
    <row r="648" spans="12:13">
      <c r="L648" s="24"/>
      <c r="M648" s="24"/>
    </row>
    <row r="649" spans="12:13">
      <c r="L649" s="24"/>
      <c r="M649" s="24"/>
    </row>
    <row r="650" spans="12:13">
      <c r="L650" s="24"/>
      <c r="M650" s="24"/>
    </row>
    <row r="651" spans="12:13">
      <c r="L651" s="24"/>
      <c r="M651" s="24"/>
    </row>
    <row r="652" spans="12:13">
      <c r="L652" s="24"/>
      <c r="M652" s="24"/>
    </row>
    <row r="653" spans="12:13">
      <c r="L653" s="24"/>
      <c r="M653" s="24"/>
    </row>
    <row r="654" spans="12:13">
      <c r="L654" s="24"/>
      <c r="M654" s="24"/>
    </row>
    <row r="655" spans="12:13">
      <c r="L655" s="24"/>
      <c r="M655" s="24"/>
    </row>
    <row r="656" spans="12:13">
      <c r="L656" s="24"/>
      <c r="M656" s="24"/>
    </row>
    <row r="657" spans="12:13">
      <c r="L657" s="24"/>
      <c r="M657" s="24"/>
    </row>
    <row r="658" spans="12:13">
      <c r="L658" s="24"/>
      <c r="M658" s="24"/>
    </row>
    <row r="659" spans="12:13">
      <c r="L659" s="24"/>
      <c r="M659" s="24"/>
    </row>
    <row r="660" spans="12:13">
      <c r="L660" s="24"/>
      <c r="M660" s="24"/>
    </row>
    <row r="661" spans="12:13">
      <c r="L661" s="24"/>
      <c r="M661" s="24"/>
    </row>
    <row r="662" spans="12:13">
      <c r="L662" s="24"/>
      <c r="M662" s="24"/>
    </row>
    <row r="663" spans="12:13">
      <c r="L663" s="24"/>
      <c r="M663" s="24"/>
    </row>
    <row r="664" spans="12:13">
      <c r="L664" s="24"/>
      <c r="M664" s="24"/>
    </row>
    <row r="665" spans="12:13">
      <c r="L665" s="24"/>
      <c r="M665" s="24"/>
    </row>
    <row r="666" spans="12:13">
      <c r="L666" s="24"/>
      <c r="M666" s="24"/>
    </row>
    <row r="667" spans="12:13">
      <c r="L667" s="24"/>
      <c r="M667" s="24"/>
    </row>
    <row r="668" spans="12:13">
      <c r="L668" s="24"/>
      <c r="M668" s="24"/>
    </row>
    <row r="669" spans="12:13">
      <c r="L669" s="24"/>
      <c r="M669" s="24"/>
    </row>
    <row r="670" spans="12:13">
      <c r="L670" s="24"/>
      <c r="M670" s="24"/>
    </row>
    <row r="671" spans="12:13">
      <c r="L671" s="24"/>
      <c r="M671" s="24"/>
    </row>
    <row r="672" spans="12:13">
      <c r="L672" s="24"/>
      <c r="M672" s="24"/>
    </row>
    <row r="673" spans="12:13">
      <c r="L673" s="24"/>
      <c r="M673" s="24"/>
    </row>
    <row r="674" spans="12:13">
      <c r="L674" s="24"/>
      <c r="M674" s="24"/>
    </row>
    <row r="675" spans="12:13">
      <c r="L675" s="24"/>
      <c r="M675" s="24"/>
    </row>
    <row r="676" spans="12:13">
      <c r="L676" s="24"/>
      <c r="M676" s="24"/>
    </row>
    <row r="677" spans="12:13">
      <c r="L677" s="24"/>
      <c r="M677" s="24"/>
    </row>
    <row r="678" spans="12:13">
      <c r="L678" s="24"/>
      <c r="M678" s="24"/>
    </row>
    <row r="679" spans="12:13">
      <c r="L679" s="24"/>
      <c r="M679" s="24"/>
    </row>
    <row r="680" spans="12:13">
      <c r="L680" s="24"/>
      <c r="M680" s="24"/>
    </row>
    <row r="681" spans="12:13">
      <c r="L681" s="24"/>
      <c r="M681" s="24"/>
    </row>
    <row r="682" spans="12:13">
      <c r="L682" s="24"/>
      <c r="M682" s="24"/>
    </row>
    <row r="683" spans="12:13">
      <c r="L683" s="24"/>
      <c r="M683" s="24"/>
    </row>
    <row r="684" spans="12:13">
      <c r="L684" s="24"/>
      <c r="M684" s="24"/>
    </row>
    <row r="685" spans="12:13">
      <c r="L685" s="24"/>
      <c r="M685" s="24"/>
    </row>
    <row r="686" spans="12:13">
      <c r="L686" s="24"/>
      <c r="M686" s="24"/>
    </row>
    <row r="687" spans="12:13">
      <c r="L687" s="24"/>
      <c r="M687" s="24"/>
    </row>
    <row r="688" spans="12:13">
      <c r="L688" s="24"/>
      <c r="M688" s="24"/>
    </row>
    <row r="689" spans="12:13">
      <c r="L689" s="24"/>
      <c r="M689" s="24"/>
    </row>
    <row r="690" spans="12:13">
      <c r="L690" s="24"/>
      <c r="M690" s="24"/>
    </row>
    <row r="691" spans="12:13">
      <c r="L691" s="24"/>
      <c r="M691" s="24"/>
    </row>
    <row r="692" spans="12:13">
      <c r="L692" s="24"/>
      <c r="M692" s="24"/>
    </row>
    <row r="693" spans="12:13">
      <c r="L693" s="24"/>
      <c r="M693" s="24"/>
    </row>
    <row r="694" spans="12:13">
      <c r="L694" s="24"/>
      <c r="M694" s="24"/>
    </row>
    <row r="695" spans="12:13">
      <c r="L695" s="24"/>
      <c r="M695" s="24"/>
    </row>
    <row r="696" spans="12:13">
      <c r="L696" s="24"/>
      <c r="M696" s="24"/>
    </row>
    <row r="697" spans="12:13">
      <c r="L697" s="24"/>
      <c r="M697" s="24"/>
    </row>
    <row r="698" spans="12:13">
      <c r="L698" s="24"/>
      <c r="M698" s="24"/>
    </row>
    <row r="699" spans="12:13">
      <c r="L699" s="24"/>
      <c r="M699" s="24"/>
    </row>
    <row r="700" spans="12:13">
      <c r="L700" s="24"/>
      <c r="M700" s="24"/>
    </row>
    <row r="701" spans="12:13">
      <c r="L701" s="24"/>
      <c r="M701" s="24"/>
    </row>
    <row r="702" spans="12:13">
      <c r="L702" s="24"/>
      <c r="M702" s="24"/>
    </row>
    <row r="703" spans="12:13">
      <c r="L703" s="24"/>
      <c r="M703" s="24"/>
    </row>
    <row r="704" spans="12:13">
      <c r="L704" s="24"/>
      <c r="M704" s="24"/>
    </row>
    <row r="705" spans="12:13">
      <c r="L705" s="24"/>
      <c r="M705" s="24"/>
    </row>
    <row r="706" spans="12:13">
      <c r="L706" s="24"/>
      <c r="M706" s="24"/>
    </row>
    <row r="707" spans="12:13">
      <c r="L707" s="24"/>
      <c r="M707" s="24"/>
    </row>
    <row r="708" spans="12:13">
      <c r="L708" s="24"/>
      <c r="M708" s="24"/>
    </row>
    <row r="709" spans="12:13">
      <c r="L709" s="24"/>
      <c r="M709" s="24"/>
    </row>
    <row r="710" spans="12:13">
      <c r="L710" s="24"/>
      <c r="M710" s="24"/>
    </row>
    <row r="711" spans="12:13">
      <c r="L711" s="24"/>
      <c r="M711" s="24"/>
    </row>
    <row r="712" spans="12:13">
      <c r="L712" s="24"/>
      <c r="M712" s="24"/>
    </row>
    <row r="713" spans="12:13">
      <c r="L713" s="24"/>
      <c r="M713" s="24"/>
    </row>
    <row r="714" spans="12:13">
      <c r="L714" s="24"/>
      <c r="M714" s="24"/>
    </row>
    <row r="715" spans="12:13">
      <c r="L715" s="24"/>
      <c r="M715" s="24"/>
    </row>
    <row r="716" spans="12:13">
      <c r="L716" s="24"/>
      <c r="M716" s="24"/>
    </row>
    <row r="717" spans="12:13">
      <c r="L717" s="24"/>
      <c r="M717" s="24"/>
    </row>
    <row r="718" spans="12:13">
      <c r="L718" s="24"/>
      <c r="M718" s="24"/>
    </row>
    <row r="719" spans="12:13">
      <c r="L719" s="24"/>
      <c r="M719" s="24"/>
    </row>
    <row r="720" spans="12:13">
      <c r="L720" s="24"/>
      <c r="M720" s="24"/>
    </row>
    <row r="721" spans="12:13">
      <c r="L721" s="24"/>
      <c r="M721" s="24"/>
    </row>
    <row r="722" spans="12:13">
      <c r="L722" s="24"/>
      <c r="M722" s="24"/>
    </row>
    <row r="723" spans="12:13">
      <c r="L723" s="24"/>
      <c r="M723" s="24"/>
    </row>
    <row r="724" spans="12:13">
      <c r="L724" s="24"/>
      <c r="M724" s="24"/>
    </row>
    <row r="725" spans="12:13">
      <c r="L725" s="24"/>
      <c r="M725" s="24"/>
    </row>
    <row r="726" spans="12:13">
      <c r="L726" s="24"/>
      <c r="M726" s="24"/>
    </row>
    <row r="727" spans="12:13">
      <c r="L727" s="24"/>
      <c r="M727" s="24"/>
    </row>
    <row r="728" spans="12:13">
      <c r="L728" s="24"/>
      <c r="M728" s="24"/>
    </row>
    <row r="729" spans="12:13">
      <c r="L729" s="24"/>
      <c r="M729" s="24"/>
    </row>
    <row r="730" spans="12:13">
      <c r="L730" s="24"/>
      <c r="M730" s="24"/>
    </row>
    <row r="731" spans="12:13">
      <c r="L731" s="24"/>
      <c r="M731" s="24"/>
    </row>
    <row r="732" spans="12:13">
      <c r="L732" s="24"/>
      <c r="M732" s="24"/>
    </row>
    <row r="733" spans="12:13">
      <c r="L733" s="24"/>
      <c r="M733" s="24"/>
    </row>
    <row r="734" spans="12:13">
      <c r="L734" s="24"/>
      <c r="M734" s="24"/>
    </row>
    <row r="735" spans="12:13">
      <c r="L735" s="24"/>
      <c r="M735" s="24"/>
    </row>
    <row r="736" spans="12:13">
      <c r="L736" s="24"/>
      <c r="M736" s="24"/>
    </row>
    <row r="737" spans="12:13">
      <c r="L737" s="24"/>
      <c r="M737" s="24"/>
    </row>
    <row r="738" spans="12:13">
      <c r="L738" s="24"/>
      <c r="M738" s="24"/>
    </row>
    <row r="739" spans="12:13">
      <c r="L739" s="24"/>
      <c r="M739" s="24"/>
    </row>
    <row r="740" spans="12:13">
      <c r="L740" s="24"/>
      <c r="M740" s="24"/>
    </row>
    <row r="741" spans="12:13">
      <c r="L741" s="24"/>
      <c r="M741" s="24"/>
    </row>
    <row r="742" spans="12:13">
      <c r="L742" s="24"/>
      <c r="M742" s="24"/>
    </row>
    <row r="743" spans="12:13">
      <c r="L743" s="24"/>
      <c r="M743" s="24"/>
    </row>
    <row r="744" spans="12:13">
      <c r="L744" s="24"/>
      <c r="M744" s="24"/>
    </row>
    <row r="745" spans="12:13">
      <c r="L745" s="24"/>
      <c r="M745" s="24"/>
    </row>
    <row r="746" spans="12:13">
      <c r="L746" s="24"/>
      <c r="M746" s="24"/>
    </row>
    <row r="747" spans="12:13">
      <c r="L747" s="24"/>
      <c r="M747" s="24"/>
    </row>
    <row r="748" spans="12:13">
      <c r="L748" s="24"/>
      <c r="M748" s="24"/>
    </row>
    <row r="749" spans="12:13">
      <c r="L749" s="24"/>
      <c r="M749" s="24"/>
    </row>
    <row r="750" spans="12:13">
      <c r="L750" s="24"/>
      <c r="M750" s="24"/>
    </row>
    <row r="751" spans="12:13">
      <c r="L751" s="24"/>
      <c r="M751" s="24"/>
    </row>
    <row r="752" spans="12:13">
      <c r="L752" s="24"/>
      <c r="M752" s="24"/>
    </row>
    <row r="753" spans="12:13">
      <c r="L753" s="24"/>
      <c r="M753" s="24"/>
    </row>
    <row r="754" spans="12:13">
      <c r="L754" s="24"/>
      <c r="M754" s="24"/>
    </row>
    <row r="755" spans="12:13">
      <c r="L755" s="24"/>
      <c r="M755" s="24"/>
    </row>
    <row r="756" spans="12:13">
      <c r="L756" s="24"/>
      <c r="M756" s="24"/>
    </row>
    <row r="757" spans="12:13">
      <c r="L757" s="24"/>
      <c r="M757" s="24"/>
    </row>
    <row r="758" spans="12:13">
      <c r="L758" s="24"/>
      <c r="M758" s="24"/>
    </row>
    <row r="759" spans="12:13">
      <c r="L759" s="24"/>
      <c r="M759" s="24"/>
    </row>
    <row r="760" spans="12:13">
      <c r="L760" s="24"/>
      <c r="M760" s="24"/>
    </row>
    <row r="761" spans="12:13">
      <c r="L761" s="24"/>
      <c r="M761" s="24"/>
    </row>
    <row r="762" spans="12:13">
      <c r="L762" s="24"/>
      <c r="M762" s="24"/>
    </row>
    <row r="763" spans="12:13">
      <c r="L763" s="24"/>
      <c r="M763" s="24"/>
    </row>
    <row r="764" spans="12:13">
      <c r="L764" s="24"/>
      <c r="M764" s="24"/>
    </row>
    <row r="765" spans="12:13">
      <c r="L765" s="24"/>
      <c r="M765" s="24"/>
    </row>
    <row r="766" spans="12:13">
      <c r="L766" s="24"/>
      <c r="M766" s="24"/>
    </row>
    <row r="767" spans="12:13">
      <c r="L767" s="24"/>
      <c r="M767" s="24"/>
    </row>
    <row r="768" spans="12:13">
      <c r="L768" s="24"/>
      <c r="M768" s="24"/>
    </row>
    <row r="769" spans="12:13">
      <c r="L769" s="24"/>
      <c r="M769" s="24"/>
    </row>
    <row r="770" spans="12:13">
      <c r="L770" s="24"/>
      <c r="M770" s="24"/>
    </row>
    <row r="771" spans="12:13">
      <c r="L771" s="24"/>
      <c r="M771" s="24"/>
    </row>
    <row r="772" spans="12:13">
      <c r="L772" s="24"/>
      <c r="M772" s="24"/>
    </row>
    <row r="773" spans="12:13">
      <c r="L773" s="24"/>
      <c r="M773" s="24"/>
    </row>
    <row r="774" spans="12:13">
      <c r="L774" s="24"/>
      <c r="M774" s="24"/>
    </row>
    <row r="775" spans="12:13">
      <c r="L775" s="24"/>
      <c r="M775" s="24"/>
    </row>
    <row r="776" spans="12:13">
      <c r="L776" s="24"/>
      <c r="M776" s="24"/>
    </row>
    <row r="777" spans="12:13">
      <c r="L777" s="24"/>
      <c r="M777" s="24"/>
    </row>
    <row r="778" spans="12:13">
      <c r="L778" s="24"/>
      <c r="M778" s="24"/>
    </row>
    <row r="779" spans="12:13">
      <c r="L779" s="24"/>
      <c r="M779" s="24"/>
    </row>
    <row r="780" spans="12:13">
      <c r="L780" s="24"/>
      <c r="M780" s="24"/>
    </row>
    <row r="781" spans="12:13">
      <c r="L781" s="24"/>
      <c r="M781" s="24"/>
    </row>
    <row r="782" spans="12:13">
      <c r="L782" s="24"/>
      <c r="M782" s="24"/>
    </row>
    <row r="783" spans="12:13">
      <c r="L783" s="24"/>
      <c r="M783" s="24"/>
    </row>
    <row r="784" spans="12:13">
      <c r="L784" s="24"/>
      <c r="M784" s="24"/>
    </row>
    <row r="785" spans="12:13">
      <c r="L785" s="24"/>
      <c r="M785" s="24"/>
    </row>
    <row r="786" spans="12:13">
      <c r="L786" s="24"/>
      <c r="M786" s="24"/>
    </row>
    <row r="787" spans="12:13">
      <c r="L787" s="24"/>
      <c r="M787" s="24"/>
    </row>
    <row r="788" spans="12:13">
      <c r="L788" s="24"/>
      <c r="M788" s="24"/>
    </row>
    <row r="789" spans="12:13">
      <c r="L789" s="24"/>
      <c r="M789" s="24"/>
    </row>
    <row r="790" spans="12:13">
      <c r="L790" s="24"/>
      <c r="M790" s="24"/>
    </row>
    <row r="791" spans="12:13">
      <c r="L791" s="24"/>
      <c r="M791" s="24"/>
    </row>
    <row r="792" spans="12:13">
      <c r="L792" s="24"/>
      <c r="M792" s="24"/>
    </row>
    <row r="793" spans="12:13">
      <c r="L793" s="24"/>
      <c r="M793" s="24"/>
    </row>
    <row r="794" spans="12:13">
      <c r="L794" s="24"/>
      <c r="M794" s="24"/>
    </row>
    <row r="795" spans="12:13">
      <c r="L795" s="24"/>
      <c r="M795" s="24"/>
    </row>
    <row r="796" spans="12:13">
      <c r="L796" s="24"/>
      <c r="M796" s="24"/>
    </row>
    <row r="797" spans="12:13">
      <c r="L797" s="24"/>
      <c r="M797" s="24"/>
    </row>
    <row r="798" spans="12:13">
      <c r="L798" s="24"/>
      <c r="M798" s="24"/>
    </row>
    <row r="799" spans="12:13">
      <c r="L799" s="24"/>
      <c r="M799" s="24"/>
    </row>
    <row r="800" spans="12:13">
      <c r="L800" s="24"/>
      <c r="M800" s="24"/>
    </row>
    <row r="801" spans="12:13">
      <c r="L801" s="24"/>
      <c r="M801" s="24"/>
    </row>
    <row r="802" spans="12:13">
      <c r="L802" s="24"/>
      <c r="M802" s="24"/>
    </row>
    <row r="803" spans="12:13">
      <c r="L803" s="24"/>
      <c r="M803" s="24"/>
    </row>
    <row r="804" spans="12:13">
      <c r="L804" s="24"/>
      <c r="M804" s="24"/>
    </row>
    <row r="805" spans="12:13">
      <c r="L805" s="24"/>
      <c r="M805" s="24"/>
    </row>
    <row r="806" spans="12:13">
      <c r="L806" s="24"/>
      <c r="M806" s="24"/>
    </row>
    <row r="807" spans="12:13">
      <c r="L807" s="24"/>
      <c r="M807" s="24"/>
    </row>
    <row r="808" spans="12:13">
      <c r="L808" s="24"/>
      <c r="M808" s="24"/>
    </row>
    <row r="809" spans="12:13">
      <c r="L809" s="24"/>
      <c r="M809" s="24"/>
    </row>
    <row r="810" spans="12:13">
      <c r="L810" s="24"/>
      <c r="M810" s="24"/>
    </row>
    <row r="811" spans="12:13">
      <c r="L811" s="24"/>
      <c r="M811" s="24"/>
    </row>
    <row r="812" spans="12:13">
      <c r="L812" s="24"/>
      <c r="M812" s="24"/>
    </row>
    <row r="813" spans="12:13">
      <c r="L813" s="24"/>
      <c r="M813" s="24"/>
    </row>
    <row r="814" spans="12:13">
      <c r="L814" s="24"/>
      <c r="M814" s="24"/>
    </row>
    <row r="815" spans="12:13">
      <c r="L815" s="24"/>
      <c r="M815" s="24"/>
    </row>
    <row r="816" spans="12:13">
      <c r="L816" s="24"/>
      <c r="M816" s="24"/>
    </row>
    <row r="817" spans="12:13">
      <c r="L817" s="24"/>
      <c r="M817" s="24"/>
    </row>
    <row r="818" spans="12:13">
      <c r="L818" s="24"/>
      <c r="M818" s="24"/>
    </row>
    <row r="819" spans="12:13">
      <c r="L819" s="24"/>
      <c r="M819" s="24"/>
    </row>
    <row r="820" spans="12:13">
      <c r="L820" s="24"/>
      <c r="M820" s="24"/>
    </row>
    <row r="821" spans="12:13">
      <c r="L821" s="24"/>
      <c r="M821" s="24"/>
    </row>
    <row r="822" spans="12:13">
      <c r="L822" s="24"/>
      <c r="M822" s="24"/>
    </row>
    <row r="823" spans="12:13">
      <c r="L823" s="24"/>
      <c r="M823" s="24"/>
    </row>
    <row r="824" spans="12:13">
      <c r="L824" s="24"/>
      <c r="M824" s="24"/>
    </row>
    <row r="825" spans="12:13">
      <c r="L825" s="24"/>
      <c r="M825" s="24"/>
    </row>
    <row r="826" spans="12:13">
      <c r="L826" s="24"/>
      <c r="M826" s="24"/>
    </row>
    <row r="827" spans="12:13">
      <c r="L827" s="24"/>
      <c r="M827" s="24"/>
    </row>
    <row r="828" spans="12:13">
      <c r="L828" s="24"/>
      <c r="M828" s="24"/>
    </row>
    <row r="829" spans="12:13">
      <c r="L829" s="24"/>
      <c r="M829" s="24"/>
    </row>
    <row r="830" spans="12:13">
      <c r="L830" s="24"/>
      <c r="M830" s="24"/>
    </row>
    <row r="831" spans="12:13">
      <c r="L831" s="24"/>
      <c r="M831" s="24"/>
    </row>
    <row r="832" spans="12:13">
      <c r="L832" s="24"/>
      <c r="M832" s="24"/>
    </row>
    <row r="833" spans="12:13">
      <c r="L833" s="24"/>
      <c r="M833" s="24"/>
    </row>
    <row r="834" spans="12:13">
      <c r="L834" s="24"/>
      <c r="M834" s="24"/>
    </row>
    <row r="835" spans="12:13">
      <c r="L835" s="24"/>
      <c r="M835" s="24"/>
    </row>
    <row r="836" spans="12:13">
      <c r="L836" s="24"/>
      <c r="M836" s="24"/>
    </row>
    <row r="837" spans="12:13">
      <c r="L837" s="24"/>
      <c r="M837" s="24"/>
    </row>
    <row r="838" spans="12:13">
      <c r="L838" s="24"/>
      <c r="M838" s="24"/>
    </row>
    <row r="839" spans="12:13">
      <c r="L839" s="24"/>
      <c r="M839" s="24"/>
    </row>
    <row r="840" spans="12:13">
      <c r="L840" s="24"/>
      <c r="M840" s="24"/>
    </row>
    <row r="841" spans="12:13">
      <c r="L841" s="24"/>
      <c r="M841" s="24"/>
    </row>
    <row r="842" spans="12:13">
      <c r="L842" s="24"/>
      <c r="M842" s="24"/>
    </row>
    <row r="843" spans="12:13">
      <c r="L843" s="24"/>
      <c r="M843" s="24"/>
    </row>
    <row r="844" spans="12:13">
      <c r="L844" s="24"/>
      <c r="M844" s="24"/>
    </row>
    <row r="845" spans="12:13">
      <c r="L845" s="24"/>
      <c r="M845" s="24"/>
    </row>
    <row r="846" spans="12:13">
      <c r="L846" s="24"/>
      <c r="M846" s="24"/>
    </row>
    <row r="847" spans="12:13">
      <c r="L847" s="24"/>
      <c r="M847" s="24"/>
    </row>
    <row r="848" spans="12:13">
      <c r="L848" s="24"/>
      <c r="M848" s="24"/>
    </row>
    <row r="849" spans="12:13">
      <c r="L849" s="24"/>
      <c r="M849" s="24"/>
    </row>
    <row r="850" spans="12:13">
      <c r="L850" s="24"/>
      <c r="M850" s="24"/>
    </row>
    <row r="851" spans="12:13">
      <c r="L851" s="24"/>
      <c r="M851" s="24"/>
    </row>
    <row r="852" spans="12:13">
      <c r="L852" s="24"/>
      <c r="M852" s="24"/>
    </row>
    <row r="853" spans="12:13">
      <c r="L853" s="24"/>
      <c r="M853" s="24"/>
    </row>
    <row r="854" spans="12:13">
      <c r="L854" s="24"/>
      <c r="M854" s="24"/>
    </row>
    <row r="855" spans="12:13">
      <c r="L855" s="24"/>
      <c r="M855" s="24"/>
    </row>
    <row r="856" spans="12:13">
      <c r="L856" s="24"/>
      <c r="M856" s="24"/>
    </row>
    <row r="857" spans="12:13">
      <c r="L857" s="24"/>
      <c r="M857" s="24"/>
    </row>
    <row r="858" spans="12:13">
      <c r="L858" s="24"/>
      <c r="M858" s="24"/>
    </row>
    <row r="859" spans="12:13">
      <c r="L859" s="24"/>
      <c r="M859" s="24"/>
    </row>
    <row r="860" spans="12:13">
      <c r="L860" s="24"/>
      <c r="M860" s="24"/>
    </row>
    <row r="861" spans="12:13">
      <c r="L861" s="24"/>
      <c r="M861" s="24"/>
    </row>
    <row r="862" spans="12:13">
      <c r="L862" s="24"/>
      <c r="M862" s="24"/>
    </row>
    <row r="863" spans="12:13">
      <c r="L863" s="24"/>
      <c r="M863" s="24"/>
    </row>
    <row r="864" spans="12:13">
      <c r="L864" s="24"/>
      <c r="M864" s="24"/>
    </row>
    <row r="865" spans="12:13">
      <c r="L865" s="24"/>
      <c r="M865" s="24"/>
    </row>
    <row r="866" spans="12:13">
      <c r="L866" s="24"/>
      <c r="M866" s="24"/>
    </row>
    <row r="867" spans="12:13">
      <c r="L867" s="24"/>
      <c r="M867" s="24"/>
    </row>
    <row r="868" spans="12:13">
      <c r="L868" s="24"/>
      <c r="M868" s="24"/>
    </row>
    <row r="869" spans="12:13">
      <c r="L869" s="24"/>
      <c r="M869" s="24"/>
    </row>
    <row r="870" spans="12:13">
      <c r="L870" s="24"/>
      <c r="M870" s="24"/>
    </row>
    <row r="871" spans="12:13">
      <c r="L871" s="24"/>
      <c r="M871" s="24"/>
    </row>
    <row r="872" spans="12:13">
      <c r="L872" s="24"/>
      <c r="M872" s="24"/>
    </row>
    <row r="873" spans="12:13">
      <c r="L873" s="24"/>
      <c r="M873" s="24"/>
    </row>
    <row r="874" spans="12:13">
      <c r="L874" s="24"/>
      <c r="M874" s="24"/>
    </row>
    <row r="875" spans="12:13">
      <c r="L875" s="24"/>
      <c r="M875" s="24"/>
    </row>
    <row r="876" spans="12:13">
      <c r="L876" s="24"/>
      <c r="M876" s="24"/>
    </row>
    <row r="877" spans="12:13">
      <c r="L877" s="24"/>
      <c r="M877" s="24"/>
    </row>
    <row r="878" spans="12:13">
      <c r="L878" s="24"/>
      <c r="M878" s="24"/>
    </row>
    <row r="879" spans="12:13">
      <c r="L879" s="24"/>
      <c r="M879" s="24"/>
    </row>
    <row r="880" spans="12:13">
      <c r="L880" s="24"/>
      <c r="M880" s="24"/>
    </row>
    <row r="881" spans="12:13">
      <c r="L881" s="24"/>
      <c r="M881" s="24"/>
    </row>
    <row r="882" spans="12:13">
      <c r="L882" s="24"/>
      <c r="M882" s="24"/>
    </row>
    <row r="883" spans="12:13">
      <c r="L883" s="24"/>
      <c r="M883" s="24"/>
    </row>
    <row r="884" spans="12:13">
      <c r="L884" s="24"/>
      <c r="M884" s="24"/>
    </row>
    <row r="885" spans="12:13">
      <c r="L885" s="24"/>
      <c r="M885" s="24"/>
    </row>
    <row r="886" spans="12:13">
      <c r="L886" s="24"/>
      <c r="M886" s="24"/>
    </row>
    <row r="887" spans="12:13">
      <c r="L887" s="24"/>
      <c r="M887" s="24"/>
    </row>
    <row r="888" spans="12:13">
      <c r="L888" s="24"/>
      <c r="M888" s="24"/>
    </row>
    <row r="889" spans="12:13">
      <c r="L889" s="24"/>
      <c r="M889" s="24"/>
    </row>
    <row r="890" spans="12:13">
      <c r="L890" s="24"/>
      <c r="M890" s="24"/>
    </row>
    <row r="891" spans="12:13">
      <c r="L891" s="24"/>
      <c r="M891" s="24"/>
    </row>
    <row r="892" spans="12:13">
      <c r="L892" s="24"/>
      <c r="M892" s="24"/>
    </row>
    <row r="893" spans="12:13">
      <c r="L893" s="24"/>
      <c r="M893" s="24"/>
    </row>
    <row r="894" spans="12:13">
      <c r="L894" s="24"/>
      <c r="M894" s="24"/>
    </row>
    <row r="895" spans="12:13">
      <c r="L895" s="24"/>
      <c r="M895" s="24"/>
    </row>
    <row r="896" spans="12:13">
      <c r="L896" s="24"/>
      <c r="M896" s="24"/>
    </row>
    <row r="897" spans="12:13">
      <c r="L897" s="24"/>
      <c r="M897" s="24"/>
    </row>
    <row r="898" spans="12:13">
      <c r="L898" s="24"/>
      <c r="M898" s="24"/>
    </row>
    <row r="899" spans="12:13">
      <c r="L899" s="24"/>
      <c r="M899" s="24"/>
    </row>
    <row r="900" spans="12:13">
      <c r="L900" s="24"/>
      <c r="M900" s="24"/>
    </row>
    <row r="901" spans="12:13">
      <c r="L901" s="24"/>
      <c r="M901" s="24"/>
    </row>
    <row r="902" spans="12:13">
      <c r="L902" s="24"/>
      <c r="M902" s="24"/>
    </row>
    <row r="903" spans="12:13">
      <c r="L903" s="24"/>
      <c r="M903" s="24"/>
    </row>
    <row r="904" spans="12:13">
      <c r="L904" s="24"/>
      <c r="M904" s="24"/>
    </row>
    <row r="905" spans="12:13">
      <c r="L905" s="24"/>
      <c r="M905" s="24"/>
    </row>
    <row r="906" spans="12:13">
      <c r="L906" s="24"/>
      <c r="M906" s="24"/>
    </row>
    <row r="907" spans="12:13">
      <c r="L907" s="24"/>
      <c r="M907" s="24"/>
    </row>
    <row r="908" spans="12:13">
      <c r="L908" s="24"/>
      <c r="M908" s="24"/>
    </row>
    <row r="909" spans="12:13">
      <c r="L909" s="24"/>
      <c r="M909" s="24"/>
    </row>
    <row r="910" spans="12:13">
      <c r="L910" s="24"/>
      <c r="M910" s="24"/>
    </row>
    <row r="911" spans="12:13">
      <c r="L911" s="24"/>
      <c r="M911" s="24"/>
    </row>
    <row r="912" spans="12:13">
      <c r="L912" s="24"/>
      <c r="M912" s="24"/>
    </row>
    <row r="913" spans="12:13">
      <c r="L913" s="24"/>
      <c r="M913" s="24"/>
    </row>
    <row r="914" spans="12:13">
      <c r="L914" s="24"/>
      <c r="M914" s="24"/>
    </row>
    <row r="915" spans="12:13">
      <c r="L915" s="24"/>
      <c r="M915" s="24"/>
    </row>
    <row r="916" spans="12:13">
      <c r="L916" s="24"/>
      <c r="M916" s="24"/>
    </row>
    <row r="917" spans="12:13">
      <c r="L917" s="24"/>
      <c r="M917" s="24"/>
    </row>
    <row r="918" spans="12:13">
      <c r="L918" s="24"/>
      <c r="M918" s="24"/>
    </row>
    <row r="919" spans="12:13">
      <c r="L919" s="24"/>
      <c r="M919" s="24"/>
    </row>
    <row r="920" spans="12:13">
      <c r="L920" s="24"/>
      <c r="M920" s="24"/>
    </row>
    <row r="921" spans="12:13">
      <c r="L921" s="24"/>
      <c r="M921" s="24"/>
    </row>
    <row r="922" spans="12:13">
      <c r="L922" s="24"/>
      <c r="M922" s="24"/>
    </row>
    <row r="923" spans="12:13">
      <c r="L923" s="24"/>
      <c r="M923" s="24"/>
    </row>
    <row r="924" spans="12:13">
      <c r="L924" s="24"/>
      <c r="M924" s="24"/>
    </row>
    <row r="925" spans="12:13">
      <c r="L925" s="24"/>
      <c r="M925" s="24"/>
    </row>
    <row r="926" spans="12:13">
      <c r="L926" s="24"/>
      <c r="M926" s="24"/>
    </row>
    <row r="927" spans="12:13">
      <c r="L927" s="24"/>
      <c r="M927" s="24"/>
    </row>
    <row r="928" spans="12:13">
      <c r="L928" s="24"/>
      <c r="M928" s="24"/>
    </row>
    <row r="929" spans="12:13">
      <c r="L929" s="24"/>
      <c r="M929" s="24"/>
    </row>
    <row r="930" spans="12:13">
      <c r="L930" s="24"/>
      <c r="M930" s="24"/>
    </row>
    <row r="931" spans="12:13">
      <c r="L931" s="24"/>
      <c r="M931" s="24"/>
    </row>
    <row r="932" spans="12:13">
      <c r="L932" s="24"/>
      <c r="M932" s="24"/>
    </row>
    <row r="933" spans="12:13">
      <c r="L933" s="24"/>
      <c r="M933" s="24"/>
    </row>
    <row r="934" spans="12:13">
      <c r="L934" s="24"/>
      <c r="M934" s="24"/>
    </row>
    <row r="935" spans="12:13">
      <c r="L935" s="24"/>
      <c r="M935" s="24"/>
    </row>
    <row r="936" spans="12:13">
      <c r="L936" s="24"/>
      <c r="M936" s="24"/>
    </row>
    <row r="937" spans="12:13">
      <c r="L937" s="24"/>
      <c r="M937" s="24"/>
    </row>
    <row r="938" spans="12:13">
      <c r="L938" s="24"/>
      <c r="M938" s="24"/>
    </row>
    <row r="939" spans="12:13">
      <c r="L939" s="24"/>
      <c r="M939" s="24"/>
    </row>
    <row r="940" spans="12:13">
      <c r="L940" s="24"/>
      <c r="M940" s="24"/>
    </row>
    <row r="941" spans="12:13">
      <c r="L941" s="24"/>
      <c r="M941" s="24"/>
    </row>
    <row r="942" spans="12:13">
      <c r="L942" s="24"/>
      <c r="M942" s="24"/>
    </row>
    <row r="943" spans="12:13">
      <c r="L943" s="24"/>
      <c r="M943" s="24"/>
    </row>
    <row r="944" spans="12:13">
      <c r="L944" s="24"/>
      <c r="M944" s="24"/>
    </row>
    <row r="945" spans="12:13">
      <c r="L945" s="24"/>
      <c r="M945" s="24"/>
    </row>
    <row r="946" spans="12:13">
      <c r="L946" s="24"/>
      <c r="M946" s="24"/>
    </row>
    <row r="947" spans="12:13">
      <c r="L947" s="24"/>
      <c r="M947" s="24"/>
    </row>
    <row r="948" spans="12:13">
      <c r="L948" s="24"/>
      <c r="M948" s="24"/>
    </row>
    <row r="949" spans="12:13">
      <c r="L949" s="24"/>
      <c r="M949" s="24"/>
    </row>
    <row r="950" spans="12:13">
      <c r="L950" s="24"/>
      <c r="M950" s="24"/>
    </row>
    <row r="951" spans="12:13">
      <c r="L951" s="24"/>
      <c r="M951" s="24"/>
    </row>
    <row r="952" spans="12:13">
      <c r="L952" s="24"/>
      <c r="M952" s="24"/>
    </row>
    <row r="953" spans="12:13">
      <c r="L953" s="24"/>
      <c r="M953" s="24"/>
    </row>
    <row r="954" spans="12:13">
      <c r="L954" s="24"/>
      <c r="M954" s="24"/>
    </row>
    <row r="955" spans="12:13">
      <c r="L955" s="24"/>
      <c r="M955" s="24"/>
    </row>
    <row r="956" spans="12:13">
      <c r="L956" s="24"/>
      <c r="M956" s="24"/>
    </row>
    <row r="957" spans="12:13">
      <c r="L957" s="24"/>
      <c r="M957" s="24"/>
    </row>
    <row r="958" spans="12:13">
      <c r="L958" s="24"/>
      <c r="M958" s="24"/>
    </row>
    <row r="959" spans="12:13">
      <c r="L959" s="24"/>
      <c r="M959" s="24"/>
    </row>
    <row r="960" spans="12:13">
      <c r="L960" s="24"/>
      <c r="M960" s="24"/>
    </row>
    <row r="961" spans="12:13">
      <c r="L961" s="24"/>
      <c r="M961" s="24"/>
    </row>
    <row r="962" spans="12:13">
      <c r="L962" s="24"/>
      <c r="M962" s="24"/>
    </row>
    <row r="963" spans="12:13">
      <c r="L963" s="24"/>
      <c r="M963" s="24"/>
    </row>
    <row r="964" spans="12:13">
      <c r="L964" s="24"/>
      <c r="M964" s="24"/>
    </row>
    <row r="965" spans="12:13">
      <c r="L965" s="24"/>
      <c r="M965" s="24"/>
    </row>
    <row r="966" spans="12:13">
      <c r="L966" s="24"/>
      <c r="M966" s="24"/>
    </row>
    <row r="967" spans="12:13">
      <c r="L967" s="24"/>
      <c r="M967" s="24"/>
    </row>
    <row r="968" spans="12:13">
      <c r="L968" s="24"/>
      <c r="M968" s="24"/>
    </row>
    <row r="969" spans="12:13">
      <c r="L969" s="24"/>
      <c r="M969" s="24"/>
    </row>
    <row r="970" spans="12:13">
      <c r="L970" s="24"/>
      <c r="M970" s="24"/>
    </row>
    <row r="971" spans="12:13">
      <c r="L971" s="24"/>
      <c r="M971" s="24"/>
    </row>
    <row r="972" spans="12:13">
      <c r="L972" s="24"/>
      <c r="M972" s="24"/>
    </row>
    <row r="973" spans="12:13">
      <c r="L973" s="24"/>
      <c r="M973" s="24"/>
    </row>
    <row r="974" spans="12:13">
      <c r="L974" s="24"/>
      <c r="M974" s="24"/>
    </row>
    <row r="975" spans="12:13">
      <c r="L975" s="24"/>
      <c r="M975" s="24"/>
    </row>
    <row r="976" spans="12:13">
      <c r="L976" s="24"/>
      <c r="M976" s="24"/>
    </row>
    <row r="977" spans="12:13">
      <c r="L977" s="24"/>
      <c r="M977" s="24"/>
    </row>
    <row r="978" spans="12:13">
      <c r="L978" s="24"/>
      <c r="M978" s="24"/>
    </row>
    <row r="979" spans="12:13">
      <c r="L979" s="24"/>
      <c r="M979" s="24"/>
    </row>
    <row r="980" spans="12:13">
      <c r="L980" s="24"/>
      <c r="M980" s="24"/>
    </row>
    <row r="981" spans="12:13">
      <c r="L981" s="24"/>
      <c r="M981" s="24"/>
    </row>
    <row r="982" spans="12:13">
      <c r="L982" s="24"/>
      <c r="M982" s="24"/>
    </row>
    <row r="983" spans="12:13">
      <c r="L983" s="24"/>
      <c r="M983" s="24"/>
    </row>
    <row r="984" spans="12:13">
      <c r="L984" s="24"/>
      <c r="M984" s="24"/>
    </row>
    <row r="985" spans="12:13">
      <c r="L985" s="24"/>
      <c r="M985" s="24"/>
    </row>
    <row r="986" spans="12:13">
      <c r="L986" s="24"/>
      <c r="M986" s="24"/>
    </row>
    <row r="987" spans="12:13">
      <c r="L987" s="24"/>
      <c r="M987" s="24"/>
    </row>
    <row r="988" spans="12:13">
      <c r="L988" s="24"/>
      <c r="M988" s="24"/>
    </row>
    <row r="989" spans="12:13">
      <c r="L989" s="24"/>
      <c r="M989" s="24"/>
    </row>
    <row r="990" spans="12:13">
      <c r="L990" s="24"/>
      <c r="M990" s="24"/>
    </row>
    <row r="991" spans="12:13">
      <c r="L991" s="24"/>
      <c r="M991" s="24"/>
    </row>
    <row r="992" spans="12:13">
      <c r="L992" s="24"/>
      <c r="M992" s="24"/>
    </row>
    <row r="993" spans="12:13">
      <c r="L993" s="24"/>
      <c r="M993" s="24"/>
    </row>
    <row r="994" spans="12:13">
      <c r="L994" s="24"/>
      <c r="M994" s="24"/>
    </row>
    <row r="995" spans="12:13">
      <c r="L995" s="24"/>
      <c r="M995" s="24"/>
    </row>
    <row r="996" spans="12:13">
      <c r="L996" s="24"/>
      <c r="M996" s="24"/>
    </row>
    <row r="997" spans="12:13">
      <c r="L997" s="24"/>
      <c r="M997" s="24"/>
    </row>
    <row r="998" spans="12:13">
      <c r="L998" s="24"/>
      <c r="M998" s="24"/>
    </row>
    <row r="999" spans="12:13">
      <c r="L999" s="24"/>
      <c r="M999" s="24"/>
    </row>
    <row r="1000" spans="12:13">
      <c r="L1000" s="24"/>
      <c r="M1000" s="24"/>
    </row>
    <row r="1001" spans="12:13">
      <c r="L1001" s="24"/>
      <c r="M1001" s="24"/>
    </row>
    <row r="1002" spans="12:13">
      <c r="L1002" s="24"/>
      <c r="M1002" s="24"/>
    </row>
    <row r="1003" spans="12:13">
      <c r="L1003" s="24"/>
      <c r="M1003" s="24"/>
    </row>
    <row r="1004" spans="12:13">
      <c r="L1004" s="24"/>
      <c r="M1004" s="24"/>
    </row>
    <row r="1005" spans="12:13">
      <c r="L1005" s="24"/>
      <c r="M1005" s="24"/>
    </row>
    <row r="1006" spans="12:13">
      <c r="L1006" s="24"/>
      <c r="M1006" s="24"/>
    </row>
    <row r="1007" spans="12:13">
      <c r="L1007" s="24"/>
      <c r="M1007" s="24"/>
    </row>
    <row r="1008" spans="12:13">
      <c r="L1008" s="24"/>
      <c r="M1008" s="24"/>
    </row>
    <row r="1009" spans="12:13">
      <c r="L1009" s="24"/>
      <c r="M1009" s="24"/>
    </row>
    <row r="1010" spans="12:13">
      <c r="L1010" s="24"/>
      <c r="M1010" s="24"/>
    </row>
    <row r="1011" spans="12:13">
      <c r="L1011" s="24"/>
      <c r="M1011" s="24"/>
    </row>
    <row r="1012" spans="12:13">
      <c r="L1012" s="24"/>
      <c r="M1012" s="24"/>
    </row>
    <row r="1013" spans="12:13">
      <c r="L1013" s="24"/>
      <c r="M1013" s="24"/>
    </row>
    <row r="1014" spans="12:13">
      <c r="L1014" s="24"/>
      <c r="M1014" s="24"/>
    </row>
    <row r="1015" spans="12:13">
      <c r="L1015" s="24"/>
      <c r="M1015" s="24"/>
    </row>
    <row r="1016" spans="12:13">
      <c r="L1016" s="24"/>
      <c r="M1016" s="24"/>
    </row>
    <row r="1017" spans="12:13">
      <c r="L1017" s="24"/>
      <c r="M1017" s="24"/>
    </row>
    <row r="1018" spans="12:13">
      <c r="L1018" s="24"/>
      <c r="M1018" s="24"/>
    </row>
    <row r="1019" spans="12:13">
      <c r="L1019" s="24"/>
      <c r="M1019" s="24"/>
    </row>
    <row r="1020" spans="12:13">
      <c r="L1020" s="24"/>
      <c r="M1020" s="24"/>
    </row>
    <row r="1021" spans="12:13">
      <c r="L1021" s="24"/>
      <c r="M1021" s="24"/>
    </row>
    <row r="1022" spans="12:13">
      <c r="L1022" s="24"/>
      <c r="M1022" s="24"/>
    </row>
    <row r="1023" spans="12:13">
      <c r="L1023" s="24"/>
      <c r="M1023" s="24"/>
    </row>
    <row r="1024" spans="12:13">
      <c r="L1024" s="24"/>
      <c r="M1024" s="24"/>
    </row>
    <row r="1025" spans="12:13">
      <c r="L1025" s="24"/>
      <c r="M1025" s="24"/>
    </row>
    <row r="1026" spans="12:13">
      <c r="L1026" s="24"/>
      <c r="M1026" s="24"/>
    </row>
    <row r="1027" spans="12:13">
      <c r="L1027" s="24"/>
      <c r="M1027" s="24"/>
    </row>
    <row r="1028" spans="12:13">
      <c r="L1028" s="24"/>
      <c r="M1028" s="24"/>
    </row>
    <row r="1029" spans="12:13">
      <c r="L1029" s="24"/>
      <c r="M1029" s="24"/>
    </row>
    <row r="1030" spans="12:13">
      <c r="L1030" s="24"/>
      <c r="M1030" s="24"/>
    </row>
    <row r="1031" spans="12:13">
      <c r="L1031" s="24"/>
      <c r="M1031" s="24"/>
    </row>
    <row r="1032" spans="12:13">
      <c r="L1032" s="24"/>
      <c r="M1032" s="24"/>
    </row>
    <row r="1033" spans="12:13">
      <c r="L1033" s="24"/>
      <c r="M1033" s="24"/>
    </row>
    <row r="1034" spans="12:13">
      <c r="L1034" s="24"/>
      <c r="M1034" s="24"/>
    </row>
    <row r="1035" spans="12:13">
      <c r="L1035" s="24"/>
      <c r="M1035" s="24"/>
    </row>
    <row r="1036" spans="12:13">
      <c r="L1036" s="24"/>
      <c r="M1036" s="24"/>
    </row>
    <row r="1037" spans="12:13">
      <c r="L1037" s="24"/>
      <c r="M1037" s="24"/>
    </row>
    <row r="1038" spans="12:13">
      <c r="L1038" s="24"/>
      <c r="M1038" s="24"/>
    </row>
    <row r="1039" spans="12:13">
      <c r="L1039" s="24"/>
      <c r="M1039" s="24"/>
    </row>
    <row r="1040" spans="12:13">
      <c r="L1040" s="24"/>
      <c r="M1040" s="24"/>
    </row>
    <row r="1041" spans="12:13">
      <c r="L1041" s="24"/>
      <c r="M1041" s="24"/>
    </row>
    <row r="1042" spans="12:13">
      <c r="L1042" s="24"/>
      <c r="M1042" s="24"/>
    </row>
    <row r="1043" spans="12:13">
      <c r="L1043" s="24"/>
      <c r="M1043" s="24"/>
    </row>
    <row r="1044" spans="12:13">
      <c r="L1044" s="24"/>
      <c r="M1044" s="24"/>
    </row>
    <row r="1045" spans="12:13">
      <c r="L1045" s="24"/>
      <c r="M1045" s="24"/>
    </row>
    <row r="1046" spans="12:13">
      <c r="L1046" s="24"/>
      <c r="M1046" s="24"/>
    </row>
    <row r="1047" spans="12:13">
      <c r="L1047" s="24"/>
      <c r="M1047" s="24"/>
    </row>
    <row r="1048" spans="12:13">
      <c r="L1048" s="24"/>
      <c r="M1048" s="24"/>
    </row>
    <row r="1049" spans="12:13">
      <c r="L1049" s="24"/>
      <c r="M1049" s="24"/>
    </row>
    <row r="1050" spans="12:13">
      <c r="L1050" s="24"/>
      <c r="M1050" s="24"/>
    </row>
    <row r="1051" spans="12:13">
      <c r="L1051" s="24"/>
      <c r="M1051" s="24"/>
    </row>
    <row r="1052" spans="12:13">
      <c r="L1052" s="24"/>
      <c r="M1052" s="24"/>
    </row>
    <row r="1053" spans="12:13">
      <c r="L1053" s="24"/>
      <c r="M1053" s="24"/>
    </row>
    <row r="1054" spans="12:13">
      <c r="L1054" s="24"/>
      <c r="M1054" s="24"/>
    </row>
    <row r="1055" spans="12:13">
      <c r="L1055" s="24"/>
      <c r="M1055" s="24"/>
    </row>
    <row r="1056" spans="12:13">
      <c r="L1056" s="24"/>
      <c r="M1056" s="24"/>
    </row>
    <row r="1057" spans="12:13">
      <c r="L1057" s="24"/>
      <c r="M1057" s="24"/>
    </row>
    <row r="1058" spans="12:13">
      <c r="L1058" s="24"/>
      <c r="M1058" s="24"/>
    </row>
    <row r="1059" spans="12:13">
      <c r="L1059" s="24"/>
      <c r="M1059" s="24"/>
    </row>
    <row r="1060" spans="12:13">
      <c r="L1060" s="24"/>
      <c r="M1060" s="24"/>
    </row>
    <row r="1061" spans="12:13">
      <c r="L1061" s="24"/>
      <c r="M1061" s="24"/>
    </row>
    <row r="1062" spans="12:13">
      <c r="L1062" s="24"/>
      <c r="M1062" s="24"/>
    </row>
    <row r="1063" spans="12:13">
      <c r="L1063" s="24"/>
      <c r="M1063" s="24"/>
    </row>
    <row r="1064" spans="12:13">
      <c r="L1064" s="24"/>
      <c r="M1064" s="24"/>
    </row>
    <row r="1065" spans="12:13">
      <c r="L1065" s="24"/>
      <c r="M1065" s="24"/>
    </row>
    <row r="1066" spans="12:13">
      <c r="L1066" s="24"/>
      <c r="M1066" s="24"/>
    </row>
    <row r="1067" spans="12:13">
      <c r="L1067" s="24"/>
      <c r="M1067" s="24"/>
    </row>
    <row r="1068" spans="12:13">
      <c r="L1068" s="24"/>
      <c r="M1068" s="24"/>
    </row>
    <row r="1069" spans="12:13">
      <c r="L1069" s="24"/>
      <c r="M1069" s="24"/>
    </row>
    <row r="1070" spans="12:13">
      <c r="L1070" s="24"/>
      <c r="M1070" s="24"/>
    </row>
    <row r="1071" spans="12:13">
      <c r="L1071" s="24"/>
      <c r="M1071" s="24"/>
    </row>
    <row r="1072" spans="12:13">
      <c r="L1072" s="24"/>
      <c r="M1072" s="24"/>
    </row>
    <row r="1073" spans="12:13">
      <c r="L1073" s="24"/>
      <c r="M1073" s="24"/>
    </row>
    <row r="1074" spans="12:13">
      <c r="L1074" s="24"/>
      <c r="M1074" s="24"/>
    </row>
    <row r="1075" spans="12:13">
      <c r="L1075" s="24"/>
      <c r="M1075" s="24"/>
    </row>
    <row r="1076" spans="12:13">
      <c r="L1076" s="24"/>
      <c r="M1076" s="24"/>
    </row>
    <row r="1077" spans="12:13">
      <c r="L1077" s="24"/>
      <c r="M1077" s="24"/>
    </row>
    <row r="1078" spans="12:13">
      <c r="L1078" s="24"/>
      <c r="M1078" s="24"/>
    </row>
    <row r="1079" spans="12:13">
      <c r="L1079" s="24"/>
      <c r="M1079" s="24"/>
    </row>
    <row r="1080" spans="12:13">
      <c r="L1080" s="24"/>
      <c r="M1080" s="24"/>
    </row>
    <row r="1081" spans="12:13">
      <c r="L1081" s="24"/>
      <c r="M1081" s="24"/>
    </row>
    <row r="1082" spans="12:13">
      <c r="L1082" s="24"/>
      <c r="M1082" s="24"/>
    </row>
    <row r="1083" spans="12:13">
      <c r="L1083" s="24"/>
      <c r="M1083" s="24"/>
    </row>
    <row r="1084" spans="12:13">
      <c r="L1084" s="24"/>
      <c r="M1084" s="24"/>
    </row>
    <row r="1085" spans="12:13">
      <c r="L1085" s="24"/>
      <c r="M1085" s="24"/>
    </row>
    <row r="1086" spans="12:13">
      <c r="L1086" s="24"/>
      <c r="M1086" s="24"/>
    </row>
    <row r="1087" spans="12:13">
      <c r="L1087" s="24"/>
      <c r="M1087" s="24"/>
    </row>
    <row r="1088" spans="12:13">
      <c r="L1088" s="24"/>
      <c r="M1088" s="24"/>
    </row>
    <row r="1089" spans="12:13">
      <c r="L1089" s="24"/>
      <c r="M1089" s="24"/>
    </row>
    <row r="1090" spans="12:13">
      <c r="L1090" s="24"/>
      <c r="M1090" s="24"/>
    </row>
    <row r="1091" spans="12:13">
      <c r="L1091" s="24"/>
      <c r="M1091" s="24"/>
    </row>
    <row r="1092" spans="12:13">
      <c r="L1092" s="24"/>
      <c r="M1092" s="24"/>
    </row>
    <row r="1093" spans="12:13">
      <c r="L1093" s="24"/>
      <c r="M1093" s="24"/>
    </row>
    <row r="1094" spans="12:13">
      <c r="L1094" s="24"/>
      <c r="M1094" s="24"/>
    </row>
    <row r="1095" spans="12:13">
      <c r="L1095" s="24"/>
      <c r="M1095" s="24"/>
    </row>
    <row r="1096" spans="12:13">
      <c r="L1096" s="24"/>
      <c r="M1096" s="24"/>
    </row>
    <row r="1097" spans="12:13">
      <c r="L1097" s="24"/>
      <c r="M1097" s="24"/>
    </row>
    <row r="1098" spans="12:13">
      <c r="L1098" s="24"/>
      <c r="M1098" s="24"/>
    </row>
    <row r="1099" spans="12:13">
      <c r="L1099" s="24"/>
      <c r="M1099" s="24"/>
    </row>
    <row r="1100" spans="12:13">
      <c r="L1100" s="24"/>
      <c r="M1100" s="24"/>
    </row>
    <row r="1101" spans="12:13">
      <c r="L1101" s="24"/>
      <c r="M1101" s="24"/>
    </row>
    <row r="1102" spans="12:13">
      <c r="L1102" s="24"/>
      <c r="M1102" s="24"/>
    </row>
    <row r="1103" spans="12:13">
      <c r="L1103" s="24"/>
      <c r="M1103" s="24"/>
    </row>
    <row r="1104" spans="12:13">
      <c r="L1104" s="24"/>
      <c r="M1104" s="24"/>
    </row>
    <row r="1105" spans="12:13">
      <c r="L1105" s="24"/>
      <c r="M1105" s="24"/>
    </row>
    <row r="1106" spans="12:13">
      <c r="L1106" s="24"/>
      <c r="M1106" s="24"/>
    </row>
    <row r="1107" spans="12:13">
      <c r="L1107" s="24"/>
      <c r="M1107" s="24"/>
    </row>
    <row r="1108" spans="12:13">
      <c r="L1108" s="24"/>
      <c r="M1108" s="24"/>
    </row>
    <row r="1109" spans="12:13">
      <c r="L1109" s="24"/>
      <c r="M1109" s="24"/>
    </row>
    <row r="1110" spans="12:13">
      <c r="L1110" s="24"/>
      <c r="M1110" s="24"/>
    </row>
    <row r="1111" spans="12:13">
      <c r="L1111" s="24"/>
      <c r="M1111" s="24"/>
    </row>
    <row r="1112" spans="12:13">
      <c r="L1112" s="24"/>
      <c r="M1112" s="24"/>
    </row>
    <row r="1113" spans="12:13">
      <c r="L1113" s="24"/>
      <c r="M1113" s="24"/>
    </row>
    <row r="1114" spans="12:13">
      <c r="L1114" s="24"/>
      <c r="M1114" s="24"/>
    </row>
    <row r="1115" spans="12:13">
      <c r="L1115" s="24"/>
      <c r="M1115" s="24"/>
    </row>
    <row r="1116" spans="12:13">
      <c r="L1116" s="24"/>
      <c r="M1116" s="24"/>
    </row>
    <row r="1117" spans="12:13">
      <c r="L1117" s="24"/>
      <c r="M1117" s="24"/>
    </row>
    <row r="1118" spans="12:13">
      <c r="L1118" s="24"/>
      <c r="M1118" s="24"/>
    </row>
    <row r="1119" spans="12:13">
      <c r="L1119" s="24"/>
      <c r="M1119" s="24"/>
    </row>
    <row r="1120" spans="12:13">
      <c r="L1120" s="24"/>
      <c r="M1120" s="24"/>
    </row>
    <row r="1121" spans="12:13">
      <c r="L1121" s="24"/>
      <c r="M1121" s="24"/>
    </row>
    <row r="1122" spans="12:13">
      <c r="L1122" s="24"/>
      <c r="M1122" s="24"/>
    </row>
    <row r="1123" spans="12:13">
      <c r="L1123" s="24"/>
      <c r="M1123" s="24"/>
    </row>
    <row r="1124" spans="12:13">
      <c r="L1124" s="24"/>
      <c r="M1124" s="24"/>
    </row>
    <row r="1125" spans="12:13">
      <c r="L1125" s="24"/>
      <c r="M1125" s="24"/>
    </row>
    <row r="1126" spans="12:13">
      <c r="L1126" s="24"/>
      <c r="M1126" s="24"/>
    </row>
    <row r="1127" spans="12:13">
      <c r="L1127" s="24"/>
      <c r="M1127" s="24"/>
    </row>
    <row r="1128" spans="12:13">
      <c r="L1128" s="24"/>
      <c r="M1128" s="24"/>
    </row>
    <row r="1129" spans="12:13">
      <c r="L1129" s="24"/>
      <c r="M1129" s="24"/>
    </row>
    <row r="1130" spans="12:13">
      <c r="L1130" s="24"/>
      <c r="M1130" s="24"/>
    </row>
    <row r="1131" spans="12:13">
      <c r="L1131" s="24"/>
      <c r="M1131" s="24"/>
    </row>
    <row r="1132" spans="12:13">
      <c r="L1132" s="24"/>
      <c r="M1132" s="24"/>
    </row>
    <row r="1133" spans="12:13">
      <c r="L1133" s="24"/>
      <c r="M1133" s="24"/>
    </row>
    <row r="1134" spans="12:13">
      <c r="L1134" s="24"/>
      <c r="M1134" s="24"/>
    </row>
    <row r="1135" spans="12:13">
      <c r="L1135" s="24"/>
      <c r="M1135" s="24"/>
    </row>
    <row r="1136" spans="12:13">
      <c r="L1136" s="24"/>
      <c r="M1136" s="24"/>
    </row>
    <row r="1137" spans="12:13">
      <c r="L1137" s="24"/>
      <c r="M1137" s="24"/>
    </row>
    <row r="1138" spans="12:13">
      <c r="L1138" s="24"/>
      <c r="M1138" s="24"/>
    </row>
    <row r="1139" spans="12:13">
      <c r="L1139" s="24"/>
      <c r="M1139" s="24"/>
    </row>
    <row r="1140" spans="12:13">
      <c r="L1140" s="24"/>
      <c r="M1140" s="24"/>
    </row>
    <row r="1141" spans="12:13">
      <c r="L1141" s="24"/>
      <c r="M1141" s="24"/>
    </row>
    <row r="1142" spans="12:13">
      <c r="L1142" s="24"/>
      <c r="M1142" s="24"/>
    </row>
    <row r="1143" spans="12:13">
      <c r="L1143" s="24"/>
      <c r="M1143" s="24"/>
    </row>
    <row r="1144" spans="12:13">
      <c r="L1144" s="24"/>
      <c r="M1144" s="24"/>
    </row>
    <row r="1145" spans="12:13">
      <c r="L1145" s="24"/>
      <c r="M1145" s="24"/>
    </row>
    <row r="1146" spans="12:13">
      <c r="L1146" s="24"/>
      <c r="M1146" s="24"/>
    </row>
    <row r="1147" spans="12:13">
      <c r="L1147" s="24"/>
      <c r="M1147" s="24"/>
    </row>
    <row r="1148" spans="12:13">
      <c r="L1148" s="24"/>
      <c r="M1148" s="24"/>
    </row>
    <row r="1149" spans="12:13">
      <c r="L1149" s="24"/>
      <c r="M1149" s="24"/>
    </row>
    <row r="1150" spans="12:13">
      <c r="L1150" s="24"/>
      <c r="M1150" s="24"/>
    </row>
    <row r="1151" spans="12:13">
      <c r="L1151" s="24"/>
      <c r="M1151" s="24"/>
    </row>
    <row r="1152" spans="12:13">
      <c r="L1152" s="24"/>
      <c r="M1152" s="24"/>
    </row>
    <row r="1153" spans="12:13">
      <c r="L1153" s="24"/>
      <c r="M1153" s="24"/>
    </row>
    <row r="1154" spans="12:13">
      <c r="L1154" s="24"/>
      <c r="M1154" s="24"/>
    </row>
    <row r="1155" spans="12:13">
      <c r="L1155" s="24"/>
      <c r="M1155" s="24"/>
    </row>
    <row r="1156" spans="12:13">
      <c r="L1156" s="24"/>
      <c r="M1156" s="24"/>
    </row>
    <row r="1157" spans="12:13">
      <c r="L1157" s="24"/>
      <c r="M1157" s="24"/>
    </row>
    <row r="1158" spans="12:13">
      <c r="L1158" s="24"/>
      <c r="M1158" s="24"/>
    </row>
    <row r="1159" spans="12:13">
      <c r="L1159" s="24"/>
      <c r="M1159" s="24"/>
    </row>
    <row r="1160" spans="12:13">
      <c r="L1160" s="24"/>
      <c r="M1160" s="24"/>
    </row>
    <row r="1161" spans="12:13">
      <c r="L1161" s="24"/>
      <c r="M1161" s="24"/>
    </row>
    <row r="1162" spans="12:13">
      <c r="L1162" s="24"/>
      <c r="M1162" s="24"/>
    </row>
    <row r="1163" spans="12:13">
      <c r="L1163" s="24"/>
      <c r="M1163" s="24"/>
    </row>
    <row r="1164" spans="12:13">
      <c r="L1164" s="24"/>
      <c r="M1164" s="24"/>
    </row>
    <row r="1165" spans="12:13">
      <c r="L1165" s="24"/>
      <c r="M1165" s="24"/>
    </row>
    <row r="1166" spans="12:13">
      <c r="L1166" s="24"/>
      <c r="M1166" s="24"/>
    </row>
    <row r="1167" spans="12:13">
      <c r="L1167" s="24"/>
      <c r="M1167" s="24"/>
    </row>
    <row r="1168" spans="12:13">
      <c r="L1168" s="24"/>
      <c r="M1168" s="24"/>
    </row>
    <row r="1169" spans="12:13">
      <c r="L1169" s="24"/>
      <c r="M1169" s="24"/>
    </row>
    <row r="1170" spans="12:13">
      <c r="L1170" s="24"/>
      <c r="M1170" s="24"/>
    </row>
    <row r="1171" spans="12:13">
      <c r="L1171" s="24"/>
      <c r="M1171" s="24"/>
    </row>
    <row r="1172" spans="12:13">
      <c r="L1172" s="24"/>
      <c r="M1172" s="24"/>
    </row>
    <row r="1173" spans="12:13">
      <c r="L1173" s="24"/>
      <c r="M1173" s="24"/>
    </row>
    <row r="1174" spans="12:13">
      <c r="L1174" s="24"/>
      <c r="M1174" s="24"/>
    </row>
    <row r="1175" spans="12:13">
      <c r="L1175" s="24"/>
      <c r="M1175" s="24"/>
    </row>
    <row r="1176" spans="12:13">
      <c r="L1176" s="24"/>
      <c r="M1176" s="24"/>
    </row>
    <row r="1177" spans="12:13">
      <c r="L1177" s="24"/>
      <c r="M1177" s="24"/>
    </row>
    <row r="1178" spans="12:13">
      <c r="L1178" s="24"/>
      <c r="M1178" s="24"/>
    </row>
    <row r="1179" spans="12:13">
      <c r="L1179" s="24"/>
      <c r="M1179" s="24"/>
    </row>
    <row r="1180" spans="12:13">
      <c r="L1180" s="24"/>
      <c r="M1180" s="24"/>
    </row>
    <row r="1181" spans="12:13">
      <c r="L1181" s="24"/>
      <c r="M1181" s="24"/>
    </row>
    <row r="1182" spans="12:13">
      <c r="L1182" s="24"/>
      <c r="M1182" s="24"/>
    </row>
    <row r="1183" spans="12:13">
      <c r="L1183" s="24"/>
      <c r="M1183" s="24"/>
    </row>
    <row r="1184" spans="12:13">
      <c r="L1184" s="24"/>
      <c r="M1184" s="24"/>
    </row>
    <row r="1185" spans="12:13">
      <c r="L1185" s="24"/>
      <c r="M1185" s="24"/>
    </row>
    <row r="1186" spans="12:13">
      <c r="L1186" s="24"/>
      <c r="M1186" s="24"/>
    </row>
    <row r="1187" spans="12:13">
      <c r="L1187" s="24"/>
      <c r="M1187" s="24"/>
    </row>
    <row r="1188" spans="12:13">
      <c r="L1188" s="24"/>
      <c r="M1188" s="24"/>
    </row>
    <row r="1189" spans="12:13">
      <c r="L1189" s="24"/>
      <c r="M1189" s="24"/>
    </row>
    <row r="1190" spans="12:13">
      <c r="L1190" s="24"/>
      <c r="M1190" s="24"/>
    </row>
    <row r="1191" spans="12:13">
      <c r="L1191" s="24"/>
      <c r="M1191" s="24"/>
    </row>
    <row r="1192" spans="12:13">
      <c r="L1192" s="24"/>
      <c r="M1192" s="24"/>
    </row>
    <row r="1193" spans="12:13">
      <c r="L1193" s="24"/>
      <c r="M1193" s="24"/>
    </row>
    <row r="1194" spans="12:13">
      <c r="L1194" s="24"/>
      <c r="M1194" s="24"/>
    </row>
    <row r="1195" spans="12:13">
      <c r="L1195" s="24"/>
      <c r="M1195" s="24"/>
    </row>
    <row r="1196" spans="12:13">
      <c r="L1196" s="24"/>
      <c r="M1196" s="24"/>
    </row>
    <row r="1197" spans="12:13">
      <c r="L1197" s="24"/>
      <c r="M1197" s="24"/>
    </row>
    <row r="1198" spans="12:13">
      <c r="L1198" s="24"/>
      <c r="M1198" s="24"/>
    </row>
    <row r="1199" spans="12:13">
      <c r="L1199" s="24"/>
      <c r="M1199" s="24"/>
    </row>
    <row r="1200" spans="12:13">
      <c r="L1200" s="24"/>
      <c r="M1200" s="24"/>
    </row>
    <row r="1201" spans="12:13">
      <c r="L1201" s="24"/>
      <c r="M1201" s="24"/>
    </row>
    <row r="1202" spans="12:13">
      <c r="L1202" s="24"/>
      <c r="M1202" s="24"/>
    </row>
    <row r="1203" spans="12:13">
      <c r="L1203" s="24"/>
      <c r="M1203" s="24"/>
    </row>
    <row r="1204" spans="12:13">
      <c r="L1204" s="24"/>
      <c r="M1204" s="24"/>
    </row>
    <row r="1205" spans="12:13">
      <c r="L1205" s="24"/>
      <c r="M1205" s="24"/>
    </row>
    <row r="1206" spans="12:13">
      <c r="L1206" s="24"/>
      <c r="M1206" s="24"/>
    </row>
    <row r="1207" spans="12:13">
      <c r="L1207" s="24"/>
      <c r="M1207" s="24"/>
    </row>
    <row r="1208" spans="12:13">
      <c r="L1208" s="24"/>
      <c r="M1208" s="24"/>
    </row>
    <row r="1209" spans="12:13">
      <c r="L1209" s="24"/>
      <c r="M1209" s="24"/>
    </row>
    <row r="1210" spans="12:13">
      <c r="L1210" s="24"/>
      <c r="M1210" s="24"/>
    </row>
    <row r="1211" spans="12:13">
      <c r="L1211" s="24"/>
      <c r="M1211" s="24"/>
    </row>
    <row r="1212" spans="12:13">
      <c r="L1212" s="24"/>
      <c r="M1212" s="24"/>
    </row>
    <row r="1213" spans="12:13">
      <c r="L1213" s="24"/>
      <c r="M1213" s="24"/>
    </row>
    <row r="1214" spans="12:13">
      <c r="L1214" s="24"/>
      <c r="M1214" s="24"/>
    </row>
    <row r="1215" spans="12:13">
      <c r="L1215" s="24"/>
      <c r="M1215" s="24"/>
    </row>
    <row r="1216" spans="12:13">
      <c r="L1216" s="24"/>
      <c r="M1216" s="24"/>
    </row>
    <row r="1217" spans="12:13">
      <c r="L1217" s="24"/>
      <c r="M1217" s="24"/>
    </row>
    <row r="1218" spans="12:13">
      <c r="L1218" s="24"/>
      <c r="M1218" s="24"/>
    </row>
    <row r="1219" spans="12:13">
      <c r="L1219" s="24"/>
      <c r="M1219" s="24"/>
    </row>
    <row r="1220" spans="12:13">
      <c r="L1220" s="24"/>
      <c r="M1220" s="24"/>
    </row>
    <row r="1221" spans="12:13">
      <c r="L1221" s="24"/>
      <c r="M1221" s="24"/>
    </row>
    <row r="1222" spans="12:13">
      <c r="L1222" s="24"/>
      <c r="M1222" s="24"/>
    </row>
    <row r="1223" spans="12:13">
      <c r="L1223" s="24"/>
      <c r="M1223" s="24"/>
    </row>
    <row r="1224" spans="12:13">
      <c r="L1224" s="24"/>
      <c r="M1224" s="24"/>
    </row>
    <row r="1225" spans="12:13">
      <c r="L1225" s="24"/>
      <c r="M1225" s="24"/>
    </row>
    <row r="1226" spans="12:13">
      <c r="L1226" s="24"/>
      <c r="M1226" s="24"/>
    </row>
    <row r="1227" spans="12:13">
      <c r="L1227" s="24"/>
      <c r="M1227" s="24"/>
    </row>
    <row r="1228" spans="12:13">
      <c r="L1228" s="24"/>
      <c r="M1228" s="24"/>
    </row>
    <row r="1229" spans="12:13">
      <c r="L1229" s="24"/>
      <c r="M1229" s="24"/>
    </row>
    <row r="1230" spans="12:13">
      <c r="L1230" s="24"/>
      <c r="M1230" s="24"/>
    </row>
    <row r="1231" spans="12:13">
      <c r="L1231" s="24"/>
      <c r="M1231" s="24"/>
    </row>
    <row r="1232" spans="12:13">
      <c r="L1232" s="24"/>
      <c r="M1232" s="24"/>
    </row>
    <row r="1233" spans="12:13">
      <c r="L1233" s="24"/>
      <c r="M1233" s="24"/>
    </row>
    <row r="1234" spans="12:13">
      <c r="L1234" s="24"/>
      <c r="M1234" s="24"/>
    </row>
    <row r="1235" spans="12:13">
      <c r="L1235" s="24"/>
      <c r="M1235" s="24"/>
    </row>
    <row r="1236" spans="12:13">
      <c r="L1236" s="24"/>
      <c r="M1236" s="24"/>
    </row>
    <row r="1237" spans="12:13">
      <c r="L1237" s="24"/>
      <c r="M1237" s="24"/>
    </row>
    <row r="1238" spans="12:13">
      <c r="L1238" s="24"/>
      <c r="M1238" s="24"/>
    </row>
    <row r="1239" spans="12:13">
      <c r="L1239" s="24"/>
      <c r="M1239" s="24"/>
    </row>
    <row r="1240" spans="12:13">
      <c r="L1240" s="24"/>
      <c r="M1240" s="24"/>
    </row>
    <row r="1241" spans="12:13">
      <c r="L1241" s="24"/>
      <c r="M1241" s="24"/>
    </row>
    <row r="1242" spans="12:13">
      <c r="L1242" s="24"/>
      <c r="M1242" s="24"/>
    </row>
    <row r="1243" spans="12:13">
      <c r="L1243" s="24"/>
      <c r="M1243" s="24"/>
    </row>
    <row r="1244" spans="12:13">
      <c r="L1244" s="24"/>
      <c r="M1244" s="24"/>
    </row>
    <row r="1245" spans="12:13">
      <c r="L1245" s="24"/>
      <c r="M1245" s="24"/>
    </row>
    <row r="1246" spans="12:13">
      <c r="L1246" s="24"/>
      <c r="M1246" s="24"/>
    </row>
    <row r="1247" spans="12:13">
      <c r="L1247" s="24"/>
      <c r="M1247" s="24"/>
    </row>
    <row r="1248" spans="12:13">
      <c r="L1248" s="24"/>
      <c r="M1248" s="24"/>
    </row>
    <row r="1249" spans="12:13">
      <c r="L1249" s="24"/>
      <c r="M1249" s="24"/>
    </row>
    <row r="1250" spans="12:13">
      <c r="L1250" s="24"/>
      <c r="M1250" s="24"/>
    </row>
    <row r="1251" spans="12:13">
      <c r="L1251" s="24"/>
      <c r="M1251" s="24"/>
    </row>
    <row r="1252" spans="12:13">
      <c r="L1252" s="24"/>
      <c r="M1252" s="24"/>
    </row>
    <row r="1253" spans="12:13">
      <c r="L1253" s="24"/>
      <c r="M1253" s="24"/>
    </row>
    <row r="1254" spans="12:13">
      <c r="L1254" s="24"/>
      <c r="M1254" s="24"/>
    </row>
    <row r="1255" spans="12:13">
      <c r="L1255" s="24"/>
      <c r="M1255" s="24"/>
    </row>
    <row r="1256" spans="12:13">
      <c r="L1256" s="24"/>
      <c r="M1256" s="24"/>
    </row>
    <row r="1257" spans="12:13">
      <c r="L1257" s="24"/>
      <c r="M1257" s="24"/>
    </row>
    <row r="1258" spans="12:13">
      <c r="L1258" s="24"/>
      <c r="M1258" s="24"/>
    </row>
    <row r="1259" spans="12:13">
      <c r="L1259" s="24"/>
      <c r="M1259" s="24"/>
    </row>
    <row r="1260" spans="12:13">
      <c r="L1260" s="24"/>
      <c r="M1260" s="24"/>
    </row>
    <row r="1261" spans="12:13">
      <c r="L1261" s="24"/>
      <c r="M1261" s="24"/>
    </row>
    <row r="1262" spans="12:13">
      <c r="L1262" s="24"/>
      <c r="M1262" s="24"/>
    </row>
    <row r="1263" spans="12:13">
      <c r="L1263" s="24"/>
      <c r="M1263" s="24"/>
    </row>
    <row r="1264" spans="12:13">
      <c r="L1264" s="24"/>
      <c r="M1264" s="24"/>
    </row>
    <row r="1265" spans="12:13">
      <c r="L1265" s="24"/>
      <c r="M1265" s="24"/>
    </row>
    <row r="1266" spans="12:13">
      <c r="L1266" s="24"/>
      <c r="M1266" s="24"/>
    </row>
    <row r="1267" spans="12:13">
      <c r="L1267" s="24"/>
      <c r="M1267" s="24"/>
    </row>
    <row r="1268" spans="12:13">
      <c r="L1268" s="24"/>
      <c r="M1268" s="24"/>
    </row>
    <row r="1269" spans="12:13">
      <c r="L1269" s="24"/>
      <c r="M1269" s="24"/>
    </row>
    <row r="1270" spans="12:13">
      <c r="L1270" s="24"/>
      <c r="M1270" s="24"/>
    </row>
    <row r="1271" spans="12:13">
      <c r="L1271" s="24"/>
      <c r="M1271" s="24"/>
    </row>
    <row r="1272" spans="12:13">
      <c r="L1272" s="24"/>
      <c r="M1272" s="24"/>
    </row>
    <row r="1273" spans="12:13">
      <c r="L1273" s="24"/>
      <c r="M1273" s="24"/>
    </row>
    <row r="1274" spans="12:13">
      <c r="L1274" s="24"/>
      <c r="M1274" s="24"/>
    </row>
    <row r="1275" spans="12:13">
      <c r="L1275" s="24"/>
      <c r="M1275" s="24"/>
    </row>
    <row r="1276" spans="12:13">
      <c r="L1276" s="24"/>
      <c r="M1276" s="24"/>
    </row>
    <row r="1277" spans="12:13">
      <c r="L1277" s="24"/>
      <c r="M1277" s="24"/>
    </row>
    <row r="1278" spans="12:13">
      <c r="L1278" s="24"/>
      <c r="M1278" s="24"/>
    </row>
    <row r="1279" spans="12:13">
      <c r="L1279" s="24"/>
      <c r="M1279" s="24"/>
    </row>
    <row r="1280" spans="12:13">
      <c r="L1280" s="24"/>
      <c r="M1280" s="24"/>
    </row>
    <row r="1281" spans="12:13">
      <c r="L1281" s="24"/>
      <c r="M1281" s="24"/>
    </row>
    <row r="1282" spans="12:13">
      <c r="L1282" s="24"/>
      <c r="M1282" s="24"/>
    </row>
    <row r="1283" spans="12:13">
      <c r="L1283" s="24"/>
      <c r="M1283" s="24"/>
    </row>
    <row r="1284" spans="12:13">
      <c r="L1284" s="24"/>
      <c r="M1284" s="24"/>
    </row>
    <row r="1285" spans="12:13">
      <c r="L1285" s="24"/>
      <c r="M1285" s="24"/>
    </row>
    <row r="1286" spans="12:13">
      <c r="L1286" s="24"/>
      <c r="M1286" s="24"/>
    </row>
    <row r="1287" spans="12:13">
      <c r="L1287" s="24"/>
      <c r="M1287" s="24"/>
    </row>
    <row r="1288" spans="12:13">
      <c r="L1288" s="24"/>
      <c r="M1288" s="24"/>
    </row>
    <row r="1289" spans="12:13">
      <c r="L1289" s="24"/>
      <c r="M1289" s="24"/>
    </row>
    <row r="1290" spans="12:13">
      <c r="L1290" s="24"/>
      <c r="M1290" s="24"/>
    </row>
    <row r="1291" spans="12:13">
      <c r="L1291" s="24"/>
      <c r="M1291" s="24"/>
    </row>
    <row r="1292" spans="12:13">
      <c r="L1292" s="24"/>
      <c r="M1292" s="24"/>
    </row>
    <row r="1293" spans="12:13">
      <c r="L1293" s="24"/>
      <c r="M1293" s="24"/>
    </row>
    <row r="1294" spans="12:13">
      <c r="L1294" s="24"/>
      <c r="M1294" s="24"/>
    </row>
    <row r="1295" spans="12:13">
      <c r="L1295" s="24"/>
      <c r="M1295" s="24"/>
    </row>
    <row r="1296" spans="12:13">
      <c r="L1296" s="24"/>
      <c r="M1296" s="24"/>
    </row>
    <row r="1297" spans="12:13">
      <c r="L1297" s="24"/>
      <c r="M1297" s="24"/>
    </row>
    <row r="1298" spans="12:13">
      <c r="L1298" s="24"/>
      <c r="M1298" s="24"/>
    </row>
    <row r="1299" spans="12:13">
      <c r="L1299" s="24"/>
      <c r="M1299" s="24"/>
    </row>
    <row r="1300" spans="12:13">
      <c r="L1300" s="24"/>
      <c r="M1300" s="24"/>
    </row>
    <row r="1301" spans="12:13">
      <c r="L1301" s="24"/>
      <c r="M1301" s="24"/>
    </row>
    <row r="1302" spans="12:13">
      <c r="L1302" s="24"/>
      <c r="M1302" s="24"/>
    </row>
    <row r="1303" spans="12:13">
      <c r="L1303" s="24"/>
      <c r="M1303" s="24"/>
    </row>
    <row r="1304" spans="12:13">
      <c r="L1304" s="24"/>
      <c r="M1304" s="24"/>
    </row>
    <row r="1305" spans="12:13">
      <c r="L1305" s="24"/>
      <c r="M1305" s="24"/>
    </row>
    <row r="1306" spans="12:13">
      <c r="L1306" s="24"/>
      <c r="M1306" s="24"/>
    </row>
    <row r="1307" spans="12:13">
      <c r="L1307" s="24"/>
      <c r="M1307" s="24"/>
    </row>
    <row r="1308" spans="12:13">
      <c r="L1308" s="24"/>
      <c r="M1308" s="24"/>
    </row>
    <row r="1309" spans="12:13">
      <c r="L1309" s="24"/>
      <c r="M1309" s="24"/>
    </row>
    <row r="1310" spans="12:13">
      <c r="L1310" s="24"/>
      <c r="M1310" s="24"/>
    </row>
    <row r="1311" spans="12:13">
      <c r="L1311" s="24"/>
      <c r="M1311" s="24"/>
    </row>
    <row r="1312" spans="12:13">
      <c r="L1312" s="24"/>
      <c r="M1312" s="24"/>
    </row>
    <row r="1313" spans="12:13">
      <c r="L1313" s="24"/>
      <c r="M1313" s="24"/>
    </row>
    <row r="1314" spans="12:13">
      <c r="L1314" s="24"/>
      <c r="M1314" s="24"/>
    </row>
    <row r="1315" spans="12:13">
      <c r="L1315" s="24"/>
      <c r="M1315" s="24"/>
    </row>
    <row r="1316" spans="12:13">
      <c r="L1316" s="24"/>
      <c r="M1316" s="24"/>
    </row>
    <row r="1317" spans="12:13">
      <c r="L1317" s="24"/>
      <c r="M1317" s="24"/>
    </row>
    <row r="1318" spans="12:13">
      <c r="L1318" s="24"/>
      <c r="M1318" s="24"/>
    </row>
    <row r="1319" spans="12:13">
      <c r="L1319" s="24"/>
      <c r="M1319" s="24"/>
    </row>
    <row r="1320" spans="12:13">
      <c r="L1320" s="24"/>
      <c r="M1320" s="24"/>
    </row>
    <row r="1321" spans="12:13">
      <c r="L1321" s="24"/>
      <c r="M1321" s="24"/>
    </row>
    <row r="1322" spans="12:13">
      <c r="L1322" s="24"/>
      <c r="M1322" s="24"/>
    </row>
    <row r="1323" spans="12:13">
      <c r="L1323" s="24"/>
      <c r="M1323" s="24"/>
    </row>
    <row r="1324" spans="12:13">
      <c r="L1324" s="24"/>
      <c r="M1324" s="24"/>
    </row>
    <row r="1325" spans="12:13">
      <c r="L1325" s="24"/>
      <c r="M1325" s="24"/>
    </row>
    <row r="1326" spans="12:13">
      <c r="L1326" s="24"/>
      <c r="M1326" s="24"/>
    </row>
    <row r="1327" spans="12:13">
      <c r="L1327" s="24"/>
      <c r="M1327" s="24"/>
    </row>
    <row r="1328" spans="12:13">
      <c r="L1328" s="24"/>
      <c r="M1328" s="24"/>
    </row>
    <row r="1329" spans="12:13">
      <c r="L1329" s="24"/>
      <c r="M1329" s="24"/>
    </row>
    <row r="1330" spans="12:13">
      <c r="L1330" s="24"/>
      <c r="M1330" s="24"/>
    </row>
    <row r="1331" spans="12:13">
      <c r="L1331" s="24"/>
      <c r="M1331" s="24"/>
    </row>
    <row r="1332" spans="12:13">
      <c r="L1332" s="24"/>
      <c r="M1332" s="24"/>
    </row>
    <row r="1333" spans="12:13">
      <c r="L1333" s="24"/>
      <c r="M1333" s="24"/>
    </row>
    <row r="1334" spans="12:13">
      <c r="L1334" s="24"/>
      <c r="M1334" s="24"/>
    </row>
    <row r="1335" spans="12:13">
      <c r="L1335" s="24"/>
      <c r="M1335" s="24"/>
    </row>
    <row r="1336" spans="12:13">
      <c r="L1336" s="24"/>
      <c r="M1336" s="24"/>
    </row>
    <row r="1337" spans="12:13">
      <c r="L1337" s="24"/>
      <c r="M1337" s="24"/>
    </row>
    <row r="1338" spans="12:13">
      <c r="L1338" s="24"/>
      <c r="M1338" s="24"/>
    </row>
    <row r="1339" spans="12:13">
      <c r="L1339" s="24"/>
      <c r="M1339" s="24"/>
    </row>
    <row r="1340" spans="12:13">
      <c r="L1340" s="24"/>
      <c r="M1340" s="24"/>
    </row>
    <row r="1341" spans="12:13">
      <c r="L1341" s="24"/>
      <c r="M1341" s="24"/>
    </row>
    <row r="1342" spans="12:13">
      <c r="L1342" s="24"/>
      <c r="M1342" s="24"/>
    </row>
    <row r="1343" spans="12:13">
      <c r="L1343" s="24"/>
      <c r="M1343" s="24"/>
    </row>
    <row r="1344" spans="12:13">
      <c r="L1344" s="24"/>
      <c r="M1344" s="24"/>
    </row>
    <row r="1345" spans="12:13">
      <c r="L1345" s="24"/>
      <c r="M1345" s="24"/>
    </row>
    <row r="1346" spans="12:13">
      <c r="L1346" s="24"/>
      <c r="M1346" s="24"/>
    </row>
    <row r="1347" spans="12:13">
      <c r="L1347" s="24"/>
      <c r="M1347" s="24"/>
    </row>
    <row r="1348" spans="12:13">
      <c r="L1348" s="24"/>
      <c r="M1348" s="24"/>
    </row>
    <row r="1349" spans="12:13">
      <c r="L1349" s="24"/>
      <c r="M1349" s="24"/>
    </row>
    <row r="1350" spans="12:13">
      <c r="L1350" s="24"/>
      <c r="M1350" s="24"/>
    </row>
    <row r="1351" spans="12:13">
      <c r="L1351" s="24"/>
      <c r="M1351" s="24"/>
    </row>
    <row r="1352" spans="12:13">
      <c r="L1352" s="24"/>
      <c r="M1352" s="24"/>
    </row>
    <row r="1353" spans="12:13">
      <c r="L1353" s="24"/>
      <c r="M1353" s="24"/>
    </row>
    <row r="1354" spans="12:13">
      <c r="L1354" s="24"/>
      <c r="M1354" s="24"/>
    </row>
    <row r="1355" spans="12:13">
      <c r="L1355" s="24"/>
      <c r="M1355" s="24"/>
    </row>
    <row r="1356" spans="12:13">
      <c r="L1356" s="24"/>
      <c r="M1356" s="24"/>
    </row>
    <row r="1357" spans="12:13">
      <c r="L1357" s="24"/>
      <c r="M1357" s="24"/>
    </row>
    <row r="1358" spans="12:13">
      <c r="L1358" s="24"/>
      <c r="M1358" s="24"/>
    </row>
    <row r="1359" spans="12:13">
      <c r="L1359" s="24"/>
      <c r="M1359" s="24"/>
    </row>
    <row r="1360" spans="12:13">
      <c r="L1360" s="24"/>
      <c r="M1360" s="24"/>
    </row>
    <row r="1361" spans="12:13">
      <c r="L1361" s="24"/>
      <c r="M1361" s="24"/>
    </row>
    <row r="1362" spans="12:13">
      <c r="L1362" s="24"/>
      <c r="M1362" s="24"/>
    </row>
    <row r="1363" spans="12:13">
      <c r="L1363" s="24"/>
      <c r="M1363" s="24"/>
    </row>
    <row r="1364" spans="12:13">
      <c r="L1364" s="24"/>
      <c r="M1364" s="24"/>
    </row>
    <row r="1365" spans="12:13">
      <c r="L1365" s="24"/>
      <c r="M1365" s="24"/>
    </row>
    <row r="1366" spans="12:13">
      <c r="L1366" s="24"/>
      <c r="M1366" s="24"/>
    </row>
    <row r="1367" spans="12:13">
      <c r="L1367" s="24"/>
      <c r="M1367" s="24"/>
    </row>
    <row r="1368" spans="12:13">
      <c r="L1368" s="24"/>
      <c r="M1368" s="24"/>
    </row>
    <row r="1369" spans="12:13">
      <c r="L1369" s="24"/>
      <c r="M1369" s="24"/>
    </row>
    <row r="1370" spans="12:13">
      <c r="L1370" s="24"/>
      <c r="M1370" s="24"/>
    </row>
    <row r="1371" spans="12:13">
      <c r="L1371" s="24"/>
      <c r="M1371" s="24"/>
    </row>
    <row r="1372" spans="12:13">
      <c r="L1372" s="24"/>
      <c r="M1372" s="24"/>
    </row>
    <row r="1373" spans="12:13">
      <c r="L1373" s="24"/>
      <c r="M1373" s="24"/>
    </row>
    <row r="1374" spans="12:13">
      <c r="L1374" s="24"/>
      <c r="M1374" s="24"/>
    </row>
    <row r="1375" spans="12:13">
      <c r="L1375" s="24"/>
      <c r="M1375" s="24"/>
    </row>
    <row r="1376" spans="12:13">
      <c r="L1376" s="24"/>
      <c r="M1376" s="24"/>
    </row>
    <row r="1377" spans="12:13">
      <c r="L1377" s="24"/>
      <c r="M1377" s="24"/>
    </row>
    <row r="1378" spans="12:13">
      <c r="L1378" s="24"/>
      <c r="M1378" s="24"/>
    </row>
    <row r="1379" spans="12:13">
      <c r="L1379" s="24"/>
      <c r="M1379" s="24"/>
    </row>
    <row r="1380" spans="12:13">
      <c r="L1380" s="24"/>
      <c r="M1380" s="24"/>
    </row>
    <row r="1381" spans="12:13">
      <c r="L1381" s="24"/>
      <c r="M1381" s="24"/>
    </row>
    <row r="1382" spans="12:13">
      <c r="L1382" s="24"/>
      <c r="M1382" s="24"/>
    </row>
    <row r="1383" spans="12:13">
      <c r="L1383" s="24"/>
      <c r="M1383" s="24"/>
    </row>
    <row r="1384" spans="12:13">
      <c r="L1384" s="24"/>
      <c r="M1384" s="24"/>
    </row>
    <row r="1385" spans="12:13">
      <c r="L1385" s="24"/>
      <c r="M1385" s="24"/>
    </row>
    <row r="1386" spans="12:13">
      <c r="L1386" s="24"/>
      <c r="M1386" s="24"/>
    </row>
    <row r="1387" spans="12:13">
      <c r="L1387" s="24"/>
      <c r="M1387" s="24"/>
    </row>
    <row r="1388" spans="12:13">
      <c r="L1388" s="24"/>
      <c r="M1388" s="24"/>
    </row>
    <row r="1389" spans="12:13">
      <c r="L1389" s="24"/>
      <c r="M1389" s="24"/>
    </row>
    <row r="1390" spans="12:13">
      <c r="L1390" s="24"/>
      <c r="M1390" s="24"/>
    </row>
    <row r="1391" spans="12:13">
      <c r="L1391" s="24"/>
      <c r="M1391" s="24"/>
    </row>
    <row r="1392" spans="12:13">
      <c r="L1392" s="24"/>
      <c r="M1392" s="24"/>
    </row>
    <row r="1393" spans="12:13">
      <c r="L1393" s="24"/>
      <c r="M1393" s="24"/>
    </row>
    <row r="1394" spans="12:13">
      <c r="L1394" s="24"/>
      <c r="M1394" s="24"/>
    </row>
    <row r="1395" spans="12:13">
      <c r="L1395" s="24"/>
      <c r="M1395" s="24"/>
    </row>
    <row r="1396" spans="12:13">
      <c r="L1396" s="24"/>
      <c r="M1396" s="24"/>
    </row>
    <row r="1397" spans="12:13">
      <c r="L1397" s="24"/>
      <c r="M1397" s="24"/>
    </row>
    <row r="1398" spans="12:13">
      <c r="L1398" s="24"/>
      <c r="M1398" s="24"/>
    </row>
    <row r="1399" spans="12:13">
      <c r="L1399" s="24"/>
      <c r="M1399" s="24"/>
    </row>
    <row r="1400" spans="12:13">
      <c r="L1400" s="24"/>
      <c r="M1400" s="24"/>
    </row>
    <row r="1401" spans="12:13">
      <c r="L1401" s="24"/>
      <c r="M1401" s="24"/>
    </row>
    <row r="1402" spans="12:13">
      <c r="L1402" s="24"/>
      <c r="M1402" s="24"/>
    </row>
    <row r="1403" spans="12:13">
      <c r="L1403" s="24"/>
      <c r="M1403" s="24"/>
    </row>
    <row r="1404" spans="12:13">
      <c r="L1404" s="24"/>
      <c r="M1404" s="24"/>
    </row>
    <row r="1405" spans="12:13">
      <c r="L1405" s="24"/>
      <c r="M1405" s="24"/>
    </row>
    <row r="1406" spans="12:13">
      <c r="L1406" s="24"/>
      <c r="M1406" s="24"/>
    </row>
    <row r="1407" spans="12:13">
      <c r="L1407" s="24"/>
      <c r="M1407" s="24"/>
    </row>
    <row r="1408" spans="12:13">
      <c r="L1408" s="24"/>
      <c r="M1408" s="24"/>
    </row>
    <row r="1409" spans="12:13">
      <c r="L1409" s="24"/>
      <c r="M1409" s="24"/>
    </row>
    <row r="1410" spans="12:13">
      <c r="L1410" s="24"/>
      <c r="M1410" s="24"/>
    </row>
    <row r="1411" spans="12:13">
      <c r="L1411" s="24"/>
      <c r="M1411" s="24"/>
    </row>
    <row r="1412" spans="12:13">
      <c r="L1412" s="24"/>
      <c r="M1412" s="24"/>
    </row>
    <row r="1413" spans="12:13">
      <c r="L1413" s="24"/>
      <c r="M1413" s="24"/>
    </row>
    <row r="1414" spans="12:13">
      <c r="L1414" s="24"/>
      <c r="M1414" s="24"/>
    </row>
    <row r="1415" spans="12:13">
      <c r="L1415" s="24"/>
      <c r="M1415" s="24"/>
    </row>
    <row r="1416" spans="12:13">
      <c r="L1416" s="24"/>
      <c r="M1416" s="24"/>
    </row>
    <row r="1417" spans="12:13">
      <c r="L1417" s="24"/>
      <c r="M1417" s="24"/>
    </row>
    <row r="1418" spans="12:13">
      <c r="L1418" s="24"/>
      <c r="M1418" s="24"/>
    </row>
    <row r="1419" spans="12:13">
      <c r="L1419" s="24"/>
      <c r="M1419" s="24"/>
    </row>
    <row r="1420" spans="12:13">
      <c r="L1420" s="24"/>
      <c r="M1420" s="24"/>
    </row>
    <row r="1421" spans="12:13">
      <c r="L1421" s="24"/>
      <c r="M1421" s="24"/>
    </row>
    <row r="1422" spans="12:13">
      <c r="L1422" s="24"/>
      <c r="M1422" s="24"/>
    </row>
    <row r="1423" spans="12:13">
      <c r="L1423" s="24"/>
      <c r="M1423" s="24"/>
    </row>
    <row r="1424" spans="12:13">
      <c r="L1424" s="24"/>
      <c r="M1424" s="24"/>
    </row>
    <row r="1425" spans="12:13">
      <c r="L1425" s="24"/>
      <c r="M1425" s="24"/>
    </row>
    <row r="1426" spans="12:13">
      <c r="L1426" s="24"/>
      <c r="M1426" s="24"/>
    </row>
    <row r="1427" spans="12:13">
      <c r="L1427" s="24"/>
      <c r="M1427" s="24"/>
    </row>
    <row r="1428" spans="12:13">
      <c r="L1428" s="24"/>
      <c r="M1428" s="24"/>
    </row>
    <row r="1429" spans="12:13">
      <c r="L1429" s="24"/>
      <c r="M1429" s="24"/>
    </row>
    <row r="1430" spans="12:13">
      <c r="L1430" s="24"/>
      <c r="M1430" s="24"/>
    </row>
    <row r="1431" spans="12:13">
      <c r="L1431" s="24"/>
      <c r="M1431" s="24"/>
    </row>
    <row r="1432" spans="12:13">
      <c r="L1432" s="24"/>
      <c r="M1432" s="24"/>
    </row>
    <row r="1433" spans="12:13">
      <c r="L1433" s="24"/>
      <c r="M1433" s="24"/>
    </row>
    <row r="1434" spans="12:13">
      <c r="L1434" s="24"/>
      <c r="M1434" s="24"/>
    </row>
    <row r="1435" spans="12:13">
      <c r="L1435" s="24"/>
      <c r="M1435" s="24"/>
    </row>
    <row r="1436" spans="12:13">
      <c r="L1436" s="24"/>
      <c r="M1436" s="24"/>
    </row>
    <row r="1437" spans="12:13">
      <c r="L1437" s="24"/>
      <c r="M1437" s="24"/>
    </row>
    <row r="1438" spans="12:13">
      <c r="L1438" s="24"/>
      <c r="M1438" s="24"/>
    </row>
    <row r="1439" spans="12:13">
      <c r="L1439" s="24"/>
      <c r="M1439" s="24"/>
    </row>
    <row r="1440" spans="12:13">
      <c r="L1440" s="24"/>
      <c r="M1440" s="24"/>
    </row>
    <row r="1441" spans="12:13">
      <c r="L1441" s="24"/>
      <c r="M1441" s="24"/>
    </row>
    <row r="1442" spans="12:13">
      <c r="L1442" s="24"/>
      <c r="M1442" s="24"/>
    </row>
    <row r="1443" spans="12:13">
      <c r="L1443" s="24"/>
      <c r="M1443" s="24"/>
    </row>
    <row r="1444" spans="12:13">
      <c r="L1444" s="24"/>
      <c r="M1444" s="24"/>
    </row>
    <row r="1445" spans="12:13">
      <c r="L1445" s="24"/>
      <c r="M1445" s="24"/>
    </row>
    <row r="1446" spans="12:13">
      <c r="L1446" s="24"/>
      <c r="M1446" s="24"/>
    </row>
    <row r="1447" spans="12:13">
      <c r="L1447" s="24"/>
      <c r="M1447" s="24"/>
    </row>
    <row r="1448" spans="12:13">
      <c r="L1448" s="24"/>
      <c r="M1448" s="24"/>
    </row>
    <row r="1449" spans="12:13">
      <c r="L1449" s="24"/>
      <c r="M1449" s="24"/>
    </row>
    <row r="1450" spans="12:13">
      <c r="L1450" s="24"/>
      <c r="M1450" s="24"/>
    </row>
    <row r="1451" spans="12:13">
      <c r="L1451" s="24"/>
      <c r="M1451" s="24"/>
    </row>
    <row r="1452" spans="12:13">
      <c r="L1452" s="24"/>
      <c r="M1452" s="24"/>
    </row>
    <row r="1453" spans="12:13">
      <c r="L1453" s="24"/>
      <c r="M1453" s="24"/>
    </row>
    <row r="1454" spans="12:13">
      <c r="L1454" s="24"/>
      <c r="M1454" s="24"/>
    </row>
    <row r="1455" spans="12:13">
      <c r="L1455" s="24"/>
      <c r="M1455" s="24"/>
    </row>
    <row r="1456" spans="12:13">
      <c r="L1456" s="24"/>
      <c r="M1456" s="24"/>
    </row>
    <row r="1457" spans="12:13">
      <c r="L1457" s="24"/>
      <c r="M1457" s="24"/>
    </row>
    <row r="1458" spans="12:13">
      <c r="L1458" s="24"/>
      <c r="M1458" s="24"/>
    </row>
    <row r="1459" spans="12:13">
      <c r="L1459" s="24"/>
      <c r="M1459" s="24"/>
    </row>
    <row r="1460" spans="12:13">
      <c r="L1460" s="24"/>
      <c r="M1460" s="24"/>
    </row>
    <row r="1461" spans="12:13">
      <c r="L1461" s="24"/>
      <c r="M1461" s="24"/>
    </row>
    <row r="1462" spans="12:13">
      <c r="L1462" s="24"/>
      <c r="M1462" s="24"/>
    </row>
    <row r="1463" spans="12:13">
      <c r="L1463" s="24"/>
      <c r="M1463" s="24"/>
    </row>
    <row r="1464" spans="12:13">
      <c r="L1464" s="24"/>
      <c r="M1464" s="24"/>
    </row>
    <row r="1465" spans="12:13">
      <c r="L1465" s="24"/>
      <c r="M1465" s="24"/>
    </row>
    <row r="1466" spans="12:13">
      <c r="L1466" s="24"/>
      <c r="M1466" s="24"/>
    </row>
    <row r="1467" spans="12:13">
      <c r="L1467" s="24"/>
      <c r="M1467" s="24"/>
    </row>
    <row r="1468" spans="12:13">
      <c r="L1468" s="24"/>
      <c r="M1468" s="24"/>
    </row>
    <row r="1469" spans="12:13">
      <c r="L1469" s="24"/>
      <c r="M1469" s="24"/>
    </row>
    <row r="1470" spans="12:13">
      <c r="L1470" s="24"/>
      <c r="M1470" s="24"/>
    </row>
    <row r="1471" spans="12:13">
      <c r="L1471" s="24"/>
      <c r="M1471" s="24"/>
    </row>
    <row r="1472" spans="12:13">
      <c r="L1472" s="24"/>
      <c r="M1472" s="24"/>
    </row>
    <row r="1473" spans="12:13">
      <c r="L1473" s="24"/>
      <c r="M1473" s="24"/>
    </row>
    <row r="1474" spans="12:13">
      <c r="L1474" s="24"/>
      <c r="M1474" s="24"/>
    </row>
    <row r="1475" spans="12:13">
      <c r="L1475" s="24"/>
      <c r="M1475" s="24"/>
    </row>
    <row r="1476" spans="12:13">
      <c r="L1476" s="24"/>
      <c r="M1476" s="24"/>
    </row>
    <row r="1477" spans="12:13">
      <c r="L1477" s="24"/>
      <c r="M1477" s="24"/>
    </row>
    <row r="1478" spans="12:13">
      <c r="L1478" s="24"/>
      <c r="M1478" s="24"/>
    </row>
    <row r="1479" spans="12:13">
      <c r="L1479" s="24"/>
      <c r="M1479" s="24"/>
    </row>
    <row r="1480" spans="12:13">
      <c r="L1480" s="24"/>
      <c r="M1480" s="24"/>
    </row>
    <row r="1481" spans="12:13">
      <c r="L1481" s="24"/>
      <c r="M1481" s="24"/>
    </row>
    <row r="1482" spans="12:13">
      <c r="L1482" s="24"/>
      <c r="M1482" s="24"/>
    </row>
    <row r="1483" spans="12:13">
      <c r="L1483" s="24"/>
      <c r="M1483" s="24"/>
    </row>
    <row r="1484" spans="12:13">
      <c r="L1484" s="24"/>
      <c r="M1484" s="24"/>
    </row>
    <row r="1485" spans="12:13">
      <c r="L1485" s="24"/>
      <c r="M1485" s="24"/>
    </row>
    <row r="1486" spans="12:13">
      <c r="L1486" s="24"/>
      <c r="M1486" s="24"/>
    </row>
    <row r="1487" spans="12:13">
      <c r="L1487" s="24"/>
      <c r="M1487" s="24"/>
    </row>
    <row r="1488" spans="12:13">
      <c r="L1488" s="24"/>
      <c r="M1488" s="24"/>
    </row>
    <row r="1489" spans="12:13">
      <c r="L1489" s="24"/>
      <c r="M1489" s="24"/>
    </row>
    <row r="1490" spans="12:13">
      <c r="L1490" s="24"/>
      <c r="M1490" s="24"/>
    </row>
    <row r="1491" spans="12:13">
      <c r="L1491" s="24"/>
      <c r="M1491" s="24"/>
    </row>
    <row r="1492" spans="12:13">
      <c r="L1492" s="24"/>
      <c r="M1492" s="24"/>
    </row>
    <row r="1493" spans="12:13">
      <c r="L1493" s="24"/>
      <c r="M1493" s="24"/>
    </row>
    <row r="1494" spans="12:13">
      <c r="L1494" s="24"/>
      <c r="M1494" s="24"/>
    </row>
    <row r="1495" spans="12:13">
      <c r="L1495" s="24"/>
      <c r="M1495" s="24"/>
    </row>
    <row r="1496" spans="12:13">
      <c r="L1496" s="24"/>
      <c r="M1496" s="24"/>
    </row>
    <row r="1497" spans="12:13">
      <c r="L1497" s="24"/>
      <c r="M1497" s="24"/>
    </row>
    <row r="1498" spans="12:13">
      <c r="L1498" s="24"/>
      <c r="M1498" s="24"/>
    </row>
    <row r="1499" spans="12:13">
      <c r="L1499" s="24"/>
      <c r="M1499" s="24"/>
    </row>
    <row r="1500" spans="12:13">
      <c r="L1500" s="24"/>
      <c r="M1500" s="24"/>
    </row>
    <row r="1501" spans="12:13">
      <c r="L1501" s="24"/>
      <c r="M1501" s="24"/>
    </row>
    <row r="1502" spans="12:13">
      <c r="L1502" s="24"/>
      <c r="M1502" s="24"/>
    </row>
    <row r="1503" spans="12:13">
      <c r="L1503" s="24"/>
      <c r="M1503" s="24"/>
    </row>
    <row r="1504" spans="12:13">
      <c r="L1504" s="24"/>
      <c r="M1504" s="24"/>
    </row>
    <row r="1505" spans="12:13">
      <c r="L1505" s="24"/>
      <c r="M1505" s="24"/>
    </row>
    <row r="1506" spans="12:13">
      <c r="L1506" s="24"/>
      <c r="M1506" s="24"/>
    </row>
    <row r="1507" spans="12:13">
      <c r="L1507" s="24"/>
      <c r="M1507" s="24"/>
    </row>
    <row r="1508" spans="12:13">
      <c r="L1508" s="24"/>
      <c r="M1508" s="24"/>
    </row>
    <row r="1509" spans="12:13">
      <c r="L1509" s="24"/>
      <c r="M1509" s="24"/>
    </row>
    <row r="1510" spans="12:13">
      <c r="L1510" s="24"/>
      <c r="M1510" s="24"/>
    </row>
    <row r="1511" spans="12:13">
      <c r="L1511" s="24"/>
      <c r="M1511" s="24"/>
    </row>
    <row r="1512" spans="12:13">
      <c r="L1512" s="24"/>
      <c r="M1512" s="24"/>
    </row>
    <row r="1513" spans="12:13">
      <c r="L1513" s="24"/>
      <c r="M1513" s="24"/>
    </row>
    <row r="1514" spans="12:13">
      <c r="L1514" s="24"/>
      <c r="M1514" s="24"/>
    </row>
    <row r="1515" spans="12:13">
      <c r="L1515" s="24"/>
      <c r="M1515" s="24"/>
    </row>
    <row r="1516" spans="12:13">
      <c r="L1516" s="24"/>
      <c r="M1516" s="24"/>
    </row>
    <row r="1517" spans="12:13">
      <c r="L1517" s="24"/>
      <c r="M1517" s="24"/>
    </row>
    <row r="1518" spans="12:13">
      <c r="L1518" s="24"/>
      <c r="M1518" s="24"/>
    </row>
    <row r="1519" spans="12:13">
      <c r="L1519" s="24"/>
      <c r="M1519" s="24"/>
    </row>
    <row r="1520" spans="12:13">
      <c r="L1520" s="24"/>
      <c r="M1520" s="24"/>
    </row>
    <row r="1521" spans="12:13">
      <c r="L1521" s="24"/>
      <c r="M1521" s="24"/>
    </row>
    <row r="1522" spans="12:13">
      <c r="L1522" s="24"/>
      <c r="M1522" s="24"/>
    </row>
    <row r="1523" spans="12:13">
      <c r="L1523" s="24"/>
      <c r="M1523" s="24"/>
    </row>
    <row r="1524" spans="12:13">
      <c r="L1524" s="24"/>
      <c r="M1524" s="24"/>
    </row>
    <row r="1525" spans="12:13">
      <c r="L1525" s="24"/>
      <c r="M1525" s="24"/>
    </row>
    <row r="1526" spans="12:13">
      <c r="L1526" s="24"/>
      <c r="M1526" s="24"/>
    </row>
    <row r="1527" spans="12:13">
      <c r="L1527" s="24"/>
      <c r="M1527" s="24"/>
    </row>
    <row r="1528" spans="12:13">
      <c r="L1528" s="24"/>
      <c r="M1528" s="24"/>
    </row>
    <row r="1529" spans="12:13">
      <c r="L1529" s="24"/>
      <c r="M1529" s="24"/>
    </row>
    <row r="1530" spans="12:13">
      <c r="L1530" s="24"/>
      <c r="M1530" s="24"/>
    </row>
    <row r="1531" spans="12:13">
      <c r="L1531" s="24"/>
      <c r="M1531" s="24"/>
    </row>
    <row r="1532" spans="12:13">
      <c r="L1532" s="24"/>
      <c r="M1532" s="24"/>
    </row>
    <row r="1533" spans="12:13">
      <c r="L1533" s="24"/>
      <c r="M1533" s="24"/>
    </row>
    <row r="1534" spans="12:13">
      <c r="L1534" s="24"/>
      <c r="M1534" s="24"/>
    </row>
    <row r="1535" spans="12:13">
      <c r="L1535" s="24"/>
      <c r="M1535" s="24"/>
    </row>
    <row r="1536" spans="12:13">
      <c r="L1536" s="24"/>
      <c r="M1536" s="24"/>
    </row>
    <row r="1537" spans="12:13">
      <c r="L1537" s="24"/>
      <c r="M1537" s="24"/>
    </row>
    <row r="1538" spans="12:13">
      <c r="L1538" s="24"/>
      <c r="M1538" s="24"/>
    </row>
    <row r="1539" spans="12:13">
      <c r="L1539" s="24"/>
      <c r="M1539" s="24"/>
    </row>
    <row r="1540" spans="12:13">
      <c r="L1540" s="24"/>
      <c r="M1540" s="24"/>
    </row>
    <row r="1541" spans="12:13">
      <c r="L1541" s="24"/>
      <c r="M1541" s="24"/>
    </row>
    <row r="1542" spans="12:13">
      <c r="L1542" s="24"/>
      <c r="M1542" s="24"/>
    </row>
    <row r="1543" spans="12:13">
      <c r="L1543" s="24"/>
      <c r="M1543" s="24"/>
    </row>
    <row r="1544" spans="12:13">
      <c r="L1544" s="24"/>
      <c r="M1544" s="24"/>
    </row>
    <row r="1545" spans="12:13">
      <c r="L1545" s="24"/>
      <c r="M1545" s="24"/>
    </row>
    <row r="1546" spans="12:13">
      <c r="L1546" s="24"/>
      <c r="M1546" s="24"/>
    </row>
    <row r="1547" spans="12:13">
      <c r="L1547" s="24"/>
      <c r="M1547" s="24"/>
    </row>
    <row r="1548" spans="12:13">
      <c r="L1548" s="24"/>
      <c r="M1548" s="24"/>
    </row>
    <row r="1549" spans="12:13">
      <c r="L1549" s="24"/>
      <c r="M1549" s="24"/>
    </row>
    <row r="1550" spans="12:13">
      <c r="L1550" s="24"/>
      <c r="M1550" s="24"/>
    </row>
    <row r="1551" spans="12:13">
      <c r="L1551" s="24"/>
      <c r="M1551" s="24"/>
    </row>
    <row r="1552" spans="12:13">
      <c r="L1552" s="24"/>
      <c r="M1552" s="24"/>
    </row>
    <row r="1553" spans="12:13">
      <c r="L1553" s="24"/>
      <c r="M1553" s="24"/>
    </row>
    <row r="1554" spans="12:13">
      <c r="L1554" s="24"/>
      <c r="M1554" s="24"/>
    </row>
    <row r="1555" spans="12:13">
      <c r="L1555" s="24"/>
      <c r="M1555" s="24"/>
    </row>
    <row r="1556" spans="12:13">
      <c r="L1556" s="24"/>
      <c r="M1556" s="24"/>
    </row>
    <row r="1557" spans="12:13">
      <c r="L1557" s="24"/>
      <c r="M1557" s="24"/>
    </row>
    <row r="1558" spans="12:13">
      <c r="L1558" s="24"/>
      <c r="M1558" s="24"/>
    </row>
    <row r="1559" spans="12:13">
      <c r="L1559" s="24"/>
      <c r="M1559" s="24"/>
    </row>
    <row r="1560" spans="12:13">
      <c r="L1560" s="24"/>
      <c r="M1560" s="24"/>
    </row>
    <row r="1561" spans="12:13">
      <c r="L1561" s="24"/>
      <c r="M1561" s="24"/>
    </row>
    <row r="1562" spans="12:13">
      <c r="L1562" s="24"/>
      <c r="M1562" s="24"/>
    </row>
    <row r="1563" spans="12:13">
      <c r="L1563" s="24"/>
      <c r="M1563" s="24"/>
    </row>
    <row r="1564" spans="12:13">
      <c r="L1564" s="24"/>
      <c r="M1564" s="24"/>
    </row>
    <row r="1565" spans="12:13">
      <c r="L1565" s="24"/>
      <c r="M1565" s="24"/>
    </row>
    <row r="1566" spans="12:13">
      <c r="L1566" s="24"/>
      <c r="M1566" s="24"/>
    </row>
    <row r="1567" spans="12:13">
      <c r="L1567" s="24"/>
      <c r="M1567" s="24"/>
    </row>
    <row r="1568" spans="12:13">
      <c r="L1568" s="24"/>
      <c r="M1568" s="24"/>
    </row>
    <row r="1569" spans="12:13">
      <c r="L1569" s="24"/>
      <c r="M1569" s="24"/>
    </row>
    <row r="1570" spans="12:13">
      <c r="L1570" s="24"/>
      <c r="M1570" s="24"/>
    </row>
    <row r="1571" spans="12:13">
      <c r="L1571" s="24"/>
      <c r="M1571" s="24"/>
    </row>
    <row r="1572" spans="12:13">
      <c r="L1572" s="24"/>
      <c r="M1572" s="24"/>
    </row>
    <row r="1573" spans="12:13">
      <c r="L1573" s="24"/>
      <c r="M1573" s="24"/>
    </row>
    <row r="1574" spans="12:13">
      <c r="L1574" s="24"/>
      <c r="M1574" s="24"/>
    </row>
    <row r="1575" spans="12:13">
      <c r="L1575" s="24"/>
      <c r="M1575" s="24"/>
    </row>
    <row r="1576" spans="12:13">
      <c r="L1576" s="24"/>
      <c r="M1576" s="24"/>
    </row>
    <row r="1577" spans="12:13">
      <c r="L1577" s="24"/>
      <c r="M1577" s="24"/>
    </row>
    <row r="1578" spans="12:13">
      <c r="L1578" s="24"/>
      <c r="M1578" s="24"/>
    </row>
    <row r="1579" spans="12:13">
      <c r="L1579" s="24"/>
      <c r="M1579" s="24"/>
    </row>
    <row r="1580" spans="12:13">
      <c r="L1580" s="24"/>
      <c r="M1580" s="24"/>
    </row>
    <row r="1581" spans="12:13">
      <c r="L1581" s="24"/>
      <c r="M1581" s="24"/>
    </row>
    <row r="1582" spans="12:13">
      <c r="L1582" s="24"/>
      <c r="M1582" s="24"/>
    </row>
    <row r="1583" spans="12:13">
      <c r="L1583" s="24"/>
      <c r="M1583" s="24"/>
    </row>
    <row r="1584" spans="12:13">
      <c r="L1584" s="24"/>
      <c r="M1584" s="24"/>
    </row>
    <row r="1585" spans="12:13">
      <c r="L1585" s="24"/>
      <c r="M1585" s="24"/>
    </row>
    <row r="1586" spans="12:13">
      <c r="L1586" s="24"/>
      <c r="M1586" s="24"/>
    </row>
    <row r="1587" spans="12:13">
      <c r="L1587" s="24"/>
      <c r="M1587" s="24"/>
    </row>
    <row r="1588" spans="12:13">
      <c r="L1588" s="24"/>
      <c r="M1588" s="24"/>
    </row>
    <row r="1589" spans="12:13">
      <c r="L1589" s="24"/>
      <c r="M1589" s="24"/>
    </row>
    <row r="1590" spans="12:13">
      <c r="L1590" s="24"/>
      <c r="M1590" s="24"/>
    </row>
    <row r="1591" spans="12:13">
      <c r="L1591" s="24"/>
      <c r="M1591" s="24"/>
    </row>
    <row r="1592" spans="12:13">
      <c r="L1592" s="24"/>
      <c r="M1592" s="24"/>
    </row>
    <row r="1593" spans="12:13">
      <c r="L1593" s="24"/>
      <c r="M1593" s="24"/>
    </row>
    <row r="1594" spans="12:13">
      <c r="L1594" s="24"/>
      <c r="M1594" s="24"/>
    </row>
    <row r="1595" spans="12:13">
      <c r="L1595" s="24"/>
      <c r="M1595" s="24"/>
    </row>
    <row r="1596" spans="12:13">
      <c r="L1596" s="24"/>
      <c r="M1596" s="24"/>
    </row>
    <row r="1597" spans="12:13">
      <c r="L1597" s="24"/>
      <c r="M1597" s="24"/>
    </row>
    <row r="1598" spans="12:13">
      <c r="L1598" s="24"/>
      <c r="M1598" s="24"/>
    </row>
    <row r="1599" spans="12:13">
      <c r="L1599" s="24"/>
      <c r="M1599" s="24"/>
    </row>
    <row r="1600" spans="12:13">
      <c r="L1600" s="24"/>
      <c r="M1600" s="24"/>
    </row>
    <row r="1601" spans="12:13">
      <c r="L1601" s="24"/>
      <c r="M1601" s="24"/>
    </row>
    <row r="1602" spans="12:13">
      <c r="L1602" s="24"/>
      <c r="M1602" s="24"/>
    </row>
    <row r="1603" spans="12:13">
      <c r="L1603" s="24"/>
      <c r="M1603" s="24"/>
    </row>
    <row r="1604" spans="12:13">
      <c r="L1604" s="24"/>
      <c r="M1604" s="24"/>
    </row>
    <row r="1605" spans="12:13">
      <c r="L1605" s="24"/>
      <c r="M1605" s="24"/>
    </row>
    <row r="1606" spans="12:13">
      <c r="L1606" s="24"/>
      <c r="M1606" s="24"/>
    </row>
    <row r="1607" spans="12:13">
      <c r="L1607" s="24"/>
      <c r="M1607" s="24"/>
    </row>
    <row r="1608" spans="12:13">
      <c r="L1608" s="24"/>
      <c r="M1608" s="24"/>
    </row>
    <row r="1609" spans="12:13">
      <c r="L1609" s="24"/>
      <c r="M1609" s="24"/>
    </row>
    <row r="1610" spans="12:13">
      <c r="L1610" s="24"/>
      <c r="M1610" s="24"/>
    </row>
    <row r="1611" spans="12:13">
      <c r="L1611" s="24"/>
      <c r="M1611" s="24"/>
    </row>
    <row r="1612" spans="12:13">
      <c r="L1612" s="24"/>
      <c r="M1612" s="24"/>
    </row>
    <row r="1613" spans="12:13">
      <c r="L1613" s="24"/>
      <c r="M1613" s="24"/>
    </row>
    <row r="1614" spans="12:13">
      <c r="L1614" s="24"/>
      <c r="M1614" s="24"/>
    </row>
    <row r="1615" spans="12:13">
      <c r="L1615" s="24"/>
      <c r="M1615" s="24"/>
    </row>
    <row r="1616" spans="12:13">
      <c r="L1616" s="24"/>
      <c r="M1616" s="24"/>
    </row>
    <row r="1617" spans="12:13">
      <c r="L1617" s="24"/>
      <c r="M1617" s="24"/>
    </row>
    <row r="1618" spans="12:13">
      <c r="L1618" s="24"/>
      <c r="M1618" s="24"/>
    </row>
    <row r="1619" spans="12:13">
      <c r="L1619" s="24"/>
      <c r="M1619" s="24"/>
    </row>
    <row r="1620" spans="12:13">
      <c r="L1620" s="24"/>
      <c r="M1620" s="24"/>
    </row>
    <row r="1621" spans="12:13">
      <c r="L1621" s="24"/>
      <c r="M1621" s="24"/>
    </row>
    <row r="1622" spans="12:13">
      <c r="L1622" s="24"/>
      <c r="M1622" s="24"/>
    </row>
    <row r="1623" spans="12:13">
      <c r="L1623" s="24"/>
      <c r="M1623" s="24"/>
    </row>
    <row r="1624" spans="12:13">
      <c r="L1624" s="24"/>
      <c r="M1624" s="24"/>
    </row>
    <row r="1625" spans="12:13">
      <c r="L1625" s="24"/>
      <c r="M1625" s="24"/>
    </row>
    <row r="1626" spans="12:13">
      <c r="L1626" s="24"/>
      <c r="M1626" s="24"/>
    </row>
    <row r="1627" spans="12:13">
      <c r="L1627" s="24"/>
      <c r="M1627" s="24"/>
    </row>
    <row r="1628" spans="12:13">
      <c r="L1628" s="24"/>
      <c r="M1628" s="24"/>
    </row>
    <row r="1629" spans="12:13">
      <c r="L1629" s="24"/>
      <c r="M1629" s="24"/>
    </row>
    <row r="1630" spans="12:13">
      <c r="L1630" s="24"/>
      <c r="M1630" s="24"/>
    </row>
    <row r="1631" spans="12:13">
      <c r="L1631" s="24"/>
      <c r="M1631" s="24"/>
    </row>
    <row r="1632" spans="12:13">
      <c r="L1632" s="24"/>
      <c r="M1632" s="24"/>
    </row>
    <row r="1633" spans="12:13">
      <c r="L1633" s="24"/>
      <c r="M1633" s="24"/>
    </row>
    <row r="1634" spans="12:13">
      <c r="L1634" s="24"/>
      <c r="M1634" s="24"/>
    </row>
    <row r="1635" spans="12:13">
      <c r="L1635" s="24"/>
      <c r="M1635" s="24"/>
    </row>
    <row r="1636" spans="12:13">
      <c r="L1636" s="24"/>
      <c r="M1636" s="24"/>
    </row>
    <row r="1637" spans="12:13">
      <c r="L1637" s="24"/>
      <c r="M1637" s="24"/>
    </row>
    <row r="1638" spans="12:13">
      <c r="L1638" s="24"/>
      <c r="M1638" s="24"/>
    </row>
    <row r="1639" spans="12:13">
      <c r="L1639" s="24"/>
      <c r="M1639" s="24"/>
    </row>
    <row r="1640" spans="12:13">
      <c r="L1640" s="24"/>
      <c r="M1640" s="24"/>
    </row>
    <row r="1641" spans="12:13">
      <c r="L1641" s="24"/>
      <c r="M1641" s="24"/>
    </row>
    <row r="1642" spans="12:13">
      <c r="L1642" s="24"/>
      <c r="M1642" s="24"/>
    </row>
    <row r="1643" spans="12:13">
      <c r="L1643" s="24"/>
      <c r="M1643" s="24"/>
    </row>
    <row r="1644" spans="12:13">
      <c r="L1644" s="24"/>
      <c r="M1644" s="24"/>
    </row>
    <row r="1645" spans="12:13">
      <c r="L1645" s="24"/>
      <c r="M1645" s="24"/>
    </row>
    <row r="1646" spans="12:13">
      <c r="L1646" s="24"/>
      <c r="M1646" s="24"/>
    </row>
    <row r="1647" spans="12:13">
      <c r="L1647" s="24"/>
      <c r="M1647" s="24"/>
    </row>
    <row r="1648" spans="12:13">
      <c r="L1648" s="24"/>
      <c r="M1648" s="24"/>
    </row>
    <row r="1649" spans="12:13">
      <c r="L1649" s="24"/>
      <c r="M1649" s="24"/>
    </row>
    <row r="1650" spans="12:13">
      <c r="L1650" s="24"/>
      <c r="M1650" s="24"/>
    </row>
    <row r="1651" spans="12:13">
      <c r="L1651" s="24"/>
      <c r="M1651" s="24"/>
    </row>
    <row r="1652" spans="12:13">
      <c r="L1652" s="24"/>
      <c r="M1652" s="24"/>
    </row>
    <row r="1653" spans="12:13">
      <c r="L1653" s="24"/>
      <c r="M1653" s="24"/>
    </row>
    <row r="1654" spans="12:13">
      <c r="L1654" s="24"/>
      <c r="M1654" s="24"/>
    </row>
    <row r="1655" spans="12:13">
      <c r="L1655" s="24"/>
      <c r="M1655" s="24"/>
    </row>
    <row r="1656" spans="12:13">
      <c r="L1656" s="24"/>
      <c r="M1656" s="24"/>
    </row>
    <row r="1657" spans="12:13">
      <c r="L1657" s="24"/>
      <c r="M1657" s="24"/>
    </row>
    <row r="1658" spans="12:13">
      <c r="L1658" s="24"/>
      <c r="M1658" s="24"/>
    </row>
    <row r="1659" spans="12:13">
      <c r="L1659" s="24"/>
      <c r="M1659" s="24"/>
    </row>
    <row r="1660" spans="12:13">
      <c r="L1660" s="24"/>
      <c r="M1660" s="24"/>
    </row>
    <row r="1661" spans="12:13">
      <c r="L1661" s="24"/>
      <c r="M1661" s="24"/>
    </row>
    <row r="1662" spans="12:13">
      <c r="L1662" s="24"/>
      <c r="M1662" s="24"/>
    </row>
    <row r="1663" spans="12:13">
      <c r="L1663" s="24"/>
      <c r="M1663" s="24"/>
    </row>
    <row r="1664" spans="12:13">
      <c r="L1664" s="24"/>
      <c r="M1664" s="24"/>
    </row>
    <row r="1665" spans="12:13">
      <c r="L1665" s="24"/>
      <c r="M1665" s="24"/>
    </row>
    <row r="1666" spans="12:13">
      <c r="L1666" s="24"/>
      <c r="M1666" s="24"/>
    </row>
    <row r="1667" spans="12:13">
      <c r="L1667" s="24"/>
      <c r="M1667" s="24"/>
    </row>
    <row r="1668" spans="12:13">
      <c r="L1668" s="24"/>
      <c r="M1668" s="24"/>
    </row>
    <row r="1669" spans="12:13">
      <c r="L1669" s="24"/>
      <c r="M1669" s="24"/>
    </row>
    <row r="1670" spans="12:13">
      <c r="L1670" s="24"/>
      <c r="M1670" s="24"/>
    </row>
    <row r="1671" spans="12:13">
      <c r="L1671" s="24"/>
      <c r="M1671" s="24"/>
    </row>
    <row r="1672" spans="12:13">
      <c r="L1672" s="24"/>
      <c r="M1672" s="24"/>
    </row>
    <row r="1673" spans="12:13">
      <c r="L1673" s="24"/>
      <c r="M1673" s="24"/>
    </row>
    <row r="1674" spans="12:13">
      <c r="L1674" s="24"/>
      <c r="M1674" s="24"/>
    </row>
    <row r="1675" spans="12:13">
      <c r="L1675" s="24"/>
      <c r="M1675" s="24"/>
    </row>
    <row r="1676" spans="12:13">
      <c r="L1676" s="24"/>
      <c r="M1676" s="24"/>
    </row>
    <row r="1677" spans="12:13">
      <c r="L1677" s="24"/>
      <c r="M1677" s="24"/>
    </row>
    <row r="1678" spans="12:13">
      <c r="L1678" s="24"/>
      <c r="M1678" s="24"/>
    </row>
    <row r="1679" spans="12:13">
      <c r="L1679" s="24"/>
      <c r="M1679" s="24"/>
    </row>
    <row r="1680" spans="12:13">
      <c r="L1680" s="24"/>
      <c r="M1680" s="24"/>
    </row>
    <row r="1681" spans="12:13">
      <c r="L1681" s="24"/>
      <c r="M1681" s="24"/>
    </row>
    <row r="1682" spans="12:13">
      <c r="L1682" s="24"/>
      <c r="M1682" s="24"/>
    </row>
    <row r="1683" spans="12:13">
      <c r="L1683" s="24"/>
      <c r="M1683" s="24"/>
    </row>
    <row r="1684" spans="12:13">
      <c r="L1684" s="24"/>
      <c r="M1684" s="24"/>
    </row>
    <row r="1685" spans="12:13">
      <c r="L1685" s="24"/>
      <c r="M1685" s="24"/>
    </row>
    <row r="1686" spans="12:13">
      <c r="L1686" s="24"/>
      <c r="M1686" s="24"/>
    </row>
    <row r="1687" spans="12:13">
      <c r="L1687" s="24"/>
      <c r="M1687" s="24"/>
    </row>
    <row r="1688" spans="12:13">
      <c r="L1688" s="24"/>
      <c r="M1688" s="24"/>
    </row>
    <row r="1689" spans="12:13">
      <c r="L1689" s="24"/>
      <c r="M1689" s="24"/>
    </row>
    <row r="1690" spans="12:13">
      <c r="L1690" s="24"/>
      <c r="M1690" s="24"/>
    </row>
    <row r="1691" spans="12:13">
      <c r="L1691" s="24"/>
      <c r="M1691" s="24"/>
    </row>
    <row r="1692" spans="12:13">
      <c r="L1692" s="24"/>
      <c r="M1692" s="24"/>
    </row>
    <row r="1693" spans="12:13">
      <c r="L1693" s="24"/>
      <c r="M1693" s="24"/>
    </row>
    <row r="1694" spans="12:13">
      <c r="L1694" s="24"/>
      <c r="M1694" s="24"/>
    </row>
    <row r="1695" spans="12:13">
      <c r="L1695" s="24"/>
      <c r="M1695" s="24"/>
    </row>
    <row r="1696" spans="12:13">
      <c r="L1696" s="24"/>
      <c r="M1696" s="24"/>
    </row>
    <row r="1697" spans="12:13">
      <c r="L1697" s="24"/>
      <c r="M1697" s="24"/>
    </row>
    <row r="1698" spans="12:13">
      <c r="L1698" s="24"/>
      <c r="M1698" s="24"/>
    </row>
    <row r="1699" spans="12:13">
      <c r="L1699" s="24"/>
      <c r="M1699" s="24"/>
    </row>
    <row r="1700" spans="12:13">
      <c r="L1700" s="24"/>
      <c r="M1700" s="24"/>
    </row>
    <row r="1701" spans="12:13">
      <c r="L1701" s="24"/>
      <c r="M1701" s="24"/>
    </row>
    <row r="1702" spans="12:13">
      <c r="L1702" s="24"/>
      <c r="M1702" s="24"/>
    </row>
    <row r="1703" spans="12:13">
      <c r="L1703" s="24"/>
      <c r="M1703" s="24"/>
    </row>
    <row r="1704" spans="12:13">
      <c r="L1704" s="24"/>
      <c r="M1704" s="24"/>
    </row>
    <row r="1705" spans="12:13">
      <c r="L1705" s="24"/>
      <c r="M1705" s="24"/>
    </row>
    <row r="1706" spans="12:13">
      <c r="L1706" s="24"/>
      <c r="M1706" s="24"/>
    </row>
    <row r="1707" spans="12:13">
      <c r="L1707" s="24"/>
      <c r="M1707" s="24"/>
    </row>
    <row r="1708" spans="12:13">
      <c r="L1708" s="24"/>
      <c r="M1708" s="24"/>
    </row>
    <row r="1709" spans="12:13">
      <c r="L1709" s="24"/>
      <c r="M1709" s="24"/>
    </row>
    <row r="1710" spans="12:13">
      <c r="L1710" s="24"/>
      <c r="M1710" s="24"/>
    </row>
    <row r="1711" spans="12:13">
      <c r="L1711" s="24"/>
      <c r="M1711" s="24"/>
    </row>
    <row r="1712" spans="12:13">
      <c r="L1712" s="24"/>
      <c r="M1712" s="24"/>
    </row>
    <row r="1713" spans="12:13">
      <c r="L1713" s="24"/>
      <c r="M1713" s="24"/>
    </row>
    <row r="1714" spans="12:13">
      <c r="L1714" s="24"/>
      <c r="M1714" s="24"/>
    </row>
    <row r="1715" spans="12:13">
      <c r="L1715" s="24"/>
      <c r="M1715" s="24"/>
    </row>
    <row r="1716" spans="12:13">
      <c r="L1716" s="24"/>
      <c r="M1716" s="24"/>
    </row>
    <row r="1717" spans="12:13">
      <c r="L1717" s="24"/>
      <c r="M1717" s="24"/>
    </row>
    <row r="1718" spans="12:13">
      <c r="L1718" s="24"/>
      <c r="M1718" s="24"/>
    </row>
    <row r="1719" spans="12:13">
      <c r="L1719" s="24"/>
      <c r="M1719" s="24"/>
    </row>
    <row r="1720" spans="12:13">
      <c r="L1720" s="24"/>
      <c r="M1720" s="24"/>
    </row>
    <row r="1721" spans="12:13">
      <c r="L1721" s="24"/>
      <c r="M1721" s="24"/>
    </row>
    <row r="1722" spans="12:13">
      <c r="L1722" s="24"/>
      <c r="M1722" s="24"/>
    </row>
    <row r="1723" spans="12:13">
      <c r="L1723" s="24"/>
      <c r="M1723" s="24"/>
    </row>
    <row r="1724" spans="12:13">
      <c r="L1724" s="24"/>
      <c r="M1724" s="24"/>
    </row>
    <row r="1725" spans="12:13">
      <c r="L1725" s="24"/>
      <c r="M1725" s="24"/>
    </row>
    <row r="1726" spans="12:13">
      <c r="L1726" s="24"/>
      <c r="M1726" s="24"/>
    </row>
    <row r="1727" spans="12:13">
      <c r="L1727" s="24"/>
      <c r="M1727" s="24"/>
    </row>
    <row r="1728" spans="12:13">
      <c r="L1728" s="24"/>
      <c r="M1728" s="24"/>
    </row>
    <row r="1729" spans="12:13">
      <c r="L1729" s="24"/>
      <c r="M1729" s="24"/>
    </row>
    <row r="1730" spans="12:13">
      <c r="L1730" s="24"/>
      <c r="M1730" s="24"/>
    </row>
    <row r="1731" spans="12:13">
      <c r="L1731" s="24"/>
      <c r="M1731" s="24"/>
    </row>
    <row r="1732" spans="12:13">
      <c r="L1732" s="24"/>
      <c r="M1732" s="24"/>
    </row>
    <row r="1733" spans="12:13">
      <c r="L1733" s="24"/>
      <c r="M1733" s="24"/>
    </row>
    <row r="1734" spans="12:13">
      <c r="L1734" s="24"/>
      <c r="M1734" s="24"/>
    </row>
    <row r="1735" spans="12:13">
      <c r="L1735" s="24"/>
      <c r="M1735" s="24"/>
    </row>
    <row r="1736" spans="12:13">
      <c r="L1736" s="24"/>
      <c r="M1736" s="24"/>
    </row>
    <row r="1737" spans="12:13">
      <c r="L1737" s="24"/>
      <c r="M1737" s="24"/>
    </row>
    <row r="1738" spans="12:13">
      <c r="L1738" s="24"/>
      <c r="M1738" s="24"/>
    </row>
    <row r="1739" spans="12:13">
      <c r="L1739" s="24"/>
      <c r="M1739" s="24"/>
    </row>
    <row r="1740" spans="12:13">
      <c r="L1740" s="24"/>
      <c r="M1740" s="24"/>
    </row>
    <row r="1741" spans="12:13">
      <c r="L1741" s="24"/>
      <c r="M1741" s="24"/>
    </row>
    <row r="1742" spans="12:13">
      <c r="L1742" s="24"/>
      <c r="M1742" s="24"/>
    </row>
    <row r="1743" spans="12:13">
      <c r="L1743" s="24"/>
      <c r="M1743" s="24"/>
    </row>
    <row r="1744" spans="12:13">
      <c r="L1744" s="24"/>
      <c r="M1744" s="24"/>
    </row>
    <row r="1745" spans="12:13">
      <c r="L1745" s="24"/>
      <c r="M1745" s="24"/>
    </row>
    <row r="1746" spans="12:13">
      <c r="L1746" s="24"/>
      <c r="M1746" s="24"/>
    </row>
    <row r="1747" spans="12:13">
      <c r="L1747" s="24"/>
      <c r="M1747" s="24"/>
    </row>
    <row r="1748" spans="12:13">
      <c r="L1748" s="24"/>
      <c r="M1748" s="24"/>
    </row>
    <row r="1749" spans="12:13">
      <c r="L1749" s="24"/>
      <c r="M1749" s="24"/>
    </row>
    <row r="1750" spans="12:13">
      <c r="L1750" s="24"/>
      <c r="M1750" s="24"/>
    </row>
    <row r="1751" spans="12:13">
      <c r="L1751" s="24"/>
      <c r="M1751" s="24"/>
    </row>
    <row r="1752" spans="12:13">
      <c r="L1752" s="24"/>
      <c r="M1752" s="24"/>
    </row>
    <row r="1753" spans="12:13">
      <c r="L1753" s="24"/>
      <c r="M1753" s="24"/>
    </row>
    <row r="1754" spans="12:13">
      <c r="L1754" s="24"/>
      <c r="M1754" s="24"/>
    </row>
    <row r="1755" spans="12:13">
      <c r="L1755" s="24"/>
      <c r="M1755" s="24"/>
    </row>
    <row r="1756" spans="12:13">
      <c r="L1756" s="24"/>
      <c r="M1756" s="24"/>
    </row>
    <row r="1757" spans="12:13">
      <c r="L1757" s="24"/>
      <c r="M1757" s="24"/>
    </row>
    <row r="1758" spans="12:13">
      <c r="L1758" s="24"/>
      <c r="M1758" s="24"/>
    </row>
    <row r="1759" spans="12:13">
      <c r="L1759" s="24"/>
      <c r="M1759" s="24"/>
    </row>
    <row r="1760" spans="12:13">
      <c r="L1760" s="24"/>
      <c r="M1760" s="24"/>
    </row>
    <row r="1761" spans="12:13">
      <c r="L1761" s="24"/>
      <c r="M1761" s="24"/>
    </row>
    <row r="1762" spans="12:13">
      <c r="L1762" s="24"/>
      <c r="M1762" s="24"/>
    </row>
    <row r="1763" spans="12:13">
      <c r="L1763" s="24"/>
      <c r="M1763" s="24"/>
    </row>
    <row r="1764" spans="12:13">
      <c r="L1764" s="24"/>
      <c r="M1764" s="24"/>
    </row>
    <row r="1765" spans="12:13">
      <c r="L1765" s="24"/>
      <c r="M1765" s="24"/>
    </row>
    <row r="1766" spans="12:13">
      <c r="L1766" s="24"/>
      <c r="M1766" s="24"/>
    </row>
    <row r="1767" spans="12:13">
      <c r="L1767" s="24"/>
      <c r="M1767" s="24"/>
    </row>
    <row r="1768" spans="12:13">
      <c r="L1768" s="24"/>
      <c r="M1768" s="24"/>
    </row>
    <row r="1769" spans="12:13">
      <c r="L1769" s="24"/>
      <c r="M1769" s="24"/>
    </row>
    <row r="1770" spans="12:13">
      <c r="L1770" s="24"/>
      <c r="M1770" s="24"/>
    </row>
    <row r="1771" spans="12:13">
      <c r="L1771" s="24"/>
      <c r="M1771" s="24"/>
    </row>
    <row r="1772" spans="12:13">
      <c r="L1772" s="24"/>
      <c r="M1772" s="24"/>
    </row>
    <row r="1773" spans="12:13">
      <c r="L1773" s="24"/>
      <c r="M1773" s="24"/>
    </row>
    <row r="1774" spans="12:13">
      <c r="L1774" s="24"/>
      <c r="M1774" s="24"/>
    </row>
    <row r="1775" spans="12:13">
      <c r="L1775" s="24"/>
      <c r="M1775" s="24"/>
    </row>
    <row r="1776" spans="12:13">
      <c r="L1776" s="24"/>
      <c r="M1776" s="24"/>
    </row>
    <row r="1777" spans="12:13">
      <c r="L1777" s="24"/>
      <c r="M1777" s="24"/>
    </row>
    <row r="1778" spans="12:13">
      <c r="L1778" s="24"/>
      <c r="M1778" s="24"/>
    </row>
    <row r="1779" spans="12:13">
      <c r="L1779" s="24"/>
      <c r="M1779" s="24"/>
    </row>
    <row r="1780" spans="12:13">
      <c r="L1780" s="24"/>
      <c r="M1780" s="24"/>
    </row>
    <row r="1781" spans="12:13">
      <c r="L1781" s="24"/>
      <c r="M1781" s="24"/>
    </row>
    <row r="1782" spans="12:13">
      <c r="L1782" s="24"/>
      <c r="M1782" s="24"/>
    </row>
    <row r="1783" spans="12:13">
      <c r="L1783" s="24"/>
      <c r="M1783" s="24"/>
    </row>
    <row r="1784" spans="12:13">
      <c r="L1784" s="24"/>
      <c r="M1784" s="24"/>
    </row>
    <row r="1785" spans="12:13">
      <c r="L1785" s="24"/>
      <c r="M1785" s="24"/>
    </row>
    <row r="1786" spans="12:13">
      <c r="L1786" s="24"/>
      <c r="M1786" s="24"/>
    </row>
    <row r="1787" spans="12:13">
      <c r="L1787" s="24"/>
      <c r="M1787" s="24"/>
    </row>
    <row r="1788" spans="12:13">
      <c r="L1788" s="24"/>
      <c r="M1788" s="24"/>
    </row>
    <row r="1789" spans="12:13">
      <c r="L1789" s="24"/>
      <c r="M1789" s="24"/>
    </row>
    <row r="1790" spans="12:13">
      <c r="L1790" s="24"/>
      <c r="M1790" s="24"/>
    </row>
    <row r="1791" spans="12:13">
      <c r="L1791" s="24"/>
      <c r="M1791" s="24"/>
    </row>
    <row r="1792" spans="12:13">
      <c r="L1792" s="24"/>
      <c r="M1792" s="24"/>
    </row>
    <row r="1793" spans="12:13">
      <c r="L1793" s="24"/>
      <c r="M1793" s="24"/>
    </row>
    <row r="1794" spans="12:13">
      <c r="L1794" s="24"/>
      <c r="M1794" s="24"/>
    </row>
    <row r="1795" spans="12:13">
      <c r="L1795" s="24"/>
      <c r="M1795" s="24"/>
    </row>
    <row r="1796" spans="12:13">
      <c r="L1796" s="24"/>
      <c r="M1796" s="24"/>
    </row>
    <row r="1797" spans="12:13">
      <c r="L1797" s="24"/>
      <c r="M1797" s="24"/>
    </row>
    <row r="1798" spans="12:13">
      <c r="L1798" s="24"/>
      <c r="M1798" s="24"/>
    </row>
    <row r="1799" spans="12:13">
      <c r="L1799" s="24"/>
      <c r="M1799" s="24"/>
    </row>
    <row r="1800" spans="12:13">
      <c r="L1800" s="24"/>
      <c r="M1800" s="24"/>
    </row>
    <row r="1801" spans="12:13">
      <c r="L1801" s="24"/>
      <c r="M1801" s="24"/>
    </row>
    <row r="1802" spans="12:13">
      <c r="L1802" s="24"/>
      <c r="M1802" s="24"/>
    </row>
    <row r="1803" spans="12:13">
      <c r="L1803" s="24"/>
      <c r="M1803" s="24"/>
    </row>
    <row r="1804" spans="12:13">
      <c r="L1804" s="24"/>
      <c r="M1804" s="24"/>
    </row>
    <row r="1805" spans="12:13">
      <c r="L1805" s="24"/>
      <c r="M1805" s="24"/>
    </row>
    <row r="1806" spans="12:13">
      <c r="L1806" s="24"/>
      <c r="M1806" s="24"/>
    </row>
    <row r="1807" spans="12:13">
      <c r="L1807" s="24"/>
      <c r="M1807" s="24"/>
    </row>
    <row r="1808" spans="12:13">
      <c r="L1808" s="24"/>
      <c r="M1808" s="24"/>
    </row>
    <row r="1809" spans="12:13">
      <c r="L1809" s="24"/>
      <c r="M1809" s="24"/>
    </row>
    <row r="1810" spans="12:13">
      <c r="L1810" s="24"/>
      <c r="M1810" s="24"/>
    </row>
    <row r="1811" spans="12:13">
      <c r="L1811" s="24"/>
      <c r="M1811" s="24"/>
    </row>
    <row r="1812" spans="12:13">
      <c r="L1812" s="24"/>
      <c r="M1812" s="24"/>
    </row>
    <row r="1813" spans="12:13">
      <c r="L1813" s="24"/>
      <c r="M1813" s="24"/>
    </row>
    <row r="1814" spans="12:13">
      <c r="L1814" s="24"/>
      <c r="M1814" s="24"/>
    </row>
    <row r="1815" spans="12:13">
      <c r="L1815" s="24"/>
      <c r="M1815" s="24"/>
    </row>
    <row r="1816" spans="12:13">
      <c r="L1816" s="24"/>
      <c r="M1816" s="24"/>
    </row>
    <row r="1817" spans="12:13">
      <c r="L1817" s="24"/>
      <c r="M1817" s="24"/>
    </row>
    <row r="1818" spans="12:13">
      <c r="L1818" s="24"/>
      <c r="M1818" s="24"/>
    </row>
    <row r="1819" spans="12:13">
      <c r="L1819" s="24"/>
      <c r="M1819" s="24"/>
    </row>
    <row r="1820" spans="12:13">
      <c r="L1820" s="24"/>
      <c r="M1820" s="24"/>
    </row>
    <row r="1821" spans="12:13">
      <c r="L1821" s="24"/>
      <c r="M1821" s="24"/>
    </row>
    <row r="1822" spans="12:13">
      <c r="L1822" s="24"/>
      <c r="M1822" s="24"/>
    </row>
    <row r="1823" spans="12:13">
      <c r="L1823" s="24"/>
      <c r="M1823" s="24"/>
    </row>
    <row r="1824" spans="12:13">
      <c r="L1824" s="24"/>
      <c r="M1824" s="24"/>
    </row>
    <row r="1825" spans="12:13">
      <c r="L1825" s="24"/>
      <c r="M1825" s="24"/>
    </row>
    <row r="1826" spans="12:13">
      <c r="L1826" s="24"/>
      <c r="M1826" s="24"/>
    </row>
    <row r="1827" spans="12:13">
      <c r="L1827" s="24"/>
      <c r="M1827" s="24"/>
    </row>
    <row r="1828" spans="12:13">
      <c r="L1828" s="24"/>
      <c r="M1828" s="24"/>
    </row>
    <row r="1829" spans="12:13">
      <c r="L1829" s="24"/>
      <c r="M1829" s="24"/>
    </row>
    <row r="1830" spans="12:13">
      <c r="L1830" s="24"/>
      <c r="M1830" s="24"/>
    </row>
    <row r="1831" spans="12:13">
      <c r="L1831" s="24"/>
      <c r="M1831" s="24"/>
    </row>
    <row r="1832" spans="12:13">
      <c r="L1832" s="24"/>
      <c r="M1832" s="24"/>
    </row>
    <row r="1833" spans="12:13">
      <c r="L1833" s="24"/>
      <c r="M1833" s="24"/>
    </row>
    <row r="1834" spans="12:13">
      <c r="L1834" s="24"/>
      <c r="M1834" s="24"/>
    </row>
    <row r="1835" spans="12:13">
      <c r="L1835" s="24"/>
      <c r="M1835" s="24"/>
    </row>
    <row r="1836" spans="12:13">
      <c r="L1836" s="24"/>
      <c r="M1836" s="24"/>
    </row>
    <row r="1837" spans="12:13">
      <c r="L1837" s="24"/>
      <c r="M1837" s="24"/>
    </row>
    <row r="1838" spans="12:13">
      <c r="L1838" s="24"/>
      <c r="M1838" s="24"/>
    </row>
    <row r="1839" spans="12:13">
      <c r="L1839" s="24"/>
      <c r="M1839" s="24"/>
    </row>
    <row r="1840" spans="12:13">
      <c r="L1840" s="24"/>
      <c r="M1840" s="24"/>
    </row>
    <row r="1841" spans="12:13">
      <c r="L1841" s="24"/>
      <c r="M1841" s="24"/>
    </row>
    <row r="1842" spans="12:13">
      <c r="L1842" s="24"/>
      <c r="M1842" s="24"/>
    </row>
    <row r="1843" spans="12:13">
      <c r="L1843" s="24"/>
      <c r="M1843" s="24"/>
    </row>
    <row r="1844" spans="12:13">
      <c r="L1844" s="24"/>
      <c r="M1844" s="24"/>
    </row>
    <row r="1845" spans="12:13">
      <c r="L1845" s="24"/>
      <c r="M1845" s="24"/>
    </row>
    <row r="1846" spans="12:13">
      <c r="L1846" s="24"/>
      <c r="M1846" s="24"/>
    </row>
    <row r="1847" spans="12:13">
      <c r="L1847" s="24"/>
      <c r="M1847" s="24"/>
    </row>
    <row r="1848" spans="12:13">
      <c r="L1848" s="24"/>
      <c r="M1848" s="24"/>
    </row>
    <row r="1849" spans="12:13">
      <c r="L1849" s="24"/>
      <c r="M1849" s="24"/>
    </row>
    <row r="1850" spans="12:13">
      <c r="L1850" s="24"/>
      <c r="M1850" s="24"/>
    </row>
    <row r="1851" spans="12:13">
      <c r="L1851" s="24"/>
      <c r="M1851" s="24"/>
    </row>
    <row r="1852" spans="12:13">
      <c r="L1852" s="24"/>
      <c r="M1852" s="24"/>
    </row>
    <row r="1853" spans="12:13">
      <c r="L1853" s="24"/>
      <c r="M1853" s="24"/>
    </row>
    <row r="1854" spans="12:13">
      <c r="L1854" s="24"/>
      <c r="M1854" s="24"/>
    </row>
    <row r="1855" spans="12:13">
      <c r="L1855" s="24"/>
      <c r="M1855" s="24"/>
    </row>
    <row r="1856" spans="12:13">
      <c r="L1856" s="24"/>
      <c r="M1856" s="24"/>
    </row>
    <row r="1857" spans="12:13">
      <c r="L1857" s="24"/>
      <c r="M1857" s="24"/>
    </row>
    <row r="1858" spans="12:13">
      <c r="L1858" s="24"/>
      <c r="M1858" s="24"/>
    </row>
    <row r="1859" spans="12:13">
      <c r="L1859" s="24"/>
      <c r="M1859" s="24"/>
    </row>
    <row r="1860" spans="12:13">
      <c r="L1860" s="24"/>
      <c r="M1860" s="24"/>
    </row>
    <row r="1861" spans="12:13">
      <c r="L1861" s="24"/>
      <c r="M1861" s="24"/>
    </row>
    <row r="1862" spans="12:13">
      <c r="L1862" s="24"/>
      <c r="M1862" s="24"/>
    </row>
    <row r="1863" spans="12:13">
      <c r="L1863" s="24"/>
      <c r="M1863" s="24"/>
    </row>
    <row r="1864" spans="12:13">
      <c r="L1864" s="24"/>
      <c r="M1864" s="24"/>
    </row>
    <row r="1865" spans="12:13">
      <c r="L1865" s="24"/>
      <c r="M1865" s="24"/>
    </row>
    <row r="1866" spans="12:13">
      <c r="L1866" s="24"/>
      <c r="M1866" s="24"/>
    </row>
    <row r="1867" spans="12:13">
      <c r="L1867" s="24"/>
      <c r="M1867" s="24"/>
    </row>
    <row r="1868" spans="12:13">
      <c r="L1868" s="24"/>
      <c r="M1868" s="24"/>
    </row>
    <row r="1869" spans="12:13">
      <c r="L1869" s="24"/>
      <c r="M1869" s="24"/>
    </row>
    <row r="1870" spans="12:13">
      <c r="L1870" s="24"/>
      <c r="M1870" s="24"/>
    </row>
    <row r="1871" spans="12:13">
      <c r="L1871" s="24"/>
      <c r="M1871" s="24"/>
    </row>
    <row r="1872" spans="12:13">
      <c r="L1872" s="24"/>
      <c r="M1872" s="24"/>
    </row>
    <row r="1873" spans="12:13">
      <c r="L1873" s="24"/>
      <c r="M1873" s="24"/>
    </row>
    <row r="1874" spans="12:13">
      <c r="L1874" s="24"/>
      <c r="M1874" s="24"/>
    </row>
    <row r="1875" spans="12:13">
      <c r="L1875" s="24"/>
      <c r="M1875" s="24"/>
    </row>
    <row r="1876" spans="12:13">
      <c r="L1876" s="24"/>
      <c r="M1876" s="24"/>
    </row>
    <row r="1877" spans="12:13">
      <c r="L1877" s="24"/>
      <c r="M1877" s="24"/>
    </row>
    <row r="1878" spans="12:13">
      <c r="L1878" s="24"/>
      <c r="M1878" s="24"/>
    </row>
    <row r="1879" spans="12:13">
      <c r="L1879" s="24"/>
      <c r="M1879" s="24"/>
    </row>
    <row r="1880" spans="12:13">
      <c r="L1880" s="24"/>
      <c r="M1880" s="24"/>
    </row>
    <row r="1881" spans="12:13">
      <c r="L1881" s="24"/>
      <c r="M1881" s="24"/>
    </row>
    <row r="1882" spans="12:13">
      <c r="L1882" s="24"/>
      <c r="M1882" s="24"/>
    </row>
    <row r="1883" spans="12:13">
      <c r="L1883" s="24"/>
      <c r="M1883" s="24"/>
    </row>
    <row r="1884" spans="12:13">
      <c r="L1884" s="24"/>
      <c r="M1884" s="24"/>
    </row>
    <row r="1885" spans="12:13">
      <c r="L1885" s="24"/>
      <c r="M1885" s="24"/>
    </row>
    <row r="1886" spans="12:13">
      <c r="L1886" s="24"/>
      <c r="M1886" s="24"/>
    </row>
    <row r="1887" spans="12:13">
      <c r="L1887" s="24"/>
      <c r="M1887" s="24"/>
    </row>
    <row r="1888" spans="12:13">
      <c r="L1888" s="24"/>
      <c r="M1888" s="24"/>
    </row>
    <row r="1889" spans="12:13">
      <c r="L1889" s="24"/>
      <c r="M1889" s="24"/>
    </row>
    <row r="1890" spans="12:13">
      <c r="L1890" s="24"/>
      <c r="M1890" s="24"/>
    </row>
    <row r="1891" spans="12:13">
      <c r="L1891" s="24"/>
      <c r="M1891" s="24"/>
    </row>
    <row r="1892" spans="12:13">
      <c r="L1892" s="24"/>
      <c r="M1892" s="24"/>
    </row>
    <row r="1893" spans="12:13">
      <c r="L1893" s="24"/>
      <c r="M1893" s="24"/>
    </row>
    <row r="1894" spans="12:13">
      <c r="L1894" s="24"/>
      <c r="M1894" s="24"/>
    </row>
    <row r="1895" spans="12:13">
      <c r="L1895" s="24"/>
      <c r="M1895" s="24"/>
    </row>
    <row r="1896" spans="12:13">
      <c r="L1896" s="24"/>
      <c r="M1896" s="24"/>
    </row>
    <row r="1897" spans="12:13">
      <c r="L1897" s="24"/>
      <c r="M1897" s="24"/>
    </row>
    <row r="1898" spans="12:13">
      <c r="L1898" s="24"/>
      <c r="M1898" s="24"/>
    </row>
    <row r="1899" spans="12:13">
      <c r="L1899" s="24"/>
      <c r="M1899" s="24"/>
    </row>
    <row r="1900" spans="12:13">
      <c r="L1900" s="24"/>
      <c r="M1900" s="24"/>
    </row>
    <row r="1901" spans="12:13">
      <c r="L1901" s="24"/>
      <c r="M1901" s="24"/>
    </row>
    <row r="1902" spans="12:13">
      <c r="L1902" s="24"/>
      <c r="M1902" s="24"/>
    </row>
    <row r="1903" spans="12:13">
      <c r="L1903" s="24"/>
      <c r="M1903" s="24"/>
    </row>
    <row r="1904" spans="12:13">
      <c r="L1904" s="24"/>
      <c r="M1904" s="24"/>
    </row>
    <row r="1905" spans="12:13">
      <c r="L1905" s="24"/>
      <c r="M1905" s="24"/>
    </row>
    <row r="1906" spans="12:13">
      <c r="L1906" s="24"/>
      <c r="M1906" s="24"/>
    </row>
    <row r="1907" spans="12:13">
      <c r="L1907" s="24"/>
      <c r="M1907" s="24"/>
    </row>
    <row r="1908" spans="12:13">
      <c r="L1908" s="24"/>
      <c r="M1908" s="24"/>
    </row>
    <row r="1909" spans="12:13">
      <c r="L1909" s="24"/>
      <c r="M1909" s="24"/>
    </row>
    <row r="1910" spans="12:13">
      <c r="L1910" s="24"/>
      <c r="M1910" s="24"/>
    </row>
    <row r="1911" spans="12:13">
      <c r="L1911" s="24"/>
      <c r="M1911" s="24"/>
    </row>
    <row r="1912" spans="12:13">
      <c r="L1912" s="24"/>
      <c r="M1912" s="24"/>
    </row>
    <row r="1913" spans="12:13">
      <c r="L1913" s="24"/>
      <c r="M1913" s="24"/>
    </row>
    <row r="1914" spans="12:13">
      <c r="L1914" s="24"/>
      <c r="M1914" s="24"/>
    </row>
    <row r="1915" spans="12:13">
      <c r="L1915" s="24"/>
      <c r="M1915" s="24"/>
    </row>
    <row r="1916" spans="12:13">
      <c r="L1916" s="24"/>
      <c r="M1916" s="24"/>
    </row>
    <row r="1917" spans="12:13">
      <c r="L1917" s="24"/>
      <c r="M1917" s="24"/>
    </row>
    <row r="1918" spans="12:13">
      <c r="L1918" s="24"/>
      <c r="M1918" s="24"/>
    </row>
    <row r="1919" spans="12:13">
      <c r="L1919" s="24"/>
      <c r="M1919" s="24"/>
    </row>
    <row r="1920" spans="12:13">
      <c r="L1920" s="24"/>
      <c r="M1920" s="24"/>
    </row>
    <row r="1921" spans="12:13">
      <c r="L1921" s="24"/>
      <c r="M1921" s="24"/>
    </row>
    <row r="1922" spans="12:13">
      <c r="L1922" s="24"/>
      <c r="M1922" s="24"/>
    </row>
    <row r="1923" spans="12:13">
      <c r="L1923" s="24"/>
      <c r="M1923" s="24"/>
    </row>
    <row r="1924" spans="12:13">
      <c r="L1924" s="24"/>
      <c r="M1924" s="24"/>
    </row>
    <row r="1925" spans="12:13">
      <c r="L1925" s="24"/>
      <c r="M1925" s="24"/>
    </row>
    <row r="1926" spans="12:13">
      <c r="L1926" s="24"/>
      <c r="M1926" s="24"/>
    </row>
    <row r="1927" spans="12:13">
      <c r="L1927" s="24"/>
      <c r="M1927" s="24"/>
    </row>
    <row r="1928" spans="12:13">
      <c r="L1928" s="24"/>
      <c r="M1928" s="24"/>
    </row>
    <row r="1929" spans="12:13">
      <c r="L1929" s="24"/>
      <c r="M1929" s="24"/>
    </row>
    <row r="1930" spans="12:13">
      <c r="L1930" s="24"/>
      <c r="M1930" s="24"/>
    </row>
    <row r="1931" spans="12:13">
      <c r="L1931" s="24"/>
      <c r="M1931" s="24"/>
    </row>
    <row r="1932" spans="12:13">
      <c r="L1932" s="24"/>
      <c r="M1932" s="24"/>
    </row>
    <row r="1933" spans="12:13">
      <c r="L1933" s="24"/>
      <c r="M1933" s="24"/>
    </row>
    <row r="1934" spans="12:13">
      <c r="L1934" s="24"/>
      <c r="M1934" s="24"/>
    </row>
    <row r="1935" spans="12:13">
      <c r="L1935" s="24"/>
      <c r="M1935" s="24"/>
    </row>
    <row r="1936" spans="12:13">
      <c r="L1936" s="24"/>
      <c r="M1936" s="24"/>
    </row>
    <row r="1937" spans="12:13">
      <c r="L1937" s="24"/>
      <c r="M1937" s="24"/>
    </row>
    <row r="1938" spans="12:13">
      <c r="L1938" s="24"/>
      <c r="M1938" s="24"/>
    </row>
    <row r="1939" spans="12:13">
      <c r="L1939" s="24"/>
      <c r="M1939" s="24"/>
    </row>
    <row r="1940" spans="12:13">
      <c r="L1940" s="24"/>
      <c r="M1940" s="24"/>
    </row>
    <row r="1941" spans="12:13">
      <c r="L1941" s="24"/>
      <c r="M1941" s="24"/>
    </row>
    <row r="1942" spans="12:13">
      <c r="L1942" s="24"/>
      <c r="M1942" s="24"/>
    </row>
    <row r="1943" spans="12:13">
      <c r="L1943" s="24"/>
      <c r="M1943" s="24"/>
    </row>
    <row r="1944" spans="12:13">
      <c r="L1944" s="24"/>
      <c r="M1944" s="24"/>
    </row>
    <row r="1945" spans="12:13">
      <c r="L1945" s="24"/>
      <c r="M1945" s="24"/>
    </row>
    <row r="1946" spans="12:13">
      <c r="L1946" s="24"/>
      <c r="M1946" s="24"/>
    </row>
    <row r="1947" spans="12:13">
      <c r="L1947" s="24"/>
      <c r="M1947" s="24"/>
    </row>
    <row r="1948" spans="12:13">
      <c r="L1948" s="24"/>
      <c r="M1948" s="24"/>
    </row>
    <row r="1949" spans="12:13">
      <c r="L1949" s="24"/>
      <c r="M1949" s="24"/>
    </row>
    <row r="1950" spans="12:13">
      <c r="L1950" s="24"/>
      <c r="M1950" s="24"/>
    </row>
    <row r="1951" spans="12:13">
      <c r="L1951" s="24"/>
      <c r="M1951" s="24"/>
    </row>
    <row r="1952" spans="12:13">
      <c r="L1952" s="24"/>
      <c r="M1952" s="24"/>
    </row>
    <row r="1953" spans="12:13">
      <c r="L1953" s="24"/>
      <c r="M1953" s="24"/>
    </row>
    <row r="1954" spans="12:13">
      <c r="L1954" s="24"/>
      <c r="M1954" s="24"/>
    </row>
    <row r="1955" spans="12:13">
      <c r="L1955" s="24"/>
      <c r="M1955" s="24"/>
    </row>
    <row r="1956" spans="12:13">
      <c r="L1956" s="24"/>
      <c r="M1956" s="24"/>
    </row>
    <row r="1957" spans="12:13">
      <c r="L1957" s="24"/>
      <c r="M1957" s="24"/>
    </row>
    <row r="1958" spans="12:13">
      <c r="L1958" s="24"/>
      <c r="M1958" s="24"/>
    </row>
    <row r="1959" spans="12:13">
      <c r="L1959" s="24"/>
      <c r="M1959" s="24"/>
    </row>
    <row r="1960" spans="12:13">
      <c r="L1960" s="24"/>
      <c r="M1960" s="24"/>
    </row>
    <row r="1961" spans="12:13">
      <c r="L1961" s="24"/>
      <c r="M1961" s="24"/>
    </row>
    <row r="1962" spans="12:13">
      <c r="L1962" s="24"/>
      <c r="M1962" s="24"/>
    </row>
    <row r="1963" spans="12:13">
      <c r="L1963" s="24"/>
      <c r="M1963" s="24"/>
    </row>
    <row r="1964" spans="12:13">
      <c r="L1964" s="24"/>
      <c r="M1964" s="24"/>
    </row>
    <row r="1965" spans="12:13">
      <c r="L1965" s="24"/>
      <c r="M1965" s="24"/>
    </row>
    <row r="1966" spans="12:13">
      <c r="L1966" s="24"/>
      <c r="M1966" s="24"/>
    </row>
    <row r="1967" spans="12:13">
      <c r="L1967" s="24"/>
      <c r="M1967" s="24"/>
    </row>
    <row r="1968" spans="12:13">
      <c r="L1968" s="24"/>
      <c r="M1968" s="24"/>
    </row>
    <row r="1969" spans="12:13">
      <c r="L1969" s="24"/>
      <c r="M1969" s="24"/>
    </row>
    <row r="1970" spans="12:13">
      <c r="L1970" s="24"/>
      <c r="M1970" s="24"/>
    </row>
    <row r="1971" spans="12:13">
      <c r="L1971" s="24"/>
      <c r="M1971" s="24"/>
    </row>
    <row r="1972" spans="12:13">
      <c r="L1972" s="24"/>
      <c r="M1972" s="24"/>
    </row>
    <row r="1973" spans="12:13">
      <c r="L1973" s="24"/>
      <c r="M1973" s="24"/>
    </row>
    <row r="1974" spans="12:13">
      <c r="L1974" s="24"/>
      <c r="M1974" s="24"/>
    </row>
    <row r="1975" spans="12:13">
      <c r="L1975" s="24"/>
      <c r="M1975" s="24"/>
    </row>
    <row r="1976" spans="12:13">
      <c r="L1976" s="24"/>
      <c r="M1976" s="24"/>
    </row>
    <row r="1977" spans="12:13">
      <c r="L1977" s="24"/>
      <c r="M1977" s="24"/>
    </row>
    <row r="1978" spans="12:13">
      <c r="L1978" s="24"/>
      <c r="M1978" s="24"/>
    </row>
    <row r="1979" spans="12:13">
      <c r="L1979" s="24"/>
      <c r="M1979" s="24"/>
    </row>
    <row r="1980" spans="12:13">
      <c r="L1980" s="24"/>
      <c r="M1980" s="24"/>
    </row>
    <row r="1981" spans="12:13">
      <c r="L1981" s="24"/>
      <c r="M1981" s="24"/>
    </row>
    <row r="1982" spans="12:13">
      <c r="L1982" s="24"/>
      <c r="M1982" s="24"/>
    </row>
    <row r="1983" spans="12:13">
      <c r="L1983" s="24"/>
      <c r="M1983" s="24"/>
    </row>
    <row r="1984" spans="12:13">
      <c r="L1984" s="24"/>
      <c r="M1984" s="24"/>
    </row>
    <row r="1985" spans="12:13">
      <c r="L1985" s="24"/>
      <c r="M1985" s="24"/>
    </row>
    <row r="1986" spans="12:13">
      <c r="L1986" s="24"/>
      <c r="M1986" s="24"/>
    </row>
    <row r="1987" spans="12:13">
      <c r="L1987" s="24"/>
      <c r="M1987" s="24"/>
    </row>
    <row r="1988" spans="12:13">
      <c r="L1988" s="24"/>
      <c r="M1988" s="24"/>
    </row>
    <row r="1989" spans="12:13">
      <c r="L1989" s="24"/>
      <c r="M1989" s="24"/>
    </row>
    <row r="1990" spans="12:13">
      <c r="L1990" s="24"/>
      <c r="M1990" s="24"/>
    </row>
    <row r="1991" spans="12:13">
      <c r="L1991" s="24"/>
      <c r="M1991" s="24"/>
    </row>
    <row r="1992" spans="12:13">
      <c r="L1992" s="24"/>
      <c r="M1992" s="24"/>
    </row>
    <row r="1993" spans="12:13">
      <c r="L1993" s="24"/>
      <c r="M1993" s="24"/>
    </row>
    <row r="1994" spans="12:13">
      <c r="L1994" s="24"/>
      <c r="M1994" s="24"/>
    </row>
    <row r="1995" spans="12:13">
      <c r="L1995" s="24"/>
      <c r="M1995" s="24"/>
    </row>
    <row r="1996" spans="12:13">
      <c r="L1996" s="24"/>
      <c r="M1996" s="24"/>
    </row>
    <row r="1997" spans="12:13">
      <c r="L1997" s="24"/>
      <c r="M1997" s="24"/>
    </row>
    <row r="1998" spans="12:13">
      <c r="L1998" s="24"/>
      <c r="M1998" s="24"/>
    </row>
    <row r="1999" spans="12:13">
      <c r="L1999" s="24"/>
      <c r="M1999" s="24"/>
    </row>
    <row r="2000" spans="12:13">
      <c r="L2000" s="24"/>
      <c r="M2000" s="24"/>
    </row>
    <row r="2001" spans="12:13">
      <c r="L2001" s="24"/>
      <c r="M2001" s="24"/>
    </row>
    <row r="2002" spans="12:13">
      <c r="L2002" s="24"/>
      <c r="M2002" s="24"/>
    </row>
    <row r="2003" spans="12:13">
      <c r="L2003" s="24"/>
      <c r="M2003" s="24"/>
    </row>
    <row r="2004" spans="12:13">
      <c r="L2004" s="24"/>
      <c r="M2004" s="24"/>
    </row>
    <row r="2005" spans="12:13">
      <c r="L2005" s="24"/>
      <c r="M2005" s="24"/>
    </row>
    <row r="2006" spans="12:13">
      <c r="L2006" s="24"/>
      <c r="M2006" s="24"/>
    </row>
    <row r="2007" spans="12:13">
      <c r="L2007" s="24"/>
      <c r="M2007" s="24"/>
    </row>
    <row r="2008" spans="12:13">
      <c r="L2008" s="24"/>
      <c r="M2008" s="24"/>
    </row>
    <row r="2009" spans="12:13">
      <c r="L2009" s="24"/>
      <c r="M2009" s="24"/>
    </row>
    <row r="2010" spans="12:13">
      <c r="L2010" s="24"/>
      <c r="M2010" s="24"/>
    </row>
    <row r="2011" spans="12:13">
      <c r="L2011" s="24"/>
      <c r="M2011" s="24"/>
    </row>
    <row r="2012" spans="12:13">
      <c r="L2012" s="24"/>
      <c r="M2012" s="24"/>
    </row>
    <row r="2013" spans="12:13">
      <c r="L2013" s="24"/>
      <c r="M2013" s="24"/>
    </row>
    <row r="2014" spans="12:13">
      <c r="L2014" s="24"/>
      <c r="M2014" s="24"/>
    </row>
    <row r="2015" spans="12:13">
      <c r="L2015" s="24"/>
      <c r="M2015" s="24"/>
    </row>
    <row r="2016" spans="12:13">
      <c r="L2016" s="24"/>
      <c r="M2016" s="24"/>
    </row>
    <row r="2017" spans="12:13">
      <c r="L2017" s="24"/>
      <c r="M2017" s="24"/>
    </row>
    <row r="2018" spans="12:13">
      <c r="L2018" s="24"/>
      <c r="M2018" s="24"/>
    </row>
    <row r="2019" spans="12:13">
      <c r="L2019" s="24"/>
      <c r="M2019" s="24"/>
    </row>
    <row r="2020" spans="12:13">
      <c r="L2020" s="24"/>
      <c r="M2020" s="24"/>
    </row>
    <row r="2021" spans="12:13">
      <c r="L2021" s="24"/>
      <c r="M2021" s="24"/>
    </row>
    <row r="2022" spans="12:13">
      <c r="L2022" s="24"/>
      <c r="M2022" s="24"/>
    </row>
    <row r="2023" spans="12:13">
      <c r="L2023" s="24"/>
      <c r="M2023" s="24"/>
    </row>
    <row r="2024" spans="12:13">
      <c r="L2024" s="24"/>
      <c r="M2024" s="24"/>
    </row>
    <row r="2025" spans="12:13">
      <c r="L2025" s="24"/>
      <c r="M2025" s="24"/>
    </row>
    <row r="2026" spans="12:13">
      <c r="L2026" s="24"/>
      <c r="M2026" s="24"/>
    </row>
    <row r="2027" spans="12:13">
      <c r="L2027" s="24"/>
      <c r="M2027" s="24"/>
    </row>
    <row r="2028" spans="12:13">
      <c r="L2028" s="24"/>
      <c r="M2028" s="24"/>
    </row>
    <row r="2029" spans="12:13">
      <c r="L2029" s="24"/>
      <c r="M2029" s="24"/>
    </row>
    <row r="2030" spans="12:13">
      <c r="L2030" s="24"/>
      <c r="M2030" s="24"/>
    </row>
    <row r="2031" spans="12:13">
      <c r="L2031" s="24"/>
      <c r="M2031" s="24"/>
    </row>
    <row r="2032" spans="12:13">
      <c r="L2032" s="24"/>
      <c r="M2032" s="24"/>
    </row>
    <row r="2033" spans="12:13">
      <c r="L2033" s="24"/>
      <c r="M2033" s="24"/>
    </row>
    <row r="2034" spans="12:13">
      <c r="L2034" s="24"/>
      <c r="M2034" s="24"/>
    </row>
    <row r="2035" spans="12:13">
      <c r="L2035" s="24"/>
      <c r="M2035" s="24"/>
    </row>
    <row r="2036" spans="12:13">
      <c r="L2036" s="24"/>
      <c r="M2036" s="24"/>
    </row>
    <row r="2037" spans="12:13">
      <c r="L2037" s="24"/>
      <c r="M2037" s="24"/>
    </row>
    <row r="2038" spans="12:13">
      <c r="L2038" s="24"/>
      <c r="M2038" s="24"/>
    </row>
    <row r="2039" spans="12:13">
      <c r="L2039" s="24"/>
      <c r="M2039" s="24"/>
    </row>
    <row r="2040" spans="12:13">
      <c r="L2040" s="24"/>
      <c r="M2040" s="24"/>
    </row>
    <row r="2041" spans="12:13">
      <c r="L2041" s="24"/>
      <c r="M2041" s="24"/>
    </row>
    <row r="2042" spans="12:13">
      <c r="L2042" s="24"/>
      <c r="M2042" s="24"/>
    </row>
    <row r="2043" spans="12:13">
      <c r="L2043" s="24"/>
      <c r="M2043" s="24"/>
    </row>
    <row r="2044" spans="12:13">
      <c r="L2044" s="24"/>
      <c r="M2044" s="24"/>
    </row>
    <row r="2045" spans="12:13">
      <c r="L2045" s="24"/>
      <c r="M2045" s="24"/>
    </row>
    <row r="2046" spans="12:13">
      <c r="L2046" s="24"/>
      <c r="M2046" s="24"/>
    </row>
    <row r="2047" spans="12:13">
      <c r="L2047" s="24"/>
      <c r="M2047" s="24"/>
    </row>
    <row r="2048" spans="12:13">
      <c r="L2048" s="24"/>
      <c r="M2048" s="24"/>
    </row>
    <row r="2049" spans="12:13">
      <c r="L2049" s="24"/>
      <c r="M2049" s="24"/>
    </row>
    <row r="2050" spans="12:13">
      <c r="L2050" s="24"/>
      <c r="M2050" s="24"/>
    </row>
    <row r="2051" spans="12:13">
      <c r="L2051" s="24"/>
      <c r="M2051" s="24"/>
    </row>
    <row r="2052" spans="12:13">
      <c r="L2052" s="24"/>
      <c r="M2052" s="24"/>
    </row>
    <row r="2053" spans="12:13">
      <c r="L2053" s="24"/>
      <c r="M2053" s="24"/>
    </row>
    <row r="2054" spans="12:13">
      <c r="L2054" s="24"/>
      <c r="M2054" s="24"/>
    </row>
    <row r="2055" spans="12:13">
      <c r="L2055" s="24"/>
      <c r="M2055" s="24"/>
    </row>
    <row r="2056" spans="12:13">
      <c r="L2056" s="24"/>
      <c r="M2056" s="24"/>
    </row>
    <row r="2057" spans="12:13">
      <c r="L2057" s="24"/>
      <c r="M2057" s="24"/>
    </row>
    <row r="2058" spans="12:13">
      <c r="L2058" s="24"/>
      <c r="M2058" s="24"/>
    </row>
    <row r="2059" spans="12:13">
      <c r="L2059" s="24"/>
      <c r="M2059" s="24"/>
    </row>
    <row r="2060" spans="12:13">
      <c r="L2060" s="24"/>
      <c r="M2060" s="24"/>
    </row>
    <row r="2061" spans="12:13">
      <c r="L2061" s="24"/>
      <c r="M2061" s="24"/>
    </row>
    <row r="2062" spans="12:13">
      <c r="L2062" s="24"/>
      <c r="M2062" s="24"/>
    </row>
    <row r="2063" spans="12:13">
      <c r="L2063" s="24"/>
      <c r="M2063" s="24"/>
    </row>
    <row r="2064" spans="12:13">
      <c r="L2064" s="24"/>
      <c r="M2064" s="24"/>
    </row>
    <row r="2065" spans="12:13">
      <c r="L2065" s="24"/>
      <c r="M2065" s="24"/>
    </row>
    <row r="2066" spans="12:13">
      <c r="L2066" s="24"/>
      <c r="M2066" s="24"/>
    </row>
    <row r="2067" spans="12:13">
      <c r="L2067" s="24"/>
      <c r="M2067" s="24"/>
    </row>
    <row r="2068" spans="12:13">
      <c r="L2068" s="24"/>
      <c r="M2068" s="24"/>
    </row>
    <row r="2069" spans="12:13">
      <c r="L2069" s="24"/>
      <c r="M2069" s="24"/>
    </row>
    <row r="2070" spans="12:13">
      <c r="L2070" s="24"/>
      <c r="M2070" s="24"/>
    </row>
    <row r="2071" spans="12:13">
      <c r="L2071" s="24"/>
      <c r="M2071" s="24"/>
    </row>
    <row r="2072" spans="12:13">
      <c r="L2072" s="24"/>
      <c r="M2072" s="24"/>
    </row>
    <row r="2073" spans="12:13">
      <c r="L2073" s="24"/>
      <c r="M2073" s="24"/>
    </row>
    <row r="2074" spans="12:13">
      <c r="L2074" s="24"/>
      <c r="M2074" s="24"/>
    </row>
    <row r="2075" spans="12:13">
      <c r="L2075" s="24"/>
      <c r="M2075" s="24"/>
    </row>
    <row r="2076" spans="12:13">
      <c r="L2076" s="24"/>
      <c r="M2076" s="24"/>
    </row>
    <row r="2077" spans="12:13">
      <c r="L2077" s="24"/>
      <c r="M2077" s="24"/>
    </row>
    <row r="2078" spans="12:13">
      <c r="L2078" s="24"/>
      <c r="M2078" s="24"/>
    </row>
    <row r="2079" spans="12:13">
      <c r="L2079" s="24"/>
      <c r="M2079" s="24"/>
    </row>
    <row r="2080" spans="12:13">
      <c r="L2080" s="24"/>
      <c r="M2080" s="24"/>
    </row>
    <row r="2081" spans="12:13">
      <c r="L2081" s="24"/>
      <c r="M2081" s="24"/>
    </row>
    <row r="2082" spans="12:13">
      <c r="L2082" s="24"/>
      <c r="M2082" s="24"/>
    </row>
    <row r="2083" spans="12:13">
      <c r="L2083" s="24"/>
      <c r="M2083" s="24"/>
    </row>
    <row r="2084" spans="12:13">
      <c r="L2084" s="24"/>
      <c r="M2084" s="24"/>
    </row>
    <row r="2085" spans="12:13">
      <c r="L2085" s="24"/>
      <c r="M2085" s="24"/>
    </row>
    <row r="2086" spans="12:13">
      <c r="L2086" s="24"/>
      <c r="M2086" s="24"/>
    </row>
    <row r="2087" spans="12:13">
      <c r="L2087" s="24"/>
      <c r="M2087" s="24"/>
    </row>
    <row r="2088" spans="12:13">
      <c r="L2088" s="24"/>
      <c r="M2088" s="24"/>
    </row>
    <row r="2089" spans="12:13">
      <c r="L2089" s="24"/>
      <c r="M2089" s="24"/>
    </row>
    <row r="2090" spans="12:13">
      <c r="L2090" s="24"/>
      <c r="M2090" s="24"/>
    </row>
    <row r="2091" spans="12:13">
      <c r="L2091" s="24"/>
      <c r="M2091" s="24"/>
    </row>
    <row r="2092" spans="12:13">
      <c r="L2092" s="24"/>
      <c r="M2092" s="24"/>
    </row>
    <row r="2093" spans="12:13">
      <c r="L2093" s="24"/>
      <c r="M2093" s="24"/>
    </row>
    <row r="2094" spans="12:13">
      <c r="L2094" s="24"/>
      <c r="M2094" s="24"/>
    </row>
    <row r="2095" spans="12:13">
      <c r="L2095" s="24"/>
      <c r="M2095" s="24"/>
    </row>
    <row r="2096" spans="12:13">
      <c r="L2096" s="24"/>
      <c r="M2096" s="24"/>
    </row>
    <row r="2097" spans="12:13">
      <c r="L2097" s="24"/>
      <c r="M2097" s="24"/>
    </row>
    <row r="2098" spans="12:13">
      <c r="L2098" s="24"/>
      <c r="M2098" s="24"/>
    </row>
    <row r="2099" spans="12:13">
      <c r="L2099" s="24"/>
      <c r="M2099" s="24"/>
    </row>
    <row r="2100" spans="12:13">
      <c r="L2100" s="24"/>
      <c r="M2100" s="24"/>
    </row>
    <row r="2101" spans="12:13">
      <c r="L2101" s="24"/>
      <c r="M2101" s="24"/>
    </row>
    <row r="2102" spans="12:13">
      <c r="L2102" s="24"/>
      <c r="M2102" s="24"/>
    </row>
    <row r="2103" spans="12:13">
      <c r="L2103" s="24"/>
      <c r="M2103" s="24"/>
    </row>
    <row r="2104" spans="12:13">
      <c r="L2104" s="24"/>
      <c r="M2104" s="24"/>
    </row>
    <row r="2105" spans="12:13">
      <c r="L2105" s="24"/>
      <c r="M2105" s="24"/>
    </row>
    <row r="2106" spans="12:13">
      <c r="L2106" s="24"/>
      <c r="M2106" s="24"/>
    </row>
    <row r="2107" spans="12:13">
      <c r="L2107" s="24"/>
      <c r="M2107" s="24"/>
    </row>
    <row r="2108" spans="12:13">
      <c r="L2108" s="24"/>
      <c r="M2108" s="24"/>
    </row>
    <row r="2109" spans="12:13">
      <c r="L2109" s="24"/>
      <c r="M2109" s="24"/>
    </row>
    <row r="2110" spans="12:13">
      <c r="L2110" s="24"/>
      <c r="M2110" s="24"/>
    </row>
    <row r="2111" spans="12:13">
      <c r="L2111" s="24"/>
      <c r="M2111" s="24"/>
    </row>
    <row r="2112" spans="12:13">
      <c r="L2112" s="24"/>
      <c r="M2112" s="24"/>
    </row>
    <row r="2113" spans="12:13">
      <c r="L2113" s="24"/>
      <c r="M2113" s="24"/>
    </row>
    <row r="2114" spans="12:13">
      <c r="L2114" s="24"/>
      <c r="M2114" s="24"/>
    </row>
    <row r="2115" spans="12:13">
      <c r="L2115" s="24"/>
      <c r="M2115" s="24"/>
    </row>
    <row r="2116" spans="12:13">
      <c r="L2116" s="24"/>
      <c r="M2116" s="24"/>
    </row>
    <row r="2117" spans="12:13">
      <c r="L2117" s="24"/>
      <c r="M2117" s="24"/>
    </row>
    <row r="2118" spans="12:13">
      <c r="L2118" s="24"/>
      <c r="M2118" s="24"/>
    </row>
    <row r="2119" spans="12:13">
      <c r="L2119" s="24"/>
      <c r="M2119" s="24"/>
    </row>
    <row r="2120" spans="12:13">
      <c r="L2120" s="24"/>
      <c r="M2120" s="24"/>
    </row>
    <row r="2121" spans="12:13">
      <c r="L2121" s="24"/>
      <c r="M2121" s="24"/>
    </row>
    <row r="2122" spans="12:13">
      <c r="L2122" s="24"/>
      <c r="M2122" s="24"/>
    </row>
    <row r="2123" spans="12:13">
      <c r="L2123" s="24"/>
      <c r="M2123" s="24"/>
    </row>
    <row r="2124" spans="12:13">
      <c r="L2124" s="24"/>
      <c r="M2124" s="24"/>
    </row>
    <row r="2125" spans="12:13">
      <c r="L2125" s="24"/>
      <c r="M2125" s="24"/>
    </row>
    <row r="2126" spans="12:13">
      <c r="L2126" s="24"/>
      <c r="M2126" s="24"/>
    </row>
    <row r="2127" spans="12:13">
      <c r="L2127" s="24"/>
      <c r="M2127" s="24"/>
    </row>
    <row r="2128" spans="12:13">
      <c r="L2128" s="24"/>
      <c r="M2128" s="24"/>
    </row>
    <row r="2129" spans="12:13">
      <c r="L2129" s="24"/>
      <c r="M2129" s="24"/>
    </row>
    <row r="2130" spans="12:13">
      <c r="L2130" s="24"/>
      <c r="M2130" s="24"/>
    </row>
    <row r="2131" spans="12:13">
      <c r="L2131" s="24"/>
      <c r="M2131" s="24"/>
    </row>
    <row r="2132" spans="12:13">
      <c r="L2132" s="24"/>
      <c r="M2132" s="24"/>
    </row>
    <row r="2133" spans="12:13">
      <c r="L2133" s="24"/>
      <c r="M2133" s="24"/>
    </row>
    <row r="2134" spans="12:13">
      <c r="L2134" s="24"/>
      <c r="M2134" s="24"/>
    </row>
    <row r="2135" spans="12:13">
      <c r="L2135" s="24"/>
      <c r="M2135" s="24"/>
    </row>
    <row r="2136" spans="12:13">
      <c r="L2136" s="24"/>
      <c r="M2136" s="24"/>
    </row>
    <row r="2137" spans="12:13">
      <c r="L2137" s="24"/>
      <c r="M2137" s="24"/>
    </row>
    <row r="2138" spans="12:13">
      <c r="L2138" s="24"/>
      <c r="M2138" s="24"/>
    </row>
    <row r="2139" spans="12:13">
      <c r="L2139" s="24"/>
      <c r="M2139" s="24"/>
    </row>
    <row r="2140" spans="12:13">
      <c r="L2140" s="24"/>
      <c r="M2140" s="24"/>
    </row>
    <row r="2141" spans="12:13">
      <c r="L2141" s="24"/>
      <c r="M2141" s="24"/>
    </row>
    <row r="2142" spans="12:13">
      <c r="L2142" s="24"/>
      <c r="M2142" s="24"/>
    </row>
    <row r="2143" spans="12:13">
      <c r="L2143" s="24"/>
      <c r="M2143" s="24"/>
    </row>
    <row r="2144" spans="12:13">
      <c r="L2144" s="24"/>
      <c r="M2144" s="24"/>
    </row>
    <row r="2145" spans="12:13">
      <c r="L2145" s="24"/>
      <c r="M2145" s="24"/>
    </row>
    <row r="2146" spans="12:13">
      <c r="L2146" s="24"/>
      <c r="M2146" s="24"/>
    </row>
    <row r="2147" spans="12:13">
      <c r="L2147" s="24"/>
      <c r="M2147" s="24"/>
    </row>
    <row r="2148" spans="12:13">
      <c r="L2148" s="24"/>
      <c r="M2148" s="24"/>
    </row>
    <row r="2149" spans="12:13">
      <c r="L2149" s="24"/>
      <c r="M2149" s="24"/>
    </row>
    <row r="2150" spans="12:13">
      <c r="L2150" s="24"/>
      <c r="M2150" s="24"/>
    </row>
    <row r="2151" spans="12:13">
      <c r="L2151" s="24"/>
      <c r="M2151" s="24"/>
    </row>
    <row r="2152" spans="12:13">
      <c r="L2152" s="24"/>
      <c r="M2152" s="24"/>
    </row>
    <row r="2153" spans="12:13">
      <c r="L2153" s="24"/>
      <c r="M2153" s="24"/>
    </row>
    <row r="2154" spans="12:13">
      <c r="L2154" s="24"/>
      <c r="M2154" s="24"/>
    </row>
    <row r="2155" spans="12:13">
      <c r="L2155" s="24"/>
      <c r="M2155" s="24"/>
    </row>
    <row r="2156" spans="12:13">
      <c r="L2156" s="24"/>
      <c r="M2156" s="24"/>
    </row>
    <row r="2157" spans="12:13">
      <c r="L2157" s="24"/>
      <c r="M2157" s="24"/>
    </row>
    <row r="2158" spans="12:13">
      <c r="L2158" s="24"/>
      <c r="M2158" s="24"/>
    </row>
    <row r="2159" spans="12:13">
      <c r="L2159" s="24"/>
      <c r="M2159" s="24"/>
    </row>
    <row r="2160" spans="12:13">
      <c r="L2160" s="24"/>
      <c r="M2160" s="24"/>
    </row>
    <row r="2161" spans="12:13">
      <c r="L2161" s="24"/>
      <c r="M2161" s="24"/>
    </row>
    <row r="2162" spans="12:13">
      <c r="L2162" s="24"/>
      <c r="M2162" s="24"/>
    </row>
    <row r="2163" spans="12:13">
      <c r="L2163" s="24"/>
      <c r="M2163" s="24"/>
    </row>
    <row r="2164" spans="12:13">
      <c r="L2164" s="24"/>
      <c r="M2164" s="24"/>
    </row>
    <row r="2165" spans="12:13">
      <c r="L2165" s="24"/>
      <c r="M2165" s="24"/>
    </row>
    <row r="2166" spans="12:13">
      <c r="L2166" s="24"/>
      <c r="M2166" s="24"/>
    </row>
    <row r="2167" spans="12:13">
      <c r="L2167" s="24"/>
      <c r="M2167" s="24"/>
    </row>
    <row r="2168" spans="12:13">
      <c r="L2168" s="24"/>
      <c r="M2168" s="24"/>
    </row>
    <row r="2169" spans="12:13">
      <c r="L2169" s="24"/>
      <c r="M2169" s="24"/>
    </row>
    <row r="2170" spans="12:13">
      <c r="L2170" s="24"/>
      <c r="M2170" s="24"/>
    </row>
    <row r="2171" spans="12:13">
      <c r="L2171" s="24"/>
      <c r="M2171" s="24"/>
    </row>
    <row r="2172" spans="12:13">
      <c r="L2172" s="24"/>
      <c r="M2172" s="24"/>
    </row>
    <row r="2173" spans="12:13">
      <c r="L2173" s="24"/>
      <c r="M2173" s="24"/>
    </row>
    <row r="2174" spans="12:13">
      <c r="L2174" s="24"/>
      <c r="M2174" s="24"/>
    </row>
    <row r="2175" spans="12:13">
      <c r="L2175" s="24"/>
      <c r="M2175" s="24"/>
    </row>
    <row r="2176" spans="12:13">
      <c r="L2176" s="24"/>
      <c r="M2176" s="24"/>
    </row>
    <row r="2177" spans="12:13">
      <c r="L2177" s="24"/>
      <c r="M2177" s="24"/>
    </row>
    <row r="2178" spans="12:13">
      <c r="L2178" s="24"/>
      <c r="M2178" s="24"/>
    </row>
    <row r="2179" spans="12:13">
      <c r="L2179" s="24"/>
      <c r="M2179" s="24"/>
    </row>
    <row r="2180" spans="12:13">
      <c r="L2180" s="24"/>
      <c r="M2180" s="24"/>
    </row>
    <row r="2181" spans="12:13">
      <c r="L2181" s="24"/>
      <c r="M2181" s="24"/>
    </row>
    <row r="2182" spans="12:13">
      <c r="L2182" s="24"/>
      <c r="M2182" s="24"/>
    </row>
    <row r="2183" spans="12:13">
      <c r="L2183" s="24"/>
      <c r="M2183" s="24"/>
    </row>
    <row r="2184" spans="12:13">
      <c r="L2184" s="24"/>
      <c r="M2184" s="24"/>
    </row>
    <row r="2185" spans="12:13">
      <c r="L2185" s="24"/>
      <c r="M2185" s="24"/>
    </row>
    <row r="2186" spans="12:13">
      <c r="L2186" s="24"/>
      <c r="M2186" s="24"/>
    </row>
    <row r="2187" spans="12:13">
      <c r="L2187" s="24"/>
      <c r="M2187" s="24"/>
    </row>
    <row r="2188" spans="12:13">
      <c r="L2188" s="24"/>
      <c r="M2188" s="24"/>
    </row>
    <row r="2189" spans="12:13">
      <c r="L2189" s="24"/>
      <c r="M2189" s="24"/>
    </row>
    <row r="2190" spans="12:13">
      <c r="L2190" s="24"/>
      <c r="M2190" s="24"/>
    </row>
    <row r="2191" spans="12:13">
      <c r="L2191" s="24"/>
      <c r="M2191" s="24"/>
    </row>
    <row r="2192" spans="12:13">
      <c r="L2192" s="24"/>
      <c r="M2192" s="24"/>
    </row>
    <row r="2193" spans="12:13">
      <c r="L2193" s="24"/>
      <c r="M2193" s="24"/>
    </row>
    <row r="2194" spans="12:13">
      <c r="L2194" s="24"/>
      <c r="M2194" s="24"/>
    </row>
    <row r="2195" spans="12:13">
      <c r="L2195" s="24"/>
      <c r="M2195" s="24"/>
    </row>
    <row r="2196" spans="12:13">
      <c r="L2196" s="24"/>
      <c r="M2196" s="24"/>
    </row>
    <row r="2197" spans="12:13">
      <c r="L2197" s="24"/>
      <c r="M2197" s="24"/>
    </row>
    <row r="2198" spans="12:13">
      <c r="L2198" s="24"/>
      <c r="M2198" s="24"/>
    </row>
    <row r="2199" spans="12:13">
      <c r="L2199" s="24"/>
      <c r="M2199" s="24"/>
    </row>
    <row r="2200" spans="12:13">
      <c r="L2200" s="24"/>
      <c r="M2200" s="24"/>
    </row>
    <row r="2201" spans="12:13">
      <c r="L2201" s="24"/>
      <c r="M2201" s="24"/>
    </row>
    <row r="2202" spans="12:13">
      <c r="L2202" s="24"/>
      <c r="M2202" s="24"/>
    </row>
    <row r="2203" spans="12:13">
      <c r="L2203" s="24"/>
      <c r="M2203" s="24"/>
    </row>
    <row r="2204" spans="12:13">
      <c r="L2204" s="24"/>
      <c r="M2204" s="24"/>
    </row>
    <row r="2205" spans="12:13">
      <c r="L2205" s="24"/>
      <c r="M2205" s="24"/>
    </row>
    <row r="2206" spans="12:13">
      <c r="L2206" s="24"/>
      <c r="M2206" s="24"/>
    </row>
    <row r="2207" spans="12:13">
      <c r="L2207" s="24"/>
      <c r="M2207" s="24"/>
    </row>
    <row r="2208" spans="12:13">
      <c r="L2208" s="24"/>
      <c r="M2208" s="24"/>
    </row>
    <row r="2209" spans="12:13">
      <c r="L2209" s="24"/>
      <c r="M2209" s="24"/>
    </row>
    <row r="2210" spans="12:13">
      <c r="L2210" s="24"/>
      <c r="M2210" s="24"/>
    </row>
    <row r="2211" spans="12:13">
      <c r="L2211" s="24"/>
      <c r="M2211" s="24"/>
    </row>
    <row r="2212" spans="12:13">
      <c r="L2212" s="24"/>
      <c r="M2212" s="24"/>
    </row>
    <row r="2213" spans="12:13">
      <c r="L2213" s="24"/>
      <c r="M2213" s="24"/>
    </row>
    <row r="2214" spans="12:13">
      <c r="L2214" s="24"/>
      <c r="M2214" s="24"/>
    </row>
    <row r="2215" spans="12:13">
      <c r="L2215" s="24"/>
      <c r="M2215" s="24"/>
    </row>
    <row r="2216" spans="12:13">
      <c r="L2216" s="24"/>
      <c r="M2216" s="24"/>
    </row>
    <row r="2217" spans="12:13">
      <c r="L2217" s="24"/>
      <c r="M2217" s="24"/>
    </row>
    <row r="2218" spans="12:13">
      <c r="L2218" s="24"/>
      <c r="M2218" s="24"/>
    </row>
    <row r="2219" spans="12:13">
      <c r="L2219" s="24"/>
      <c r="M2219" s="24"/>
    </row>
    <row r="2220" spans="12:13">
      <c r="L2220" s="24"/>
      <c r="M2220" s="24"/>
    </row>
    <row r="2221" spans="12:13">
      <c r="L2221" s="24"/>
      <c r="M2221" s="24"/>
    </row>
    <row r="2222" spans="12:13">
      <c r="L2222" s="24"/>
      <c r="M2222" s="24"/>
    </row>
    <row r="2223" spans="12:13">
      <c r="L2223" s="24"/>
      <c r="M2223" s="24"/>
    </row>
    <row r="2224" spans="12:13">
      <c r="L2224" s="24"/>
      <c r="M2224" s="24"/>
    </row>
    <row r="2225" spans="12:13">
      <c r="L2225" s="24"/>
      <c r="M2225" s="24"/>
    </row>
    <row r="2226" spans="12:13">
      <c r="L2226" s="24"/>
      <c r="M2226" s="24"/>
    </row>
    <row r="2227" spans="12:13">
      <c r="L2227" s="24"/>
      <c r="M2227" s="24"/>
    </row>
    <row r="2228" spans="12:13">
      <c r="L2228" s="24"/>
      <c r="M2228" s="24"/>
    </row>
    <row r="2229" spans="12:13">
      <c r="L2229" s="24"/>
      <c r="M2229" s="24"/>
    </row>
    <row r="2230" spans="12:13">
      <c r="L2230" s="24"/>
      <c r="M2230" s="24"/>
    </row>
    <row r="2231" spans="12:13">
      <c r="L2231" s="24"/>
      <c r="M2231" s="24"/>
    </row>
    <row r="2232" spans="12:13">
      <c r="L2232" s="24"/>
      <c r="M2232" s="24"/>
    </row>
    <row r="2233" spans="12:13">
      <c r="L2233" s="24"/>
      <c r="M2233" s="24"/>
    </row>
    <row r="2234" spans="12:13">
      <c r="L2234" s="24"/>
      <c r="M2234" s="24"/>
    </row>
    <row r="2235" spans="12:13">
      <c r="L2235" s="24"/>
      <c r="M2235" s="24"/>
    </row>
    <row r="2236" spans="12:13">
      <c r="L2236" s="24"/>
      <c r="M2236" s="24"/>
    </row>
    <row r="2237" spans="12:13">
      <c r="L2237" s="24"/>
      <c r="M2237" s="24"/>
    </row>
    <row r="2238" spans="12:13">
      <c r="L2238" s="24"/>
      <c r="M2238" s="24"/>
    </row>
    <row r="2239" spans="12:13">
      <c r="L2239" s="24"/>
      <c r="M2239" s="24"/>
    </row>
    <row r="2240" spans="12:13">
      <c r="L2240" s="24"/>
      <c r="M2240" s="24"/>
    </row>
    <row r="2241" spans="12:13">
      <c r="L2241" s="24"/>
      <c r="M2241" s="24"/>
    </row>
    <row r="2242" spans="12:13">
      <c r="L2242" s="24"/>
      <c r="M2242" s="24"/>
    </row>
    <row r="2243" spans="12:13">
      <c r="L2243" s="24"/>
      <c r="M2243" s="24"/>
    </row>
    <row r="2244" spans="12:13">
      <c r="L2244" s="24"/>
      <c r="M2244" s="24"/>
    </row>
    <row r="2245" spans="12:13">
      <c r="L2245" s="24"/>
      <c r="M2245" s="24"/>
    </row>
    <row r="2246" spans="12:13">
      <c r="L2246" s="24"/>
      <c r="M2246" s="24"/>
    </row>
    <row r="2247" spans="12:13">
      <c r="L2247" s="24"/>
      <c r="M2247" s="24"/>
    </row>
    <row r="2248" spans="12:13">
      <c r="L2248" s="24"/>
      <c r="M2248" s="24"/>
    </row>
    <row r="2249" spans="12:13">
      <c r="L2249" s="24"/>
      <c r="M2249" s="24"/>
    </row>
    <row r="2250" spans="12:13">
      <c r="L2250" s="24"/>
      <c r="M2250" s="24"/>
    </row>
    <row r="2251" spans="12:13">
      <c r="L2251" s="24"/>
      <c r="M2251" s="24"/>
    </row>
    <row r="2252" spans="12:13">
      <c r="L2252" s="24"/>
      <c r="M2252" s="24"/>
    </row>
    <row r="2253" spans="12:13">
      <c r="L2253" s="24"/>
      <c r="M2253" s="24"/>
    </row>
    <row r="2254" spans="12:13">
      <c r="L2254" s="24"/>
      <c r="M2254" s="24"/>
    </row>
    <row r="2255" spans="12:13">
      <c r="L2255" s="24"/>
      <c r="M2255" s="24"/>
    </row>
    <row r="2256" spans="12:13">
      <c r="L2256" s="24"/>
      <c r="M2256" s="24"/>
    </row>
    <row r="2257" spans="12:13">
      <c r="L2257" s="24"/>
      <c r="M2257" s="24"/>
    </row>
    <row r="2258" spans="12:13">
      <c r="L2258" s="24"/>
      <c r="M2258" s="24"/>
    </row>
    <row r="2259" spans="12:13">
      <c r="L2259" s="24"/>
      <c r="M2259" s="24"/>
    </row>
    <row r="2260" spans="12:13">
      <c r="L2260" s="24"/>
      <c r="M2260" s="24"/>
    </row>
    <row r="2261" spans="12:13">
      <c r="L2261" s="24"/>
      <c r="M2261" s="24"/>
    </row>
    <row r="2262" spans="12:13">
      <c r="L2262" s="24"/>
      <c r="M2262" s="24"/>
    </row>
    <row r="2263" spans="12:13">
      <c r="L2263" s="24"/>
      <c r="M2263" s="24"/>
    </row>
    <row r="2264" spans="12:13">
      <c r="L2264" s="24"/>
      <c r="M2264" s="24"/>
    </row>
    <row r="2265" spans="12:13">
      <c r="L2265" s="24"/>
      <c r="M2265" s="24"/>
    </row>
    <row r="2266" spans="12:13">
      <c r="L2266" s="24"/>
      <c r="M2266" s="24"/>
    </row>
    <row r="2267" spans="12:13">
      <c r="L2267" s="24"/>
      <c r="M2267" s="24"/>
    </row>
    <row r="2268" spans="12:13">
      <c r="L2268" s="24"/>
      <c r="M2268" s="24"/>
    </row>
    <row r="2269" spans="12:13">
      <c r="L2269" s="24"/>
      <c r="M2269" s="24"/>
    </row>
    <row r="2270" spans="12:13">
      <c r="L2270" s="24"/>
      <c r="M2270" s="24"/>
    </row>
    <row r="2271" spans="12:13">
      <c r="L2271" s="24"/>
      <c r="M2271" s="24"/>
    </row>
    <row r="2272" spans="12:13">
      <c r="L2272" s="24"/>
      <c r="M2272" s="24"/>
    </row>
    <row r="2273" spans="12:13">
      <c r="L2273" s="24"/>
      <c r="M2273" s="24"/>
    </row>
    <row r="2274" spans="12:13">
      <c r="L2274" s="24"/>
      <c r="M2274" s="24"/>
    </row>
    <row r="2275" spans="12:13">
      <c r="L2275" s="24"/>
      <c r="M2275" s="24"/>
    </row>
    <row r="2276" spans="12:13">
      <c r="L2276" s="24"/>
      <c r="M2276" s="24"/>
    </row>
    <row r="2277" spans="12:13">
      <c r="L2277" s="24"/>
      <c r="M2277" s="24"/>
    </row>
    <row r="2278" spans="12:13">
      <c r="L2278" s="24"/>
      <c r="M2278" s="24"/>
    </row>
    <row r="2279" spans="12:13">
      <c r="L2279" s="24"/>
      <c r="M2279" s="24"/>
    </row>
    <row r="2280" spans="12:13">
      <c r="L2280" s="24"/>
      <c r="M2280" s="24"/>
    </row>
    <row r="2281" spans="12:13">
      <c r="L2281" s="24"/>
      <c r="M2281" s="24"/>
    </row>
    <row r="2282" spans="12:13">
      <c r="L2282" s="24"/>
      <c r="M2282" s="24"/>
    </row>
    <row r="2283" spans="12:13">
      <c r="L2283" s="24"/>
      <c r="M2283" s="24"/>
    </row>
    <row r="2284" spans="12:13">
      <c r="L2284" s="24"/>
      <c r="M2284" s="24"/>
    </row>
    <row r="2285" spans="12:13">
      <c r="L2285" s="24"/>
      <c r="M2285" s="24"/>
    </row>
    <row r="2286" spans="12:13">
      <c r="L2286" s="24"/>
      <c r="M2286" s="24"/>
    </row>
    <row r="2287" spans="12:13">
      <c r="L2287" s="24"/>
      <c r="M2287" s="24"/>
    </row>
    <row r="2288" spans="12:13">
      <c r="L2288" s="24"/>
      <c r="M2288" s="24"/>
    </row>
    <row r="2289" spans="12:13">
      <c r="L2289" s="24"/>
      <c r="M2289" s="24"/>
    </row>
    <row r="2290" spans="12:13">
      <c r="L2290" s="24"/>
      <c r="M2290" s="24"/>
    </row>
    <row r="2291" spans="12:13">
      <c r="L2291" s="24"/>
      <c r="M2291" s="24"/>
    </row>
    <row r="2292" spans="12:13">
      <c r="L2292" s="24"/>
      <c r="M2292" s="24"/>
    </row>
    <row r="2293" spans="12:13">
      <c r="L2293" s="24"/>
      <c r="M2293" s="24"/>
    </row>
    <row r="2294" spans="12:13">
      <c r="L2294" s="24"/>
      <c r="M2294" s="24"/>
    </row>
    <row r="2295" spans="12:13">
      <c r="L2295" s="24"/>
      <c r="M2295" s="24"/>
    </row>
    <row r="2296" spans="12:13">
      <c r="L2296" s="24"/>
      <c r="M2296" s="24"/>
    </row>
    <row r="2297" spans="12:13">
      <c r="L2297" s="24"/>
      <c r="M2297" s="24"/>
    </row>
    <row r="2298" spans="12:13">
      <c r="L2298" s="24"/>
      <c r="M2298" s="24"/>
    </row>
    <row r="2299" spans="12:13">
      <c r="L2299" s="24"/>
      <c r="M2299" s="24"/>
    </row>
    <row r="2300" spans="12:13">
      <c r="L2300" s="24"/>
      <c r="M2300" s="24"/>
    </row>
    <row r="2301" spans="12:13">
      <c r="L2301" s="24"/>
      <c r="M2301" s="24"/>
    </row>
    <row r="2302" spans="12:13">
      <c r="L2302" s="24"/>
      <c r="M2302" s="24"/>
    </row>
    <row r="2303" spans="12:13">
      <c r="L2303" s="24"/>
      <c r="M2303" s="24"/>
    </row>
    <row r="2304" spans="12:13">
      <c r="L2304" s="24"/>
      <c r="M2304" s="24"/>
    </row>
    <row r="2305" spans="12:13">
      <c r="L2305" s="24"/>
      <c r="M2305" s="24"/>
    </row>
    <row r="2306" spans="12:13">
      <c r="L2306" s="24"/>
      <c r="M2306" s="24"/>
    </row>
    <row r="2307" spans="12:13">
      <c r="L2307" s="24"/>
      <c r="M2307" s="24"/>
    </row>
    <row r="2308" spans="12:13">
      <c r="L2308" s="24"/>
      <c r="M2308" s="24"/>
    </row>
    <row r="2309" spans="12:13">
      <c r="L2309" s="24"/>
      <c r="M2309" s="24"/>
    </row>
    <row r="2310" spans="12:13">
      <c r="L2310" s="24"/>
      <c r="M2310" s="24"/>
    </row>
    <row r="2311" spans="12:13">
      <c r="L2311" s="24"/>
      <c r="M2311" s="24"/>
    </row>
    <row r="2312" spans="12:13">
      <c r="L2312" s="24"/>
      <c r="M2312" s="24"/>
    </row>
    <row r="2313" spans="12:13">
      <c r="L2313" s="24"/>
      <c r="M2313" s="24"/>
    </row>
    <row r="2314" spans="12:13">
      <c r="L2314" s="24"/>
      <c r="M2314" s="24"/>
    </row>
    <row r="2315" spans="12:13">
      <c r="L2315" s="24"/>
      <c r="M2315" s="24"/>
    </row>
    <row r="2316" spans="12:13">
      <c r="L2316" s="24"/>
      <c r="M2316" s="24"/>
    </row>
    <row r="2317" spans="12:13">
      <c r="L2317" s="24"/>
      <c r="M2317" s="24"/>
    </row>
    <row r="2318" spans="12:13">
      <c r="L2318" s="24"/>
      <c r="M2318" s="24"/>
    </row>
    <row r="2319" spans="12:13">
      <c r="L2319" s="24"/>
      <c r="M2319" s="24"/>
    </row>
    <row r="2320" spans="12:13">
      <c r="L2320" s="24"/>
      <c r="M2320" s="24"/>
    </row>
    <row r="2321" spans="12:13">
      <c r="L2321" s="24"/>
      <c r="M2321" s="24"/>
    </row>
    <row r="2322" spans="12:13">
      <c r="L2322" s="24"/>
      <c r="M2322" s="24"/>
    </row>
    <row r="2323" spans="12:13">
      <c r="L2323" s="24"/>
      <c r="M2323" s="24"/>
    </row>
    <row r="2324" spans="12:13">
      <c r="L2324" s="24"/>
      <c r="M2324" s="24"/>
    </row>
    <row r="2325" spans="12:13">
      <c r="L2325" s="24"/>
      <c r="M2325" s="24"/>
    </row>
    <row r="2326" spans="12:13">
      <c r="L2326" s="24"/>
      <c r="M2326" s="24"/>
    </row>
    <row r="2327" spans="12:13">
      <c r="L2327" s="24"/>
      <c r="M2327" s="24"/>
    </row>
    <row r="2328" spans="12:13">
      <c r="L2328" s="24"/>
      <c r="M2328" s="24"/>
    </row>
    <row r="2329" spans="12:13">
      <c r="L2329" s="24"/>
      <c r="M2329" s="24"/>
    </row>
    <row r="2330" spans="12:13">
      <c r="L2330" s="24"/>
      <c r="M2330" s="24"/>
    </row>
    <row r="2331" spans="12:13">
      <c r="L2331" s="24"/>
      <c r="M2331" s="24"/>
    </row>
    <row r="2332" spans="12:13">
      <c r="L2332" s="24"/>
      <c r="M2332" s="24"/>
    </row>
    <row r="2333" spans="12:13">
      <c r="L2333" s="24"/>
      <c r="M2333" s="24"/>
    </row>
    <row r="2334" spans="12:13">
      <c r="L2334" s="24"/>
      <c r="M2334" s="24"/>
    </row>
    <row r="2335" spans="12:13">
      <c r="L2335" s="24"/>
      <c r="M2335" s="24"/>
    </row>
    <row r="2336" spans="12:13">
      <c r="L2336" s="24"/>
      <c r="M2336" s="24"/>
    </row>
    <row r="2337" spans="12:13">
      <c r="L2337" s="24"/>
      <c r="M2337" s="24"/>
    </row>
    <row r="2338" spans="12:13">
      <c r="L2338" s="24"/>
      <c r="M2338" s="24"/>
    </row>
    <row r="2339" spans="12:13">
      <c r="L2339" s="24"/>
      <c r="M2339" s="24"/>
    </row>
    <row r="2340" spans="12:13">
      <c r="L2340" s="24"/>
      <c r="M2340" s="24"/>
    </row>
    <row r="2341" spans="12:13">
      <c r="L2341" s="24"/>
      <c r="M2341" s="24"/>
    </row>
    <row r="2342" spans="12:13">
      <c r="L2342" s="24"/>
      <c r="M2342" s="24"/>
    </row>
    <row r="2343" spans="12:13">
      <c r="L2343" s="24"/>
      <c r="M2343" s="24"/>
    </row>
    <row r="2344" spans="12:13">
      <c r="L2344" s="24"/>
      <c r="M2344" s="24"/>
    </row>
    <row r="2345" spans="12:13">
      <c r="L2345" s="24"/>
      <c r="M2345" s="24"/>
    </row>
    <row r="2346" spans="12:13">
      <c r="L2346" s="24"/>
      <c r="M2346" s="24"/>
    </row>
    <row r="2347" spans="12:13">
      <c r="L2347" s="24"/>
      <c r="M2347" s="24"/>
    </row>
    <row r="2348" spans="12:13">
      <c r="L2348" s="24"/>
      <c r="M2348" s="24"/>
    </row>
    <row r="2349" spans="12:13">
      <c r="L2349" s="24"/>
      <c r="M2349" s="24"/>
    </row>
    <row r="2350" spans="12:13">
      <c r="L2350" s="24"/>
      <c r="M2350" s="24"/>
    </row>
    <row r="2351" spans="12:13">
      <c r="L2351" s="24"/>
      <c r="M2351" s="24"/>
    </row>
    <row r="2352" spans="12:13">
      <c r="L2352" s="24"/>
      <c r="M2352" s="24"/>
    </row>
    <row r="2353" spans="12:13">
      <c r="L2353" s="24"/>
      <c r="M2353" s="24"/>
    </row>
    <row r="2354" spans="12:13">
      <c r="L2354" s="24"/>
      <c r="M2354" s="24"/>
    </row>
    <row r="2355" spans="12:13">
      <c r="L2355" s="24"/>
      <c r="M2355" s="24"/>
    </row>
    <row r="2356" spans="12:13">
      <c r="L2356" s="24"/>
      <c r="M2356" s="24"/>
    </row>
    <row r="2357" spans="12:13">
      <c r="L2357" s="24"/>
      <c r="M2357" s="24"/>
    </row>
    <row r="2358" spans="12:13">
      <c r="L2358" s="24"/>
      <c r="M2358" s="24"/>
    </row>
    <row r="2359" spans="12:13">
      <c r="L2359" s="24"/>
      <c r="M2359" s="24"/>
    </row>
    <row r="2360" spans="12:13">
      <c r="L2360" s="24"/>
      <c r="M2360" s="24"/>
    </row>
    <row r="2361" spans="12:13">
      <c r="L2361" s="24"/>
      <c r="M2361" s="24"/>
    </row>
    <row r="2362" spans="12:13">
      <c r="L2362" s="24"/>
      <c r="M2362" s="24"/>
    </row>
    <row r="2363" spans="12:13">
      <c r="L2363" s="24"/>
      <c r="M2363" s="24"/>
    </row>
    <row r="2364" spans="12:13">
      <c r="L2364" s="24"/>
      <c r="M2364" s="24"/>
    </row>
    <row r="2365" spans="12:13">
      <c r="L2365" s="24"/>
      <c r="M2365" s="24"/>
    </row>
    <row r="2366" spans="12:13">
      <c r="L2366" s="24"/>
      <c r="M2366" s="24"/>
    </row>
    <row r="2367" spans="12:13">
      <c r="L2367" s="24"/>
      <c r="M2367" s="24"/>
    </row>
    <row r="2368" spans="12:13">
      <c r="L2368" s="24"/>
      <c r="M2368" s="24"/>
    </row>
    <row r="2369" spans="12:13">
      <c r="L2369" s="24"/>
      <c r="M2369" s="24"/>
    </row>
    <row r="2370" spans="12:13">
      <c r="L2370" s="24"/>
      <c r="M2370" s="24"/>
    </row>
    <row r="2371" spans="12:13">
      <c r="L2371" s="24"/>
      <c r="M2371" s="24"/>
    </row>
    <row r="2372" spans="12:13">
      <c r="L2372" s="24"/>
      <c r="M2372" s="24"/>
    </row>
    <row r="2373" spans="12:13">
      <c r="L2373" s="24"/>
      <c r="M2373" s="24"/>
    </row>
    <row r="2374" spans="12:13">
      <c r="L2374" s="24"/>
      <c r="M2374" s="24"/>
    </row>
    <row r="2375" spans="12:13">
      <c r="L2375" s="24"/>
      <c r="M2375" s="24"/>
    </row>
  </sheetData>
  <mergeCells count="6">
    <mergeCell ref="C1:O1"/>
    <mergeCell ref="D42:N42"/>
    <mergeCell ref="D46:F46"/>
    <mergeCell ref="D30:N30"/>
    <mergeCell ref="D4:E4"/>
    <mergeCell ref="D8:N8"/>
  </mergeCells>
  <phoneticPr fontId="21" type="noConversion"/>
  <pageMargins left="0.7" right="0.7" top="0.75" bottom="0.75" header="0.3" footer="0.3"/>
  <pageSetup paperSize="9" orientation="portrait" horizontalDpi="0" verticalDpi="0"/>
  <drawing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E2EE130A-5585-2841-A0A1-EC3C71F8C1EC}">
          <x14:formula1>
            <xm:f>Listes!#REF!</xm:f>
          </x14:formula1>
          <xm:sqref>D409:E2375</xm:sqref>
        </x14:dataValidation>
        <x14:dataValidation type="list" allowBlank="1" showInputMessage="1" showErrorMessage="1" xr:uid="{AD397F2E-D536-0945-B643-03BD37FEBA1A}">
          <x14:formula1>
            <xm:f>'Compo'!#REF!</xm:f>
          </x14:formula1>
          <xm:sqref>C409:C2375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39DD8B-B3C2-F046-B336-939C6BA9ED4F}">
  <sheetPr codeName="Feuil9"/>
  <dimension ref="A1:Q2"/>
  <sheetViews>
    <sheetView tabSelected="1" workbookViewId="0"/>
  </sheetViews>
  <sheetFormatPr baseColWidth="10" defaultRowHeight="13"/>
  <cols>
    <col min="2" max="2" width="11" bestFit="1" customWidth="1"/>
    <col min="3" max="3" width="22.5" customWidth="1"/>
    <col min="4" max="4" width="14.1640625" bestFit="1" customWidth="1"/>
    <col min="5" max="5" width="28" customWidth="1"/>
    <col min="6" max="6" width="14.33203125" bestFit="1" customWidth="1"/>
    <col min="7" max="7" width="13.33203125" bestFit="1" customWidth="1"/>
    <col min="8" max="8" width="27.1640625" customWidth="1"/>
    <col min="9" max="9" width="18.5" hidden="1" customWidth="1"/>
    <col min="10" max="17" width="0" hidden="1" customWidth="1"/>
  </cols>
  <sheetData>
    <row r="1" spans="1:17">
      <c r="A1" t="s">
        <v>65</v>
      </c>
      <c r="B1" t="s">
        <v>58</v>
      </c>
      <c r="C1" t="s">
        <v>66</v>
      </c>
      <c r="D1" t="s">
        <v>356</v>
      </c>
      <c r="E1" t="s">
        <v>67</v>
      </c>
      <c r="F1" t="s">
        <v>342</v>
      </c>
      <c r="G1" t="s">
        <v>331</v>
      </c>
      <c r="H1" t="s">
        <v>68</v>
      </c>
      <c r="I1" t="s">
        <v>69</v>
      </c>
      <c r="J1" t="s">
        <v>396</v>
      </c>
      <c r="K1" t="s">
        <v>397</v>
      </c>
      <c r="L1" t="s">
        <v>398</v>
      </c>
      <c r="M1" t="s">
        <v>177</v>
      </c>
      <c r="N1" t="s">
        <v>399</v>
      </c>
      <c r="O1" t="s">
        <v>400</v>
      </c>
      <c r="P1" t="s">
        <v>401</v>
      </c>
      <c r="Q1" t="s">
        <v>402</v>
      </c>
    </row>
    <row r="2" spans="1:17">
      <c r="A2" s="43">
        <v>1.1668484537037036E-2</v>
      </c>
      <c r="B2" t="s">
        <v>142</v>
      </c>
      <c r="E2" t="s">
        <v>226</v>
      </c>
      <c r="G2" t="s">
        <v>169</v>
      </c>
      <c r="I2" s="137">
        <v>46224.408900462964</v>
      </c>
      <c r="J2" t="s">
        <v>414</v>
      </c>
      <c r="K2" t="s">
        <v>372</v>
      </c>
      <c r="L2" s="136">
        <v>46290</v>
      </c>
      <c r="M2" t="s">
        <v>384</v>
      </c>
      <c r="N2" t="s">
        <v>389</v>
      </c>
      <c r="O2" t="s">
        <v>370</v>
      </c>
      <c r="P2">
        <v>1</v>
      </c>
      <c r="Q2" t="s">
        <v>394</v>
      </c>
    </row>
  </sheetData>
  <dataValidations count="5">
    <dataValidation type="list" allowBlank="1" showErrorMessage="1" sqref="B2" xr:uid="{8416C147-CD2E-3641-8104-DE965153615E}">
      <formula1>LISTE_MT_JOURNAL</formula1>
    </dataValidation>
    <dataValidation type="list" allowBlank="1" showErrorMessage="1" sqref="C2" xr:uid="{9521A531-4DD4-8E4D-B642-85CBA53B1942}">
      <formula1>LISTE_JOUEURS_JOURNAL</formula1>
    </dataValidation>
    <dataValidation type="list" allowBlank="1" showErrorMessage="1" sqref="E2" xr:uid="{4041EC6D-BDBC-034E-993A-2DB2A0976E3D}">
      <formula1>LISTE_ACTIONS_JOURNAL</formula1>
    </dataValidation>
    <dataValidation type="list" allowBlank="1" showErrorMessage="1" sqref="G2" xr:uid="{BEB4320E-27BC-8541-97C6-C33947FA875E}">
      <formula1>LISTE_EQUIPES_JOURNAL</formula1>
    </dataValidation>
    <dataValidation type="list" allowBlank="1" showErrorMessage="1" sqref="F2" xr:uid="{4A018055-272B-6B4D-9D81-9DC656097BF8}">
      <formula1>LISTE_MOTIFS_PENALITE</formula1>
    </dataValidation>
  </dataValidations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7DB383-C896-9748-BBBD-3E9E195A6D85}">
  <sheetPr codeName="Feuil8"/>
  <dimension ref="A1:AE68"/>
  <sheetViews>
    <sheetView workbookViewId="0"/>
  </sheetViews>
  <sheetFormatPr baseColWidth="10" defaultRowHeight="13"/>
  <cols>
    <col min="1" max="1" width="10.83203125" style="31"/>
    <col min="2" max="2" width="19.1640625" bestFit="1" customWidth="1"/>
    <col min="3" max="3" width="14" bestFit="1" customWidth="1"/>
    <col min="15" max="31" width="10.83203125" style="31"/>
  </cols>
  <sheetData>
    <row r="1" spans="2:14" s="31" customFormat="1"/>
    <row r="2" spans="2:14" ht="14" customHeight="1">
      <c r="B2" s="168" t="s">
        <v>66</v>
      </c>
      <c r="C2" s="165" t="str">
        <f>ACT_PL_NORMAL</f>
        <v>Plaquage normal</v>
      </c>
      <c r="D2" s="164"/>
      <c r="E2" s="165" t="str">
        <f>ACT_PL_OFF</f>
        <v>Plaquage offensif</v>
      </c>
      <c r="F2" s="164"/>
      <c r="G2" s="165" t="str">
        <f>ACT_PL_RATE</f>
        <v>Plaquage raté</v>
      </c>
      <c r="H2" s="164"/>
      <c r="I2" s="165" t="str">
        <f>ACT_PL_A2</f>
        <v>Plaquage à 2</v>
      </c>
      <c r="J2" s="163"/>
      <c r="K2" s="163" t="str">
        <f>ACT_PL_HAUT</f>
        <v>Plaquage haut</v>
      </c>
      <c r="L2" s="164"/>
      <c r="M2" s="163" t="str">
        <f>ACT_GRATTAGE</f>
        <v>Grattage</v>
      </c>
      <c r="N2" s="164"/>
    </row>
    <row r="3" spans="2:14" ht="13" customHeight="1">
      <c r="B3" s="169"/>
      <c r="C3" s="96" t="s">
        <v>168</v>
      </c>
      <c r="D3" s="99" t="s">
        <v>142</v>
      </c>
      <c r="E3" s="97" t="s">
        <v>168</v>
      </c>
      <c r="F3" s="97" t="s">
        <v>142</v>
      </c>
      <c r="G3" s="96" t="s">
        <v>168</v>
      </c>
      <c r="H3" s="99" t="s">
        <v>142</v>
      </c>
      <c r="I3" s="96" t="s">
        <v>168</v>
      </c>
      <c r="J3" s="99" t="s">
        <v>142</v>
      </c>
      <c r="K3" s="96" t="s">
        <v>168</v>
      </c>
      <c r="L3" s="99" t="s">
        <v>142</v>
      </c>
      <c r="M3" s="97" t="s">
        <v>168</v>
      </c>
      <c r="N3" s="99" t="s">
        <v>142</v>
      </c>
    </row>
    <row r="4" spans="2:14">
      <c r="B4" s="100" t="str" cm="1">
        <f t="array" ref="B4:B25">_xlfn._xlws.SORT(_xlfn._xlws.FILTER('Compo'!Z1:Z30,('Compo'!Z1:Z30&lt;&gt;"")*('Compo'!Z1:Z30&lt;&gt;"Collectif")*('Compo'!Z1:Z30&lt;&gt;"?")))</f>
        <v>ABADIE  Emeric</v>
      </c>
      <c r="C4" s="105" t="str">
        <f>IF(COUNTIFS(JournalActions[Joueur],$B4,JournalActions[Action],$C$2,JournalActions[Mi-temps],C$3)=0,"",COUNTIFS(JournalActions[Joueur],$B4,JournalActions[Action],$C$2,JournalActions[Mi-temps],C$3))</f>
        <v/>
      </c>
      <c r="D4" s="106" t="str">
        <f>IF(COUNTIFS(JournalActions[Joueur],$B4,JournalActions[Action],$C$2,JournalActions[Mi-temps],D$3)=0,"",COUNTIFS(JournalActions[Joueur],$B4,JournalActions[Action],$C$2,JournalActions[Mi-temps],D$3))</f>
        <v/>
      </c>
      <c r="E4" s="105" t="str">
        <f>IF(COUNTIFS(JournalActions[Joueur],$B4,JournalActions[Action],$E$2,JournalActions[Mi-temps],E$3)=0,"",COUNTIFS(JournalActions[Joueur],$B4,JournalActions[Action],$E$2,JournalActions[Mi-temps],E$3))</f>
        <v/>
      </c>
      <c r="F4" s="107" t="str">
        <f>IF(COUNTIFS(JournalActions[Joueur],$B4,JournalActions[Action],$E$2,JournalActions[Mi-temps],F$3)=0,"",COUNTIFS(JournalActions[Joueur],$B4,JournalActions[Action],$E$2,JournalActions[Mi-temps],F$3))</f>
        <v/>
      </c>
      <c r="G4" s="105" t="str">
        <f>IF(COUNTIFS(JournalActions[Joueur],$B4,JournalActions[Action],$G$2,JournalActions[Mi-temps],G$3)=0,"",COUNTIFS(JournalActions[Joueur],$B4,JournalActions[Action],$G$2,JournalActions[Mi-temps],G$3))</f>
        <v/>
      </c>
      <c r="H4" s="106" t="str">
        <f>IF(COUNTIFS(JournalActions[Joueur],$B4,JournalActions[Action],$G$2,JournalActions[Mi-temps],H$3)=0,"",COUNTIFS(JournalActions[Joueur],$B4,JournalActions[Action],$G$2,JournalActions[Mi-temps],H$3))</f>
        <v/>
      </c>
      <c r="I4" s="105" t="str">
        <f>IF(COUNTIFS(JournalActions[Joueur],$B4,JournalActions[Action],$I$2,JournalActions[Mi-temps],I$3)=0,"",COUNTIFS(JournalActions[Joueur],$B4,JournalActions[Action],$I$2,JournalActions[Mi-temps],I$3))</f>
        <v/>
      </c>
      <c r="J4" s="106" t="str">
        <f>IF(COUNTIFS(JournalActions[Joueur],$B4,JournalActions[Action],$I$2,JournalActions[Mi-temps],J$3)=0,"",COUNTIFS(JournalActions[Joueur],$B4,JournalActions[Action],$I$2,JournalActions[Mi-temps],J$3))</f>
        <v/>
      </c>
      <c r="K4" s="105" t="str">
        <f>IF(COUNTIFS(JournalActions[Joueur],$B4,JournalActions[Action],$K$2,JournalActions[Mi-temps],K$3)=0,"",COUNTIFS(JournalActions[Joueur],$B4,JournalActions[Action],$K$2,JournalActions[Mi-temps],K$3))</f>
        <v/>
      </c>
      <c r="L4" s="106" t="str">
        <f>IF(COUNTIFS(JournalActions[Joueur],$B4,JournalActions[Action],$K$2,JournalActions[Mi-temps],L$3)=0,"",COUNTIFS(JournalActions[Joueur],$B4,JournalActions[Action],$K$2,JournalActions[Mi-temps],L$3))</f>
        <v/>
      </c>
      <c r="M4" s="105" t="str">
        <f>IF(COUNTIFS(JournalActions[Joueur],$B4,JournalActions[Action],$M$2,JournalActions[Mi-temps],M$3)=0,"",COUNTIFS(JournalActions[Joueur],$B4,JournalActions[Action],$M$2,JournalActions[Mi-temps],M$3))</f>
        <v/>
      </c>
      <c r="N4" s="106" t="str">
        <f>IF(COUNTIFS(JournalActions[Joueur],$B4,JournalActions[Action],$M$2,JournalActions[Mi-temps],N$3)=0,"",COUNTIFS(JournalActions[Joueur],$B4,JournalActions[Action],$M$2,JournalActions[Mi-temps],N$3))</f>
        <v/>
      </c>
    </row>
    <row r="5" spans="2:14">
      <c r="B5" s="100" t="str">
        <v>BAQUE Lucas</v>
      </c>
      <c r="C5" s="100" t="str">
        <f>IF(COUNTIFS(JournalActions[Joueur],$B5,JournalActions[Action],$C$2,JournalActions[Mi-temps],C$3)=0,"",COUNTIFS(JournalActions[Joueur],$B5,JournalActions[Action],$C$2,JournalActions[Mi-temps],C$3))</f>
        <v/>
      </c>
      <c r="D5" s="101" t="str">
        <f>IF(COUNTIFS(JournalActions[Joueur],$B5,JournalActions[Action],$C$2,JournalActions[Mi-temps],D$3)=0,"",COUNTIFS(JournalActions[Joueur],$B5,JournalActions[Action],$C$2,JournalActions[Mi-temps],D$3))</f>
        <v/>
      </c>
      <c r="E5" t="str">
        <f>IF(COUNTIFS(JournalActions[Joueur],$B5,JournalActions[Action],$E$2,JournalActions[Mi-temps],E$3)=0,"",COUNTIFS(JournalActions[Joueur],$B5,JournalActions[Action],$E$2,JournalActions[Mi-temps],E$3))</f>
        <v/>
      </c>
      <c r="F5" t="str">
        <f>IF(COUNTIFS(JournalActions[Joueur],$B5,JournalActions[Action],$E$2,JournalActions[Mi-temps],F$3)=0,"",COUNTIFS(JournalActions[Joueur],$B5,JournalActions[Action],$E$2,JournalActions[Mi-temps],F$3))</f>
        <v/>
      </c>
      <c r="G5" s="100" t="str">
        <f>IF(COUNTIFS(JournalActions[Joueur],$B5,JournalActions[Action],$G$2,JournalActions[Mi-temps],G$3)=0,"",COUNTIFS(JournalActions[Joueur],$B5,JournalActions[Action],$G$2,JournalActions[Mi-temps],G$3))</f>
        <v/>
      </c>
      <c r="H5" s="101" t="str">
        <f>IF(COUNTIFS(JournalActions[Joueur],$B5,JournalActions[Action],$G$2,JournalActions[Mi-temps],H$3)=0,"",COUNTIFS(JournalActions[Joueur],$B5,JournalActions[Action],$G$2,JournalActions[Mi-temps],H$3))</f>
        <v/>
      </c>
      <c r="I5" t="str">
        <f>IF(COUNTIFS(JournalActions[Joueur],$B5,JournalActions[Action],$I$2,JournalActions[Mi-temps],I$3)=0,"",COUNTIFS(JournalActions[Joueur],$B5,JournalActions[Action],$I$2,JournalActions[Mi-temps],I$3))</f>
        <v/>
      </c>
      <c r="J5" t="str">
        <f>IF(COUNTIFS(JournalActions[Joueur],$B5,JournalActions[Action],$I$2,JournalActions[Mi-temps],J$3)=0,"",COUNTIFS(JournalActions[Joueur],$B5,JournalActions[Action],$I$2,JournalActions[Mi-temps],J$3))</f>
        <v/>
      </c>
      <c r="K5" s="100" t="str">
        <f>IF(COUNTIFS(JournalActions[Joueur],$B5,JournalActions[Action],$K$2,JournalActions[Mi-temps],K$3)=0,"",COUNTIFS(JournalActions[Joueur],$B5,JournalActions[Action],$K$2,JournalActions[Mi-temps],K$3))</f>
        <v/>
      </c>
      <c r="L5" t="str">
        <f>IF(COUNTIFS(JournalActions[Joueur],$B5,JournalActions[Action],$K$2,JournalActions[Mi-temps],L$3)=0,"",COUNTIFS(JournalActions[Joueur],$B5,JournalActions[Action],$K$2,JournalActions[Mi-temps],L$3))</f>
        <v/>
      </c>
      <c r="M5" s="100" t="str">
        <f>IF(COUNTIFS(JournalActions[Joueur],$B5,JournalActions[Action],$M$2,JournalActions[Mi-temps],M$3)=0,"",COUNTIFS(JournalActions[Joueur],$B5,JournalActions[Action],$M$2,JournalActions[Mi-temps],M$3))</f>
        <v/>
      </c>
      <c r="N5" s="101" t="str">
        <f>IF(COUNTIFS(JournalActions[Joueur],$B5,JournalActions[Action],$M$2,JournalActions[Mi-temps],N$3)=0,"",COUNTIFS(JournalActions[Joueur],$B5,JournalActions[Action],$M$2,JournalActions[Mi-temps],N$3))</f>
        <v/>
      </c>
    </row>
    <row r="6" spans="2:14">
      <c r="B6" s="100" t="str">
        <v>BARATGIN xx</v>
      </c>
      <c r="C6" s="100" t="str">
        <f>IF(COUNTIFS(JournalActions[Joueur],$B6,JournalActions[Action],$C$2,JournalActions[Mi-temps],C$3)=0,"",COUNTIFS(JournalActions[Joueur],$B6,JournalActions[Action],$C$2,JournalActions[Mi-temps],C$3))</f>
        <v/>
      </c>
      <c r="D6" s="101" t="str">
        <f>IF(COUNTIFS(JournalActions[Joueur],$B6,JournalActions[Action],$C$2,JournalActions[Mi-temps],D$3)=0,"",COUNTIFS(JournalActions[Joueur],$B6,JournalActions[Action],$C$2,JournalActions[Mi-temps],D$3))</f>
        <v/>
      </c>
      <c r="E6" t="str">
        <f>IF(COUNTIFS(JournalActions[Joueur],$B6,JournalActions[Action],$E$2,JournalActions[Mi-temps],E$3)=0,"",COUNTIFS(JournalActions[Joueur],$B6,JournalActions[Action],$E$2,JournalActions[Mi-temps],E$3))</f>
        <v/>
      </c>
      <c r="F6" t="str">
        <f>IF(COUNTIFS(JournalActions[Joueur],$B6,JournalActions[Action],$E$2,JournalActions[Mi-temps],F$3)=0,"",COUNTIFS(JournalActions[Joueur],$B6,JournalActions[Action],$E$2,JournalActions[Mi-temps],F$3))</f>
        <v/>
      </c>
      <c r="G6" s="100" t="str">
        <f>IF(COUNTIFS(JournalActions[Joueur],$B6,JournalActions[Action],$G$2,JournalActions[Mi-temps],G$3)=0,"",COUNTIFS(JournalActions[Joueur],$B6,JournalActions[Action],$G$2,JournalActions[Mi-temps],G$3))</f>
        <v/>
      </c>
      <c r="H6" s="101" t="str">
        <f>IF(COUNTIFS(JournalActions[Joueur],$B6,JournalActions[Action],$G$2,JournalActions[Mi-temps],H$3)=0,"",COUNTIFS(JournalActions[Joueur],$B6,JournalActions[Action],$G$2,JournalActions[Mi-temps],H$3))</f>
        <v/>
      </c>
      <c r="I6" t="str">
        <f>IF(COUNTIFS(JournalActions[Joueur],$B6,JournalActions[Action],$I$2,JournalActions[Mi-temps],I$3)=0,"",COUNTIFS(JournalActions[Joueur],$B6,JournalActions[Action],$I$2,JournalActions[Mi-temps],I$3))</f>
        <v/>
      </c>
      <c r="J6" t="str">
        <f>IF(COUNTIFS(JournalActions[Joueur],$B6,JournalActions[Action],$I$2,JournalActions[Mi-temps],J$3)=0,"",COUNTIFS(JournalActions[Joueur],$B6,JournalActions[Action],$I$2,JournalActions[Mi-temps],J$3))</f>
        <v/>
      </c>
      <c r="K6" s="100" t="str">
        <f>IF(COUNTIFS(JournalActions[Joueur],$B6,JournalActions[Action],$K$2,JournalActions[Mi-temps],K$3)=0,"",COUNTIFS(JournalActions[Joueur],$B6,JournalActions[Action],$K$2,JournalActions[Mi-temps],K$3))</f>
        <v/>
      </c>
      <c r="L6" t="str">
        <f>IF(COUNTIFS(JournalActions[Joueur],$B6,JournalActions[Action],$K$2,JournalActions[Mi-temps],L$3)=0,"",COUNTIFS(JournalActions[Joueur],$B6,JournalActions[Action],$K$2,JournalActions[Mi-temps],L$3))</f>
        <v/>
      </c>
      <c r="M6" s="100" t="str">
        <f>IF(COUNTIFS(JournalActions[Joueur],$B6,JournalActions[Action],$M$2,JournalActions[Mi-temps],M$3)=0,"",COUNTIFS(JournalActions[Joueur],$B6,JournalActions[Action],$M$2,JournalActions[Mi-temps],M$3))</f>
        <v/>
      </c>
      <c r="N6" s="101" t="str">
        <f>IF(COUNTIFS(JournalActions[Joueur],$B6,JournalActions[Action],$M$2,JournalActions[Mi-temps],N$3)=0,"",COUNTIFS(JournalActions[Joueur],$B6,JournalActions[Action],$M$2,JournalActions[Mi-temps],N$3))</f>
        <v/>
      </c>
    </row>
    <row r="7" spans="2:14">
      <c r="B7" s="100" t="str">
        <v>BARTHIE Sébastien</v>
      </c>
      <c r="C7" s="100" t="str">
        <f>IF(COUNTIFS(JournalActions[Joueur],$B7,JournalActions[Action],$C$2,JournalActions[Mi-temps],C$3)=0,"",COUNTIFS(JournalActions[Joueur],$B7,JournalActions[Action],$C$2,JournalActions[Mi-temps],C$3))</f>
        <v/>
      </c>
      <c r="D7" s="101" t="str">
        <f>IF(COUNTIFS(JournalActions[Joueur],$B7,JournalActions[Action],$C$2,JournalActions[Mi-temps],D$3)=0,"",COUNTIFS(JournalActions[Joueur],$B7,JournalActions[Action],$C$2,JournalActions[Mi-temps],D$3))</f>
        <v/>
      </c>
      <c r="E7" t="str">
        <f>IF(COUNTIFS(JournalActions[Joueur],$B7,JournalActions[Action],$E$2,JournalActions[Mi-temps],E$3)=0,"",COUNTIFS(JournalActions[Joueur],$B7,JournalActions[Action],$E$2,JournalActions[Mi-temps],E$3))</f>
        <v/>
      </c>
      <c r="F7" t="str">
        <f>IF(COUNTIFS(JournalActions[Joueur],$B7,JournalActions[Action],$E$2,JournalActions[Mi-temps],F$3)=0,"",COUNTIFS(JournalActions[Joueur],$B7,JournalActions[Action],$E$2,JournalActions[Mi-temps],F$3))</f>
        <v/>
      </c>
      <c r="G7" s="100" t="str">
        <f>IF(COUNTIFS(JournalActions[Joueur],$B7,JournalActions[Action],$G$2,JournalActions[Mi-temps],G$3)=0,"",COUNTIFS(JournalActions[Joueur],$B7,JournalActions[Action],$G$2,JournalActions[Mi-temps],G$3))</f>
        <v/>
      </c>
      <c r="H7" s="101" t="str">
        <f>IF(COUNTIFS(JournalActions[Joueur],$B7,JournalActions[Action],$G$2,JournalActions[Mi-temps],H$3)=0,"",COUNTIFS(JournalActions[Joueur],$B7,JournalActions[Action],$G$2,JournalActions[Mi-temps],H$3))</f>
        <v/>
      </c>
      <c r="I7" t="str">
        <f>IF(COUNTIFS(JournalActions[Joueur],$B7,JournalActions[Action],$I$2,JournalActions[Mi-temps],I$3)=0,"",COUNTIFS(JournalActions[Joueur],$B7,JournalActions[Action],$I$2,JournalActions[Mi-temps],I$3))</f>
        <v/>
      </c>
      <c r="J7" t="str">
        <f>IF(COUNTIFS(JournalActions[Joueur],$B7,JournalActions[Action],$I$2,JournalActions[Mi-temps],J$3)=0,"",COUNTIFS(JournalActions[Joueur],$B7,JournalActions[Action],$I$2,JournalActions[Mi-temps],J$3))</f>
        <v/>
      </c>
      <c r="K7" s="100" t="str">
        <f>IF(COUNTIFS(JournalActions[Joueur],$B7,JournalActions[Action],$K$2,JournalActions[Mi-temps],K$3)=0,"",COUNTIFS(JournalActions[Joueur],$B7,JournalActions[Action],$K$2,JournalActions[Mi-temps],K$3))</f>
        <v/>
      </c>
      <c r="L7" t="str">
        <f>IF(COUNTIFS(JournalActions[Joueur],$B7,JournalActions[Action],$K$2,JournalActions[Mi-temps],L$3)=0,"",COUNTIFS(JournalActions[Joueur],$B7,JournalActions[Action],$K$2,JournalActions[Mi-temps],L$3))</f>
        <v/>
      </c>
      <c r="M7" s="100" t="str">
        <f>IF(COUNTIFS(JournalActions[Joueur],$B7,JournalActions[Action],$M$2,JournalActions[Mi-temps],M$3)=0,"",COUNTIFS(JournalActions[Joueur],$B7,JournalActions[Action],$M$2,JournalActions[Mi-temps],M$3))</f>
        <v/>
      </c>
      <c r="N7" s="101" t="str">
        <f>IF(COUNTIFS(JournalActions[Joueur],$B7,JournalActions[Action],$M$2,JournalActions[Mi-temps],N$3)=0,"",COUNTIFS(JournalActions[Joueur],$B7,JournalActions[Action],$M$2,JournalActions[Mi-temps],N$3))</f>
        <v/>
      </c>
    </row>
    <row r="8" spans="2:14">
      <c r="B8" s="100" t="str">
        <v>BAUP Bastien</v>
      </c>
      <c r="C8" s="100" t="str">
        <f>IF(COUNTIFS(JournalActions[Joueur],$B8,JournalActions[Action],$C$2,JournalActions[Mi-temps],C$3)=0,"",COUNTIFS(JournalActions[Joueur],$B8,JournalActions[Action],$C$2,JournalActions[Mi-temps],C$3))</f>
        <v/>
      </c>
      <c r="D8" s="101" t="str">
        <f>IF(COUNTIFS(JournalActions[Joueur],$B8,JournalActions[Action],$C$2,JournalActions[Mi-temps],D$3)=0,"",COUNTIFS(JournalActions[Joueur],$B8,JournalActions[Action],$C$2,JournalActions[Mi-temps],D$3))</f>
        <v/>
      </c>
      <c r="E8" t="str">
        <f>IF(COUNTIFS(JournalActions[Joueur],$B8,JournalActions[Action],$E$2,JournalActions[Mi-temps],E$3)=0,"",COUNTIFS(JournalActions[Joueur],$B8,JournalActions[Action],$E$2,JournalActions[Mi-temps],E$3))</f>
        <v/>
      </c>
      <c r="F8" t="str">
        <f>IF(COUNTIFS(JournalActions[Joueur],$B8,JournalActions[Action],$E$2,JournalActions[Mi-temps],F$3)=0,"",COUNTIFS(JournalActions[Joueur],$B8,JournalActions[Action],$E$2,JournalActions[Mi-temps],F$3))</f>
        <v/>
      </c>
      <c r="G8" s="100" t="str">
        <f>IF(COUNTIFS(JournalActions[Joueur],$B8,JournalActions[Action],$G$2,JournalActions[Mi-temps],G$3)=0,"",COUNTIFS(JournalActions[Joueur],$B8,JournalActions[Action],$G$2,JournalActions[Mi-temps],G$3))</f>
        <v/>
      </c>
      <c r="H8" s="101" t="str">
        <f>IF(COUNTIFS(JournalActions[Joueur],$B8,JournalActions[Action],$G$2,JournalActions[Mi-temps],H$3)=0,"",COUNTIFS(JournalActions[Joueur],$B8,JournalActions[Action],$G$2,JournalActions[Mi-temps],H$3))</f>
        <v/>
      </c>
      <c r="I8" t="str">
        <f>IF(COUNTIFS(JournalActions[Joueur],$B8,JournalActions[Action],$I$2,JournalActions[Mi-temps],I$3)=0,"",COUNTIFS(JournalActions[Joueur],$B8,JournalActions[Action],$I$2,JournalActions[Mi-temps],I$3))</f>
        <v/>
      </c>
      <c r="J8" t="str">
        <f>IF(COUNTIFS(JournalActions[Joueur],$B8,JournalActions[Action],$I$2,JournalActions[Mi-temps],J$3)=0,"",COUNTIFS(JournalActions[Joueur],$B8,JournalActions[Action],$I$2,JournalActions[Mi-temps],J$3))</f>
        <v/>
      </c>
      <c r="K8" s="100" t="str">
        <f>IF(COUNTIFS(JournalActions[Joueur],$B8,JournalActions[Action],$K$2,JournalActions[Mi-temps],K$3)=0,"",COUNTIFS(JournalActions[Joueur],$B8,JournalActions[Action],$K$2,JournalActions[Mi-temps],K$3))</f>
        <v/>
      </c>
      <c r="L8" t="str">
        <f>IF(COUNTIFS(JournalActions[Joueur],$B8,JournalActions[Action],$K$2,JournalActions[Mi-temps],L$3)=0,"",COUNTIFS(JournalActions[Joueur],$B8,JournalActions[Action],$K$2,JournalActions[Mi-temps],L$3))</f>
        <v/>
      </c>
      <c r="M8" s="100" t="str">
        <f>IF(COUNTIFS(JournalActions[Joueur],$B8,JournalActions[Action],$M$2,JournalActions[Mi-temps],M$3)=0,"",COUNTIFS(JournalActions[Joueur],$B8,JournalActions[Action],$M$2,JournalActions[Mi-temps],M$3))</f>
        <v/>
      </c>
      <c r="N8" s="101" t="str">
        <f>IF(COUNTIFS(JournalActions[Joueur],$B8,JournalActions[Action],$M$2,JournalActions[Mi-temps],N$3)=0,"",COUNTIFS(JournalActions[Joueur],$B8,JournalActions[Action],$M$2,JournalActions[Mi-temps],N$3))</f>
        <v/>
      </c>
    </row>
    <row r="9" spans="2:14">
      <c r="B9" s="100" t="str">
        <v>BAYLE Jean</v>
      </c>
      <c r="C9" s="100" t="str">
        <f>IF(COUNTIFS(JournalActions[Joueur],$B9,JournalActions[Action],$C$2,JournalActions[Mi-temps],C$3)=0,"",COUNTIFS(JournalActions[Joueur],$B9,JournalActions[Action],$C$2,JournalActions[Mi-temps],C$3))</f>
        <v/>
      </c>
      <c r="D9" s="101" t="str">
        <f>IF(COUNTIFS(JournalActions[Joueur],$B9,JournalActions[Action],$C$2,JournalActions[Mi-temps],D$3)=0,"",COUNTIFS(JournalActions[Joueur],$B9,JournalActions[Action],$C$2,JournalActions[Mi-temps],D$3))</f>
        <v/>
      </c>
      <c r="E9" t="str">
        <f>IF(COUNTIFS(JournalActions[Joueur],$B9,JournalActions[Action],$E$2,JournalActions[Mi-temps],E$3)=0,"",COUNTIFS(JournalActions[Joueur],$B9,JournalActions[Action],$E$2,JournalActions[Mi-temps],E$3))</f>
        <v/>
      </c>
      <c r="F9" t="str">
        <f>IF(COUNTIFS(JournalActions[Joueur],$B9,JournalActions[Action],$E$2,JournalActions[Mi-temps],F$3)=0,"",COUNTIFS(JournalActions[Joueur],$B9,JournalActions[Action],$E$2,JournalActions[Mi-temps],F$3))</f>
        <v/>
      </c>
      <c r="G9" s="100" t="str">
        <f>IF(COUNTIFS(JournalActions[Joueur],$B9,JournalActions[Action],$G$2,JournalActions[Mi-temps],G$3)=0,"",COUNTIFS(JournalActions[Joueur],$B9,JournalActions[Action],$G$2,JournalActions[Mi-temps],G$3))</f>
        <v/>
      </c>
      <c r="H9" s="101" t="str">
        <f>IF(COUNTIFS(JournalActions[Joueur],$B9,JournalActions[Action],$G$2,JournalActions[Mi-temps],H$3)=0,"",COUNTIFS(JournalActions[Joueur],$B9,JournalActions[Action],$G$2,JournalActions[Mi-temps],H$3))</f>
        <v/>
      </c>
      <c r="I9" t="str">
        <f>IF(COUNTIFS(JournalActions[Joueur],$B9,JournalActions[Action],$I$2,JournalActions[Mi-temps],I$3)=0,"",COUNTIFS(JournalActions[Joueur],$B9,JournalActions[Action],$I$2,JournalActions[Mi-temps],I$3))</f>
        <v/>
      </c>
      <c r="J9" t="str">
        <f>IF(COUNTIFS(JournalActions[Joueur],$B9,JournalActions[Action],$I$2,JournalActions[Mi-temps],J$3)=0,"",COUNTIFS(JournalActions[Joueur],$B9,JournalActions[Action],$I$2,JournalActions[Mi-temps],J$3))</f>
        <v/>
      </c>
      <c r="K9" s="100" t="str">
        <f>IF(COUNTIFS(JournalActions[Joueur],$B9,JournalActions[Action],$K$2,JournalActions[Mi-temps],K$3)=0,"",COUNTIFS(JournalActions[Joueur],$B9,JournalActions[Action],$K$2,JournalActions[Mi-temps],K$3))</f>
        <v/>
      </c>
      <c r="L9" t="str">
        <f>IF(COUNTIFS(JournalActions[Joueur],$B9,JournalActions[Action],$K$2,JournalActions[Mi-temps],L$3)=0,"",COUNTIFS(JournalActions[Joueur],$B9,JournalActions[Action],$K$2,JournalActions[Mi-temps],L$3))</f>
        <v/>
      </c>
      <c r="M9" s="100" t="str">
        <f>IF(COUNTIFS(JournalActions[Joueur],$B9,JournalActions[Action],$M$2,JournalActions[Mi-temps],M$3)=0,"",COUNTIFS(JournalActions[Joueur],$B9,JournalActions[Action],$M$2,JournalActions[Mi-temps],M$3))</f>
        <v/>
      </c>
      <c r="N9" s="101" t="str">
        <f>IF(COUNTIFS(JournalActions[Joueur],$B9,JournalActions[Action],$M$2,JournalActions[Mi-temps],N$3)=0,"",COUNTIFS(JournalActions[Joueur],$B9,JournalActions[Action],$M$2,JournalActions[Mi-temps],N$3))</f>
        <v/>
      </c>
    </row>
    <row r="10" spans="2:14">
      <c r="B10" s="100" t="str">
        <v>BOURREC Anthony</v>
      </c>
      <c r="C10" s="100" t="str">
        <f>IF(COUNTIFS(JournalActions[Joueur],$B10,JournalActions[Action],$C$2,JournalActions[Mi-temps],C$3)=0,"",COUNTIFS(JournalActions[Joueur],$B10,JournalActions[Action],$C$2,JournalActions[Mi-temps],C$3))</f>
        <v/>
      </c>
      <c r="D10" s="101" t="str">
        <f>IF(COUNTIFS(JournalActions[Joueur],$B10,JournalActions[Action],$C$2,JournalActions[Mi-temps],D$3)=0,"",COUNTIFS(JournalActions[Joueur],$B10,JournalActions[Action],$C$2,JournalActions[Mi-temps],D$3))</f>
        <v/>
      </c>
      <c r="E10" t="str">
        <f>IF(COUNTIFS(JournalActions[Joueur],$B10,JournalActions[Action],$E$2,JournalActions[Mi-temps],E$3)=0,"",COUNTIFS(JournalActions[Joueur],$B10,JournalActions[Action],$E$2,JournalActions[Mi-temps],E$3))</f>
        <v/>
      </c>
      <c r="F10" t="str">
        <f>IF(COUNTIFS(JournalActions[Joueur],$B10,JournalActions[Action],$E$2,JournalActions[Mi-temps],F$3)=0,"",COUNTIFS(JournalActions[Joueur],$B10,JournalActions[Action],$E$2,JournalActions[Mi-temps],F$3))</f>
        <v/>
      </c>
      <c r="G10" s="100" t="str">
        <f>IF(COUNTIFS(JournalActions[Joueur],$B10,JournalActions[Action],$G$2,JournalActions[Mi-temps],G$3)=0,"",COUNTIFS(JournalActions[Joueur],$B10,JournalActions[Action],$G$2,JournalActions[Mi-temps],G$3))</f>
        <v/>
      </c>
      <c r="H10" s="101" t="str">
        <f>IF(COUNTIFS(JournalActions[Joueur],$B10,JournalActions[Action],$G$2,JournalActions[Mi-temps],H$3)=0,"",COUNTIFS(JournalActions[Joueur],$B10,JournalActions[Action],$G$2,JournalActions[Mi-temps],H$3))</f>
        <v/>
      </c>
      <c r="I10" t="str">
        <f>IF(COUNTIFS(JournalActions[Joueur],$B10,JournalActions[Action],$I$2,JournalActions[Mi-temps],I$3)=0,"",COUNTIFS(JournalActions[Joueur],$B10,JournalActions[Action],$I$2,JournalActions[Mi-temps],I$3))</f>
        <v/>
      </c>
      <c r="J10" t="str">
        <f>IF(COUNTIFS(JournalActions[Joueur],$B10,JournalActions[Action],$I$2,JournalActions[Mi-temps],J$3)=0,"",COUNTIFS(JournalActions[Joueur],$B10,JournalActions[Action],$I$2,JournalActions[Mi-temps],J$3))</f>
        <v/>
      </c>
      <c r="K10" s="100" t="str">
        <f>IF(COUNTIFS(JournalActions[Joueur],$B10,JournalActions[Action],$K$2,JournalActions[Mi-temps],K$3)=0,"",COUNTIFS(JournalActions[Joueur],$B10,JournalActions[Action],$K$2,JournalActions[Mi-temps],K$3))</f>
        <v/>
      </c>
      <c r="L10" t="str">
        <f>IF(COUNTIFS(JournalActions[Joueur],$B10,JournalActions[Action],$K$2,JournalActions[Mi-temps],L$3)=0,"",COUNTIFS(JournalActions[Joueur],$B10,JournalActions[Action],$K$2,JournalActions[Mi-temps],L$3))</f>
        <v/>
      </c>
      <c r="M10" s="100" t="str">
        <f>IF(COUNTIFS(JournalActions[Joueur],$B10,JournalActions[Action],$M$2,JournalActions[Mi-temps],M$3)=0,"",COUNTIFS(JournalActions[Joueur],$B10,JournalActions[Action],$M$2,JournalActions[Mi-temps],M$3))</f>
        <v/>
      </c>
      <c r="N10" s="101" t="str">
        <f>IF(COUNTIFS(JournalActions[Joueur],$B10,JournalActions[Action],$M$2,JournalActions[Mi-temps],N$3)=0,"",COUNTIFS(JournalActions[Joueur],$B10,JournalActions[Action],$M$2,JournalActions[Mi-temps],N$3))</f>
        <v/>
      </c>
    </row>
    <row r="11" spans="2:14">
      <c r="B11" s="100" t="str">
        <v>CASTERA Tom</v>
      </c>
      <c r="C11" s="100" t="str">
        <f>IF(COUNTIFS(JournalActions[Joueur],$B11,JournalActions[Action],$C$2,JournalActions[Mi-temps],C$3)=0,"",COUNTIFS(JournalActions[Joueur],$B11,JournalActions[Action],$C$2,JournalActions[Mi-temps],C$3))</f>
        <v/>
      </c>
      <c r="D11" s="101" t="str">
        <f>IF(COUNTIFS(JournalActions[Joueur],$B11,JournalActions[Action],$C$2,JournalActions[Mi-temps],D$3)=0,"",COUNTIFS(JournalActions[Joueur],$B11,JournalActions[Action],$C$2,JournalActions[Mi-temps],D$3))</f>
        <v/>
      </c>
      <c r="E11" t="str">
        <f>IF(COUNTIFS(JournalActions[Joueur],$B11,JournalActions[Action],$E$2,JournalActions[Mi-temps],E$3)=0,"",COUNTIFS(JournalActions[Joueur],$B11,JournalActions[Action],$E$2,JournalActions[Mi-temps],E$3))</f>
        <v/>
      </c>
      <c r="F11" t="str">
        <f>IF(COUNTIFS(JournalActions[Joueur],$B11,JournalActions[Action],$E$2,JournalActions[Mi-temps],F$3)=0,"",COUNTIFS(JournalActions[Joueur],$B11,JournalActions[Action],$E$2,JournalActions[Mi-temps],F$3))</f>
        <v/>
      </c>
      <c r="G11" s="100" t="str">
        <f>IF(COUNTIFS(JournalActions[Joueur],$B11,JournalActions[Action],$G$2,JournalActions[Mi-temps],G$3)=0,"",COUNTIFS(JournalActions[Joueur],$B11,JournalActions[Action],$G$2,JournalActions[Mi-temps],G$3))</f>
        <v/>
      </c>
      <c r="H11" s="101" t="str">
        <f>IF(COUNTIFS(JournalActions[Joueur],$B11,JournalActions[Action],$G$2,JournalActions[Mi-temps],H$3)=0,"",COUNTIFS(JournalActions[Joueur],$B11,JournalActions[Action],$G$2,JournalActions[Mi-temps],H$3))</f>
        <v/>
      </c>
      <c r="I11" t="str">
        <f>IF(COUNTIFS(JournalActions[Joueur],$B11,JournalActions[Action],$I$2,JournalActions[Mi-temps],I$3)=0,"",COUNTIFS(JournalActions[Joueur],$B11,JournalActions[Action],$I$2,JournalActions[Mi-temps],I$3))</f>
        <v/>
      </c>
      <c r="J11" t="str">
        <f>IF(COUNTIFS(JournalActions[Joueur],$B11,JournalActions[Action],$I$2,JournalActions[Mi-temps],J$3)=0,"",COUNTIFS(JournalActions[Joueur],$B11,JournalActions[Action],$I$2,JournalActions[Mi-temps],J$3))</f>
        <v/>
      </c>
      <c r="K11" s="100" t="str">
        <f>IF(COUNTIFS(JournalActions[Joueur],$B11,JournalActions[Action],$K$2,JournalActions[Mi-temps],K$3)=0,"",COUNTIFS(JournalActions[Joueur],$B11,JournalActions[Action],$K$2,JournalActions[Mi-temps],K$3))</f>
        <v/>
      </c>
      <c r="L11" t="str">
        <f>IF(COUNTIFS(JournalActions[Joueur],$B11,JournalActions[Action],$K$2,JournalActions[Mi-temps],L$3)=0,"",COUNTIFS(JournalActions[Joueur],$B11,JournalActions[Action],$K$2,JournalActions[Mi-temps],L$3))</f>
        <v/>
      </c>
      <c r="M11" s="100" t="str">
        <f>IF(COUNTIFS(JournalActions[Joueur],$B11,JournalActions[Action],$M$2,JournalActions[Mi-temps],M$3)=0,"",COUNTIFS(JournalActions[Joueur],$B11,JournalActions[Action],$M$2,JournalActions[Mi-temps],M$3))</f>
        <v/>
      </c>
      <c r="N11" s="101" t="str">
        <f>IF(COUNTIFS(JournalActions[Joueur],$B11,JournalActions[Action],$M$2,JournalActions[Mi-temps],N$3)=0,"",COUNTIFS(JournalActions[Joueur],$B11,JournalActions[Action],$M$2,JournalActions[Mi-temps],N$3))</f>
        <v/>
      </c>
    </row>
    <row r="12" spans="2:14">
      <c r="B12" s="100" t="str">
        <v>DALLA ROSA Jonah</v>
      </c>
      <c r="C12" s="100" t="str">
        <f>IF(COUNTIFS(JournalActions[Joueur],$B12,JournalActions[Action],$C$2,JournalActions[Mi-temps],C$3)=0,"",COUNTIFS(JournalActions[Joueur],$B12,JournalActions[Action],$C$2,JournalActions[Mi-temps],C$3))</f>
        <v/>
      </c>
      <c r="D12" s="101" t="str">
        <f>IF(COUNTIFS(JournalActions[Joueur],$B12,JournalActions[Action],$C$2,JournalActions[Mi-temps],D$3)=0,"",COUNTIFS(JournalActions[Joueur],$B12,JournalActions[Action],$C$2,JournalActions[Mi-temps],D$3))</f>
        <v/>
      </c>
      <c r="E12" t="str">
        <f>IF(COUNTIFS(JournalActions[Joueur],$B12,JournalActions[Action],$E$2,JournalActions[Mi-temps],E$3)=0,"",COUNTIFS(JournalActions[Joueur],$B12,JournalActions[Action],$E$2,JournalActions[Mi-temps],E$3))</f>
        <v/>
      </c>
      <c r="F12" t="str">
        <f>IF(COUNTIFS(JournalActions[Joueur],$B12,JournalActions[Action],$E$2,JournalActions[Mi-temps],F$3)=0,"",COUNTIFS(JournalActions[Joueur],$B12,JournalActions[Action],$E$2,JournalActions[Mi-temps],F$3))</f>
        <v/>
      </c>
      <c r="G12" s="100" t="str">
        <f>IF(COUNTIFS(JournalActions[Joueur],$B12,JournalActions[Action],$G$2,JournalActions[Mi-temps],G$3)=0,"",COUNTIFS(JournalActions[Joueur],$B12,JournalActions[Action],$G$2,JournalActions[Mi-temps],G$3))</f>
        <v/>
      </c>
      <c r="H12" s="101" t="str">
        <f>IF(COUNTIFS(JournalActions[Joueur],$B12,JournalActions[Action],$G$2,JournalActions[Mi-temps],H$3)=0,"",COUNTIFS(JournalActions[Joueur],$B12,JournalActions[Action],$G$2,JournalActions[Mi-temps],H$3))</f>
        <v/>
      </c>
      <c r="I12" t="str">
        <f>IF(COUNTIFS(JournalActions[Joueur],$B12,JournalActions[Action],$I$2,JournalActions[Mi-temps],I$3)=0,"",COUNTIFS(JournalActions[Joueur],$B12,JournalActions[Action],$I$2,JournalActions[Mi-temps],I$3))</f>
        <v/>
      </c>
      <c r="J12" t="str">
        <f>IF(COUNTIFS(JournalActions[Joueur],$B12,JournalActions[Action],$I$2,JournalActions[Mi-temps],J$3)=0,"",COUNTIFS(JournalActions[Joueur],$B12,JournalActions[Action],$I$2,JournalActions[Mi-temps],J$3))</f>
        <v/>
      </c>
      <c r="K12" s="100" t="str">
        <f>IF(COUNTIFS(JournalActions[Joueur],$B12,JournalActions[Action],$K$2,JournalActions[Mi-temps],K$3)=0,"",COUNTIFS(JournalActions[Joueur],$B12,JournalActions[Action],$K$2,JournalActions[Mi-temps],K$3))</f>
        <v/>
      </c>
      <c r="L12" t="str">
        <f>IF(COUNTIFS(JournalActions[Joueur],$B12,JournalActions[Action],$K$2,JournalActions[Mi-temps],L$3)=0,"",COUNTIFS(JournalActions[Joueur],$B12,JournalActions[Action],$K$2,JournalActions[Mi-temps],L$3))</f>
        <v/>
      </c>
      <c r="M12" s="100" t="str">
        <f>IF(COUNTIFS(JournalActions[Joueur],$B12,JournalActions[Action],$M$2,JournalActions[Mi-temps],M$3)=0,"",COUNTIFS(JournalActions[Joueur],$B12,JournalActions[Action],$M$2,JournalActions[Mi-temps],M$3))</f>
        <v/>
      </c>
      <c r="N12" s="101" t="str">
        <f>IF(COUNTIFS(JournalActions[Joueur],$B12,JournalActions[Action],$M$2,JournalActions[Mi-temps],N$3)=0,"",COUNTIFS(JournalActions[Joueur],$B12,JournalActions[Action],$M$2,JournalActions[Mi-temps],N$3))</f>
        <v/>
      </c>
    </row>
    <row r="13" spans="2:14">
      <c r="B13" s="100" t="str">
        <v>DASTUGUE Thomas</v>
      </c>
      <c r="C13" s="100" t="str">
        <f>IF(COUNTIFS(JournalActions[Joueur],$B13,JournalActions[Action],$C$2,JournalActions[Mi-temps],C$3)=0,"",COUNTIFS(JournalActions[Joueur],$B13,JournalActions[Action],$C$2,JournalActions[Mi-temps],C$3))</f>
        <v/>
      </c>
      <c r="D13" s="101" t="str">
        <f>IF(COUNTIFS(JournalActions[Joueur],$B13,JournalActions[Action],$C$2,JournalActions[Mi-temps],D$3)=0,"",COUNTIFS(JournalActions[Joueur],$B13,JournalActions[Action],$C$2,JournalActions[Mi-temps],D$3))</f>
        <v/>
      </c>
      <c r="E13" t="str">
        <f>IF(COUNTIFS(JournalActions[Joueur],$B13,JournalActions[Action],$E$2,JournalActions[Mi-temps],E$3)=0,"",COUNTIFS(JournalActions[Joueur],$B13,JournalActions[Action],$E$2,JournalActions[Mi-temps],E$3))</f>
        <v/>
      </c>
      <c r="F13" t="str">
        <f>IF(COUNTIFS(JournalActions[Joueur],$B13,JournalActions[Action],$E$2,JournalActions[Mi-temps],F$3)=0,"",COUNTIFS(JournalActions[Joueur],$B13,JournalActions[Action],$E$2,JournalActions[Mi-temps],F$3))</f>
        <v/>
      </c>
      <c r="G13" s="100" t="str">
        <f>IF(COUNTIFS(JournalActions[Joueur],$B13,JournalActions[Action],$G$2,JournalActions[Mi-temps],G$3)=0,"",COUNTIFS(JournalActions[Joueur],$B13,JournalActions[Action],$G$2,JournalActions[Mi-temps],G$3))</f>
        <v/>
      </c>
      <c r="H13" s="101" t="str">
        <f>IF(COUNTIFS(JournalActions[Joueur],$B13,JournalActions[Action],$G$2,JournalActions[Mi-temps],H$3)=0,"",COUNTIFS(JournalActions[Joueur],$B13,JournalActions[Action],$G$2,JournalActions[Mi-temps],H$3))</f>
        <v/>
      </c>
      <c r="I13" t="str">
        <f>IF(COUNTIFS(JournalActions[Joueur],$B13,JournalActions[Action],$I$2,JournalActions[Mi-temps],I$3)=0,"",COUNTIFS(JournalActions[Joueur],$B13,JournalActions[Action],$I$2,JournalActions[Mi-temps],I$3))</f>
        <v/>
      </c>
      <c r="J13" t="str">
        <f>IF(COUNTIFS(JournalActions[Joueur],$B13,JournalActions[Action],$I$2,JournalActions[Mi-temps],J$3)=0,"",COUNTIFS(JournalActions[Joueur],$B13,JournalActions[Action],$I$2,JournalActions[Mi-temps],J$3))</f>
        <v/>
      </c>
      <c r="K13" s="100" t="str">
        <f>IF(COUNTIFS(JournalActions[Joueur],$B13,JournalActions[Action],$K$2,JournalActions[Mi-temps],K$3)=0,"",COUNTIFS(JournalActions[Joueur],$B13,JournalActions[Action],$K$2,JournalActions[Mi-temps],K$3))</f>
        <v/>
      </c>
      <c r="L13" t="str">
        <f>IF(COUNTIFS(JournalActions[Joueur],$B13,JournalActions[Action],$K$2,JournalActions[Mi-temps],L$3)=0,"",COUNTIFS(JournalActions[Joueur],$B13,JournalActions[Action],$K$2,JournalActions[Mi-temps],L$3))</f>
        <v/>
      </c>
      <c r="M13" s="100" t="str">
        <f>IF(COUNTIFS(JournalActions[Joueur],$B13,JournalActions[Action],$M$2,JournalActions[Mi-temps],M$3)=0,"",COUNTIFS(JournalActions[Joueur],$B13,JournalActions[Action],$M$2,JournalActions[Mi-temps],M$3))</f>
        <v/>
      </c>
      <c r="N13" s="101" t="str">
        <f>IF(COUNTIFS(JournalActions[Joueur],$B13,JournalActions[Action],$M$2,JournalActions[Mi-temps],N$3)=0,"",COUNTIFS(JournalActions[Joueur],$B13,JournalActions[Action],$M$2,JournalActions[Mi-temps],N$3))</f>
        <v/>
      </c>
    </row>
    <row r="14" spans="2:14">
      <c r="B14" s="100" t="str">
        <v>FAULONG Marius</v>
      </c>
      <c r="C14" s="100" t="str">
        <f>IF(COUNTIFS(JournalActions[Joueur],$B14,JournalActions[Action],$C$2,JournalActions[Mi-temps],C$3)=0,"",COUNTIFS(JournalActions[Joueur],$B14,JournalActions[Action],$C$2,JournalActions[Mi-temps],C$3))</f>
        <v/>
      </c>
      <c r="D14" s="101" t="str">
        <f>IF(COUNTIFS(JournalActions[Joueur],$B14,JournalActions[Action],$C$2,JournalActions[Mi-temps],D$3)=0,"",COUNTIFS(JournalActions[Joueur],$B14,JournalActions[Action],$C$2,JournalActions[Mi-temps],D$3))</f>
        <v/>
      </c>
      <c r="E14" t="str">
        <f>IF(COUNTIFS(JournalActions[Joueur],$B14,JournalActions[Action],$E$2,JournalActions[Mi-temps],E$3)=0,"",COUNTIFS(JournalActions[Joueur],$B14,JournalActions[Action],$E$2,JournalActions[Mi-temps],E$3))</f>
        <v/>
      </c>
      <c r="F14" t="str">
        <f>IF(COUNTIFS(JournalActions[Joueur],$B14,JournalActions[Action],$E$2,JournalActions[Mi-temps],F$3)=0,"",COUNTIFS(JournalActions[Joueur],$B14,JournalActions[Action],$E$2,JournalActions[Mi-temps],F$3))</f>
        <v/>
      </c>
      <c r="G14" s="100" t="str">
        <f>IF(COUNTIFS(JournalActions[Joueur],$B14,JournalActions[Action],$G$2,JournalActions[Mi-temps],G$3)=0,"",COUNTIFS(JournalActions[Joueur],$B14,JournalActions[Action],$G$2,JournalActions[Mi-temps],G$3))</f>
        <v/>
      </c>
      <c r="H14" s="101" t="str">
        <f>IF(COUNTIFS(JournalActions[Joueur],$B14,JournalActions[Action],$G$2,JournalActions[Mi-temps],H$3)=0,"",COUNTIFS(JournalActions[Joueur],$B14,JournalActions[Action],$G$2,JournalActions[Mi-temps],H$3))</f>
        <v/>
      </c>
      <c r="I14" t="str">
        <f>IF(COUNTIFS(JournalActions[Joueur],$B14,JournalActions[Action],$I$2,JournalActions[Mi-temps],I$3)=0,"",COUNTIFS(JournalActions[Joueur],$B14,JournalActions[Action],$I$2,JournalActions[Mi-temps],I$3))</f>
        <v/>
      </c>
      <c r="J14" t="str">
        <f>IF(COUNTIFS(JournalActions[Joueur],$B14,JournalActions[Action],$I$2,JournalActions[Mi-temps],J$3)=0,"",COUNTIFS(JournalActions[Joueur],$B14,JournalActions[Action],$I$2,JournalActions[Mi-temps],J$3))</f>
        <v/>
      </c>
      <c r="K14" s="100" t="str">
        <f>IF(COUNTIFS(JournalActions[Joueur],$B14,JournalActions[Action],$K$2,JournalActions[Mi-temps],K$3)=0,"",COUNTIFS(JournalActions[Joueur],$B14,JournalActions[Action],$K$2,JournalActions[Mi-temps],K$3))</f>
        <v/>
      </c>
      <c r="L14" t="str">
        <f>IF(COUNTIFS(JournalActions[Joueur],$B14,JournalActions[Action],$K$2,JournalActions[Mi-temps],L$3)=0,"",COUNTIFS(JournalActions[Joueur],$B14,JournalActions[Action],$K$2,JournalActions[Mi-temps],L$3))</f>
        <v/>
      </c>
      <c r="M14" s="100" t="str">
        <f>IF(COUNTIFS(JournalActions[Joueur],$B14,JournalActions[Action],$M$2,JournalActions[Mi-temps],M$3)=0,"",COUNTIFS(JournalActions[Joueur],$B14,JournalActions[Action],$M$2,JournalActions[Mi-temps],M$3))</f>
        <v/>
      </c>
      <c r="N14" s="101" t="str">
        <f>IF(COUNTIFS(JournalActions[Joueur],$B14,JournalActions[Action],$M$2,JournalActions[Mi-temps],N$3)=0,"",COUNTIFS(JournalActions[Joueur],$B14,JournalActions[Action],$M$2,JournalActions[Mi-temps],N$3))</f>
        <v/>
      </c>
    </row>
    <row r="15" spans="2:14">
      <c r="B15" s="100" t="str">
        <v>JOUNAUX Joris</v>
      </c>
      <c r="C15" s="100" t="str">
        <f>IF(COUNTIFS(JournalActions[Joueur],$B15,JournalActions[Action],$C$2,JournalActions[Mi-temps],C$3)=0,"",COUNTIFS(JournalActions[Joueur],$B15,JournalActions[Action],$C$2,JournalActions[Mi-temps],C$3))</f>
        <v/>
      </c>
      <c r="D15" s="101" t="str">
        <f>IF(COUNTIFS(JournalActions[Joueur],$B15,JournalActions[Action],$C$2,JournalActions[Mi-temps],D$3)=0,"",COUNTIFS(JournalActions[Joueur],$B15,JournalActions[Action],$C$2,JournalActions[Mi-temps],D$3))</f>
        <v/>
      </c>
      <c r="E15" t="str">
        <f>IF(COUNTIFS(JournalActions[Joueur],$B15,JournalActions[Action],$E$2,JournalActions[Mi-temps],E$3)=0,"",COUNTIFS(JournalActions[Joueur],$B15,JournalActions[Action],$E$2,JournalActions[Mi-temps],E$3))</f>
        <v/>
      </c>
      <c r="F15" t="str">
        <f>IF(COUNTIFS(JournalActions[Joueur],$B15,JournalActions[Action],$E$2,JournalActions[Mi-temps],F$3)=0,"",COUNTIFS(JournalActions[Joueur],$B15,JournalActions[Action],$E$2,JournalActions[Mi-temps],F$3))</f>
        <v/>
      </c>
      <c r="G15" s="100" t="str">
        <f>IF(COUNTIFS(JournalActions[Joueur],$B15,JournalActions[Action],$G$2,JournalActions[Mi-temps],G$3)=0,"",COUNTIFS(JournalActions[Joueur],$B15,JournalActions[Action],$G$2,JournalActions[Mi-temps],G$3))</f>
        <v/>
      </c>
      <c r="H15" s="101" t="str">
        <f>IF(COUNTIFS(JournalActions[Joueur],$B15,JournalActions[Action],$G$2,JournalActions[Mi-temps],H$3)=0,"",COUNTIFS(JournalActions[Joueur],$B15,JournalActions[Action],$G$2,JournalActions[Mi-temps],H$3))</f>
        <v/>
      </c>
      <c r="I15" t="str">
        <f>IF(COUNTIFS(JournalActions[Joueur],$B15,JournalActions[Action],$I$2,JournalActions[Mi-temps],I$3)=0,"",COUNTIFS(JournalActions[Joueur],$B15,JournalActions[Action],$I$2,JournalActions[Mi-temps],I$3))</f>
        <v/>
      </c>
      <c r="J15" t="str">
        <f>IF(COUNTIFS(JournalActions[Joueur],$B15,JournalActions[Action],$I$2,JournalActions[Mi-temps],J$3)=0,"",COUNTIFS(JournalActions[Joueur],$B15,JournalActions[Action],$I$2,JournalActions[Mi-temps],J$3))</f>
        <v/>
      </c>
      <c r="K15" s="100" t="str">
        <f>IF(COUNTIFS(JournalActions[Joueur],$B15,JournalActions[Action],$K$2,JournalActions[Mi-temps],K$3)=0,"",COUNTIFS(JournalActions[Joueur],$B15,JournalActions[Action],$K$2,JournalActions[Mi-temps],K$3))</f>
        <v/>
      </c>
      <c r="L15" t="str">
        <f>IF(COUNTIFS(JournalActions[Joueur],$B15,JournalActions[Action],$K$2,JournalActions[Mi-temps],L$3)=0,"",COUNTIFS(JournalActions[Joueur],$B15,JournalActions[Action],$K$2,JournalActions[Mi-temps],L$3))</f>
        <v/>
      </c>
      <c r="M15" s="100" t="str">
        <f>IF(COUNTIFS(JournalActions[Joueur],$B15,JournalActions[Action],$M$2,JournalActions[Mi-temps],M$3)=0,"",COUNTIFS(JournalActions[Joueur],$B15,JournalActions[Action],$M$2,JournalActions[Mi-temps],M$3))</f>
        <v/>
      </c>
      <c r="N15" s="101" t="str">
        <f>IF(COUNTIFS(JournalActions[Joueur],$B15,JournalActions[Action],$M$2,JournalActions[Mi-temps],N$3)=0,"",COUNTIFS(JournalActions[Joueur],$B15,JournalActions[Action],$M$2,JournalActions[Mi-temps],N$3))</f>
        <v/>
      </c>
    </row>
    <row r="16" spans="2:14">
      <c r="B16" s="100" t="str">
        <v>KAPFER Bastien</v>
      </c>
      <c r="C16" s="100" t="str">
        <f>IF(COUNTIFS(JournalActions[Joueur],$B16,JournalActions[Action],$C$2,JournalActions[Mi-temps],C$3)=0,"",COUNTIFS(JournalActions[Joueur],$B16,JournalActions[Action],$C$2,JournalActions[Mi-temps],C$3))</f>
        <v/>
      </c>
      <c r="D16" s="101" t="str">
        <f>IF(COUNTIFS(JournalActions[Joueur],$B16,JournalActions[Action],$C$2,JournalActions[Mi-temps],D$3)=0,"",COUNTIFS(JournalActions[Joueur],$B16,JournalActions[Action],$C$2,JournalActions[Mi-temps],D$3))</f>
        <v/>
      </c>
      <c r="E16" t="str">
        <f>IF(COUNTIFS(JournalActions[Joueur],$B16,JournalActions[Action],$E$2,JournalActions[Mi-temps],E$3)=0,"",COUNTIFS(JournalActions[Joueur],$B16,JournalActions[Action],$E$2,JournalActions[Mi-temps],E$3))</f>
        <v/>
      </c>
      <c r="F16" t="str">
        <f>IF(COUNTIFS(JournalActions[Joueur],$B16,JournalActions[Action],$E$2,JournalActions[Mi-temps],F$3)=0,"",COUNTIFS(JournalActions[Joueur],$B16,JournalActions[Action],$E$2,JournalActions[Mi-temps],F$3))</f>
        <v/>
      </c>
      <c r="G16" s="100" t="str">
        <f>IF(COUNTIFS(JournalActions[Joueur],$B16,JournalActions[Action],$G$2,JournalActions[Mi-temps],G$3)=0,"",COUNTIFS(JournalActions[Joueur],$B16,JournalActions[Action],$G$2,JournalActions[Mi-temps],G$3))</f>
        <v/>
      </c>
      <c r="H16" s="101" t="str">
        <f>IF(COUNTIFS(JournalActions[Joueur],$B16,JournalActions[Action],$G$2,JournalActions[Mi-temps],H$3)=0,"",COUNTIFS(JournalActions[Joueur],$B16,JournalActions[Action],$G$2,JournalActions[Mi-temps],H$3))</f>
        <v/>
      </c>
      <c r="I16" t="str">
        <f>IF(COUNTIFS(JournalActions[Joueur],$B16,JournalActions[Action],$I$2,JournalActions[Mi-temps],I$3)=0,"",COUNTIFS(JournalActions[Joueur],$B16,JournalActions[Action],$I$2,JournalActions[Mi-temps],I$3))</f>
        <v/>
      </c>
      <c r="J16" t="str">
        <f>IF(COUNTIFS(JournalActions[Joueur],$B16,JournalActions[Action],$I$2,JournalActions[Mi-temps],J$3)=0,"",COUNTIFS(JournalActions[Joueur],$B16,JournalActions[Action],$I$2,JournalActions[Mi-temps],J$3))</f>
        <v/>
      </c>
      <c r="K16" s="100" t="str">
        <f>IF(COUNTIFS(JournalActions[Joueur],$B16,JournalActions[Action],$K$2,JournalActions[Mi-temps],K$3)=0,"",COUNTIFS(JournalActions[Joueur],$B16,JournalActions[Action],$K$2,JournalActions[Mi-temps],K$3))</f>
        <v/>
      </c>
      <c r="L16" t="str">
        <f>IF(COUNTIFS(JournalActions[Joueur],$B16,JournalActions[Action],$K$2,JournalActions[Mi-temps],L$3)=0,"",COUNTIFS(JournalActions[Joueur],$B16,JournalActions[Action],$K$2,JournalActions[Mi-temps],L$3))</f>
        <v/>
      </c>
      <c r="M16" s="100" t="str">
        <f>IF(COUNTIFS(JournalActions[Joueur],$B16,JournalActions[Action],$M$2,JournalActions[Mi-temps],M$3)=0,"",COUNTIFS(JournalActions[Joueur],$B16,JournalActions[Action],$M$2,JournalActions[Mi-temps],M$3))</f>
        <v/>
      </c>
      <c r="N16" s="101" t="str">
        <f>IF(COUNTIFS(JournalActions[Joueur],$B16,JournalActions[Action],$M$2,JournalActions[Mi-temps],N$3)=0,"",COUNTIFS(JournalActions[Joueur],$B16,JournalActions[Action],$M$2,JournalActions[Mi-temps],N$3))</f>
        <v/>
      </c>
    </row>
    <row r="17" spans="2:14">
      <c r="B17" s="100" t="str">
        <v>LAUDET Jean-Baptiste</v>
      </c>
      <c r="C17" s="100" t="str">
        <f>IF(COUNTIFS(JournalActions[Joueur],$B17,JournalActions[Action],$C$2,JournalActions[Mi-temps],C$3)=0,"",COUNTIFS(JournalActions[Joueur],$B17,JournalActions[Action],$C$2,JournalActions[Mi-temps],C$3))</f>
        <v/>
      </c>
      <c r="D17" s="101" t="str">
        <f>IF(COUNTIFS(JournalActions[Joueur],$B17,JournalActions[Action],$C$2,JournalActions[Mi-temps],D$3)=0,"",COUNTIFS(JournalActions[Joueur],$B17,JournalActions[Action],$C$2,JournalActions[Mi-temps],D$3))</f>
        <v/>
      </c>
      <c r="E17" t="str">
        <f>IF(COUNTIFS(JournalActions[Joueur],$B17,JournalActions[Action],$E$2,JournalActions[Mi-temps],E$3)=0,"",COUNTIFS(JournalActions[Joueur],$B17,JournalActions[Action],$E$2,JournalActions[Mi-temps],E$3))</f>
        <v/>
      </c>
      <c r="F17" t="str">
        <f>IF(COUNTIFS(JournalActions[Joueur],$B17,JournalActions[Action],$E$2,JournalActions[Mi-temps],F$3)=0,"",COUNTIFS(JournalActions[Joueur],$B17,JournalActions[Action],$E$2,JournalActions[Mi-temps],F$3))</f>
        <v/>
      </c>
      <c r="G17" s="100" t="str">
        <f>IF(COUNTIFS(JournalActions[Joueur],$B17,JournalActions[Action],$G$2,JournalActions[Mi-temps],G$3)=0,"",COUNTIFS(JournalActions[Joueur],$B17,JournalActions[Action],$G$2,JournalActions[Mi-temps],G$3))</f>
        <v/>
      </c>
      <c r="H17" s="101" t="str">
        <f>IF(COUNTIFS(JournalActions[Joueur],$B17,JournalActions[Action],$G$2,JournalActions[Mi-temps],H$3)=0,"",COUNTIFS(JournalActions[Joueur],$B17,JournalActions[Action],$G$2,JournalActions[Mi-temps],H$3))</f>
        <v/>
      </c>
      <c r="I17" t="str">
        <f>IF(COUNTIFS(JournalActions[Joueur],$B17,JournalActions[Action],$I$2,JournalActions[Mi-temps],I$3)=0,"",COUNTIFS(JournalActions[Joueur],$B17,JournalActions[Action],$I$2,JournalActions[Mi-temps],I$3))</f>
        <v/>
      </c>
      <c r="J17" t="str">
        <f>IF(COUNTIFS(JournalActions[Joueur],$B17,JournalActions[Action],$I$2,JournalActions[Mi-temps],J$3)=0,"",COUNTIFS(JournalActions[Joueur],$B17,JournalActions[Action],$I$2,JournalActions[Mi-temps],J$3))</f>
        <v/>
      </c>
      <c r="K17" s="100" t="str">
        <f>IF(COUNTIFS(JournalActions[Joueur],$B17,JournalActions[Action],$K$2,JournalActions[Mi-temps],K$3)=0,"",COUNTIFS(JournalActions[Joueur],$B17,JournalActions[Action],$K$2,JournalActions[Mi-temps],K$3))</f>
        <v/>
      </c>
      <c r="L17" t="str">
        <f>IF(COUNTIFS(JournalActions[Joueur],$B17,JournalActions[Action],$K$2,JournalActions[Mi-temps],L$3)=0,"",COUNTIFS(JournalActions[Joueur],$B17,JournalActions[Action],$K$2,JournalActions[Mi-temps],L$3))</f>
        <v/>
      </c>
      <c r="M17" s="100" t="str">
        <f>IF(COUNTIFS(JournalActions[Joueur],$B17,JournalActions[Action],$M$2,JournalActions[Mi-temps],M$3)=0,"",COUNTIFS(JournalActions[Joueur],$B17,JournalActions[Action],$M$2,JournalActions[Mi-temps],M$3))</f>
        <v/>
      </c>
      <c r="N17" s="101" t="str">
        <f>IF(COUNTIFS(JournalActions[Joueur],$B17,JournalActions[Action],$M$2,JournalActions[Mi-temps],N$3)=0,"",COUNTIFS(JournalActions[Joueur],$B17,JournalActions[Action],$M$2,JournalActions[Mi-temps],N$3))</f>
        <v/>
      </c>
    </row>
    <row r="18" spans="2:14">
      <c r="B18" s="100" t="str">
        <v>MICHELIN Paul</v>
      </c>
      <c r="C18" s="100" t="str">
        <f>IF(COUNTIFS(JournalActions[Joueur],$B18,JournalActions[Action],$C$2,JournalActions[Mi-temps],C$3)=0,"",COUNTIFS(JournalActions[Joueur],$B18,JournalActions[Action],$C$2,JournalActions[Mi-temps],C$3))</f>
        <v/>
      </c>
      <c r="D18" s="101" t="str">
        <f>IF(COUNTIFS(JournalActions[Joueur],$B18,JournalActions[Action],$C$2,JournalActions[Mi-temps],D$3)=0,"",COUNTIFS(JournalActions[Joueur],$B18,JournalActions[Action],$C$2,JournalActions[Mi-temps],D$3))</f>
        <v/>
      </c>
      <c r="E18" t="str">
        <f>IF(COUNTIFS(JournalActions[Joueur],$B18,JournalActions[Action],$E$2,JournalActions[Mi-temps],E$3)=0,"",COUNTIFS(JournalActions[Joueur],$B18,JournalActions[Action],$E$2,JournalActions[Mi-temps],E$3))</f>
        <v/>
      </c>
      <c r="F18" t="str">
        <f>IF(COUNTIFS(JournalActions[Joueur],$B18,JournalActions[Action],$E$2,JournalActions[Mi-temps],F$3)=0,"",COUNTIFS(JournalActions[Joueur],$B18,JournalActions[Action],$E$2,JournalActions[Mi-temps],F$3))</f>
        <v/>
      </c>
      <c r="G18" s="100" t="str">
        <f>IF(COUNTIFS(JournalActions[Joueur],$B18,JournalActions[Action],$G$2,JournalActions[Mi-temps],G$3)=0,"",COUNTIFS(JournalActions[Joueur],$B18,JournalActions[Action],$G$2,JournalActions[Mi-temps],G$3))</f>
        <v/>
      </c>
      <c r="H18" s="101" t="str">
        <f>IF(COUNTIFS(JournalActions[Joueur],$B18,JournalActions[Action],$G$2,JournalActions[Mi-temps],H$3)=0,"",COUNTIFS(JournalActions[Joueur],$B18,JournalActions[Action],$G$2,JournalActions[Mi-temps],H$3))</f>
        <v/>
      </c>
      <c r="I18" t="str">
        <f>IF(COUNTIFS(JournalActions[Joueur],$B18,JournalActions[Action],$I$2,JournalActions[Mi-temps],I$3)=0,"",COUNTIFS(JournalActions[Joueur],$B18,JournalActions[Action],$I$2,JournalActions[Mi-temps],I$3))</f>
        <v/>
      </c>
      <c r="J18" t="str">
        <f>IF(COUNTIFS(JournalActions[Joueur],$B18,JournalActions[Action],$I$2,JournalActions[Mi-temps],J$3)=0,"",COUNTIFS(JournalActions[Joueur],$B18,JournalActions[Action],$I$2,JournalActions[Mi-temps],J$3))</f>
        <v/>
      </c>
      <c r="K18" s="100" t="str">
        <f>IF(COUNTIFS(JournalActions[Joueur],$B18,JournalActions[Action],$K$2,JournalActions[Mi-temps],K$3)=0,"",COUNTIFS(JournalActions[Joueur],$B18,JournalActions[Action],$K$2,JournalActions[Mi-temps],K$3))</f>
        <v/>
      </c>
      <c r="L18" t="str">
        <f>IF(COUNTIFS(JournalActions[Joueur],$B18,JournalActions[Action],$K$2,JournalActions[Mi-temps],L$3)=0,"",COUNTIFS(JournalActions[Joueur],$B18,JournalActions[Action],$K$2,JournalActions[Mi-temps],L$3))</f>
        <v/>
      </c>
      <c r="M18" s="100" t="str">
        <f>IF(COUNTIFS(JournalActions[Joueur],$B18,JournalActions[Action],$M$2,JournalActions[Mi-temps],M$3)=0,"",COUNTIFS(JournalActions[Joueur],$B18,JournalActions[Action],$M$2,JournalActions[Mi-temps],M$3))</f>
        <v/>
      </c>
      <c r="N18" s="101" t="str">
        <f>IF(COUNTIFS(JournalActions[Joueur],$B18,JournalActions[Action],$M$2,JournalActions[Mi-temps],N$3)=0,"",COUNTIFS(JournalActions[Joueur],$B18,JournalActions[Action],$M$2,JournalActions[Mi-temps],N$3))</f>
        <v/>
      </c>
    </row>
    <row r="19" spans="2:14">
      <c r="B19" s="100" t="str">
        <v>MONLOR Yohan</v>
      </c>
      <c r="C19" s="100" t="str">
        <f>IF(COUNTIFS(JournalActions[Joueur],$B19,JournalActions[Action],$C$2,JournalActions[Mi-temps],C$3)=0,"",COUNTIFS(JournalActions[Joueur],$B19,JournalActions[Action],$C$2,JournalActions[Mi-temps],C$3))</f>
        <v/>
      </c>
      <c r="D19" s="101" t="str">
        <f>IF(COUNTIFS(JournalActions[Joueur],$B19,JournalActions[Action],$C$2,JournalActions[Mi-temps],D$3)=0,"",COUNTIFS(JournalActions[Joueur],$B19,JournalActions[Action],$C$2,JournalActions[Mi-temps],D$3))</f>
        <v/>
      </c>
      <c r="E19" t="str">
        <f>IF(COUNTIFS(JournalActions[Joueur],$B19,JournalActions[Action],$E$2,JournalActions[Mi-temps],E$3)=0,"",COUNTIFS(JournalActions[Joueur],$B19,JournalActions[Action],$E$2,JournalActions[Mi-temps],E$3))</f>
        <v/>
      </c>
      <c r="F19" t="str">
        <f>IF(COUNTIFS(JournalActions[Joueur],$B19,JournalActions[Action],$E$2,JournalActions[Mi-temps],F$3)=0,"",COUNTIFS(JournalActions[Joueur],$B19,JournalActions[Action],$E$2,JournalActions[Mi-temps],F$3))</f>
        <v/>
      </c>
      <c r="G19" s="100" t="str">
        <f>IF(COUNTIFS(JournalActions[Joueur],$B19,JournalActions[Action],$G$2,JournalActions[Mi-temps],G$3)=0,"",COUNTIFS(JournalActions[Joueur],$B19,JournalActions[Action],$G$2,JournalActions[Mi-temps],G$3))</f>
        <v/>
      </c>
      <c r="H19" s="101" t="str">
        <f>IF(COUNTIFS(JournalActions[Joueur],$B19,JournalActions[Action],$G$2,JournalActions[Mi-temps],H$3)=0,"",COUNTIFS(JournalActions[Joueur],$B19,JournalActions[Action],$G$2,JournalActions[Mi-temps],H$3))</f>
        <v/>
      </c>
      <c r="I19" t="str">
        <f>IF(COUNTIFS(JournalActions[Joueur],$B19,JournalActions[Action],$I$2,JournalActions[Mi-temps],I$3)=0,"",COUNTIFS(JournalActions[Joueur],$B19,JournalActions[Action],$I$2,JournalActions[Mi-temps],I$3))</f>
        <v/>
      </c>
      <c r="J19" t="str">
        <f>IF(COUNTIFS(JournalActions[Joueur],$B19,JournalActions[Action],$I$2,JournalActions[Mi-temps],J$3)=0,"",COUNTIFS(JournalActions[Joueur],$B19,JournalActions[Action],$I$2,JournalActions[Mi-temps],J$3))</f>
        <v/>
      </c>
      <c r="K19" s="100" t="str">
        <f>IF(COUNTIFS(JournalActions[Joueur],$B19,JournalActions[Action],$K$2,JournalActions[Mi-temps],K$3)=0,"",COUNTIFS(JournalActions[Joueur],$B19,JournalActions[Action],$K$2,JournalActions[Mi-temps],K$3))</f>
        <v/>
      </c>
      <c r="L19" t="str">
        <f>IF(COUNTIFS(JournalActions[Joueur],$B19,JournalActions[Action],$K$2,JournalActions[Mi-temps],L$3)=0,"",COUNTIFS(JournalActions[Joueur],$B19,JournalActions[Action],$K$2,JournalActions[Mi-temps],L$3))</f>
        <v/>
      </c>
      <c r="M19" s="100" t="str">
        <f>IF(COUNTIFS(JournalActions[Joueur],$B19,JournalActions[Action],$M$2,JournalActions[Mi-temps],M$3)=0,"",COUNTIFS(JournalActions[Joueur],$B19,JournalActions[Action],$M$2,JournalActions[Mi-temps],M$3))</f>
        <v/>
      </c>
      <c r="N19" s="101" t="str">
        <f>IF(COUNTIFS(JournalActions[Joueur],$B19,JournalActions[Action],$M$2,JournalActions[Mi-temps],N$3)=0,"",COUNTIFS(JournalActions[Joueur],$B19,JournalActions[Action],$M$2,JournalActions[Mi-temps],N$3))</f>
        <v/>
      </c>
    </row>
    <row r="20" spans="2:14">
      <c r="B20" s="100" t="str">
        <v>PIQUEMIL xx</v>
      </c>
      <c r="C20" s="100" t="str">
        <f>IF(COUNTIFS(JournalActions[Joueur],$B20,JournalActions[Action],$C$2,JournalActions[Mi-temps],C$3)=0,"",COUNTIFS(JournalActions[Joueur],$B20,JournalActions[Action],$C$2,JournalActions[Mi-temps],C$3))</f>
        <v/>
      </c>
      <c r="D20" s="101" t="str">
        <f>IF(COUNTIFS(JournalActions[Joueur],$B20,JournalActions[Action],$C$2,JournalActions[Mi-temps],D$3)=0,"",COUNTIFS(JournalActions[Joueur],$B20,JournalActions[Action],$C$2,JournalActions[Mi-temps],D$3))</f>
        <v/>
      </c>
      <c r="E20" t="str">
        <f>IF(COUNTIFS(JournalActions[Joueur],$B20,JournalActions[Action],$E$2,JournalActions[Mi-temps],E$3)=0,"",COUNTIFS(JournalActions[Joueur],$B20,JournalActions[Action],$E$2,JournalActions[Mi-temps],E$3))</f>
        <v/>
      </c>
      <c r="F20" t="str">
        <f>IF(COUNTIFS(JournalActions[Joueur],$B20,JournalActions[Action],$E$2,JournalActions[Mi-temps],F$3)=0,"",COUNTIFS(JournalActions[Joueur],$B20,JournalActions[Action],$E$2,JournalActions[Mi-temps],F$3))</f>
        <v/>
      </c>
      <c r="G20" s="100" t="str">
        <f>IF(COUNTIFS(JournalActions[Joueur],$B20,JournalActions[Action],$G$2,JournalActions[Mi-temps],G$3)=0,"",COUNTIFS(JournalActions[Joueur],$B20,JournalActions[Action],$G$2,JournalActions[Mi-temps],G$3))</f>
        <v/>
      </c>
      <c r="H20" s="101" t="str">
        <f>IF(COUNTIFS(JournalActions[Joueur],$B20,JournalActions[Action],$G$2,JournalActions[Mi-temps],H$3)=0,"",COUNTIFS(JournalActions[Joueur],$B20,JournalActions[Action],$G$2,JournalActions[Mi-temps],H$3))</f>
        <v/>
      </c>
      <c r="I20" t="str">
        <f>IF(COUNTIFS(JournalActions[Joueur],$B20,JournalActions[Action],$I$2,JournalActions[Mi-temps],I$3)=0,"",COUNTIFS(JournalActions[Joueur],$B20,JournalActions[Action],$I$2,JournalActions[Mi-temps],I$3))</f>
        <v/>
      </c>
      <c r="J20" t="str">
        <f>IF(COUNTIFS(JournalActions[Joueur],$B20,JournalActions[Action],$I$2,JournalActions[Mi-temps],J$3)=0,"",COUNTIFS(JournalActions[Joueur],$B20,JournalActions[Action],$I$2,JournalActions[Mi-temps],J$3))</f>
        <v/>
      </c>
      <c r="K20" s="100" t="str">
        <f>IF(COUNTIFS(JournalActions[Joueur],$B20,JournalActions[Action],$K$2,JournalActions[Mi-temps],K$3)=0,"",COUNTIFS(JournalActions[Joueur],$B20,JournalActions[Action],$K$2,JournalActions[Mi-temps],K$3))</f>
        <v/>
      </c>
      <c r="L20" t="str">
        <f>IF(COUNTIFS(JournalActions[Joueur],$B20,JournalActions[Action],$K$2,JournalActions[Mi-temps],L$3)=0,"",COUNTIFS(JournalActions[Joueur],$B20,JournalActions[Action],$K$2,JournalActions[Mi-temps],L$3))</f>
        <v/>
      </c>
      <c r="M20" s="100" t="str">
        <f>IF(COUNTIFS(JournalActions[Joueur],$B20,JournalActions[Action],$M$2,JournalActions[Mi-temps],M$3)=0,"",COUNTIFS(JournalActions[Joueur],$B20,JournalActions[Action],$M$2,JournalActions[Mi-temps],M$3))</f>
        <v/>
      </c>
      <c r="N20" s="101" t="str">
        <f>IF(COUNTIFS(JournalActions[Joueur],$B20,JournalActions[Action],$M$2,JournalActions[Mi-temps],N$3)=0,"",COUNTIFS(JournalActions[Joueur],$B20,JournalActions[Action],$M$2,JournalActions[Mi-temps],N$3))</f>
        <v/>
      </c>
    </row>
    <row r="21" spans="2:14">
      <c r="B21" s="100" t="str">
        <v>ROBERT Jimmy</v>
      </c>
      <c r="C21" s="100" t="str">
        <f>IF(COUNTIFS(JournalActions[Joueur],$B21,JournalActions[Action],$C$2,JournalActions[Mi-temps],C$3)=0,"",COUNTIFS(JournalActions[Joueur],$B21,JournalActions[Action],$C$2,JournalActions[Mi-temps],C$3))</f>
        <v/>
      </c>
      <c r="D21" s="101" t="str">
        <f>IF(COUNTIFS(JournalActions[Joueur],$B21,JournalActions[Action],$C$2,JournalActions[Mi-temps],D$3)=0,"",COUNTIFS(JournalActions[Joueur],$B21,JournalActions[Action],$C$2,JournalActions[Mi-temps],D$3))</f>
        <v/>
      </c>
      <c r="E21" t="str">
        <f>IF(COUNTIFS(JournalActions[Joueur],$B21,JournalActions[Action],$E$2,JournalActions[Mi-temps],E$3)=0,"",COUNTIFS(JournalActions[Joueur],$B21,JournalActions[Action],$E$2,JournalActions[Mi-temps],E$3))</f>
        <v/>
      </c>
      <c r="F21" t="str">
        <f>IF(COUNTIFS(JournalActions[Joueur],$B21,JournalActions[Action],$E$2,JournalActions[Mi-temps],F$3)=0,"",COUNTIFS(JournalActions[Joueur],$B21,JournalActions[Action],$E$2,JournalActions[Mi-temps],F$3))</f>
        <v/>
      </c>
      <c r="G21" s="100" t="str">
        <f>IF(COUNTIFS(JournalActions[Joueur],$B21,JournalActions[Action],$G$2,JournalActions[Mi-temps],G$3)=0,"",COUNTIFS(JournalActions[Joueur],$B21,JournalActions[Action],$G$2,JournalActions[Mi-temps],G$3))</f>
        <v/>
      </c>
      <c r="H21" s="101" t="str">
        <f>IF(COUNTIFS(JournalActions[Joueur],$B21,JournalActions[Action],$G$2,JournalActions[Mi-temps],H$3)=0,"",COUNTIFS(JournalActions[Joueur],$B21,JournalActions[Action],$G$2,JournalActions[Mi-temps],H$3))</f>
        <v/>
      </c>
      <c r="I21" t="str">
        <f>IF(COUNTIFS(JournalActions[Joueur],$B21,JournalActions[Action],$I$2,JournalActions[Mi-temps],I$3)=0,"",COUNTIFS(JournalActions[Joueur],$B21,JournalActions[Action],$I$2,JournalActions[Mi-temps],I$3))</f>
        <v/>
      </c>
      <c r="J21" t="str">
        <f>IF(COUNTIFS(JournalActions[Joueur],$B21,JournalActions[Action],$I$2,JournalActions[Mi-temps],J$3)=0,"",COUNTIFS(JournalActions[Joueur],$B21,JournalActions[Action],$I$2,JournalActions[Mi-temps],J$3))</f>
        <v/>
      </c>
      <c r="K21" s="100" t="str">
        <f>IF(COUNTIFS(JournalActions[Joueur],$B21,JournalActions[Action],$K$2,JournalActions[Mi-temps],K$3)=0,"",COUNTIFS(JournalActions[Joueur],$B21,JournalActions[Action],$K$2,JournalActions[Mi-temps],K$3))</f>
        <v/>
      </c>
      <c r="L21" t="str">
        <f>IF(COUNTIFS(JournalActions[Joueur],$B21,JournalActions[Action],$K$2,JournalActions[Mi-temps],L$3)=0,"",COUNTIFS(JournalActions[Joueur],$B21,JournalActions[Action],$K$2,JournalActions[Mi-temps],L$3))</f>
        <v/>
      </c>
      <c r="M21" s="100" t="str">
        <f>IF(COUNTIFS(JournalActions[Joueur],$B21,JournalActions[Action],$M$2,JournalActions[Mi-temps],M$3)=0,"",COUNTIFS(JournalActions[Joueur],$B21,JournalActions[Action],$M$2,JournalActions[Mi-temps],M$3))</f>
        <v/>
      </c>
      <c r="N21" s="101" t="str">
        <f>IF(COUNTIFS(JournalActions[Joueur],$B21,JournalActions[Action],$M$2,JournalActions[Mi-temps],N$3)=0,"",COUNTIFS(JournalActions[Joueur],$B21,JournalActions[Action],$M$2,JournalActions[Mi-temps],N$3))</f>
        <v/>
      </c>
    </row>
    <row r="22" spans="2:14">
      <c r="B22" s="100" t="str">
        <v>ROUSSEL xx</v>
      </c>
      <c r="C22" s="100" t="str">
        <f>IF(COUNTIFS(JournalActions[Joueur],$B22,JournalActions[Action],$C$2,JournalActions[Mi-temps],C$3)=0,"",COUNTIFS(JournalActions[Joueur],$B22,JournalActions[Action],$C$2,JournalActions[Mi-temps],C$3))</f>
        <v/>
      </c>
      <c r="D22" s="101" t="str">
        <f>IF(COUNTIFS(JournalActions[Joueur],$B22,JournalActions[Action],$C$2,JournalActions[Mi-temps],D$3)=0,"",COUNTIFS(JournalActions[Joueur],$B22,JournalActions[Action],$C$2,JournalActions[Mi-temps],D$3))</f>
        <v/>
      </c>
      <c r="E22" t="str">
        <f>IF(COUNTIFS(JournalActions[Joueur],$B22,JournalActions[Action],$E$2,JournalActions[Mi-temps],E$3)=0,"",COUNTIFS(JournalActions[Joueur],$B22,JournalActions[Action],$E$2,JournalActions[Mi-temps],E$3))</f>
        <v/>
      </c>
      <c r="F22" t="str">
        <f>IF(COUNTIFS(JournalActions[Joueur],$B22,JournalActions[Action],$E$2,JournalActions[Mi-temps],F$3)=0,"",COUNTIFS(JournalActions[Joueur],$B22,JournalActions[Action],$E$2,JournalActions[Mi-temps],F$3))</f>
        <v/>
      </c>
      <c r="G22" s="100" t="str">
        <f>IF(COUNTIFS(JournalActions[Joueur],$B22,JournalActions[Action],$G$2,JournalActions[Mi-temps],G$3)=0,"",COUNTIFS(JournalActions[Joueur],$B22,JournalActions[Action],$G$2,JournalActions[Mi-temps],G$3))</f>
        <v/>
      </c>
      <c r="H22" s="101" t="str">
        <f>IF(COUNTIFS(JournalActions[Joueur],$B22,JournalActions[Action],$G$2,JournalActions[Mi-temps],H$3)=0,"",COUNTIFS(JournalActions[Joueur],$B22,JournalActions[Action],$G$2,JournalActions[Mi-temps],H$3))</f>
        <v/>
      </c>
      <c r="I22" t="str">
        <f>IF(COUNTIFS(JournalActions[Joueur],$B22,JournalActions[Action],$I$2,JournalActions[Mi-temps],I$3)=0,"",COUNTIFS(JournalActions[Joueur],$B22,JournalActions[Action],$I$2,JournalActions[Mi-temps],I$3))</f>
        <v/>
      </c>
      <c r="J22" t="str">
        <f>IF(COUNTIFS(JournalActions[Joueur],$B22,JournalActions[Action],$I$2,JournalActions[Mi-temps],J$3)=0,"",COUNTIFS(JournalActions[Joueur],$B22,JournalActions[Action],$I$2,JournalActions[Mi-temps],J$3))</f>
        <v/>
      </c>
      <c r="K22" s="100" t="str">
        <f>IF(COUNTIFS(JournalActions[Joueur],$B22,JournalActions[Action],$K$2,JournalActions[Mi-temps],K$3)=0,"",COUNTIFS(JournalActions[Joueur],$B22,JournalActions[Action],$K$2,JournalActions[Mi-temps],K$3))</f>
        <v/>
      </c>
      <c r="L22" t="str">
        <f>IF(COUNTIFS(JournalActions[Joueur],$B22,JournalActions[Action],$K$2,JournalActions[Mi-temps],L$3)=0,"",COUNTIFS(JournalActions[Joueur],$B22,JournalActions[Action],$K$2,JournalActions[Mi-temps],L$3))</f>
        <v/>
      </c>
      <c r="M22" s="100" t="str">
        <f>IF(COUNTIFS(JournalActions[Joueur],$B22,JournalActions[Action],$M$2,JournalActions[Mi-temps],M$3)=0,"",COUNTIFS(JournalActions[Joueur],$B22,JournalActions[Action],$M$2,JournalActions[Mi-temps],M$3))</f>
        <v/>
      </c>
      <c r="N22" s="101" t="str">
        <f>IF(COUNTIFS(JournalActions[Joueur],$B22,JournalActions[Action],$M$2,JournalActions[Mi-temps],N$3)=0,"",COUNTIFS(JournalActions[Joueur],$B22,JournalActions[Action],$M$2,JournalActions[Mi-temps],N$3))</f>
        <v/>
      </c>
    </row>
    <row r="23" spans="2:14">
      <c r="B23" s="100" t="str">
        <v>SALLES Dorian</v>
      </c>
      <c r="C23" s="100" t="str">
        <f>IF(COUNTIFS(JournalActions[Joueur],$B23,JournalActions[Action],$C$2,JournalActions[Mi-temps],C$3)=0,"",COUNTIFS(JournalActions[Joueur],$B23,JournalActions[Action],$C$2,JournalActions[Mi-temps],C$3))</f>
        <v/>
      </c>
      <c r="D23" s="101" t="str">
        <f>IF(COUNTIFS(JournalActions[Joueur],$B23,JournalActions[Action],$C$2,JournalActions[Mi-temps],D$3)=0,"",COUNTIFS(JournalActions[Joueur],$B23,JournalActions[Action],$C$2,JournalActions[Mi-temps],D$3))</f>
        <v/>
      </c>
      <c r="E23" t="str">
        <f>IF(COUNTIFS(JournalActions[Joueur],$B23,JournalActions[Action],$E$2,JournalActions[Mi-temps],E$3)=0,"",COUNTIFS(JournalActions[Joueur],$B23,JournalActions[Action],$E$2,JournalActions[Mi-temps],E$3))</f>
        <v/>
      </c>
      <c r="F23" t="str">
        <f>IF(COUNTIFS(JournalActions[Joueur],$B23,JournalActions[Action],$E$2,JournalActions[Mi-temps],F$3)=0,"",COUNTIFS(JournalActions[Joueur],$B23,JournalActions[Action],$E$2,JournalActions[Mi-temps],F$3))</f>
        <v/>
      </c>
      <c r="G23" s="100" t="str">
        <f>IF(COUNTIFS(JournalActions[Joueur],$B23,JournalActions[Action],$G$2,JournalActions[Mi-temps],G$3)=0,"",COUNTIFS(JournalActions[Joueur],$B23,JournalActions[Action],$G$2,JournalActions[Mi-temps],G$3))</f>
        <v/>
      </c>
      <c r="H23" s="101" t="str">
        <f>IF(COUNTIFS(JournalActions[Joueur],$B23,JournalActions[Action],$G$2,JournalActions[Mi-temps],H$3)=0,"",COUNTIFS(JournalActions[Joueur],$B23,JournalActions[Action],$G$2,JournalActions[Mi-temps],H$3))</f>
        <v/>
      </c>
      <c r="I23" t="str">
        <f>IF(COUNTIFS(JournalActions[Joueur],$B23,JournalActions[Action],$I$2,JournalActions[Mi-temps],I$3)=0,"",COUNTIFS(JournalActions[Joueur],$B23,JournalActions[Action],$I$2,JournalActions[Mi-temps],I$3))</f>
        <v/>
      </c>
      <c r="J23" t="str">
        <f>IF(COUNTIFS(JournalActions[Joueur],$B23,JournalActions[Action],$I$2,JournalActions[Mi-temps],J$3)=0,"",COUNTIFS(JournalActions[Joueur],$B23,JournalActions[Action],$I$2,JournalActions[Mi-temps],J$3))</f>
        <v/>
      </c>
      <c r="K23" s="100" t="str">
        <f>IF(COUNTIFS(JournalActions[Joueur],$B23,JournalActions[Action],$K$2,JournalActions[Mi-temps],K$3)=0,"",COUNTIFS(JournalActions[Joueur],$B23,JournalActions[Action],$K$2,JournalActions[Mi-temps],K$3))</f>
        <v/>
      </c>
      <c r="L23" t="str">
        <f>IF(COUNTIFS(JournalActions[Joueur],$B23,JournalActions[Action],$K$2,JournalActions[Mi-temps],L$3)=0,"",COUNTIFS(JournalActions[Joueur],$B23,JournalActions[Action],$K$2,JournalActions[Mi-temps],L$3))</f>
        <v/>
      </c>
      <c r="M23" s="100" t="str">
        <f>IF(COUNTIFS(JournalActions[Joueur],$B23,JournalActions[Action],$M$2,JournalActions[Mi-temps],M$3)=0,"",COUNTIFS(JournalActions[Joueur],$B23,JournalActions[Action],$M$2,JournalActions[Mi-temps],M$3))</f>
        <v/>
      </c>
      <c r="N23" s="101" t="str">
        <f>IF(COUNTIFS(JournalActions[Joueur],$B23,JournalActions[Action],$M$2,JournalActions[Mi-temps],N$3)=0,"",COUNTIFS(JournalActions[Joueur],$B23,JournalActions[Action],$M$2,JournalActions[Mi-temps],N$3))</f>
        <v/>
      </c>
    </row>
    <row r="24" spans="2:14">
      <c r="B24" s="100" t="str">
        <v>SALLES Fabien</v>
      </c>
      <c r="C24" s="100" t="str">
        <f>IF(COUNTIFS(JournalActions[Joueur],$B24,JournalActions[Action],$C$2,JournalActions[Mi-temps],C$3)=0,"",COUNTIFS(JournalActions[Joueur],$B24,JournalActions[Action],$C$2,JournalActions[Mi-temps],C$3))</f>
        <v/>
      </c>
      <c r="D24" s="101" t="str">
        <f>IF(COUNTIFS(JournalActions[Joueur],$B24,JournalActions[Action],$C$2,JournalActions[Mi-temps],D$3)=0,"",COUNTIFS(JournalActions[Joueur],$B24,JournalActions[Action],$C$2,JournalActions[Mi-temps],D$3))</f>
        <v/>
      </c>
      <c r="E24" t="str">
        <f>IF(COUNTIFS(JournalActions[Joueur],$B24,JournalActions[Action],$E$2,JournalActions[Mi-temps],E$3)=0,"",COUNTIFS(JournalActions[Joueur],$B24,JournalActions[Action],$E$2,JournalActions[Mi-temps],E$3))</f>
        <v/>
      </c>
      <c r="F24" t="str">
        <f>IF(COUNTIFS(JournalActions[Joueur],$B24,JournalActions[Action],$E$2,JournalActions[Mi-temps],F$3)=0,"",COUNTIFS(JournalActions[Joueur],$B24,JournalActions[Action],$E$2,JournalActions[Mi-temps],F$3))</f>
        <v/>
      </c>
      <c r="G24" s="100" t="str">
        <f>IF(COUNTIFS(JournalActions[Joueur],$B24,JournalActions[Action],$G$2,JournalActions[Mi-temps],G$3)=0,"",COUNTIFS(JournalActions[Joueur],$B24,JournalActions[Action],$G$2,JournalActions[Mi-temps],G$3))</f>
        <v/>
      </c>
      <c r="H24" s="101" t="str">
        <f>IF(COUNTIFS(JournalActions[Joueur],$B24,JournalActions[Action],$G$2,JournalActions[Mi-temps],H$3)=0,"",COUNTIFS(JournalActions[Joueur],$B24,JournalActions[Action],$G$2,JournalActions[Mi-temps],H$3))</f>
        <v/>
      </c>
      <c r="I24" t="str">
        <f>IF(COUNTIFS(JournalActions[Joueur],$B24,JournalActions[Action],$I$2,JournalActions[Mi-temps],I$3)=0,"",COUNTIFS(JournalActions[Joueur],$B24,JournalActions[Action],$I$2,JournalActions[Mi-temps],I$3))</f>
        <v/>
      </c>
      <c r="J24" t="str">
        <f>IF(COUNTIFS(JournalActions[Joueur],$B24,JournalActions[Action],$I$2,JournalActions[Mi-temps],J$3)=0,"",COUNTIFS(JournalActions[Joueur],$B24,JournalActions[Action],$I$2,JournalActions[Mi-temps],J$3))</f>
        <v/>
      </c>
      <c r="K24" s="100" t="str">
        <f>IF(COUNTIFS(JournalActions[Joueur],$B24,JournalActions[Action],$K$2,JournalActions[Mi-temps],K$3)=0,"",COUNTIFS(JournalActions[Joueur],$B24,JournalActions[Action],$K$2,JournalActions[Mi-temps],K$3))</f>
        <v/>
      </c>
      <c r="L24" t="str">
        <f>IF(COUNTIFS(JournalActions[Joueur],$B24,JournalActions[Action],$K$2,JournalActions[Mi-temps],L$3)=0,"",COUNTIFS(JournalActions[Joueur],$B24,JournalActions[Action],$K$2,JournalActions[Mi-temps],L$3))</f>
        <v/>
      </c>
      <c r="M24" s="100" t="str">
        <f>IF(COUNTIFS(JournalActions[Joueur],$B24,JournalActions[Action],$M$2,JournalActions[Mi-temps],M$3)=0,"",COUNTIFS(JournalActions[Joueur],$B24,JournalActions[Action],$M$2,JournalActions[Mi-temps],M$3))</f>
        <v/>
      </c>
      <c r="N24" s="101" t="str">
        <f>IF(COUNTIFS(JournalActions[Joueur],$B24,JournalActions[Action],$M$2,JournalActions[Mi-temps],N$3)=0,"",COUNTIFS(JournalActions[Joueur],$B24,JournalActions[Action],$M$2,JournalActions[Mi-temps],N$3))</f>
        <v/>
      </c>
    </row>
    <row r="25" spans="2:14">
      <c r="B25" s="100" t="str">
        <v>STEFANI Titouan</v>
      </c>
      <c r="C25" s="100" t="str">
        <f>IF(COUNTIFS(JournalActions[Joueur],$B25,JournalActions[Action],$C$2,JournalActions[Mi-temps],C$3)=0,"",COUNTIFS(JournalActions[Joueur],$B25,JournalActions[Action],$C$2,JournalActions[Mi-temps],C$3))</f>
        <v/>
      </c>
      <c r="D25" s="101" t="str">
        <f>IF(COUNTIFS(JournalActions[Joueur],$B25,JournalActions[Action],$C$2,JournalActions[Mi-temps],D$3)=0,"",COUNTIFS(JournalActions[Joueur],$B25,JournalActions[Action],$C$2,JournalActions[Mi-temps],D$3))</f>
        <v/>
      </c>
      <c r="E25" t="str">
        <f>IF(COUNTIFS(JournalActions[Joueur],$B25,JournalActions[Action],$E$2,JournalActions[Mi-temps],E$3)=0,"",COUNTIFS(JournalActions[Joueur],$B25,JournalActions[Action],$E$2,JournalActions[Mi-temps],E$3))</f>
        <v/>
      </c>
      <c r="F25" t="str">
        <f>IF(COUNTIFS(JournalActions[Joueur],$B25,JournalActions[Action],$E$2,JournalActions[Mi-temps],F$3)=0,"",COUNTIFS(JournalActions[Joueur],$B25,JournalActions[Action],$E$2,JournalActions[Mi-temps],F$3))</f>
        <v/>
      </c>
      <c r="G25" s="100" t="str">
        <f>IF(COUNTIFS(JournalActions[Joueur],$B25,JournalActions[Action],$G$2,JournalActions[Mi-temps],G$3)=0,"",COUNTIFS(JournalActions[Joueur],$B25,JournalActions[Action],$G$2,JournalActions[Mi-temps],G$3))</f>
        <v/>
      </c>
      <c r="H25" s="101" t="str">
        <f>IF(COUNTIFS(JournalActions[Joueur],$B25,JournalActions[Action],$G$2,JournalActions[Mi-temps],H$3)=0,"",COUNTIFS(JournalActions[Joueur],$B25,JournalActions[Action],$G$2,JournalActions[Mi-temps],H$3))</f>
        <v/>
      </c>
      <c r="I25" t="str">
        <f>IF(COUNTIFS(JournalActions[Joueur],$B25,JournalActions[Action],$I$2,JournalActions[Mi-temps],I$3)=0,"",COUNTIFS(JournalActions[Joueur],$B25,JournalActions[Action],$I$2,JournalActions[Mi-temps],I$3))</f>
        <v/>
      </c>
      <c r="J25" t="str">
        <f>IF(COUNTIFS(JournalActions[Joueur],$B25,JournalActions[Action],$I$2,JournalActions[Mi-temps],J$3)=0,"",COUNTIFS(JournalActions[Joueur],$B25,JournalActions[Action],$I$2,JournalActions[Mi-temps],J$3))</f>
        <v/>
      </c>
      <c r="K25" s="100" t="str">
        <f>IF(COUNTIFS(JournalActions[Joueur],$B25,JournalActions[Action],$K$2,JournalActions[Mi-temps],K$3)=0,"",COUNTIFS(JournalActions[Joueur],$B25,JournalActions[Action],$K$2,JournalActions[Mi-temps],K$3))</f>
        <v/>
      </c>
      <c r="L25" t="str">
        <f>IF(COUNTIFS(JournalActions[Joueur],$B25,JournalActions[Action],$K$2,JournalActions[Mi-temps],L$3)=0,"",COUNTIFS(JournalActions[Joueur],$B25,JournalActions[Action],$K$2,JournalActions[Mi-temps],L$3))</f>
        <v/>
      </c>
      <c r="M25" s="100" t="str">
        <f>IF(COUNTIFS(JournalActions[Joueur],$B25,JournalActions[Action],$M$2,JournalActions[Mi-temps],M$3)=0,"",COUNTIFS(JournalActions[Joueur],$B25,JournalActions[Action],$M$2,JournalActions[Mi-temps],M$3))</f>
        <v/>
      </c>
      <c r="N25" s="101" t="str">
        <f>IF(COUNTIFS(JournalActions[Joueur],$B25,JournalActions[Action],$M$2,JournalActions[Mi-temps],N$3)=0,"",COUNTIFS(JournalActions[Joueur],$B25,JournalActions[Action],$M$2,JournalActions[Mi-temps],N$3))</f>
        <v/>
      </c>
    </row>
    <row r="26" spans="2:14">
      <c r="B26" s="94" t="s">
        <v>119</v>
      </c>
      <c r="C26" s="100" t="str">
        <f>IF(COUNTIFS(JournalActions[Joueur],$B26,JournalActions[Action],$C$2,JournalActions[Mi-temps],C$3)=0,"",COUNTIFS(JournalActions[Joueur],$B26,JournalActions[Action],$C$2,JournalActions[Mi-temps],C$3))</f>
        <v/>
      </c>
      <c r="D26" s="101" t="str">
        <f>IF(COUNTIFS(JournalActions[Joueur],$B26,JournalActions[Action],$C$2,JournalActions[Mi-temps],D$3)=0,"",COUNTIFS(JournalActions[Joueur],$B26,JournalActions[Action],$C$2,JournalActions[Mi-temps],D$3))</f>
        <v/>
      </c>
      <c r="E26" t="str">
        <f>IF(COUNTIFS(JournalActions[Joueur],$B26,JournalActions[Action],$E$2,JournalActions[Mi-temps],E$3)=0,"",COUNTIFS(JournalActions[Joueur],$B26,JournalActions[Action],$E$2,JournalActions[Mi-temps],E$3))</f>
        <v/>
      </c>
      <c r="F26" t="str">
        <f>IF(COUNTIFS(JournalActions[Joueur],$B26,JournalActions[Action],$E$2,JournalActions[Mi-temps],F$3)=0,"",COUNTIFS(JournalActions[Joueur],$B26,JournalActions[Action],$E$2,JournalActions[Mi-temps],F$3))</f>
        <v/>
      </c>
      <c r="G26" s="100" t="str">
        <f>IF(COUNTIFS(JournalActions[Joueur],$B26,JournalActions[Action],$G$2,JournalActions[Mi-temps],G$3)=0,"",COUNTIFS(JournalActions[Joueur],$B26,JournalActions[Action],$G$2,JournalActions[Mi-temps],G$3))</f>
        <v/>
      </c>
      <c r="H26" s="101" t="str">
        <f>IF(COUNTIFS(JournalActions[Joueur],$B26,JournalActions[Action],$G$2,JournalActions[Mi-temps],H$3)=0,"",COUNTIFS(JournalActions[Joueur],$B26,JournalActions[Action],$G$2,JournalActions[Mi-temps],H$3))</f>
        <v/>
      </c>
      <c r="I26" t="str">
        <f>IF(COUNTIFS(JournalActions[Joueur],$B26,JournalActions[Action],$I$2,JournalActions[Mi-temps],I$3)=0,"",COUNTIFS(JournalActions[Joueur],$B26,JournalActions[Action],$I$2,JournalActions[Mi-temps],I$3))</f>
        <v/>
      </c>
      <c r="J26" t="str">
        <f>IF(COUNTIFS(JournalActions[Joueur],$B26,JournalActions[Action],$I$2,JournalActions[Mi-temps],J$3)=0,"",COUNTIFS(JournalActions[Joueur],$B26,JournalActions[Action],$I$2,JournalActions[Mi-temps],J$3))</f>
        <v/>
      </c>
      <c r="K26" s="100" t="str">
        <f>IF(COUNTIFS(JournalActions[Joueur],$B26,JournalActions[Action],$K$2,JournalActions[Mi-temps],K$3)=0,"",COUNTIFS(JournalActions[Joueur],$B26,JournalActions[Action],$K$2,JournalActions[Mi-temps],K$3))</f>
        <v/>
      </c>
      <c r="L26" t="str">
        <f>IF(COUNTIFS(JournalActions[Joueur],$B26,JournalActions[Action],$K$2,JournalActions[Mi-temps],L$3)=0,"",COUNTIFS(JournalActions[Joueur],$B26,JournalActions[Action],$K$2,JournalActions[Mi-temps],L$3))</f>
        <v/>
      </c>
      <c r="M26" s="100" t="str">
        <f>IF(COUNTIFS(JournalActions[Joueur],$B26,JournalActions[Action],$M$2,JournalActions[Mi-temps],M$3)=0,"",COUNTIFS(JournalActions[Joueur],$B26,JournalActions[Action],$M$2,JournalActions[Mi-temps],M$3))</f>
        <v/>
      </c>
      <c r="N26" s="101" t="str">
        <f>IF(COUNTIFS(JournalActions[Joueur],$B26,JournalActions[Action],$M$2,JournalActions[Mi-temps],N$3)=0,"",COUNTIFS(JournalActions[Joueur],$B26,JournalActions[Action],$M$2,JournalActions[Mi-temps],N$3))</f>
        <v/>
      </c>
    </row>
    <row r="27" spans="2:14">
      <c r="B27" s="95" t="s">
        <v>88</v>
      </c>
      <c r="C27" s="104" t="str">
        <f>IF(COUNTIFS(JournalActions[Joueur],$B27,JournalActions[Action],$C$2,JournalActions[Mi-temps],C$3)=0,"",COUNTIFS(JournalActions[Joueur],$B27,JournalActions[Action],$C$2,JournalActions[Mi-temps],C$3))</f>
        <v/>
      </c>
      <c r="D27" s="103" t="str">
        <f>IF(COUNTIFS(JournalActions[Joueur],$B27,JournalActions[Action],$C$2,JournalActions[Mi-temps],D$3)=0,"",COUNTIFS(JournalActions[Joueur],$B27,JournalActions[Action],$C$2,JournalActions[Mi-temps],D$3))</f>
        <v/>
      </c>
      <c r="E27" s="102" t="str">
        <f>IF(COUNTIFS(JournalActions[Joueur],$B27,JournalActions[Action],$E$2,JournalActions[Mi-temps],E$3)=0,"",COUNTIFS(JournalActions[Joueur],$B27,JournalActions[Action],$E$2,JournalActions[Mi-temps],E$3))</f>
        <v/>
      </c>
      <c r="F27" s="102" t="str">
        <f>IF(COUNTIFS(JournalActions[Joueur],$B27,JournalActions[Action],$E$2,JournalActions[Mi-temps],F$3)=0,"",COUNTIFS(JournalActions[Joueur],$B27,JournalActions[Action],$E$2,JournalActions[Mi-temps],F$3))</f>
        <v/>
      </c>
      <c r="G27" s="104" t="str">
        <f>IF(COUNTIFS(JournalActions[Joueur],$B27,JournalActions[Action],$G$2,JournalActions[Mi-temps],G$3)=0,"",COUNTIFS(JournalActions[Joueur],$B27,JournalActions[Action],$G$2,JournalActions[Mi-temps],G$3))</f>
        <v/>
      </c>
      <c r="H27" s="103" t="str">
        <f>IF(COUNTIFS(JournalActions[Joueur],$B27,JournalActions[Action],$G$2,JournalActions[Mi-temps],H$3)=0,"",COUNTIFS(JournalActions[Joueur],$B27,JournalActions[Action],$G$2,JournalActions[Mi-temps],H$3))</f>
        <v/>
      </c>
      <c r="I27" s="102" t="str">
        <f>IF(COUNTIFS(JournalActions[Joueur],$B27,JournalActions[Action],$I$2,JournalActions[Mi-temps],I$3)=0,"",COUNTIFS(JournalActions[Joueur],$B27,JournalActions[Action],$I$2,JournalActions[Mi-temps],I$3))</f>
        <v/>
      </c>
      <c r="J27" s="102" t="str">
        <f>IF(COUNTIFS(JournalActions[Joueur],$B27,JournalActions[Action],$I$2,JournalActions[Mi-temps],J$3)=0,"",COUNTIFS(JournalActions[Joueur],$B27,JournalActions[Action],$I$2,JournalActions[Mi-temps],J$3))</f>
        <v/>
      </c>
      <c r="K27" s="104" t="str">
        <f>IF(COUNTIFS(JournalActions[Joueur],$B27,JournalActions[Action],$K$2,JournalActions[Mi-temps],K$3)=0,"",COUNTIFS(JournalActions[Joueur],$B27,JournalActions[Action],$K$2,JournalActions[Mi-temps],K$3))</f>
        <v/>
      </c>
      <c r="L27" s="102" t="str">
        <f>IF(COUNTIFS(JournalActions[Joueur],$B27,JournalActions[Action],$K$2,JournalActions[Mi-temps],L$3)=0,"",COUNTIFS(JournalActions[Joueur],$B27,JournalActions[Action],$K$2,JournalActions[Mi-temps],L$3))</f>
        <v/>
      </c>
      <c r="M27" s="104" t="str">
        <f>IF(COUNTIFS(JournalActions[Joueur],$B27,JournalActions[Action],$M$2,JournalActions[Mi-temps],M$3)=0,"",COUNTIFS(JournalActions[Joueur],$B27,JournalActions[Action],$M$2,JournalActions[Mi-temps],M$3))</f>
        <v/>
      </c>
      <c r="N27" s="103" t="str">
        <f>IF(COUNTIFS(JournalActions[Joueur],$B27,JournalActions[Action],$M$2,JournalActions[Mi-temps],N$3)=0,"",COUNTIFS(JournalActions[Joueur],$B27,JournalActions[Action],$M$2,JournalActions[Mi-temps],N$3))</f>
        <v/>
      </c>
    </row>
    <row r="28" spans="2:14" s="31" customFormat="1" ht="22" customHeight="1">
      <c r="B28" s="117" t="s">
        <v>368</v>
      </c>
      <c r="C28" s="118">
        <f>SUM(C4:C27)</f>
        <v>0</v>
      </c>
      <c r="D28" s="119">
        <f t="shared" ref="D28:N28" si="0">SUM(D4:D27)</f>
        <v>0</v>
      </c>
      <c r="E28" s="118">
        <f t="shared" si="0"/>
        <v>0</v>
      </c>
      <c r="F28" s="119">
        <f t="shared" si="0"/>
        <v>0</v>
      </c>
      <c r="G28" s="118">
        <f t="shared" si="0"/>
        <v>0</v>
      </c>
      <c r="H28" s="119">
        <f t="shared" si="0"/>
        <v>0</v>
      </c>
      <c r="I28" s="118">
        <f t="shared" si="0"/>
        <v>0</v>
      </c>
      <c r="J28" s="119">
        <f t="shared" si="0"/>
        <v>0</v>
      </c>
      <c r="K28" s="118">
        <f t="shared" si="0"/>
        <v>0</v>
      </c>
      <c r="L28" s="119">
        <f t="shared" si="0"/>
        <v>0</v>
      </c>
      <c r="M28" s="118">
        <f t="shared" si="0"/>
        <v>0</v>
      </c>
      <c r="N28" s="119">
        <f t="shared" si="0"/>
        <v>0</v>
      </c>
    </row>
    <row r="29" spans="2:14" s="121" customFormat="1" ht="25" customHeight="1">
      <c r="B29" s="120" t="s">
        <v>367</v>
      </c>
      <c r="C29" s="158">
        <f>C28+D28</f>
        <v>0</v>
      </c>
      <c r="D29" s="159"/>
      <c r="E29" s="160">
        <f t="shared" ref="E29" si="1">E28+F28</f>
        <v>0</v>
      </c>
      <c r="F29" s="160"/>
      <c r="G29" s="158">
        <f t="shared" ref="G29" si="2">G28+H28</f>
        <v>0</v>
      </c>
      <c r="H29" s="159"/>
      <c r="I29" s="158">
        <f>I28+J28</f>
        <v>0</v>
      </c>
      <c r="J29" s="159"/>
      <c r="K29" s="158">
        <f t="shared" ref="K29" si="3">K28+L28</f>
        <v>0</v>
      </c>
      <c r="L29" s="159"/>
      <c r="M29" s="160">
        <f t="shared" ref="M29" si="4">M28+N28</f>
        <v>0</v>
      </c>
      <c r="N29" s="159"/>
    </row>
    <row r="30" spans="2:14" s="31" customFormat="1"/>
    <row r="31" spans="2:14" s="31" customFormat="1"/>
    <row r="32" spans="2:14" ht="14">
      <c r="B32" s="31"/>
      <c r="C32" s="108" t="s">
        <v>333</v>
      </c>
      <c r="D32" s="108" t="s">
        <v>361</v>
      </c>
      <c r="E32" s="109" t="s">
        <v>332</v>
      </c>
      <c r="F32" s="31"/>
      <c r="G32" s="165" t="s">
        <v>362</v>
      </c>
      <c r="H32" s="164"/>
      <c r="J32" s="165" t="s">
        <v>84</v>
      </c>
      <c r="K32" s="165" t="s">
        <v>335</v>
      </c>
      <c r="L32" s="164"/>
      <c r="M32" s="164" t="s">
        <v>363</v>
      </c>
      <c r="N32" s="31"/>
    </row>
    <row r="33" spans="2:14" ht="14">
      <c r="B33" s="31"/>
      <c r="C33" s="112" t="s">
        <v>330</v>
      </c>
      <c r="D33" s="112">
        <f>COUNTIFS(JournalActions[Action],ACT_TO_NS_G,JournalActions[Mi-temps],"MT1")</f>
        <v>0</v>
      </c>
      <c r="E33" s="113">
        <f>COUNTIFS(JournalActions[Action],ACT_TO_NS_P,JournalActions[Mi-temps],"MT1")
+COUNTIFS(JournalActions[Action],ACT_TO_NS_PAS_DROIT,JournalActions[Mi-temps],"MT1")</f>
        <v>0</v>
      </c>
      <c r="F33" s="31"/>
      <c r="G33" s="112" t="s">
        <v>335</v>
      </c>
      <c r="H33" s="113">
        <f>5*COUNTIFS(JournalActions[Action],ACT_PTS_ESSAI,JournalActions[Possession],"Nous",JournalActions[Mi-temps],"MT1")
+2*COUNTIFS(JournalActions[Action],ACT_PTS_TRANSFO,JournalActions[Possession],"Nous",JournalActions[Mi-temps],"MT1")
+3*COUNTIFS(JournalActions[Action],ACT_PTS_PENALITE,JournalActions[Possession],"Nous",JournalActions[Mi-temps],"MT1")
+3*COUNTIFS(JournalActions[Action],ACT_PTS_DROP,JournalActions[Possession],"Nous",JournalActions[Mi-temps],"MT1")</f>
        <v>0</v>
      </c>
      <c r="I33" s="31"/>
      <c r="J33" s="167"/>
      <c r="K33" s="96" t="s">
        <v>341</v>
      </c>
      <c r="L33" s="99" t="s">
        <v>360</v>
      </c>
      <c r="M33" s="166"/>
      <c r="N33" s="31"/>
    </row>
    <row r="34" spans="2:14">
      <c r="B34" s="31"/>
      <c r="C34" s="49" t="s">
        <v>364</v>
      </c>
      <c r="D34" s="49">
        <f>COUNTIFS(JournalActions[Action],ACT_TO_ADV_PERDUE,JournalActions[Mi-temps],"MT1")</f>
        <v>0</v>
      </c>
      <c r="E34" s="51">
        <f>COUNTIFS(JournalActions[Possession],ACT_TO_ADV_VOLEE,JournalActions[Joueur],"MT1")</f>
        <v>0</v>
      </c>
      <c r="F34" s="31"/>
      <c r="G34" s="49" t="s">
        <v>336</v>
      </c>
      <c r="H34" s="51">
        <f>5*COUNTIFS(JournalActions[Action],ACT_PTS_ESSAI,JournalActions[Possession],"Adv",JournalActions[Mi-temps],"MT1")
+2*COUNTIFS(JournalActions[Action],ACT_PTS_TRANSFO,JournalActions[Possession],"Adv",JournalActions[Mi-temps],"MT1")
+3*COUNTIFS(JournalActions[Action],ACT_PTS_PENALITE,JournalActions[Possession],"Adv",JournalActions[Mi-temps],"MT1")
+3*COUNTIFS(JournalActions[Action],ACT_PTS_DROP,JournalActions[Possession],"Adv",JournalActions[Mi-temps],"MT1")</f>
        <v>0</v>
      </c>
      <c r="I34" s="31"/>
      <c r="J34" s="105" t="s">
        <v>168</v>
      </c>
      <c r="K34" s="105">
        <f>COUNTIFS(JournalActions[Action],ACT_PEN_CONTRE_NOUS,JournalActions[Mi-temps],"MT1",JournalActions[Groupe fautif],"Avant")</f>
        <v>0</v>
      </c>
      <c r="L34" s="106">
        <f>COUNTIFS(JournalActions[Action],ACT_PEN_CONTRE_NOUS,JournalActions[Mi-temps],"MT1",JournalActions[Groupe fautif],"Trois-quarts")</f>
        <v>0</v>
      </c>
      <c r="M34" s="106">
        <f>COUNTIFS(JournalActions[Action],ACT_PEN_CONTRE_ADV,JournalActions[Mi-temps],"MT1")</f>
        <v>0</v>
      </c>
      <c r="N34" s="31"/>
    </row>
    <row r="35" spans="2:14">
      <c r="B35" s="31"/>
      <c r="C35" s="31"/>
      <c r="D35" s="31"/>
      <c r="E35" s="31"/>
      <c r="F35" s="31"/>
      <c r="G35" s="31"/>
      <c r="H35" s="31"/>
      <c r="I35" s="31"/>
      <c r="J35" s="49" t="s">
        <v>142</v>
      </c>
      <c r="K35" s="49">
        <f>COUNTIFS(JournalActions[Action],ACT_PEN_CONTRE_NOUS,JournalActions[Mi-temps],"MT2",JournalActions[Groupe fautif],"Avant")</f>
        <v>0</v>
      </c>
      <c r="L35" s="51">
        <f>COUNTIFS(JournalActions[Action],ACT_PEN_CONTRE_NOUS,JournalActions[Mi-temps],"MT2",JournalActions[Groupe fautif],"Trois-quarts")</f>
        <v>0</v>
      </c>
      <c r="M35" s="51">
        <f>COUNTIFS(JournalActions[Action],ACT_PEN_CONTRE_ADV,JournalActions[Mi-temps],"MT2")</f>
        <v>0</v>
      </c>
      <c r="N35" s="31"/>
    </row>
    <row r="36" spans="2:14" ht="14">
      <c r="B36" s="31"/>
      <c r="C36" s="108" t="s">
        <v>334</v>
      </c>
      <c r="D36" s="108" t="s">
        <v>361</v>
      </c>
      <c r="E36" s="109" t="s">
        <v>332</v>
      </c>
      <c r="F36" s="31"/>
      <c r="G36" s="165" t="s">
        <v>337</v>
      </c>
      <c r="H36" s="164"/>
      <c r="I36" s="31"/>
      <c r="J36" s="31"/>
      <c r="K36" s="31"/>
      <c r="L36" s="31"/>
      <c r="M36" s="31"/>
      <c r="N36" s="31"/>
    </row>
    <row r="37" spans="2:14" ht="14">
      <c r="B37" s="31"/>
      <c r="C37" s="112" t="s">
        <v>330</v>
      </c>
      <c r="D37" s="112">
        <f>COUNTIFS(JournalActions[Action],ACT_TO_NS_G,JournalActions[Mi-temps],"MT2")</f>
        <v>0</v>
      </c>
      <c r="E37" s="113">
        <f>COUNTIFS(JournalActions[Action],ACT_TO_NS_P,JournalActions[Mi-temps],"MT2")
+COUNTIFS(JournalActions[Action],ACT_TO_NS_PAS_DROIT,JournalActions[Mi-temps],"MT2")</f>
        <v>0</v>
      </c>
      <c r="F37" s="31"/>
      <c r="G37" s="112" t="s">
        <v>335</v>
      </c>
      <c r="H37" s="113">
        <f>5*COUNTIFS(JournalActions[Action],ACT_PTS_ESSAI,JournalActions[Possession],"Nous")
+2*COUNTIFS(JournalActions[Action],ACT_PTS_TRANSFO,JournalActions[Possession],"Nous")
+3*COUNTIFS(JournalActions[Action],ACT_PTS_PENALITE,JournalActions[Possession],"Nous")
+3*COUNTIFS(JournalActions[Action],ACT_PTS_DROP,JournalActions[Possession],"Nous")</f>
        <v>0</v>
      </c>
      <c r="I37" s="31"/>
      <c r="J37" s="110" t="s">
        <v>29</v>
      </c>
      <c r="K37" s="98"/>
      <c r="L37" s="87" t="s">
        <v>335</v>
      </c>
      <c r="M37" s="87" t="s">
        <v>363</v>
      </c>
      <c r="N37" s="31"/>
    </row>
    <row r="38" spans="2:14">
      <c r="B38" s="31"/>
      <c r="C38" s="49" t="s">
        <v>364</v>
      </c>
      <c r="D38" s="49">
        <f>COUNTIFS(JournalActions[Action],ACT_TO_ADV_PERDUE,JournalActions[Mi-temps],"MT2")</f>
        <v>0</v>
      </c>
      <c r="E38" s="51">
        <f>COUNTIFS(JournalActions[Possession],ACT_TO_ADV_VOLEE,JournalActions[Joueur],"MT2")</f>
        <v>0</v>
      </c>
      <c r="F38" s="31"/>
      <c r="G38" s="49" t="s">
        <v>336</v>
      </c>
      <c r="H38" s="51">
        <f>5*COUNTIFS(JournalActions[Action],ACT_PTS_ESSAI,JournalActions[Possession],"Adv")
+2*COUNTIFS(JournalActions[Action],ACT_PTS_TRANSFO,JournalActions[Possession],"Adv")
+3*COUNTIFS(JournalActions[Action],ACT_PTS_PENALITE,JournalActions[Possession],"Adv")
+3*COUNTIFS(JournalActions[Action],ACT_PTS_DROP,JournalActions[Possession],"Adv")</f>
        <v>0</v>
      </c>
      <c r="I38" s="31"/>
      <c r="J38" s="161" t="s">
        <v>31</v>
      </c>
      <c r="K38" s="162"/>
      <c r="L38" s="114">
        <f>COUNTIFS(JournalActions[Action],ACT_PEN_CONTRE_NOUS,JournalActions[Motif pénalité],ACT_PEN_MAUL)</f>
        <v>0</v>
      </c>
      <c r="M38" s="114">
        <f>COUNTIFS(JournalActions[Action],ACT_PEN_CONTRE_ADV,JournalActions[Motif pénalité],ACT_PEN_MAUL)</f>
        <v>0</v>
      </c>
      <c r="N38" s="31"/>
    </row>
    <row r="39" spans="2:14">
      <c r="B39" s="31"/>
      <c r="C39" s="31"/>
      <c r="D39" s="31"/>
      <c r="E39" s="31"/>
      <c r="F39" s="31"/>
      <c r="G39" s="31"/>
      <c r="H39" s="31"/>
      <c r="I39" s="31"/>
      <c r="J39" s="156" t="s">
        <v>33</v>
      </c>
      <c r="K39" s="157"/>
      <c r="L39" s="52">
        <f>COUNTIFS(JournalActions[Action],ACT_PEN_CONTRE_NOUS,JournalActions[Motif pénalité],ACT_PEN_RUCK)</f>
        <v>0</v>
      </c>
      <c r="M39" s="52">
        <f>COUNTIFS(JournalActions[Action],ACT_PEN_CONTRE_ADV,JournalActions[Motif pénalité],ACT_PEN_RUCK)</f>
        <v>0</v>
      </c>
      <c r="N39" s="31"/>
    </row>
    <row r="40" spans="2:14">
      <c r="B40" s="31"/>
      <c r="C40" s="31"/>
      <c r="D40" s="31"/>
      <c r="E40" s="31"/>
      <c r="F40" s="31"/>
      <c r="G40" s="31"/>
      <c r="H40" s="31"/>
      <c r="I40" s="31"/>
      <c r="J40" s="161" t="s">
        <v>35</v>
      </c>
      <c r="K40" s="162"/>
      <c r="L40" s="114">
        <f>COUNTIFS(JournalActions[Action],ACT_PEN_CONTRE_NOUS,JournalActions[Motif pénalité],ACT_PEN_HORS_JEU)</f>
        <v>0</v>
      </c>
      <c r="M40" s="114">
        <f>COUNTIFS(JournalActions[Action],ACT_PEN_CONTRE_ADV,JournalActions[Motif pénalité],ACT_PEN_HORS_JEU)</f>
        <v>0</v>
      </c>
      <c r="N40" s="31"/>
    </row>
    <row r="41" spans="2:14">
      <c r="B41" s="31"/>
      <c r="C41" s="31"/>
      <c r="D41" s="31"/>
      <c r="E41" s="31"/>
      <c r="F41" s="31"/>
      <c r="G41" s="31"/>
      <c r="H41" s="31"/>
      <c r="I41" s="31"/>
      <c r="J41" s="156" t="s">
        <v>37</v>
      </c>
      <c r="K41" s="157"/>
      <c r="L41" s="52">
        <f>COUNTIFS(JournalActions[Action],ACT_PEN_CONTRE_NOUS,JournalActions[Motif pénalité],ACT_PEN_PL_A_2)</f>
        <v>0</v>
      </c>
      <c r="M41" s="52">
        <f>COUNTIFS(JournalActions[Action],ACT_PEN_CONTRE_ADV,JournalActions[Motif pénalité],ACT_PEN_PL_A_2)</f>
        <v>0</v>
      </c>
      <c r="N41" s="31"/>
    </row>
    <row r="42" spans="2:14">
      <c r="B42" s="31"/>
      <c r="C42" s="31"/>
      <c r="D42" s="31"/>
      <c r="E42" s="31"/>
      <c r="F42" s="31"/>
      <c r="G42" s="31"/>
      <c r="H42" s="31"/>
      <c r="I42" s="31"/>
      <c r="J42" s="161" t="s">
        <v>39</v>
      </c>
      <c r="K42" s="162"/>
      <c r="L42" s="114">
        <f>COUNTIFS(JournalActions[Action],ACT_PEN_CONTRE_NOUS,JournalActions[Motif pénalité],ACT_PEN_PL_HAUT)</f>
        <v>0</v>
      </c>
      <c r="M42" s="114">
        <f>COUNTIFS(JournalActions[Action],ACT_PEN_CONTRE_ADV,JournalActions[Motif pénalité],ACT_PEN_PL_HAUT)</f>
        <v>0</v>
      </c>
      <c r="N42" s="31"/>
    </row>
    <row r="43" spans="2:14">
      <c r="B43" s="31"/>
      <c r="C43" s="31"/>
      <c r="D43" s="31"/>
      <c r="E43" s="31"/>
      <c r="F43" s="31"/>
      <c r="G43" s="31"/>
      <c r="H43" s="31"/>
      <c r="I43" s="31"/>
      <c r="J43" s="156" t="s">
        <v>357</v>
      </c>
      <c r="K43" s="157"/>
      <c r="L43" s="52">
        <f>COUNTIFS(JournalActions[Action],ACT_PEN_CONTRE_NOUS,JournalActions[Motif pénalité],"~?")</f>
        <v>0</v>
      </c>
      <c r="M43" s="52">
        <f>COUNTIFS(JournalActions[Action],ACT_PEN_CONTRE_ADV,JournalActions[Motif pénalité],"~?")</f>
        <v>0</v>
      </c>
      <c r="N43" s="31"/>
    </row>
    <row r="44" spans="2:14">
      <c r="B44" s="31"/>
      <c r="C44" s="31"/>
      <c r="D44" s="31"/>
      <c r="E44" s="31"/>
      <c r="F44" s="31"/>
      <c r="G44" s="31"/>
      <c r="H44" s="31"/>
      <c r="I44" s="31"/>
      <c r="J44" s="116" t="s">
        <v>45</v>
      </c>
      <c r="K44" s="31"/>
      <c r="L44" s="31"/>
      <c r="M44" s="31"/>
      <c r="N44" s="31"/>
    </row>
    <row r="45" spans="2:14">
      <c r="B45" s="31"/>
      <c r="C45" s="31"/>
      <c r="D45" s="31"/>
      <c r="E45" s="31"/>
      <c r="F45" s="31"/>
      <c r="G45" s="31"/>
      <c r="H45" s="31"/>
      <c r="I45" s="31"/>
      <c r="K45" s="115"/>
      <c r="L45" s="31"/>
      <c r="M45" s="31"/>
      <c r="N45" s="31"/>
    </row>
    <row r="46" spans="2:14">
      <c r="B46" s="31"/>
      <c r="C46" s="31"/>
      <c r="D46" s="31"/>
      <c r="E46" s="31"/>
      <c r="F46" s="31"/>
      <c r="G46" s="31"/>
      <c r="H46" s="31"/>
      <c r="I46" s="31"/>
      <c r="J46" s="31"/>
      <c r="K46" s="31"/>
      <c r="L46" s="31"/>
      <c r="M46" s="31"/>
      <c r="N46" s="31"/>
    </row>
    <row r="47" spans="2:14">
      <c r="B47" s="31"/>
      <c r="C47" s="31"/>
      <c r="D47" s="31"/>
      <c r="E47" s="31"/>
      <c r="F47" s="31"/>
      <c r="G47" s="31"/>
      <c r="H47" s="31"/>
      <c r="I47" s="31"/>
      <c r="J47" s="31"/>
      <c r="K47" s="31"/>
      <c r="L47" s="31"/>
      <c r="M47" s="31"/>
      <c r="N47" s="31"/>
    </row>
    <row r="48" spans="2:14" s="31" customFormat="1"/>
    <row r="49" s="31" customFormat="1"/>
    <row r="50" s="31" customFormat="1"/>
    <row r="51" s="31" customFormat="1"/>
    <row r="52" s="31" customFormat="1"/>
    <row r="53" s="31" customFormat="1"/>
    <row r="54" s="31" customFormat="1"/>
    <row r="55" s="31" customFormat="1"/>
    <row r="56" s="31" customFormat="1"/>
    <row r="57" s="31" customFormat="1"/>
    <row r="58" s="31" customFormat="1"/>
    <row r="59" s="31" customFormat="1"/>
    <row r="60" s="31" customFormat="1"/>
    <row r="61" s="31" customFormat="1"/>
    <row r="62" s="31" customFormat="1"/>
    <row r="63" s="31" customFormat="1"/>
    <row r="64" s="31" customFormat="1"/>
    <row r="65" s="31" customFormat="1"/>
    <row r="66" s="31" customFormat="1"/>
    <row r="67" s="31" customFormat="1"/>
    <row r="68" s="31" customFormat="1"/>
  </sheetData>
  <mergeCells count="24">
    <mergeCell ref="B2:B3"/>
    <mergeCell ref="C2:D2"/>
    <mergeCell ref="E2:F2"/>
    <mergeCell ref="G2:H2"/>
    <mergeCell ref="I2:J2"/>
    <mergeCell ref="M2:N2"/>
    <mergeCell ref="G36:H36"/>
    <mergeCell ref="G32:H32"/>
    <mergeCell ref="K32:L32"/>
    <mergeCell ref="M32:M33"/>
    <mergeCell ref="J32:J33"/>
    <mergeCell ref="M29:N29"/>
    <mergeCell ref="K2:L2"/>
    <mergeCell ref="J43:K43"/>
    <mergeCell ref="C29:D29"/>
    <mergeCell ref="E29:F29"/>
    <mergeCell ref="G29:H29"/>
    <mergeCell ref="I29:J29"/>
    <mergeCell ref="K29:L29"/>
    <mergeCell ref="J38:K38"/>
    <mergeCell ref="J39:K39"/>
    <mergeCell ref="J40:K40"/>
    <mergeCell ref="J41:K41"/>
    <mergeCell ref="J42:K42"/>
  </mergeCells>
  <phoneticPr fontId="21" type="noConversion"/>
  <conditionalFormatting sqref="B4:N27">
    <cfRule type="expression" dxfId="33" priority="2" stopIfTrue="1">
      <formula>ISEVEN(ROW())</formula>
    </cfRule>
  </conditionalFormatting>
  <conditionalFormatting sqref="J34:M34">
    <cfRule type="expression" dxfId="32" priority="1" stopIfTrue="1">
      <formula>ISEVEN(ROW())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6EE86A-F9D1-9543-8720-6739DB62972C}">
  <sheetPr codeName="Feuil3"/>
  <dimension ref="A1:E24"/>
  <sheetViews>
    <sheetView workbookViewId="0"/>
  </sheetViews>
  <sheetFormatPr baseColWidth="10" defaultRowHeight="13"/>
  <cols>
    <col min="1" max="1" width="6.6640625" customWidth="1"/>
    <col min="2" max="2" width="17.5" bestFit="1" customWidth="1"/>
    <col min="3" max="3" width="13.5" customWidth="1"/>
    <col min="4" max="4" width="24.1640625" customWidth="1"/>
    <col min="5" max="5" width="19.1640625" bestFit="1" customWidth="1"/>
    <col min="10" max="10" width="17.5" bestFit="1" customWidth="1"/>
  </cols>
  <sheetData>
    <row r="1" spans="1:5">
      <c r="A1" t="s">
        <v>193</v>
      </c>
      <c r="B1" t="s">
        <v>194</v>
      </c>
      <c r="C1" t="s">
        <v>195</v>
      </c>
      <c r="D1" t="s">
        <v>196</v>
      </c>
      <c r="E1" t="s">
        <v>256</v>
      </c>
    </row>
    <row r="2" spans="1:5">
      <c r="A2">
        <v>1</v>
      </c>
      <c r="B2" t="s">
        <v>201</v>
      </c>
      <c r="C2" t="s">
        <v>200</v>
      </c>
      <c r="D2" t="str">
        <f>LstEffectif[[#This Row],[prenom]] &amp; " " &amp; LstEffectif[[#This Row],[nom]]</f>
        <v xml:space="preserve">Emeric ABADIE </v>
      </c>
      <c r="E2" t="str">
        <f>LstEffectif[[#This Row],[nom]] &amp; " " &amp; LstEffectif[[#This Row],[prenom]]</f>
        <v>ABADIE  Emeric</v>
      </c>
    </row>
    <row r="3" spans="1:5">
      <c r="A3">
        <v>2</v>
      </c>
      <c r="B3" t="s">
        <v>129</v>
      </c>
      <c r="C3" t="s">
        <v>206</v>
      </c>
      <c r="D3" t="str">
        <f>LstEffectif[[#This Row],[prenom]] &amp; " " &amp; LstEffectif[[#This Row],[nom]]</f>
        <v>Lucas BAQUE</v>
      </c>
      <c r="E3" t="str">
        <f>LstEffectif[[#This Row],[nom]] &amp; " " &amp; LstEffectif[[#This Row],[prenom]]</f>
        <v>BAQUE Lucas</v>
      </c>
    </row>
    <row r="4" spans="1:5">
      <c r="A4">
        <v>3</v>
      </c>
      <c r="B4" t="s">
        <v>138</v>
      </c>
      <c r="C4" t="s">
        <v>204</v>
      </c>
      <c r="D4" t="str">
        <f>LstEffectif[[#This Row],[prenom]] &amp; " " &amp; LstEffectif[[#This Row],[nom]]</f>
        <v>xx BARATGIN</v>
      </c>
      <c r="E4" t="str">
        <f>LstEffectif[[#This Row],[nom]] &amp; " " &amp; LstEffectif[[#This Row],[prenom]]</f>
        <v>BARATGIN xx</v>
      </c>
    </row>
    <row r="5" spans="1:5">
      <c r="A5">
        <v>4</v>
      </c>
      <c r="B5" t="s">
        <v>139</v>
      </c>
      <c r="C5" t="s">
        <v>214</v>
      </c>
      <c r="D5" t="str">
        <f>LstEffectif[[#This Row],[prenom]] &amp; " " &amp; LstEffectif[[#This Row],[nom]]</f>
        <v>Sébastien BARTHIE</v>
      </c>
      <c r="E5" t="str">
        <f>LstEffectif[[#This Row],[nom]] &amp; " " &amp; LstEffectif[[#This Row],[prenom]]</f>
        <v>BARTHIE Sébastien</v>
      </c>
    </row>
    <row r="6" spans="1:5">
      <c r="A6">
        <v>5</v>
      </c>
      <c r="B6" t="s">
        <v>136</v>
      </c>
      <c r="C6" t="s">
        <v>210</v>
      </c>
      <c r="D6" t="str">
        <f>LstEffectif[[#This Row],[prenom]] &amp; " " &amp; LstEffectif[[#This Row],[nom]]</f>
        <v>Bastien BAUP</v>
      </c>
      <c r="E6" t="str">
        <f>LstEffectif[[#This Row],[nom]] &amp; " " &amp; LstEffectif[[#This Row],[prenom]]</f>
        <v>BAUP Bastien</v>
      </c>
    </row>
    <row r="7" spans="1:5">
      <c r="A7">
        <v>6</v>
      </c>
      <c r="B7" t="s">
        <v>124</v>
      </c>
      <c r="C7" t="s">
        <v>202</v>
      </c>
      <c r="D7" t="str">
        <f>LstEffectif[[#This Row],[prenom]] &amp; " " &amp; LstEffectif[[#This Row],[nom]]</f>
        <v>Jean BAYLE</v>
      </c>
      <c r="E7" t="str">
        <f>LstEffectif[[#This Row],[nom]] &amp; " " &amp; LstEffectif[[#This Row],[prenom]]</f>
        <v>BAYLE Jean</v>
      </c>
    </row>
    <row r="8" spans="1:5">
      <c r="A8">
        <v>7</v>
      </c>
      <c r="B8" t="s">
        <v>130</v>
      </c>
      <c r="C8" t="s">
        <v>207</v>
      </c>
      <c r="D8" t="str">
        <f>LstEffectif[[#This Row],[prenom]] &amp; " " &amp; LstEffectif[[#This Row],[nom]]</f>
        <v>Anthony BOURREC</v>
      </c>
      <c r="E8" t="str">
        <f>LstEffectif[[#This Row],[nom]] &amp; " " &amp; LstEffectif[[#This Row],[prenom]]</f>
        <v>BOURREC Anthony</v>
      </c>
    </row>
    <row r="9" spans="1:5">
      <c r="A9">
        <v>8</v>
      </c>
      <c r="B9" t="s">
        <v>191</v>
      </c>
      <c r="C9" t="s">
        <v>215</v>
      </c>
      <c r="D9" t="str">
        <f>LstEffectif[[#This Row],[prenom]] &amp; " " &amp; LstEffectif[[#This Row],[nom]]</f>
        <v>Tom CASTERA</v>
      </c>
      <c r="E9" t="str">
        <f>LstEffectif[[#This Row],[nom]] &amp; " " &amp; LstEffectif[[#This Row],[prenom]]</f>
        <v>CASTERA Tom</v>
      </c>
    </row>
    <row r="10" spans="1:5">
      <c r="A10">
        <v>9</v>
      </c>
      <c r="B10" t="s">
        <v>192</v>
      </c>
      <c r="C10" t="s">
        <v>197</v>
      </c>
      <c r="D10" t="str">
        <f>LstEffectif[[#This Row],[prenom]] &amp; " " &amp; LstEffectif[[#This Row],[nom]]</f>
        <v>Jonah DALLA ROSA</v>
      </c>
      <c r="E10" t="str">
        <f>LstEffectif[[#This Row],[nom]] &amp; " " &amp; LstEffectif[[#This Row],[prenom]]</f>
        <v>DALLA ROSA Jonah</v>
      </c>
    </row>
    <row r="11" spans="1:5">
      <c r="A11">
        <v>10</v>
      </c>
      <c r="B11" t="s">
        <v>121</v>
      </c>
      <c r="C11" t="s">
        <v>199</v>
      </c>
      <c r="D11" t="str">
        <f>LstEffectif[[#This Row],[prenom]] &amp; " " &amp; LstEffectif[[#This Row],[nom]]</f>
        <v>Thomas DASTUGUE</v>
      </c>
      <c r="E11" t="str">
        <f>LstEffectif[[#This Row],[nom]] &amp; " " &amp; LstEffectif[[#This Row],[prenom]]</f>
        <v>DASTUGUE Thomas</v>
      </c>
    </row>
    <row r="12" spans="1:5">
      <c r="A12">
        <v>11</v>
      </c>
      <c r="B12" t="s">
        <v>131</v>
      </c>
      <c r="C12" t="s">
        <v>208</v>
      </c>
      <c r="D12" t="str">
        <f>LstEffectif[[#This Row],[prenom]] &amp; " " &amp; LstEffectif[[#This Row],[nom]]</f>
        <v>Marius FAULONG</v>
      </c>
      <c r="E12" t="str">
        <f>LstEffectif[[#This Row],[nom]] &amp; " " &amp; LstEffectif[[#This Row],[prenom]]</f>
        <v>FAULONG Marius</v>
      </c>
    </row>
    <row r="13" spans="1:5">
      <c r="A13">
        <v>12</v>
      </c>
      <c r="B13" t="s">
        <v>140</v>
      </c>
      <c r="C13" t="s">
        <v>216</v>
      </c>
      <c r="D13" t="str">
        <f>LstEffectif[[#This Row],[prenom]] &amp; " " &amp; LstEffectif[[#This Row],[nom]]</f>
        <v>Joris JOUNAUX</v>
      </c>
      <c r="E13" t="str">
        <f>LstEffectif[[#This Row],[nom]] &amp; " " &amp; LstEffectif[[#This Row],[prenom]]</f>
        <v>JOUNAUX Joris</v>
      </c>
    </row>
    <row r="14" spans="1:5">
      <c r="A14">
        <v>13</v>
      </c>
      <c r="B14" t="s">
        <v>133</v>
      </c>
      <c r="C14" t="s">
        <v>210</v>
      </c>
      <c r="D14" t="str">
        <f>LstEffectif[[#This Row],[prenom]] &amp; " " &amp; LstEffectif[[#This Row],[nom]]</f>
        <v>Bastien KAPFER</v>
      </c>
      <c r="E14" t="str">
        <f>LstEffectif[[#This Row],[nom]] &amp; " " &amp; LstEffectif[[#This Row],[prenom]]</f>
        <v>KAPFER Bastien</v>
      </c>
    </row>
    <row r="15" spans="1:5">
      <c r="A15">
        <v>14</v>
      </c>
      <c r="B15" t="s">
        <v>132</v>
      </c>
      <c r="C15" t="s">
        <v>209</v>
      </c>
      <c r="D15" t="str">
        <f>LstEffectif[[#This Row],[prenom]] &amp; " " &amp; LstEffectif[[#This Row],[nom]]</f>
        <v>Jean-Baptiste LAUDET</v>
      </c>
      <c r="E15" t="str">
        <f>LstEffectif[[#This Row],[nom]] &amp; " " &amp; LstEffectif[[#This Row],[prenom]]</f>
        <v>LAUDET Jean-Baptiste</v>
      </c>
    </row>
    <row r="16" spans="1:5">
      <c r="A16">
        <v>15</v>
      </c>
      <c r="B16" t="s">
        <v>122</v>
      </c>
      <c r="C16" t="s">
        <v>198</v>
      </c>
      <c r="D16" t="str">
        <f>LstEffectif[[#This Row],[prenom]] &amp; " " &amp; LstEffectif[[#This Row],[nom]]</f>
        <v>Paul MICHELIN</v>
      </c>
      <c r="E16" t="str">
        <f>LstEffectif[[#This Row],[nom]] &amp; " " &amp; LstEffectif[[#This Row],[prenom]]</f>
        <v>MICHELIN Paul</v>
      </c>
    </row>
    <row r="17" spans="1:5">
      <c r="A17">
        <v>16</v>
      </c>
      <c r="B17" t="s">
        <v>128</v>
      </c>
      <c r="C17" t="s">
        <v>205</v>
      </c>
      <c r="D17" t="str">
        <f>LstEffectif[[#This Row],[prenom]] &amp; " " &amp; LstEffectif[[#This Row],[nom]]</f>
        <v>Yohan MONLOR</v>
      </c>
      <c r="E17" t="str">
        <f>LstEffectif[[#This Row],[nom]] &amp; " " &amp; LstEffectif[[#This Row],[prenom]]</f>
        <v>MONLOR Yohan</v>
      </c>
    </row>
    <row r="18" spans="1:5">
      <c r="A18">
        <v>17</v>
      </c>
      <c r="B18" t="s">
        <v>127</v>
      </c>
      <c r="C18" t="s">
        <v>204</v>
      </c>
      <c r="D18" t="str">
        <f>LstEffectif[[#This Row],[prenom]] &amp; " " &amp; LstEffectif[[#This Row],[nom]]</f>
        <v>xx PIQUEMIL</v>
      </c>
      <c r="E18" t="str">
        <f>LstEffectif[[#This Row],[nom]] &amp; " " &amp; LstEffectif[[#This Row],[prenom]]</f>
        <v>PIQUEMIL xx</v>
      </c>
    </row>
    <row r="19" spans="1:5">
      <c r="A19">
        <v>18</v>
      </c>
      <c r="B19" t="s">
        <v>135</v>
      </c>
      <c r="C19" t="s">
        <v>212</v>
      </c>
      <c r="D19" t="str">
        <f>LstEffectif[[#This Row],[prenom]] &amp; " " &amp; LstEffectif[[#This Row],[nom]]</f>
        <v>Jimmy ROBERT</v>
      </c>
      <c r="E19" t="str">
        <f>LstEffectif[[#This Row],[nom]] &amp; " " &amp; LstEffectif[[#This Row],[prenom]]</f>
        <v>ROBERT Jimmy</v>
      </c>
    </row>
    <row r="20" spans="1:5">
      <c r="A20">
        <v>19</v>
      </c>
      <c r="B20" t="s">
        <v>125</v>
      </c>
      <c r="C20" t="s">
        <v>204</v>
      </c>
      <c r="D20" t="str">
        <f>LstEffectif[[#This Row],[prenom]] &amp; " " &amp; LstEffectif[[#This Row],[nom]]</f>
        <v>xx ROUSSEL</v>
      </c>
      <c r="E20" t="str">
        <f>LstEffectif[[#This Row],[nom]] &amp; " " &amp; LstEffectif[[#This Row],[prenom]]</f>
        <v>ROUSSEL xx</v>
      </c>
    </row>
    <row r="21" spans="1:5">
      <c r="A21">
        <v>20</v>
      </c>
      <c r="B21" t="s">
        <v>134</v>
      </c>
      <c r="C21" t="s">
        <v>211</v>
      </c>
      <c r="D21" t="str">
        <f>LstEffectif[[#This Row],[prenom]] &amp; " " &amp; LstEffectif[[#This Row],[nom]]</f>
        <v>Fabien SALLES</v>
      </c>
      <c r="E21" t="str">
        <f>LstEffectif[[#This Row],[nom]] &amp; " " &amp; LstEffectif[[#This Row],[prenom]]</f>
        <v>SALLES Fabien</v>
      </c>
    </row>
    <row r="22" spans="1:5">
      <c r="A22">
        <v>21</v>
      </c>
      <c r="B22" t="s">
        <v>134</v>
      </c>
      <c r="C22" t="s">
        <v>203</v>
      </c>
      <c r="D22" t="str">
        <f>LstEffectif[[#This Row],[prenom]] &amp; " " &amp; LstEffectif[[#This Row],[nom]]</f>
        <v>Dorian SALLES</v>
      </c>
      <c r="E22" t="str">
        <f>LstEffectif[[#This Row],[nom]] &amp; " " &amp; LstEffectif[[#This Row],[prenom]]</f>
        <v>SALLES Dorian</v>
      </c>
    </row>
    <row r="23" spans="1:5">
      <c r="A23">
        <v>22</v>
      </c>
      <c r="B23" t="s">
        <v>137</v>
      </c>
      <c r="C23" t="s">
        <v>213</v>
      </c>
      <c r="D23" t="str">
        <f>LstEffectif[[#This Row],[prenom]] &amp; " " &amp; LstEffectif[[#This Row],[nom]]</f>
        <v>Titouan STEFANI</v>
      </c>
      <c r="E23" t="str">
        <f>LstEffectif[[#This Row],[nom]] &amp; " " &amp; LstEffectif[[#This Row],[prenom]]</f>
        <v>STEFANI Titouan</v>
      </c>
    </row>
    <row r="24" spans="1:5">
      <c r="A24">
        <v>23</v>
      </c>
      <c r="B24" t="s">
        <v>201</v>
      </c>
      <c r="C24" t="s">
        <v>217</v>
      </c>
      <c r="D24" t="str">
        <f>LstEffectif[[#This Row],[prenom]] &amp; " " &amp; LstEffectif[[#This Row],[nom]]</f>
        <v xml:space="preserve">Quentin ABADIE </v>
      </c>
      <c r="E24" t="str">
        <f>LstEffectif[[#This Row],[nom]] &amp; " " &amp; LstEffectif[[#This Row],[prenom]]</f>
        <v>ABADIE  Quentin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F46EB4-5276-3440-8B3E-59D95686BDAE}">
  <sheetPr codeName="Feuil6"/>
  <dimension ref="A1:R200"/>
  <sheetViews>
    <sheetView workbookViewId="0"/>
  </sheetViews>
  <sheetFormatPr baseColWidth="10" defaultRowHeight="13"/>
  <cols>
    <col min="1" max="1" width="24.6640625" customWidth="1"/>
    <col min="2" max="2" width="24.5" customWidth="1"/>
    <col min="3" max="3" width="14.6640625" customWidth="1"/>
    <col min="6" max="6" width="25.6640625" bestFit="1" customWidth="1"/>
    <col min="7" max="7" width="9.33203125" customWidth="1"/>
    <col min="9" max="9" width="27.6640625" customWidth="1"/>
    <col min="11" max="11" width="26.6640625" bestFit="1" customWidth="1"/>
    <col min="14" max="14" width="20.5" customWidth="1"/>
    <col min="17" max="17" width="28.83203125" bestFit="1" customWidth="1"/>
    <col min="18" max="18" width="20.5" bestFit="1" customWidth="1"/>
  </cols>
  <sheetData>
    <row r="1" spans="1:18" ht="30" customHeight="1">
      <c r="A1" t="s">
        <v>380</v>
      </c>
      <c r="C1" s="55" t="s">
        <v>388</v>
      </c>
      <c r="D1" s="55"/>
      <c r="F1" s="62" t="s">
        <v>254</v>
      </c>
      <c r="G1" s="63" t="s">
        <v>255</v>
      </c>
      <c r="I1" s="85" t="s">
        <v>282</v>
      </c>
      <c r="K1" s="62" t="s">
        <v>280</v>
      </c>
      <c r="N1" t="s">
        <v>340</v>
      </c>
      <c r="Q1" s="85" t="s">
        <v>221</v>
      </c>
      <c r="R1" s="85" t="s">
        <v>283</v>
      </c>
    </row>
    <row r="2" spans="1:18" ht="30" customHeight="1">
      <c r="A2" t="s">
        <v>403</v>
      </c>
      <c r="C2" s="59" t="s">
        <v>369</v>
      </c>
      <c r="D2" s="59"/>
      <c r="F2" s="57" t="s">
        <v>244</v>
      </c>
      <c r="G2" s="41"/>
      <c r="I2" s="58" t="s">
        <v>169</v>
      </c>
      <c r="K2" s="57" t="s">
        <v>260</v>
      </c>
      <c r="N2" t="s">
        <v>341</v>
      </c>
      <c r="Q2" s="58" t="s">
        <v>222</v>
      </c>
      <c r="R2" s="58" t="s">
        <v>59</v>
      </c>
    </row>
    <row r="3" spans="1:18" ht="30" customHeight="1">
      <c r="A3" t="s">
        <v>381</v>
      </c>
      <c r="C3" s="59" t="s">
        <v>379</v>
      </c>
      <c r="D3" s="59"/>
      <c r="F3" s="60" t="s">
        <v>245</v>
      </c>
      <c r="G3" s="34"/>
      <c r="I3" s="86" t="s">
        <v>279</v>
      </c>
      <c r="K3" s="60" t="s">
        <v>258</v>
      </c>
      <c r="N3" t="s">
        <v>359</v>
      </c>
      <c r="Q3" s="61" t="s">
        <v>223</v>
      </c>
      <c r="R3" s="61" t="s">
        <v>179</v>
      </c>
    </row>
    <row r="4" spans="1:18" ht="30" customHeight="1">
      <c r="A4" t="s">
        <v>382</v>
      </c>
      <c r="C4" s="59" t="s">
        <v>389</v>
      </c>
      <c r="D4" s="59"/>
      <c r="F4" s="57" t="s">
        <v>246</v>
      </c>
      <c r="G4" s="35"/>
      <c r="K4" s="57" t="s">
        <v>259</v>
      </c>
      <c r="Q4" s="58" t="s">
        <v>224</v>
      </c>
      <c r="R4" s="58" t="s">
        <v>60</v>
      </c>
    </row>
    <row r="5" spans="1:18" ht="30" customHeight="1">
      <c r="A5" t="s">
        <v>383</v>
      </c>
      <c r="C5" s="59"/>
      <c r="D5" s="59"/>
      <c r="F5" s="60" t="s">
        <v>247</v>
      </c>
      <c r="G5" s="36"/>
      <c r="I5" s="85" t="s">
        <v>281</v>
      </c>
      <c r="K5" s="60" t="s">
        <v>260</v>
      </c>
      <c r="Q5" s="61" t="s">
        <v>225</v>
      </c>
      <c r="R5" s="61" t="s">
        <v>226</v>
      </c>
    </row>
    <row r="6" spans="1:18" ht="30" customHeight="1">
      <c r="A6" t="s">
        <v>384</v>
      </c>
      <c r="C6" s="59" t="s">
        <v>390</v>
      </c>
      <c r="D6" s="59"/>
      <c r="F6" s="57" t="s">
        <v>249</v>
      </c>
      <c r="G6" s="37"/>
      <c r="I6" s="58" t="s">
        <v>168</v>
      </c>
      <c r="K6" s="57" t="s">
        <v>261</v>
      </c>
      <c r="Q6" s="58" t="s">
        <v>227</v>
      </c>
      <c r="R6" s="58" t="s">
        <v>228</v>
      </c>
    </row>
    <row r="7" spans="1:18" ht="30" customHeight="1">
      <c r="A7" t="s">
        <v>385</v>
      </c>
      <c r="C7" s="59" t="s">
        <v>370</v>
      </c>
      <c r="D7" s="59"/>
      <c r="F7" s="60" t="s">
        <v>248</v>
      </c>
      <c r="G7" s="54"/>
      <c r="I7" s="86" t="s">
        <v>142</v>
      </c>
      <c r="K7" s="60" t="s">
        <v>262</v>
      </c>
      <c r="Q7" s="61" t="s">
        <v>229</v>
      </c>
      <c r="R7" s="61" t="s">
        <v>182</v>
      </c>
    </row>
    <row r="8" spans="1:18" ht="30" customHeight="1">
      <c r="A8" s="55" t="s">
        <v>386</v>
      </c>
      <c r="C8" s="59" t="s">
        <v>391</v>
      </c>
      <c r="D8" s="59"/>
      <c r="F8" s="57" t="s">
        <v>250</v>
      </c>
      <c r="G8" s="29"/>
      <c r="K8" s="57" t="s">
        <v>263</v>
      </c>
      <c r="Q8" s="58" t="s">
        <v>230</v>
      </c>
      <c r="R8" s="58" t="s">
        <v>180</v>
      </c>
    </row>
    <row r="9" spans="1:18" s="55" customFormat="1" ht="30" customHeight="1">
      <c r="A9" t="s">
        <v>387</v>
      </c>
      <c r="C9" s="59" t="s">
        <v>392</v>
      </c>
      <c r="D9" s="59"/>
      <c r="F9" s="60" t="s">
        <v>251</v>
      </c>
      <c r="G9" s="38"/>
      <c r="K9" s="60" t="s">
        <v>264</v>
      </c>
      <c r="Q9" s="61" t="s">
        <v>231</v>
      </c>
      <c r="R9" s="61" t="s">
        <v>183</v>
      </c>
    </row>
    <row r="10" spans="1:18" ht="30" customHeight="1">
      <c r="C10" s="59"/>
      <c r="D10" s="59"/>
      <c r="F10" s="57" t="s">
        <v>252</v>
      </c>
      <c r="G10" s="39"/>
      <c r="K10" s="57" t="s">
        <v>265</v>
      </c>
      <c r="Q10" s="58" t="s">
        <v>232</v>
      </c>
      <c r="R10" s="58" t="s">
        <v>181</v>
      </c>
    </row>
    <row r="11" spans="1:18" s="55" customFormat="1" ht="30" customHeight="1">
      <c r="C11" s="59" t="s">
        <v>393</v>
      </c>
      <c r="D11" s="59"/>
      <c r="F11" s="60"/>
      <c r="K11" s="60" t="s">
        <v>266</v>
      </c>
      <c r="Q11" s="61" t="s">
        <v>233</v>
      </c>
      <c r="R11" s="61" t="s">
        <v>184</v>
      </c>
    </row>
    <row r="12" spans="1:18" ht="30" customHeight="1">
      <c r="C12" s="59" t="s">
        <v>371</v>
      </c>
      <c r="D12" s="59"/>
      <c r="F12" s="57" t="s">
        <v>253</v>
      </c>
      <c r="G12" s="40"/>
      <c r="K12" s="57" t="s">
        <v>267</v>
      </c>
      <c r="Q12" s="58" t="s">
        <v>366</v>
      </c>
      <c r="R12" s="58" t="s">
        <v>350</v>
      </c>
    </row>
    <row r="13" spans="1:18" s="55" customFormat="1" ht="30" customHeight="1">
      <c r="C13" s="59" t="s">
        <v>394</v>
      </c>
      <c r="D13" s="59"/>
      <c r="K13" s="60" t="s">
        <v>268</v>
      </c>
      <c r="Q13" s="61" t="s">
        <v>365</v>
      </c>
      <c r="R13" s="61" t="s">
        <v>351</v>
      </c>
    </row>
    <row r="14" spans="1:18" ht="30" customHeight="1">
      <c r="C14" s="59" t="s">
        <v>395</v>
      </c>
      <c r="D14" s="59"/>
      <c r="I14" s="56" t="s">
        <v>311</v>
      </c>
      <c r="K14" s="57" t="s">
        <v>269</v>
      </c>
      <c r="Q14" s="61" t="s">
        <v>234</v>
      </c>
      <c r="R14" s="61" t="s">
        <v>174</v>
      </c>
    </row>
    <row r="15" spans="1:18" s="55" customFormat="1" ht="30" customHeight="1">
      <c r="C15" s="59"/>
      <c r="D15" s="59"/>
      <c r="I15" s="55" t="s">
        <v>307</v>
      </c>
      <c r="K15" s="60" t="s">
        <v>270</v>
      </c>
      <c r="Q15" s="61" t="s">
        <v>235</v>
      </c>
      <c r="R15" s="61" t="s">
        <v>185</v>
      </c>
    </row>
    <row r="16" spans="1:18" ht="30" customHeight="1">
      <c r="C16" s="59" t="s">
        <v>406</v>
      </c>
      <c r="D16" s="59"/>
      <c r="I16" s="55" t="s">
        <v>308</v>
      </c>
      <c r="K16" s="57" t="s">
        <v>271</v>
      </c>
      <c r="Q16" s="58" t="s">
        <v>236</v>
      </c>
      <c r="R16" s="58" t="s">
        <v>186</v>
      </c>
    </row>
    <row r="17" spans="3:18" s="55" customFormat="1" ht="30" customHeight="1">
      <c r="C17" s="59" t="s">
        <v>407</v>
      </c>
      <c r="D17" s="59"/>
      <c r="I17" s="55" t="s">
        <v>309</v>
      </c>
      <c r="K17" s="60" t="s">
        <v>272</v>
      </c>
      <c r="Q17" s="61" t="s">
        <v>237</v>
      </c>
      <c r="R17" s="61" t="s">
        <v>187</v>
      </c>
    </row>
    <row r="18" spans="3:18" ht="30" customHeight="1">
      <c r="C18" s="59" t="s">
        <v>408</v>
      </c>
      <c r="D18" s="59"/>
      <c r="I18" s="55" t="s">
        <v>310</v>
      </c>
      <c r="K18" s="57" t="s">
        <v>273</v>
      </c>
      <c r="Q18" s="58" t="s">
        <v>238</v>
      </c>
      <c r="R18" s="58" t="s">
        <v>178</v>
      </c>
    </row>
    <row r="19" spans="3:18" ht="30" customHeight="1">
      <c r="C19" s="59" t="s">
        <v>409</v>
      </c>
      <c r="D19" s="59"/>
      <c r="K19" s="60" t="s">
        <v>274</v>
      </c>
      <c r="Q19" s="61" t="s">
        <v>239</v>
      </c>
      <c r="R19" s="61" t="s">
        <v>175</v>
      </c>
    </row>
    <row r="20" spans="3:18" ht="30" customHeight="1">
      <c r="C20" s="59" t="s">
        <v>410</v>
      </c>
      <c r="D20" s="59"/>
      <c r="K20" s="57" t="s">
        <v>275</v>
      </c>
      <c r="Q20" s="58" t="s">
        <v>240</v>
      </c>
      <c r="R20" s="58" t="s">
        <v>176</v>
      </c>
    </row>
    <row r="21" spans="3:18" ht="30" customHeight="1">
      <c r="C21" s="59"/>
      <c r="D21" s="59"/>
      <c r="K21" s="60" t="s">
        <v>276</v>
      </c>
      <c r="Q21" s="61" t="s">
        <v>241</v>
      </c>
      <c r="R21" s="61" t="s">
        <v>171</v>
      </c>
    </row>
    <row r="22" spans="3:18" ht="30" customHeight="1">
      <c r="C22" s="59"/>
      <c r="D22" s="59"/>
      <c r="K22" s="57" t="s">
        <v>277</v>
      </c>
      <c r="Q22" s="58" t="s">
        <v>242</v>
      </c>
      <c r="R22" s="58" t="s">
        <v>172</v>
      </c>
    </row>
    <row r="23" spans="3:18" ht="30" customHeight="1">
      <c r="C23" s="59"/>
      <c r="D23" s="59"/>
      <c r="K23" s="60" t="s">
        <v>278</v>
      </c>
      <c r="Q23" s="61" t="s">
        <v>243</v>
      </c>
      <c r="R23" s="61" t="s">
        <v>94</v>
      </c>
    </row>
    <row r="24" spans="3:18" ht="30" customHeight="1">
      <c r="C24" s="59"/>
      <c r="D24" s="59"/>
      <c r="K24" s="57" t="s">
        <v>119</v>
      </c>
      <c r="Q24" s="58" t="s">
        <v>318</v>
      </c>
      <c r="R24" s="58" t="s">
        <v>320</v>
      </c>
    </row>
    <row r="25" spans="3:18" ht="30" customHeight="1">
      <c r="K25" s="60" t="s">
        <v>88</v>
      </c>
      <c r="Q25" s="61" t="s">
        <v>319</v>
      </c>
      <c r="R25" s="61" t="s">
        <v>321</v>
      </c>
    </row>
    <row r="26" spans="3:18" ht="30" customHeight="1">
      <c r="Q26" s="61" t="s">
        <v>322</v>
      </c>
      <c r="R26" s="61" t="s">
        <v>323</v>
      </c>
    </row>
    <row r="27" spans="3:18" ht="30" customHeight="1">
      <c r="Q27" s="61" t="s">
        <v>324</v>
      </c>
      <c r="R27" s="61" t="s">
        <v>325</v>
      </c>
    </row>
    <row r="28" spans="3:18" ht="30" customHeight="1">
      <c r="Q28" s="58" t="s">
        <v>326</v>
      </c>
      <c r="R28" s="58" t="s">
        <v>61</v>
      </c>
    </row>
    <row r="29" spans="3:18" ht="30" customHeight="1">
      <c r="Q29" s="61" t="s">
        <v>327</v>
      </c>
      <c r="R29" s="61" t="s">
        <v>328</v>
      </c>
    </row>
    <row r="30" spans="3:18" ht="30" customHeight="1">
      <c r="Q30" s="111" t="s">
        <v>349</v>
      </c>
      <c r="R30" s="111" t="s">
        <v>343</v>
      </c>
    </row>
    <row r="31" spans="3:18" ht="30" customHeight="1">
      <c r="Q31" s="61" t="s">
        <v>352</v>
      </c>
      <c r="R31" s="61" t="s">
        <v>344</v>
      </c>
    </row>
    <row r="32" spans="3:18" ht="30" customHeight="1">
      <c r="Q32" s="61" t="s">
        <v>353</v>
      </c>
      <c r="R32" s="61" t="s">
        <v>345</v>
      </c>
    </row>
    <row r="33" spans="17:18" ht="30" customHeight="1">
      <c r="Q33" s="61" t="s">
        <v>354</v>
      </c>
      <c r="R33" s="61" t="s">
        <v>226</v>
      </c>
    </row>
    <row r="34" spans="17:18" ht="30" customHeight="1">
      <c r="Q34" s="111" t="s">
        <v>355</v>
      </c>
      <c r="R34" s="111" t="s">
        <v>228</v>
      </c>
    </row>
    <row r="35" spans="17:18" ht="30" customHeight="1">
      <c r="Q35" s="61" t="s">
        <v>358</v>
      </c>
      <c r="R35" s="61" t="s">
        <v>88</v>
      </c>
    </row>
    <row r="36" spans="17:18" ht="30" customHeight="1"/>
    <row r="37" spans="17:18" ht="30" customHeight="1"/>
    <row r="38" spans="17:18" ht="30" customHeight="1"/>
    <row r="39" spans="17:18" ht="30" customHeight="1"/>
    <row r="40" spans="17:18" ht="30" customHeight="1"/>
    <row r="41" spans="17:18" ht="30" customHeight="1"/>
    <row r="42" spans="17:18" ht="30" customHeight="1"/>
    <row r="43" spans="17:18" ht="30" customHeight="1"/>
    <row r="44" spans="17:18" ht="30" customHeight="1"/>
    <row r="45" spans="17:18" ht="30" customHeight="1"/>
    <row r="46" spans="17:18" ht="30" customHeight="1"/>
    <row r="47" spans="17:18" ht="30" customHeight="1"/>
    <row r="48" spans="17:18" ht="30" customHeight="1"/>
    <row r="49" ht="30" customHeight="1"/>
    <row r="50" ht="30" customHeight="1"/>
    <row r="51" ht="30" customHeight="1"/>
    <row r="52" ht="30" customHeight="1"/>
    <row r="53" ht="30" customHeight="1"/>
    <row r="54" ht="30" customHeight="1"/>
    <row r="55" ht="30" customHeight="1"/>
    <row r="56" ht="30" customHeight="1"/>
    <row r="57" ht="30" customHeight="1"/>
    <row r="58" ht="30" customHeight="1"/>
    <row r="59" ht="30" customHeight="1"/>
    <row r="60" ht="30" customHeight="1"/>
    <row r="61" ht="30" customHeight="1"/>
    <row r="62" ht="30" customHeight="1"/>
    <row r="63" ht="30" customHeight="1"/>
    <row r="64" ht="30" customHeight="1"/>
    <row r="65" ht="30" customHeight="1"/>
    <row r="66" ht="30" customHeight="1"/>
    <row r="67" ht="30" customHeight="1"/>
    <row r="68" ht="30" customHeight="1"/>
    <row r="69" ht="30" customHeight="1"/>
    <row r="70" ht="30" customHeight="1"/>
    <row r="71" ht="30" customHeight="1"/>
    <row r="72" ht="30" customHeight="1"/>
    <row r="73" ht="30" customHeight="1"/>
    <row r="74" ht="30" customHeight="1"/>
    <row r="75" ht="30" customHeight="1"/>
    <row r="76" ht="30" customHeight="1"/>
    <row r="77" ht="30" customHeight="1"/>
    <row r="78" ht="30" customHeight="1"/>
    <row r="79" ht="30" customHeight="1"/>
    <row r="80" ht="30" customHeight="1"/>
    <row r="81" ht="30" customHeight="1"/>
    <row r="82" ht="30" customHeight="1"/>
    <row r="83" ht="30" customHeight="1"/>
    <row r="84" ht="30" customHeight="1"/>
    <row r="85" ht="30" customHeight="1"/>
    <row r="86" ht="30" customHeight="1"/>
    <row r="87" ht="30" customHeight="1"/>
    <row r="88" ht="30" customHeight="1"/>
    <row r="89" ht="30" customHeight="1"/>
    <row r="90" ht="30" customHeight="1"/>
    <row r="91" ht="30" customHeight="1"/>
    <row r="92" ht="30" customHeight="1"/>
    <row r="93" ht="30" customHeight="1"/>
    <row r="94" ht="30" customHeight="1"/>
    <row r="95" ht="30" customHeight="1"/>
    <row r="96" ht="30" customHeight="1"/>
    <row r="97" ht="30" customHeight="1"/>
    <row r="98" ht="30" customHeight="1"/>
    <row r="99" ht="30" customHeight="1"/>
    <row r="100" ht="30" customHeight="1"/>
    <row r="101" ht="30" customHeight="1"/>
    <row r="102" ht="30" customHeight="1"/>
    <row r="103" ht="30" customHeight="1"/>
    <row r="104" ht="30" customHeight="1"/>
    <row r="105" ht="30" customHeight="1"/>
    <row r="106" ht="30" customHeight="1"/>
    <row r="107" ht="30" customHeight="1"/>
    <row r="108" ht="30" customHeight="1"/>
    <row r="109" ht="30" customHeight="1"/>
    <row r="110" ht="30" customHeight="1"/>
    <row r="111" ht="30" customHeight="1"/>
    <row r="112" ht="30" customHeight="1"/>
    <row r="113" ht="30" customHeight="1"/>
    <row r="114" ht="30" customHeight="1"/>
    <row r="115" ht="30" customHeight="1"/>
    <row r="116" ht="30" customHeight="1"/>
    <row r="117" ht="30" customHeight="1"/>
    <row r="118" ht="30" customHeight="1"/>
    <row r="119" ht="30" customHeight="1"/>
    <row r="120" ht="30" customHeight="1"/>
    <row r="121" ht="30" customHeight="1"/>
    <row r="122" ht="30" customHeight="1"/>
    <row r="123" ht="30" customHeight="1"/>
    <row r="124" ht="30" customHeight="1"/>
    <row r="125" ht="30" customHeight="1"/>
    <row r="126" ht="30" customHeight="1"/>
    <row r="127" ht="30" customHeight="1"/>
    <row r="128" ht="30" customHeight="1"/>
    <row r="129" ht="30" customHeight="1"/>
    <row r="130" ht="30" customHeight="1"/>
    <row r="131" ht="30" customHeight="1"/>
    <row r="132" ht="30" customHeight="1"/>
    <row r="133" ht="30" customHeight="1"/>
    <row r="134" ht="30" customHeight="1"/>
    <row r="135" ht="30" customHeight="1"/>
    <row r="136" ht="30" customHeight="1"/>
    <row r="137" ht="30" customHeight="1"/>
    <row r="138" ht="30" customHeight="1"/>
    <row r="139" ht="30" customHeight="1"/>
    <row r="140" ht="30" customHeight="1"/>
    <row r="141" ht="30" customHeight="1"/>
    <row r="142" ht="30" customHeight="1"/>
    <row r="143" ht="30" customHeight="1"/>
    <row r="144" ht="30" customHeight="1"/>
    <row r="145" ht="30" customHeight="1"/>
    <row r="146" ht="30" customHeight="1"/>
    <row r="147" ht="30" customHeight="1"/>
    <row r="148" ht="30" customHeight="1"/>
    <row r="149" ht="30" customHeight="1"/>
    <row r="150" ht="30" customHeight="1"/>
    <row r="151" ht="30" customHeight="1"/>
    <row r="152" ht="30" customHeight="1"/>
    <row r="153" ht="30" customHeight="1"/>
    <row r="154" ht="30" customHeight="1"/>
    <row r="155" ht="30" customHeight="1"/>
    <row r="156" ht="30" customHeight="1"/>
    <row r="157" ht="30" customHeight="1"/>
    <row r="158" ht="30" customHeight="1"/>
    <row r="159" ht="30" customHeight="1"/>
    <row r="160" ht="30" customHeight="1"/>
    <row r="161" ht="30" customHeight="1"/>
    <row r="162" ht="30" customHeight="1"/>
    <row r="163" ht="30" customHeight="1"/>
    <row r="164" ht="30" customHeight="1"/>
    <row r="165" ht="30" customHeight="1"/>
    <row r="166" ht="30" customHeight="1"/>
    <row r="167" ht="30" customHeight="1"/>
    <row r="168" ht="30" customHeight="1"/>
    <row r="169" ht="30" customHeight="1"/>
    <row r="170" ht="30" customHeight="1"/>
    <row r="171" ht="30" customHeight="1"/>
    <row r="172" ht="30" customHeight="1"/>
    <row r="173" ht="30" customHeight="1"/>
    <row r="174" ht="30" customHeight="1"/>
    <row r="175" ht="30" customHeight="1"/>
    <row r="176" ht="30" customHeight="1"/>
    <row r="177" ht="30" customHeight="1"/>
    <row r="178" ht="30" customHeight="1"/>
    <row r="179" ht="30" customHeight="1"/>
    <row r="180" ht="30" customHeight="1"/>
    <row r="181" ht="30" customHeight="1"/>
    <row r="182" ht="30" customHeight="1"/>
    <row r="183" ht="30" customHeight="1"/>
    <row r="184" ht="30" customHeight="1"/>
    <row r="185" ht="30" customHeight="1"/>
    <row r="186" ht="30" customHeight="1"/>
    <row r="187" ht="30" customHeight="1"/>
    <row r="188" ht="30" customHeight="1"/>
    <row r="189" ht="30" customHeight="1"/>
    <row r="190" ht="30" customHeight="1"/>
    <row r="191" ht="30" customHeight="1"/>
    <row r="192" ht="30" customHeight="1"/>
    <row r="193" ht="30" customHeight="1"/>
    <row r="194" ht="30" customHeight="1"/>
    <row r="195" ht="30" customHeight="1"/>
    <row r="196" ht="30" customHeight="1"/>
    <row r="197" ht="30" customHeight="1"/>
    <row r="198" ht="30" customHeight="1"/>
    <row r="199" ht="30" customHeight="1"/>
    <row r="200" ht="30" customHeight="1"/>
  </sheetData>
  <phoneticPr fontId="21" type="noConversion"/>
  <pageMargins left="0.7" right="0.7" top="0.75" bottom="0.75" header="0.3" footer="0.3"/>
  <pageSetup paperSize="9" orientation="portrait" horizontalDpi="0" verticalDpi="0"/>
  <tableParts count="10">
    <tablePart r:id="rId1"/>
    <tablePart r:id="rId2"/>
    <tablePart r:id="rId3"/>
    <tablePart r:id="rId4"/>
    <tablePart r:id="rId5"/>
    <tablePart r:id="rId6"/>
    <tablePart r:id="rId7"/>
    <tablePart r:id="rId8"/>
    <tablePart r:id="rId9"/>
    <tablePart r:id="rId10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C2272C-795E-A84B-BAA9-7FD18E9D0291}">
  <sheetPr codeName="Feuil7"/>
  <dimension ref="H24:K32"/>
  <sheetViews>
    <sheetView workbookViewId="0"/>
  </sheetViews>
  <sheetFormatPr baseColWidth="10" defaultRowHeight="13"/>
  <cols>
    <col min="1" max="8" width="10.83203125" style="31"/>
    <col min="9" max="9" width="27" style="31" customWidth="1"/>
    <col min="10" max="10" width="4.5" style="31" customWidth="1"/>
    <col min="11" max="16384" width="10.83203125" style="31"/>
  </cols>
  <sheetData>
    <row r="24" spans="8:11">
      <c r="H24" s="31" t="s">
        <v>220</v>
      </c>
    </row>
    <row r="26" spans="8:11">
      <c r="H26" s="44"/>
      <c r="I26" s="45"/>
      <c r="J26" s="45"/>
      <c r="K26" s="46"/>
    </row>
    <row r="27" spans="8:11">
      <c r="H27" s="47"/>
      <c r="K27" s="48"/>
    </row>
    <row r="28" spans="8:11">
      <c r="H28" s="53" t="s">
        <v>218</v>
      </c>
      <c r="I28" s="52"/>
      <c r="K28" s="48"/>
    </row>
    <row r="29" spans="8:11">
      <c r="H29" s="53"/>
      <c r="K29" s="48"/>
    </row>
    <row r="30" spans="8:11">
      <c r="H30" s="53" t="s">
        <v>219</v>
      </c>
      <c r="I30" s="52"/>
      <c r="K30" s="48"/>
    </row>
    <row r="31" spans="8:11">
      <c r="H31" s="47"/>
      <c r="K31" s="48"/>
    </row>
    <row r="32" spans="8:11">
      <c r="H32" s="49"/>
      <c r="I32" s="50"/>
      <c r="J32" s="50"/>
      <c r="K32" s="51"/>
    </row>
  </sheetData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371AA5-A81C-9141-B475-D691A8665092}">
  <sheetPr codeName="Feuil1"/>
  <dimension ref="A1:N32"/>
  <sheetViews>
    <sheetView workbookViewId="0"/>
  </sheetViews>
  <sheetFormatPr baseColWidth="10" defaultRowHeight="13"/>
  <cols>
    <col min="1" max="1" width="23" style="9" customWidth="1"/>
    <col min="2" max="3" width="13.6640625" style="17" customWidth="1"/>
    <col min="4" max="4" width="13.1640625" style="17" customWidth="1"/>
    <col min="5" max="5" width="13.83203125" style="17" customWidth="1"/>
    <col min="6" max="6" width="13.5" style="17" customWidth="1"/>
    <col min="7" max="7" width="17.33203125" style="17" customWidth="1"/>
    <col min="8" max="8" width="14.1640625" style="4" customWidth="1"/>
    <col min="9" max="9" width="14.1640625" style="17" customWidth="1"/>
    <col min="10" max="14" width="14.1640625" style="4" customWidth="1"/>
  </cols>
  <sheetData>
    <row r="1" spans="1:12">
      <c r="A1" s="1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/>
      <c r="H1" s="3"/>
      <c r="I1" s="3"/>
      <c r="J1" s="1"/>
    </row>
    <row r="2" spans="1:12" ht="12.75" customHeight="1">
      <c r="A2" s="5" t="s">
        <v>6</v>
      </c>
      <c r="B2" s="6">
        <v>6</v>
      </c>
      <c r="C2" s="6">
        <v>1</v>
      </c>
      <c r="D2" s="6"/>
      <c r="E2" s="6"/>
      <c r="F2" s="6"/>
      <c r="G2" s="6"/>
      <c r="H2" s="6"/>
      <c r="I2" s="6"/>
      <c r="J2" s="6"/>
    </row>
    <row r="3" spans="1:12" ht="12.75" customHeight="1">
      <c r="A3" s="5" t="s">
        <v>7</v>
      </c>
      <c r="B3" s="6">
        <v>3</v>
      </c>
      <c r="C3" s="6">
        <v>3</v>
      </c>
      <c r="D3" s="6"/>
      <c r="E3" s="6"/>
      <c r="F3" s="6"/>
      <c r="G3" s="6"/>
      <c r="H3" s="6"/>
      <c r="I3" s="6"/>
      <c r="J3" s="6"/>
    </row>
    <row r="4" spans="1:12" ht="12.75" customHeight="1">
      <c r="A4" s="5" t="s">
        <v>8</v>
      </c>
      <c r="B4" s="7">
        <v>5</v>
      </c>
      <c r="C4" s="6">
        <v>8</v>
      </c>
      <c r="D4" s="6"/>
      <c r="E4" s="6"/>
      <c r="F4" s="6"/>
      <c r="G4" s="6"/>
      <c r="H4" s="6"/>
      <c r="I4" s="6"/>
      <c r="J4" s="6"/>
    </row>
    <row r="5" spans="1:12" ht="12.75" customHeight="1">
      <c r="A5" s="8" t="s">
        <v>9</v>
      </c>
      <c r="B5" s="6">
        <v>3</v>
      </c>
      <c r="C5" s="6">
        <v>2</v>
      </c>
      <c r="D5" s="6"/>
      <c r="E5" s="6" t="s">
        <v>10</v>
      </c>
      <c r="F5" s="6"/>
      <c r="G5" s="6"/>
      <c r="H5" s="6"/>
      <c r="I5" s="6"/>
      <c r="J5" s="6"/>
      <c r="L5" s="9"/>
    </row>
    <row r="6" spans="1:12" ht="12.75" customHeight="1">
      <c r="A6" s="5" t="s">
        <v>11</v>
      </c>
      <c r="B6" s="6">
        <v>3</v>
      </c>
      <c r="C6" s="6">
        <v>8</v>
      </c>
      <c r="D6" s="6"/>
      <c r="E6" s="6" t="s">
        <v>12</v>
      </c>
      <c r="F6" s="6"/>
      <c r="G6" s="6"/>
      <c r="H6" s="6"/>
      <c r="I6" s="6"/>
      <c r="J6" s="6"/>
    </row>
    <row r="7" spans="1:12" ht="12.75" customHeight="1">
      <c r="A7" s="5" t="s">
        <v>13</v>
      </c>
      <c r="B7" s="6">
        <v>6</v>
      </c>
      <c r="C7" s="6">
        <v>2</v>
      </c>
      <c r="D7" s="6"/>
      <c r="E7" s="6"/>
      <c r="F7" s="6">
        <v>1</v>
      </c>
      <c r="G7" s="6"/>
      <c r="H7" s="6"/>
      <c r="I7" s="6"/>
      <c r="J7" s="6"/>
    </row>
    <row r="8" spans="1:12" ht="12.75" customHeight="1">
      <c r="A8" s="5" t="s">
        <v>14</v>
      </c>
      <c r="B8" s="6">
        <v>6</v>
      </c>
      <c r="C8" s="6">
        <v>6</v>
      </c>
      <c r="D8" s="6">
        <v>1</v>
      </c>
      <c r="E8" s="6" t="s">
        <v>15</v>
      </c>
      <c r="F8" s="6"/>
      <c r="G8" s="6"/>
      <c r="H8" s="6"/>
      <c r="I8" s="6"/>
      <c r="J8" s="6"/>
    </row>
    <row r="9" spans="1:12" ht="12.75" customHeight="1">
      <c r="A9" s="5" t="s">
        <v>16</v>
      </c>
      <c r="B9" s="6">
        <v>2</v>
      </c>
      <c r="C9" s="6">
        <v>1</v>
      </c>
      <c r="D9" s="6"/>
      <c r="E9" s="6" t="s">
        <v>10</v>
      </c>
      <c r="F9" s="6"/>
      <c r="G9" s="6"/>
      <c r="H9" s="6"/>
      <c r="I9" s="6"/>
      <c r="J9" s="6"/>
    </row>
    <row r="10" spans="1:12" ht="12.75" customHeight="1">
      <c r="A10" s="5" t="s">
        <v>17</v>
      </c>
      <c r="B10" s="6">
        <v>3</v>
      </c>
      <c r="C10" s="6">
        <v>2</v>
      </c>
      <c r="D10" s="6"/>
      <c r="E10" s="6"/>
      <c r="F10" s="6">
        <v>2</v>
      </c>
      <c r="G10" s="6"/>
      <c r="H10" s="6"/>
      <c r="I10" s="6"/>
      <c r="J10" s="6"/>
    </row>
    <row r="11" spans="1:12" ht="12.75" customHeight="1">
      <c r="A11" s="5" t="s">
        <v>18</v>
      </c>
      <c r="B11" s="6">
        <v>5</v>
      </c>
      <c r="C11" s="6">
        <v>3</v>
      </c>
      <c r="D11" s="6"/>
      <c r="E11" s="6"/>
      <c r="F11" s="6"/>
      <c r="G11" s="6"/>
      <c r="H11" s="6"/>
      <c r="I11" s="6"/>
      <c r="J11" s="6"/>
    </row>
    <row r="12" spans="1:12" ht="12.75" customHeight="1">
      <c r="A12" s="5" t="s">
        <v>19</v>
      </c>
      <c r="B12" s="6">
        <v>3</v>
      </c>
      <c r="C12" s="6">
        <v>3</v>
      </c>
      <c r="D12" s="6"/>
      <c r="E12" s="6"/>
      <c r="F12" s="6">
        <v>1</v>
      </c>
      <c r="G12" s="6"/>
      <c r="H12" s="6"/>
      <c r="I12" s="6"/>
      <c r="J12" s="6"/>
    </row>
    <row r="13" spans="1:12" ht="12.75" customHeight="1">
      <c r="A13" s="5" t="s">
        <v>20</v>
      </c>
      <c r="B13" s="6">
        <v>3</v>
      </c>
      <c r="C13" s="6">
        <v>9</v>
      </c>
      <c r="D13" s="6"/>
      <c r="E13" s="6" t="s">
        <v>12</v>
      </c>
      <c r="F13" s="6"/>
      <c r="G13" s="6"/>
      <c r="H13" s="6"/>
      <c r="I13" s="6"/>
      <c r="J13" s="6"/>
    </row>
    <row r="14" spans="1:12" ht="12.75" customHeight="1">
      <c r="A14" s="5" t="s">
        <v>21</v>
      </c>
      <c r="B14" s="6">
        <v>1</v>
      </c>
      <c r="C14" s="6">
        <v>2</v>
      </c>
      <c r="D14" s="6"/>
      <c r="E14" s="6"/>
      <c r="F14" s="6">
        <v>2</v>
      </c>
      <c r="G14" s="6"/>
      <c r="H14" s="6"/>
      <c r="I14" s="6"/>
      <c r="J14" s="6"/>
    </row>
    <row r="15" spans="1:12" ht="12.75" customHeight="1">
      <c r="A15" s="8" t="s">
        <v>22</v>
      </c>
      <c r="B15" s="7">
        <v>4</v>
      </c>
      <c r="C15" s="6"/>
      <c r="D15" s="6"/>
      <c r="E15" s="6"/>
      <c r="F15" s="6"/>
      <c r="G15" s="6"/>
      <c r="H15" s="6"/>
      <c r="I15" s="6"/>
      <c r="J15" s="6"/>
    </row>
    <row r="16" spans="1:12" ht="12.75" customHeight="1">
      <c r="A16" s="8" t="s">
        <v>23</v>
      </c>
      <c r="B16" s="7">
        <v>1</v>
      </c>
      <c r="C16" s="6"/>
      <c r="D16" s="6"/>
      <c r="E16" s="6" t="s">
        <v>15</v>
      </c>
      <c r="F16" s="6"/>
      <c r="G16" s="6"/>
      <c r="H16" s="6"/>
      <c r="I16" s="6"/>
      <c r="J16" s="6"/>
    </row>
    <row r="17" spans="1:14" ht="12.75" customHeight="1">
      <c r="A17" s="8" t="s">
        <v>24</v>
      </c>
      <c r="B17" s="7"/>
      <c r="C17" s="6">
        <v>3</v>
      </c>
      <c r="D17" s="6">
        <v>1</v>
      </c>
      <c r="E17" s="6" t="s">
        <v>25</v>
      </c>
      <c r="F17" s="6"/>
      <c r="G17" s="6"/>
      <c r="H17" s="6"/>
      <c r="I17" s="6"/>
      <c r="J17" s="6"/>
    </row>
    <row r="18" spans="1:14" ht="12.75" customHeight="1">
      <c r="A18" s="5" t="s">
        <v>26</v>
      </c>
      <c r="B18" s="7"/>
      <c r="C18" s="6">
        <v>2</v>
      </c>
      <c r="D18" s="6"/>
      <c r="E18" s="6"/>
      <c r="F18" s="6"/>
      <c r="G18" s="6"/>
      <c r="H18" s="6"/>
      <c r="I18" s="6"/>
      <c r="J18" s="6"/>
    </row>
    <row r="19" spans="1:14" ht="12.75" customHeight="1">
      <c r="A19" s="8" t="s">
        <v>27</v>
      </c>
      <c r="B19" s="7"/>
      <c r="C19" s="6">
        <v>11</v>
      </c>
      <c r="D19" s="6"/>
      <c r="E19" s="6" t="s">
        <v>28</v>
      </c>
      <c r="F19" s="6">
        <v>1</v>
      </c>
      <c r="G19" s="6"/>
      <c r="H19" s="6"/>
      <c r="I19" s="6"/>
      <c r="J19" s="6"/>
      <c r="L19" s="10" t="s">
        <v>29</v>
      </c>
      <c r="M19" s="11"/>
      <c r="N19" s="12"/>
    </row>
    <row r="20" spans="1:14" ht="12.75" customHeight="1">
      <c r="A20" s="8" t="s">
        <v>30</v>
      </c>
      <c r="B20" s="7"/>
      <c r="C20" s="6">
        <v>7</v>
      </c>
      <c r="D20" s="6"/>
      <c r="E20" s="6"/>
      <c r="F20" s="6">
        <v>1</v>
      </c>
      <c r="G20" s="6"/>
      <c r="H20" s="6"/>
      <c r="I20" s="6"/>
      <c r="J20" s="6"/>
      <c r="L20" s="13" t="s">
        <v>31</v>
      </c>
      <c r="N20" s="14"/>
    </row>
    <row r="21" spans="1:14" ht="12.75" customHeight="1">
      <c r="A21" s="8" t="s">
        <v>32</v>
      </c>
      <c r="B21" s="7"/>
      <c r="C21" s="6">
        <v>2</v>
      </c>
      <c r="D21" s="6">
        <v>1</v>
      </c>
      <c r="E21" s="6"/>
      <c r="F21" s="6"/>
      <c r="G21" s="6"/>
      <c r="H21" s="6"/>
      <c r="I21" s="6"/>
      <c r="J21" s="6"/>
      <c r="L21" s="13" t="s">
        <v>33</v>
      </c>
      <c r="N21" s="14">
        <v>4</v>
      </c>
    </row>
    <row r="22" spans="1:14" ht="12.75" customHeight="1">
      <c r="A22" s="5" t="s">
        <v>34</v>
      </c>
      <c r="B22" s="6"/>
      <c r="C22" s="6">
        <v>1</v>
      </c>
      <c r="D22" s="6"/>
      <c r="E22" s="6" t="s">
        <v>15</v>
      </c>
      <c r="F22" s="6"/>
      <c r="G22" s="6"/>
      <c r="H22" s="6"/>
      <c r="I22" s="6"/>
      <c r="J22" s="6"/>
      <c r="L22" s="13" t="s">
        <v>35</v>
      </c>
      <c r="N22" s="14">
        <v>6</v>
      </c>
    </row>
    <row r="23" spans="1:14" ht="12.75" customHeight="1">
      <c r="A23" s="5" t="s">
        <v>36</v>
      </c>
      <c r="B23" s="6"/>
      <c r="C23" s="6">
        <v>2</v>
      </c>
      <c r="D23" s="6"/>
      <c r="E23" s="6" t="s">
        <v>25</v>
      </c>
      <c r="F23" s="6"/>
      <c r="G23" s="6"/>
      <c r="H23" s="6"/>
      <c r="I23" s="6"/>
      <c r="J23" s="6"/>
      <c r="L23" s="13" t="s">
        <v>37</v>
      </c>
      <c r="N23" s="14">
        <v>2</v>
      </c>
    </row>
    <row r="24" spans="1:14" ht="12.75" customHeight="1">
      <c r="A24" s="15" t="s">
        <v>38</v>
      </c>
      <c r="B24" s="16">
        <f>SUM(B2:B23)</f>
        <v>54</v>
      </c>
      <c r="C24" s="16">
        <f>SUM(C2:C23)</f>
        <v>78</v>
      </c>
      <c r="D24" s="16">
        <f>SUM(D2:D23)</f>
        <v>3</v>
      </c>
      <c r="E24" s="16"/>
      <c r="F24" s="16">
        <f>SUM(F2:F23)</f>
        <v>8</v>
      </c>
      <c r="G24" s="16">
        <f>SUM(G2:G23)</f>
        <v>0</v>
      </c>
      <c r="H24" s="16">
        <f>SUM(H2:H23)</f>
        <v>0</v>
      </c>
      <c r="I24" s="16">
        <f>SUM(I2:I23)</f>
        <v>0</v>
      </c>
      <c r="J24" s="16">
        <f>SUM(J2:J23)</f>
        <v>0</v>
      </c>
      <c r="L24" s="13" t="s">
        <v>39</v>
      </c>
      <c r="N24" s="14">
        <v>9</v>
      </c>
    </row>
    <row r="25" spans="1:14">
      <c r="L25" s="13"/>
      <c r="N25" s="14"/>
    </row>
    <row r="26" spans="1:14">
      <c r="A26" s="18" t="s">
        <v>40</v>
      </c>
      <c r="B26" s="6"/>
      <c r="C26" s="6" t="s">
        <v>41</v>
      </c>
      <c r="D26" s="6" t="s">
        <v>42</v>
      </c>
      <c r="E26" s="19"/>
      <c r="G26" s="6" t="s">
        <v>43</v>
      </c>
      <c r="I26" s="6" t="s">
        <v>44</v>
      </c>
      <c r="L26" s="20" t="s">
        <v>45</v>
      </c>
      <c r="M26" s="21"/>
      <c r="N26" s="22"/>
    </row>
    <row r="27" spans="1:14">
      <c r="A27" s="15" t="s">
        <v>46</v>
      </c>
      <c r="B27" s="6"/>
      <c r="C27" s="6">
        <v>5</v>
      </c>
      <c r="D27" s="6">
        <v>1</v>
      </c>
      <c r="E27" s="6"/>
      <c r="G27" s="6">
        <v>20</v>
      </c>
      <c r="I27" s="17" t="s">
        <v>47</v>
      </c>
    </row>
    <row r="28" spans="1:14">
      <c r="A28" s="15" t="s">
        <v>48</v>
      </c>
      <c r="B28" s="6"/>
      <c r="C28" s="6">
        <v>5</v>
      </c>
      <c r="D28" s="6">
        <v>6</v>
      </c>
      <c r="E28" s="6"/>
      <c r="G28" s="6">
        <v>5</v>
      </c>
      <c r="I28" s="5" t="s">
        <v>49</v>
      </c>
      <c r="J28" s="17" t="s">
        <v>50</v>
      </c>
    </row>
    <row r="30" spans="1:14">
      <c r="A30" s="18" t="s">
        <v>51</v>
      </c>
      <c r="B30" s="6"/>
      <c r="C30" s="6" t="s">
        <v>41</v>
      </c>
      <c r="D30" s="6" t="s">
        <v>42</v>
      </c>
      <c r="E30" s="19"/>
      <c r="G30" s="6" t="s">
        <v>52</v>
      </c>
      <c r="I30" s="6" t="s">
        <v>53</v>
      </c>
    </row>
    <row r="31" spans="1:14">
      <c r="A31" s="15" t="s">
        <v>46</v>
      </c>
      <c r="B31" s="6"/>
      <c r="C31" s="6">
        <v>3</v>
      </c>
      <c r="D31" s="6">
        <v>2</v>
      </c>
      <c r="E31" s="6"/>
      <c r="G31" s="6">
        <v>0</v>
      </c>
      <c r="I31" s="17" t="s">
        <v>54</v>
      </c>
    </row>
    <row r="32" spans="1:14">
      <c r="A32" s="15" t="s">
        <v>48</v>
      </c>
      <c r="B32" s="6"/>
      <c r="C32" s="6">
        <v>3</v>
      </c>
      <c r="D32" s="6">
        <v>2</v>
      </c>
      <c r="E32" s="6"/>
      <c r="G32" s="6">
        <v>7</v>
      </c>
      <c r="I32" s="5" t="s">
        <v>55</v>
      </c>
      <c r="J32" s="17" t="s">
        <v>56</v>
      </c>
    </row>
  </sheetData>
  <pageMargins left="0" right="0" top="0.39370078740157477" bottom="0.39370078740157477" header="0" footer="0"/>
  <pageSetup paperSize="0" fitToWidth="0" fitToHeight="0" pageOrder="overThenDown" orientation="landscape" useFirstPageNumber="1" horizontalDpi="0" verticalDpi="0" copies="0"/>
  <headerFooter>
    <oddHeader>&amp;C&amp;A</oddHeader>
    <oddFooter>&amp;CPage 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otalTime>57</TotalTime>
  <Application>Microsoft Macintosh Excel</Application>
  <DocSecurity>0</DocSecurity>
  <ScaleCrop>false</ScaleCrop>
  <HeadingPairs>
    <vt:vector size="4" baseType="variant">
      <vt:variant>
        <vt:lpstr>Feuilles de calcul</vt:lpstr>
      </vt:variant>
      <vt:variant>
        <vt:i4>6</vt:i4>
      </vt:variant>
      <vt:variant>
        <vt:lpstr>Plages nommées</vt:lpstr>
      </vt:variant>
      <vt:variant>
        <vt:i4>141</vt:i4>
      </vt:variant>
    </vt:vector>
  </HeadingPairs>
  <TitlesOfParts>
    <vt:vector size="147" baseType="lpstr">
      <vt:lpstr>Compo</vt:lpstr>
      <vt:lpstr>Saisie vidéo</vt:lpstr>
      <vt:lpstr>Journal actions</vt:lpstr>
      <vt:lpstr>Stats match</vt:lpstr>
      <vt:lpstr>Listes</vt:lpstr>
      <vt:lpstr>Paramètres</vt:lpstr>
      <vt:lpstr>ACT_ARRET_DU_JEU</vt:lpstr>
      <vt:lpstr>ACT_CONTRE_RUCK</vt:lpstr>
      <vt:lpstr>ACT_EN_AVANT</vt:lpstr>
      <vt:lpstr>ACT_GRATTAGE</vt:lpstr>
      <vt:lpstr>ACT_JEU_AU_PIED</vt:lpstr>
      <vt:lpstr>ACT_PEN_CONTRE_ADV</vt:lpstr>
      <vt:lpstr>ACT_PEN_CONTRE_NOUS</vt:lpstr>
      <vt:lpstr>ACT_PEN_HORS_JEU</vt:lpstr>
      <vt:lpstr>ACT_PEN_MAUL</vt:lpstr>
      <vt:lpstr>ACT_PEN_PL_A_2</vt:lpstr>
      <vt:lpstr>ACT_PEN_PL_HAUT</vt:lpstr>
      <vt:lpstr>ACT_PEN_RUCK</vt:lpstr>
      <vt:lpstr>ACT_PEN_UNKNOWN</vt:lpstr>
      <vt:lpstr>ACT_PL_A2</vt:lpstr>
      <vt:lpstr>ACT_PL_HAUT</vt:lpstr>
      <vt:lpstr>ACT_PL_NORMAL</vt:lpstr>
      <vt:lpstr>ACT_PL_OFF</vt:lpstr>
      <vt:lpstr>ACT_PL_RATE</vt:lpstr>
      <vt:lpstr>ACT_PTS_DROP</vt:lpstr>
      <vt:lpstr>ACT_PTS_ESSAI</vt:lpstr>
      <vt:lpstr>ACT_PTS_ESSAI_PEN</vt:lpstr>
      <vt:lpstr>ACT_PTS_PENALITE</vt:lpstr>
      <vt:lpstr>ACT_PTS_TRANSFO</vt:lpstr>
      <vt:lpstr>ACT_RECEPTION_ADV</vt:lpstr>
      <vt:lpstr>ACT_RECEPTION_NOUS</vt:lpstr>
      <vt:lpstr>ACT_REPRISE_A_LA_MAIN</vt:lpstr>
      <vt:lpstr>ACT_REPRISE_MELEE</vt:lpstr>
      <vt:lpstr>ACT_REPRISE_RENVOI</vt:lpstr>
      <vt:lpstr>ACT_REPRISE_TOUCHE</vt:lpstr>
      <vt:lpstr>ACT_TO_ADV_PERDUE</vt:lpstr>
      <vt:lpstr>ACT_TO_ADV_VOLEE</vt:lpstr>
      <vt:lpstr>ACT_TO_NS_G</vt:lpstr>
      <vt:lpstr>ACT_TO_NS_P</vt:lpstr>
      <vt:lpstr>ACT_TO_NS_PAS_DROIT</vt:lpstr>
      <vt:lpstr>AVANT_OU_ARRIERE</vt:lpstr>
      <vt:lpstr>BTN_ADV</vt:lpstr>
      <vt:lpstr>BTN_ARRET_DU_JEU</vt:lpstr>
      <vt:lpstr>BTN_CHRONO_MINUS_5_SEC</vt:lpstr>
      <vt:lpstr>BTN_CHRONO_PLAY_PAUSE</vt:lpstr>
      <vt:lpstr>BTN_CHRONO_PLUS_5_SEC</vt:lpstr>
      <vt:lpstr>BTN_CHRONO_RESET</vt:lpstr>
      <vt:lpstr>BTN_CONTRE_RUCK</vt:lpstr>
      <vt:lpstr>BTN_EN_AVANT</vt:lpstr>
      <vt:lpstr>BTN_GRATTAGE</vt:lpstr>
      <vt:lpstr>BTN_JEU_AU_PIED</vt:lpstr>
      <vt:lpstr>BTN_JO_1</vt:lpstr>
      <vt:lpstr>BTN_JO_10</vt:lpstr>
      <vt:lpstr>BTN_JO_11</vt:lpstr>
      <vt:lpstr>BTN_JO_12</vt:lpstr>
      <vt:lpstr>BTN_JO_13</vt:lpstr>
      <vt:lpstr>BTN_JO_14</vt:lpstr>
      <vt:lpstr>BTN_JO_15</vt:lpstr>
      <vt:lpstr>BTN_JO_16</vt:lpstr>
      <vt:lpstr>BTN_JO_17</vt:lpstr>
      <vt:lpstr>BTN_JO_18</vt:lpstr>
      <vt:lpstr>BTN_JO_19</vt:lpstr>
      <vt:lpstr>BTN_JO_2</vt:lpstr>
      <vt:lpstr>BTN_JO_20</vt:lpstr>
      <vt:lpstr>BTN_JO_21</vt:lpstr>
      <vt:lpstr>BTN_JO_22</vt:lpstr>
      <vt:lpstr>BTN_JO_3</vt:lpstr>
      <vt:lpstr>BTN_JO_4</vt:lpstr>
      <vt:lpstr>BTN_JO_5</vt:lpstr>
      <vt:lpstr>BTN_JO_6</vt:lpstr>
      <vt:lpstr>BTN_JO_7</vt:lpstr>
      <vt:lpstr>BTN_JO_8</vt:lpstr>
      <vt:lpstr>BTN_JO_9</vt:lpstr>
      <vt:lpstr>BTN_JO_COLLECTIF</vt:lpstr>
      <vt:lpstr>BTN_JO_NON_IDENTIFIE</vt:lpstr>
      <vt:lpstr>BTN_MT1</vt:lpstr>
      <vt:lpstr>BTN_MT2</vt:lpstr>
      <vt:lpstr>BTN_NOUS</vt:lpstr>
      <vt:lpstr>BTN_PARKING</vt:lpstr>
      <vt:lpstr>BTN_PEN_CONTRE_ADV</vt:lpstr>
      <vt:lpstr>BTN_PEN_CONTRE_NOUS</vt:lpstr>
      <vt:lpstr>BTN_PEN_HORS_JEU</vt:lpstr>
      <vt:lpstr>BTN_PEN_MAUL</vt:lpstr>
      <vt:lpstr>BTN_PEN_PL_A_2</vt:lpstr>
      <vt:lpstr>BTN_PEN_PL_HAUT</vt:lpstr>
      <vt:lpstr>BTN_PEN_RUCK</vt:lpstr>
      <vt:lpstr>BTN_PL_A2</vt:lpstr>
      <vt:lpstr>BTN_PL_HAUT</vt:lpstr>
      <vt:lpstr>BTN_PL_NORMAL</vt:lpstr>
      <vt:lpstr>BTN_PL_OFF</vt:lpstr>
      <vt:lpstr>BTN_PL_RATE</vt:lpstr>
      <vt:lpstr>BTN_PTS_DROP</vt:lpstr>
      <vt:lpstr>BTN_PTS_ESSAI</vt:lpstr>
      <vt:lpstr>BTN_PTS_ESSAI_PEN</vt:lpstr>
      <vt:lpstr>BTN_PTS_PENALITE</vt:lpstr>
      <vt:lpstr>BTN_PTS_TRANSFO</vt:lpstr>
      <vt:lpstr>BTN_RECEPTION_ADV</vt:lpstr>
      <vt:lpstr>BTN_RECEPTION_NOUS</vt:lpstr>
      <vt:lpstr>BTN_REPRISE_A_LA_MAIN</vt:lpstr>
      <vt:lpstr>BTN_REPRISE_MELEE</vt:lpstr>
      <vt:lpstr>BTN_REPRISE_RENVOI</vt:lpstr>
      <vt:lpstr>BTN_REPRISE_TOUCHE</vt:lpstr>
      <vt:lpstr>BTN_TO_ADV_PERDUE</vt:lpstr>
      <vt:lpstr>BTN_TO_ADV_VOLEE</vt:lpstr>
      <vt:lpstr>BTN_TO_NS_G</vt:lpstr>
      <vt:lpstr>BTN_TO_NS_P</vt:lpstr>
      <vt:lpstr>BTN_TO_NS_PAS_DROIT</vt:lpstr>
      <vt:lpstr>BTNS_JOUEURS</vt:lpstr>
      <vt:lpstr>CELL_CHRONO_VIDEO</vt:lpstr>
      <vt:lpstr>EQUIPE_NIV</vt:lpstr>
      <vt:lpstr>EQUIPES_POULE</vt:lpstr>
      <vt:lpstr>LIEU_MATCH</vt:lpstr>
      <vt:lpstr>LISTE_ACTIONS_JOURNAL</vt:lpstr>
      <vt:lpstr>LISTE_EQUIPES_JOURNAL</vt:lpstr>
      <vt:lpstr>LISTE_JOUEURS</vt:lpstr>
      <vt:lpstr>LISTE_JOUEURS_JOURNAL</vt:lpstr>
      <vt:lpstr>LISTE_LECTEURS_VIDEO</vt:lpstr>
      <vt:lpstr>LISTE_MOTIFS_PENALITE</vt:lpstr>
      <vt:lpstr>LISTE_MT_JOURNAL</vt:lpstr>
      <vt:lpstr>LST_JOUEURS</vt:lpstr>
      <vt:lpstr>LSTResultat</vt:lpstr>
      <vt:lpstr>MATCH_ADV</vt:lpstr>
      <vt:lpstr>MATCH_ADVERSAIRE</vt:lpstr>
      <vt:lpstr>MATCH_CAT</vt:lpstr>
      <vt:lpstr>MATCH_DATE</vt:lpstr>
      <vt:lpstr>MATCH_ID</vt:lpstr>
      <vt:lpstr>MATCH_JOURNEE</vt:lpstr>
      <vt:lpstr>MATCH_LIEU</vt:lpstr>
      <vt:lpstr>MATCH_PHASE</vt:lpstr>
      <vt:lpstr>MATCH_RESULTAT</vt:lpstr>
      <vt:lpstr>MATCH_SAISON</vt:lpstr>
      <vt:lpstr>PALETTE_JOUEURS</vt:lpstr>
      <vt:lpstr>PHASE</vt:lpstr>
      <vt:lpstr>POPUP_ADD_PLAYER</vt:lpstr>
      <vt:lpstr>POPUP_NOM</vt:lpstr>
      <vt:lpstr>POPUP_PRENOM</vt:lpstr>
      <vt:lpstr>RESULTAT</vt:lpstr>
      <vt:lpstr>STYLE_BTN_ACTIF</vt:lpstr>
      <vt:lpstr>STYLE_BTN_ARRET_JEU</vt:lpstr>
      <vt:lpstr>STYLE_BTN_CHRONO_RESET</vt:lpstr>
      <vt:lpstr>STYLE_BTN_CHRONO_TMP</vt:lpstr>
      <vt:lpstr>STYLE_BTN_MT</vt:lpstr>
      <vt:lpstr>STYLE_BTN_PEN</vt:lpstr>
      <vt:lpstr>STYLE_BTN_PL_TOUCHES</vt:lpstr>
      <vt:lpstr>STYLE_BTN_POSSESSION</vt:lpstr>
      <vt:lpstr>STYLE_BTN_PTS</vt:lpstr>
      <vt:lpstr>STYLE_BTN_REPRISE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bastien dal lago</cp:lastModifiedBy>
  <cp:revision>18</cp:revision>
  <dcterms:created xsi:type="dcterms:W3CDTF">2026-07-02T15:37:39Z</dcterms:created>
  <dcterms:modified xsi:type="dcterms:W3CDTF">2026-07-21T09:48:01Z</dcterms:modified>
</cp:coreProperties>
</file>