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stien\Developpement\RugbyStatsVeo\"/>
    </mc:Choice>
  </mc:AlternateContent>
  <xr:revisionPtr revIDLastSave="0" documentId="13_ncr:1_{065F6C00-F00A-4A9E-8369-46439CDF2298}" xr6:coauthVersionLast="47" xr6:coauthVersionMax="47" xr10:uidLastSave="{00000000-0000-0000-0000-000000000000}"/>
  <bookViews>
    <workbookView xWindow="2985" yWindow="2985" windowWidth="21810" windowHeight="10920" firstSheet="1" activeTab="1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Paramètres!$A$21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<sst xmlns="http://schemas.openxmlformats.org/spreadsheetml/2006/main" count="950" uniqueCount="418">
  <si>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</si>
  <si>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</si>
  <si>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</si>
  <si>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</si>
  <si>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</si>
  <si>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</si>
  <si>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</si>
  <si>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</si>
  <si>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</si>
  <si>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</si>
  <si>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</si>
  <si>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</si>
  <si>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</si>
  <si>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</si>
  <si>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</si>
  <si>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</si>
  <si>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</si>
  <si>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</si>
  <si>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</si>
  <si>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</si>
  <si>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</si>
  <si>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</si>
  <si>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</si>
  <si>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</si>
  <si>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</si>
  <si>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</si>
  <si>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</si>
  <si>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</si>
  <si>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</si>
  <si>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</si>
  <si>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</si>
  <si>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</si>
  <si>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</si>
  <si>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</si>
  <si>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</si>
  <si>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</si>
  <si>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</si>
  <si>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</si>
  <si>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</si>
  <si>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</si>
  <si>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</si>
  <si>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</si>
  <si>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</si>
  <si>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</si>
  <si>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</si>
  <si>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</si>
  <si>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</si>
  <si>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</si>
  <si>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</si>
  <si>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</si>
  <si>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</si>
  <si>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</si>
  <si>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</si>
  <si>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</si>
  <si>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</si>
  <si>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</si>
  <si>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</si>
  <si>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</si>
  <si>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</si>
  <si>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</si>
  <si>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</si>
  <si>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</si>
  <si>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</si>
  <si>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</si>
  <si>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</si>
  <si>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</si>
  <si>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</si>
  <si>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</si>
  <si>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</si>
  <si>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</si>
  <si>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</si>
  <si>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</si>
  <si>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</si>
  <si>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</si>
  <si>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</si>
  <si>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</si>
  <si>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</si>
  <si>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</si>
  <si>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</si>
  <si>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</si>
  <si>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</si>
  <si>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</si>
  <si>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</si>
  <si>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</si>
  <si>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</si>
  <si>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</si>
  <si>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</si>
  <si>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</si>
  <si>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</si>
  <si>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</si>
  <si>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</si>
  <si>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</si>
  <si>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</si>
  <si>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</si>
  <si>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</si>
  <si>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</si>
  <si>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</si>
  <si>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</si>
  <si>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</si>
  <si>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</si>
  <si>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</si>
  <si>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</si>
  <si>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</si>
  <si>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</si>
  <si>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</si>
  <si>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</si>
  <si>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</si>
  <si>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</si>
  <si>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</si>
  <si>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</si>
  <si>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</si>
  <si>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</si>
  <si>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</si>
  <si>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</si>
  <si>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</si>
  <si>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</si>
  <si>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</si>
  <si>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</si>
  <si>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</si>
  <si>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</si>
  <si>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</si>
  <si>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</si>
  <si>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</si>
  <si>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</si>
  <si>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</si>
  <si>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</si>
  <si>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</si>
  <si>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</si>
  <si>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</si>
  <si>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</si>
  <si>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</si>
  <si>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</si>
  <si>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</si>
  <si>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</si>
  <si>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</si>
  <si>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</si>
  <si>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</si>
  <si>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</si>
  <si>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</si>
  <si>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</si>
  <si>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</si>
  <si>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</si>
  <si>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</si>
  <si>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</si>
  <si>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</si>
  <si>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</si>
  <si>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</si>
  <si>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</si>
  <si>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</si>
  <si>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</si>
  <si>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</si>
  <si>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</si>
  <si>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</si>
  <si>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</si>
  <si>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</si>
  <si>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</si>
  <si>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</si>
  <si>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</si>
  <si>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</si>
  <si>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</si>
  <si>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</si>
  <si>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</si>
  <si>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</si>
  <si>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</si>
  <si>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</si>
  <si>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</si>
  <si>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</si>
  <si>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</si>
  <si>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</si>
  <si>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</si>
  <si>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</si>
  <si>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</si>
  <si>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</si>
  <si>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</si>
  <si>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</si>
  <si>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</si>
  <si>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</si>
  <si>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</si>
  <si>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</si>
  <si>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</si>
  <si>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</si>
  <si>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</si>
  <si>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</si>
  <si>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</si>
  <si>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</si>
  <si>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</si>
  <si>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</si>
  <si>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</si>
  <si>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</si>
  <si>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</si>
  <si>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</si>
  <si>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</si>
  <si>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</si>
  <si>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</si>
  <si>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</si>
  <si>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</si>
  <si>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</si>
  <si>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</si>
  <si>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</si>
  <si>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</si>
  <si>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</si>
  <si>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</si>
  <si>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</si>
  <si>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</si>
  <si>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</si>
  <si>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</si>
  <si>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</si>
  <si>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</si>
  <si>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</si>
  <si>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</si>
  <si>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</si>
  <si>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</si>
  <si>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</si>
  <si>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</si>
  <si>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</si>
  <si>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</si>
  <si>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</si>
  <si>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</si>
  <si>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</si>
  <si>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</si>
  <si>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</si>
  <si>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</si>
  <si>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</si>
  <si>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</si>
  <si>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</si>
  <si>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</si>
  <si>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</si>
  <si>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</si>
  <si>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</si>
  <si>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</si>
  <si>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</si>
  <si>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</si>
  <si>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</si>
  <si>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</si>
  <si>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</si>
  <si>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</si>
  <si>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</si>
  <si>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</si>
  <si>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</si>
  <si>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</si>
  <si>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</si>
  <si>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</si>
  <si>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</si>
  <si>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</si>
  <si>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</si>
  <si>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</si>
  <si>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</si>
  <si>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</si>
  <si>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</si>
  <si>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</si>
  <si>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</si>
  <si>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</si>
  <si>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</si>
  <si>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</si>
  <si>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</si>
  <si>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</si>
  <si>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</si>
  <si>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</si>
  <si>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</si>
  <si>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</si>
  <si>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</si>
  <si>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</si>
  <si>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</si>
  <si>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</si>
  <si>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</si>
  <si>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</si>
  <si>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</si>
  <si>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</si>
  <si>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</si>
  <si>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</si>
  <si>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</si>
  <si>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</si>
  <si>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</si>
  <si>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</si>
  <si>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</si>
  <si>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</si>
  <si>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</si>
  <si>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</si>
  <si>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</si>
  <si>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</si>
  <si>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</si>
  <si>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</si>
  <si>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</si>
  <si>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</si>
  <si>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</si>
  <si>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</si>
  <si>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</si>
  <si>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</si>
  <si>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</si>
  <si>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</si>
  <si>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</si>
  <si>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</si>
  <si>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</si>
  <si>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</si>
  <si>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</si>
  <si>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</si>
  <si>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</si>
  <si>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</si>
  <si>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</si>
  <si>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</si>
  <si>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</si>
  <si>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</si>
  <si>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</si>
  <si>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</si>
  <si>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</si>
  <si>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</si>
  <si>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</si>
  <si>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</si>
  <si>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</si>
  <si>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</si>
  <si>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</si>
  <si>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</si>
  <si>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</si>
  <si>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</si>
  <si>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</si>
  <si>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</si>
  <si>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</si>
  <si>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</si>
  <si>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</si>
  <si>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</si>
  <si>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</si>
  <si>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</si>
  <si>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</si>
  <si>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</si>
  <si>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</si>
  <si>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</si>
  <si>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</si>
  <si>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</si>
  <si>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</si>
  <si>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</si>
  <si>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</si>
  <si>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</si>
  <si>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</si>
  <si>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</si>
  <si>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</si>
  <si>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</si>
  <si>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</si>
  <si>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</si>
  <si>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</si>
  <si>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</si>
  <si>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</si>
  <si>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</si>
  <si>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</si>
  <si>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</si>
  <si>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</si>
  <si>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</si>
  <si>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</si>
  <si>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</si>
  <si>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</si>
  <si>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</si>
  <si>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</si>
  <si>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</si>
  <si>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</si>
  <si>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</si>
  <si>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</si>
  <si>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</si>
  <si>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</si>
  <si>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</si>
  <si>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</si>
  <si>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</si>
  <si>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</si>
  <si>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</si>
  <si>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</si>
  <si>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</si>
  <si>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</si>
  <si>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</si>
  <si>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</si>
  <si>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</si>
  <si>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</si>
  <si>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</si>
  <si>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</si>
  <si>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</si>
  <si>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</si>
  <si>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</si>
  <si>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</si>
  <si>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</si>
  <si>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</si>
  <si>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</si>
  <si>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</si>
  <si>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</si>
  <si>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</si>
  <si>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</si>
  <si>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</si>
  <si>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</si>
  <si>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</si>
  <si>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</si>
  <si>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</si>
  <si>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</si>
  <si>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</si>
  <si>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</si>
  <si>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</si>
  <si>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</si>
  <si>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</si>
  <si>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</si>
  <si>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</si>
  <si>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</si>
  <si>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</si>
  <si>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</si>
  <si>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</si>
  <si>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</si>
  <si>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</si>
  <si>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</si>
  <si>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</si>
  <si>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</si>
  <si>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</si>
  <si>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</si>
  <si>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</si>
  <si>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</si>
  <si>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</si>
  <si>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</si>
  <si>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</si>
  <si>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</si>
  <si>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</si>
  <si>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</si>
  <si>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</si>
  <si>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</si>
  <si>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Colonne1</t>
  </si>
  <si>
    <t>temps video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</si>
</sst>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m/d/yy\ h:mm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2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/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6" formatCode="m/d/yy"/>
    </dxf>
    <dxf>
      <numFmt numFmtId="165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38" totalsRowShown="0">
  <autoFilter ref="A1:Q38" xr:uid="{274E98FB-BCE1-0347-AD79-C8025C407DEC}"/>
  <tableColumns count="17">
    <tableColumn id="1" xr3:uid="{1C6F1113-17EB-A449-86BF-30B1CE9CAC0A}" name="temps vide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B9" totalsRowShown="0">
  <autoFilter ref="A1:B9" xr:uid="{037D6424-D1EC-894D-B963-D36ABCA682C4}"/>
  <tableColumns count="2">
    <tableColumn id="1" xr3:uid="{63806632-B9ED-294D-800A-F2FDB2EC48D2}" name="EQUIPES_POULE"/>
    <tableColumn id="2" xr3:uid="{28DCF5C4-E831-C048-A1B9-49517F44B352}" name="Colonne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workbookViewId="0"/>
  </sheetViews>
  <sheetFormatPr baseColWidth="10" defaultRowHeight="12.75"/>
  <cols>
    <col min="1" max="1" width="8.28515625" bestFit="1" customWidth="1"/>
    <col min="2" max="2" width="17.85546875" customWidth="1"/>
    <col min="3" max="3" width="24.85546875" customWidth="1"/>
    <col min="4" max="4" width="14.140625" bestFit="1" customWidth="1"/>
    <col min="5" max="5" width="8.28515625" bestFit="1" customWidth="1"/>
    <col min="6" max="6" width="19.140625" bestFit="1" customWidth="1"/>
    <col min="7" max="7" width="13.85546875" bestFit="1" customWidth="1"/>
    <col min="8" max="8" width="14.140625" bestFit="1" customWidth="1"/>
    <col min="26" max="26" width="19.140625" hidden="1" customWidth="1"/>
    <col min="27" max="27" width="0" hidden="1" customWidth="1"/>
  </cols>
  <sheetData>
    <row r="1" spans="2:27" ht="13.5" thickBot="1">
      <c r="Z1" t="s">
        <v>259</v>
      </c>
      <c r="AA1" t="s">
        <v>259</v>
      </c>
    </row>
    <row r="2" spans="2:27" ht="18.95" customHeight="1">
      <c r="B2" s="148" t="s">
        <v>400</v>
      </c>
      <c r="C2" s="148"/>
      <c r="E2" s="149" t="s">
        <v>401</v>
      </c>
      <c r="F2" s="150"/>
      <c r="G2" s="150"/>
      <c r="H2" s="151"/>
      <c r="Z2" t="s">
        <v>265</v>
      </c>
      <c r="AA2" t="s">
        <v>265</v>
      </c>
    </row>
    <row r="3" spans="2:27" ht="18.95" customHeight="1">
      <c r="B3" s="148"/>
      <c r="C3" s="148"/>
      <c r="E3" s="152"/>
      <c r="F3" s="153"/>
      <c r="G3" s="153"/>
      <c r="H3" s="154"/>
      <c r="Z3" t="s">
        <v>274</v>
      </c>
      <c r="AA3" t="s">
        <v>274</v>
      </c>
    </row>
    <row r="4" spans="2:27" ht="18.95" customHeight="1" thickBot="1">
      <c r="B4" s="148"/>
      <c r="C4" s="148"/>
      <c r="E4" s="155"/>
      <c r="F4" s="156"/>
      <c r="G4" s="156"/>
      <c r="H4" s="157"/>
      <c r="Z4" t="s">
        <v>275</v>
      </c>
      <c r="AA4" t="s">
        <v>275</v>
      </c>
    </row>
    <row r="5" spans="2:27">
      <c r="Z5" t="s">
        <v>272</v>
      </c>
      <c r="AA5" t="s">
        <v>272</v>
      </c>
    </row>
    <row r="6" spans="2:27">
      <c r="B6" s="122" t="s">
        <v>371</v>
      </c>
      <c r="C6" s="123" t="s">
        <v>370</v>
      </c>
      <c r="E6" t="s">
        <v>188</v>
      </c>
      <c r="F6" t="s">
        <v>189</v>
      </c>
      <c r="G6" t="s">
        <v>338</v>
      </c>
      <c r="H6" t="s">
        <v>337</v>
      </c>
      <c r="Z6" t="s">
        <v>260</v>
      </c>
      <c r="AA6" t="s">
        <v>260</v>
      </c>
    </row>
    <row r="7" spans="2:27">
      <c r="E7">
        <v>1</v>
      </c>
      <c r="F7" t="s">
        <v>256</v>
      </c>
      <c r="G7" t="s">
        <v>340</v>
      </c>
      <c r="Z7" t="s">
        <v>266</v>
      </c>
      <c r="AA7" t="s">
        <v>266</v>
      </c>
    </row>
    <row r="8" spans="2:27">
      <c r="B8" s="122" t="s">
        <v>409</v>
      </c>
      <c r="C8" s="123">
        <v>46290</v>
      </c>
      <c r="E8">
        <v>2</v>
      </c>
      <c r="F8" t="s">
        <v>257</v>
      </c>
      <c r="G8" t="s">
        <v>340</v>
      </c>
      <c r="Z8" t="s">
        <v>276</v>
      </c>
      <c r="AA8" t="s">
        <v>276</v>
      </c>
    </row>
    <row r="9" spans="2:27">
      <c r="E9">
        <v>3</v>
      </c>
      <c r="F9" t="s">
        <v>258</v>
      </c>
      <c r="G9" t="s">
        <v>340</v>
      </c>
      <c r="Z9" t="s">
        <v>256</v>
      </c>
      <c r="AA9" t="s">
        <v>256</v>
      </c>
    </row>
    <row r="10" spans="2:27">
      <c r="B10" s="122" t="s">
        <v>372</v>
      </c>
      <c r="C10" s="123" t="s">
        <v>382</v>
      </c>
      <c r="E10">
        <v>4</v>
      </c>
      <c r="F10" t="s">
        <v>259</v>
      </c>
      <c r="G10" t="s">
        <v>340</v>
      </c>
      <c r="Z10" t="s">
        <v>257</v>
      </c>
      <c r="AA10" t="s">
        <v>257</v>
      </c>
    </row>
    <row r="11" spans="2:27">
      <c r="E11">
        <v>5</v>
      </c>
      <c r="F11" t="s">
        <v>260</v>
      </c>
      <c r="G11" t="s">
        <v>340</v>
      </c>
      <c r="Z11" t="s">
        <v>267</v>
      </c>
      <c r="AA11" t="s">
        <v>267</v>
      </c>
    </row>
    <row r="12" spans="2:27">
      <c r="B12" s="122" t="s">
        <v>408</v>
      </c>
      <c r="C12" s="123" t="s">
        <v>387</v>
      </c>
      <c r="E12">
        <v>6</v>
      </c>
      <c r="F12" t="s">
        <v>261</v>
      </c>
      <c r="G12" t="s">
        <v>340</v>
      </c>
      <c r="Z12" t="s">
        <v>277</v>
      </c>
      <c r="AA12" t="s">
        <v>277</v>
      </c>
    </row>
    <row r="13" spans="2:27">
      <c r="E13">
        <v>7</v>
      </c>
      <c r="F13" t="s">
        <v>262</v>
      </c>
      <c r="G13" t="s">
        <v>340</v>
      </c>
      <c r="Z13" t="s">
        <v>269</v>
      </c>
      <c r="AA13" t="s">
        <v>269</v>
      </c>
    </row>
    <row r="14" spans="2:27">
      <c r="B14" s="122" t="s">
        <v>373</v>
      </c>
      <c r="C14" s="123" t="s">
        <v>368</v>
      </c>
      <c r="E14">
        <v>8</v>
      </c>
      <c r="F14" t="s">
        <v>263</v>
      </c>
      <c r="G14" t="s">
        <v>340</v>
      </c>
      <c r="Z14" t="s">
        <v>268</v>
      </c>
      <c r="AA14" t="s">
        <v>268</v>
      </c>
    </row>
    <row r="15" spans="2:27">
      <c r="C15" s="124"/>
      <c r="E15" s="107">
        <v>9</v>
      </c>
      <c r="F15" s="107" t="s">
        <v>264</v>
      </c>
      <c r="G15" s="107" t="s">
        <v>358</v>
      </c>
      <c r="H15" s="107"/>
      <c r="Z15" t="s">
        <v>258</v>
      </c>
      <c r="AA15" t="s">
        <v>258</v>
      </c>
    </row>
    <row r="16" spans="2:27">
      <c r="B16" s="122" t="s">
        <v>374</v>
      </c>
      <c r="C16" s="125">
        <v>1</v>
      </c>
      <c r="E16">
        <v>10</v>
      </c>
      <c r="F16" t="s">
        <v>265</v>
      </c>
      <c r="G16" t="s">
        <v>358</v>
      </c>
      <c r="Z16" t="s">
        <v>264</v>
      </c>
      <c r="AA16" t="s">
        <v>264</v>
      </c>
    </row>
    <row r="17" spans="2:27">
      <c r="E17">
        <v>11</v>
      </c>
      <c r="F17" t="s">
        <v>266</v>
      </c>
      <c r="G17" t="s">
        <v>358</v>
      </c>
      <c r="Z17" t="s">
        <v>263</v>
      </c>
      <c r="AA17" t="s">
        <v>263</v>
      </c>
    </row>
    <row r="18" spans="2:27">
      <c r="B18" s="122" t="s">
        <v>375</v>
      </c>
      <c r="C18" s="123" t="s">
        <v>392</v>
      </c>
      <c r="E18">
        <v>12</v>
      </c>
      <c r="F18" t="s">
        <v>267</v>
      </c>
      <c r="G18" t="s">
        <v>358</v>
      </c>
      <c r="Z18" t="s">
        <v>271</v>
      </c>
      <c r="AA18" t="s">
        <v>271</v>
      </c>
    </row>
    <row r="19" spans="2:27">
      <c r="C19" s="124"/>
      <c r="E19">
        <v>13</v>
      </c>
      <c r="F19" t="s">
        <v>268</v>
      </c>
      <c r="G19" t="s">
        <v>358</v>
      </c>
      <c r="Z19" t="s">
        <v>261</v>
      </c>
      <c r="AA19" t="s">
        <v>261</v>
      </c>
    </row>
    <row r="20" spans="2:27">
      <c r="B20" s="122" t="s">
        <v>407</v>
      </c>
      <c r="C20" s="123" t="s">
        <v>403</v>
      </c>
      <c r="E20">
        <v>14</v>
      </c>
      <c r="F20" t="s">
        <v>269</v>
      </c>
      <c r="G20" t="s">
        <v>358</v>
      </c>
      <c r="Z20" t="s">
        <v>262</v>
      </c>
      <c r="AA20" t="s">
        <v>262</v>
      </c>
    </row>
    <row r="21" spans="2:27">
      <c r="E21" s="102">
        <v>15</v>
      </c>
      <c r="F21" s="102" t="s">
        <v>270</v>
      </c>
      <c r="G21" s="102" t="s">
        <v>358</v>
      </c>
      <c r="H21" s="102"/>
      <c r="Z21" t="s">
        <v>270</v>
      </c>
      <c r="AA21" t="s">
        <v>270</v>
      </c>
    </row>
    <row r="22" spans="2:27">
      <c r="E22">
        <v>16</v>
      </c>
      <c r="F22" t="s">
        <v>271</v>
      </c>
      <c r="G22" t="s">
        <v>340</v>
      </c>
      <c r="Z22" t="s">
        <v>273</v>
      </c>
      <c r="AA22" t="s">
        <v>273</v>
      </c>
    </row>
    <row r="23" spans="2:27">
      <c r="E23">
        <v>17</v>
      </c>
      <c r="F23" t="s">
        <v>272</v>
      </c>
      <c r="G23" t="s">
        <v>340</v>
      </c>
      <c r="Z23" t="s">
        <v>118</v>
      </c>
      <c r="AA23" t="s">
        <v>118</v>
      </c>
    </row>
    <row r="24" spans="2:27">
      <c r="E24">
        <v>18</v>
      </c>
      <c r="F24" t="s">
        <v>273</v>
      </c>
      <c r="G24" t="s">
        <v>340</v>
      </c>
      <c r="Z24" t="s">
        <v>87</v>
      </c>
      <c r="AA24" t="s">
        <v>87</v>
      </c>
    </row>
    <row r="25" spans="2:27">
      <c r="E25">
        <v>19</v>
      </c>
      <c r="F25" t="s">
        <v>274</v>
      </c>
      <c r="G25" t="s">
        <v>340</v>
      </c>
    </row>
    <row r="26" spans="2:27">
      <c r="E26">
        <v>20</v>
      </c>
      <c r="F26" t="s">
        <v>275</v>
      </c>
      <c r="G26" t="s">
        <v>358</v>
      </c>
    </row>
    <row r="27" spans="2:27">
      <c r="E27">
        <v>21</v>
      </c>
      <c r="F27" t="s">
        <v>276</v>
      </c>
      <c r="G27" t="s">
        <v>358</v>
      </c>
    </row>
    <row r="28" spans="2:27">
      <c r="E28">
        <v>22</v>
      </c>
      <c r="F28" t="s">
        <v>277</v>
      </c>
      <c r="G28" t="s">
        <v>358</v>
      </c>
    </row>
    <row r="59" spans="2:3">
      <c r="B59" t="s">
        <v>376</v>
      </c>
      <c r="C59" t="s">
        <v>410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AC2375"/>
  <sheetViews>
    <sheetView tabSelected="1" zoomScale="60" zoomScaleNormal="60" workbookViewId="0">
      <selection activeCell="X4" sqref="X4"/>
    </sheetView>
  </sheetViews>
  <sheetFormatPr baseColWidth="10" defaultRowHeight="12.75"/>
  <cols>
    <col min="1" max="1" width="2.7109375" customWidth="1"/>
    <col min="2" max="3" width="1.85546875" customWidth="1"/>
    <col min="4" max="4" width="11.42578125" customWidth="1"/>
    <col min="5" max="5" width="1.85546875" customWidth="1"/>
    <col min="6" max="6" width="10.85546875" customWidth="1"/>
    <col min="7" max="7" width="1.85546875" customWidth="1"/>
    <col min="8" max="8" width="10.85546875" customWidth="1"/>
    <col min="9" max="9" width="1.85546875" customWidth="1"/>
    <col min="10" max="10" width="10.85546875" customWidth="1"/>
    <col min="11" max="11" width="1.85546875" customWidth="1"/>
    <col min="12" max="12" width="10.85546875" customWidth="1"/>
    <col min="13" max="13" width="1.85546875" customWidth="1"/>
    <col min="14" max="14" width="10.85546875" customWidth="1"/>
    <col min="15" max="16" width="1.85546875" customWidth="1"/>
    <col min="17" max="18" width="12.85546875" customWidth="1"/>
    <col min="19" max="19" width="20" bestFit="1" customWidth="1"/>
    <col min="20" max="20" width="19.140625" bestFit="1" customWidth="1"/>
    <col min="21" max="21" width="12.85546875" customWidth="1"/>
    <col min="22" max="22" width="15.42578125" bestFit="1" customWidth="1"/>
    <col min="23" max="23" width="18.42578125" bestFit="1" customWidth="1"/>
    <col min="24" max="24" width="7.28515625" customWidth="1"/>
    <col min="25" max="25" width="3.28515625" bestFit="1" customWidth="1"/>
    <col min="26" max="26" width="14.42578125" bestFit="1" customWidth="1"/>
    <col min="27" max="27" width="14.42578125" customWidth="1"/>
    <col min="29" max="29" width="26.42578125" bestFit="1" customWidth="1"/>
  </cols>
  <sheetData>
    <row r="1" spans="1:17" ht="39" customHeight="1">
      <c r="A1" s="31" t="s">
        <v>187</v>
      </c>
      <c r="C1" s="140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31"/>
      <c r="Q1" s="31"/>
    </row>
    <row r="2" spans="1:17" ht="9.9499999999999993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9.9499999999999993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47" t="s">
        <v>311</v>
      </c>
      <c r="E4" s="147"/>
      <c r="F4" s="41" t="s">
        <v>95</v>
      </c>
      <c r="G4" s="67"/>
      <c r="H4" s="41" t="s">
        <v>176</v>
      </c>
      <c r="I4" s="32"/>
      <c r="J4" s="72"/>
      <c r="K4" s="72"/>
      <c r="L4" s="34" t="s">
        <v>140</v>
      </c>
      <c r="M4" s="72"/>
      <c r="N4" s="34" t="s">
        <v>141</v>
      </c>
      <c r="O4" s="76"/>
      <c r="P4" s="31"/>
      <c r="Q4" s="31"/>
    </row>
    <row r="5" spans="1:17" ht="9.9499999999999993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9.9499999999999993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9.9499999999999993" customHeight="1" thickTop="1">
      <c r="A7" s="31"/>
      <c r="B7" s="31" t="s">
        <v>142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41" t="s">
        <v>72</v>
      </c>
      <c r="E8" s="141"/>
      <c r="F8" s="142"/>
      <c r="G8" s="142"/>
      <c r="H8" s="142"/>
      <c r="I8" s="142"/>
      <c r="J8" s="142"/>
      <c r="K8" s="142"/>
      <c r="L8" s="142"/>
      <c r="M8" s="142"/>
      <c r="N8" s="142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71</v>
      </c>
      <c r="E10" s="27"/>
      <c r="F10" s="35" t="s">
        <v>75</v>
      </c>
      <c r="G10" s="27"/>
      <c r="H10" s="35" t="s">
        <v>73</v>
      </c>
      <c r="I10" s="27"/>
      <c r="J10" s="35" t="s">
        <v>76</v>
      </c>
      <c r="K10" s="27"/>
      <c r="L10" s="35" t="s">
        <v>77</v>
      </c>
      <c r="M10" s="27"/>
      <c r="N10" s="35" t="s">
        <v>74</v>
      </c>
      <c r="O10" s="84"/>
      <c r="P10" s="31"/>
      <c r="Q10" s="31"/>
    </row>
    <row r="11" spans="1:17" ht="9.9499999999999993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88</v>
      </c>
      <c r="E12" s="27"/>
      <c r="F12" s="35" t="s">
        <v>78</v>
      </c>
      <c r="G12" s="27"/>
      <c r="H12" s="35" t="s">
        <v>79</v>
      </c>
      <c r="I12" s="30"/>
      <c r="J12" s="35" t="s">
        <v>143</v>
      </c>
      <c r="K12" s="33"/>
      <c r="L12" s="72"/>
      <c r="M12" s="72"/>
      <c r="N12" s="72"/>
      <c r="O12" s="76"/>
      <c r="P12" s="31"/>
      <c r="Q12" s="31"/>
    </row>
    <row r="13" spans="1:17" ht="9.9499999999999993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80</v>
      </c>
      <c r="E14" s="27"/>
      <c r="F14" s="35" t="s">
        <v>81</v>
      </c>
      <c r="G14" s="27"/>
      <c r="H14" s="35" t="s">
        <v>79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9.9499999999999993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312</v>
      </c>
      <c r="E16" s="67"/>
      <c r="F16" s="35" t="s">
        <v>313</v>
      </c>
      <c r="G16" s="67"/>
      <c r="H16" s="35" t="s">
        <v>314</v>
      </c>
      <c r="I16" s="67"/>
      <c r="J16" s="35" t="s">
        <v>315</v>
      </c>
      <c r="K16" s="67"/>
      <c r="L16" s="35" t="s">
        <v>316</v>
      </c>
      <c r="M16" s="72"/>
      <c r="N16" s="72"/>
      <c r="O16" s="76"/>
      <c r="P16" s="31"/>
      <c r="Q16" s="31"/>
    </row>
    <row r="17" spans="1:18" ht="9.9499999999999993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312</v>
      </c>
      <c r="E18" s="67"/>
      <c r="F18" s="35" t="s">
        <v>61</v>
      </c>
      <c r="G18" s="67"/>
      <c r="H18" s="35" t="s">
        <v>82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9.9499999999999993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186</v>
      </c>
      <c r="E20" s="27"/>
      <c r="F20" s="36" t="s">
        <v>346</v>
      </c>
      <c r="G20" s="27"/>
      <c r="H20" s="36" t="s">
        <v>347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9.9499999999999993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341</v>
      </c>
      <c r="E22" s="67"/>
      <c r="F22" s="36" t="s">
        <v>342</v>
      </c>
      <c r="G22" s="67"/>
      <c r="H22" s="36" t="s">
        <v>343</v>
      </c>
      <c r="I22" s="67"/>
      <c r="J22" s="36" t="s">
        <v>344</v>
      </c>
      <c r="K22" s="66"/>
      <c r="L22" s="36" t="s">
        <v>345</v>
      </c>
      <c r="M22" s="67"/>
      <c r="N22" s="36" t="s">
        <v>227</v>
      </c>
      <c r="O22" s="84"/>
      <c r="P22" s="31"/>
      <c r="Q22" s="31"/>
    </row>
    <row r="23" spans="1:18" ht="9.9499999999999993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94</v>
      </c>
      <c r="E24" s="27"/>
      <c r="F24" s="54" t="s">
        <v>84</v>
      </c>
      <c r="G24" s="27"/>
      <c r="H24" s="54" t="s">
        <v>172</v>
      </c>
      <c r="I24" s="27"/>
      <c r="J24" s="54" t="s">
        <v>328</v>
      </c>
      <c r="K24" s="27"/>
      <c r="L24" s="54" t="s">
        <v>85</v>
      </c>
      <c r="M24" s="27"/>
      <c r="N24" s="54" t="s">
        <v>86</v>
      </c>
      <c r="O24" s="84"/>
      <c r="P24" s="31"/>
      <c r="Q24" s="31"/>
      <c r="R24" t="s">
        <v>187</v>
      </c>
    </row>
    <row r="25" spans="1:18" ht="9.9499999999999993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169</v>
      </c>
      <c r="E26" s="27"/>
      <c r="F26" s="37" t="s">
        <v>89</v>
      </c>
      <c r="G26" s="27"/>
      <c r="H26" s="37" t="s">
        <v>90</v>
      </c>
      <c r="I26" s="27"/>
      <c r="J26" s="37" t="s">
        <v>91</v>
      </c>
      <c r="K26" s="27"/>
      <c r="L26" s="37" t="s">
        <v>92</v>
      </c>
      <c r="M26" s="30"/>
      <c r="N26" s="29" t="s">
        <v>93</v>
      </c>
      <c r="O26" s="84"/>
      <c r="P26" s="31"/>
      <c r="Q26" s="31"/>
    </row>
    <row r="27" spans="1:18" ht="9.9499999999999993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9.9499999999999993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9.9499999999999993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45" t="s">
        <v>69</v>
      </c>
      <c r="E30" s="145"/>
      <c r="F30" s="146"/>
      <c r="G30" s="146"/>
      <c r="H30" s="146"/>
      <c r="I30" s="146"/>
      <c r="J30" s="146"/>
      <c r="K30" s="146"/>
      <c r="L30" s="146"/>
      <c r="M30" s="146"/>
      <c r="N30" s="146"/>
      <c r="O30" s="127"/>
      <c r="P30" s="31"/>
      <c r="Q30" s="31"/>
    </row>
    <row r="31" spans="1:18" ht="12.95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305</v>
      </c>
      <c r="E32" s="89"/>
      <c r="F32" s="90" t="s">
        <v>284</v>
      </c>
      <c r="G32" s="89"/>
      <c r="H32" s="90" t="s">
        <v>285</v>
      </c>
      <c r="I32" s="89"/>
      <c r="J32" s="90" t="s">
        <v>304</v>
      </c>
      <c r="K32" s="89"/>
      <c r="L32" s="90" t="s">
        <v>286</v>
      </c>
      <c r="M32" s="89"/>
      <c r="N32" s="90" t="s">
        <v>287</v>
      </c>
      <c r="O32" s="127"/>
      <c r="P32" s="31"/>
      <c r="Q32" s="31"/>
    </row>
    <row r="33" spans="1:21" ht="9.9499999999999993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288</v>
      </c>
      <c r="E34" s="89"/>
      <c r="F34" s="90" t="s">
        <v>289</v>
      </c>
      <c r="G34" s="89"/>
      <c r="H34" s="90" t="s">
        <v>290</v>
      </c>
      <c r="I34" s="89"/>
      <c r="J34" s="90" t="s">
        <v>291</v>
      </c>
      <c r="K34" s="89"/>
      <c r="L34" s="90" t="s">
        <v>292</v>
      </c>
      <c r="M34" s="89"/>
      <c r="N34" s="90" t="s">
        <v>293</v>
      </c>
      <c r="O34" s="127"/>
      <c r="P34" s="31"/>
      <c r="Q34" s="31"/>
    </row>
    <row r="35" spans="1:21" ht="9.9499999999999993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294</v>
      </c>
      <c r="E36" s="89"/>
      <c r="F36" s="90" t="s">
        <v>295</v>
      </c>
      <c r="G36" s="89"/>
      <c r="H36" s="90" t="s">
        <v>296</v>
      </c>
      <c r="I36" s="89"/>
      <c r="J36" s="90" t="s">
        <v>297</v>
      </c>
      <c r="K36" s="89"/>
      <c r="L36" s="90" t="s">
        <v>298</v>
      </c>
      <c r="M36" s="89"/>
      <c r="N36" s="90" t="s">
        <v>299</v>
      </c>
      <c r="O36" s="127"/>
      <c r="P36" s="31"/>
      <c r="Q36" s="31"/>
      <c r="R36" s="25"/>
      <c r="S36" s="25"/>
    </row>
    <row r="37" spans="1:21" ht="9.9499999999999993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300</v>
      </c>
      <c r="E38" s="89"/>
      <c r="F38" s="90" t="s">
        <v>301</v>
      </c>
      <c r="G38" s="89"/>
      <c r="H38" s="90" t="s">
        <v>302</v>
      </c>
      <c r="I38" s="89"/>
      <c r="J38" s="90" t="s">
        <v>303</v>
      </c>
      <c r="K38" s="89"/>
      <c r="L38" s="88" t="s">
        <v>118</v>
      </c>
      <c r="M38" s="89"/>
      <c r="N38" s="88" t="s">
        <v>87</v>
      </c>
      <c r="O38" s="127"/>
      <c r="P38" s="31"/>
      <c r="Q38" s="31"/>
    </row>
    <row r="39" spans="1:21" s="31" customFormat="1" ht="9.9499999999999993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9.9499999999999993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9.9499999999999993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41" t="s">
        <v>116</v>
      </c>
      <c r="E42" s="141"/>
      <c r="F42" s="142"/>
      <c r="G42" s="142"/>
      <c r="H42" s="142"/>
      <c r="I42" s="142"/>
      <c r="J42" s="142"/>
      <c r="K42" s="142"/>
      <c r="L42" s="142"/>
      <c r="M42" s="142"/>
      <c r="N42" s="142"/>
      <c r="O42" s="132"/>
      <c r="P42" s="31"/>
      <c r="Q42" s="31"/>
      <c r="U42" s="25"/>
    </row>
    <row r="43" spans="1:21" ht="11.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5">
      <c r="A44" s="31"/>
      <c r="B44" s="31"/>
      <c r="C44" s="75"/>
      <c r="D44" s="133" t="s">
        <v>117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187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43">
        <v>1.2211493402777777E-3</v>
      </c>
      <c r="E46" s="144"/>
      <c r="F46" s="144"/>
      <c r="G46" s="72"/>
      <c r="H46" s="42" t="s">
        <v>63</v>
      </c>
      <c r="J46" s="38" t="s">
        <v>62</v>
      </c>
      <c r="K46" s="72"/>
      <c r="L46" s="42" t="s">
        <v>283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  <c r="R47" t="s">
        <v>187</v>
      </c>
    </row>
    <row r="48" spans="1:21" ht="13.5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54" spans="1:17">
      <c r="Q54" t="s">
        <v>142</v>
      </c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70</v>
      </c>
      <c r="Z427" s="23" t="s">
        <v>65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119</v>
      </c>
      <c r="AB428" t="s">
        <v>145</v>
      </c>
      <c r="AC428" t="s">
        <v>96</v>
      </c>
    </row>
    <row r="429" spans="12:29">
      <c r="L429" s="24"/>
      <c r="M429" s="24"/>
      <c r="Y429">
        <v>2</v>
      </c>
      <c r="Z429" t="s">
        <v>120</v>
      </c>
      <c r="AB429" t="s">
        <v>146</v>
      </c>
      <c r="AC429" t="s">
        <v>97</v>
      </c>
    </row>
    <row r="430" spans="12:29">
      <c r="L430" s="24"/>
      <c r="M430" s="24"/>
      <c r="Y430">
        <v>3</v>
      </c>
      <c r="Z430" t="s">
        <v>121</v>
      </c>
      <c r="AB430" t="s">
        <v>148</v>
      </c>
      <c r="AC430" t="s">
        <v>98</v>
      </c>
    </row>
    <row r="431" spans="12:29">
      <c r="L431" s="24"/>
      <c r="M431" s="24"/>
      <c r="Y431">
        <v>4</v>
      </c>
      <c r="Z431" t="s">
        <v>122</v>
      </c>
      <c r="AB431" t="s">
        <v>149</v>
      </c>
      <c r="AC431" t="s">
        <v>99</v>
      </c>
    </row>
    <row r="432" spans="12:29">
      <c r="L432" s="24"/>
      <c r="M432" s="24"/>
      <c r="Y432">
        <v>5</v>
      </c>
      <c r="Z432" t="s">
        <v>123</v>
      </c>
      <c r="AB432" t="s">
        <v>150</v>
      </c>
      <c r="AC432" t="s">
        <v>100</v>
      </c>
    </row>
    <row r="433" spans="12:29">
      <c r="L433" s="24"/>
      <c r="M433" s="24"/>
      <c r="Y433">
        <v>6</v>
      </c>
      <c r="Z433" t="s">
        <v>124</v>
      </c>
      <c r="AB433" t="s">
        <v>147</v>
      </c>
      <c r="AC433" t="s">
        <v>101</v>
      </c>
    </row>
    <row r="434" spans="12:29">
      <c r="L434" s="24"/>
      <c r="M434" s="24"/>
      <c r="Y434">
        <v>7</v>
      </c>
      <c r="Z434" t="s">
        <v>125</v>
      </c>
      <c r="AB434" t="s">
        <v>151</v>
      </c>
      <c r="AC434" t="s">
        <v>102</v>
      </c>
    </row>
    <row r="435" spans="12:29">
      <c r="L435" s="24"/>
      <c r="M435" s="24"/>
      <c r="Y435">
        <v>8</v>
      </c>
      <c r="Z435" t="s">
        <v>126</v>
      </c>
      <c r="AB435" t="s">
        <v>152</v>
      </c>
      <c r="AC435" t="s">
        <v>144</v>
      </c>
    </row>
    <row r="436" spans="12:29">
      <c r="L436" s="24"/>
      <c r="M436" s="24"/>
      <c r="Y436">
        <v>9</v>
      </c>
      <c r="Z436" t="s">
        <v>127</v>
      </c>
      <c r="AB436" t="s">
        <v>153</v>
      </c>
      <c r="AC436" t="s">
        <v>103</v>
      </c>
    </row>
    <row r="437" spans="12:29">
      <c r="L437" s="24"/>
      <c r="M437" s="24"/>
      <c r="Y437">
        <v>10</v>
      </c>
      <c r="Z437" t="s">
        <v>128</v>
      </c>
      <c r="AB437" t="s">
        <v>154</v>
      </c>
      <c r="AC437" t="s">
        <v>104</v>
      </c>
    </row>
    <row r="438" spans="12:29">
      <c r="L438" s="24"/>
      <c r="M438" s="24"/>
      <c r="Y438">
        <v>11</v>
      </c>
      <c r="Z438" t="s">
        <v>129</v>
      </c>
      <c r="AB438" t="s">
        <v>155</v>
      </c>
      <c r="AC438" t="s">
        <v>105</v>
      </c>
    </row>
    <row r="439" spans="12:29">
      <c r="L439" s="24"/>
      <c r="M439" s="24"/>
      <c r="Y439">
        <v>12</v>
      </c>
      <c r="Z439" t="s">
        <v>130</v>
      </c>
      <c r="AB439" t="s">
        <v>156</v>
      </c>
      <c r="AC439" t="s">
        <v>106</v>
      </c>
    </row>
    <row r="440" spans="12:29">
      <c r="L440" s="24"/>
      <c r="M440" s="24"/>
      <c r="Y440">
        <v>13</v>
      </c>
      <c r="Z440" t="s">
        <v>131</v>
      </c>
      <c r="AB440" t="s">
        <v>157</v>
      </c>
      <c r="AC440" t="s">
        <v>107</v>
      </c>
    </row>
    <row r="441" spans="12:29">
      <c r="L441" s="24"/>
      <c r="M441" s="24"/>
      <c r="Y441">
        <v>14</v>
      </c>
      <c r="Z441" t="s">
        <v>132</v>
      </c>
      <c r="AB441" t="s">
        <v>158</v>
      </c>
      <c r="AC441" t="s">
        <v>113</v>
      </c>
    </row>
    <row r="442" spans="12:29">
      <c r="L442" s="24"/>
      <c r="M442" s="24"/>
      <c r="Y442">
        <v>15</v>
      </c>
      <c r="Z442" t="s">
        <v>133</v>
      </c>
      <c r="AB442" t="s">
        <v>159</v>
      </c>
      <c r="AC442" t="s">
        <v>108</v>
      </c>
    </row>
    <row r="443" spans="12:29">
      <c r="L443" s="24"/>
      <c r="M443" s="24"/>
      <c r="Y443">
        <v>16</v>
      </c>
      <c r="Z443" t="s">
        <v>134</v>
      </c>
      <c r="AB443" t="s">
        <v>160</v>
      </c>
      <c r="AC443" t="s">
        <v>109</v>
      </c>
    </row>
    <row r="444" spans="12:29">
      <c r="L444" s="24"/>
      <c r="M444" s="24"/>
      <c r="Y444">
        <v>17</v>
      </c>
      <c r="Z444" t="s">
        <v>135</v>
      </c>
      <c r="AB444" t="s">
        <v>161</v>
      </c>
      <c r="AC444" t="s">
        <v>110</v>
      </c>
    </row>
    <row r="445" spans="12:29">
      <c r="L445" s="24"/>
      <c r="M445" s="24"/>
      <c r="Y445">
        <v>18</v>
      </c>
      <c r="Z445" t="s">
        <v>136</v>
      </c>
      <c r="AB445" t="s">
        <v>162</v>
      </c>
      <c r="AC445" t="s">
        <v>114</v>
      </c>
    </row>
    <row r="446" spans="12:29">
      <c r="L446" s="24"/>
      <c r="M446" s="24"/>
      <c r="Y446">
        <v>19</v>
      </c>
      <c r="Z446" t="s">
        <v>137</v>
      </c>
      <c r="AB446" t="s">
        <v>163</v>
      </c>
      <c r="AC446" t="s">
        <v>115</v>
      </c>
    </row>
    <row r="447" spans="12:29">
      <c r="L447" s="24"/>
      <c r="M447" s="24"/>
      <c r="Y447">
        <v>20</v>
      </c>
      <c r="Z447" t="s">
        <v>138</v>
      </c>
      <c r="AB447" t="s">
        <v>164</v>
      </c>
      <c r="AC447" t="s">
        <v>111</v>
      </c>
    </row>
    <row r="448" spans="12:29">
      <c r="L448" s="24"/>
      <c r="M448" s="24"/>
      <c r="AB448" t="s">
        <v>165</v>
      </c>
      <c r="AC448" t="s">
        <v>112</v>
      </c>
    </row>
    <row r="449" spans="12:29">
      <c r="L449" s="24"/>
      <c r="M449" s="24"/>
      <c r="Y449">
        <v>22</v>
      </c>
      <c r="Z449" t="s">
        <v>139</v>
      </c>
      <c r="AB449" t="s">
        <v>166</v>
      </c>
      <c r="AC449" t="s">
        <v>93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38"/>
  <sheetViews>
    <sheetView workbookViewId="0">
      <selection activeCell="B37" sqref="B37"/>
    </sheetView>
  </sheetViews>
  <sheetFormatPr baseColWidth="10" defaultRowHeight="12.75"/>
  <cols>
    <col min="1" max="1" width="18" customWidth="1"/>
    <col min="2" max="2" width="11" bestFit="1" customWidth="1"/>
    <col min="3" max="3" width="22.42578125" customWidth="1"/>
    <col min="4" max="4" width="14.140625" bestFit="1" customWidth="1"/>
    <col min="5" max="5" width="28" customWidth="1"/>
    <col min="6" max="6" width="14.28515625" bestFit="1" customWidth="1"/>
    <col min="7" max="7" width="13.28515625" bestFit="1" customWidth="1"/>
    <col min="8" max="8" width="27.140625" customWidth="1"/>
    <col min="9" max="9" width="18.42578125" customWidth="1"/>
    <col min="10" max="17" width="10.85546875" customWidth="1"/>
  </cols>
  <sheetData>
    <row r="1" spans="1:17">
      <c r="A1" t="s">
        <v>417</v>
      </c>
      <c r="B1" t="s">
        <v>58</v>
      </c>
      <c r="C1" t="s">
        <v>65</v>
      </c>
      <c r="D1" t="s">
        <v>355</v>
      </c>
      <c r="E1" t="s">
        <v>66</v>
      </c>
      <c r="F1" t="s">
        <v>413</v>
      </c>
      <c r="G1" t="s">
        <v>330</v>
      </c>
      <c r="H1" t="s">
        <v>67</v>
      </c>
      <c r="I1" t="s">
        <v>68</v>
      </c>
      <c r="J1" t="s">
        <v>394</v>
      </c>
      <c r="K1" t="s">
        <v>395</v>
      </c>
      <c r="L1" t="s">
        <v>396</v>
      </c>
      <c r="M1" t="s">
        <v>176</v>
      </c>
      <c r="N1" t="s">
        <v>397</v>
      </c>
      <c r="O1" t="s">
        <v>398</v>
      </c>
      <c r="P1" t="s">
        <v>411</v>
      </c>
      <c r="Q1" t="s">
        <v>414</v>
      </c>
    </row>
    <row r="2" spans="1:17">
      <c r="A2" s="43">
        <v>6.9444444444444444E-5</v>
      </c>
      <c r="B2" t="s">
        <v>167</v>
      </c>
      <c r="E2" t="s">
        <v>225</v>
      </c>
      <c r="G2" t="s">
        <v>168</v>
      </c>
      <c r="I2" s="137">
        <v>46236.661400462966</v>
      </c>
      <c r="J2" t="s">
        <v>410</v>
      </c>
      <c r="K2" t="s">
        <v>370</v>
      </c>
      <c r="L2" s="136">
        <v>46290</v>
      </c>
      <c r="M2" t="s">
        <v>382</v>
      </c>
      <c r="N2" t="s">
        <v>387</v>
      </c>
      <c r="O2" t="s">
        <v>368</v>
      </c>
      <c r="P2">
        <v>1</v>
      </c>
      <c r="Q2" t="s">
        <v>392</v>
      </c>
    </row>
    <row r="3" spans="1:17">
      <c r="A3" s="43">
        <v>6.9444444444444444E-5</v>
      </c>
      <c r="B3" t="s">
        <v>167</v>
      </c>
      <c r="C3" t="s">
        <v>257</v>
      </c>
      <c r="E3" t="s">
        <v>178</v>
      </c>
      <c r="G3" t="s">
        <v>278</v>
      </c>
      <c r="I3" s="137">
        <v>46236.661226851851</v>
      </c>
      <c r="J3" t="s">
        <v>410</v>
      </c>
      <c r="K3" t="s">
        <v>370</v>
      </c>
      <c r="L3" s="136">
        <v>46290</v>
      </c>
      <c r="M3" t="s">
        <v>382</v>
      </c>
      <c r="N3" t="s">
        <v>387</v>
      </c>
      <c r="O3" t="s">
        <v>368</v>
      </c>
      <c r="P3">
        <v>1</v>
      </c>
      <c r="Q3" t="s">
        <v>392</v>
      </c>
    </row>
    <row r="4" spans="1:17">
      <c r="A4" s="43"/>
      <c r="I4" s="139"/>
      <c r="J4" t="s">
        <v>410</v>
      </c>
      <c r="K4" t="s">
        <v>370</v>
      </c>
      <c r="L4" s="136">
        <v>46290</v>
      </c>
      <c r="M4" t="s">
        <v>382</v>
      </c>
      <c r="N4" t="s">
        <v>387</v>
      </c>
      <c r="O4" t="s">
        <v>368</v>
      </c>
      <c r="P4">
        <v>1</v>
      </c>
      <c r="Q4" t="s">
        <v>392</v>
      </c>
    </row>
    <row r="5" spans="1:17">
      <c r="A5" s="43">
        <v>4.145859027777778E-4</v>
      </c>
      <c r="B5" t="s">
        <v>167</v>
      </c>
      <c r="C5" t="s">
        <v>259</v>
      </c>
      <c r="E5" t="s">
        <v>178</v>
      </c>
      <c r="G5" t="s">
        <v>278</v>
      </c>
      <c r="I5" s="137">
        <v>46226.874722222223</v>
      </c>
      <c r="J5" t="s">
        <v>410</v>
      </c>
      <c r="K5" t="s">
        <v>370</v>
      </c>
      <c r="L5" s="136">
        <v>46290</v>
      </c>
      <c r="M5" t="s">
        <v>382</v>
      </c>
      <c r="N5" t="s">
        <v>387</v>
      </c>
      <c r="O5" t="s">
        <v>368</v>
      </c>
      <c r="P5">
        <v>1</v>
      </c>
      <c r="Q5" t="s">
        <v>392</v>
      </c>
    </row>
    <row r="6" spans="1:17">
      <c r="A6" s="43">
        <v>4.145859027777778E-4</v>
      </c>
      <c r="B6" t="s">
        <v>167</v>
      </c>
      <c r="E6" t="s">
        <v>59</v>
      </c>
      <c r="G6" t="s">
        <v>168</v>
      </c>
      <c r="I6" s="137">
        <v>46226.873541666668</v>
      </c>
      <c r="J6" t="s">
        <v>410</v>
      </c>
      <c r="K6" t="s">
        <v>370</v>
      </c>
      <c r="L6" s="136">
        <v>46290</v>
      </c>
      <c r="M6" t="s">
        <v>382</v>
      </c>
      <c r="N6" t="s">
        <v>387</v>
      </c>
      <c r="O6" t="s">
        <v>368</v>
      </c>
      <c r="P6">
        <v>1</v>
      </c>
      <c r="Q6" t="s">
        <v>392</v>
      </c>
    </row>
    <row r="7" spans="1:17">
      <c r="A7" s="43">
        <v>4.5138888888888885E-3</v>
      </c>
      <c r="B7" t="s">
        <v>167</v>
      </c>
      <c r="E7" t="s">
        <v>174</v>
      </c>
      <c r="G7" t="s">
        <v>278</v>
      </c>
      <c r="I7" s="137">
        <v>46225.816990740743</v>
      </c>
      <c r="J7" t="s">
        <v>410</v>
      </c>
      <c r="K7" t="s">
        <v>370</v>
      </c>
      <c r="L7" s="136">
        <v>46290</v>
      </c>
      <c r="M7" t="s">
        <v>382</v>
      </c>
      <c r="N7" t="s">
        <v>387</v>
      </c>
      <c r="O7" t="s">
        <v>368</v>
      </c>
      <c r="P7">
        <v>1</v>
      </c>
      <c r="Q7" t="s">
        <v>392</v>
      </c>
    </row>
    <row r="8" spans="1:17">
      <c r="A8" s="43">
        <v>4.4675925925925924E-3</v>
      </c>
      <c r="B8" t="s">
        <v>167</v>
      </c>
      <c r="E8" t="s">
        <v>93</v>
      </c>
      <c r="G8" t="s">
        <v>278</v>
      </c>
      <c r="I8" s="137">
        <v>46225.816932870373</v>
      </c>
      <c r="J8" t="s">
        <v>410</v>
      </c>
      <c r="K8" t="s">
        <v>370</v>
      </c>
      <c r="L8" s="136">
        <v>46290</v>
      </c>
      <c r="M8" t="s">
        <v>382</v>
      </c>
      <c r="N8" t="s">
        <v>387</v>
      </c>
      <c r="O8" t="s">
        <v>368</v>
      </c>
      <c r="P8">
        <v>1</v>
      </c>
      <c r="Q8" t="s">
        <v>392</v>
      </c>
    </row>
    <row r="9" spans="1:17">
      <c r="A9" s="43">
        <v>4.3518518518518515E-3</v>
      </c>
      <c r="B9" t="s">
        <v>167</v>
      </c>
      <c r="E9" t="s">
        <v>319</v>
      </c>
      <c r="G9" t="s">
        <v>168</v>
      </c>
      <c r="I9" s="137">
        <v>46225.816828703704</v>
      </c>
      <c r="J9" t="s">
        <v>410</v>
      </c>
      <c r="K9" t="s">
        <v>370</v>
      </c>
      <c r="L9" s="136">
        <v>46290</v>
      </c>
      <c r="M9" t="s">
        <v>382</v>
      </c>
      <c r="N9" t="s">
        <v>387</v>
      </c>
      <c r="O9" t="s">
        <v>368</v>
      </c>
      <c r="P9">
        <v>1</v>
      </c>
      <c r="Q9" t="s">
        <v>392</v>
      </c>
    </row>
    <row r="10" spans="1:17">
      <c r="A10" s="43">
        <v>4.2361111111111115E-3</v>
      </c>
      <c r="B10" t="s">
        <v>167</v>
      </c>
      <c r="E10" t="s">
        <v>180</v>
      </c>
      <c r="G10" t="s">
        <v>278</v>
      </c>
      <c r="I10" s="137">
        <v>46225.816712962966</v>
      </c>
      <c r="J10" t="s">
        <v>410</v>
      </c>
      <c r="K10" t="s">
        <v>370</v>
      </c>
      <c r="L10" s="136">
        <v>46290</v>
      </c>
      <c r="M10" t="s">
        <v>382</v>
      </c>
      <c r="N10" t="s">
        <v>387</v>
      </c>
      <c r="O10" t="s">
        <v>368</v>
      </c>
      <c r="P10">
        <v>1</v>
      </c>
      <c r="Q10" t="s">
        <v>392</v>
      </c>
    </row>
    <row r="11" spans="1:17">
      <c r="A11" s="43">
        <v>4.1898148148148146E-3</v>
      </c>
      <c r="B11" t="s">
        <v>167</v>
      </c>
      <c r="E11" t="s">
        <v>174</v>
      </c>
      <c r="G11" t="s">
        <v>278</v>
      </c>
      <c r="I11" s="137">
        <v>46225.816666666666</v>
      </c>
      <c r="J11" t="s">
        <v>410</v>
      </c>
      <c r="K11" t="s">
        <v>370</v>
      </c>
      <c r="L11" s="136">
        <v>46290</v>
      </c>
      <c r="M11" t="s">
        <v>382</v>
      </c>
      <c r="N11" t="s">
        <v>387</v>
      </c>
      <c r="O11" t="s">
        <v>368</v>
      </c>
      <c r="P11">
        <v>1</v>
      </c>
      <c r="Q11" t="s">
        <v>392</v>
      </c>
    </row>
    <row r="12" spans="1:17">
      <c r="A12" s="43">
        <v>4.1898148148148146E-3</v>
      </c>
      <c r="B12" t="s">
        <v>167</v>
      </c>
      <c r="E12" t="s">
        <v>93</v>
      </c>
      <c r="G12" t="s">
        <v>278</v>
      </c>
      <c r="I12" s="137">
        <v>46225.816655092596</v>
      </c>
      <c r="J12" t="s">
        <v>410</v>
      </c>
      <c r="K12" t="s">
        <v>370</v>
      </c>
      <c r="L12" s="136">
        <v>46290</v>
      </c>
      <c r="M12" t="s">
        <v>382</v>
      </c>
      <c r="N12" t="s">
        <v>387</v>
      </c>
      <c r="O12" t="s">
        <v>368</v>
      </c>
      <c r="P12">
        <v>1</v>
      </c>
      <c r="Q12" t="s">
        <v>392</v>
      </c>
    </row>
    <row r="13" spans="1:17">
      <c r="A13" s="43">
        <v>4.1550925925925922E-3</v>
      </c>
      <c r="B13" t="s">
        <v>167</v>
      </c>
      <c r="C13" t="s">
        <v>87</v>
      </c>
      <c r="D13" t="s">
        <v>87</v>
      </c>
      <c r="E13" t="s">
        <v>350</v>
      </c>
      <c r="F13" t="s">
        <v>87</v>
      </c>
      <c r="G13" t="s">
        <v>278</v>
      </c>
      <c r="I13" s="137">
        <v>46225.816655092596</v>
      </c>
      <c r="J13" t="s">
        <v>410</v>
      </c>
      <c r="K13" t="s">
        <v>370</v>
      </c>
      <c r="L13" s="136">
        <v>46290</v>
      </c>
      <c r="M13" t="s">
        <v>382</v>
      </c>
      <c r="N13" t="s">
        <v>387</v>
      </c>
      <c r="O13" t="s">
        <v>368</v>
      </c>
      <c r="P13">
        <v>1</v>
      </c>
      <c r="Q13" t="s">
        <v>392</v>
      </c>
    </row>
    <row r="14" spans="1:17">
      <c r="A14" s="43">
        <v>4.1435185185185186E-3</v>
      </c>
      <c r="B14" t="s">
        <v>167</v>
      </c>
      <c r="E14" t="s">
        <v>322</v>
      </c>
      <c r="G14" t="s">
        <v>168</v>
      </c>
      <c r="I14" s="137">
        <v>46225.816620370373</v>
      </c>
      <c r="J14" t="s">
        <v>410</v>
      </c>
      <c r="K14" t="s">
        <v>370</v>
      </c>
      <c r="L14" s="136">
        <v>46290</v>
      </c>
      <c r="M14" t="s">
        <v>382</v>
      </c>
      <c r="N14" t="s">
        <v>387</v>
      </c>
      <c r="O14" t="s">
        <v>368</v>
      </c>
      <c r="P14">
        <v>1</v>
      </c>
      <c r="Q14" t="s">
        <v>392</v>
      </c>
    </row>
    <row r="15" spans="1:17">
      <c r="A15" s="43">
        <v>4.1203703703703706E-3</v>
      </c>
      <c r="B15" t="s">
        <v>167</v>
      </c>
      <c r="E15" t="s">
        <v>59</v>
      </c>
      <c r="G15" t="s">
        <v>168</v>
      </c>
      <c r="I15" s="137">
        <v>46225.81658564815</v>
      </c>
      <c r="J15" t="s">
        <v>410</v>
      </c>
      <c r="K15" t="s">
        <v>370</v>
      </c>
      <c r="L15" s="136">
        <v>46290</v>
      </c>
      <c r="M15" t="s">
        <v>382</v>
      </c>
      <c r="N15" t="s">
        <v>387</v>
      </c>
      <c r="O15" t="s">
        <v>368</v>
      </c>
      <c r="P15">
        <v>1</v>
      </c>
      <c r="Q15" t="s">
        <v>392</v>
      </c>
    </row>
    <row r="16" spans="1:17">
      <c r="A16" s="43">
        <v>4.0625000000000001E-3</v>
      </c>
      <c r="B16" t="s">
        <v>167</v>
      </c>
      <c r="C16" t="s">
        <v>258</v>
      </c>
      <c r="E16" t="s">
        <v>178</v>
      </c>
      <c r="G16" t="s">
        <v>278</v>
      </c>
      <c r="I16" s="137">
        <v>46225.816550925927</v>
      </c>
      <c r="J16" t="s">
        <v>410</v>
      </c>
      <c r="K16" t="s">
        <v>370</v>
      </c>
      <c r="L16" s="136">
        <v>46290</v>
      </c>
      <c r="M16" t="s">
        <v>382</v>
      </c>
      <c r="N16" t="s">
        <v>387</v>
      </c>
      <c r="O16" t="s">
        <v>368</v>
      </c>
      <c r="P16">
        <v>1</v>
      </c>
      <c r="Q16" t="s">
        <v>392</v>
      </c>
    </row>
    <row r="17" spans="1:17">
      <c r="A17" s="43">
        <v>7.1031869444444454E-3</v>
      </c>
      <c r="B17" t="s">
        <v>167</v>
      </c>
      <c r="C17" t="s">
        <v>256</v>
      </c>
      <c r="E17" t="s">
        <v>178</v>
      </c>
      <c r="G17" t="s">
        <v>278</v>
      </c>
      <c r="I17" s="137">
        <v>46225.769490740742</v>
      </c>
      <c r="J17" t="s">
        <v>410</v>
      </c>
      <c r="K17" t="s">
        <v>370</v>
      </c>
      <c r="L17" s="136">
        <v>46290</v>
      </c>
      <c r="M17" t="s">
        <v>382</v>
      </c>
      <c r="N17" t="s">
        <v>387</v>
      </c>
      <c r="O17" t="s">
        <v>368</v>
      </c>
      <c r="P17">
        <v>1</v>
      </c>
      <c r="Q17" t="s">
        <v>392</v>
      </c>
    </row>
    <row r="18" spans="1:17">
      <c r="A18" s="43">
        <v>7.1031869444444454E-3</v>
      </c>
      <c r="B18" t="s">
        <v>167</v>
      </c>
      <c r="E18" t="s">
        <v>183</v>
      </c>
      <c r="G18" t="s">
        <v>278</v>
      </c>
      <c r="I18" s="137">
        <v>46225.769456018519</v>
      </c>
      <c r="J18" t="s">
        <v>410</v>
      </c>
      <c r="K18" t="s">
        <v>370</v>
      </c>
      <c r="L18" s="136">
        <v>46290</v>
      </c>
      <c r="M18" t="s">
        <v>382</v>
      </c>
      <c r="N18" t="s">
        <v>387</v>
      </c>
      <c r="O18" t="s">
        <v>368</v>
      </c>
      <c r="P18">
        <v>1</v>
      </c>
      <c r="Q18" t="s">
        <v>392</v>
      </c>
    </row>
    <row r="19" spans="1:17">
      <c r="A19" s="43">
        <v>7.1031869444444454E-3</v>
      </c>
      <c r="B19" t="s">
        <v>167</v>
      </c>
      <c r="E19" t="s">
        <v>174</v>
      </c>
      <c r="G19" t="s">
        <v>278</v>
      </c>
      <c r="I19" s="137">
        <v>46225.769421296296</v>
      </c>
      <c r="J19" t="s">
        <v>410</v>
      </c>
      <c r="K19" t="s">
        <v>370</v>
      </c>
      <c r="L19" s="136">
        <v>46290</v>
      </c>
      <c r="M19" t="s">
        <v>382</v>
      </c>
      <c r="N19" t="s">
        <v>387</v>
      </c>
      <c r="O19" t="s">
        <v>368</v>
      </c>
      <c r="P19">
        <v>1</v>
      </c>
      <c r="Q19" t="s">
        <v>392</v>
      </c>
    </row>
    <row r="20" spans="1:17">
      <c r="A20" s="43">
        <v>7.1031869444444454E-3</v>
      </c>
      <c r="B20" t="s">
        <v>167</v>
      </c>
      <c r="E20" t="s">
        <v>93</v>
      </c>
      <c r="G20" t="s">
        <v>278</v>
      </c>
      <c r="I20" s="137">
        <v>46225.769409722219</v>
      </c>
      <c r="J20" t="s">
        <v>410</v>
      </c>
      <c r="K20" t="s">
        <v>370</v>
      </c>
      <c r="L20" s="136">
        <v>46290</v>
      </c>
      <c r="M20" t="s">
        <v>382</v>
      </c>
      <c r="N20" t="s">
        <v>387</v>
      </c>
      <c r="O20" t="s">
        <v>368</v>
      </c>
      <c r="P20">
        <v>1</v>
      </c>
      <c r="Q20" t="s">
        <v>392</v>
      </c>
    </row>
    <row r="21" spans="1:17">
      <c r="A21" s="43">
        <v>7.1031869444444454E-3</v>
      </c>
      <c r="B21" t="s">
        <v>167</v>
      </c>
      <c r="C21" t="s">
        <v>87</v>
      </c>
      <c r="D21" t="s">
        <v>87</v>
      </c>
      <c r="E21" t="s">
        <v>350</v>
      </c>
      <c r="F21" t="s">
        <v>87</v>
      </c>
      <c r="G21" t="s">
        <v>278</v>
      </c>
      <c r="I21" s="137">
        <v>46225.76939814815</v>
      </c>
      <c r="J21" t="s">
        <v>410</v>
      </c>
      <c r="K21" t="s">
        <v>370</v>
      </c>
      <c r="L21" s="136">
        <v>46290</v>
      </c>
      <c r="M21" t="s">
        <v>382</v>
      </c>
      <c r="N21" t="s">
        <v>387</v>
      </c>
      <c r="O21" t="s">
        <v>368</v>
      </c>
      <c r="P21">
        <v>1</v>
      </c>
      <c r="Q21" t="s">
        <v>392</v>
      </c>
    </row>
    <row r="22" spans="1:17">
      <c r="A22" s="43">
        <v>7.1031869444444454E-3</v>
      </c>
      <c r="B22" t="s">
        <v>167</v>
      </c>
      <c r="E22" t="s">
        <v>322</v>
      </c>
      <c r="G22" t="s">
        <v>168</v>
      </c>
      <c r="I22" s="137">
        <v>46225.769305555557</v>
      </c>
      <c r="J22" t="s">
        <v>410</v>
      </c>
      <c r="K22" t="s">
        <v>370</v>
      </c>
      <c r="L22" s="136">
        <v>46290</v>
      </c>
      <c r="M22" t="s">
        <v>382</v>
      </c>
      <c r="N22" t="s">
        <v>387</v>
      </c>
      <c r="O22" t="s">
        <v>368</v>
      </c>
      <c r="P22">
        <v>1</v>
      </c>
      <c r="Q22" t="s">
        <v>392</v>
      </c>
    </row>
    <row r="23" spans="1:17">
      <c r="A23" s="43">
        <v>7.1031869444444454E-3</v>
      </c>
      <c r="B23" t="s">
        <v>167</v>
      </c>
      <c r="E23" t="s">
        <v>320</v>
      </c>
      <c r="G23" t="s">
        <v>168</v>
      </c>
      <c r="I23" s="137">
        <v>46225.769270833334</v>
      </c>
      <c r="J23" t="s">
        <v>410</v>
      </c>
      <c r="K23" t="s">
        <v>370</v>
      </c>
      <c r="L23" s="136">
        <v>46290</v>
      </c>
      <c r="M23" t="s">
        <v>382</v>
      </c>
      <c r="N23" t="s">
        <v>387</v>
      </c>
      <c r="O23" t="s">
        <v>368</v>
      </c>
      <c r="P23">
        <v>1</v>
      </c>
      <c r="Q23" t="s">
        <v>392</v>
      </c>
    </row>
    <row r="24" spans="1:17">
      <c r="A24" s="43">
        <v>7.1031869444444454E-3</v>
      </c>
      <c r="B24" t="s">
        <v>167</v>
      </c>
      <c r="E24" t="s">
        <v>171</v>
      </c>
      <c r="G24" t="s">
        <v>168</v>
      </c>
      <c r="I24" s="137">
        <v>46225.769212962965</v>
      </c>
      <c r="J24" t="s">
        <v>410</v>
      </c>
      <c r="K24" t="s">
        <v>370</v>
      </c>
      <c r="L24" s="136">
        <v>46290</v>
      </c>
      <c r="M24" t="s">
        <v>382</v>
      </c>
      <c r="N24" t="s">
        <v>387</v>
      </c>
      <c r="O24" t="s">
        <v>368</v>
      </c>
      <c r="P24">
        <v>1</v>
      </c>
      <c r="Q24" t="s">
        <v>392</v>
      </c>
    </row>
    <row r="25" spans="1:17">
      <c r="A25" s="43">
        <v>7.1031869444444454E-3</v>
      </c>
      <c r="B25" t="s">
        <v>167</v>
      </c>
      <c r="E25" t="s">
        <v>93</v>
      </c>
      <c r="G25" t="s">
        <v>168</v>
      </c>
      <c r="I25" s="137">
        <v>46225.769178240742</v>
      </c>
      <c r="J25" t="s">
        <v>410</v>
      </c>
      <c r="K25" t="s">
        <v>370</v>
      </c>
      <c r="L25" s="136">
        <v>46290</v>
      </c>
      <c r="M25" t="s">
        <v>382</v>
      </c>
      <c r="N25" t="s">
        <v>387</v>
      </c>
      <c r="O25" t="s">
        <v>368</v>
      </c>
      <c r="P25">
        <v>1</v>
      </c>
      <c r="Q25" t="s">
        <v>392</v>
      </c>
    </row>
    <row r="26" spans="1:17">
      <c r="A26" s="43">
        <v>7.1031869444444454E-3</v>
      </c>
      <c r="B26" t="s">
        <v>167</v>
      </c>
      <c r="C26" t="s">
        <v>264</v>
      </c>
      <c r="E26" t="s">
        <v>61</v>
      </c>
      <c r="G26" t="s">
        <v>278</v>
      </c>
      <c r="I26" s="137">
        <v>46225.769120370373</v>
      </c>
      <c r="J26" t="s">
        <v>410</v>
      </c>
      <c r="K26" t="s">
        <v>370</v>
      </c>
      <c r="L26" s="136">
        <v>46290</v>
      </c>
      <c r="M26" t="s">
        <v>382</v>
      </c>
      <c r="N26" t="s">
        <v>387</v>
      </c>
      <c r="O26" t="s">
        <v>368</v>
      </c>
      <c r="P26">
        <v>1</v>
      </c>
      <c r="Q26" t="s">
        <v>392</v>
      </c>
    </row>
    <row r="27" spans="1:17">
      <c r="A27" s="43">
        <v>7.1031869444444454E-3</v>
      </c>
      <c r="B27" t="s">
        <v>167</v>
      </c>
      <c r="C27" t="s">
        <v>257</v>
      </c>
      <c r="E27" t="s">
        <v>225</v>
      </c>
      <c r="G27" t="s">
        <v>278</v>
      </c>
      <c r="I27" s="137">
        <v>46225.769016203703</v>
      </c>
      <c r="J27" t="s">
        <v>410</v>
      </c>
      <c r="K27" t="s">
        <v>370</v>
      </c>
      <c r="L27" s="136">
        <v>46290</v>
      </c>
      <c r="M27" t="s">
        <v>382</v>
      </c>
      <c r="N27" t="s">
        <v>387</v>
      </c>
      <c r="O27" t="s">
        <v>368</v>
      </c>
      <c r="P27">
        <v>1</v>
      </c>
      <c r="Q27" t="s">
        <v>392</v>
      </c>
    </row>
    <row r="28" spans="1:17">
      <c r="A28" s="43">
        <v>7.1031869444444454E-3</v>
      </c>
      <c r="B28" t="s">
        <v>167</v>
      </c>
      <c r="C28" t="s">
        <v>261</v>
      </c>
      <c r="E28" t="s">
        <v>227</v>
      </c>
      <c r="G28" t="s">
        <v>278</v>
      </c>
      <c r="I28" s="137">
        <v>46225.768946759257</v>
      </c>
      <c r="J28" t="s">
        <v>410</v>
      </c>
      <c r="K28" t="s">
        <v>370</v>
      </c>
      <c r="L28" s="136">
        <v>46290</v>
      </c>
      <c r="M28" t="s">
        <v>382</v>
      </c>
      <c r="N28" t="s">
        <v>387</v>
      </c>
      <c r="O28" t="s">
        <v>368</v>
      </c>
      <c r="P28">
        <v>1</v>
      </c>
      <c r="Q28" t="s">
        <v>392</v>
      </c>
    </row>
    <row r="29" spans="1:17">
      <c r="A29" s="43">
        <v>7.1031869444444454E-3</v>
      </c>
      <c r="B29" t="s">
        <v>167</v>
      </c>
      <c r="C29" t="s">
        <v>258</v>
      </c>
      <c r="E29" t="s">
        <v>178</v>
      </c>
      <c r="G29" t="s">
        <v>278</v>
      </c>
      <c r="I29" s="137">
        <v>46225.768078703702</v>
      </c>
      <c r="J29" t="s">
        <v>410</v>
      </c>
      <c r="K29" t="s">
        <v>370</v>
      </c>
      <c r="L29" s="136">
        <v>46290</v>
      </c>
      <c r="M29" t="s">
        <v>382</v>
      </c>
      <c r="N29" t="s">
        <v>387</v>
      </c>
      <c r="O29" t="s">
        <v>368</v>
      </c>
      <c r="P29">
        <v>1</v>
      </c>
      <c r="Q29" t="s">
        <v>392</v>
      </c>
    </row>
    <row r="30" spans="1:17">
      <c r="A30" s="43">
        <v>7.1031869444444454E-3</v>
      </c>
      <c r="B30" t="s">
        <v>167</v>
      </c>
      <c r="E30" t="s">
        <v>60</v>
      </c>
      <c r="G30" t="s">
        <v>168</v>
      </c>
      <c r="I30" s="137">
        <v>46225.767789351848</v>
      </c>
      <c r="J30" t="s">
        <v>410</v>
      </c>
      <c r="K30" t="s">
        <v>370</v>
      </c>
      <c r="L30" s="136">
        <v>46290</v>
      </c>
      <c r="M30" t="s">
        <v>382</v>
      </c>
      <c r="N30" t="s">
        <v>387</v>
      </c>
      <c r="O30" t="s">
        <v>368</v>
      </c>
      <c r="P30">
        <v>1</v>
      </c>
      <c r="Q30" t="s">
        <v>392</v>
      </c>
    </row>
    <row r="31" spans="1:17">
      <c r="A31" s="43">
        <v>2.2569444444444442E-3</v>
      </c>
      <c r="B31" t="s">
        <v>167</v>
      </c>
      <c r="C31" t="s">
        <v>257</v>
      </c>
      <c r="E31" t="s">
        <v>227</v>
      </c>
      <c r="G31" t="s">
        <v>278</v>
      </c>
      <c r="I31" s="137">
        <v>46225.712500000001</v>
      </c>
      <c r="J31" t="s">
        <v>410</v>
      </c>
      <c r="K31" t="s">
        <v>370</v>
      </c>
      <c r="L31" s="136">
        <v>46290</v>
      </c>
      <c r="M31" t="s">
        <v>382</v>
      </c>
      <c r="N31" t="s">
        <v>387</v>
      </c>
      <c r="O31" t="s">
        <v>368</v>
      </c>
      <c r="P31">
        <v>1</v>
      </c>
      <c r="Q31" t="s">
        <v>392</v>
      </c>
    </row>
    <row r="32" spans="1:17">
      <c r="A32" s="43">
        <v>2.2569444444444442E-3</v>
      </c>
      <c r="B32" t="s">
        <v>167</v>
      </c>
      <c r="C32" t="s">
        <v>261</v>
      </c>
      <c r="E32" t="s">
        <v>178</v>
      </c>
      <c r="G32" t="s">
        <v>278</v>
      </c>
      <c r="I32" s="137">
        <v>46225.712476851855</v>
      </c>
      <c r="J32" t="s">
        <v>410</v>
      </c>
      <c r="K32" t="s">
        <v>370</v>
      </c>
      <c r="L32" s="136">
        <v>46290</v>
      </c>
      <c r="M32" t="s">
        <v>382</v>
      </c>
      <c r="N32" t="s">
        <v>387</v>
      </c>
      <c r="O32" t="s">
        <v>368</v>
      </c>
      <c r="P32">
        <v>1</v>
      </c>
      <c r="Q32" t="s">
        <v>392</v>
      </c>
    </row>
    <row r="33" spans="1:17">
      <c r="A33" s="43">
        <v>2.2569444444444442E-3</v>
      </c>
      <c r="B33" t="s">
        <v>167</v>
      </c>
      <c r="C33" t="s">
        <v>259</v>
      </c>
      <c r="E33" t="s">
        <v>178</v>
      </c>
      <c r="G33" t="s">
        <v>278</v>
      </c>
      <c r="I33" s="137">
        <v>46225.712465277778</v>
      </c>
      <c r="J33" t="s">
        <v>410</v>
      </c>
      <c r="K33" t="s">
        <v>370</v>
      </c>
      <c r="L33" s="136">
        <v>46290</v>
      </c>
      <c r="M33" t="s">
        <v>382</v>
      </c>
      <c r="N33" t="s">
        <v>387</v>
      </c>
      <c r="O33" t="s">
        <v>368</v>
      </c>
      <c r="P33">
        <v>1</v>
      </c>
      <c r="Q33" t="s">
        <v>392</v>
      </c>
    </row>
    <row r="34" spans="1:17">
      <c r="A34" s="43">
        <v>2.2569444444444442E-3</v>
      </c>
      <c r="B34" t="s">
        <v>167</v>
      </c>
      <c r="E34" t="s">
        <v>59</v>
      </c>
      <c r="G34" t="s">
        <v>168</v>
      </c>
      <c r="I34" s="137">
        <v>46225.712326388886</v>
      </c>
      <c r="J34" t="s">
        <v>410</v>
      </c>
      <c r="K34" t="s">
        <v>370</v>
      </c>
      <c r="L34" s="136">
        <v>46290</v>
      </c>
      <c r="M34" t="s">
        <v>382</v>
      </c>
      <c r="N34" t="s">
        <v>387</v>
      </c>
      <c r="O34" t="s">
        <v>368</v>
      </c>
      <c r="P34">
        <v>1</v>
      </c>
      <c r="Q34" t="s">
        <v>392</v>
      </c>
    </row>
    <row r="35" spans="1:17">
      <c r="A35" s="43">
        <v>2.2569444444444442E-3</v>
      </c>
      <c r="B35" t="s">
        <v>167</v>
      </c>
      <c r="E35" t="s">
        <v>59</v>
      </c>
      <c r="G35" t="s">
        <v>168</v>
      </c>
      <c r="I35" s="137">
        <v>46225.712314814817</v>
      </c>
      <c r="J35" t="s">
        <v>410</v>
      </c>
      <c r="K35" t="s">
        <v>370</v>
      </c>
      <c r="L35" s="136">
        <v>46290</v>
      </c>
      <c r="M35" t="s">
        <v>382</v>
      </c>
      <c r="N35" t="s">
        <v>387</v>
      </c>
      <c r="O35" t="s">
        <v>368</v>
      </c>
      <c r="P35">
        <v>1</v>
      </c>
      <c r="Q35" t="s">
        <v>392</v>
      </c>
    </row>
    <row r="36" spans="1:17">
      <c r="A36" s="43">
        <v>2.2569444444444442E-3</v>
      </c>
      <c r="B36" t="s">
        <v>167</v>
      </c>
      <c r="E36" t="s">
        <v>59</v>
      </c>
      <c r="G36" t="s">
        <v>168</v>
      </c>
      <c r="I36" s="137">
        <v>46225.712291666663</v>
      </c>
      <c r="J36" t="s">
        <v>410</v>
      </c>
      <c r="K36" t="s">
        <v>370</v>
      </c>
      <c r="L36" s="136">
        <v>46290</v>
      </c>
      <c r="M36" t="s">
        <v>382</v>
      </c>
      <c r="N36" t="s">
        <v>387</v>
      </c>
      <c r="O36" t="s">
        <v>368</v>
      </c>
      <c r="P36">
        <v>1</v>
      </c>
      <c r="Q36" t="s">
        <v>392</v>
      </c>
    </row>
    <row r="37" spans="1:17">
      <c r="A37" s="43">
        <v>2.2569444444444442E-3</v>
      </c>
      <c r="B37" t="s">
        <v>167</v>
      </c>
      <c r="E37" t="s">
        <v>59</v>
      </c>
      <c r="G37" t="s">
        <v>168</v>
      </c>
      <c r="I37" s="137">
        <v>46225.712083333332</v>
      </c>
      <c r="J37" t="s">
        <v>410</v>
      </c>
      <c r="K37" t="s">
        <v>370</v>
      </c>
      <c r="L37" s="136">
        <v>46290</v>
      </c>
      <c r="M37" t="s">
        <v>382</v>
      </c>
      <c r="N37" t="s">
        <v>387</v>
      </c>
      <c r="O37" t="s">
        <v>368</v>
      </c>
      <c r="P37">
        <v>1</v>
      </c>
      <c r="Q37" t="s">
        <v>392</v>
      </c>
    </row>
    <row r="38" spans="1:17">
      <c r="A38" s="43">
        <v>1.1668484537037036E-2</v>
      </c>
      <c r="B38" t="s">
        <v>141</v>
      </c>
      <c r="E38" t="s">
        <v>225</v>
      </c>
      <c r="G38" t="s">
        <v>168</v>
      </c>
      <c r="I38" s="137">
        <v>46224.408900462964</v>
      </c>
      <c r="J38" t="s">
        <v>410</v>
      </c>
      <c r="K38" t="s">
        <v>370</v>
      </c>
      <c r="L38" s="136">
        <v>46290</v>
      </c>
      <c r="M38" t="s">
        <v>382</v>
      </c>
      <c r="N38" t="s">
        <v>387</v>
      </c>
      <c r="O38" t="s">
        <v>368</v>
      </c>
      <c r="P38">
        <v>1</v>
      </c>
      <c r="Q38" t="s">
        <v>392</v>
      </c>
    </row>
  </sheetData>
  <dataValidations count="5">
    <dataValidation type="list" allowBlank="1" showErrorMessage="1" sqref="B2:B38" xr:uid="{8416C147-CD2E-3641-8104-DE965153615E}">
      <formula1>LISTE_MT_JOURNAL</formula1>
    </dataValidation>
    <dataValidation type="list" allowBlank="1" showErrorMessage="1" sqref="C2:C38" xr:uid="{9521A531-4DD4-8E4D-B642-85CBA53B1942}">
      <formula1>LISTE_JOUEURS_JOURNAL</formula1>
    </dataValidation>
    <dataValidation type="list" allowBlank="1" showErrorMessage="1" sqref="E2:E38" xr:uid="{4041EC6D-BDBC-034E-993A-2DB2A0976E3D}">
      <formula1>LISTE_ACTIONS_JOURNAL</formula1>
    </dataValidation>
    <dataValidation type="list" allowBlank="1" showErrorMessage="1" sqref="G2:G38" xr:uid="{BEB4320E-27BC-8541-97C6-C33947FA875E}">
      <formula1>LISTE_EQUIPES_JOURNAL</formula1>
    </dataValidation>
    <dataValidation type="list" allowBlank="1" showErrorMessage="1" sqref="F2:F38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2.75"/>
  <cols>
    <col min="1" max="1" width="10.85546875" style="31"/>
    <col min="2" max="2" width="19.140625" bestFit="1" customWidth="1"/>
    <col min="3" max="3" width="14" bestFit="1" customWidth="1"/>
    <col min="15" max="31" width="10.85546875" style="31"/>
  </cols>
  <sheetData>
    <row r="1" spans="2:14" s="31" customFormat="1"/>
    <row r="2" spans="2:14" ht="14.1" customHeight="1">
      <c r="B2" s="158" t="s">
        <v>65</v>
      </c>
      <c r="C2" s="160" t="str">
        <f>ACT_PL_NORMAL</f>
        <v>Plaquage normal</v>
      </c>
      <c r="D2" s="161"/>
      <c r="E2" s="160" t="str">
        <f>ACT_PL_OFF</f>
        <v>Plaquage offensif</v>
      </c>
      <c r="F2" s="161"/>
      <c r="G2" s="160" t="str">
        <f>ACT_PL_RATE</f>
        <v>Plaquage raté</v>
      </c>
      <c r="H2" s="161"/>
      <c r="I2" s="160" t="str">
        <f>ACT_PL_A2</f>
        <v>Plaquage à 2</v>
      </c>
      <c r="J2" s="162"/>
      <c r="K2" s="162" t="str">
        <f>ACT_PL_HAUT</f>
        <v>Plaquage haut</v>
      </c>
      <c r="L2" s="161"/>
      <c r="M2" s="162" t="str">
        <f>ACT_GRATTAGE</f>
        <v>Grattage</v>
      </c>
      <c r="N2" s="161"/>
    </row>
    <row r="3" spans="2:14" ht="12.95" customHeight="1">
      <c r="B3" s="159"/>
      <c r="C3" s="96" t="s">
        <v>167</v>
      </c>
      <c r="D3" s="99" t="s">
        <v>141</v>
      </c>
      <c r="E3" s="97" t="s">
        <v>167</v>
      </c>
      <c r="F3" s="97" t="s">
        <v>141</v>
      </c>
      <c r="G3" s="96" t="s">
        <v>167</v>
      </c>
      <c r="H3" s="99" t="s">
        <v>141</v>
      </c>
      <c r="I3" s="96" t="s">
        <v>167</v>
      </c>
      <c r="J3" s="99" t="s">
        <v>141</v>
      </c>
      <c r="K3" s="96" t="s">
        <v>167</v>
      </c>
      <c r="L3" s="99" t="s">
        <v>141</v>
      </c>
      <c r="M3" s="97" t="s">
        <v>167</v>
      </c>
      <c r="N3" s="99" t="s">
        <v>141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>
        <f>IF(COUNTIFS(JournalActions[Joueur],$B4,JournalActions[Action],$C$2,JournalActions[Mi-temps],C$3)=0,"",COUNTIFS(JournalActions[Joueur],$B4,JournalActions[Action],$C$2,JournalActions[Mi-temps],C$3))</f>
        <v>2</v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>
        <f>IF(COUNTIFS(JournalActions[Joueur],$B12,JournalActions[Action],$C$2,JournalActions[Mi-temps],C$3)=0,"",COUNTIFS(JournalActions[Joueur],$B12,JournalActions[Action],$C$2,JournalActions[Mi-temps],C$3))</f>
        <v>1</v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>
        <f>IF(COUNTIFS(JournalActions[Joueur],$B13,JournalActions[Action],$C$2,JournalActions[Mi-temps],C$3)=0,"",COUNTIFS(JournalActions[Joueur],$B13,JournalActions[Action],$C$2,JournalActions[Mi-temps],C$3))</f>
        <v>1</v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>
        <f>IF(COUNTIFS(JournalActions[Joueur],$B13,JournalActions[Action],$I$2,JournalActions[Mi-temps],I$3)=0,"",COUNTIFS(JournalActions[Joueur],$B13,JournalActions[Action],$I$2,JournalActions[Mi-temps],I$3))</f>
        <v>1</v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>
        <f>IF(COUNTIFS(JournalActions[Joueur],$B13,JournalActions[Action],$K$2,JournalActions[Mi-temps],K$3)=0,"",COUNTIFS(JournalActions[Joueur],$B13,JournalActions[Action],$K$2,JournalActions[Mi-temps],K$3))</f>
        <v>1</v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>
        <f>IF(COUNTIFS(JournalActions[Joueur],$B18,JournalActions[Action],$C$2,JournalActions[Mi-temps],C$3)=0,"",COUNTIFS(JournalActions[Joueur],$B18,JournalActions[Action],$C$2,JournalActions[Mi-temps],C$3))</f>
        <v>2</v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>
        <f>IF(COUNTIFS(JournalActions[Joueur],$B19,JournalActions[Action],$M$2,JournalActions[Mi-temps],M$3)=0,"",COUNTIFS(JournalActions[Joueur],$B19,JournalActions[Action],$M$2,JournalActions[Mi-temps],M$3))</f>
        <v>1</v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>
        <f>IF(COUNTIFS(JournalActions[Joueur],$B22,JournalActions[Action],$C$2,JournalActions[Mi-temps],C$3)=0,"",COUNTIFS(JournalActions[Joueur],$B22,JournalActions[Action],$C$2,JournalActions[Mi-temps],C$3))</f>
        <v>1</v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>
        <f>IF(COUNTIFS(JournalActions[Joueur],$B22,JournalActions[Action],$K$2,JournalActions[Mi-temps],K$3)=0,"",COUNTIFS(JournalActions[Joueur],$B22,JournalActions[Action],$K$2,JournalActions[Mi-temps],K$3))</f>
        <v>1</v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118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87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1.95" customHeight="1">
      <c r="B28" s="117" t="s">
        <v>366</v>
      </c>
      <c r="C28" s="118">
        <f>SUM(C4:C27)</f>
        <v>7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1</v>
      </c>
      <c r="J28" s="119">
        <f t="shared" si="0"/>
        <v>0</v>
      </c>
      <c r="K28" s="118">
        <f t="shared" si="0"/>
        <v>2</v>
      </c>
      <c r="L28" s="119">
        <f t="shared" si="0"/>
        <v>0</v>
      </c>
      <c r="M28" s="118">
        <f t="shared" si="0"/>
        <v>1</v>
      </c>
      <c r="N28" s="119">
        <f t="shared" si="0"/>
        <v>0</v>
      </c>
    </row>
    <row r="29" spans="2:14" s="121" customFormat="1" ht="24.95" customHeight="1">
      <c r="B29" s="120" t="s">
        <v>365</v>
      </c>
      <c r="C29" s="169">
        <f>C28+D28</f>
        <v>7</v>
      </c>
      <c r="D29" s="166"/>
      <c r="E29" s="165">
        <f t="shared" ref="E29" si="1">E28+F28</f>
        <v>0</v>
      </c>
      <c r="F29" s="165"/>
      <c r="G29" s="169">
        <f t="shared" ref="G29" si="2">G28+H28</f>
        <v>0</v>
      </c>
      <c r="H29" s="166"/>
      <c r="I29" s="169">
        <f>I28+J28</f>
        <v>1</v>
      </c>
      <c r="J29" s="166"/>
      <c r="K29" s="169">
        <f t="shared" ref="K29" si="3">K28+L28</f>
        <v>2</v>
      </c>
      <c r="L29" s="166"/>
      <c r="M29" s="165">
        <f t="shared" ref="M29" si="4">M28+N28</f>
        <v>1</v>
      </c>
      <c r="N29" s="166"/>
    </row>
    <row r="30" spans="2:14" s="31" customFormat="1"/>
    <row r="31" spans="2:14" s="31" customFormat="1"/>
    <row r="32" spans="2:14" ht="15">
      <c r="B32" s="31"/>
      <c r="C32" s="108" t="s">
        <v>332</v>
      </c>
      <c r="D32" s="108" t="s">
        <v>412</v>
      </c>
      <c r="E32" s="109" t="s">
        <v>331</v>
      </c>
      <c r="F32" s="31"/>
      <c r="G32" s="160" t="s">
        <v>360</v>
      </c>
      <c r="H32" s="161"/>
      <c r="J32" s="160" t="s">
        <v>83</v>
      </c>
      <c r="K32" s="160" t="s">
        <v>334</v>
      </c>
      <c r="L32" s="161"/>
      <c r="M32" s="161" t="s">
        <v>361</v>
      </c>
      <c r="N32" s="31"/>
    </row>
    <row r="33" spans="2:14" ht="15">
      <c r="B33" s="31"/>
      <c r="C33" s="112" t="s">
        <v>329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334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4"/>
      <c r="K33" s="96" t="s">
        <v>340</v>
      </c>
      <c r="L33" s="99" t="s">
        <v>359</v>
      </c>
      <c r="M33" s="163"/>
      <c r="N33" s="31"/>
    </row>
    <row r="34" spans="2:14">
      <c r="B34" s="31"/>
      <c r="C34" s="49" t="s">
        <v>362</v>
      </c>
      <c r="D34" s="49">
        <f>COUNTIFS(JournalActions[Action],ACT_TO_ADV_PERDUE,JournalActions[Mi-temps],"MT1")</f>
        <v>1</v>
      </c>
      <c r="E34" s="51">
        <f>COUNTIFS(JournalActions[Possession],ACT_TO_ADV_VOLEE,JournalActions[Joueur],"MT1")</f>
        <v>0</v>
      </c>
      <c r="F34" s="31"/>
      <c r="G34" s="49" t="s">
        <v>335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167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141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5">
      <c r="B36" s="31"/>
      <c r="C36" s="108" t="s">
        <v>333</v>
      </c>
      <c r="D36" s="108" t="s">
        <v>412</v>
      </c>
      <c r="E36" s="109" t="s">
        <v>331</v>
      </c>
      <c r="F36" s="31"/>
      <c r="G36" s="160" t="s">
        <v>336</v>
      </c>
      <c r="H36" s="161"/>
      <c r="I36" s="31"/>
      <c r="J36" s="31"/>
      <c r="K36" s="31"/>
      <c r="L36" s="31"/>
      <c r="M36" s="31"/>
      <c r="N36" s="31"/>
    </row>
    <row r="37" spans="2:14" ht="15">
      <c r="B37" s="31"/>
      <c r="C37" s="112" t="s">
        <v>329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334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334</v>
      </c>
      <c r="M37" s="87" t="s">
        <v>361</v>
      </c>
      <c r="N37" s="31"/>
    </row>
    <row r="38" spans="2:14">
      <c r="B38" s="31"/>
      <c r="C38" s="49" t="s">
        <v>362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335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70" t="s">
        <v>31</v>
      </c>
      <c r="K38" s="171"/>
      <c r="L38" s="114">
        <f>COUNTIFS(JournalActions[Action],ACT_PEN_CONTRE_NOUS,JournalActions[Motif penalite],ACT_PEN_MAUL)</f>
        <v>0</v>
      </c>
      <c r="M38" s="114">
        <f>COUNTIFS(JournalActions[Action],ACT_PEN_CONTRE_ADV,JournalActions[Motif penalite],ACT_PEN_MAUL)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67" t="s">
        <v>33</v>
      </c>
      <c r="K39" s="168"/>
      <c r="L39" s="52">
        <f>COUNTIFS(JournalActions[Action],ACT_PEN_CONTRE_NOUS,JournalActions[Motif penalite],ACT_PEN_RUCK)</f>
        <v>0</v>
      </c>
      <c r="M39" s="52">
        <f>COUNTIFS(JournalActions[Action],ACT_PEN_CONTRE_ADV,JournalActions[Motif penalite],ACT_PEN_RUCK)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70" t="s">
        <v>35</v>
      </c>
      <c r="K40" s="171"/>
      <c r="L40" s="114">
        <f>COUNTIFS(JournalActions[Action],ACT_PEN_CONTRE_NOUS,JournalActions[Motif penalite],ACT_PEN_HORS_JEU)</f>
        <v>0</v>
      </c>
      <c r="M40" s="114">
        <f>COUNTIFS(JournalActions[Action],ACT_PEN_CONTRE_ADV,JournalActions[Motif penalite],ACT_PEN_HORS_JEU)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67" t="s">
        <v>37</v>
      </c>
      <c r="K41" s="168"/>
      <c r="L41" s="52">
        <f>COUNTIFS(JournalActions[Action],ACT_PEN_CONTRE_NOUS,JournalActions[Motif penalite],ACT_PEN_PL_A_2)</f>
        <v>0</v>
      </c>
      <c r="M41" s="52">
        <f>COUNTIFS(JournalActions[Action],ACT_PEN_CONTRE_ADV,JournalActions[Motif penalite],ACT_PEN_PL_A_2)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70" t="s">
        <v>39</v>
      </c>
      <c r="K42" s="171"/>
      <c r="L42" s="114">
        <f>COUNTIFS(JournalActions[Action],ACT_PEN_CONTRE_NOUS,JournalActions[Motif penalite],ACT_PEN_PL_HAUT)</f>
        <v>0</v>
      </c>
      <c r="M42" s="114">
        <f>COUNTIFS(JournalActions[Action],ACT_PEN_CONTRE_ADV,JournalActions[Motif penalite],ACT_PEN_PL_HAUT)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67" t="s">
        <v>356</v>
      </c>
      <c r="K43" s="168"/>
      <c r="L43" s="52">
        <f>COUNTIFS(JournalActions[Action],ACT_PEN_CONTRE_NOUS,JournalActions[Motif penalite],"~?")</f>
        <v>2</v>
      </c>
      <c r="M43" s="52">
        <f>COUNTIFS(JournalActions[Action],ACT_PEN_CONTRE_ADV,JournalActions[Motif penalite],"~?")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  <mergeCell ref="M2:N2"/>
    <mergeCell ref="G36:H36"/>
    <mergeCell ref="G32:H32"/>
    <mergeCell ref="K32:L32"/>
    <mergeCell ref="M32:M33"/>
    <mergeCell ref="J32:J33"/>
    <mergeCell ref="M29:N29"/>
    <mergeCell ref="K2:L2"/>
    <mergeCell ref="B2:B3"/>
    <mergeCell ref="C2:D2"/>
    <mergeCell ref="E2:F2"/>
    <mergeCell ref="G2:H2"/>
    <mergeCell ref="I2:J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2.75"/>
  <cols>
    <col min="1" max="1" width="6.7109375" customWidth="1"/>
    <col min="2" max="2" width="17.42578125" bestFit="1" customWidth="1"/>
    <col min="3" max="3" width="13.42578125" customWidth="1"/>
    <col min="4" max="4" width="24.140625" customWidth="1"/>
    <col min="5" max="5" width="19.140625" bestFit="1" customWidth="1"/>
    <col min="10" max="10" width="17.42578125" bestFit="1" customWidth="1"/>
  </cols>
  <sheetData>
    <row r="1" spans="1:5">
      <c r="A1" t="s">
        <v>192</v>
      </c>
      <c r="B1" t="s">
        <v>193</v>
      </c>
      <c r="C1" t="s">
        <v>194</v>
      </c>
      <c r="D1" t="s">
        <v>195</v>
      </c>
      <c r="E1" t="s">
        <v>255</v>
      </c>
    </row>
    <row r="2" spans="1:5">
      <c r="A2">
        <v>1</v>
      </c>
      <c r="B2" t="s">
        <v>200</v>
      </c>
      <c r="C2" t="s">
        <v>199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128</v>
      </c>
      <c r="C3" t="s">
        <v>205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137</v>
      </c>
      <c r="C4" t="s">
        <v>203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138</v>
      </c>
      <c r="C5" t="s">
        <v>213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135</v>
      </c>
      <c r="C6" t="s">
        <v>209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123</v>
      </c>
      <c r="C7" t="s">
        <v>201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129</v>
      </c>
      <c r="C8" t="s">
        <v>206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190</v>
      </c>
      <c r="C9" t="s">
        <v>214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191</v>
      </c>
      <c r="C10" t="s">
        <v>196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120</v>
      </c>
      <c r="C11" t="s">
        <v>198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130</v>
      </c>
      <c r="C12" t="s">
        <v>207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139</v>
      </c>
      <c r="C13" t="s">
        <v>215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132</v>
      </c>
      <c r="C14" t="s">
        <v>209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131</v>
      </c>
      <c r="C15" t="s">
        <v>208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121</v>
      </c>
      <c r="C16" t="s">
        <v>197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127</v>
      </c>
      <c r="C17" t="s">
        <v>204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126</v>
      </c>
      <c r="C18" t="s">
        <v>203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134</v>
      </c>
      <c r="C19" t="s">
        <v>211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124</v>
      </c>
      <c r="C20" t="s">
        <v>203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133</v>
      </c>
      <c r="C21" t="s">
        <v>210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133</v>
      </c>
      <c r="C22" t="s">
        <v>202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136</v>
      </c>
      <c r="C23" t="s">
        <v>212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200</v>
      </c>
      <c r="C24" t="s">
        <v>216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2.75"/>
  <cols>
    <col min="1" max="1" width="24.7109375" customWidth="1"/>
    <col min="2" max="2" width="24.42578125" customWidth="1"/>
    <col min="3" max="3" width="14.7109375" customWidth="1"/>
    <col min="6" max="6" width="25.7109375" bestFit="1" customWidth="1"/>
    <col min="7" max="7" width="9.28515625" customWidth="1"/>
    <col min="9" max="9" width="27.7109375" customWidth="1"/>
    <col min="11" max="11" width="26.7109375" bestFit="1" customWidth="1"/>
    <col min="14" max="14" width="20.42578125" customWidth="1"/>
    <col min="17" max="17" width="28.85546875" bestFit="1" customWidth="1"/>
    <col min="18" max="18" width="20.42578125" bestFit="1" customWidth="1"/>
  </cols>
  <sheetData>
    <row r="1" spans="1:18" ht="30" customHeight="1">
      <c r="A1" t="s">
        <v>378</v>
      </c>
      <c r="B1" t="s">
        <v>416</v>
      </c>
      <c r="C1" s="55" t="s">
        <v>386</v>
      </c>
      <c r="D1" s="55"/>
      <c r="F1" s="62" t="s">
        <v>253</v>
      </c>
      <c r="G1" s="63" t="s">
        <v>254</v>
      </c>
      <c r="I1" s="85" t="s">
        <v>281</v>
      </c>
      <c r="K1" s="62" t="s">
        <v>279</v>
      </c>
      <c r="N1" t="s">
        <v>339</v>
      </c>
      <c r="Q1" s="85" t="s">
        <v>220</v>
      </c>
      <c r="R1" s="85" t="s">
        <v>282</v>
      </c>
    </row>
    <row r="2" spans="1:18" ht="30" customHeight="1">
      <c r="A2" t="s">
        <v>399</v>
      </c>
      <c r="B2">
        <v>2.4</v>
      </c>
      <c r="C2" s="59" t="s">
        <v>367</v>
      </c>
      <c r="D2" s="59"/>
      <c r="F2" s="57" t="s">
        <v>243</v>
      </c>
      <c r="G2" s="41"/>
      <c r="I2" s="58" t="s">
        <v>168</v>
      </c>
      <c r="K2" s="57" t="s">
        <v>259</v>
      </c>
      <c r="N2" t="s">
        <v>340</v>
      </c>
      <c r="Q2" s="58" t="s">
        <v>221</v>
      </c>
      <c r="R2" s="58" t="s">
        <v>59</v>
      </c>
    </row>
    <row r="3" spans="1:18" ht="30" customHeight="1">
      <c r="A3" t="s">
        <v>379</v>
      </c>
      <c r="C3" s="59" t="s">
        <v>377</v>
      </c>
      <c r="D3" s="59"/>
      <c r="F3" s="60" t="s">
        <v>244</v>
      </c>
      <c r="G3" s="34"/>
      <c r="I3" s="86" t="s">
        <v>278</v>
      </c>
      <c r="K3" s="60" t="s">
        <v>257</v>
      </c>
      <c r="N3" t="s">
        <v>358</v>
      </c>
      <c r="Q3" s="61" t="s">
        <v>222</v>
      </c>
      <c r="R3" s="61" t="s">
        <v>178</v>
      </c>
    </row>
    <row r="4" spans="1:18" ht="30" customHeight="1">
      <c r="A4" t="s">
        <v>380</v>
      </c>
      <c r="C4" s="59" t="s">
        <v>387</v>
      </c>
      <c r="D4" s="59"/>
      <c r="F4" s="57" t="s">
        <v>245</v>
      </c>
      <c r="G4" s="35"/>
      <c r="K4" s="57" t="s">
        <v>258</v>
      </c>
      <c r="Q4" s="58" t="s">
        <v>223</v>
      </c>
      <c r="R4" s="58" t="s">
        <v>60</v>
      </c>
    </row>
    <row r="5" spans="1:18" ht="30" customHeight="1">
      <c r="A5" t="s">
        <v>381</v>
      </c>
      <c r="C5" s="59"/>
      <c r="D5" s="59"/>
      <c r="F5" s="60" t="s">
        <v>246</v>
      </c>
      <c r="G5" s="36"/>
      <c r="I5" s="85" t="s">
        <v>280</v>
      </c>
      <c r="K5" s="60" t="s">
        <v>259</v>
      </c>
      <c r="Q5" s="61" t="s">
        <v>224</v>
      </c>
      <c r="R5" s="61" t="s">
        <v>225</v>
      </c>
    </row>
    <row r="6" spans="1:18" ht="30" customHeight="1">
      <c r="A6" t="s">
        <v>382</v>
      </c>
      <c r="C6" s="59" t="s">
        <v>388</v>
      </c>
      <c r="D6" s="59"/>
      <c r="F6" s="57" t="s">
        <v>248</v>
      </c>
      <c r="G6" s="37"/>
      <c r="I6" s="58" t="s">
        <v>167</v>
      </c>
      <c r="K6" s="57" t="s">
        <v>260</v>
      </c>
      <c r="Q6" s="58" t="s">
        <v>226</v>
      </c>
      <c r="R6" s="58" t="s">
        <v>227</v>
      </c>
    </row>
    <row r="7" spans="1:18" ht="30" customHeight="1">
      <c r="A7" t="s">
        <v>383</v>
      </c>
      <c r="C7" s="59" t="s">
        <v>368</v>
      </c>
      <c r="D7" s="59"/>
      <c r="F7" s="60" t="s">
        <v>247</v>
      </c>
      <c r="G7" s="54"/>
      <c r="I7" s="86" t="s">
        <v>141</v>
      </c>
      <c r="K7" s="60" t="s">
        <v>261</v>
      </c>
      <c r="Q7" s="61" t="s">
        <v>228</v>
      </c>
      <c r="R7" s="61" t="s">
        <v>181</v>
      </c>
    </row>
    <row r="8" spans="1:18" ht="30" customHeight="1">
      <c r="A8" s="55" t="s">
        <v>384</v>
      </c>
      <c r="C8" s="59" t="s">
        <v>389</v>
      </c>
      <c r="D8" s="59"/>
      <c r="F8" s="57" t="s">
        <v>249</v>
      </c>
      <c r="G8" s="29"/>
      <c r="K8" s="57" t="s">
        <v>262</v>
      </c>
      <c r="Q8" s="58" t="s">
        <v>229</v>
      </c>
      <c r="R8" s="58" t="s">
        <v>179</v>
      </c>
    </row>
    <row r="9" spans="1:18" s="55" customFormat="1" ht="30" customHeight="1">
      <c r="A9" t="s">
        <v>385</v>
      </c>
      <c r="C9" s="59" t="s">
        <v>390</v>
      </c>
      <c r="D9" s="59"/>
      <c r="F9" s="60" t="s">
        <v>250</v>
      </c>
      <c r="G9" s="38"/>
      <c r="K9" s="60" t="s">
        <v>263</v>
      </c>
      <c r="Q9" s="61" t="s">
        <v>230</v>
      </c>
      <c r="R9" s="61" t="s">
        <v>182</v>
      </c>
    </row>
    <row r="10" spans="1:18" ht="30" customHeight="1">
      <c r="C10" s="59"/>
      <c r="D10" s="59"/>
      <c r="F10" s="57" t="s">
        <v>251</v>
      </c>
      <c r="G10" s="39"/>
      <c r="K10" s="57" t="s">
        <v>264</v>
      </c>
      <c r="Q10" s="58" t="s">
        <v>231</v>
      </c>
      <c r="R10" s="58" t="s">
        <v>180</v>
      </c>
    </row>
    <row r="11" spans="1:18" s="55" customFormat="1" ht="30" customHeight="1">
      <c r="C11" s="59" t="s">
        <v>391</v>
      </c>
      <c r="D11" s="59"/>
      <c r="F11" s="60"/>
      <c r="K11" s="60" t="s">
        <v>265</v>
      </c>
      <c r="Q11" s="61" t="s">
        <v>232</v>
      </c>
      <c r="R11" s="61" t="s">
        <v>183</v>
      </c>
    </row>
    <row r="12" spans="1:18" ht="30" customHeight="1">
      <c r="C12" s="59" t="s">
        <v>369</v>
      </c>
      <c r="D12" s="59"/>
      <c r="F12" s="57" t="s">
        <v>252</v>
      </c>
      <c r="G12" s="40"/>
      <c r="K12" s="57" t="s">
        <v>266</v>
      </c>
      <c r="Q12" s="58" t="s">
        <v>364</v>
      </c>
      <c r="R12" s="58" t="s">
        <v>349</v>
      </c>
    </row>
    <row r="13" spans="1:18" s="55" customFormat="1" ht="30" customHeight="1">
      <c r="C13" s="59" t="s">
        <v>392</v>
      </c>
      <c r="D13" s="59"/>
      <c r="K13" s="60" t="s">
        <v>267</v>
      </c>
      <c r="Q13" s="61" t="s">
        <v>363</v>
      </c>
      <c r="R13" s="61" t="s">
        <v>350</v>
      </c>
    </row>
    <row r="14" spans="1:18" ht="30" customHeight="1">
      <c r="C14" s="59" t="s">
        <v>393</v>
      </c>
      <c r="D14" s="59"/>
      <c r="I14" s="56" t="s">
        <v>310</v>
      </c>
      <c r="K14" s="57" t="s">
        <v>268</v>
      </c>
      <c r="Q14" s="61" t="s">
        <v>233</v>
      </c>
      <c r="R14" s="61" t="s">
        <v>173</v>
      </c>
    </row>
    <row r="15" spans="1:18" s="55" customFormat="1" ht="30" customHeight="1">
      <c r="C15" s="59"/>
      <c r="D15" s="59"/>
      <c r="I15" s="55" t="s">
        <v>306</v>
      </c>
      <c r="K15" s="60" t="s">
        <v>269</v>
      </c>
      <c r="Q15" s="61" t="s">
        <v>234</v>
      </c>
      <c r="R15" s="61" t="s">
        <v>184</v>
      </c>
    </row>
    <row r="16" spans="1:18" ht="30" customHeight="1">
      <c r="C16" s="59" t="s">
        <v>402</v>
      </c>
      <c r="D16" s="59"/>
      <c r="I16" s="55" t="s">
        <v>307</v>
      </c>
      <c r="K16" s="57" t="s">
        <v>270</v>
      </c>
      <c r="Q16" s="58" t="s">
        <v>235</v>
      </c>
      <c r="R16" s="58" t="s">
        <v>185</v>
      </c>
    </row>
    <row r="17" spans="1:18" s="55" customFormat="1" ht="30" customHeight="1">
      <c r="C17" s="59" t="s">
        <v>403</v>
      </c>
      <c r="D17" s="59"/>
      <c r="I17" s="55" t="s">
        <v>308</v>
      </c>
      <c r="K17" s="60" t="s">
        <v>271</v>
      </c>
      <c r="Q17" s="61" t="s">
        <v>236</v>
      </c>
      <c r="R17" s="61" t="s">
        <v>186</v>
      </c>
    </row>
    <row r="18" spans="1:18" ht="30" customHeight="1">
      <c r="C18" s="59" t="s">
        <v>404</v>
      </c>
      <c r="D18" s="59"/>
      <c r="I18" s="55" t="s">
        <v>309</v>
      </c>
      <c r="K18" s="57" t="s">
        <v>272</v>
      </c>
      <c r="Q18" s="58" t="s">
        <v>237</v>
      </c>
      <c r="R18" s="58" t="s">
        <v>177</v>
      </c>
    </row>
    <row r="19" spans="1:18" ht="30" customHeight="1">
      <c r="C19" s="59" t="s">
        <v>405</v>
      </c>
      <c r="D19" s="59"/>
      <c r="K19" s="60" t="s">
        <v>273</v>
      </c>
      <c r="Q19" s="61" t="s">
        <v>238</v>
      </c>
      <c r="R19" s="61" t="s">
        <v>174</v>
      </c>
    </row>
    <row r="20" spans="1:18" ht="30" customHeight="1">
      <c r="C20" s="59" t="s">
        <v>406</v>
      </c>
      <c r="D20" s="59"/>
      <c r="K20" s="57" t="s">
        <v>274</v>
      </c>
      <c r="Q20" s="58" t="s">
        <v>239</v>
      </c>
      <c r="R20" s="58" t="s">
        <v>175</v>
      </c>
    </row>
    <row r="21" spans="1:18" ht="30" customHeight="1">
      <c r="A21" s="138" t="s">
        <v>415</v>
      </c>
      <c r="C21" s="59"/>
      <c r="D21" s="59"/>
      <c r="K21" s="60" t="s">
        <v>275</v>
      </c>
      <c r="Q21" s="61" t="s">
        <v>240</v>
      </c>
      <c r="R21" s="61" t="s">
        <v>170</v>
      </c>
    </row>
    <row r="22" spans="1:18" ht="30" customHeight="1">
      <c r="C22" s="59"/>
      <c r="D22" s="59"/>
      <c r="K22" s="57" t="s">
        <v>276</v>
      </c>
      <c r="Q22" s="58" t="s">
        <v>241</v>
      </c>
      <c r="R22" s="58" t="s">
        <v>171</v>
      </c>
    </row>
    <row r="23" spans="1:18" ht="30" customHeight="1">
      <c r="C23" s="59"/>
      <c r="D23" s="59"/>
      <c r="K23" s="60" t="s">
        <v>277</v>
      </c>
      <c r="Q23" s="61" t="s">
        <v>242</v>
      </c>
      <c r="R23" s="61" t="s">
        <v>93</v>
      </c>
    </row>
    <row r="24" spans="1:18" ht="30" customHeight="1">
      <c r="C24" s="59"/>
      <c r="D24" s="59"/>
      <c r="K24" s="57" t="s">
        <v>118</v>
      </c>
      <c r="Q24" s="58" t="s">
        <v>317</v>
      </c>
      <c r="R24" s="58" t="s">
        <v>319</v>
      </c>
    </row>
    <row r="25" spans="1:18" ht="30" customHeight="1">
      <c r="K25" s="60" t="s">
        <v>87</v>
      </c>
      <c r="Q25" s="61" t="s">
        <v>318</v>
      </c>
      <c r="R25" s="61" t="s">
        <v>320</v>
      </c>
    </row>
    <row r="26" spans="1:18" ht="30" customHeight="1">
      <c r="Q26" s="61" t="s">
        <v>321</v>
      </c>
      <c r="R26" s="61" t="s">
        <v>322</v>
      </c>
    </row>
    <row r="27" spans="1:18" ht="30" customHeight="1">
      <c r="Q27" s="61" t="s">
        <v>323</v>
      </c>
      <c r="R27" s="61" t="s">
        <v>324</v>
      </c>
    </row>
    <row r="28" spans="1:18" ht="30" customHeight="1">
      <c r="Q28" s="58" t="s">
        <v>325</v>
      </c>
      <c r="R28" s="58" t="s">
        <v>61</v>
      </c>
    </row>
    <row r="29" spans="1:18" ht="30" customHeight="1">
      <c r="Q29" s="61" t="s">
        <v>326</v>
      </c>
      <c r="R29" s="61" t="s">
        <v>327</v>
      </c>
    </row>
    <row r="30" spans="1:18" ht="30" customHeight="1">
      <c r="Q30" s="111" t="s">
        <v>348</v>
      </c>
      <c r="R30" s="111" t="s">
        <v>342</v>
      </c>
    </row>
    <row r="31" spans="1:18" ht="30" customHeight="1">
      <c r="Q31" s="61" t="s">
        <v>351</v>
      </c>
      <c r="R31" s="61" t="s">
        <v>343</v>
      </c>
    </row>
    <row r="32" spans="1:18" ht="30" customHeight="1">
      <c r="Q32" s="61" t="s">
        <v>352</v>
      </c>
      <c r="R32" s="61" t="s">
        <v>344</v>
      </c>
    </row>
    <row r="33" spans="17:18" ht="30" customHeight="1">
      <c r="Q33" s="61" t="s">
        <v>353</v>
      </c>
      <c r="R33" s="61" t="s">
        <v>225</v>
      </c>
    </row>
    <row r="34" spans="17:18" ht="30" customHeight="1">
      <c r="Q34" s="111" t="s">
        <v>354</v>
      </c>
      <c r="R34" s="111" t="s">
        <v>227</v>
      </c>
    </row>
    <row r="35" spans="17:18" ht="30" customHeight="1">
      <c r="Q35" s="61" t="s">
        <v>357</v>
      </c>
      <c r="R35" s="61" t="s">
        <v>87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5546875" defaultRowHeight="12.75"/>
  <cols>
    <col min="1" max="8" width="10.85546875" style="31"/>
    <col min="9" max="9" width="27" style="31" customWidth="1"/>
    <col min="10" max="10" width="4.42578125" style="31" customWidth="1"/>
    <col min="11" max="16384" width="10.85546875" style="31"/>
  </cols>
  <sheetData>
    <row r="24" spans="8:11">
      <c r="H24" s="31" t="s">
        <v>219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217</v>
      </c>
      <c r="I28" s="52"/>
      <c r="K28" s="48"/>
    </row>
    <row r="29" spans="8:11">
      <c r="H29" s="53"/>
      <c r="K29" s="48"/>
    </row>
    <row r="30" spans="8:11">
      <c r="H30" s="53" t="s">
        <v>218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2.75"/>
  <cols>
    <col min="1" max="1" width="23" style="9" customWidth="1"/>
    <col min="2" max="3" width="13.7109375" style="17" customWidth="1"/>
    <col min="4" max="4" width="13.140625" style="17" customWidth="1"/>
    <col min="5" max="5" width="13.85546875" style="17" customWidth="1"/>
    <col min="6" max="6" width="13.42578125" style="17" customWidth="1"/>
    <col min="7" max="7" width="17.28515625" style="17" customWidth="1"/>
    <col min="8" max="8" width="14.140625" style="4" customWidth="1"/>
    <col min="9" max="9" width="14.140625" style="17" customWidth="1"/>
    <col min="10" max="14" width="14.1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142</vt:i4>
      </vt:variant>
    </vt:vector>
  </HeadingPairs>
  <TitlesOfParts>
    <vt:vector size="148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2026-08-02T15:00:22Z</dcterms:modified>
</cp:coreProperties>
</file>