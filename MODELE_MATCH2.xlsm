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3B34776B-2BAB-48B8-B6D9-55DA6AACCCDC}" xr6:coauthVersionLast="47" xr6:coauthVersionMax="47" xr10:uidLastSave="{00000000-0000-0000-0000-000000000000}"/>
  <bookViews>
    <workbookView xWindow="330" yWindow="510" windowWidth="15645" windowHeight="10980" firstSheet="1" activeTab="1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<sst xmlns="http://schemas.openxmlformats.org/spreadsheetml/2006/main" count="925" uniqueCount="418">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</sst>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5" totalsRowShown="0">
  <autoFilter ref="A1:Q35" xr:uid="{274E98FB-BCE1-0347-AD79-C8025C407DEC}"/>
  <tableColumns count="17">
    <tableColumn id="1" xr3:uid="{1C6F1113-17EB-A449-86BF-30B1CE9CAC0A}" name="(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7" t="s">
        <v>400</v>
      </c>
      <c r="C2" s="147"/>
      <c r="E2" s="148" t="s">
        <v>401</v>
      </c>
      <c r="F2" s="149"/>
      <c r="G2" s="149"/>
      <c r="H2" s="150"/>
      <c r="Z2" t="s">
        <v>265</v>
      </c>
      <c r="AA2" t="s">
        <v>265</v>
      </c>
    </row>
    <row r="3" spans="2:27" ht="18.95" customHeight="1">
      <c r="B3" s="147"/>
      <c r="C3" s="147"/>
      <c r="E3" s="151"/>
      <c r="F3" s="152"/>
      <c r="G3" s="152"/>
      <c r="H3" s="153"/>
      <c r="Z3" t="s">
        <v>274</v>
      </c>
      <c r="AA3" t="s">
        <v>274</v>
      </c>
    </row>
    <row r="4" spans="2:27" ht="18.95" customHeight="1" thickBot="1">
      <c r="B4" s="147"/>
      <c r="C4" s="147"/>
      <c r="E4" s="154"/>
      <c r="F4" s="155"/>
      <c r="G4" s="155"/>
      <c r="H4" s="156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topLeftCell="A34" zoomScale="60" zoomScaleNormal="60" workbookViewId="0">
      <selection activeCell="S58" sqref="S58"/>
    </sheetView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39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6" t="s">
        <v>311</v>
      </c>
      <c r="E4" s="146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0" t="s">
        <v>72</v>
      </c>
      <c r="E8" s="140"/>
      <c r="F8" s="141"/>
      <c r="G8" s="141"/>
      <c r="H8" s="141"/>
      <c r="I8" s="141"/>
      <c r="J8" s="141"/>
      <c r="K8" s="141"/>
      <c r="L8" s="141"/>
      <c r="M8" s="141"/>
      <c r="N8" s="141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4" t="s">
        <v>69</v>
      </c>
      <c r="E30" s="144"/>
      <c r="F30" s="145"/>
      <c r="G30" s="145"/>
      <c r="H30" s="145"/>
      <c r="I30" s="145"/>
      <c r="J30" s="145"/>
      <c r="K30" s="145"/>
      <c r="L30" s="145"/>
      <c r="M30" s="145"/>
      <c r="N30" s="145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0" t="s">
        <v>116</v>
      </c>
      <c r="E42" s="140"/>
      <c r="F42" s="141"/>
      <c r="G42" s="141"/>
      <c r="H42" s="141"/>
      <c r="I42" s="141"/>
      <c r="J42" s="141"/>
      <c r="K42" s="141"/>
      <c r="L42" s="141"/>
      <c r="M42" s="141"/>
      <c r="N42" s="141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2">
        <v>1.0655092592592593E-2</v>
      </c>
      <c r="E46" s="143"/>
      <c r="F46" s="143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5"/>
  <sheetViews>
    <sheetView workbookViewId="0">
      <selection activeCell="H13" sqref="H13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4.145859027777778E-4</v>
      </c>
      <c r="B2" t="s">
        <v>167</v>
      </c>
      <c r="C2" t="s">
        <v>259</v>
      </c>
      <c r="E2" t="s">
        <v>178</v>
      </c>
      <c r="G2" t="s">
        <v>278</v>
      </c>
      <c r="I2" s="137">
        <v>46226.874722222223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4.145859027777778E-4</v>
      </c>
      <c r="B3" t="s">
        <v>167</v>
      </c>
      <c r="E3" t="s">
        <v>59</v>
      </c>
      <c r="G3" t="s">
        <v>168</v>
      </c>
      <c r="I3" s="137">
        <v>46226.873541666668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>
        <v>4.5138888888888885E-3</v>
      </c>
      <c r="B4" t="s">
        <v>167</v>
      </c>
      <c r="E4" t="s">
        <v>174</v>
      </c>
      <c r="G4" t="s">
        <v>278</v>
      </c>
      <c r="I4" s="137">
        <v>46225.816990740743</v>
      </c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4.4675925925925924E-3</v>
      </c>
      <c r="B5" t="s">
        <v>167</v>
      </c>
      <c r="E5" t="s">
        <v>93</v>
      </c>
      <c r="G5" t="s">
        <v>278</v>
      </c>
      <c r="I5" s="137">
        <v>46225.816932870373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4.3518518518518515E-3</v>
      </c>
      <c r="B6" t="s">
        <v>167</v>
      </c>
      <c r="E6" t="s">
        <v>319</v>
      </c>
      <c r="G6" t="s">
        <v>168</v>
      </c>
      <c r="I6" s="137">
        <v>46225.816828703704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4.2361111111111115E-3</v>
      </c>
      <c r="B7" t="s">
        <v>167</v>
      </c>
      <c r="E7" t="s">
        <v>180</v>
      </c>
      <c r="G7" t="s">
        <v>278</v>
      </c>
      <c r="I7" s="137">
        <v>46225.816712962966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4.1898148148148146E-3</v>
      </c>
      <c r="B8" t="s">
        <v>167</v>
      </c>
      <c r="E8" t="s">
        <v>174</v>
      </c>
      <c r="G8" t="s">
        <v>278</v>
      </c>
      <c r="I8" s="137">
        <v>46225.816666666666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4.1898148148148146E-3</v>
      </c>
      <c r="B9" t="s">
        <v>167</v>
      </c>
      <c r="E9" t="s">
        <v>93</v>
      </c>
      <c r="G9" t="s">
        <v>278</v>
      </c>
      <c r="I9" s="137">
        <v>46225.816655092596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4.1550925925925922E-3</v>
      </c>
      <c r="B10" t="s">
        <v>167</v>
      </c>
      <c r="C10" t="s">
        <v>87</v>
      </c>
      <c r="D10" t="s">
        <v>87</v>
      </c>
      <c r="E10" t="s">
        <v>350</v>
      </c>
      <c r="F10" t="s">
        <v>87</v>
      </c>
      <c r="G10" t="s">
        <v>278</v>
      </c>
      <c r="I10" s="137">
        <v>46225.816655092596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4.1435185185185186E-3</v>
      </c>
      <c r="B11" t="s">
        <v>167</v>
      </c>
      <c r="E11" t="s">
        <v>322</v>
      </c>
      <c r="G11" t="s">
        <v>168</v>
      </c>
      <c r="I11" s="137">
        <v>46225.816620370373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4.1203703703703706E-3</v>
      </c>
      <c r="B12" t="s">
        <v>167</v>
      </c>
      <c r="E12" t="s">
        <v>59</v>
      </c>
      <c r="G12" t="s">
        <v>168</v>
      </c>
      <c r="I12" s="137">
        <v>46225.81658564815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4.0625000000000001E-3</v>
      </c>
      <c r="B13" t="s">
        <v>167</v>
      </c>
      <c r="C13" t="s">
        <v>258</v>
      </c>
      <c r="E13" t="s">
        <v>178</v>
      </c>
      <c r="G13" t="s">
        <v>278</v>
      </c>
      <c r="I13" s="137">
        <v>46225.816550925927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7.1031869444444454E-3</v>
      </c>
      <c r="B14" t="s">
        <v>167</v>
      </c>
      <c r="C14" t="s">
        <v>256</v>
      </c>
      <c r="E14" t="s">
        <v>178</v>
      </c>
      <c r="G14" t="s">
        <v>278</v>
      </c>
      <c r="I14" s="137">
        <v>46225.769490740742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7.1031869444444454E-3</v>
      </c>
      <c r="B15" t="s">
        <v>167</v>
      </c>
      <c r="E15" t="s">
        <v>183</v>
      </c>
      <c r="G15" t="s">
        <v>278</v>
      </c>
      <c r="I15" s="137">
        <v>46225.769456018519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7.1031869444444454E-3</v>
      </c>
      <c r="B16" t="s">
        <v>167</v>
      </c>
      <c r="E16" t="s">
        <v>174</v>
      </c>
      <c r="G16" t="s">
        <v>278</v>
      </c>
      <c r="I16" s="137">
        <v>46225.769421296296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E17" t="s">
        <v>93</v>
      </c>
      <c r="G17" t="s">
        <v>278</v>
      </c>
      <c r="I17" s="137">
        <v>46225.769409722219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C18" t="s">
        <v>87</v>
      </c>
      <c r="D18" t="s">
        <v>87</v>
      </c>
      <c r="E18" t="s">
        <v>350</v>
      </c>
      <c r="F18" t="s">
        <v>87</v>
      </c>
      <c r="G18" t="s">
        <v>278</v>
      </c>
      <c r="I18" s="137">
        <v>46225.76939814815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322</v>
      </c>
      <c r="G19" t="s">
        <v>168</v>
      </c>
      <c r="I19" s="137">
        <v>46225.769305555557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320</v>
      </c>
      <c r="G20" t="s">
        <v>168</v>
      </c>
      <c r="I20" s="137">
        <v>46225.769270833334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E21" t="s">
        <v>171</v>
      </c>
      <c r="G21" t="s">
        <v>168</v>
      </c>
      <c r="I21" s="137">
        <v>46225.769212962965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93</v>
      </c>
      <c r="G22" t="s">
        <v>168</v>
      </c>
      <c r="I22" s="137">
        <v>46225.769178240742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C23" t="s">
        <v>264</v>
      </c>
      <c r="E23" t="s">
        <v>61</v>
      </c>
      <c r="G23" t="s">
        <v>278</v>
      </c>
      <c r="I23" s="137">
        <v>46225.769120370373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C24" t="s">
        <v>257</v>
      </c>
      <c r="E24" t="s">
        <v>225</v>
      </c>
      <c r="G24" t="s">
        <v>278</v>
      </c>
      <c r="I24" s="137">
        <v>46225.769016203703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C25" t="s">
        <v>261</v>
      </c>
      <c r="E25" t="s">
        <v>227</v>
      </c>
      <c r="G25" t="s">
        <v>278</v>
      </c>
      <c r="I25" s="137">
        <v>46225.768946759257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258</v>
      </c>
      <c r="E26" t="s">
        <v>178</v>
      </c>
      <c r="G26" t="s">
        <v>278</v>
      </c>
      <c r="I26" s="137">
        <v>46225.768078703702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E27" t="s">
        <v>60</v>
      </c>
      <c r="G27" t="s">
        <v>168</v>
      </c>
      <c r="I27" s="137">
        <v>46225.767789351848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2.2569444444444442E-3</v>
      </c>
      <c r="B28" t="s">
        <v>167</v>
      </c>
      <c r="C28" t="s">
        <v>257</v>
      </c>
      <c r="E28" t="s">
        <v>227</v>
      </c>
      <c r="G28" t="s">
        <v>278</v>
      </c>
      <c r="I28" s="137">
        <v>46225.712500000001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2.2569444444444442E-3</v>
      </c>
      <c r="B29" t="s">
        <v>167</v>
      </c>
      <c r="C29" t="s">
        <v>261</v>
      </c>
      <c r="E29" t="s">
        <v>178</v>
      </c>
      <c r="G29" t="s">
        <v>278</v>
      </c>
      <c r="I29" s="137">
        <v>46225.712476851855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2.2569444444444442E-3</v>
      </c>
      <c r="B30" t="s">
        <v>167</v>
      </c>
      <c r="C30" t="s">
        <v>259</v>
      </c>
      <c r="E30" t="s">
        <v>178</v>
      </c>
      <c r="G30" t="s">
        <v>278</v>
      </c>
      <c r="I30" s="137">
        <v>46225.712465277778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E31" t="s">
        <v>59</v>
      </c>
      <c r="G31" t="s">
        <v>168</v>
      </c>
      <c r="I31" s="137">
        <v>46225.712326388886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E32" t="s">
        <v>59</v>
      </c>
      <c r="G32" t="s">
        <v>168</v>
      </c>
      <c r="I32" s="137">
        <v>46225.712314814817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E33" t="s">
        <v>59</v>
      </c>
      <c r="G33" t="s">
        <v>168</v>
      </c>
      <c r="I33" s="137">
        <v>46225.712291666663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46225.712083333332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1.1668484537037036E-2</v>
      </c>
      <c r="B35" t="s">
        <v>141</v>
      </c>
      <c r="E35" t="s">
        <v>225</v>
      </c>
      <c r="G35" t="s">
        <v>168</v>
      </c>
      <c r="I35" s="137">
        <v>46224.408900462964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</sheetData>
  <dataValidations count="5">
    <dataValidation type="list" allowBlank="1" showErrorMessage="1" sqref="B2:B35" xr:uid="{8416C147-CD2E-3641-8104-DE965153615E}">
      <formula1>LISTE_MT_JOURNAL</formula1>
    </dataValidation>
    <dataValidation type="list" allowBlank="1" showErrorMessage="1" sqref="C2:C35" xr:uid="{9521A531-4DD4-8E4D-B642-85CBA53B1942}">
      <formula1>LISTE_JOUEURS_JOURNAL</formula1>
    </dataValidation>
    <dataValidation type="list" allowBlank="1" showErrorMessage="1" sqref="E2:E35" xr:uid="{4041EC6D-BDBC-034E-993A-2DB2A0976E3D}">
      <formula1>LISTE_ACTIONS_JOURNAL</formula1>
    </dataValidation>
    <dataValidation type="list" allowBlank="1" showErrorMessage="1" sqref="G2:G35" xr:uid="{BEB4320E-27BC-8541-97C6-C33947FA875E}">
      <formula1>LISTE_EQUIPES_JOURNAL</formula1>
    </dataValidation>
    <dataValidation type="list" allowBlank="1" showErrorMessage="1" sqref="F2:F35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69" t="s">
        <v>65</v>
      </c>
      <c r="C2" s="166" t="str">
        <f>ACT_PL_NORMAL</f>
        <v>Plaquage normal</v>
      </c>
      <c r="D2" s="165"/>
      <c r="E2" s="166" t="str">
        <f>ACT_PL_OFF</f>
        <v>Plaquage offensif</v>
      </c>
      <c r="F2" s="165"/>
      <c r="G2" s="166" t="str">
        <f>ACT_PL_RATE</f>
        <v>Plaquage raté</v>
      </c>
      <c r="H2" s="165"/>
      <c r="I2" s="166" t="str">
        <f>ACT_PL_A2</f>
        <v>Plaquage à 2</v>
      </c>
      <c r="J2" s="164"/>
      <c r="K2" s="164" t="str">
        <f>ACT_PL_HAUT</f>
        <v>Plaquage haut</v>
      </c>
      <c r="L2" s="165"/>
      <c r="M2" s="164" t="str">
        <f>ACT_GRATTAGE</f>
        <v>Grattage</v>
      </c>
      <c r="N2" s="165"/>
    </row>
    <row r="3" spans="2:14" ht="12.95" customHeight="1">
      <c r="B3" s="170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6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59">
        <f>C28+D28</f>
        <v>6</v>
      </c>
      <c r="D29" s="160"/>
      <c r="E29" s="161">
        <f t="shared" ref="E29" si="1">E28+F28</f>
        <v>0</v>
      </c>
      <c r="F29" s="161"/>
      <c r="G29" s="159">
        <f t="shared" ref="G29" si="2">G28+H28</f>
        <v>0</v>
      </c>
      <c r="H29" s="160"/>
      <c r="I29" s="159">
        <f>I28+J28</f>
        <v>1</v>
      </c>
      <c r="J29" s="160"/>
      <c r="K29" s="159">
        <f t="shared" ref="K29" si="3">K28+L28</f>
        <v>2</v>
      </c>
      <c r="L29" s="160"/>
      <c r="M29" s="161">
        <f t="shared" ref="M29" si="4">M28+N28</f>
        <v>1</v>
      </c>
      <c r="N29" s="160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6" t="s">
        <v>360</v>
      </c>
      <c r="H32" s="165"/>
      <c r="J32" s="166" t="s">
        <v>83</v>
      </c>
      <c r="K32" s="166" t="s">
        <v>334</v>
      </c>
      <c r="L32" s="165"/>
      <c r="M32" s="165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8"/>
      <c r="K33" s="96" t="s">
        <v>340</v>
      </c>
      <c r="L33" s="99" t="s">
        <v>359</v>
      </c>
      <c r="M33" s="167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6" t="s">
        <v>336</v>
      </c>
      <c r="H36" s="165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2" t="s">
        <v>31</v>
      </c>
      <c r="K38" s="163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7" t="s">
        <v>33</v>
      </c>
      <c r="K39" s="15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2" t="s">
        <v>35</v>
      </c>
      <c r="K40" s="163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7" t="s">
        <v>37</v>
      </c>
      <c r="K41" s="15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2" t="s">
        <v>39</v>
      </c>
      <c r="K42" s="163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7" t="s">
        <v>356</v>
      </c>
      <c r="K43" s="15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2026-07-24T17:38:26Z</dcterms:modified>
</cp:coreProperties>
</file>