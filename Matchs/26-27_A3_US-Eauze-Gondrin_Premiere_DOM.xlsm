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0B37240B-2458-F44F-B41C-2E95BB6E9392}" xr6:coauthVersionLast="47" xr6:coauthVersionMax="47" xr10:uidLastSave="{00000000-0000-0000-0000-000000000000}"/>
  <bookViews>
    <workbookView xWindow="14600" yWindow="660" windowWidth="19960" windowHeight="17060" activeTab="3" xr2:uid="{1E5C896C-F332-E148-BC32-5F8B49356FF5}"/>
    <workbookView xWindow="11620" yWindow="15340" windowWidth="22940" windowHeight="7000" activeTab="4" xr2:uid="{A613B641-DC8F-8344-8E44-AEAC53516D5D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Melees'!$A$53</definedName>
    <definedName name="TM_RECAP_MELEES">'Touches Melees'!$A$49</definedName>
    <definedName name="TM_RECAP_TOUCHES">'Touches Melees'!$A$31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" i="12" l="1"/>
  <c r="D42" i="12"/>
  <c r="D41" i="12"/>
  <c r="E37" i="12"/>
  <c r="D38" i="12"/>
  <c r="D37" i="12"/>
  <c r="B56" i="12"/>
  <c r="C51" i="18"/>
  <c r="B51" i="18"/>
  <c r="C50" i="18"/>
  <c r="B50" i="18"/>
  <c r="D33" i="18"/>
  <c r="C33" i="18"/>
  <c r="B33" i="18"/>
  <c r="D32" i="18"/>
  <c r="C32" i="18"/>
  <c r="B32" i="18"/>
  <c r="B1" i="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<sst xmlns="http://schemas.openxmlformats.org/spreadsheetml/2006/main" count="5544" uniqueCount="644">
  <si>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</si>
  <si>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</si>
  <si>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</si>
  <si>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</si>
  <si>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</si>
  <si>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</si>
  <si>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</si>
  <si>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</si>
  <si>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</si>
  <si>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</si>
  <si>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</si>
  <si>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</si>
  <si>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</si>
  <si>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</si>
  <si>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</si>
  <si>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</si>
  <si>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</si>
  <si>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</si>
  <si>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</si>
  <si>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</si>
  <si>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</si>
  <si>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</si>
  <si>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</si>
  <si>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</si>
  <si>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</si>
  <si>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</si>
  <si>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</si>
  <si>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</si>
  <si>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</si>
  <si>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</si>
  <si>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</si>
  <si>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</si>
  <si>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</si>
  <si>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</si>
  <si>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</si>
  <si>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</si>
  <si>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</si>
  <si>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</si>
  <si>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</si>
  <si>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</si>
  <si>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</si>
  <si>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</si>
  <si>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</si>
  <si>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</si>
  <si>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</si>
  <si>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</si>
  <si>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</si>
  <si>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</si>
  <si>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</si>
  <si>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</si>
  <si>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</si>
  <si>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</si>
  <si>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</si>
  <si>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</si>
  <si>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</si>
  <si>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</si>
  <si>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</si>
  <si>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</si>
  <si>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</si>
  <si>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</si>
  <si>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</si>
  <si>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</si>
  <si>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</si>
  <si>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</si>
  <si>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</si>
  <si>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</si>
  <si>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</si>
  <si>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</si>
  <si>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</si>
  <si>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</si>
  <si>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</si>
  <si>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</si>
  <si>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</si>
  <si>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</si>
  <si>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</si>
  <si>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</si>
  <si>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</si>
  <si>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</si>
  <si>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</si>
  <si>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</si>
  <si>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</si>
  <si>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</si>
  <si>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</si>
  <si>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</si>
  <si>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</si>
  <si>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</si>
  <si>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</si>
  <si>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</si>
  <si>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</si>
  <si>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</si>
  <si>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</si>
  <si>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</si>
  <si>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</si>
  <si>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</si>
  <si>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</si>
  <si>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</si>
  <si>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</si>
  <si>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</si>
  <si>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</si>
  <si>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</si>
  <si>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</si>
  <si>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</si>
  <si>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</si>
  <si>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</si>
  <si>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</si>
  <si>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</si>
  <si>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</si>
  <si>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</si>
  <si>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</si>
  <si>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</si>
  <si>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</si>
  <si>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</si>
  <si>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</si>
  <si>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</si>
  <si>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</si>
  <si>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</si>
  <si>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</si>
  <si>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</si>
  <si>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</si>
  <si>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</si>
  <si>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</si>
  <si>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</si>
  <si>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</si>
  <si>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</si>
  <si>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</si>
  <si>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</si>
  <si>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</si>
  <si>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</si>
  <si>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</si>
  <si>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</si>
  <si>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</si>
  <si>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</si>
  <si>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</si>
  <si>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</si>
  <si>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</si>
  <si>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</si>
  <si>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</si>
  <si>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</si>
  <si>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</si>
  <si>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</si>
  <si>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</si>
  <si>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</si>
  <si>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</si>
  <si>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</si>
  <si>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</si>
  <si>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</si>
  <si>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</si>
  <si>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</si>
  <si>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</si>
  <si>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</si>
  <si>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</si>
  <si>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</si>
  <si>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</si>
  <si>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</si>
  <si>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</si>
  <si>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</si>
  <si>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</si>
  <si>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</si>
  <si>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</si>
  <si>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</si>
  <si>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</si>
  <si>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</si>
  <si>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</si>
  <si>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</si>
  <si>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</si>
  <si>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</si>
  <si>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</si>
  <si>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</si>
  <si>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</si>
  <si>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</si>
  <si>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</si>
  <si>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</si>
  <si>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</si>
  <si>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</si>
  <si>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</si>
  <si>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</si>
  <si>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</si>
  <si>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</si>
  <si>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</si>
  <si>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</si>
  <si>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</si>
  <si>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</si>
  <si>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</si>
  <si>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</si>
  <si>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</si>
  <si>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</si>
  <si>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</si>
  <si>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</si>
  <si>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</si>
  <si>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</si>
  <si>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</si>
  <si>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</si>
  <si>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</si>
  <si>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</si>
  <si>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</si>
  <si>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</si>
  <si>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</si>
  <si>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</si>
  <si>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</si>
  <si>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</si>
  <si>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</si>
  <si>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</si>
  <si>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</si>
  <si>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</si>
  <si>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</si>
  <si>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</si>
  <si>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</si>
  <si>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</si>
  <si>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</si>
  <si>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</si>
  <si>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</si>
  <si>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</si>
  <si>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</si>
  <si>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</si>
  <si>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</si>
  <si>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</si>
  <si>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</si>
  <si>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</si>
  <si>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</si>
  <si>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</si>
  <si>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</si>
  <si>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</si>
  <si>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</si>
  <si>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</si>
  <si>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</si>
  <si>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</si>
  <si>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</si>
  <si>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</si>
  <si>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</si>
  <si>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</si>
  <si>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</si>
  <si>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</si>
  <si>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</si>
  <si>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</si>
  <si>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</si>
  <si>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</si>
  <si>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</si>
  <si>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</si>
  <si>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</si>
  <si>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</si>
  <si>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</si>
  <si>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</si>
  <si>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</si>
  <si>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</si>
  <si>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</si>
  <si>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</si>
  <si>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</si>
  <si>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</si>
  <si>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</si>
  <si>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</si>
  <si>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</si>
  <si>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</si>
  <si>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</si>
  <si>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</si>
  <si>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</si>
  <si>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</si>
  <si>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</si>
  <si>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</si>
  <si>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</si>
  <si>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</si>
  <si>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</si>
  <si>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</si>
  <si>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</si>
  <si>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</si>
  <si>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</si>
  <si>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</si>
  <si>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</si>
  <si>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</si>
  <si>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</si>
  <si>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</si>
  <si>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</si>
  <si>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</si>
  <si>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</si>
  <si>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</si>
  <si>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</si>
  <si>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</si>
  <si>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</si>
  <si>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</si>
  <si>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</si>
  <si>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</si>
  <si>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</si>
  <si>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</si>
  <si>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</si>
  <si>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</si>
  <si>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</si>
  <si>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</si>
  <si>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</si>
  <si>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</si>
  <si>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</si>
  <si>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</si>
  <si>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</si>
  <si>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</si>
  <si>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</si>
  <si>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</si>
  <si>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</si>
  <si>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</si>
  <si>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</si>
  <si>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</si>
  <si>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</si>
  <si>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</si>
  <si>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</si>
  <si>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</si>
  <si>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</si>
  <si>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</si>
  <si>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</si>
  <si>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</si>
  <si>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</si>
  <si>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</si>
  <si>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</si>
  <si>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</si>
  <si>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</si>
  <si>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</si>
  <si>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</si>
  <si>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</si>
  <si>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</si>
  <si>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</si>
  <si>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</si>
  <si>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</si>
  <si>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</si>
  <si>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</si>
  <si>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</si>
  <si>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</si>
  <si>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</si>
  <si>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</si>
  <si>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</si>
  <si>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</si>
  <si>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</si>
  <si>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</si>
  <si>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</si>
  <si>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</si>
  <si>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</si>
  <si>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</si>
  <si>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</si>
  <si>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</si>
  <si>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</si>
  <si>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</si>
  <si>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</si>
  <si>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</si>
  <si>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</si>
  <si>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</si>
  <si>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</si>
  <si>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</si>
  <si>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</si>
  <si>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</si>
  <si>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</si>
  <si>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</si>
  <si>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</si>
  <si>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</si>
  <si>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</si>
  <si>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</si>
  <si>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</si>
  <si>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</si>
  <si>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</si>
  <si>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</si>
  <si>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</si>
  <si>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</si>
  <si>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</si>
  <si>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</si>
  <si>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</si>
  <si>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</si>
  <si>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</si>
  <si>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</si>
  <si>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</si>
  <si>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</si>
  <si>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</si>
  <si>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</si>
  <si>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</si>
  <si>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</si>
  <si>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</si>
  <si>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</si>
  <si>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</si>
  <si>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</si>
  <si>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</si>
  <si>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</si>
  <si>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</si>
  <si>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</si>
  <si>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</si>
  <si>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</si>
  <si>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</si>
  <si>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</si>
  <si>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</si>
  <si>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</si>
  <si>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</si>
  <si>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</si>
  <si>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</si>
  <si>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</si>
  <si>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</si>
  <si>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</si>
  <si>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</si>
  <si>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</si>
  <si>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</si>
  <si>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</si>
  <si>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</si>
  <si>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</si>
  <si>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</si>
  <si>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</si>
  <si>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</si>
  <si>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</si>
  <si>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</si>
  <si>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</si>
  <si>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</si>
  <si>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</si>
  <si>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</si>
  <si>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</si>
  <si>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</si>
  <si>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</si>
  <si>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</si>
  <si>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</si>
  <si>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</si>
  <si>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</si>
  <si>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</si>
  <si>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</si>
  <si>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</si>
  <si>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</si>
  <si>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</si>
  <si>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</si>
  <si>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</si>
  <si>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</si>
  <si>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</si>
  <si>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</si>
  <si>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</si>
  <si>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</si>
  <si>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</si>
  <si>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</si>
  <si>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</si>
  <si>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</si>
  <si>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</si>
  <si>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</si>
  <si>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</si>
  <si>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</si>
  <si>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</si>
  <si>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</si>
  <si>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</si>
  <si>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</si>
  <si>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</si>
  <si>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</si>
  <si>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</si>
  <si>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</si>
  <si>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</si>
  <si>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</si>
  <si>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</si>
  <si>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</si>
  <si>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</si>
  <si>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</si>
  <si>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</si>
  <si>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</si>
  <si>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</si>
  <si>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</si>
  <si>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</si>
  <si>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</si>
  <si>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</si>
  <si>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</si>
  <si>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</si>
  <si>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</si>
  <si>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</si>
  <si>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</si>
  <si>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</si>
  <si>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</si>
  <si>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</si>
  <si>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</si>
  <si>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</si>
  <si>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</si>
  <si>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</si>
  <si>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</si>
  <si>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</si>
  <si>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</si>
  <si>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</si>
  <si>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</si>
  <si>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</si>
  <si>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</si>
  <si>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</si>
  <si>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</si>
  <si>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</si>
  <si>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</si>
  <si>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</si>
  <si>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</si>
  <si>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</si>
  <si>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</si>
  <si>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</si>
  <si>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</si>
  <si>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</si>
  <si>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</si>
  <si>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</si>
  <si>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</si>
  <si>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</si>
  <si>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</si>
  <si>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</si>
  <si>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</si>
  <si>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</si>
  <si>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</si>
  <si>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</si>
  <si>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</si>
  <si>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</si>
  <si>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</si>
  <si>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</si>
  <si>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</si>
  <si>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</si>
  <si>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</si>
  <si>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</si>
  <si>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</si>
  <si>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</si>
  <si>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</si>
  <si>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</si>
  <si>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</si>
  <si>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</si>
  <si>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</si>
  <si>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</si>
  <si>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</si>
  <si>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</si>
  <si>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</si>
  <si>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</si>
  <si>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</si>
  <si>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</si>
  <si>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</si>
  <si>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SOUVILLE Quentin</t>
  </si>
  <si>
    <t>Remplacement</t>
  </si>
  <si>
    <t>Passage à vide</t>
  </si>
  <si>
    <t>PENALITE</t>
  </si>
  <si>
    <t>JOUEUR FAUTIF</t>
  </si>
  <si>
    <t>En-avant volontaire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</si>
  <si>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</si>
  <si>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</si>
  <si>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</si>
  <si>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</si>
  <si>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</si>
  <si>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</si>
  <si>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</si>
  <si>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</si>
  <si>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</si>
  <si>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</si>
  <si>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</si>
  <si>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</si>
  <si>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</si>
  <si>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</si>
  <si>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</si>
  <si>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</si>
  <si>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</si>
  <si>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</si>
  <si>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</si>
  <si>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</si>
  <si>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</si>
  <si>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</si>
  <si>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</si>
  <si>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10m de plus</t>
  </si>
  <si>
    <t>EXPORTER
LA FEUILLE</t>
  </si>
  <si>
    <t>Mi-temps :</t>
  </si>
  <si>
    <t>1 - ABADIE Quentin</t>
  </si>
  <si>
    <t>2 - RICHIARDONNE Gregory</t>
  </si>
  <si>
    <t>4 - DUTREY Thomas</t>
  </si>
  <si>
    <t>5 - ABADIE Emeric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</si>
  <si>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</si>
  <si>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</si>
  <si>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</si>
  <si>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</si>
  <si>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</si>
  <si>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</si>
  <si>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15 - SALLES Fabien</t>
  </si>
  <si>
    <t>20 - ABADIE Thomas</t>
  </si>
  <si>
    <t>21 - CESCA Sacha</t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</si>
  <si>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</si>
  <si>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</si>
  <si>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</si>
  <si>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</si>
  <si>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</si>
  <si>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</si>
  <si>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</si>
  <si>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</si>
  <si>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</si>
  <si>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</si>
  <si>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</si>
  <si>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</si>
  <si>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</si>
  <si>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</si>
  <si>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</si>
  <si>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</si>
  <si>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</si>
  <si>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</si>
  <si>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</si>
  <si>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</si>
  <si>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</si>
  <si>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</si>
  <si>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</si>
  <si>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</si>
  <si>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</si>
  <si>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S1</t>
  </si>
  <si>
    <t>E1</t>
  </si>
  <si>
    <t>US Eauze Gondrin</t>
  </si>
  <si>
    <t>26-27_A3_US Eauze Gondrin_Première_DOM</t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</si>
  <si>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DALLA ROSA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</si>
  <si>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LOUREIRO LABAZUY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</si>
  <si>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</si>
  <si>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t>BAQUE Mickael</t>
  </si>
  <si>
    <t>ROBERT Jimmy</t>
  </si>
  <si>
    <t>FITAN Maël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</si>
  <si>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</si>
  <si>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✓</t>
  </si>
  <si>
    <t>50-22 problème couverture fond du terrain</t>
  </si>
  <si>
    <t>3 - DALLA ROSA Jonah</t>
  </si>
  <si>
    <t>6 - LOUREIRO LABAZUY Antonio</t>
  </si>
  <si>
    <t>7 - MULLIER Victor</t>
  </si>
  <si>
    <t>14 - SOUVILLE Quentin</t>
  </si>
  <si>
    <t>16 - GALLINARO Pierrick</t>
  </si>
  <si>
    <t>17 - BAQUE Mickael</t>
  </si>
  <si>
    <t>18 - ROBERT Jimmy</t>
  </si>
  <si>
    <t>19 - FITAN Maël</t>
  </si>
  <si>
    <t>22 - JOUNAUX Joris</t>
  </si>
  <si>
    <t>Bloc saut lobbé, verouilleur part avec le ballon</t>
  </si>
  <si>
    <t>Perdue</t>
  </si>
  <si>
    <t>Touche - Lancer non conforme</t>
  </si>
  <si>
    <t>61:50</t>
  </si>
  <si>
    <t>Nous  -  carton blanc  -  ABADIE Emeric  -  47:48</t>
  </si>
  <si>
    <t>Plaque sauteur avant formation maul!</t>
  </si>
  <si>
    <t xml:space="preserve">l </t>
  </si>
  <si>
    <t>Sauteur lobbé, joueur derrière le bloc récupère</t>
  </si>
  <si>
    <t>87:55</t>
  </si>
  <si>
    <t>90:02</t>
  </si>
  <si>
    <t>94:38</t>
  </si>
  <si>
    <t>Arrêt du jeu</t>
  </si>
  <si>
    <t>Jeu effectif</t>
  </si>
  <si>
    <t>Eux</t>
  </si>
  <si>
    <t>En-avant repris devant</t>
  </si>
  <si>
    <t>Porteur roule au sol</t>
  </si>
  <si>
    <t>10m de plus - contestation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</si>
  <si>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</si>
  <si>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</si>
  <si>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</si>
  <si>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SOUVILLE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</si>
  <si>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</si>
  <si>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</si>
  <si>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</si>
  <si>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DALLA ROSA</t>
    </r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</si>
  <si>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</si>
  <si>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</si>
  <si>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6
</t>
    </r>
    <r>
      <rPr>
        <sz val="9"/>
        <color rgb="FF000000"/>
        <rFont val="Calibri"/>
        <family val="2"/>
      </rPr>
      <t>LOUREIRO LABAZUY</t>
    </r>
  </si>
  <si>
    <r>
      <t xml:space="preserve">7
</t>
    </r>
    <r>
      <rPr>
        <sz val="9"/>
        <color rgb="FF000000"/>
        <rFont val="Calibri"/>
        <family val="2"/>
      </rPr>
      <t>MULLIER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</si>
  <si>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</si>
  <si>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</si>
  <si>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</si>
  <si>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</si>
  <si>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</si>
  <si>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</si>
  <si>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SOUVILLE</t>
    </r>
  </si>
  <si>
    <t>12:13</t>
  </si>
  <si>
    <r>
      <t xml:space="preserve">8
</t>
    </r>
    <r>
      <rPr>
        <sz val="9"/>
        <color rgb="FFFFFFFF"/>
        <rFont val="Calibri"/>
        <family val="2"/>
      </rPr>
      <t>BARATGIN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</si>
</sst>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sz val="10"/>
      <color rgb="FF000000"/>
      <name val="Arial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DAF2D0"/>
        <bgColor indexed="64"/>
      </patternFill>
    </fill>
  </fills>
  <borders count="6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5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3" fillId="9" borderId="0" xfId="0" applyFont="1" applyFill="1" applyAlignment="1">
      <alignment horizontal="center" vertical="center" wrapText="1"/>
    </xf>
    <xf numFmtId="0" fontId="3" fillId="29" borderId="43" xfId="0" applyFont="1" applyFill="1" applyBorder="1" applyAlignment="1">
      <alignment horizontal="center"/>
    </xf>
    <xf numFmtId="0" fontId="52" fillId="44" borderId="43" xfId="0" applyFont="1" applyFill="1" applyBorder="1" applyAlignment="1">
      <alignment horizontal="center"/>
    </xf>
    <xf numFmtId="0" fontId="52" fillId="16" borderId="43" xfId="0" applyFont="1" applyFill="1" applyBorder="1" applyAlignment="1">
      <alignment horizontal="center"/>
    </xf>
    <xf numFmtId="0" fontId="22" fillId="0" borderId="0" xfId="0" applyFont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165" fontId="0" fillId="17" borderId="0" xfId="0" applyNumberFormat="1" applyFill="1" applyAlignment="1">
      <alignment horizont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0" fillId="14" borderId="43" xfId="0" applyFont="1" applyFill="1" applyBorder="1" applyAlignment="1">
      <alignment horizontal="center" vertic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2" fillId="33" borderId="0" xfId="0" applyFont="1" applyFill="1" applyAlignment="1">
      <alignment horizontal="center"/>
    </xf>
    <xf numFmtId="0" fontId="49" fillId="37" borderId="43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51" fillId="16" borderId="0" xfId="0" applyFont="1" applyFill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51" fillId="43" borderId="4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19" fillId="20" borderId="19" xfId="0" applyFont="1" applyFill="1" applyBorder="1" applyAlignment="1">
      <alignment horizontal="center" vertical="center"/>
    </xf>
    <xf numFmtId="0" fontId="19" fillId="20" borderId="44" xfId="0" applyFont="1" applyFill="1" applyBorder="1" applyAlignment="1">
      <alignment horizontal="center" vertical="center"/>
    </xf>
    <xf numFmtId="0" fontId="19" fillId="20" borderId="20" xfId="0" applyFont="1" applyFill="1" applyBorder="1" applyAlignment="1">
      <alignment horizontal="center" vertical="center"/>
    </xf>
    <xf numFmtId="0" fontId="40" fillId="16" borderId="0" xfId="0" applyFont="1" applyFill="1" applyBorder="1"/>
    <xf numFmtId="0" fontId="48" fillId="14" borderId="43" xfId="0" applyFont="1" applyFill="1" applyBorder="1" applyAlignment="1">
      <alignment horizontal="center" vertical="center"/>
    </xf>
    <xf numFmtId="0" fontId="53" fillId="43" borderId="43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7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50</c:v>
                </c:pt>
                <c:pt idx="1">
                  <c:v>15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44</c:v>
                </c:pt>
                <c:pt idx="1">
                  <c:v>19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6" dataDxfId="75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74"/>
    <tableColumn id="2" xr3:uid="{0C1B8A30-A3B8-DA4D-B893-C4C99FF33E90}" name="nom" dataDxfId="73"/>
    <tableColumn id="3" xr3:uid="{8AE5AF32-0026-9B41-8B0B-16B9ED0F3727}" name="prenom" dataDxfId="72"/>
    <tableColumn id="6" xr3:uid="{D5D3A7D0-7C7D-684B-8AA7-DABBCC7051CF}" name="1ère ligne" dataDxfId="71"/>
    <tableColumn id="4" xr3:uid="{4CE41A86-7158-6B42-B932-A5275F10AB48}" name="prenom NOM" dataDxfId="70">
      <calculatedColumnFormula>LstEffectif[[#This Row],[prenom]] &amp; " " &amp; LstEffectif[[#This Row],[nom]]</calculatedColumnFormula>
    </tableColumn>
    <tableColumn id="5" xr3:uid="{EB017694-E6D2-7440-91BF-61113926AB7D}" name="NOM Prénom" dataDxfId="69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8" dataDxfId="67">
  <autoFilter ref="J1:J11" xr:uid="{037D6424-D1EC-894D-B963-D36ABCA682C4}"/>
  <tableColumns count="1">
    <tableColumn id="1" xr3:uid="{63806632-B9ED-294D-800A-F2FDB2EC48D2}" name="EQUIPES_A_AFFRONTER" dataDxfId="6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65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59" totalsRowShown="0">
  <autoFilter ref="A1:Q459" xr:uid="{274E98FB-BCE1-0347-AD79-C8025C407DEC}"/>
  <tableColumns count="17">
    <tableColumn id="1" xr3:uid="{1C6F1113-17EB-A449-86BF-30B1CE9CAC0A}" name="temps video" dataDxfId="64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63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62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0" totalsRowShown="0">
  <autoFilter ref="A2:J30" xr:uid="{1BC259CC-2467-644D-900B-02D4F95FCC56}"/>
  <tableColumns count="10">
    <tableColumn id="1" xr3:uid="{29E94664-85C6-8341-9568-C2C37D97888A}" name="Temps video" dataDxfId="6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36:J47" totalsRowShown="0">
  <autoFilter ref="A36:J47" xr:uid="{A1FE138B-7A57-FD4E-B0BC-4BF4203BE379}"/>
  <tableColumns count="10">
    <tableColumn id="1" xr3:uid="{9154875D-F6A2-FD43-A363-B5D480E2C8C9}" name="Temps video" dataDxfId="6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9"/>
    <tableColumn id="8" xr3:uid="{D9175B18-6528-4648-B15C-FF2CC25EEBE4}" name="Jeu 3/4" dataDxfId="58"/>
    <tableColumn id="9" xr3:uid="{CAE0CE17-6518-8346-8125-3B7CA02D88C1}" name="Jeu pied" dataDxfId="5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56" dataDxfId="54" headerRowBorderDxfId="55" tableBorderDxfId="53" totalsRowBorderDxfId="52">
  <autoFilter ref="Q1:R64" xr:uid="{6D1F5F0A-5FD5-AC4E-A195-33A78A5E0E58}"/>
  <tableColumns count="2">
    <tableColumn id="1" xr3:uid="{8A0D5429-5616-B849-BD27-167A576FE99E}" name="Nom de cellule à créer" dataDxfId="51"/>
    <tableColumn id="2" xr3:uid="{19545507-672A-9F40-8818-E4C9060AA52B}" name="Libellé" dataDxfId="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9" headerRowBorderDxfId="48" tableBorderDxfId="47" totalsRowBorderDxfId="4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5" headerRowBorderDxfId="44" tableBorderDxfId="43" totalsRowBorderDxfId="4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41" dataDxfId="40">
  <autoFilter ref="I14:I20" xr:uid="{CC940AF9-E81A-F746-8EAD-392809C3CFBE}"/>
  <tableColumns count="1">
    <tableColumn id="1" xr3:uid="{816CA1DF-3681-2948-A622-26353E2B9A97}" name="LISTE_LECTEUR_VIDEO" dataDxfId="3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8" dataDxfId="37">
  <autoFilter ref="C1:C4" xr:uid="{61FC7709-08E5-D048-A38B-441B18CF5D35}"/>
  <tableColumns count="1">
    <tableColumn id="1" xr3:uid="{C41B523D-40DA-AF48-A2C2-015B04960B0A}" name="LIEU_MATCH" dataDxfId="3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5" dataDxfId="34">
  <autoFilter ref="C6:C10" xr:uid="{86EA01CF-5567-6445-9906-AD2B60CA0A8A}"/>
  <tableColumns count="1">
    <tableColumn id="1" xr3:uid="{B57F8324-6F25-7B40-9B20-1BFDF9708631}" name="PHASE" dataDxfId="3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32" dataDxfId="31">
  <autoFilter ref="C12:C15" xr:uid="{DAA9B017-78F0-D447-B788-CF8333AEAC38}"/>
  <tableColumns count="1">
    <tableColumn id="1" xr3:uid="{C5E86C3D-762A-054E-B864-5A67DBB9A8CA}" name="RESULTAT" dataDxfId="3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9" dataDxfId="28">
  <autoFilter ref="C17:C21" xr:uid="{F661D9E2-619C-DA44-92C5-8A09E8E281AC}"/>
  <tableColumns count="1">
    <tableColumn id="1" xr3:uid="{ADD3AF05-089E-D149-9728-7C2A6F62FA22}" name="EQUIPE_NIV" dataDxfId="2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6" dataDxfId="24" headerRowBorderDxfId="25" tableBorderDxfId="23" totalsRowBorderDxfId="22">
  <autoFilter ref="K1:K25" xr:uid="{391966D0-8F83-3948-82BB-835638F7D3FE}"/>
  <tableColumns count="1">
    <tableColumn id="1" xr3:uid="{F45BF991-6668-F741-B07C-7905B99AC752}" name="LISTE_JOUEURS_JOURNAL" dataDxfId="2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2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31" sqref="J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408</v>
      </c>
      <c r="E1" s="96" t="s">
        <v>72</v>
      </c>
      <c r="F1" s="96" t="s">
        <v>112</v>
      </c>
      <c r="J1" t="s">
        <v>386</v>
      </c>
    </row>
    <row r="2" spans="1:10" ht="14">
      <c r="A2">
        <v>1</v>
      </c>
      <c r="B2" s="85" t="s">
        <v>269</v>
      </c>
      <c r="C2" s="85" t="s">
        <v>270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378</v>
      </c>
    </row>
    <row r="3" spans="1:10" ht="14">
      <c r="A3">
        <v>2</v>
      </c>
      <c r="B3" s="85" t="s">
        <v>269</v>
      </c>
      <c r="C3" s="85" t="s">
        <v>271</v>
      </c>
      <c r="D3" s="85" t="s">
        <v>410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379</v>
      </c>
    </row>
    <row r="4" spans="1:10" ht="14">
      <c r="A4">
        <v>3</v>
      </c>
      <c r="B4" s="85" t="s">
        <v>269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380</v>
      </c>
    </row>
    <row r="5" spans="1:10" ht="14">
      <c r="A5">
        <v>4</v>
      </c>
      <c r="B5" s="85" t="s">
        <v>272</v>
      </c>
      <c r="C5" s="85" t="s">
        <v>273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381</v>
      </c>
    </row>
    <row r="6" spans="1:10" ht="14">
      <c r="A6">
        <v>5</v>
      </c>
      <c r="B6" s="85" t="s">
        <v>274</v>
      </c>
      <c r="C6" s="85" t="s">
        <v>275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382</v>
      </c>
    </row>
    <row r="7" spans="1:10" ht="14">
      <c r="A7">
        <v>68</v>
      </c>
      <c r="B7" s="85" t="s">
        <v>274</v>
      </c>
      <c r="C7" s="85" t="s">
        <v>412</v>
      </c>
      <c r="D7" s="85" t="s">
        <v>410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586</v>
      </c>
    </row>
    <row r="8" spans="1:10" ht="14">
      <c r="A8">
        <v>6</v>
      </c>
      <c r="B8" s="85" t="s">
        <v>276</v>
      </c>
      <c r="C8" s="85" t="s">
        <v>277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383</v>
      </c>
    </row>
    <row r="9" spans="1:10" ht="14">
      <c r="A9">
        <v>7</v>
      </c>
      <c r="B9" s="85" t="s">
        <v>278</v>
      </c>
      <c r="C9" s="85" t="s">
        <v>279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384</v>
      </c>
    </row>
    <row r="10" spans="1:10" ht="14">
      <c r="A10">
        <v>8</v>
      </c>
      <c r="B10" s="85" t="s">
        <v>280</v>
      </c>
      <c r="C10" s="85" t="s">
        <v>281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385</v>
      </c>
    </row>
    <row r="11" spans="1:10" ht="14">
      <c r="A11">
        <v>9</v>
      </c>
      <c r="B11" s="85" t="s">
        <v>282</v>
      </c>
      <c r="C11" s="85" t="s">
        <v>283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387</v>
      </c>
    </row>
    <row r="12" spans="1:10" ht="14">
      <c r="A12">
        <v>10</v>
      </c>
      <c r="B12" s="85" t="s">
        <v>284</v>
      </c>
      <c r="C12" s="85" t="s">
        <v>285</v>
      </c>
      <c r="D12" s="85" t="s">
        <v>410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286</v>
      </c>
      <c r="C13" s="85" t="s">
        <v>287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288</v>
      </c>
      <c r="C14" s="85" t="s">
        <v>289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288</v>
      </c>
      <c r="C15" s="85" t="s">
        <v>289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290</v>
      </c>
      <c r="C16" s="85" t="s">
        <v>291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292</v>
      </c>
      <c r="C17" s="85" t="s">
        <v>293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294</v>
      </c>
      <c r="C18" s="85" t="s">
        <v>295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294</v>
      </c>
      <c r="C19" s="85" t="s">
        <v>296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297</v>
      </c>
      <c r="C20" s="85" t="s">
        <v>298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299</v>
      </c>
      <c r="C21" s="85" t="s">
        <v>300</v>
      </c>
      <c r="D21" s="85" t="s">
        <v>410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301</v>
      </c>
      <c r="C22" s="85" t="s">
        <v>300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302</v>
      </c>
      <c r="C23" s="85" t="s">
        <v>303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304</v>
      </c>
      <c r="C24" s="85" t="s">
        <v>305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306</v>
      </c>
      <c r="C25" s="85" t="s">
        <v>307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306</v>
      </c>
      <c r="C26" s="85" t="s">
        <v>308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309</v>
      </c>
      <c r="C27" s="85" t="s">
        <v>310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311</v>
      </c>
      <c r="C28" s="85" t="s">
        <v>300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312</v>
      </c>
      <c r="C29" s="85" t="s">
        <v>313</v>
      </c>
      <c r="D29" s="85" t="s">
        <v>410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314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315</v>
      </c>
      <c r="C31" s="85" t="s">
        <v>316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317</v>
      </c>
      <c r="C32" s="85" t="s">
        <v>318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319</v>
      </c>
      <c r="C33" s="85" t="s">
        <v>320</v>
      </c>
      <c r="D33" s="85" t="s">
        <v>410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321</v>
      </c>
      <c r="C34" s="85" t="s">
        <v>283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322</v>
      </c>
      <c r="C35" s="85" t="s">
        <v>267</v>
      </c>
      <c r="D35" s="85" t="s">
        <v>410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323</v>
      </c>
      <c r="C36" s="85" t="s">
        <v>324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325</v>
      </c>
      <c r="C37" s="85" t="s">
        <v>326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325</v>
      </c>
      <c r="C38" s="85" t="s">
        <v>327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328</v>
      </c>
      <c r="C39" s="85" t="s">
        <v>285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328</v>
      </c>
      <c r="C40" s="85" t="s">
        <v>303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329</v>
      </c>
      <c r="C41" s="85" t="s">
        <v>298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330</v>
      </c>
      <c r="C42" s="85" t="s">
        <v>331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332</v>
      </c>
      <c r="C43" s="85" t="s">
        <v>275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333</v>
      </c>
      <c r="C44" s="85" t="s">
        <v>334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335</v>
      </c>
      <c r="C45" s="85" t="s">
        <v>293</v>
      </c>
      <c r="D45" s="85" t="s">
        <v>410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336</v>
      </c>
      <c r="C46" s="85" t="s">
        <v>337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338</v>
      </c>
      <c r="C47" s="85" t="s">
        <v>339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340</v>
      </c>
      <c r="C48" s="85" t="s">
        <v>341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342</v>
      </c>
      <c r="C49" s="85" t="s">
        <v>343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344</v>
      </c>
      <c r="C50" s="85" t="s">
        <v>345</v>
      </c>
      <c r="D50" s="85" t="s">
        <v>410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344</v>
      </c>
      <c r="C51" s="85" t="s">
        <v>346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347</v>
      </c>
      <c r="C52" s="85" t="s">
        <v>348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349</v>
      </c>
      <c r="C53" s="85" t="s">
        <v>350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351</v>
      </c>
      <c r="C54" s="85" t="s">
        <v>324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352</v>
      </c>
      <c r="C55" s="85" t="s">
        <v>353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354</v>
      </c>
      <c r="C56" s="85" t="s">
        <v>298</v>
      </c>
      <c r="D56" s="85" t="s">
        <v>410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355</v>
      </c>
      <c r="C57" s="85" t="s">
        <v>268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356</v>
      </c>
      <c r="C58" s="85" t="s">
        <v>357</v>
      </c>
      <c r="D58" s="85" t="s">
        <v>410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358</v>
      </c>
      <c r="C59" s="85" t="s">
        <v>236</v>
      </c>
      <c r="D59" s="85" t="s">
        <v>410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359</v>
      </c>
      <c r="C60" s="85" t="s">
        <v>360</v>
      </c>
      <c r="D60" s="85" t="s">
        <v>410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361</v>
      </c>
      <c r="C61" s="85" t="s">
        <v>362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363</v>
      </c>
      <c r="C62" s="85" t="s">
        <v>364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363</v>
      </c>
      <c r="C63" s="85" t="s">
        <v>296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365</v>
      </c>
      <c r="C64" s="85" t="s">
        <v>366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367</v>
      </c>
      <c r="C65" s="85" t="s">
        <v>271</v>
      </c>
      <c r="D65" s="85" t="s">
        <v>410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510</v>
      </c>
      <c r="C66" s="85" t="s">
        <v>509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368</v>
      </c>
      <c r="C67" s="85" t="s">
        <v>369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370</v>
      </c>
      <c r="C68" s="85" t="s">
        <v>371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372</v>
      </c>
      <c r="C69" s="85" t="s">
        <v>296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373</v>
      </c>
      <c r="C70" s="85" t="s">
        <v>374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375</v>
      </c>
      <c r="C71" s="85" t="s">
        <v>283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376</v>
      </c>
      <c r="C72" s="85" t="s">
        <v>377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F44" sqref="F44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21" width="6.83203125" style="3" customWidth="1"/>
    <col min="22" max="385" width="10.83203125" style="3"/>
  </cols>
  <sheetData>
    <row r="1" spans="1:21" s="3" customFormat="1" ht="14" thickBot="1">
      <c r="A1" s="63"/>
      <c r="D1" s="63"/>
    </row>
    <row r="2" spans="1:21" ht="19" customHeight="1">
      <c r="B2" s="209" t="s">
        <v>201</v>
      </c>
      <c r="C2" s="209"/>
      <c r="E2" s="210" t="str">
        <f>"FEUILLE COMPO "&amp;MATCH_NOUS</f>
        <v>FEUILLE COMPO MXV</v>
      </c>
      <c r="F2" s="211"/>
      <c r="G2" s="211"/>
      <c r="H2" s="212"/>
    </row>
    <row r="3" spans="1:21" ht="19" customHeight="1">
      <c r="B3" s="209"/>
      <c r="C3" s="209"/>
      <c r="E3" s="213"/>
      <c r="F3" s="214"/>
      <c r="G3" s="214"/>
      <c r="H3" s="215"/>
    </row>
    <row r="4" spans="1:21" ht="19" customHeight="1" thickBot="1">
      <c r="B4" s="209"/>
      <c r="C4" s="209"/>
      <c r="E4" s="216"/>
      <c r="F4" s="217"/>
      <c r="G4" s="217"/>
      <c r="H4" s="218"/>
    </row>
    <row r="5" spans="1:21" s="3" customFormat="1">
      <c r="A5" s="63"/>
      <c r="D5" s="63"/>
    </row>
    <row r="6" spans="1:21">
      <c r="B6" s="42" t="s">
        <v>181</v>
      </c>
      <c r="C6" s="43" t="s">
        <v>388</v>
      </c>
      <c r="E6" t="s">
        <v>67</v>
      </c>
      <c r="F6" t="s">
        <v>68</v>
      </c>
      <c r="G6" t="s">
        <v>151</v>
      </c>
      <c r="H6" t="s">
        <v>150</v>
      </c>
      <c r="I6" s="154">
        <v>12</v>
      </c>
      <c r="J6" s="154">
        <v>19</v>
      </c>
      <c r="K6" s="154">
        <v>22</v>
      </c>
      <c r="L6" s="154">
        <v>31</v>
      </c>
      <c r="M6" s="154">
        <v>40</v>
      </c>
      <c r="N6" s="154">
        <v>41</v>
      </c>
      <c r="O6" s="154">
        <v>47</v>
      </c>
      <c r="P6" s="154">
        <v>50</v>
      </c>
      <c r="Q6" s="154">
        <v>47</v>
      </c>
      <c r="R6" s="154">
        <v>59</v>
      </c>
      <c r="S6" s="154">
        <v>65</v>
      </c>
      <c r="T6" s="154">
        <v>65</v>
      </c>
      <c r="U6" s="154">
        <v>75</v>
      </c>
    </row>
    <row r="7" spans="1:21">
      <c r="B7" s="3"/>
      <c r="C7" s="3"/>
      <c r="E7">
        <v>1</v>
      </c>
      <c r="F7" t="s">
        <v>484</v>
      </c>
      <c r="G7" t="s">
        <v>153</v>
      </c>
      <c r="H7">
        <v>80</v>
      </c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5"/>
      <c r="T7" s="155"/>
      <c r="U7" s="155"/>
    </row>
    <row r="8" spans="1:21">
      <c r="B8" s="42" t="s">
        <v>209</v>
      </c>
      <c r="C8" s="43">
        <v>46299</v>
      </c>
      <c r="E8">
        <v>2</v>
      </c>
      <c r="F8" t="s">
        <v>495</v>
      </c>
      <c r="G8" t="s">
        <v>153</v>
      </c>
      <c r="H8">
        <v>47</v>
      </c>
      <c r="I8" s="156"/>
      <c r="J8" s="156"/>
      <c r="K8" s="156"/>
      <c r="L8" s="156"/>
      <c r="M8" s="156"/>
      <c r="N8" s="156"/>
      <c r="O8" s="156" t="s">
        <v>584</v>
      </c>
      <c r="P8" s="156"/>
      <c r="Q8" s="156" t="s">
        <v>584</v>
      </c>
      <c r="R8" s="156"/>
      <c r="S8" s="156"/>
      <c r="T8" s="156"/>
      <c r="U8" s="156"/>
    </row>
    <row r="9" spans="1:21">
      <c r="B9" s="3"/>
      <c r="C9" s="3"/>
      <c r="E9">
        <v>3</v>
      </c>
      <c r="F9" t="s">
        <v>485</v>
      </c>
      <c r="G9" t="s">
        <v>153</v>
      </c>
      <c r="H9">
        <v>64</v>
      </c>
      <c r="I9" s="155"/>
      <c r="J9" s="155"/>
      <c r="K9" s="155"/>
      <c r="L9" s="155"/>
      <c r="M9" s="155"/>
      <c r="N9" s="155"/>
      <c r="O9" s="155"/>
      <c r="P9" s="155"/>
      <c r="Q9" s="155"/>
      <c r="R9" s="155" t="s">
        <v>584</v>
      </c>
      <c r="S9" s="155"/>
      <c r="T9" s="155"/>
      <c r="U9" s="155" t="s">
        <v>585</v>
      </c>
    </row>
    <row r="10" spans="1:21">
      <c r="B10" s="42" t="s">
        <v>507</v>
      </c>
      <c r="C10" s="43" t="s">
        <v>508</v>
      </c>
      <c r="E10">
        <v>4</v>
      </c>
      <c r="F10" t="s">
        <v>511</v>
      </c>
      <c r="G10" t="s">
        <v>153</v>
      </c>
      <c r="H10">
        <v>34</v>
      </c>
      <c r="I10" s="156" t="s">
        <v>584</v>
      </c>
      <c r="J10" s="156" t="s">
        <v>585</v>
      </c>
      <c r="K10" s="156"/>
      <c r="L10" s="156"/>
      <c r="M10" s="156"/>
      <c r="N10" s="156" t="s">
        <v>584</v>
      </c>
      <c r="O10" s="156"/>
      <c r="P10" s="156"/>
      <c r="Q10" s="156"/>
      <c r="R10" s="156"/>
      <c r="S10" s="156"/>
      <c r="T10" s="156"/>
      <c r="U10" s="156"/>
    </row>
    <row r="11" spans="1:21">
      <c r="E11">
        <v>5</v>
      </c>
      <c r="F11" t="s">
        <v>486</v>
      </c>
      <c r="G11" t="s">
        <v>153</v>
      </c>
      <c r="H11">
        <v>80</v>
      </c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</row>
    <row r="12" spans="1:21">
      <c r="B12" s="42" t="s">
        <v>182</v>
      </c>
      <c r="C12" s="43" t="s">
        <v>586</v>
      </c>
      <c r="E12">
        <v>6</v>
      </c>
      <c r="F12" t="s">
        <v>483</v>
      </c>
      <c r="G12" t="s">
        <v>153</v>
      </c>
      <c r="H12">
        <v>80</v>
      </c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</row>
    <row r="13" spans="1:21">
      <c r="B13" s="3"/>
      <c r="C13" s="3"/>
      <c r="E13">
        <v>7</v>
      </c>
      <c r="F13" t="s">
        <v>512</v>
      </c>
      <c r="G13" t="s">
        <v>153</v>
      </c>
      <c r="H13">
        <v>80</v>
      </c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</row>
    <row r="14" spans="1:21">
      <c r="B14" s="42" t="s">
        <v>208</v>
      </c>
      <c r="C14" s="43" t="s">
        <v>178</v>
      </c>
      <c r="E14">
        <v>8</v>
      </c>
      <c r="F14" t="s">
        <v>487</v>
      </c>
      <c r="G14" t="s">
        <v>153</v>
      </c>
      <c r="H14">
        <v>80</v>
      </c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</row>
    <row r="15" spans="1:21">
      <c r="B15" s="3"/>
      <c r="C15" s="3"/>
      <c r="E15" s="35">
        <v>9</v>
      </c>
      <c r="F15" s="35" t="s">
        <v>488</v>
      </c>
      <c r="G15" s="35" t="s">
        <v>169</v>
      </c>
      <c r="H15" s="35">
        <v>55</v>
      </c>
      <c r="I15" s="155"/>
      <c r="J15" s="155"/>
      <c r="K15" s="155"/>
      <c r="L15" s="155"/>
      <c r="M15" s="155" t="s">
        <v>584</v>
      </c>
      <c r="N15" s="155"/>
      <c r="O15" s="155"/>
      <c r="P15" s="155"/>
      <c r="Q15" s="155"/>
      <c r="R15" s="155"/>
      <c r="S15" s="155" t="s">
        <v>585</v>
      </c>
      <c r="T15" s="155"/>
      <c r="U15" s="155"/>
    </row>
    <row r="16" spans="1:21">
      <c r="B16" s="42" t="s">
        <v>183</v>
      </c>
      <c r="C16" s="43" t="s">
        <v>179</v>
      </c>
      <c r="E16">
        <v>10</v>
      </c>
      <c r="F16" t="s">
        <v>489</v>
      </c>
      <c r="G16" t="s">
        <v>169</v>
      </c>
      <c r="H16">
        <v>71</v>
      </c>
      <c r="I16" s="156"/>
      <c r="J16" s="156"/>
      <c r="K16" s="156" t="s">
        <v>584</v>
      </c>
      <c r="L16" s="156" t="s">
        <v>585</v>
      </c>
      <c r="M16" s="156"/>
      <c r="N16" s="156"/>
      <c r="O16" s="156"/>
      <c r="P16" s="156"/>
      <c r="Q16" s="156"/>
      <c r="R16" s="156"/>
      <c r="S16" s="156"/>
      <c r="T16" s="156"/>
      <c r="U16" s="156"/>
    </row>
    <row r="17" spans="1:21">
      <c r="B17" s="3"/>
      <c r="C17" s="64"/>
      <c r="E17">
        <v>11</v>
      </c>
      <c r="F17" t="s">
        <v>490</v>
      </c>
      <c r="G17" t="s">
        <v>169</v>
      </c>
      <c r="H17">
        <v>80</v>
      </c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</row>
    <row r="18" spans="1:21">
      <c r="B18" s="42" t="s">
        <v>184</v>
      </c>
      <c r="C18" s="44">
        <v>3</v>
      </c>
      <c r="E18">
        <v>12</v>
      </c>
      <c r="F18" t="s">
        <v>491</v>
      </c>
      <c r="G18" t="s">
        <v>169</v>
      </c>
      <c r="H18">
        <v>80</v>
      </c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</row>
    <row r="19" spans="1:21">
      <c r="B19" s="3"/>
      <c r="C19" s="3"/>
      <c r="E19">
        <v>13</v>
      </c>
      <c r="F19" t="s">
        <v>492</v>
      </c>
      <c r="G19" t="s">
        <v>169</v>
      </c>
      <c r="H19">
        <v>61</v>
      </c>
      <c r="I19" s="155"/>
      <c r="J19" s="155"/>
      <c r="K19" s="155"/>
      <c r="L19" s="155" t="s">
        <v>584</v>
      </c>
      <c r="M19" s="155"/>
      <c r="N19" s="155"/>
      <c r="O19" s="155"/>
      <c r="P19" s="155" t="s">
        <v>585</v>
      </c>
      <c r="Q19" s="155"/>
      <c r="R19" s="155"/>
      <c r="S19" s="155"/>
      <c r="T19" s="155"/>
      <c r="U19" s="155"/>
    </row>
    <row r="20" spans="1:21">
      <c r="B20" s="42" t="s">
        <v>185</v>
      </c>
      <c r="C20" s="43" t="s">
        <v>180</v>
      </c>
      <c r="E20">
        <v>14</v>
      </c>
      <c r="F20" t="s">
        <v>514</v>
      </c>
      <c r="G20" t="s">
        <v>169</v>
      </c>
      <c r="H20">
        <v>50</v>
      </c>
      <c r="I20" s="156"/>
      <c r="J20" s="156"/>
      <c r="K20" s="156"/>
      <c r="L20" s="156"/>
      <c r="M20" s="156"/>
      <c r="N20" s="156"/>
      <c r="O20" s="156"/>
      <c r="P20" s="156" t="s">
        <v>584</v>
      </c>
      <c r="Q20" s="156"/>
      <c r="R20" s="156"/>
      <c r="S20" s="156"/>
      <c r="T20" s="156"/>
      <c r="U20" s="156"/>
    </row>
    <row r="21" spans="1:21">
      <c r="B21" s="3"/>
      <c r="C21" s="64"/>
      <c r="E21" s="30">
        <v>15</v>
      </c>
      <c r="F21" s="30" t="s">
        <v>494</v>
      </c>
      <c r="G21" s="30" t="s">
        <v>169</v>
      </c>
      <c r="H21" s="30">
        <v>65</v>
      </c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 t="s">
        <v>584</v>
      </c>
      <c r="U21" s="155"/>
    </row>
    <row r="22" spans="1:21">
      <c r="B22" s="42" t="s">
        <v>207</v>
      </c>
      <c r="C22" s="43" t="s">
        <v>203</v>
      </c>
      <c r="E22">
        <v>16</v>
      </c>
      <c r="F22" t="s">
        <v>513</v>
      </c>
      <c r="G22" t="s">
        <v>153</v>
      </c>
      <c r="H22">
        <v>0</v>
      </c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6"/>
    </row>
    <row r="23" spans="1:21">
      <c r="B23" s="3"/>
      <c r="C23" s="3"/>
      <c r="E23">
        <v>17</v>
      </c>
      <c r="F23" t="s">
        <v>591</v>
      </c>
      <c r="G23" t="s">
        <v>153</v>
      </c>
      <c r="H23">
        <v>35</v>
      </c>
      <c r="I23" s="155" t="s">
        <v>585</v>
      </c>
      <c r="J23" s="155" t="s">
        <v>584</v>
      </c>
      <c r="K23" s="155"/>
      <c r="L23" s="155"/>
      <c r="M23" s="155"/>
      <c r="N23" s="155"/>
      <c r="O23" s="155" t="s">
        <v>585</v>
      </c>
      <c r="P23" s="155"/>
      <c r="Q23" s="155" t="s">
        <v>585</v>
      </c>
      <c r="R23" s="155"/>
      <c r="S23" s="155"/>
      <c r="T23" s="155"/>
      <c r="U23" s="155" t="s">
        <v>584</v>
      </c>
    </row>
    <row r="24" spans="1:21">
      <c r="B24" s="3"/>
      <c r="C24" s="3"/>
      <c r="E24">
        <v>18</v>
      </c>
      <c r="F24" t="s">
        <v>592</v>
      </c>
      <c r="G24" t="s">
        <v>153</v>
      </c>
      <c r="H24">
        <v>21</v>
      </c>
      <c r="I24" s="156"/>
      <c r="J24" s="156"/>
      <c r="K24" s="156"/>
      <c r="L24" s="156"/>
      <c r="M24" s="156"/>
      <c r="N24" s="156"/>
      <c r="O24" s="156"/>
      <c r="P24" s="156"/>
      <c r="Q24" s="156"/>
      <c r="R24" s="156" t="s">
        <v>585</v>
      </c>
      <c r="S24" s="156"/>
      <c r="T24" s="156"/>
      <c r="U24" s="156"/>
    </row>
    <row r="25" spans="1:21">
      <c r="B25" s="3"/>
      <c r="C25" s="3"/>
      <c r="E25">
        <v>19</v>
      </c>
      <c r="F25" t="s">
        <v>593</v>
      </c>
      <c r="G25" t="s">
        <v>153</v>
      </c>
      <c r="H25">
        <v>39</v>
      </c>
      <c r="I25" s="155"/>
      <c r="J25" s="155"/>
      <c r="K25" s="155"/>
      <c r="L25" s="155"/>
      <c r="M25" s="155"/>
      <c r="N25" s="155" t="s">
        <v>585</v>
      </c>
      <c r="O25" s="155"/>
      <c r="P25" s="155"/>
      <c r="Q25" s="155"/>
      <c r="R25" s="155"/>
      <c r="S25" s="155"/>
      <c r="T25" s="155"/>
      <c r="U25" s="155"/>
    </row>
    <row r="26" spans="1:21">
      <c r="B26" s="3"/>
      <c r="C26" s="3"/>
      <c r="E26">
        <v>20</v>
      </c>
      <c r="F26" t="s">
        <v>497</v>
      </c>
      <c r="G26" t="s">
        <v>169</v>
      </c>
      <c r="H26">
        <v>25</v>
      </c>
      <c r="I26" s="156"/>
      <c r="J26" s="156"/>
      <c r="K26" s="156"/>
      <c r="L26" s="156"/>
      <c r="M26" s="156" t="s">
        <v>585</v>
      </c>
      <c r="N26" s="156"/>
      <c r="O26" s="156"/>
      <c r="P26" s="156"/>
      <c r="Q26" s="156"/>
      <c r="R26" s="156"/>
      <c r="S26" s="156" t="s">
        <v>584</v>
      </c>
      <c r="T26" s="156"/>
      <c r="U26" s="156"/>
    </row>
    <row r="27" spans="1:21">
      <c r="B27" s="3"/>
      <c r="C27" s="3"/>
      <c r="E27">
        <v>21</v>
      </c>
      <c r="F27" t="s">
        <v>496</v>
      </c>
      <c r="G27" t="s">
        <v>169</v>
      </c>
      <c r="H27">
        <v>58</v>
      </c>
      <c r="I27" s="155"/>
      <c r="J27" s="155"/>
      <c r="K27" s="155" t="s">
        <v>585</v>
      </c>
      <c r="L27" s="155"/>
      <c r="M27" s="155"/>
      <c r="N27" s="155"/>
      <c r="O27" s="155"/>
      <c r="P27" s="155"/>
      <c r="Q27" s="155"/>
      <c r="R27" s="155"/>
      <c r="S27" s="155"/>
      <c r="T27" s="155"/>
      <c r="U27" s="155"/>
    </row>
    <row r="28" spans="1:21">
      <c r="B28" s="3"/>
      <c r="C28" s="3"/>
      <c r="E28">
        <v>22</v>
      </c>
      <c r="F28" t="s">
        <v>493</v>
      </c>
      <c r="G28" t="s">
        <v>169</v>
      </c>
      <c r="H28">
        <v>15</v>
      </c>
      <c r="I28" s="156"/>
      <c r="J28" s="156"/>
      <c r="K28" s="156"/>
      <c r="L28" s="156"/>
      <c r="M28" s="156"/>
      <c r="N28" s="156"/>
      <c r="O28" s="156"/>
      <c r="P28" s="156"/>
      <c r="Q28" s="156"/>
      <c r="R28" s="156"/>
      <c r="S28" s="156"/>
      <c r="T28" s="156" t="s">
        <v>585</v>
      </c>
      <c r="U28" s="156"/>
    </row>
    <row r="29" spans="1:21" s="3" customFormat="1" hidden="1">
      <c r="A29" s="63"/>
      <c r="D29" s="63"/>
      <c r="I29" s="3">
        <v>1131.768049</v>
      </c>
      <c r="J29" s="3">
        <v>1536.036247</v>
      </c>
      <c r="K29" s="3">
        <v>2262.7654309999998</v>
      </c>
      <c r="L29" s="3">
        <v>2735.8009529999999</v>
      </c>
      <c r="M29" s="3">
        <v>3223.0122000000001</v>
      </c>
      <c r="N29" s="3">
        <v>3333.398905</v>
      </c>
      <c r="O29" s="3">
        <v>3729.1841159999999</v>
      </c>
      <c r="P29" s="3">
        <v>3938.0415889999999</v>
      </c>
      <c r="Q29" s="3">
        <v>3714.5157909999998</v>
      </c>
      <c r="R29" s="3">
        <v>4300.4944800000003</v>
      </c>
      <c r="S29" s="3">
        <v>4777.8121160000001</v>
      </c>
      <c r="T29" s="3">
        <v>4780.8058700000001</v>
      </c>
      <c r="U29" s="3">
        <v>5402.0774309999997</v>
      </c>
    </row>
    <row r="30" spans="1:21" s="3" customFormat="1">
      <c r="A30" s="63"/>
      <c r="D30" s="63"/>
      <c r="I30" s="160">
        <v>1.3099167233796297E-2</v>
      </c>
      <c r="J30" s="160">
        <v>1.7778197303240741E-2</v>
      </c>
      <c r="K30" s="160">
        <v>2.6189414710648146E-2</v>
      </c>
      <c r="L30" s="160">
        <v>3.1664362881944443E-2</v>
      </c>
      <c r="M30" s="160">
        <v>3.7303381944444443E-2</v>
      </c>
      <c r="N30" s="160">
        <v>3.8581005844907409E-2</v>
      </c>
      <c r="O30" s="160">
        <v>4.3161853194444447E-2</v>
      </c>
      <c r="P30" s="160">
        <v>4.5579185057870369E-2</v>
      </c>
      <c r="Q30" s="160">
        <v>4.2992080914351846E-2</v>
      </c>
      <c r="R30" s="160">
        <v>4.977424166666667E-2</v>
      </c>
      <c r="S30" s="160">
        <v>5.5298751342592593E-2</v>
      </c>
      <c r="T30" s="160">
        <v>5.5333401273148147E-2</v>
      </c>
      <c r="U30" s="160">
        <v>6.2524044340277779E-2</v>
      </c>
    </row>
    <row r="31" spans="1:21" s="3" customFormat="1">
      <c r="A31" s="63"/>
      <c r="D31" s="63"/>
    </row>
    <row r="32" spans="1:21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587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Normal="100" workbookViewId="0">
      <selection activeCell="BL8" sqref="BL8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1" t="s">
        <v>612</v>
      </c>
      <c r="B1" s="22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3 : MXV / US Eauze Gondrin</v>
      </c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225"/>
      <c r="AY1" s="225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</row>
    <row r="2" spans="1:88" ht="10" customHeight="1" thickBot="1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</row>
    <row r="3" spans="1:88" ht="10" customHeight="1">
      <c r="A3" s="141"/>
      <c r="B3" s="143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AQ3" s="144"/>
      <c r="AR3" s="144"/>
      <c r="AS3" s="144"/>
      <c r="AT3" s="144"/>
      <c r="AU3" s="144"/>
      <c r="AV3" s="144"/>
      <c r="AW3" s="144"/>
      <c r="AX3" s="144"/>
      <c r="AY3" s="145"/>
      <c r="AZ3" s="141"/>
      <c r="BA3" s="143"/>
      <c r="BB3" s="144"/>
      <c r="BC3" s="144"/>
      <c r="BD3" s="144"/>
      <c r="BE3" s="144"/>
      <c r="BF3" s="144"/>
      <c r="BG3" s="144"/>
      <c r="BH3" s="144"/>
      <c r="BI3" s="144"/>
      <c r="BJ3" s="144"/>
      <c r="BK3" s="144"/>
      <c r="BL3" s="144"/>
      <c r="BM3" s="145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</row>
    <row r="4" spans="1:88" ht="42" customHeight="1">
      <c r="A4" s="141"/>
      <c r="B4" s="142"/>
      <c r="C4" s="219" t="s">
        <v>124</v>
      </c>
      <c r="D4" s="220"/>
      <c r="E4" s="220"/>
      <c r="F4" s="220"/>
      <c r="G4" s="220"/>
      <c r="H4" s="220"/>
      <c r="I4" s="220"/>
      <c r="J4" s="220"/>
      <c r="K4" s="141"/>
      <c r="L4" s="252" t="s">
        <v>39</v>
      </c>
      <c r="M4" s="253"/>
      <c r="N4" s="253"/>
      <c r="O4" s="253"/>
      <c r="P4" s="253"/>
      <c r="Q4" s="253"/>
      <c r="R4" s="254"/>
      <c r="S4" s="141"/>
      <c r="T4" s="279" t="s">
        <v>55</v>
      </c>
      <c r="U4" s="280"/>
      <c r="V4" s="280"/>
      <c r="W4" s="280"/>
      <c r="X4" s="280"/>
      <c r="Y4" s="280"/>
      <c r="Z4" s="281"/>
      <c r="AA4" s="141"/>
      <c r="AB4" s="219" t="s">
        <v>545</v>
      </c>
      <c r="AC4" s="220"/>
      <c r="AD4" s="220"/>
      <c r="AE4" s="220"/>
      <c r="AF4" s="220"/>
      <c r="AG4" s="220"/>
      <c r="AH4" s="220"/>
      <c r="AI4" s="141"/>
      <c r="AJ4" s="279" t="s">
        <v>43</v>
      </c>
      <c r="AK4" s="280"/>
      <c r="AL4" s="280"/>
      <c r="AM4" s="280"/>
      <c r="AN4" s="280"/>
      <c r="AO4" s="280"/>
      <c r="AP4" s="281"/>
      <c r="AQ4" s="141"/>
      <c r="AR4" s="236" t="s">
        <v>44</v>
      </c>
      <c r="AS4" s="237"/>
      <c r="AT4" s="237"/>
      <c r="AU4" s="237"/>
      <c r="AV4" s="237"/>
      <c r="AW4" s="237"/>
      <c r="AX4" s="238"/>
      <c r="AY4" s="146"/>
      <c r="AZ4" s="141"/>
      <c r="BA4" s="142"/>
      <c r="BB4" s="153" t="s">
        <v>38</v>
      </c>
      <c r="BC4" s="141"/>
      <c r="BD4" s="14" t="s">
        <v>29</v>
      </c>
      <c r="BE4" s="141"/>
      <c r="BF4" s="14" t="s">
        <v>51</v>
      </c>
      <c r="BG4" s="141"/>
      <c r="BH4" s="14" t="s">
        <v>141</v>
      </c>
      <c r="BI4" s="141"/>
      <c r="BJ4" s="14" t="s">
        <v>30</v>
      </c>
      <c r="BK4" s="141"/>
      <c r="BL4" s="14" t="s">
        <v>31</v>
      </c>
      <c r="BM4" s="146"/>
      <c r="BN4" s="141"/>
      <c r="BO4" s="141"/>
      <c r="BP4" s="141"/>
      <c r="BQ4" s="141"/>
      <c r="BR4" s="141"/>
      <c r="BS4" s="141"/>
      <c r="BT4" s="141"/>
      <c r="BU4" s="141"/>
      <c r="BV4" s="141"/>
      <c r="BW4" s="141"/>
      <c r="BX4" s="141"/>
      <c r="BY4" s="141"/>
      <c r="BZ4" s="141"/>
      <c r="CA4" s="141"/>
      <c r="CB4" s="141"/>
      <c r="CC4" s="141"/>
      <c r="CD4" s="141"/>
      <c r="CE4" s="141"/>
      <c r="CF4" s="141"/>
      <c r="CG4" s="141"/>
      <c r="CH4" s="141"/>
      <c r="CI4" s="141"/>
      <c r="CJ4" s="141"/>
    </row>
    <row r="5" spans="1:88" ht="10" customHeight="1" thickBot="1">
      <c r="A5" s="141"/>
      <c r="B5" s="147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9"/>
      <c r="AZ5" s="141"/>
      <c r="BA5" s="147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9"/>
      <c r="BN5" s="141"/>
      <c r="BO5" s="141"/>
      <c r="BP5" s="141"/>
      <c r="BQ5" s="141"/>
      <c r="BR5" s="141"/>
      <c r="BS5" s="141"/>
      <c r="BT5" s="141"/>
      <c r="BU5" s="141"/>
      <c r="BV5" s="141"/>
      <c r="BW5" s="141"/>
      <c r="BX5" s="141"/>
      <c r="BY5" s="141"/>
      <c r="BZ5" s="141"/>
      <c r="CA5" s="141"/>
      <c r="CB5" s="141"/>
      <c r="CC5" s="141"/>
      <c r="CD5" s="141"/>
      <c r="CE5" s="141"/>
      <c r="CF5" s="141"/>
      <c r="CG5" s="141"/>
      <c r="CH5" s="141"/>
      <c r="CI5" s="141"/>
      <c r="CJ5" s="141"/>
    </row>
    <row r="6" spans="1:88" ht="10" customHeight="1" thickBot="1">
      <c r="A6" s="141"/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AQ6" s="141"/>
      <c r="AR6" s="141"/>
      <c r="AS6" s="141"/>
      <c r="AT6" s="141"/>
      <c r="AU6" s="141"/>
      <c r="AV6" s="141"/>
      <c r="AW6" s="141"/>
      <c r="AX6" s="141"/>
      <c r="AY6" s="141"/>
      <c r="AZ6" s="141"/>
      <c r="BA6" s="141"/>
      <c r="BB6" s="141"/>
      <c r="BC6" s="141"/>
      <c r="BD6" s="141"/>
      <c r="BE6" s="141"/>
      <c r="BF6" s="141"/>
      <c r="BG6" s="141"/>
      <c r="BH6" s="141"/>
      <c r="BI6" s="141"/>
      <c r="BJ6" s="141"/>
      <c r="BK6" s="141"/>
      <c r="BL6" s="141"/>
      <c r="BM6" s="141"/>
      <c r="BN6" s="141"/>
      <c r="BO6" s="141"/>
      <c r="BP6" s="141"/>
      <c r="BQ6" s="141"/>
      <c r="BR6" s="141"/>
      <c r="BS6" s="141"/>
      <c r="BT6" s="141"/>
      <c r="BU6" s="141"/>
      <c r="BV6" s="141"/>
      <c r="BW6" s="141"/>
      <c r="BX6" s="141"/>
      <c r="BY6" s="141"/>
      <c r="BZ6" s="141"/>
      <c r="CA6" s="141"/>
      <c r="CB6" s="141"/>
      <c r="CC6" s="141"/>
      <c r="CD6" s="141"/>
      <c r="CE6" s="141"/>
      <c r="CF6" s="141"/>
      <c r="CG6" s="141"/>
      <c r="CH6" s="141"/>
      <c r="CI6" s="141"/>
      <c r="CJ6" s="141"/>
    </row>
    <row r="7" spans="1:88" ht="10" customHeight="1">
      <c r="A7" s="141"/>
      <c r="B7" s="143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5"/>
      <c r="AZ7" s="141"/>
      <c r="BA7" s="143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5"/>
      <c r="BN7" s="141"/>
      <c r="BO7" s="227" t="s">
        <v>515</v>
      </c>
      <c r="BP7" s="228"/>
      <c r="BQ7" s="229"/>
      <c r="BR7" s="141"/>
      <c r="BS7" s="141"/>
      <c r="BT7" s="141"/>
      <c r="BU7" s="141"/>
      <c r="BV7" s="141"/>
      <c r="BW7" s="141"/>
      <c r="BX7" s="141"/>
      <c r="BY7" s="141"/>
      <c r="BZ7" s="141"/>
      <c r="CA7" s="141"/>
      <c r="CB7" s="141"/>
      <c r="CC7" s="141"/>
      <c r="CD7" s="141"/>
      <c r="CE7" s="141"/>
      <c r="CF7" s="141"/>
      <c r="CG7" s="141"/>
      <c r="CH7" s="141"/>
      <c r="CI7" s="141"/>
      <c r="CJ7" s="141"/>
    </row>
    <row r="8" spans="1:88" ht="26" customHeight="1">
      <c r="A8" s="141"/>
      <c r="B8" s="142"/>
      <c r="C8" s="239" t="s">
        <v>243</v>
      </c>
      <c r="D8" s="220"/>
      <c r="E8" s="220"/>
      <c r="F8" s="220"/>
      <c r="G8" s="220"/>
      <c r="H8" s="220"/>
      <c r="I8" s="220"/>
      <c r="J8" s="141"/>
      <c r="K8" s="240"/>
      <c r="L8" s="241"/>
      <c r="M8" s="241"/>
      <c r="N8" s="241"/>
      <c r="O8" s="241"/>
      <c r="P8" s="241"/>
      <c r="Q8" s="242"/>
      <c r="R8" s="141"/>
      <c r="S8" s="243"/>
      <c r="T8" s="244"/>
      <c r="U8" s="244"/>
      <c r="V8" s="244"/>
      <c r="W8" s="244"/>
      <c r="X8" s="244"/>
      <c r="Y8" s="245"/>
      <c r="Z8" s="141"/>
      <c r="AA8" s="246"/>
      <c r="AB8" s="247"/>
      <c r="AC8" s="247"/>
      <c r="AD8" s="247"/>
      <c r="AE8" s="247"/>
      <c r="AF8" s="247"/>
      <c r="AG8" s="248"/>
      <c r="AH8" s="141"/>
      <c r="AI8" s="249"/>
      <c r="AJ8" s="250"/>
      <c r="AK8" s="250"/>
      <c r="AL8" s="250"/>
      <c r="AM8" s="250"/>
      <c r="AN8" s="250"/>
      <c r="AO8" s="251"/>
      <c r="AP8" s="141"/>
      <c r="AQ8" s="262" t="s">
        <v>191</v>
      </c>
      <c r="AR8" s="263"/>
      <c r="AS8" s="263"/>
      <c r="AT8" s="263"/>
      <c r="AU8" s="263"/>
      <c r="AV8" s="263"/>
      <c r="AW8" s="264"/>
      <c r="AX8" s="141"/>
      <c r="AY8" s="146"/>
      <c r="AZ8" s="141"/>
      <c r="BA8" s="142"/>
      <c r="BB8" s="153" t="s">
        <v>48</v>
      </c>
      <c r="BC8" s="141"/>
      <c r="BD8" s="7" t="s">
        <v>33</v>
      </c>
      <c r="BE8" s="141"/>
      <c r="BF8" s="7" t="s">
        <v>34</v>
      </c>
      <c r="BG8" s="141"/>
      <c r="BH8" s="7" t="s">
        <v>35</v>
      </c>
      <c r="BI8" s="141"/>
      <c r="BJ8" s="7" t="s">
        <v>36</v>
      </c>
      <c r="BK8" s="141"/>
      <c r="BL8" s="9" t="s">
        <v>617</v>
      </c>
      <c r="BM8" s="146"/>
      <c r="BN8" s="141"/>
      <c r="BO8" s="230"/>
      <c r="BP8" s="231"/>
      <c r="BQ8" s="232"/>
      <c r="BR8" s="141"/>
      <c r="BS8" s="141"/>
      <c r="BT8" s="141"/>
      <c r="BU8" s="141"/>
      <c r="BV8" s="141"/>
      <c r="BW8" s="141"/>
      <c r="BX8" s="141"/>
      <c r="BY8" s="141"/>
      <c r="BZ8" s="141"/>
      <c r="CA8" s="141"/>
      <c r="CB8" s="141"/>
      <c r="CC8" s="141"/>
      <c r="CD8" s="141"/>
      <c r="CE8" s="141"/>
      <c r="CF8" s="141"/>
      <c r="CG8" s="141"/>
      <c r="CH8" s="141"/>
      <c r="CI8" s="141"/>
      <c r="CJ8" s="141"/>
    </row>
    <row r="9" spans="1:88" ht="10" customHeight="1" thickBot="1">
      <c r="A9" s="141"/>
      <c r="B9" s="147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9"/>
      <c r="AZ9" s="141"/>
      <c r="BA9" s="147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9"/>
      <c r="BN9" s="141"/>
      <c r="BO9" s="233"/>
      <c r="BP9" s="234"/>
      <c r="BQ9" s="235"/>
      <c r="BR9" s="141"/>
      <c r="BS9" s="141"/>
      <c r="BT9" s="141"/>
      <c r="BU9" s="141"/>
      <c r="BV9" s="141"/>
      <c r="BW9" s="141"/>
      <c r="BX9" s="141"/>
      <c r="BY9" s="141"/>
      <c r="BZ9" s="141"/>
      <c r="CA9" s="141"/>
      <c r="CB9" s="141"/>
      <c r="CC9" s="141"/>
      <c r="CD9" s="141"/>
      <c r="CE9" s="141"/>
      <c r="CF9" s="141"/>
      <c r="CG9" s="141"/>
      <c r="CH9" s="141"/>
      <c r="CI9" s="141"/>
      <c r="CJ9" s="141"/>
    </row>
    <row r="10" spans="1:88" ht="10" customHeight="1" thickBot="1">
      <c r="A10" s="141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/>
      <c r="BA10" s="141"/>
      <c r="BB10" s="141"/>
      <c r="BC10" s="141"/>
      <c r="BD10" s="141"/>
      <c r="BE10" s="141"/>
      <c r="BF10" s="141"/>
      <c r="BG10" s="141"/>
      <c r="BH10" s="141"/>
      <c r="BI10" s="141"/>
      <c r="BJ10" s="141"/>
      <c r="BK10" s="141"/>
      <c r="BL10" s="141"/>
      <c r="BM10" s="141"/>
      <c r="BN10" s="141"/>
      <c r="BO10" s="141"/>
      <c r="BP10" s="141"/>
      <c r="BQ10" s="141"/>
      <c r="BR10" s="141"/>
      <c r="BS10" s="141"/>
      <c r="BT10" s="141"/>
      <c r="BU10" s="141"/>
      <c r="BV10" s="141"/>
      <c r="BW10" s="141"/>
      <c r="BX10" s="141"/>
      <c r="BY10" s="141"/>
      <c r="BZ10" s="141"/>
      <c r="CA10" s="141"/>
      <c r="CB10" s="141"/>
      <c r="CC10" s="141"/>
      <c r="CD10" s="141"/>
      <c r="CE10" s="141"/>
      <c r="CF10" s="141"/>
      <c r="CG10" s="141"/>
      <c r="CH10" s="141"/>
      <c r="CI10" s="141"/>
      <c r="CJ10" s="141"/>
    </row>
    <row r="11" spans="1:88" ht="10" customHeight="1">
      <c r="A11" s="141"/>
      <c r="B11" s="143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5"/>
      <c r="AZ11" s="141"/>
      <c r="BA11" s="143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5"/>
      <c r="BT11" s="141"/>
      <c r="BU11" s="141"/>
      <c r="BV11" s="141"/>
      <c r="BW11" s="141"/>
      <c r="BX11" s="141"/>
      <c r="BY11" s="141"/>
      <c r="BZ11" s="141"/>
      <c r="CA11" s="141"/>
      <c r="CB11" s="141"/>
      <c r="CC11" s="141"/>
      <c r="CD11" s="141"/>
      <c r="CE11" s="141"/>
      <c r="CF11" s="141"/>
      <c r="CG11" s="141"/>
      <c r="CH11" s="141"/>
      <c r="CI11" s="141"/>
      <c r="CJ11" s="141"/>
    </row>
    <row r="12" spans="1:88" ht="15" customHeight="1">
      <c r="A12" s="141"/>
      <c r="B12" s="142"/>
      <c r="C12" s="226" t="s">
        <v>18</v>
      </c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146"/>
      <c r="AZ12" s="141"/>
      <c r="BA12" s="142"/>
      <c r="BB12" s="226" t="s">
        <v>19</v>
      </c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146"/>
      <c r="BT12" s="141"/>
      <c r="BU12" s="141"/>
      <c r="BV12" s="141"/>
      <c r="BW12" s="141"/>
      <c r="BX12" s="141"/>
      <c r="BY12" s="141"/>
      <c r="BZ12" s="141"/>
      <c r="CA12" s="141"/>
      <c r="CB12" s="141"/>
      <c r="CC12" s="141"/>
      <c r="CD12" s="141"/>
      <c r="CE12" s="141"/>
      <c r="CF12" s="141"/>
      <c r="CG12" s="141"/>
      <c r="CH12" s="141"/>
      <c r="CI12" s="141"/>
      <c r="CJ12" s="141"/>
    </row>
    <row r="13" spans="1:88" ht="13" customHeight="1">
      <c r="A13" s="141"/>
      <c r="B13" s="142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  <c r="AH13" s="141"/>
      <c r="AI13" s="141"/>
      <c r="AJ13" s="141"/>
      <c r="AK13" s="141"/>
      <c r="AL13" s="141"/>
      <c r="AM13" s="141"/>
      <c r="AN13" s="141"/>
      <c r="AO13" s="141"/>
      <c r="AP13" s="141"/>
      <c r="AQ13" s="141"/>
      <c r="AR13" s="141"/>
      <c r="AS13" s="141"/>
      <c r="AT13" s="141"/>
      <c r="AU13" s="141"/>
      <c r="AV13" s="141"/>
      <c r="AW13" s="141"/>
      <c r="AX13" s="141"/>
      <c r="AY13" s="146"/>
      <c r="AZ13" s="141"/>
      <c r="BA13" s="142"/>
      <c r="BB13" s="141"/>
      <c r="BC13" s="141"/>
      <c r="BD13" s="141"/>
      <c r="BE13" s="141"/>
      <c r="BF13" s="141"/>
      <c r="BG13" s="141"/>
      <c r="BH13" s="141"/>
      <c r="BI13" s="141"/>
      <c r="BJ13" s="141"/>
      <c r="BK13" s="141"/>
      <c r="BL13" s="141"/>
      <c r="BM13" s="141"/>
      <c r="BN13" s="141"/>
      <c r="BO13" s="141"/>
      <c r="BP13" s="141"/>
      <c r="BQ13" s="141"/>
      <c r="BR13" s="141"/>
      <c r="BS13" s="146"/>
      <c r="BT13" s="141"/>
      <c r="BU13" s="141"/>
      <c r="BV13" s="141"/>
      <c r="BW13" s="141"/>
      <c r="BX13" s="141"/>
      <c r="BY13" s="141"/>
      <c r="BZ13" s="141"/>
      <c r="CA13" s="141"/>
      <c r="CB13" s="141"/>
      <c r="CC13" s="141"/>
      <c r="CD13" s="141"/>
      <c r="CE13" s="141"/>
      <c r="CF13" s="141"/>
      <c r="CG13" s="141"/>
      <c r="CH13" s="141"/>
      <c r="CI13" s="141"/>
      <c r="CJ13" s="141"/>
    </row>
    <row r="14" spans="1:88" ht="42" customHeight="1">
      <c r="A14" s="141"/>
      <c r="B14" s="142"/>
      <c r="C14" s="221" t="s">
        <v>594</v>
      </c>
      <c r="D14" s="222"/>
      <c r="E14" s="222"/>
      <c r="F14" s="222"/>
      <c r="G14" s="222"/>
      <c r="H14" s="222"/>
      <c r="I14" s="223"/>
      <c r="J14" s="141"/>
      <c r="K14" s="221" t="s">
        <v>623</v>
      </c>
      <c r="L14" s="222"/>
      <c r="M14" s="222"/>
      <c r="N14" s="222"/>
      <c r="O14" s="222"/>
      <c r="P14" s="222"/>
      <c r="Q14" s="223"/>
      <c r="R14" s="141"/>
      <c r="S14" s="221" t="s">
        <v>588</v>
      </c>
      <c r="T14" s="222"/>
      <c r="U14" s="222"/>
      <c r="V14" s="222"/>
      <c r="W14" s="222"/>
      <c r="X14" s="222"/>
      <c r="Y14" s="223"/>
      <c r="Z14" s="141"/>
      <c r="AA14" s="141"/>
      <c r="AB14" s="141"/>
      <c r="AC14" s="141"/>
      <c r="AD14" s="221" t="s">
        <v>625</v>
      </c>
      <c r="AE14" s="222"/>
      <c r="AF14" s="222"/>
      <c r="AG14" s="222"/>
      <c r="AH14" s="222"/>
      <c r="AI14" s="222"/>
      <c r="AJ14" s="223"/>
      <c r="AK14" s="141"/>
      <c r="AL14" s="141"/>
      <c r="AM14" s="141"/>
      <c r="AN14" s="141"/>
      <c r="AO14" s="141"/>
      <c r="AP14" s="221" t="s">
        <v>561</v>
      </c>
      <c r="AQ14" s="222"/>
      <c r="AR14" s="222"/>
      <c r="AS14" s="222"/>
      <c r="AT14" s="222"/>
      <c r="AU14" s="222"/>
      <c r="AV14" s="223"/>
      <c r="AW14" s="141"/>
      <c r="AX14" s="141"/>
      <c r="AY14" s="146"/>
      <c r="AZ14" s="141"/>
      <c r="BA14" s="142"/>
      <c r="BB14" s="153" t="s">
        <v>266</v>
      </c>
      <c r="BC14" s="141"/>
      <c r="BD14" s="5" t="s">
        <v>22</v>
      </c>
      <c r="BE14" s="141"/>
      <c r="BF14" s="5" t="s">
        <v>20</v>
      </c>
      <c r="BG14" s="141"/>
      <c r="BH14" s="5" t="s">
        <v>23</v>
      </c>
      <c r="BI14" s="141"/>
      <c r="BJ14" s="5" t="s">
        <v>24</v>
      </c>
      <c r="BK14" s="141"/>
      <c r="BL14" s="5" t="s">
        <v>21</v>
      </c>
      <c r="BM14" s="141"/>
      <c r="BN14" s="153" t="s">
        <v>223</v>
      </c>
      <c r="BO14" s="141"/>
      <c r="BP14" s="5" t="s">
        <v>25</v>
      </c>
      <c r="BQ14" s="141"/>
      <c r="BR14" s="5" t="s">
        <v>26</v>
      </c>
      <c r="BS14" s="146"/>
      <c r="BT14" s="141"/>
      <c r="BU14" s="141"/>
      <c r="BV14" s="141"/>
      <c r="BW14" s="141"/>
      <c r="BX14" s="141"/>
      <c r="BY14" s="141"/>
      <c r="BZ14" s="141"/>
      <c r="CA14" s="141"/>
      <c r="CB14" s="141"/>
      <c r="CC14" s="141"/>
      <c r="CD14" s="141"/>
      <c r="CE14" s="141"/>
      <c r="CF14" s="141"/>
      <c r="CG14" s="141"/>
      <c r="CH14" s="141"/>
      <c r="CI14" s="141"/>
      <c r="CJ14" s="141"/>
    </row>
    <row r="15" spans="1:88" ht="10" customHeight="1">
      <c r="A15" s="141"/>
      <c r="B15" s="142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  <c r="AO15" s="141"/>
      <c r="AP15" s="141"/>
      <c r="AQ15" s="141"/>
      <c r="AR15" s="141"/>
      <c r="AS15" s="141"/>
      <c r="AT15" s="141"/>
      <c r="AU15" s="141"/>
      <c r="AV15" s="141"/>
      <c r="AW15" s="141"/>
      <c r="AX15" s="141"/>
      <c r="AY15" s="146"/>
      <c r="AZ15" s="141"/>
      <c r="BA15" s="142"/>
      <c r="BB15" s="141"/>
      <c r="BC15" s="141"/>
      <c r="BD15" s="141"/>
      <c r="BE15" s="141"/>
      <c r="BF15" s="141"/>
      <c r="BG15" s="141"/>
      <c r="BH15" s="141"/>
      <c r="BI15" s="141"/>
      <c r="BJ15" s="141"/>
      <c r="BK15" s="141"/>
      <c r="BL15" s="141"/>
      <c r="BM15" s="141"/>
      <c r="BN15" s="141"/>
      <c r="BO15" s="141"/>
      <c r="BP15" s="141"/>
      <c r="BQ15" s="141"/>
      <c r="BR15" s="141"/>
      <c r="BS15" s="146"/>
      <c r="BT15" s="141"/>
      <c r="BU15" s="141"/>
      <c r="BV15" s="141"/>
      <c r="BW15" s="141"/>
      <c r="BX15" s="141"/>
      <c r="BY15" s="141"/>
      <c r="BZ15" s="141"/>
      <c r="CA15" s="141"/>
      <c r="CB15" s="141"/>
      <c r="CC15" s="141"/>
      <c r="CD15" s="141"/>
      <c r="CE15" s="141"/>
      <c r="CF15" s="141"/>
      <c r="CG15" s="141"/>
      <c r="CH15" s="141"/>
      <c r="CI15" s="141"/>
      <c r="CJ15" s="141"/>
    </row>
    <row r="16" spans="1:88" ht="42" customHeight="1">
      <c r="A16" s="141"/>
      <c r="B16" s="142"/>
      <c r="C16" s="141"/>
      <c r="D16" s="141"/>
      <c r="E16" s="141"/>
      <c r="F16" s="141"/>
      <c r="G16" s="221" t="s">
        <v>624</v>
      </c>
      <c r="H16" s="222"/>
      <c r="I16" s="222"/>
      <c r="J16" s="222"/>
      <c r="K16" s="222"/>
      <c r="L16" s="222"/>
      <c r="M16" s="223"/>
      <c r="N16" s="141"/>
      <c r="O16" s="221" t="s">
        <v>559</v>
      </c>
      <c r="P16" s="222"/>
      <c r="Q16" s="222"/>
      <c r="R16" s="222"/>
      <c r="S16" s="222"/>
      <c r="T16" s="222"/>
      <c r="U16" s="223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221" t="s">
        <v>563</v>
      </c>
      <c r="AG16" s="222"/>
      <c r="AH16" s="222"/>
      <c r="AI16" s="222"/>
      <c r="AJ16" s="222"/>
      <c r="AK16" s="222"/>
      <c r="AL16" s="223"/>
      <c r="AM16" s="141"/>
      <c r="AN16" s="221" t="s">
        <v>564</v>
      </c>
      <c r="AO16" s="222"/>
      <c r="AP16" s="222"/>
      <c r="AQ16" s="222"/>
      <c r="AR16" s="222"/>
      <c r="AS16" s="222"/>
      <c r="AT16" s="223"/>
      <c r="AU16" s="141"/>
      <c r="AV16" s="141"/>
      <c r="AW16" s="141"/>
      <c r="AX16" s="141"/>
      <c r="AY16" s="146"/>
      <c r="AZ16" s="141"/>
      <c r="BA16" s="142"/>
      <c r="BB16" s="153" t="s">
        <v>222</v>
      </c>
      <c r="BC16" s="141"/>
      <c r="BD16" s="5" t="s">
        <v>25</v>
      </c>
      <c r="BE16" s="141"/>
      <c r="BF16" s="5" t="s">
        <v>26</v>
      </c>
      <c r="BG16" s="141"/>
      <c r="BH16" s="5" t="s">
        <v>45</v>
      </c>
      <c r="BI16" s="141"/>
      <c r="BJ16" s="141"/>
      <c r="BK16" s="141"/>
      <c r="BL16" s="153" t="s">
        <v>403</v>
      </c>
      <c r="BM16" s="141"/>
      <c r="BN16" s="14" t="s">
        <v>244</v>
      </c>
      <c r="BO16" s="141"/>
      <c r="BP16" s="14" t="s">
        <v>401</v>
      </c>
      <c r="BQ16" s="141"/>
      <c r="BR16" s="14" t="s">
        <v>402</v>
      </c>
      <c r="BS16" s="146"/>
      <c r="BT16" s="141"/>
      <c r="BU16" s="141"/>
      <c r="BV16" s="141"/>
      <c r="BW16" s="141"/>
      <c r="BX16" s="141"/>
      <c r="BY16" s="141"/>
      <c r="BZ16" s="141"/>
      <c r="CA16" s="141"/>
      <c r="CB16" s="141"/>
      <c r="CC16" s="141"/>
      <c r="CD16" s="141"/>
      <c r="CE16" s="141"/>
      <c r="CF16" s="141"/>
      <c r="CG16" s="141"/>
      <c r="CH16" s="141"/>
      <c r="CI16" s="141"/>
      <c r="CJ16" s="141"/>
    </row>
    <row r="17" spans="1:88" ht="10" customHeight="1">
      <c r="A17" s="141"/>
      <c r="B17" s="142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141"/>
      <c r="AV17" s="141"/>
      <c r="AW17" s="141"/>
      <c r="AX17" s="141"/>
      <c r="AY17" s="146"/>
      <c r="AZ17" s="141"/>
      <c r="BA17" s="142"/>
      <c r="BB17" s="141"/>
      <c r="BC17" s="141"/>
      <c r="BD17" s="141"/>
      <c r="BE17" s="141"/>
      <c r="BF17" s="141"/>
      <c r="BG17" s="141"/>
      <c r="BH17" s="141"/>
      <c r="BI17" s="141"/>
      <c r="BJ17" s="141"/>
      <c r="BK17" s="141"/>
      <c r="BL17" s="141"/>
      <c r="BM17" s="141"/>
      <c r="BN17" s="141"/>
      <c r="BO17" s="141"/>
      <c r="BP17" s="141"/>
      <c r="BQ17" s="141"/>
      <c r="BR17" s="141"/>
      <c r="BS17" s="146"/>
      <c r="BT17" s="141"/>
      <c r="BU17" s="141"/>
      <c r="BV17" s="141"/>
      <c r="BW17" s="141"/>
      <c r="BX17" s="141"/>
      <c r="BY17" s="141"/>
      <c r="BZ17" s="141"/>
      <c r="CA17" s="141"/>
      <c r="CB17" s="141"/>
      <c r="CC17" s="141"/>
      <c r="CD17" s="141"/>
      <c r="CE17" s="141"/>
      <c r="CF17" s="141"/>
      <c r="CG17" s="141"/>
      <c r="CH17" s="141"/>
      <c r="CI17" s="141"/>
      <c r="CJ17" s="141"/>
    </row>
    <row r="18" spans="1:88" ht="42" customHeight="1">
      <c r="A18" s="141"/>
      <c r="B18" s="142"/>
      <c r="C18" s="221" t="s">
        <v>589</v>
      </c>
      <c r="D18" s="222"/>
      <c r="E18" s="222"/>
      <c r="F18" s="222"/>
      <c r="G18" s="222"/>
      <c r="H18" s="222"/>
      <c r="I18" s="223"/>
      <c r="J18" s="141"/>
      <c r="K18" s="221" t="s">
        <v>560</v>
      </c>
      <c r="L18" s="222"/>
      <c r="M18" s="222"/>
      <c r="N18" s="222"/>
      <c r="O18" s="222"/>
      <c r="P18" s="222"/>
      <c r="Q18" s="223"/>
      <c r="R18" s="141"/>
      <c r="S18" s="221" t="s">
        <v>590</v>
      </c>
      <c r="T18" s="222"/>
      <c r="U18" s="222"/>
      <c r="V18" s="222"/>
      <c r="W18" s="222"/>
      <c r="X18" s="222"/>
      <c r="Y18" s="223"/>
      <c r="Z18" s="141"/>
      <c r="AA18" s="141"/>
      <c r="AB18" s="221" t="s">
        <v>562</v>
      </c>
      <c r="AC18" s="222"/>
      <c r="AD18" s="222"/>
      <c r="AE18" s="222"/>
      <c r="AF18" s="222"/>
      <c r="AG18" s="222"/>
      <c r="AH18" s="223"/>
      <c r="AI18" s="141"/>
      <c r="AJ18" s="221" t="s">
        <v>627</v>
      </c>
      <c r="AK18" s="222"/>
      <c r="AL18" s="222"/>
      <c r="AM18" s="222"/>
      <c r="AN18" s="222"/>
      <c r="AO18" s="222"/>
      <c r="AP18" s="223"/>
      <c r="AQ18" s="141"/>
      <c r="AR18" s="221" t="s">
        <v>626</v>
      </c>
      <c r="AS18" s="222"/>
      <c r="AT18" s="222"/>
      <c r="AU18" s="222"/>
      <c r="AV18" s="222"/>
      <c r="AW18" s="222"/>
      <c r="AX18" s="223"/>
      <c r="AY18" s="146"/>
      <c r="AZ18" s="141"/>
      <c r="BA18" s="142"/>
      <c r="BB18" s="153" t="s">
        <v>125</v>
      </c>
      <c r="BC18" s="141"/>
      <c r="BD18" s="5" t="s">
        <v>126</v>
      </c>
      <c r="BE18" s="141"/>
      <c r="BF18" s="5" t="s">
        <v>127</v>
      </c>
      <c r="BG18" s="141"/>
      <c r="BH18" s="5" t="s">
        <v>128</v>
      </c>
      <c r="BI18" s="141"/>
      <c r="BJ18" s="5" t="s">
        <v>129</v>
      </c>
      <c r="BK18" s="141"/>
      <c r="BL18" s="5" t="s">
        <v>10</v>
      </c>
      <c r="BM18" s="141"/>
      <c r="BN18" s="5" t="s">
        <v>27</v>
      </c>
      <c r="BO18" s="141"/>
      <c r="BP18" s="5" t="s">
        <v>219</v>
      </c>
      <c r="BQ18" s="141"/>
      <c r="BR18" s="5" t="s">
        <v>396</v>
      </c>
      <c r="BS18" s="146"/>
      <c r="BT18" s="141"/>
      <c r="BU18" s="141"/>
      <c r="BV18" s="141"/>
      <c r="BW18" s="141"/>
      <c r="BX18" s="141"/>
      <c r="BY18" s="141"/>
      <c r="BZ18" s="141"/>
      <c r="CA18" s="141"/>
      <c r="CB18" s="141"/>
      <c r="CC18" s="141"/>
      <c r="CD18" s="141"/>
      <c r="CE18" s="141"/>
      <c r="CF18" s="141"/>
      <c r="CG18" s="141"/>
      <c r="CH18" s="141"/>
      <c r="CI18" s="141"/>
      <c r="CJ18" s="141"/>
    </row>
    <row r="19" spans="1:88" s="3" customFormat="1" ht="10" customHeight="1">
      <c r="A19" s="141"/>
      <c r="B19" s="142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1"/>
      <c r="AW19" s="141"/>
      <c r="AX19" s="141"/>
      <c r="AY19" s="146"/>
      <c r="AZ19" s="141"/>
      <c r="BA19" s="142"/>
      <c r="BB19" s="141"/>
      <c r="BC19" s="141"/>
      <c r="BD19" s="141"/>
      <c r="BE19" s="141"/>
      <c r="BF19" s="141"/>
      <c r="BG19" s="141"/>
      <c r="BH19" s="141"/>
      <c r="BI19" s="141"/>
      <c r="BJ19" s="141"/>
      <c r="BK19" s="141"/>
      <c r="BL19" s="141"/>
      <c r="BM19" s="141"/>
      <c r="BN19" s="141"/>
      <c r="BO19" s="141"/>
      <c r="BP19" s="141"/>
      <c r="BQ19" s="141"/>
      <c r="BR19" s="141"/>
      <c r="BS19" s="146"/>
      <c r="BT19" s="141"/>
      <c r="BU19" s="141"/>
      <c r="BV19" s="141"/>
      <c r="BW19" s="141"/>
      <c r="BX19" s="141"/>
      <c r="BY19" s="141"/>
      <c r="BZ19" s="141"/>
      <c r="CA19" s="141"/>
      <c r="CB19" s="141"/>
      <c r="CC19" s="141"/>
      <c r="CD19" s="141"/>
      <c r="CE19" s="141"/>
      <c r="CF19" s="141"/>
      <c r="CG19" s="141"/>
      <c r="CH19" s="141"/>
      <c r="CI19" s="141"/>
      <c r="CJ19" s="141"/>
    </row>
    <row r="20" spans="1:88" ht="42" customHeight="1">
      <c r="A20" s="141"/>
      <c r="B20" s="142"/>
      <c r="C20" s="141"/>
      <c r="D20" s="141"/>
      <c r="E20" s="141"/>
      <c r="F20" s="141"/>
      <c r="G20" s="141"/>
      <c r="H20" s="141"/>
      <c r="I20" s="141"/>
      <c r="J20" s="141"/>
      <c r="K20" s="265" t="s">
        <v>42</v>
      </c>
      <c r="L20" s="222"/>
      <c r="M20" s="222"/>
      <c r="N20" s="222"/>
      <c r="O20" s="222"/>
      <c r="P20" s="222"/>
      <c r="Q20" s="223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265" t="s">
        <v>32</v>
      </c>
      <c r="AK20" s="222"/>
      <c r="AL20" s="222"/>
      <c r="AM20" s="222"/>
      <c r="AN20" s="222"/>
      <c r="AO20" s="222"/>
      <c r="AP20" s="223"/>
      <c r="AQ20" s="141"/>
      <c r="AR20" s="141"/>
      <c r="AS20" s="141"/>
      <c r="AT20" s="141"/>
      <c r="AU20" s="141"/>
      <c r="AV20" s="141"/>
      <c r="AW20" s="141"/>
      <c r="AX20" s="141"/>
      <c r="AY20" s="146"/>
      <c r="AZ20" s="141"/>
      <c r="BA20" s="142"/>
      <c r="BB20" s="153" t="s">
        <v>65</v>
      </c>
      <c r="BC20" s="141"/>
      <c r="BD20" s="6" t="s">
        <v>157</v>
      </c>
      <c r="BE20" s="141"/>
      <c r="BF20" s="6" t="s">
        <v>158</v>
      </c>
      <c r="BG20" s="141"/>
      <c r="BH20" s="141"/>
      <c r="BI20" s="141"/>
      <c r="BJ20" s="153" t="s">
        <v>506</v>
      </c>
      <c r="BK20" s="141"/>
      <c r="BL20" s="6" t="s">
        <v>157</v>
      </c>
      <c r="BM20" s="141"/>
      <c r="BN20" s="6" t="s">
        <v>158</v>
      </c>
      <c r="BO20" s="141"/>
      <c r="BP20" s="141"/>
      <c r="BQ20" s="141"/>
      <c r="BR20" s="141"/>
      <c r="BS20" s="146"/>
      <c r="BT20" s="141"/>
      <c r="BU20" s="141"/>
      <c r="BV20" s="141"/>
      <c r="BW20" s="141"/>
      <c r="BX20" s="141"/>
      <c r="BY20" s="141"/>
      <c r="BZ20" s="141"/>
      <c r="CA20" s="141"/>
      <c r="CB20" s="141"/>
      <c r="CC20" s="141"/>
      <c r="CD20" s="141"/>
      <c r="CE20" s="141"/>
      <c r="CF20" s="141"/>
      <c r="CG20" s="141"/>
      <c r="CH20" s="141"/>
      <c r="CI20" s="141"/>
      <c r="CJ20" s="141"/>
    </row>
    <row r="21" spans="1:88" ht="10" customHeight="1" thickBot="1">
      <c r="A21" s="141"/>
      <c r="B21" s="147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9"/>
      <c r="AZ21" s="141"/>
      <c r="BA21" s="147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9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</row>
    <row r="22" spans="1:88" ht="10" customHeight="1" thickBot="1">
      <c r="A22" s="141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1"/>
      <c r="AR22" s="141"/>
      <c r="AS22" s="141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1"/>
      <c r="BE22" s="141"/>
      <c r="BF22" s="141"/>
      <c r="BG22" s="141"/>
      <c r="BH22" s="141"/>
      <c r="BI22" s="141"/>
      <c r="BJ22" s="141"/>
      <c r="BK22" s="141"/>
      <c r="BL22" s="141"/>
      <c r="BM22" s="141"/>
      <c r="BN22" s="141"/>
      <c r="BO22" s="141"/>
      <c r="BP22" s="141"/>
      <c r="BQ22" s="141"/>
      <c r="BR22" s="141"/>
      <c r="BS22" s="141"/>
      <c r="BT22" s="141"/>
      <c r="BU22" s="141"/>
      <c r="BV22" s="141"/>
      <c r="BW22" s="141"/>
      <c r="BX22" s="141"/>
      <c r="BY22" s="141"/>
      <c r="BZ22" s="141"/>
      <c r="CA22" s="141"/>
      <c r="CB22" s="141"/>
      <c r="CC22" s="141"/>
      <c r="CD22" s="141"/>
      <c r="CE22" s="141"/>
      <c r="CF22" s="141"/>
      <c r="CG22" s="141"/>
      <c r="CH22" s="141"/>
      <c r="CI22" s="141"/>
      <c r="CJ22" s="141"/>
    </row>
    <row r="23" spans="1:88" ht="10" customHeight="1">
      <c r="A23" s="141"/>
      <c r="B23" s="143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4"/>
      <c r="AW23" s="144"/>
      <c r="AX23" s="144"/>
      <c r="AY23" s="145"/>
      <c r="AZ23" s="141"/>
      <c r="BA23" s="141"/>
      <c r="BB23" s="141"/>
      <c r="BC23" s="141"/>
      <c r="BD23" s="141"/>
      <c r="BE23" s="141"/>
      <c r="BF23" s="141"/>
      <c r="BG23" s="141"/>
      <c r="BH23" s="141"/>
      <c r="BI23" s="141"/>
      <c r="BJ23" s="141"/>
      <c r="BK23" s="141"/>
      <c r="BL23" s="141"/>
      <c r="BM23" s="141"/>
      <c r="BN23" s="141"/>
      <c r="BO23" s="141"/>
      <c r="BP23" s="141"/>
      <c r="BQ23" s="141"/>
      <c r="BR23" s="141"/>
      <c r="BS23" s="141"/>
      <c r="BT23" s="141"/>
      <c r="BU23" s="141"/>
      <c r="BV23" s="141"/>
      <c r="BW23" s="141"/>
      <c r="BX23" s="141"/>
      <c r="BY23" s="141"/>
      <c r="BZ23" s="141"/>
      <c r="CA23" s="141"/>
      <c r="CB23" s="141"/>
      <c r="CC23" s="141"/>
      <c r="CD23" s="141"/>
      <c r="CE23" s="141"/>
      <c r="CF23" s="141"/>
      <c r="CG23" s="141"/>
      <c r="CH23" s="141"/>
      <c r="CI23" s="141"/>
      <c r="CJ23" s="141"/>
    </row>
    <row r="24" spans="1:88" ht="15" customHeight="1">
      <c r="A24" s="141"/>
      <c r="B24" s="142"/>
      <c r="C24" s="226" t="s">
        <v>40</v>
      </c>
      <c r="D24" s="220"/>
      <c r="E24" s="220"/>
      <c r="F24" s="220"/>
      <c r="G24" s="220"/>
      <c r="H24" s="220"/>
      <c r="I24" s="220"/>
      <c r="J24" s="220"/>
      <c r="K24" s="220"/>
      <c r="L24" s="220"/>
      <c r="M24" s="220"/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20"/>
      <c r="AF24" s="220"/>
      <c r="AG24" s="220"/>
      <c r="AH24" s="220"/>
      <c r="AI24" s="220"/>
      <c r="AJ24" s="220"/>
      <c r="AK24" s="220"/>
      <c r="AL24" s="220"/>
      <c r="AM24" s="220"/>
      <c r="AN24" s="220"/>
      <c r="AO24" s="220"/>
      <c r="AP24" s="220"/>
      <c r="AQ24" s="220"/>
      <c r="AR24" s="220"/>
      <c r="AS24" s="220"/>
      <c r="AT24" s="220"/>
      <c r="AU24" s="220"/>
      <c r="AV24" s="220"/>
      <c r="AW24" s="220"/>
      <c r="AX24" s="220"/>
      <c r="AY24" s="146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141"/>
      <c r="BM24" s="141"/>
      <c r="BN24" s="141"/>
      <c r="BO24" s="141"/>
      <c r="BP24" s="141"/>
      <c r="BQ24" s="141"/>
      <c r="BR24" s="141"/>
      <c r="BS24" s="141"/>
      <c r="BT24" s="141"/>
      <c r="BU24" s="141"/>
      <c r="BV24" s="141"/>
      <c r="BW24" s="141"/>
      <c r="BX24" s="141"/>
      <c r="BY24" s="141"/>
      <c r="BZ24" s="141"/>
      <c r="CA24" s="141"/>
      <c r="CB24" s="141"/>
      <c r="CC24" s="141"/>
      <c r="CD24" s="141"/>
      <c r="CE24" s="141"/>
      <c r="CF24" s="141"/>
      <c r="CG24" s="141"/>
      <c r="CH24" s="141"/>
      <c r="CI24" s="141"/>
      <c r="CJ24" s="141"/>
    </row>
    <row r="25" spans="1:88" s="3" customFormat="1" ht="10" customHeight="1">
      <c r="A25" s="141"/>
      <c r="B25" s="142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6"/>
      <c r="AZ25" s="141"/>
      <c r="BA25" s="141"/>
      <c r="BB25" s="141"/>
      <c r="BC25" s="141"/>
      <c r="BD25" s="141"/>
      <c r="BE25" s="141"/>
      <c r="BF25" s="141"/>
      <c r="BG25" s="141"/>
      <c r="BH25" s="141"/>
      <c r="BI25" s="141"/>
      <c r="BJ25" s="141"/>
      <c r="BK25" s="141"/>
      <c r="BL25" s="141"/>
      <c r="BM25" s="141"/>
      <c r="BN25" s="141"/>
      <c r="BO25" s="141"/>
      <c r="BP25" s="141"/>
      <c r="BQ25" s="141"/>
      <c r="BR25" s="141"/>
      <c r="BS25" s="141"/>
      <c r="BT25" s="141"/>
      <c r="BU25" s="141"/>
      <c r="BV25" s="141"/>
      <c r="BW25" s="141"/>
      <c r="BX25" s="141"/>
      <c r="BY25" s="141"/>
      <c r="BZ25" s="141"/>
      <c r="CA25" s="141"/>
      <c r="CB25" s="141"/>
      <c r="CC25" s="141"/>
      <c r="CD25" s="141"/>
      <c r="CE25" s="141"/>
      <c r="CF25" s="141"/>
      <c r="CG25" s="141"/>
      <c r="CH25" s="141"/>
      <c r="CI25" s="141"/>
      <c r="CJ25" s="141"/>
    </row>
    <row r="26" spans="1:88" ht="15" customHeight="1">
      <c r="A26" s="141"/>
      <c r="B26" s="142"/>
      <c r="C26" s="219" t="s">
        <v>41</v>
      </c>
      <c r="D26" s="220"/>
      <c r="E26" s="220"/>
      <c r="F26" s="220"/>
      <c r="G26" s="220"/>
      <c r="H26" s="220"/>
      <c r="I26" s="220"/>
      <c r="J26" s="220"/>
      <c r="K26" s="220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  <c r="AH26" s="141"/>
      <c r="AI26" s="141"/>
      <c r="AJ26" s="141"/>
      <c r="AK26" s="141"/>
      <c r="AL26" s="141"/>
      <c r="AM26" s="141"/>
      <c r="AN26" s="141"/>
      <c r="AO26" s="141"/>
      <c r="AP26" s="141"/>
      <c r="AQ26" s="141"/>
      <c r="AR26" s="141"/>
      <c r="AS26" s="141"/>
      <c r="AT26" s="141"/>
      <c r="AU26" s="141"/>
      <c r="AV26" s="141"/>
      <c r="AW26" s="141"/>
      <c r="AX26" s="141"/>
      <c r="AY26" s="146"/>
      <c r="AZ26" s="141"/>
      <c r="BA26" s="141"/>
      <c r="BB26" s="141"/>
      <c r="BC26" s="141"/>
      <c r="BD26" s="141"/>
      <c r="BE26" s="141"/>
      <c r="BF26" s="141"/>
      <c r="BG26" s="141"/>
      <c r="BH26" s="141"/>
      <c r="BI26" s="141"/>
      <c r="BJ26" s="141"/>
      <c r="BK26" s="141"/>
      <c r="BL26" s="141"/>
      <c r="BM26" s="141"/>
      <c r="BN26" s="141"/>
      <c r="BO26" s="141"/>
      <c r="BP26" s="141"/>
      <c r="BQ26" s="141"/>
      <c r="BR26" s="141"/>
      <c r="BS26" s="141"/>
      <c r="BT26" s="141"/>
      <c r="BU26" s="141"/>
      <c r="BV26" s="141"/>
      <c r="BW26" s="141"/>
      <c r="BX26" s="141"/>
      <c r="BY26" s="141"/>
      <c r="BZ26" s="141"/>
      <c r="CA26" s="141"/>
      <c r="CB26" s="141"/>
      <c r="CC26" s="141"/>
      <c r="CD26" s="141"/>
      <c r="CE26" s="141"/>
      <c r="CF26" s="141"/>
      <c r="CG26" s="141"/>
      <c r="CH26" s="141"/>
      <c r="CI26" s="141"/>
      <c r="CJ26" s="141"/>
    </row>
    <row r="27" spans="1:88" ht="10" customHeight="1">
      <c r="A27" s="141"/>
      <c r="B27" s="142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1"/>
      <c r="AT27" s="141"/>
      <c r="AU27" s="141"/>
      <c r="AV27" s="141"/>
      <c r="AW27" s="141"/>
      <c r="AX27" s="141"/>
      <c r="AY27" s="146"/>
      <c r="AZ27" s="141"/>
      <c r="BA27" s="141"/>
      <c r="BB27" s="141"/>
      <c r="BC27" s="141"/>
      <c r="BD27" s="141"/>
      <c r="BE27" s="141"/>
      <c r="BF27" s="141"/>
      <c r="BG27" s="141"/>
      <c r="BH27" s="141"/>
      <c r="BI27" s="141"/>
      <c r="BJ27" s="141"/>
      <c r="BK27" s="141"/>
      <c r="BL27" s="141"/>
      <c r="BM27" s="141"/>
      <c r="BN27" s="141"/>
      <c r="BO27" s="141"/>
      <c r="BP27" s="141"/>
      <c r="BQ27" s="141"/>
      <c r="BR27" s="141"/>
      <c r="BS27" s="141"/>
      <c r="BT27" s="141"/>
      <c r="BU27" s="141"/>
      <c r="BV27" s="141"/>
      <c r="BW27" s="141"/>
      <c r="BX27" s="141"/>
      <c r="BY27" s="141"/>
      <c r="BZ27" s="141"/>
      <c r="CA27" s="141"/>
      <c r="CB27" s="141"/>
      <c r="CC27" s="141"/>
      <c r="CD27" s="141"/>
      <c r="CE27" s="141"/>
      <c r="CF27" s="141"/>
      <c r="CG27" s="141"/>
      <c r="CH27" s="141"/>
      <c r="CI27" s="141"/>
      <c r="CJ27" s="141"/>
    </row>
    <row r="28" spans="1:88" ht="42" customHeight="1">
      <c r="A28" s="141"/>
      <c r="B28" s="142"/>
      <c r="C28" s="255">
        <v>8.4884981944444438E-3</v>
      </c>
      <c r="D28" s="222"/>
      <c r="E28" s="222"/>
      <c r="F28" s="222"/>
      <c r="G28" s="222"/>
      <c r="H28" s="222"/>
      <c r="I28" s="222"/>
      <c r="J28" s="222"/>
      <c r="K28" s="222"/>
      <c r="L28" s="222"/>
      <c r="M28" s="222"/>
      <c r="N28" s="222"/>
      <c r="O28" s="222"/>
      <c r="P28" s="223"/>
      <c r="Q28" s="141"/>
      <c r="R28" s="256" t="s">
        <v>12</v>
      </c>
      <c r="S28" s="257"/>
      <c r="T28" s="257"/>
      <c r="U28" s="257"/>
      <c r="V28" s="257"/>
      <c r="W28" s="257"/>
      <c r="X28" s="258"/>
      <c r="Y28" s="141"/>
      <c r="Z28" s="256" t="s">
        <v>11</v>
      </c>
      <c r="AA28" s="257"/>
      <c r="AB28" s="257"/>
      <c r="AC28" s="257"/>
      <c r="AD28" s="257"/>
      <c r="AE28" s="257"/>
      <c r="AF28" s="258"/>
      <c r="AG28" s="141"/>
      <c r="AH28" s="256" t="s">
        <v>118</v>
      </c>
      <c r="AI28" s="257"/>
      <c r="AJ28" s="257"/>
      <c r="AK28" s="257"/>
      <c r="AL28" s="257"/>
      <c r="AM28" s="257"/>
      <c r="AN28" s="258"/>
      <c r="AO28" s="141"/>
      <c r="AP28" s="259" t="s">
        <v>13</v>
      </c>
      <c r="AQ28" s="260"/>
      <c r="AR28" s="260"/>
      <c r="AS28" s="260"/>
      <c r="AT28" s="260"/>
      <c r="AU28" s="260"/>
      <c r="AV28" s="261"/>
      <c r="AW28" s="141"/>
      <c r="AX28" s="141"/>
      <c r="AY28" s="146"/>
      <c r="AZ28" s="141"/>
      <c r="BA28" s="141"/>
      <c r="BB28" s="141"/>
      <c r="BC28" s="141"/>
      <c r="BD28" s="141"/>
      <c r="BE28" s="141"/>
      <c r="BF28" s="141"/>
      <c r="BG28" s="141"/>
      <c r="BH28" s="141"/>
      <c r="BI28" s="141"/>
      <c r="BJ28" s="141"/>
      <c r="BK28" s="141"/>
      <c r="BL28" s="141"/>
      <c r="BM28" s="141"/>
      <c r="BN28" s="141"/>
      <c r="BO28" s="141"/>
      <c r="BP28" s="141"/>
      <c r="BQ28" s="141"/>
      <c r="BR28" s="141"/>
      <c r="BS28" s="141"/>
      <c r="BT28" s="141"/>
      <c r="BU28" s="141"/>
      <c r="BV28" s="141"/>
      <c r="BW28" s="141"/>
      <c r="BX28" s="141"/>
      <c r="BY28" s="141"/>
      <c r="BZ28" s="141"/>
      <c r="CA28" s="141"/>
      <c r="CB28" s="141"/>
      <c r="CC28" s="141"/>
      <c r="CD28" s="141"/>
      <c r="CE28" s="141"/>
      <c r="CF28" s="141"/>
      <c r="CG28" s="141"/>
      <c r="CH28" s="141"/>
      <c r="CI28" s="141"/>
      <c r="CJ28" s="141"/>
    </row>
    <row r="29" spans="1:88" ht="90" customHeight="1" thickBot="1">
      <c r="A29" s="141"/>
      <c r="B29" s="147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9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</row>
    <row r="30" spans="1:88" ht="106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</row>
    <row r="31" spans="1:88" ht="10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</row>
    <row r="32" spans="1:88" ht="10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</row>
    <row r="33" spans="1:88" ht="15" customHeight="1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  <c r="AH33" s="141"/>
      <c r="AI33" s="141"/>
      <c r="AJ33" s="141"/>
      <c r="AK33" s="141"/>
      <c r="AL33" s="141"/>
      <c r="AM33" s="141"/>
      <c r="AN33" s="141"/>
      <c r="AO33" s="141"/>
      <c r="AP33" s="141"/>
      <c r="AQ33" s="141"/>
      <c r="AR33" s="141"/>
      <c r="AS33" s="141"/>
      <c r="AT33" s="141"/>
      <c r="AU33" s="141"/>
      <c r="AV33" s="141"/>
      <c r="AW33" s="141"/>
      <c r="AX33" s="141"/>
      <c r="AY33" s="141"/>
      <c r="AZ33" s="141"/>
      <c r="BA33" s="141"/>
      <c r="BB33" s="141"/>
      <c r="BC33" s="141"/>
      <c r="BD33" s="141"/>
      <c r="BE33" s="141"/>
      <c r="BF33" s="141"/>
      <c r="BG33" s="141"/>
      <c r="BH33" s="141"/>
      <c r="BI33" s="141"/>
      <c r="BJ33" s="141"/>
      <c r="BK33" s="141"/>
      <c r="BL33" s="141"/>
      <c r="BM33" s="141"/>
      <c r="BN33" s="141"/>
      <c r="BO33" s="141"/>
      <c r="BP33" s="141"/>
      <c r="BQ33" s="141"/>
      <c r="BR33" s="141"/>
      <c r="BS33" s="141"/>
      <c r="BT33" s="141"/>
      <c r="BU33" s="141"/>
      <c r="BV33" s="141"/>
      <c r="BW33" s="141"/>
      <c r="BX33" s="141"/>
      <c r="BY33" s="141"/>
      <c r="BZ33" s="141"/>
      <c r="CA33" s="141"/>
      <c r="CB33" s="141"/>
      <c r="CC33" s="141"/>
      <c r="CD33" s="141"/>
      <c r="CE33" s="141"/>
      <c r="CF33" s="141"/>
      <c r="CG33" s="141"/>
      <c r="CH33" s="141"/>
      <c r="CI33" s="141"/>
      <c r="CJ33" s="141"/>
    </row>
    <row r="34" spans="1:88" ht="15" customHeight="1">
      <c r="A34" s="141"/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141"/>
      <c r="AM34" s="141"/>
      <c r="AN34" s="141"/>
      <c r="AO34" s="141"/>
      <c r="AP34" s="141"/>
      <c r="AQ34" s="141"/>
      <c r="AR34" s="141"/>
      <c r="AS34" s="141"/>
      <c r="AT34" s="141"/>
      <c r="AU34" s="141"/>
      <c r="AV34" s="141"/>
      <c r="AW34" s="141"/>
      <c r="AX34" s="141"/>
      <c r="AY34" s="141"/>
      <c r="AZ34" s="141"/>
      <c r="BA34" s="141"/>
      <c r="BB34" s="141"/>
      <c r="BC34" s="141"/>
      <c r="BD34" s="141"/>
      <c r="BE34" s="141"/>
      <c r="BF34" s="141"/>
      <c r="BG34" s="141"/>
      <c r="BH34" s="141"/>
      <c r="BI34" s="141"/>
      <c r="BJ34" s="141"/>
      <c r="BK34" s="141"/>
      <c r="BL34" s="141"/>
      <c r="BM34" s="141"/>
      <c r="BN34" s="141"/>
      <c r="BO34" s="141"/>
      <c r="BP34" s="141"/>
      <c r="BQ34" s="141"/>
      <c r="BR34" s="141"/>
      <c r="BS34" s="141"/>
      <c r="BT34" s="141"/>
      <c r="BU34" s="141"/>
      <c r="BV34" s="141"/>
      <c r="BW34" s="141"/>
      <c r="BX34" s="141"/>
      <c r="BY34" s="141"/>
      <c r="BZ34" s="141"/>
      <c r="CA34" s="141"/>
      <c r="CB34" s="141"/>
      <c r="CC34" s="141"/>
      <c r="CD34" s="141"/>
      <c r="CE34" s="141"/>
      <c r="CF34" s="141"/>
      <c r="CG34" s="141"/>
      <c r="CH34" s="141"/>
      <c r="CI34" s="141"/>
      <c r="CJ34" s="141"/>
    </row>
    <row r="35" spans="1:88" ht="15" customHeight="1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1"/>
      <c r="AJ35" s="141"/>
      <c r="AK35" s="141"/>
      <c r="AL35" s="141"/>
      <c r="AM35" s="141"/>
      <c r="AN35" s="141"/>
      <c r="AO35" s="141"/>
      <c r="AP35" s="141"/>
      <c r="AQ35" s="141"/>
      <c r="AR35" s="141"/>
      <c r="AS35" s="141"/>
      <c r="AT35" s="141"/>
      <c r="AU35" s="141"/>
      <c r="AV35" s="141"/>
      <c r="AW35" s="141"/>
      <c r="AX35" s="141"/>
      <c r="AY35" s="141"/>
      <c r="AZ35" s="141"/>
      <c r="BA35" s="141"/>
      <c r="BB35" s="141"/>
      <c r="BC35" s="141"/>
      <c r="BD35" s="141"/>
      <c r="BE35" s="141"/>
      <c r="BF35" s="141"/>
      <c r="BG35" s="141"/>
      <c r="BH35" s="141"/>
      <c r="BI35" s="141"/>
      <c r="BJ35" s="141"/>
      <c r="BK35" s="141"/>
      <c r="BL35" s="141"/>
      <c r="BM35" s="141"/>
      <c r="BN35" s="141"/>
      <c r="BO35" s="141"/>
      <c r="BP35" s="141"/>
      <c r="BQ35" s="141"/>
      <c r="BR35" s="141"/>
      <c r="BS35" s="141"/>
      <c r="BT35" s="141"/>
      <c r="BU35" s="141"/>
      <c r="BV35" s="141"/>
      <c r="BW35" s="141"/>
      <c r="BX35" s="141"/>
      <c r="BY35" s="141"/>
      <c r="BZ35" s="141"/>
      <c r="CA35" s="141"/>
      <c r="CB35" s="141"/>
      <c r="CC35" s="141"/>
      <c r="CD35" s="141"/>
      <c r="CE35" s="141"/>
      <c r="CF35" s="141"/>
      <c r="CG35" s="141"/>
      <c r="CH35" s="141"/>
      <c r="CI35" s="141"/>
      <c r="CJ35" s="141"/>
    </row>
    <row r="36" spans="1:88" ht="15" customHeight="1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41"/>
      <c r="Z36" s="141"/>
      <c r="AA36" s="141"/>
      <c r="AB36" s="141"/>
      <c r="AC36" s="141"/>
      <c r="AD36" s="141"/>
      <c r="AE36" s="141"/>
      <c r="AF36" s="141"/>
      <c r="AG36" s="141"/>
      <c r="AH36" s="141"/>
      <c r="AI36" s="141"/>
      <c r="AJ36" s="141"/>
      <c r="AK36" s="141"/>
      <c r="AL36" s="141"/>
      <c r="AM36" s="141"/>
      <c r="AN36" s="141"/>
      <c r="AO36" s="141"/>
      <c r="AP36" s="141"/>
      <c r="AQ36" s="141"/>
      <c r="AR36" s="141"/>
      <c r="AS36" s="141"/>
      <c r="AT36" s="141"/>
      <c r="AU36" s="141"/>
      <c r="AV36" s="141"/>
      <c r="AW36" s="141"/>
      <c r="AX36" s="141"/>
      <c r="AY36" s="141"/>
      <c r="AZ36" s="141"/>
      <c r="BA36" s="141"/>
      <c r="BB36" s="141"/>
      <c r="BC36" s="141"/>
      <c r="BD36" s="141"/>
      <c r="BE36" s="141"/>
      <c r="BF36" s="141"/>
      <c r="BG36" s="141"/>
      <c r="BH36" s="141"/>
      <c r="BI36" s="141"/>
      <c r="BJ36" s="141"/>
      <c r="BK36" s="141"/>
      <c r="BL36" s="141"/>
      <c r="BM36" s="141"/>
      <c r="BN36" s="141"/>
      <c r="BO36" s="141"/>
      <c r="BP36" s="141"/>
      <c r="BQ36" s="141"/>
      <c r="BR36" s="141"/>
      <c r="BS36" s="141"/>
      <c r="BT36" s="141"/>
      <c r="BU36" s="141"/>
      <c r="BV36" s="141"/>
      <c r="BW36" s="141"/>
      <c r="BX36" s="141"/>
      <c r="BY36" s="141"/>
      <c r="BZ36" s="141"/>
      <c r="CA36" s="141"/>
      <c r="CB36" s="141"/>
      <c r="CC36" s="141"/>
      <c r="CD36" s="141"/>
      <c r="CE36" s="141"/>
      <c r="CF36" s="141"/>
      <c r="CG36" s="141"/>
      <c r="CH36" s="141"/>
      <c r="CI36" s="141"/>
      <c r="CJ36" s="141"/>
    </row>
    <row r="37" spans="1:88" ht="15" customHeight="1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1"/>
      <c r="AP37" s="141"/>
      <c r="AQ37" s="141"/>
      <c r="AR37" s="141"/>
      <c r="AS37" s="141"/>
      <c r="AT37" s="141"/>
      <c r="AU37" s="141"/>
      <c r="AV37" s="141"/>
      <c r="AW37" s="141"/>
      <c r="AX37" s="141"/>
      <c r="AY37" s="141"/>
      <c r="AZ37" s="141"/>
      <c r="BA37" s="141"/>
      <c r="BB37" s="141"/>
      <c r="BC37" s="141"/>
      <c r="BD37" s="141"/>
      <c r="BE37" s="141"/>
      <c r="BF37" s="141"/>
      <c r="BG37" s="141"/>
      <c r="BH37" s="141"/>
      <c r="BI37" s="141"/>
      <c r="BJ37" s="141"/>
      <c r="BK37" s="141"/>
      <c r="BL37" s="141"/>
      <c r="BM37" s="141"/>
      <c r="BN37" s="141"/>
      <c r="BO37" s="141"/>
      <c r="BP37" s="141"/>
      <c r="BQ37" s="141"/>
      <c r="BR37" s="141"/>
      <c r="BS37" s="141"/>
      <c r="BT37" s="141"/>
      <c r="BU37" s="141"/>
      <c r="BV37" s="141"/>
      <c r="BW37" s="141"/>
      <c r="BX37" s="141"/>
      <c r="BY37" s="141"/>
      <c r="BZ37" s="141"/>
      <c r="CA37" s="141"/>
      <c r="CB37" s="141"/>
      <c r="CC37" s="141"/>
      <c r="CD37" s="141"/>
      <c r="CE37" s="141"/>
      <c r="CF37" s="141"/>
      <c r="CG37" s="141"/>
      <c r="CH37" s="141"/>
      <c r="CI37" s="141"/>
      <c r="CJ37" s="141"/>
    </row>
    <row r="38" spans="1:88" ht="15" customHeight="1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1"/>
      <c r="AD38" s="141"/>
      <c r="AE38" s="141"/>
      <c r="AF38" s="141"/>
      <c r="AG38" s="141"/>
      <c r="AH38" s="141"/>
      <c r="AI38" s="141"/>
      <c r="AJ38" s="141"/>
      <c r="AK38" s="141"/>
      <c r="AL38" s="141"/>
      <c r="AM38" s="141"/>
      <c r="AN38" s="141"/>
      <c r="AO38" s="141"/>
      <c r="AP38" s="141"/>
      <c r="AQ38" s="141"/>
      <c r="AR38" s="141"/>
      <c r="AS38" s="141"/>
      <c r="AT38" s="141"/>
      <c r="AU38" s="141"/>
      <c r="AV38" s="141"/>
      <c r="AW38" s="141"/>
      <c r="AX38" s="141"/>
      <c r="AY38" s="141"/>
      <c r="AZ38" s="141"/>
      <c r="BA38" s="141"/>
      <c r="BB38" s="141"/>
      <c r="BC38" s="141"/>
      <c r="BD38" s="141"/>
      <c r="BE38" s="141"/>
      <c r="BF38" s="141"/>
      <c r="BG38" s="141"/>
      <c r="BH38" s="141"/>
      <c r="BI38" s="141"/>
      <c r="BJ38" s="141"/>
      <c r="BK38" s="141"/>
      <c r="BL38" s="141"/>
      <c r="BM38" s="141"/>
      <c r="BN38" s="141"/>
      <c r="BO38" s="141"/>
      <c r="BP38" s="141"/>
      <c r="BQ38" s="141"/>
      <c r="BR38" s="141"/>
      <c r="BS38" s="141"/>
      <c r="BT38" s="141"/>
      <c r="BU38" s="141"/>
      <c r="BV38" s="141"/>
      <c r="BW38" s="141"/>
      <c r="BX38" s="141"/>
      <c r="BY38" s="141"/>
      <c r="BZ38" s="141"/>
      <c r="CA38" s="141"/>
      <c r="CB38" s="141"/>
      <c r="CC38" s="141"/>
      <c r="CD38" s="141"/>
      <c r="CE38" s="141"/>
      <c r="CF38" s="141"/>
      <c r="CG38" s="141"/>
      <c r="CH38" s="141"/>
      <c r="CI38" s="141"/>
      <c r="CJ38" s="141"/>
    </row>
    <row r="39" spans="1:88" ht="15" customHeight="1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  <c r="Y39" s="141"/>
      <c r="Z39" s="141"/>
      <c r="AA39" s="141"/>
      <c r="AB39" s="141"/>
      <c r="AC39" s="141"/>
      <c r="AD39" s="141"/>
      <c r="AE39" s="141"/>
      <c r="AF39" s="141"/>
      <c r="AG39" s="141"/>
      <c r="AH39" s="141"/>
      <c r="AI39" s="141"/>
      <c r="AJ39" s="141"/>
      <c r="AK39" s="141"/>
      <c r="AL39" s="141"/>
      <c r="AM39" s="141"/>
      <c r="AN39" s="141"/>
      <c r="AO39" s="141"/>
      <c r="AP39" s="141"/>
      <c r="AQ39" s="141"/>
      <c r="AR39" s="141"/>
      <c r="AS39" s="141"/>
      <c r="AT39" s="141"/>
      <c r="AU39" s="141"/>
      <c r="AV39" s="141"/>
      <c r="AW39" s="141"/>
      <c r="AX39" s="141"/>
      <c r="AY39" s="141"/>
      <c r="AZ39" s="141"/>
      <c r="BA39" s="141"/>
      <c r="BB39" s="141"/>
      <c r="BC39" s="141"/>
      <c r="BD39" s="141"/>
      <c r="BE39" s="141"/>
      <c r="BF39" s="141"/>
      <c r="BG39" s="141"/>
      <c r="BH39" s="141"/>
      <c r="BI39" s="141"/>
      <c r="BJ39" s="141"/>
      <c r="BK39" s="141"/>
      <c r="BL39" s="141"/>
      <c r="BM39" s="141"/>
      <c r="BN39" s="141"/>
      <c r="BO39" s="141"/>
      <c r="BP39" s="141"/>
      <c r="BQ39" s="141"/>
      <c r="BR39" s="141"/>
      <c r="BS39" s="141"/>
      <c r="BT39" s="141"/>
      <c r="BU39" s="141"/>
      <c r="BV39" s="141"/>
      <c r="BW39" s="141"/>
      <c r="BX39" s="141"/>
      <c r="BY39" s="141"/>
      <c r="BZ39" s="141"/>
      <c r="CA39" s="141"/>
      <c r="CB39" s="141"/>
      <c r="CC39" s="141"/>
      <c r="CD39" s="141"/>
      <c r="CE39" s="141"/>
      <c r="CF39" s="141"/>
      <c r="CG39" s="141"/>
      <c r="CH39" s="141"/>
      <c r="CI39" s="141"/>
      <c r="CJ39" s="141"/>
    </row>
    <row r="40" spans="1:88" ht="15" customHeight="1">
      <c r="A40" s="141"/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  <c r="AC40" s="141"/>
      <c r="AD40" s="141"/>
      <c r="AE40" s="141"/>
      <c r="AF40" s="141"/>
      <c r="AG40" s="141"/>
      <c r="AH40" s="141"/>
      <c r="AI40" s="141"/>
      <c r="AJ40" s="141"/>
      <c r="AK40" s="141"/>
      <c r="AL40" s="141"/>
      <c r="AM40" s="141"/>
      <c r="AN40" s="141"/>
      <c r="AO40" s="141"/>
      <c r="AP40" s="141"/>
      <c r="AQ40" s="141"/>
      <c r="AR40" s="141"/>
      <c r="AS40" s="141"/>
      <c r="AT40" s="141"/>
      <c r="AU40" s="141"/>
      <c r="AV40" s="141"/>
      <c r="AW40" s="141"/>
      <c r="AX40" s="141"/>
      <c r="AY40" s="141"/>
      <c r="AZ40" s="141"/>
      <c r="BA40" s="141"/>
      <c r="BB40" s="141"/>
      <c r="BC40" s="141"/>
      <c r="BD40" s="141"/>
      <c r="BE40" s="141"/>
      <c r="BF40" s="141"/>
      <c r="BG40" s="141"/>
      <c r="BH40" s="141"/>
      <c r="BI40" s="141"/>
      <c r="BJ40" s="141"/>
      <c r="BK40" s="141"/>
      <c r="BL40" s="141"/>
      <c r="BM40" s="141"/>
      <c r="BN40" s="141"/>
      <c r="BO40" s="141"/>
      <c r="BP40" s="141"/>
      <c r="BQ40" s="141"/>
      <c r="BR40" s="141"/>
      <c r="BS40" s="141"/>
      <c r="BT40" s="141"/>
      <c r="BU40" s="141"/>
      <c r="BV40" s="141"/>
      <c r="BW40" s="141"/>
      <c r="BX40" s="141"/>
      <c r="BY40" s="141"/>
      <c r="BZ40" s="141"/>
      <c r="CA40" s="141"/>
      <c r="CB40" s="141"/>
      <c r="CC40" s="141"/>
      <c r="CD40" s="141"/>
      <c r="CE40" s="141"/>
      <c r="CF40" s="141"/>
      <c r="CG40" s="141"/>
      <c r="CH40" s="141"/>
      <c r="CI40" s="141"/>
      <c r="CJ40" s="141"/>
    </row>
    <row r="41" spans="1:88" ht="15" customHeight="1">
      <c r="A41" s="141"/>
      <c r="B41" s="141"/>
      <c r="C41" s="141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  <c r="AC41" s="141"/>
      <c r="AD41" s="141"/>
      <c r="AE41" s="141"/>
      <c r="AF41" s="141"/>
      <c r="AG41" s="141"/>
      <c r="AH41" s="141"/>
      <c r="AI41" s="141"/>
      <c r="AJ41" s="141"/>
      <c r="AK41" s="141"/>
      <c r="AL41" s="141"/>
      <c r="AM41" s="141"/>
      <c r="AN41" s="141"/>
      <c r="AO41" s="141"/>
      <c r="AP41" s="141"/>
      <c r="AQ41" s="141"/>
      <c r="AR41" s="141"/>
      <c r="AS41" s="141"/>
      <c r="AT41" s="141"/>
      <c r="AU41" s="141"/>
      <c r="AV41" s="141"/>
      <c r="AW41" s="141"/>
      <c r="AX41" s="141"/>
      <c r="AY41" s="141"/>
      <c r="AZ41" s="141"/>
      <c r="BA41" s="141"/>
      <c r="BB41" s="141"/>
      <c r="BC41" s="141"/>
      <c r="BD41" s="141"/>
      <c r="BE41" s="141"/>
      <c r="BF41" s="141"/>
      <c r="BG41" s="141"/>
      <c r="BH41" s="141"/>
      <c r="BI41" s="141"/>
      <c r="BJ41" s="141"/>
      <c r="BK41" s="141"/>
      <c r="BL41" s="141"/>
      <c r="BM41" s="141"/>
      <c r="BN41" s="141"/>
      <c r="BO41" s="141"/>
      <c r="BP41" s="141"/>
      <c r="BQ41" s="141"/>
      <c r="BR41" s="141"/>
      <c r="BS41" s="141"/>
      <c r="BT41" s="141"/>
      <c r="BU41" s="141"/>
      <c r="BV41" s="141"/>
      <c r="BW41" s="141"/>
      <c r="BX41" s="141"/>
      <c r="BY41" s="141"/>
      <c r="BZ41" s="141"/>
      <c r="CA41" s="141"/>
      <c r="CB41" s="141"/>
      <c r="CC41" s="141"/>
      <c r="CD41" s="141"/>
      <c r="CE41" s="141"/>
      <c r="CF41" s="141"/>
      <c r="CG41" s="141"/>
      <c r="CH41" s="141"/>
      <c r="CI41" s="141"/>
      <c r="CJ41" s="141"/>
    </row>
    <row r="42" spans="1:88" ht="15" customHeight="1">
      <c r="A42" s="141"/>
      <c r="B42" s="141"/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  <c r="AC42" s="141"/>
      <c r="AD42" s="141"/>
      <c r="AE42" s="141"/>
      <c r="AF42" s="141"/>
      <c r="AG42" s="141"/>
      <c r="AH42" s="141"/>
      <c r="AI42" s="141"/>
      <c r="AJ42" s="141"/>
      <c r="AK42" s="141"/>
      <c r="AL42" s="141"/>
      <c r="AM42" s="141"/>
      <c r="AN42" s="141"/>
      <c r="AO42" s="141"/>
      <c r="AP42" s="141"/>
      <c r="AQ42" s="141"/>
      <c r="AR42" s="141"/>
      <c r="AS42" s="141"/>
      <c r="AT42" s="141"/>
      <c r="AU42" s="141"/>
      <c r="AV42" s="141"/>
      <c r="AW42" s="141"/>
      <c r="AX42" s="141"/>
      <c r="AY42" s="141"/>
      <c r="AZ42" s="141"/>
      <c r="BA42" s="141"/>
      <c r="BB42" s="141"/>
      <c r="BC42" s="141"/>
      <c r="BD42" s="141"/>
      <c r="BE42" s="141"/>
      <c r="BF42" s="141"/>
      <c r="BG42" s="141"/>
      <c r="BH42" s="141"/>
      <c r="BI42" s="141"/>
      <c r="BJ42" s="141"/>
      <c r="BK42" s="141"/>
      <c r="BL42" s="141"/>
      <c r="BM42" s="141"/>
      <c r="BN42" s="141"/>
      <c r="BO42" s="141"/>
      <c r="BP42" s="141"/>
      <c r="BQ42" s="141"/>
      <c r="BR42" s="141"/>
      <c r="BS42" s="141"/>
      <c r="BT42" s="141"/>
      <c r="BU42" s="141"/>
      <c r="BV42" s="141"/>
      <c r="BW42" s="141"/>
      <c r="BX42" s="141"/>
      <c r="BY42" s="141"/>
      <c r="BZ42" s="141"/>
      <c r="CA42" s="141"/>
      <c r="CB42" s="141"/>
      <c r="CC42" s="141"/>
      <c r="CD42" s="141"/>
      <c r="CE42" s="141"/>
      <c r="CF42" s="141"/>
      <c r="CG42" s="141"/>
      <c r="CH42" s="141"/>
      <c r="CI42" s="141"/>
      <c r="CJ42" s="141"/>
    </row>
    <row r="43" spans="1:88" s="3" customFormat="1" ht="15" customHeight="1">
      <c r="A43" s="141"/>
      <c r="B43" s="141"/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41"/>
      <c r="AJ43" s="141"/>
      <c r="AK43" s="141"/>
      <c r="AL43" s="141"/>
      <c r="AM43" s="141"/>
      <c r="AN43" s="141"/>
      <c r="AO43" s="141"/>
      <c r="AP43" s="141"/>
      <c r="AQ43" s="141"/>
      <c r="AR43" s="141"/>
      <c r="AS43" s="141"/>
      <c r="AT43" s="141"/>
      <c r="AU43" s="141"/>
      <c r="AV43" s="141"/>
      <c r="AW43" s="141"/>
      <c r="AX43" s="141"/>
      <c r="AY43" s="141"/>
      <c r="AZ43" s="141"/>
      <c r="BA43" s="141"/>
      <c r="BB43" s="141"/>
      <c r="BC43" s="141"/>
      <c r="BD43" s="141"/>
      <c r="BE43" s="141"/>
      <c r="BF43" s="141"/>
      <c r="BG43" s="141"/>
      <c r="BH43" s="141"/>
      <c r="BI43" s="141"/>
      <c r="BJ43" s="141"/>
      <c r="BK43" s="141"/>
      <c r="BL43" s="141"/>
      <c r="BM43" s="141"/>
      <c r="BN43" s="141"/>
      <c r="BO43" s="141"/>
      <c r="BP43" s="141"/>
      <c r="BQ43" s="141"/>
      <c r="BR43" s="141"/>
      <c r="BS43" s="141"/>
      <c r="BT43" s="141"/>
      <c r="BU43" s="141"/>
      <c r="BV43" s="141"/>
      <c r="BW43" s="141"/>
      <c r="BX43" s="141"/>
      <c r="BY43" s="141"/>
      <c r="BZ43" s="141"/>
      <c r="CA43" s="141"/>
      <c r="CB43" s="141"/>
      <c r="CC43" s="141"/>
      <c r="CD43" s="141"/>
      <c r="CE43" s="141"/>
      <c r="CF43" s="141"/>
      <c r="CG43" s="141"/>
      <c r="CH43" s="141"/>
      <c r="CI43" s="141"/>
      <c r="CJ43" s="141"/>
    </row>
    <row r="44" spans="1:88" ht="15" customHeight="1">
      <c r="A44" s="141"/>
      <c r="B44" s="141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1"/>
      <c r="CA44" s="141"/>
      <c r="CB44" s="141"/>
      <c r="CC44" s="141"/>
      <c r="CD44" s="141"/>
      <c r="CE44" s="141"/>
      <c r="CF44" s="141"/>
      <c r="CG44" s="141"/>
      <c r="CH44" s="141"/>
      <c r="CI44" s="141"/>
      <c r="CJ44" s="141"/>
    </row>
    <row r="45" spans="1:88" ht="15" customHeight="1">
      <c r="A45" s="141"/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1"/>
      <c r="AP45" s="141"/>
      <c r="AQ45" s="141"/>
      <c r="AR45" s="141"/>
      <c r="AS45" s="141"/>
      <c r="AT45" s="141"/>
      <c r="AU45" s="141"/>
      <c r="AV45" s="141"/>
      <c r="AW45" s="141"/>
      <c r="AX45" s="141"/>
      <c r="AY45" s="141"/>
      <c r="AZ45" s="141"/>
      <c r="BA45" s="141"/>
      <c r="BB45" s="141"/>
      <c r="BC45" s="141"/>
      <c r="BD45" s="141"/>
      <c r="BE45" s="141"/>
      <c r="BF45" s="141"/>
      <c r="BG45" s="141"/>
      <c r="BH45" s="141"/>
      <c r="BI45" s="141"/>
      <c r="BJ45" s="141"/>
      <c r="BK45" s="141"/>
      <c r="BL45" s="141"/>
      <c r="BM45" s="141"/>
      <c r="BN45" s="141"/>
      <c r="BO45" s="141"/>
      <c r="BP45" s="141"/>
      <c r="BQ45" s="141"/>
      <c r="BR45" s="141"/>
      <c r="BS45" s="141"/>
      <c r="BT45" s="141"/>
      <c r="BU45" s="141"/>
      <c r="BV45" s="141"/>
      <c r="BW45" s="141"/>
      <c r="BX45" s="141"/>
      <c r="BY45" s="141"/>
      <c r="BZ45" s="141"/>
      <c r="CA45" s="141"/>
      <c r="CB45" s="141"/>
      <c r="CC45" s="141"/>
      <c r="CD45" s="141"/>
      <c r="CE45" s="141"/>
      <c r="CF45" s="141"/>
      <c r="CG45" s="141"/>
      <c r="CH45" s="141"/>
      <c r="CI45" s="141"/>
      <c r="CJ45" s="141"/>
    </row>
    <row r="46" spans="1:88" ht="15" customHeight="1">
      <c r="A46" s="141"/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  <c r="AC46" s="141"/>
      <c r="AD46" s="141"/>
      <c r="AE46" s="141"/>
      <c r="AF46" s="141"/>
      <c r="AG46" s="141"/>
      <c r="AH46" s="141"/>
      <c r="AI46" s="141"/>
      <c r="AJ46" s="141"/>
      <c r="AK46" s="141"/>
      <c r="AL46" s="141"/>
      <c r="AM46" s="141"/>
      <c r="AN46" s="141"/>
      <c r="AO46" s="141"/>
      <c r="AP46" s="141"/>
      <c r="AQ46" s="141"/>
      <c r="AR46" s="141"/>
      <c r="AS46" s="141"/>
      <c r="AT46" s="141"/>
      <c r="AU46" s="141"/>
      <c r="AV46" s="141"/>
      <c r="AW46" s="141"/>
      <c r="AX46" s="141"/>
      <c r="AY46" s="141"/>
      <c r="AZ46" s="141"/>
      <c r="BA46" s="141"/>
      <c r="BB46" s="141"/>
      <c r="BC46" s="141"/>
      <c r="BD46" s="141"/>
      <c r="BE46" s="141"/>
      <c r="BF46" s="141"/>
      <c r="BG46" s="141"/>
      <c r="BH46" s="141"/>
      <c r="BI46" s="141"/>
      <c r="BJ46" s="141"/>
      <c r="BK46" s="141"/>
      <c r="BL46" s="141"/>
      <c r="BM46" s="141"/>
      <c r="BN46" s="141"/>
      <c r="BO46" s="141"/>
      <c r="BP46" s="141"/>
      <c r="BQ46" s="141"/>
      <c r="BR46" s="141"/>
      <c r="BS46" s="141"/>
      <c r="BT46" s="141"/>
      <c r="BU46" s="141"/>
      <c r="BV46" s="141"/>
      <c r="BW46" s="141"/>
      <c r="BX46" s="141"/>
      <c r="BY46" s="141"/>
      <c r="BZ46" s="141"/>
      <c r="CA46" s="141"/>
      <c r="CB46" s="141"/>
      <c r="CC46" s="141"/>
      <c r="CD46" s="141"/>
      <c r="CE46" s="141"/>
      <c r="CF46" s="141"/>
      <c r="CG46" s="141"/>
      <c r="CH46" s="141"/>
      <c r="CI46" s="141"/>
      <c r="CJ46" s="141"/>
    </row>
    <row r="47" spans="1:88" ht="15" customHeight="1">
      <c r="A47" s="141"/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41"/>
      <c r="AC47" s="141"/>
      <c r="AD47" s="141"/>
      <c r="AE47" s="141"/>
      <c r="AF47" s="141"/>
      <c r="AG47" s="141"/>
      <c r="AH47" s="141"/>
      <c r="AI47" s="141"/>
      <c r="AJ47" s="141"/>
      <c r="AK47" s="141"/>
      <c r="AL47" s="141"/>
      <c r="AM47" s="141"/>
      <c r="AN47" s="141"/>
      <c r="AO47" s="141"/>
      <c r="AP47" s="141"/>
      <c r="AQ47" s="141"/>
      <c r="AR47" s="141"/>
      <c r="AS47" s="141"/>
      <c r="AT47" s="141"/>
      <c r="AU47" s="141"/>
      <c r="AV47" s="141"/>
      <c r="AW47" s="141"/>
      <c r="AX47" s="141"/>
      <c r="AY47" s="141"/>
      <c r="AZ47" s="141"/>
      <c r="BA47" s="141"/>
      <c r="BB47" s="141"/>
      <c r="BC47" s="141"/>
      <c r="BD47" s="141"/>
      <c r="BE47" s="141"/>
      <c r="BF47" s="141"/>
      <c r="BG47" s="141"/>
      <c r="BH47" s="141"/>
      <c r="BI47" s="141"/>
      <c r="BJ47" s="141"/>
      <c r="BK47" s="141"/>
      <c r="BL47" s="141"/>
      <c r="BM47" s="141"/>
      <c r="BN47" s="141"/>
      <c r="BO47" s="141"/>
      <c r="BP47" s="141"/>
      <c r="BQ47" s="141"/>
      <c r="BR47" s="141"/>
      <c r="BS47" s="141"/>
      <c r="BT47" s="141"/>
      <c r="BU47" s="141"/>
      <c r="BV47" s="141"/>
      <c r="BW47" s="141"/>
      <c r="BX47" s="141"/>
      <c r="BY47" s="141"/>
      <c r="BZ47" s="141"/>
      <c r="CA47" s="141"/>
      <c r="CB47" s="141"/>
      <c r="CC47" s="141"/>
      <c r="CD47" s="141"/>
      <c r="CE47" s="141"/>
      <c r="CF47" s="141"/>
      <c r="CG47" s="141"/>
      <c r="CH47" s="141"/>
      <c r="CI47" s="141"/>
      <c r="CJ47" s="141"/>
    </row>
    <row r="48" spans="1:88" ht="15" customHeight="1">
      <c r="A48" s="141"/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  <c r="AC48" s="141"/>
      <c r="AD48" s="141"/>
      <c r="AE48" s="141"/>
      <c r="AF48" s="141"/>
      <c r="AG48" s="141"/>
      <c r="AH48" s="141"/>
      <c r="AI48" s="141"/>
      <c r="AJ48" s="141"/>
      <c r="AK48" s="141"/>
      <c r="AL48" s="141"/>
      <c r="AM48" s="141"/>
      <c r="AN48" s="141"/>
      <c r="AO48" s="141"/>
      <c r="AP48" s="141"/>
      <c r="AQ48" s="141"/>
      <c r="AR48" s="141"/>
      <c r="AS48" s="141"/>
      <c r="AT48" s="141"/>
      <c r="AU48" s="141"/>
      <c r="AV48" s="141"/>
      <c r="AW48" s="141"/>
      <c r="AX48" s="141"/>
      <c r="AY48" s="141"/>
      <c r="AZ48" s="141"/>
      <c r="BA48" s="141"/>
      <c r="BB48" s="141"/>
      <c r="BC48" s="141"/>
      <c r="BD48" s="141"/>
      <c r="BE48" s="141"/>
      <c r="BF48" s="141"/>
      <c r="BG48" s="141"/>
      <c r="BH48" s="141"/>
      <c r="BI48" s="141"/>
      <c r="BJ48" s="141"/>
      <c r="BK48" s="141"/>
      <c r="BL48" s="141"/>
      <c r="BM48" s="141"/>
      <c r="BN48" s="141"/>
      <c r="BO48" s="141"/>
      <c r="BP48" s="141"/>
      <c r="BQ48" s="141"/>
      <c r="BR48" s="141"/>
      <c r="BS48" s="141"/>
      <c r="BT48" s="141"/>
      <c r="BU48" s="141"/>
      <c r="BV48" s="141"/>
      <c r="BW48" s="141"/>
      <c r="BX48" s="141"/>
      <c r="BY48" s="141"/>
      <c r="BZ48" s="141"/>
      <c r="CA48" s="141"/>
      <c r="CB48" s="141"/>
      <c r="CC48" s="141"/>
      <c r="CD48" s="141"/>
      <c r="CE48" s="141"/>
      <c r="CF48" s="141"/>
      <c r="CG48" s="141"/>
      <c r="CH48" s="141"/>
      <c r="CI48" s="141"/>
      <c r="CJ48" s="141"/>
    </row>
    <row r="49" spans="1:88" ht="15" customHeight="1">
      <c r="A49" s="141"/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  <c r="AC49" s="141"/>
      <c r="AD49" s="141"/>
      <c r="AE49" s="141"/>
      <c r="AF49" s="141"/>
      <c r="AG49" s="141"/>
      <c r="AH49" s="141"/>
      <c r="AI49" s="141"/>
      <c r="AJ49" s="141"/>
      <c r="AK49" s="141"/>
      <c r="AL49" s="141"/>
      <c r="AM49" s="141"/>
      <c r="AN49" s="141"/>
      <c r="AO49" s="141"/>
      <c r="AP49" s="141"/>
      <c r="AQ49" s="141"/>
      <c r="AR49" s="141"/>
      <c r="AS49" s="141"/>
      <c r="AT49" s="141"/>
      <c r="AU49" s="141"/>
      <c r="AV49" s="141"/>
      <c r="AW49" s="141"/>
      <c r="AX49" s="141"/>
      <c r="AY49" s="141"/>
      <c r="AZ49" s="141"/>
      <c r="BA49" s="141"/>
      <c r="BB49" s="141"/>
      <c r="BC49" s="141"/>
      <c r="BD49" s="141"/>
      <c r="BE49" s="141"/>
      <c r="BF49" s="141"/>
      <c r="BG49" s="141"/>
      <c r="BH49" s="141"/>
      <c r="BI49" s="141"/>
      <c r="BJ49" s="141"/>
      <c r="BK49" s="141"/>
      <c r="BL49" s="141"/>
      <c r="BM49" s="141"/>
      <c r="BN49" s="141"/>
      <c r="BO49" s="141"/>
      <c r="BP49" s="141"/>
      <c r="BQ49" s="141"/>
      <c r="BR49" s="141"/>
      <c r="BS49" s="141"/>
      <c r="BT49" s="141"/>
      <c r="BU49" s="141"/>
      <c r="BV49" s="141"/>
      <c r="BW49" s="141"/>
      <c r="BX49" s="141"/>
      <c r="BY49" s="141"/>
      <c r="BZ49" s="141"/>
      <c r="CA49" s="141"/>
      <c r="CB49" s="141"/>
      <c r="CC49" s="141"/>
      <c r="CD49" s="141"/>
      <c r="CE49" s="141"/>
      <c r="CF49" s="141"/>
      <c r="CG49" s="141"/>
      <c r="CH49" s="141"/>
      <c r="CI49" s="141"/>
      <c r="CJ49" s="141"/>
    </row>
    <row r="50" spans="1:88" ht="15" customHeight="1">
      <c r="A50" s="141"/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  <c r="AC50" s="141"/>
      <c r="AD50" s="141"/>
      <c r="AE50" s="141"/>
      <c r="AF50" s="141"/>
      <c r="AG50" s="141"/>
      <c r="AH50" s="141"/>
      <c r="AI50" s="141"/>
      <c r="AJ50" s="141"/>
      <c r="AK50" s="141"/>
      <c r="AL50" s="141"/>
      <c r="AM50" s="141"/>
      <c r="AN50" s="141"/>
      <c r="AO50" s="141"/>
      <c r="AP50" s="141"/>
      <c r="AQ50" s="141"/>
      <c r="AR50" s="141"/>
      <c r="AS50" s="141"/>
      <c r="AT50" s="141"/>
      <c r="AU50" s="141"/>
      <c r="AV50" s="141"/>
      <c r="AW50" s="141"/>
      <c r="AX50" s="141"/>
      <c r="AY50" s="141"/>
      <c r="AZ50" s="141"/>
      <c r="BA50" s="141"/>
      <c r="BB50" s="141"/>
      <c r="BC50" s="141"/>
      <c r="BD50" s="141"/>
      <c r="BE50" s="141"/>
      <c r="BF50" s="141"/>
      <c r="BG50" s="141"/>
      <c r="BH50" s="141"/>
      <c r="BI50" s="141"/>
      <c r="BJ50" s="141"/>
      <c r="BK50" s="141"/>
      <c r="BL50" s="141"/>
      <c r="BM50" s="141"/>
      <c r="BN50" s="141"/>
      <c r="BO50" s="141"/>
      <c r="BP50" s="141"/>
      <c r="BQ50" s="141"/>
      <c r="BR50" s="141"/>
      <c r="BS50" s="141"/>
      <c r="BT50" s="141"/>
      <c r="BU50" s="141"/>
      <c r="BV50" s="141"/>
      <c r="BW50" s="141"/>
      <c r="BX50" s="141"/>
      <c r="BY50" s="141"/>
      <c r="BZ50" s="141"/>
      <c r="CA50" s="141"/>
      <c r="CB50" s="141"/>
      <c r="CC50" s="141"/>
      <c r="CD50" s="141"/>
      <c r="CE50" s="141"/>
      <c r="CF50" s="141"/>
      <c r="CG50" s="141"/>
      <c r="CH50" s="141"/>
      <c r="CI50" s="141"/>
      <c r="CJ50" s="141"/>
    </row>
    <row r="51" spans="1:88" ht="15" customHeight="1">
      <c r="A51" s="141"/>
      <c r="B51" s="141"/>
      <c r="C51" s="141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  <c r="AC51" s="141"/>
      <c r="AD51" s="141"/>
      <c r="AE51" s="141"/>
      <c r="AF51" s="141"/>
      <c r="AG51" s="141"/>
      <c r="AH51" s="141"/>
      <c r="AI51" s="141"/>
      <c r="AJ51" s="141"/>
      <c r="AK51" s="141"/>
      <c r="AL51" s="141"/>
      <c r="AM51" s="141"/>
      <c r="AN51" s="141"/>
      <c r="AO51" s="141"/>
      <c r="AP51" s="141"/>
      <c r="AQ51" s="141"/>
      <c r="AR51" s="141"/>
      <c r="AS51" s="141"/>
      <c r="AT51" s="141"/>
      <c r="AU51" s="141"/>
      <c r="AV51" s="141"/>
      <c r="AW51" s="141"/>
      <c r="AX51" s="141"/>
      <c r="AY51" s="141"/>
      <c r="AZ51" s="141"/>
      <c r="BA51" s="141"/>
      <c r="BB51" s="141"/>
      <c r="BC51" s="141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41"/>
      <c r="BR51" s="141"/>
      <c r="BS51" s="141"/>
      <c r="BT51" s="141"/>
      <c r="BU51" s="141"/>
      <c r="BV51" s="141"/>
      <c r="BW51" s="141"/>
      <c r="BX51" s="141"/>
      <c r="BY51" s="141"/>
      <c r="BZ51" s="141"/>
      <c r="CA51" s="141"/>
      <c r="CB51" s="141"/>
      <c r="CC51" s="141"/>
      <c r="CD51" s="141"/>
      <c r="CE51" s="141"/>
      <c r="CF51" s="141"/>
      <c r="CG51" s="141"/>
      <c r="CH51" s="141"/>
      <c r="CI51" s="141"/>
      <c r="CJ51" s="141"/>
    </row>
    <row r="52" spans="1:88" ht="15" customHeight="1">
      <c r="A52" s="141"/>
      <c r="B52" s="141"/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  <c r="AC52" s="141"/>
      <c r="AD52" s="141"/>
      <c r="AE52" s="141"/>
      <c r="AF52" s="141"/>
      <c r="AG52" s="141"/>
      <c r="AH52" s="141"/>
      <c r="AI52" s="141"/>
      <c r="AJ52" s="141"/>
      <c r="AK52" s="141"/>
      <c r="AL52" s="141"/>
      <c r="AM52" s="141"/>
      <c r="AN52" s="141"/>
      <c r="AO52" s="141"/>
      <c r="AP52" s="141"/>
      <c r="AQ52" s="141"/>
      <c r="AR52" s="141"/>
      <c r="AS52" s="141"/>
      <c r="AT52" s="141"/>
      <c r="AU52" s="141"/>
      <c r="AV52" s="141"/>
      <c r="AW52" s="141"/>
      <c r="AX52" s="141"/>
      <c r="AY52" s="141"/>
      <c r="AZ52" s="141"/>
      <c r="BA52" s="141"/>
      <c r="BB52" s="141"/>
      <c r="BC52" s="141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41"/>
      <c r="BR52" s="141"/>
      <c r="BS52" s="141"/>
      <c r="BT52" s="141"/>
      <c r="BU52" s="141"/>
      <c r="BV52" s="141"/>
      <c r="BW52" s="141"/>
      <c r="BX52" s="141"/>
      <c r="BY52" s="141"/>
      <c r="BZ52" s="141"/>
      <c r="CA52" s="141"/>
      <c r="CB52" s="141"/>
      <c r="CC52" s="141"/>
      <c r="CD52" s="141"/>
      <c r="CE52" s="141"/>
      <c r="CF52" s="141"/>
      <c r="CG52" s="141"/>
      <c r="CH52" s="141"/>
      <c r="CI52" s="141"/>
      <c r="CJ52" s="141"/>
    </row>
    <row r="53" spans="1:88" s="3" customFormat="1" ht="15" customHeight="1">
      <c r="A53" s="141"/>
      <c r="B53" s="141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  <c r="AC53" s="141"/>
      <c r="AD53" s="141"/>
      <c r="AE53" s="141"/>
      <c r="AF53" s="141"/>
      <c r="AG53" s="141"/>
      <c r="AH53" s="141"/>
      <c r="AI53" s="141"/>
      <c r="AJ53" s="141"/>
      <c r="AK53" s="141"/>
      <c r="AL53" s="141"/>
      <c r="AM53" s="141"/>
      <c r="AN53" s="141"/>
      <c r="AO53" s="141"/>
      <c r="AP53" s="141"/>
      <c r="AQ53" s="141"/>
      <c r="AR53" s="141"/>
      <c r="AS53" s="141"/>
      <c r="AT53" s="141"/>
      <c r="AU53" s="141"/>
      <c r="AV53" s="141"/>
      <c r="AW53" s="141"/>
      <c r="AX53" s="141"/>
      <c r="AY53" s="141"/>
      <c r="AZ53" s="141"/>
      <c r="BA53" s="141"/>
      <c r="BB53" s="141"/>
      <c r="BC53" s="141"/>
      <c r="BD53" s="141"/>
      <c r="BE53" s="141"/>
      <c r="BF53" s="141"/>
      <c r="BG53" s="141"/>
      <c r="BH53" s="141"/>
      <c r="BI53" s="141"/>
      <c r="BJ53" s="141"/>
      <c r="BK53" s="141"/>
      <c r="BL53" s="141"/>
      <c r="BM53" s="141"/>
      <c r="BN53" s="141"/>
      <c r="BO53" s="141"/>
      <c r="BP53" s="141"/>
      <c r="BQ53" s="141"/>
      <c r="BR53" s="141"/>
      <c r="BS53" s="141"/>
      <c r="BT53" s="141"/>
      <c r="BU53" s="141"/>
      <c r="BV53" s="141"/>
      <c r="BW53" s="141"/>
      <c r="BX53" s="141"/>
      <c r="BY53" s="141"/>
      <c r="BZ53" s="141"/>
      <c r="CA53" s="141"/>
      <c r="CB53" s="141"/>
      <c r="CC53" s="141"/>
      <c r="CD53" s="141"/>
      <c r="CE53" s="141"/>
      <c r="CF53" s="141"/>
      <c r="CG53" s="141"/>
      <c r="CH53" s="141"/>
      <c r="CI53" s="141"/>
      <c r="CJ53" s="141"/>
    </row>
    <row r="54" spans="1:88" s="3" customFormat="1" ht="13" customHeight="1">
      <c r="A54" s="141"/>
      <c r="B54" s="141"/>
      <c r="C54" s="141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41"/>
      <c r="V54" s="141"/>
      <c r="W54" s="141"/>
      <c r="X54" s="141"/>
      <c r="Y54" s="141"/>
      <c r="Z54" s="141"/>
      <c r="AA54" s="141"/>
      <c r="AB54" s="141"/>
      <c r="AC54" s="141"/>
      <c r="AD54" s="141"/>
      <c r="AE54" s="141"/>
      <c r="AF54" s="141"/>
      <c r="AG54" s="141"/>
      <c r="AH54" s="141"/>
      <c r="AI54" s="141"/>
      <c r="AJ54" s="141"/>
      <c r="AK54" s="141"/>
      <c r="AL54" s="141"/>
      <c r="AM54" s="141"/>
      <c r="AN54" s="141"/>
      <c r="AO54" s="141"/>
      <c r="AP54" s="141"/>
      <c r="AQ54" s="141"/>
      <c r="AR54" s="141"/>
      <c r="AS54" s="141"/>
      <c r="AT54" s="141"/>
      <c r="AU54" s="141"/>
      <c r="AV54" s="141"/>
      <c r="AW54" s="141"/>
      <c r="AX54" s="141"/>
      <c r="AY54" s="141"/>
      <c r="AZ54" s="141"/>
      <c r="BA54" s="141"/>
      <c r="BB54" s="141"/>
      <c r="BC54" s="141"/>
      <c r="BD54" s="141"/>
      <c r="BE54" s="141"/>
      <c r="BF54" s="141"/>
      <c r="BG54" s="141"/>
      <c r="BH54" s="141"/>
      <c r="BI54" s="141"/>
      <c r="BJ54" s="141"/>
      <c r="BK54" s="141"/>
      <c r="BL54" s="141"/>
      <c r="BM54" s="141"/>
      <c r="BN54" s="141"/>
      <c r="BO54" s="141"/>
      <c r="BP54" s="141"/>
      <c r="BQ54" s="141"/>
      <c r="BR54" s="141"/>
      <c r="BS54" s="141"/>
      <c r="BT54" s="141"/>
      <c r="BU54" s="141"/>
      <c r="BV54" s="141"/>
      <c r="BW54" s="141"/>
      <c r="BX54" s="141"/>
      <c r="BY54" s="141"/>
      <c r="BZ54" s="141"/>
      <c r="CA54" s="141"/>
      <c r="CB54" s="141"/>
      <c r="CC54" s="141"/>
      <c r="CD54" s="141"/>
      <c r="CE54" s="141"/>
      <c r="CF54" s="141"/>
      <c r="CG54" s="141"/>
      <c r="CH54" s="141"/>
      <c r="CI54" s="141"/>
      <c r="CJ54" s="141"/>
    </row>
    <row r="55" spans="1:88" s="3" customFormat="1" ht="13" customHeight="1">
      <c r="A55" s="141"/>
      <c r="B55" s="141"/>
      <c r="C55" s="141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1"/>
      <c r="AH55" s="141"/>
      <c r="AI55" s="141"/>
      <c r="AJ55" s="141"/>
      <c r="AK55" s="141"/>
      <c r="AL55" s="141"/>
      <c r="AM55" s="141"/>
      <c r="AN55" s="141"/>
      <c r="AO55" s="141"/>
      <c r="AP55" s="141"/>
      <c r="AQ55" s="141"/>
      <c r="AR55" s="141"/>
      <c r="AS55" s="141"/>
      <c r="AT55" s="141"/>
      <c r="AU55" s="141"/>
      <c r="AV55" s="141"/>
      <c r="AW55" s="141"/>
      <c r="AX55" s="141"/>
      <c r="AY55" s="141"/>
      <c r="AZ55" s="141"/>
      <c r="BA55" s="141"/>
      <c r="BB55" s="141"/>
      <c r="BC55" s="141"/>
      <c r="BD55" s="141"/>
      <c r="BE55" s="141"/>
      <c r="BF55" s="141"/>
      <c r="BG55" s="141"/>
      <c r="BH55" s="141"/>
      <c r="BI55" s="141"/>
      <c r="BJ55" s="141"/>
      <c r="BK55" s="141"/>
      <c r="BL55" s="141"/>
      <c r="BM55" s="141"/>
      <c r="BN55" s="141"/>
      <c r="BO55" s="141"/>
      <c r="BP55" s="141"/>
      <c r="BQ55" s="141"/>
      <c r="BR55" s="141"/>
      <c r="BS55" s="141"/>
      <c r="BT55" s="141"/>
      <c r="BU55" s="141"/>
      <c r="BV55" s="141"/>
      <c r="BW55" s="141"/>
      <c r="BX55" s="141"/>
      <c r="BY55" s="141"/>
      <c r="BZ55" s="141"/>
      <c r="CA55" s="141"/>
      <c r="CB55" s="141"/>
      <c r="CC55" s="141"/>
      <c r="CD55" s="141"/>
      <c r="CE55" s="141"/>
      <c r="CF55" s="141"/>
      <c r="CG55" s="141"/>
      <c r="CH55" s="141"/>
      <c r="CI55" s="141"/>
      <c r="CJ55" s="141"/>
    </row>
    <row r="56" spans="1:88" s="3" customFormat="1" ht="13" customHeight="1">
      <c r="A56" s="141"/>
      <c r="B56" s="141"/>
      <c r="C56" s="141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  <c r="AC56" s="141"/>
      <c r="AD56" s="141"/>
      <c r="AE56" s="141"/>
      <c r="AF56" s="141"/>
      <c r="AG56" s="141"/>
      <c r="AH56" s="141"/>
      <c r="AI56" s="141"/>
      <c r="AJ56" s="141"/>
      <c r="AK56" s="141"/>
      <c r="AL56" s="141"/>
      <c r="AM56" s="141"/>
      <c r="AN56" s="141"/>
      <c r="AO56" s="141"/>
      <c r="AP56" s="141"/>
      <c r="AQ56" s="141"/>
      <c r="AR56" s="141"/>
      <c r="AS56" s="141"/>
      <c r="AT56" s="141"/>
      <c r="AU56" s="141"/>
      <c r="AV56" s="141"/>
      <c r="AW56" s="141"/>
      <c r="AX56" s="141"/>
      <c r="AY56" s="141"/>
      <c r="AZ56" s="141"/>
      <c r="BA56" s="141"/>
      <c r="BB56" s="141"/>
      <c r="BC56" s="141"/>
      <c r="BD56" s="141"/>
      <c r="BE56" s="141"/>
      <c r="BF56" s="141"/>
      <c r="BG56" s="141"/>
      <c r="BH56" s="141"/>
      <c r="BI56" s="141"/>
      <c r="BJ56" s="141"/>
      <c r="BK56" s="141"/>
      <c r="BL56" s="141"/>
      <c r="BM56" s="141"/>
      <c r="BN56" s="141"/>
      <c r="BO56" s="141"/>
      <c r="BP56" s="141"/>
      <c r="BQ56" s="141"/>
      <c r="BR56" s="141"/>
      <c r="BS56" s="141"/>
      <c r="BT56" s="141"/>
      <c r="BU56" s="141"/>
      <c r="BV56" s="141"/>
      <c r="BW56" s="141"/>
      <c r="BX56" s="141"/>
      <c r="BY56" s="141"/>
      <c r="BZ56" s="141"/>
      <c r="CA56" s="141"/>
      <c r="CB56" s="141"/>
      <c r="CC56" s="141"/>
      <c r="CD56" s="141"/>
      <c r="CE56" s="141"/>
      <c r="CF56" s="141"/>
      <c r="CG56" s="141"/>
      <c r="CH56" s="141"/>
      <c r="CI56" s="141"/>
      <c r="CJ56" s="141"/>
    </row>
    <row r="57" spans="1:88" s="3" customFormat="1" ht="13" customHeight="1">
      <c r="A57" s="141"/>
      <c r="B57" s="141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41"/>
      <c r="V57" s="141"/>
      <c r="W57" s="141"/>
      <c r="X57" s="141"/>
      <c r="Y57" s="141"/>
      <c r="Z57" s="141"/>
      <c r="AA57" s="141"/>
      <c r="AB57" s="141"/>
      <c r="AC57" s="141"/>
      <c r="AD57" s="141"/>
      <c r="AE57" s="141"/>
      <c r="AF57" s="141"/>
      <c r="AG57" s="141"/>
      <c r="AH57" s="141"/>
      <c r="AI57" s="141"/>
      <c r="AJ57" s="141"/>
      <c r="AK57" s="141"/>
      <c r="AL57" s="141"/>
      <c r="AM57" s="141"/>
      <c r="AN57" s="141"/>
      <c r="AO57" s="141"/>
      <c r="AP57" s="141"/>
      <c r="AQ57" s="141"/>
      <c r="AR57" s="141"/>
      <c r="AS57" s="141"/>
      <c r="AT57" s="141"/>
      <c r="AU57" s="141"/>
      <c r="AV57" s="141"/>
      <c r="AW57" s="141"/>
      <c r="AX57" s="141"/>
      <c r="AY57" s="141"/>
      <c r="AZ57" s="141"/>
      <c r="BA57" s="141"/>
      <c r="BB57" s="141"/>
      <c r="BC57" s="141"/>
      <c r="BD57" s="141"/>
      <c r="BE57" s="141"/>
      <c r="BF57" s="141"/>
      <c r="BG57" s="141"/>
      <c r="BH57" s="141"/>
      <c r="BI57" s="141"/>
      <c r="BJ57" s="141"/>
      <c r="BK57" s="141"/>
      <c r="BL57" s="141"/>
      <c r="BM57" s="141"/>
      <c r="BN57" s="141"/>
      <c r="BO57" s="141"/>
      <c r="BP57" s="141"/>
      <c r="BQ57" s="141"/>
      <c r="BR57" s="141"/>
      <c r="BS57" s="141"/>
      <c r="BT57" s="141"/>
      <c r="BU57" s="141"/>
      <c r="BV57" s="141"/>
      <c r="BW57" s="141"/>
      <c r="BX57" s="141"/>
      <c r="BY57" s="141"/>
      <c r="BZ57" s="141"/>
      <c r="CA57" s="141"/>
      <c r="CB57" s="141"/>
      <c r="CC57" s="141"/>
      <c r="CD57" s="141"/>
      <c r="CE57" s="141"/>
      <c r="CF57" s="141"/>
      <c r="CG57" s="141"/>
      <c r="CH57" s="141"/>
      <c r="CI57" s="141"/>
      <c r="CJ57" s="141"/>
    </row>
    <row r="58" spans="1:88" s="3" customFormat="1" ht="13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</row>
    <row r="59" spans="1:88" s="3" customFormat="1" ht="13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</row>
    <row r="60" spans="1:88" s="3" customFormat="1" ht="13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R18:AX18"/>
    <mergeCell ref="AJ18:AP18"/>
    <mergeCell ref="S14:Y14"/>
    <mergeCell ref="G16:M16"/>
    <mergeCell ref="O16:U16"/>
    <mergeCell ref="C18:I18"/>
    <mergeCell ref="S18:Y18"/>
    <mergeCell ref="K18:Q18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J545"/>
  <sheetViews>
    <sheetView tabSelected="1" workbookViewId="0">
      <selection activeCell="C12" sqref="C12"/>
    </sheetView>
    <sheetView workbookViewId="1">
      <selection activeCell="C3" sqref="C3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4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>
      <c r="A2" s="82">
        <v>6.6814768587962953E-2</v>
      </c>
      <c r="B2" t="s">
        <v>44</v>
      </c>
      <c r="C2"/>
      <c r="D2"/>
      <c r="E2" t="s">
        <v>37</v>
      </c>
      <c r="F2"/>
      <c r="G2" t="s">
        <v>113</v>
      </c>
      <c r="H2"/>
      <c r="I2" s="159">
        <v>46300.478206018517</v>
      </c>
      <c r="J2" t="s">
        <v>587</v>
      </c>
      <c r="K2" t="s">
        <v>388</v>
      </c>
      <c r="L2" s="158">
        <v>46299</v>
      </c>
      <c r="M2" t="s">
        <v>586</v>
      </c>
      <c r="N2" t="s">
        <v>178</v>
      </c>
      <c r="O2" t="s">
        <v>179</v>
      </c>
      <c r="P2">
        <v>3</v>
      </c>
      <c r="Q2" t="s">
        <v>180</v>
      </c>
    </row>
    <row r="3" spans="1:17" s="3" customFormat="1">
      <c r="A3" s="82">
        <v>6.6814768587962953E-2</v>
      </c>
      <c r="B3" t="s">
        <v>44</v>
      </c>
      <c r="C3" t="s">
        <v>491</v>
      </c>
      <c r="D3"/>
      <c r="E3" t="s">
        <v>132</v>
      </c>
      <c r="F3"/>
      <c r="G3" t="s">
        <v>47</v>
      </c>
      <c r="H3"/>
      <c r="I3" s="159">
        <v>46300.478159722225</v>
      </c>
      <c r="J3" t="s">
        <v>587</v>
      </c>
      <c r="K3" t="s">
        <v>388</v>
      </c>
      <c r="L3" s="158">
        <v>46299</v>
      </c>
      <c r="M3" t="s">
        <v>586</v>
      </c>
      <c r="N3" t="s">
        <v>178</v>
      </c>
      <c r="O3" t="s">
        <v>179</v>
      </c>
      <c r="P3">
        <v>3</v>
      </c>
      <c r="Q3" t="s">
        <v>180</v>
      </c>
    </row>
    <row r="4" spans="1:17" s="3" customFormat="1">
      <c r="A4" s="82">
        <v>6.6733695983796304E-2</v>
      </c>
      <c r="B4" t="s">
        <v>44</v>
      </c>
      <c r="C4" t="s">
        <v>485</v>
      </c>
      <c r="D4"/>
      <c r="E4" t="s">
        <v>407</v>
      </c>
      <c r="F4"/>
      <c r="G4" t="s">
        <v>47</v>
      </c>
      <c r="H4"/>
      <c r="I4" s="159">
        <v>46300.478020833332</v>
      </c>
      <c r="J4" t="s">
        <v>587</v>
      </c>
      <c r="K4" t="s">
        <v>388</v>
      </c>
      <c r="L4" s="158">
        <v>46299</v>
      </c>
      <c r="M4" t="s">
        <v>586</v>
      </c>
      <c r="N4" t="s">
        <v>178</v>
      </c>
      <c r="O4" t="s">
        <v>179</v>
      </c>
      <c r="P4">
        <v>3</v>
      </c>
      <c r="Q4" t="s">
        <v>180</v>
      </c>
    </row>
    <row r="5" spans="1:17" s="3" customFormat="1">
      <c r="A5" s="82">
        <v>6.6652639803240737E-2</v>
      </c>
      <c r="B5" t="s">
        <v>44</v>
      </c>
      <c r="C5" t="s">
        <v>486</v>
      </c>
      <c r="D5"/>
      <c r="E5" t="s">
        <v>406</v>
      </c>
      <c r="F5"/>
      <c r="G5" t="s">
        <v>47</v>
      </c>
      <c r="H5"/>
      <c r="I5" s="159">
        <v>46300.477870370371</v>
      </c>
      <c r="J5" t="s">
        <v>587</v>
      </c>
      <c r="K5" t="s">
        <v>388</v>
      </c>
      <c r="L5" s="158">
        <v>46299</v>
      </c>
      <c r="M5" t="s">
        <v>586</v>
      </c>
      <c r="N5" t="s">
        <v>178</v>
      </c>
      <c r="O5" t="s">
        <v>179</v>
      </c>
      <c r="P5">
        <v>3</v>
      </c>
      <c r="Q5" t="s">
        <v>180</v>
      </c>
    </row>
    <row r="6" spans="1:17" s="3" customFormat="1">
      <c r="A6" s="82">
        <v>6.6557715590277775E-2</v>
      </c>
      <c r="B6" t="s">
        <v>44</v>
      </c>
      <c r="C6" t="s">
        <v>492</v>
      </c>
      <c r="D6"/>
      <c r="E6" t="s">
        <v>407</v>
      </c>
      <c r="F6"/>
      <c r="G6" t="s">
        <v>47</v>
      </c>
      <c r="H6"/>
      <c r="I6" s="159">
        <v>46300.477500000001</v>
      </c>
      <c r="J6" t="s">
        <v>587</v>
      </c>
      <c r="K6" t="s">
        <v>388</v>
      </c>
      <c r="L6" s="158">
        <v>46299</v>
      </c>
      <c r="M6" t="s">
        <v>586</v>
      </c>
      <c r="N6" t="s">
        <v>178</v>
      </c>
      <c r="O6" t="s">
        <v>179</v>
      </c>
      <c r="P6">
        <v>3</v>
      </c>
      <c r="Q6" t="s">
        <v>180</v>
      </c>
    </row>
    <row r="7" spans="1:17" s="3" customFormat="1">
      <c r="A7" s="82">
        <v>6.6509801550925923E-2</v>
      </c>
      <c r="B7" t="s">
        <v>44</v>
      </c>
      <c r="C7"/>
      <c r="D7"/>
      <c r="E7" t="s">
        <v>50</v>
      </c>
      <c r="F7"/>
      <c r="G7" t="s">
        <v>113</v>
      </c>
      <c r="H7"/>
      <c r="I7" s="159">
        <v>46300.477384259262</v>
      </c>
      <c r="J7" t="s">
        <v>587</v>
      </c>
      <c r="K7" t="s">
        <v>388</v>
      </c>
      <c r="L7" s="158">
        <v>46299</v>
      </c>
      <c r="M7" t="s">
        <v>586</v>
      </c>
      <c r="N7" t="s">
        <v>178</v>
      </c>
      <c r="O7" t="s">
        <v>179</v>
      </c>
      <c r="P7">
        <v>3</v>
      </c>
      <c r="Q7" t="s">
        <v>180</v>
      </c>
    </row>
    <row r="8" spans="1:17" s="3" customFormat="1">
      <c r="A8" s="82">
        <v>6.5913485972222227E-2</v>
      </c>
      <c r="B8" t="s">
        <v>44</v>
      </c>
      <c r="C8"/>
      <c r="D8"/>
      <c r="E8" t="s">
        <v>37</v>
      </c>
      <c r="F8"/>
      <c r="G8" t="s">
        <v>113</v>
      </c>
      <c r="H8"/>
      <c r="I8" s="159">
        <v>46300.476493055554</v>
      </c>
      <c r="J8" t="s">
        <v>587</v>
      </c>
      <c r="K8" t="s">
        <v>388</v>
      </c>
      <c r="L8" s="158">
        <v>46299</v>
      </c>
      <c r="M8" t="s">
        <v>586</v>
      </c>
      <c r="N8" t="s">
        <v>178</v>
      </c>
      <c r="O8" t="s">
        <v>179</v>
      </c>
      <c r="P8">
        <v>3</v>
      </c>
      <c r="Q8" t="s">
        <v>180</v>
      </c>
    </row>
    <row r="9" spans="1:17" s="3" customFormat="1">
      <c r="A9" s="82">
        <v>6.5913485972222227E-2</v>
      </c>
      <c r="B9" t="s">
        <v>44</v>
      </c>
      <c r="C9" t="s">
        <v>489</v>
      </c>
      <c r="D9" t="s">
        <v>169</v>
      </c>
      <c r="E9" t="s">
        <v>161</v>
      </c>
      <c r="F9" t="s">
        <v>156</v>
      </c>
      <c r="G9" t="s">
        <v>113</v>
      </c>
      <c r="H9"/>
      <c r="I9" s="159">
        <v>46300.476493055554</v>
      </c>
      <c r="J9" t="s">
        <v>587</v>
      </c>
      <c r="K9" t="s">
        <v>388</v>
      </c>
      <c r="L9" s="158">
        <v>46299</v>
      </c>
      <c r="M9" t="s">
        <v>586</v>
      </c>
      <c r="N9" t="s">
        <v>178</v>
      </c>
      <c r="O9" t="s">
        <v>179</v>
      </c>
      <c r="P9">
        <v>3</v>
      </c>
      <c r="Q9" t="s">
        <v>180</v>
      </c>
    </row>
    <row r="10" spans="1:17" s="3" customFormat="1">
      <c r="A10" s="82">
        <v>6.5763139907407397E-2</v>
      </c>
      <c r="B10" t="s">
        <v>44</v>
      </c>
      <c r="C10" t="s">
        <v>489</v>
      </c>
      <c r="D10"/>
      <c r="E10" t="s">
        <v>57</v>
      </c>
      <c r="F10"/>
      <c r="G10" t="s">
        <v>113</v>
      </c>
      <c r="H10"/>
      <c r="I10" s="159">
        <v>46300.475914351853</v>
      </c>
      <c r="J10" t="s">
        <v>587</v>
      </c>
      <c r="K10" t="s">
        <v>388</v>
      </c>
      <c r="L10" s="158">
        <v>46299</v>
      </c>
      <c r="M10" t="s">
        <v>586</v>
      </c>
      <c r="N10" t="s">
        <v>178</v>
      </c>
      <c r="O10" t="s">
        <v>179</v>
      </c>
      <c r="P10">
        <v>3</v>
      </c>
      <c r="Q10" t="s">
        <v>180</v>
      </c>
    </row>
    <row r="11" spans="1:17" s="3" customFormat="1">
      <c r="A11" s="82">
        <v>6.5719857465277767E-2</v>
      </c>
      <c r="B11" t="s">
        <v>44</v>
      </c>
      <c r="C11"/>
      <c r="D11"/>
      <c r="E11" t="s">
        <v>231</v>
      </c>
      <c r="F11"/>
      <c r="G11" t="s">
        <v>113</v>
      </c>
      <c r="H11"/>
      <c r="I11" s="159">
        <v>46300.475682870368</v>
      </c>
      <c r="J11" t="s">
        <v>587</v>
      </c>
      <c r="K11" t="s">
        <v>388</v>
      </c>
      <c r="L11" s="158">
        <v>46299</v>
      </c>
      <c r="M11" t="s">
        <v>586</v>
      </c>
      <c r="N11" t="s">
        <v>178</v>
      </c>
      <c r="O11" t="s">
        <v>179</v>
      </c>
      <c r="P11">
        <v>3</v>
      </c>
      <c r="Q11" t="s">
        <v>180</v>
      </c>
    </row>
    <row r="12" spans="1:17" s="3" customFormat="1">
      <c r="A12" s="82">
        <v>6.5650508784722228E-2</v>
      </c>
      <c r="B12" t="s">
        <v>44</v>
      </c>
      <c r="C12"/>
      <c r="D12"/>
      <c r="E12" t="s">
        <v>54</v>
      </c>
      <c r="F12"/>
      <c r="G12" t="s">
        <v>113</v>
      </c>
      <c r="H12"/>
      <c r="I12" s="159">
        <v>46300.475439814814</v>
      </c>
      <c r="J12" t="s">
        <v>587</v>
      </c>
      <c r="K12" t="s">
        <v>388</v>
      </c>
      <c r="L12" s="158">
        <v>46299</v>
      </c>
      <c r="M12" t="s">
        <v>586</v>
      </c>
      <c r="N12" t="s">
        <v>178</v>
      </c>
      <c r="O12" t="s">
        <v>179</v>
      </c>
      <c r="P12">
        <v>3</v>
      </c>
      <c r="Q12" t="s">
        <v>180</v>
      </c>
    </row>
    <row r="13" spans="1:17" s="3" customFormat="1">
      <c r="A13" s="82">
        <v>6.5172966157407405E-2</v>
      </c>
      <c r="B13" t="s">
        <v>44</v>
      </c>
      <c r="C13"/>
      <c r="D13"/>
      <c r="E13" t="s">
        <v>37</v>
      </c>
      <c r="F13"/>
      <c r="G13" t="s">
        <v>113</v>
      </c>
      <c r="H13"/>
      <c r="I13" s="159">
        <v>46300.475277777776</v>
      </c>
      <c r="J13" t="s">
        <v>587</v>
      </c>
      <c r="K13" t="s">
        <v>388</v>
      </c>
      <c r="L13" s="158">
        <v>46299</v>
      </c>
      <c r="M13" t="s">
        <v>586</v>
      </c>
      <c r="N13" t="s">
        <v>178</v>
      </c>
      <c r="O13" t="s">
        <v>179</v>
      </c>
      <c r="P13">
        <v>3</v>
      </c>
      <c r="Q13" t="s">
        <v>180</v>
      </c>
    </row>
    <row r="14" spans="1:17" s="3" customFormat="1">
      <c r="A14" s="82">
        <v>6.5163064398148146E-2</v>
      </c>
      <c r="B14" t="s">
        <v>44</v>
      </c>
      <c r="C14" t="s">
        <v>491</v>
      </c>
      <c r="D14"/>
      <c r="E14" t="s">
        <v>132</v>
      </c>
      <c r="F14"/>
      <c r="G14" t="s">
        <v>47</v>
      </c>
      <c r="H14"/>
      <c r="I14" s="159">
        <v>46300.475243055553</v>
      </c>
      <c r="J14" t="s">
        <v>587</v>
      </c>
      <c r="K14" t="s">
        <v>388</v>
      </c>
      <c r="L14" s="158">
        <v>46299</v>
      </c>
      <c r="M14" t="s">
        <v>586</v>
      </c>
      <c r="N14" t="s">
        <v>178</v>
      </c>
      <c r="O14" t="s">
        <v>179</v>
      </c>
      <c r="P14">
        <v>3</v>
      </c>
      <c r="Q14" t="s">
        <v>180</v>
      </c>
    </row>
    <row r="15" spans="1:17" s="3" customFormat="1">
      <c r="A15" s="82">
        <v>6.5163064398148146E-2</v>
      </c>
      <c r="B15" t="s">
        <v>44</v>
      </c>
      <c r="C15"/>
      <c r="D15"/>
      <c r="E15" t="s">
        <v>219</v>
      </c>
      <c r="F15"/>
      <c r="G15" t="s">
        <v>113</v>
      </c>
      <c r="H15"/>
      <c r="I15" s="159">
        <v>46300.475011574075</v>
      </c>
      <c r="J15" t="s">
        <v>587</v>
      </c>
      <c r="K15" t="s">
        <v>388</v>
      </c>
      <c r="L15" s="158">
        <v>46299</v>
      </c>
      <c r="M15" t="s">
        <v>586</v>
      </c>
      <c r="N15" t="s">
        <v>178</v>
      </c>
      <c r="O15" t="s">
        <v>179</v>
      </c>
      <c r="P15">
        <v>3</v>
      </c>
      <c r="Q15" t="s">
        <v>180</v>
      </c>
    </row>
    <row r="16" spans="1:17" s="3" customFormat="1">
      <c r="A16" s="82">
        <v>6.5167989687499997E-2</v>
      </c>
      <c r="B16" t="s">
        <v>44</v>
      </c>
      <c r="C16" t="s">
        <v>485</v>
      </c>
      <c r="D16"/>
      <c r="E16" t="s">
        <v>57</v>
      </c>
      <c r="F16"/>
      <c r="G16" t="s">
        <v>113</v>
      </c>
      <c r="H16"/>
      <c r="I16" s="159">
        <v>46300.474733796298</v>
      </c>
      <c r="J16" t="s">
        <v>587</v>
      </c>
      <c r="K16" t="s">
        <v>388</v>
      </c>
      <c r="L16" s="158">
        <v>46299</v>
      </c>
      <c r="M16" t="s">
        <v>586</v>
      </c>
      <c r="N16" t="s">
        <v>178</v>
      </c>
      <c r="O16" t="s">
        <v>179</v>
      </c>
      <c r="P16">
        <v>3</v>
      </c>
      <c r="Q16" t="s">
        <v>180</v>
      </c>
    </row>
    <row r="17" spans="1:17" s="3" customFormat="1">
      <c r="A17" s="82">
        <v>6.5052080115740735E-2</v>
      </c>
      <c r="B17" t="s">
        <v>44</v>
      </c>
      <c r="C17" t="s">
        <v>496</v>
      </c>
      <c r="D17"/>
      <c r="E17" t="s">
        <v>57</v>
      </c>
      <c r="F17"/>
      <c r="G17" t="s">
        <v>113</v>
      </c>
      <c r="H17"/>
      <c r="I17" s="159">
        <v>46300.474560185183</v>
      </c>
      <c r="J17" t="s">
        <v>587</v>
      </c>
      <c r="K17" t="s">
        <v>388</v>
      </c>
      <c r="L17" s="158">
        <v>46299</v>
      </c>
      <c r="M17" t="s">
        <v>586</v>
      </c>
      <c r="N17" t="s">
        <v>178</v>
      </c>
      <c r="O17" t="s">
        <v>179</v>
      </c>
      <c r="P17">
        <v>3</v>
      </c>
      <c r="Q17" t="s">
        <v>180</v>
      </c>
    </row>
    <row r="18" spans="1:17" s="3" customFormat="1">
      <c r="A18" s="82">
        <v>6.4941618599537038E-2</v>
      </c>
      <c r="B18" t="s">
        <v>44</v>
      </c>
      <c r="C18" t="s">
        <v>486</v>
      </c>
      <c r="D18"/>
      <c r="E18" t="s">
        <v>57</v>
      </c>
      <c r="F18"/>
      <c r="G18" t="s">
        <v>113</v>
      </c>
      <c r="H18"/>
      <c r="I18" s="159">
        <v>46300.474224537036</v>
      </c>
      <c r="J18" t="s">
        <v>587</v>
      </c>
      <c r="K18" t="s">
        <v>388</v>
      </c>
      <c r="L18" s="158">
        <v>46299</v>
      </c>
      <c r="M18" t="s">
        <v>586</v>
      </c>
      <c r="N18" t="s">
        <v>178</v>
      </c>
      <c r="O18" t="s">
        <v>179</v>
      </c>
      <c r="P18">
        <v>3</v>
      </c>
      <c r="Q18" t="s">
        <v>180</v>
      </c>
    </row>
    <row r="19" spans="1:17" s="3" customFormat="1">
      <c r="A19" s="82">
        <v>6.4899040914351849E-2</v>
      </c>
      <c r="B19" t="s">
        <v>44</v>
      </c>
      <c r="C19" t="s">
        <v>32</v>
      </c>
      <c r="D19"/>
      <c r="E19" t="s">
        <v>140</v>
      </c>
      <c r="F19"/>
      <c r="G19" t="s">
        <v>113</v>
      </c>
      <c r="H19"/>
      <c r="I19" s="159">
        <v>46300.47383101852</v>
      </c>
      <c r="J19" t="s">
        <v>587</v>
      </c>
      <c r="K19" t="s">
        <v>388</v>
      </c>
      <c r="L19" s="158">
        <v>46299</v>
      </c>
      <c r="M19" t="s">
        <v>586</v>
      </c>
      <c r="N19" t="s">
        <v>178</v>
      </c>
      <c r="O19" t="s">
        <v>179</v>
      </c>
      <c r="P19">
        <v>3</v>
      </c>
      <c r="Q19" t="s">
        <v>180</v>
      </c>
    </row>
    <row r="20" spans="1:17" s="3" customFormat="1">
      <c r="A20" s="82">
        <v>6.4801340937500007E-2</v>
      </c>
      <c r="B20" t="s">
        <v>44</v>
      </c>
      <c r="C20" t="s">
        <v>492</v>
      </c>
      <c r="D20"/>
      <c r="E20" t="s">
        <v>407</v>
      </c>
      <c r="F20"/>
      <c r="G20" t="s">
        <v>47</v>
      </c>
      <c r="H20"/>
      <c r="I20" s="159">
        <v>46300.473414351851</v>
      </c>
      <c r="J20" t="s">
        <v>587</v>
      </c>
      <c r="K20" t="s">
        <v>388</v>
      </c>
      <c r="L20" s="158">
        <v>46299</v>
      </c>
      <c r="M20" t="s">
        <v>586</v>
      </c>
      <c r="N20" t="s">
        <v>178</v>
      </c>
      <c r="O20" t="s">
        <v>179</v>
      </c>
      <c r="P20">
        <v>3</v>
      </c>
      <c r="Q20" t="s">
        <v>180</v>
      </c>
    </row>
    <row r="21" spans="1:17" s="3" customFormat="1">
      <c r="A21" s="82">
        <v>6.4681427268518513E-2</v>
      </c>
      <c r="B21" t="s">
        <v>44</v>
      </c>
      <c r="C21" t="s">
        <v>490</v>
      </c>
      <c r="D21"/>
      <c r="E21" t="s">
        <v>406</v>
      </c>
      <c r="F21"/>
      <c r="G21" t="s">
        <v>47</v>
      </c>
      <c r="H21"/>
      <c r="I21" s="159">
        <v>46300.473287037035</v>
      </c>
      <c r="J21" t="s">
        <v>587</v>
      </c>
      <c r="K21" t="s">
        <v>388</v>
      </c>
      <c r="L21" s="158">
        <v>46299</v>
      </c>
      <c r="M21" t="s">
        <v>586</v>
      </c>
      <c r="N21" t="s">
        <v>178</v>
      </c>
      <c r="O21" t="s">
        <v>179</v>
      </c>
      <c r="P21">
        <v>3</v>
      </c>
      <c r="Q21" t="s">
        <v>180</v>
      </c>
    </row>
    <row r="22" spans="1:17" s="3" customFormat="1">
      <c r="A22" s="82">
        <v>6.4589328020833336E-2</v>
      </c>
      <c r="B22" t="s">
        <v>44</v>
      </c>
      <c r="C22"/>
      <c r="D22"/>
      <c r="E22" t="s">
        <v>135</v>
      </c>
      <c r="F22"/>
      <c r="G22" t="s">
        <v>47</v>
      </c>
      <c r="H22"/>
      <c r="I22" s="159">
        <v>46300.473194444443</v>
      </c>
      <c r="J22" t="s">
        <v>587</v>
      </c>
      <c r="K22" t="s">
        <v>388</v>
      </c>
      <c r="L22" s="158">
        <v>46299</v>
      </c>
      <c r="M22" t="s">
        <v>586</v>
      </c>
      <c r="N22" t="s">
        <v>178</v>
      </c>
      <c r="O22" t="s">
        <v>179</v>
      </c>
      <c r="P22">
        <v>3</v>
      </c>
      <c r="Q22" t="s">
        <v>180</v>
      </c>
    </row>
    <row r="23" spans="1:17" s="3" customFormat="1">
      <c r="A23" s="82">
        <v>6.4536989780092591E-2</v>
      </c>
      <c r="B23" t="s">
        <v>44</v>
      </c>
      <c r="C23"/>
      <c r="D23"/>
      <c r="E23" t="s">
        <v>133</v>
      </c>
      <c r="F23"/>
      <c r="G23" t="s">
        <v>113</v>
      </c>
      <c r="H23"/>
      <c r="I23" s="159">
        <v>46300.473136574074</v>
      </c>
      <c r="J23" t="s">
        <v>587</v>
      </c>
      <c r="K23" t="s">
        <v>388</v>
      </c>
      <c r="L23" s="158">
        <v>46299</v>
      </c>
      <c r="M23" t="s">
        <v>586</v>
      </c>
      <c r="N23" t="s">
        <v>178</v>
      </c>
      <c r="O23" t="s">
        <v>179</v>
      </c>
      <c r="P23">
        <v>3</v>
      </c>
      <c r="Q23" t="s">
        <v>180</v>
      </c>
    </row>
    <row r="24" spans="1:17" s="3" customFormat="1">
      <c r="A24" s="82">
        <v>6.4445901342592593E-2</v>
      </c>
      <c r="B24" t="s">
        <v>44</v>
      </c>
      <c r="C24" t="s">
        <v>487</v>
      </c>
      <c r="D24"/>
      <c r="E24" t="s">
        <v>57</v>
      </c>
      <c r="F24"/>
      <c r="G24" t="s">
        <v>113</v>
      </c>
      <c r="H24"/>
      <c r="I24" s="159">
        <v>46300.473020833335</v>
      </c>
      <c r="J24" t="s">
        <v>587</v>
      </c>
      <c r="K24" t="s">
        <v>388</v>
      </c>
      <c r="L24" s="158">
        <v>46299</v>
      </c>
      <c r="M24" t="s">
        <v>586</v>
      </c>
      <c r="N24" t="s">
        <v>178</v>
      </c>
      <c r="O24" t="s">
        <v>179</v>
      </c>
      <c r="P24">
        <v>3</v>
      </c>
      <c r="Q24" t="s">
        <v>180</v>
      </c>
    </row>
    <row r="25" spans="1:17" s="3" customFormat="1">
      <c r="A25" s="82">
        <v>6.4428432314814821E-2</v>
      </c>
      <c r="B25" t="s">
        <v>44</v>
      </c>
      <c r="C25" t="s">
        <v>483</v>
      </c>
      <c r="D25"/>
      <c r="E25" t="s">
        <v>9</v>
      </c>
      <c r="F25"/>
      <c r="G25" t="s">
        <v>113</v>
      </c>
      <c r="H25"/>
      <c r="I25" s="159">
        <v>46300.472824074073</v>
      </c>
      <c r="J25" t="s">
        <v>587</v>
      </c>
      <c r="K25" t="s">
        <v>388</v>
      </c>
      <c r="L25" s="158">
        <v>46299</v>
      </c>
      <c r="M25" t="s">
        <v>586</v>
      </c>
      <c r="N25" t="s">
        <v>178</v>
      </c>
      <c r="O25" t="s">
        <v>179</v>
      </c>
      <c r="P25">
        <v>3</v>
      </c>
      <c r="Q25" t="s">
        <v>180</v>
      </c>
    </row>
    <row r="26" spans="1:17" s="3" customFormat="1">
      <c r="A26" s="82">
        <v>6.4373730810185187E-2</v>
      </c>
      <c r="B26" t="s">
        <v>44</v>
      </c>
      <c r="C26"/>
      <c r="D26"/>
      <c r="E26" t="s">
        <v>137</v>
      </c>
      <c r="F26"/>
      <c r="G26" t="s">
        <v>113</v>
      </c>
      <c r="H26"/>
      <c r="I26" s="159">
        <v>46300.472534722219</v>
      </c>
      <c r="J26" t="s">
        <v>587</v>
      </c>
      <c r="K26" t="s">
        <v>388</v>
      </c>
      <c r="L26" s="158">
        <v>46299</v>
      </c>
      <c r="M26" t="s">
        <v>586</v>
      </c>
      <c r="N26" t="s">
        <v>178</v>
      </c>
      <c r="O26" t="s">
        <v>179</v>
      </c>
      <c r="P26">
        <v>3</v>
      </c>
      <c r="Q26" t="s">
        <v>180</v>
      </c>
    </row>
    <row r="27" spans="1:17" s="3" customFormat="1">
      <c r="A27" s="82">
        <v>6.4307508437499994E-2</v>
      </c>
      <c r="B27" t="s">
        <v>44</v>
      </c>
      <c r="C27"/>
      <c r="D27"/>
      <c r="E27" t="s">
        <v>49</v>
      </c>
      <c r="F27"/>
      <c r="G27" t="s">
        <v>47</v>
      </c>
      <c r="H27"/>
      <c r="I27" s="159">
        <v>46300.472442129627</v>
      </c>
      <c r="J27" t="s">
        <v>587</v>
      </c>
      <c r="K27" t="s">
        <v>388</v>
      </c>
      <c r="L27" s="158">
        <v>46299</v>
      </c>
      <c r="M27" t="s">
        <v>586</v>
      </c>
      <c r="N27" t="s">
        <v>178</v>
      </c>
      <c r="O27" t="s">
        <v>179</v>
      </c>
      <c r="P27">
        <v>3</v>
      </c>
      <c r="Q27" t="s">
        <v>180</v>
      </c>
    </row>
    <row r="28" spans="1:17" s="3" customFormat="1">
      <c r="A28" s="82">
        <v>6.4033047245370373E-2</v>
      </c>
      <c r="B28" t="s">
        <v>44</v>
      </c>
      <c r="C28"/>
      <c r="D28"/>
      <c r="E28" t="s">
        <v>64</v>
      </c>
      <c r="F28"/>
      <c r="G28" t="s">
        <v>113</v>
      </c>
      <c r="H28"/>
      <c r="I28" s="159">
        <v>46300.472210648149</v>
      </c>
      <c r="J28" t="s">
        <v>587</v>
      </c>
      <c r="K28" t="s">
        <v>388</v>
      </c>
      <c r="L28" s="158">
        <v>46299</v>
      </c>
      <c r="M28" t="s">
        <v>586</v>
      </c>
      <c r="N28" t="s">
        <v>178</v>
      </c>
      <c r="O28" t="s">
        <v>179</v>
      </c>
      <c r="P28">
        <v>3</v>
      </c>
      <c r="Q28" t="s">
        <v>180</v>
      </c>
    </row>
    <row r="29" spans="1:17" s="3" customFormat="1">
      <c r="A29" s="82">
        <v>6.3271428738425922E-2</v>
      </c>
      <c r="B29" t="s">
        <v>44</v>
      </c>
      <c r="C29"/>
      <c r="D29"/>
      <c r="E29" t="s">
        <v>37</v>
      </c>
      <c r="F29"/>
      <c r="G29" t="s">
        <v>47</v>
      </c>
      <c r="H29"/>
      <c r="I29" s="159">
        <v>46300.471261574072</v>
      </c>
      <c r="J29" t="s">
        <v>587</v>
      </c>
      <c r="K29" t="s">
        <v>388</v>
      </c>
      <c r="L29" s="158">
        <v>46299</v>
      </c>
      <c r="M29" t="s">
        <v>586</v>
      </c>
      <c r="N29" t="s">
        <v>178</v>
      </c>
      <c r="O29" t="s">
        <v>179</v>
      </c>
      <c r="P29">
        <v>3</v>
      </c>
      <c r="Q29" t="s">
        <v>180</v>
      </c>
    </row>
    <row r="30" spans="1:17" s="3" customFormat="1">
      <c r="A30" s="82">
        <v>6.3271428738425922E-2</v>
      </c>
      <c r="B30" t="s">
        <v>44</v>
      </c>
      <c r="C30"/>
      <c r="D30"/>
      <c r="E30" t="s">
        <v>52</v>
      </c>
      <c r="F30"/>
      <c r="G30" t="s">
        <v>113</v>
      </c>
      <c r="H30"/>
      <c r="I30" s="159">
        <v>46300.471250000002</v>
      </c>
      <c r="J30" t="s">
        <v>587</v>
      </c>
      <c r="K30" t="s">
        <v>388</v>
      </c>
      <c r="L30" s="158">
        <v>46299</v>
      </c>
      <c r="M30" t="s">
        <v>586</v>
      </c>
      <c r="N30" t="s">
        <v>178</v>
      </c>
      <c r="O30" t="s">
        <v>179</v>
      </c>
      <c r="P30">
        <v>3</v>
      </c>
      <c r="Q30" t="s">
        <v>180</v>
      </c>
    </row>
    <row r="31" spans="1:17" s="3" customFormat="1">
      <c r="A31" s="82">
        <v>6.3176192488425931E-2</v>
      </c>
      <c r="B31" t="s">
        <v>44</v>
      </c>
      <c r="C31" t="s">
        <v>32</v>
      </c>
      <c r="D31"/>
      <c r="E31" t="s">
        <v>132</v>
      </c>
      <c r="F31"/>
      <c r="G31" t="s">
        <v>47</v>
      </c>
      <c r="H31"/>
      <c r="I31" s="159">
        <v>46300.471238425926</v>
      </c>
      <c r="J31" t="s">
        <v>587</v>
      </c>
      <c r="K31" t="s">
        <v>388</v>
      </c>
      <c r="L31" s="158">
        <v>46299</v>
      </c>
      <c r="M31" t="s">
        <v>586</v>
      </c>
      <c r="N31" t="s">
        <v>178</v>
      </c>
      <c r="O31" t="s">
        <v>179</v>
      </c>
      <c r="P31">
        <v>3</v>
      </c>
      <c r="Q31" t="s">
        <v>180</v>
      </c>
    </row>
    <row r="32" spans="1:17" s="3" customFormat="1">
      <c r="A32" s="82">
        <v>6.3071974305555556E-2</v>
      </c>
      <c r="B32" t="s">
        <v>44</v>
      </c>
      <c r="C32" t="s">
        <v>493</v>
      </c>
      <c r="D32"/>
      <c r="E32" t="s">
        <v>406</v>
      </c>
      <c r="F32"/>
      <c r="G32" t="s">
        <v>47</v>
      </c>
      <c r="H32"/>
      <c r="I32" s="159">
        <v>46300.470925925925</v>
      </c>
      <c r="J32" t="s">
        <v>587</v>
      </c>
      <c r="K32" t="s">
        <v>388</v>
      </c>
      <c r="L32" s="158">
        <v>46299</v>
      </c>
      <c r="M32" t="s">
        <v>586</v>
      </c>
      <c r="N32" t="s">
        <v>178</v>
      </c>
      <c r="O32" t="s">
        <v>179</v>
      </c>
      <c r="P32">
        <v>3</v>
      </c>
      <c r="Q32" t="s">
        <v>180</v>
      </c>
    </row>
    <row r="33" spans="1:17" s="3" customFormat="1">
      <c r="A33" s="82">
        <v>6.3059567766203709E-2</v>
      </c>
      <c r="B33" t="s">
        <v>44</v>
      </c>
      <c r="C33" t="s">
        <v>491</v>
      </c>
      <c r="D33"/>
      <c r="E33" t="s">
        <v>406</v>
      </c>
      <c r="F33"/>
      <c r="G33" t="s">
        <v>47</v>
      </c>
      <c r="H33"/>
      <c r="I33" s="159">
        <v>46300.470833333333</v>
      </c>
      <c r="J33" t="s">
        <v>587</v>
      </c>
      <c r="K33" t="s">
        <v>388</v>
      </c>
      <c r="L33" s="158">
        <v>46299</v>
      </c>
      <c r="M33" t="s">
        <v>586</v>
      </c>
      <c r="N33" t="s">
        <v>178</v>
      </c>
      <c r="O33" t="s">
        <v>179</v>
      </c>
      <c r="P33">
        <v>3</v>
      </c>
      <c r="Q33" t="s">
        <v>180</v>
      </c>
    </row>
    <row r="34" spans="1:17" s="3" customFormat="1">
      <c r="A34" s="82">
        <v>6.2948888379629628E-2</v>
      </c>
      <c r="B34" t="s">
        <v>44</v>
      </c>
      <c r="C34" t="s">
        <v>489</v>
      </c>
      <c r="D34"/>
      <c r="E34" t="s">
        <v>406</v>
      </c>
      <c r="F34"/>
      <c r="G34" t="s">
        <v>47</v>
      </c>
      <c r="H34"/>
      <c r="I34" s="159">
        <v>46300.470636574071</v>
      </c>
      <c r="J34" t="s">
        <v>587</v>
      </c>
      <c r="K34" t="s">
        <v>388</v>
      </c>
      <c r="L34" s="158">
        <v>46299</v>
      </c>
      <c r="M34" t="s">
        <v>586</v>
      </c>
      <c r="N34" t="s">
        <v>178</v>
      </c>
      <c r="O34" t="s">
        <v>179</v>
      </c>
      <c r="P34">
        <v>3</v>
      </c>
      <c r="Q34" t="s">
        <v>180</v>
      </c>
    </row>
    <row r="35" spans="1:17" s="3" customFormat="1">
      <c r="A35" s="82">
        <v>6.2847806006944437E-2</v>
      </c>
      <c r="B35" t="s">
        <v>44</v>
      </c>
      <c r="C35" t="s">
        <v>483</v>
      </c>
      <c r="D35"/>
      <c r="E35" t="s">
        <v>406</v>
      </c>
      <c r="F35"/>
      <c r="G35" t="s">
        <v>47</v>
      </c>
      <c r="H35"/>
      <c r="I35" s="159">
        <v>46300.470266203702</v>
      </c>
      <c r="J35" t="s">
        <v>587</v>
      </c>
      <c r="K35" t="s">
        <v>388</v>
      </c>
      <c r="L35" s="158">
        <v>46299</v>
      </c>
      <c r="M35" t="s">
        <v>586</v>
      </c>
      <c r="N35" t="s">
        <v>178</v>
      </c>
      <c r="O35" t="s">
        <v>179</v>
      </c>
      <c r="P35">
        <v>3</v>
      </c>
      <c r="Q35" t="s">
        <v>180</v>
      </c>
    </row>
    <row r="36" spans="1:17" s="3" customFormat="1">
      <c r="A36" s="82">
        <v>6.2813186504629637E-2</v>
      </c>
      <c r="B36" t="s">
        <v>44</v>
      </c>
      <c r="C36" t="s">
        <v>496</v>
      </c>
      <c r="D36"/>
      <c r="E36" t="s">
        <v>406</v>
      </c>
      <c r="F36"/>
      <c r="G36" t="s">
        <v>47</v>
      </c>
      <c r="H36"/>
      <c r="I36" s="159">
        <v>46300.470196759263</v>
      </c>
      <c r="J36" t="s">
        <v>587</v>
      </c>
      <c r="K36" t="s">
        <v>388</v>
      </c>
      <c r="L36" s="158">
        <v>46299</v>
      </c>
      <c r="M36" t="s">
        <v>586</v>
      </c>
      <c r="N36" t="s">
        <v>178</v>
      </c>
      <c r="O36" t="s">
        <v>179</v>
      </c>
      <c r="P36">
        <v>3</v>
      </c>
      <c r="Q36" t="s">
        <v>180</v>
      </c>
    </row>
    <row r="37" spans="1:17" s="3" customFormat="1">
      <c r="A37" s="82">
        <v>6.2788198321759262E-2</v>
      </c>
      <c r="B37" t="s">
        <v>44</v>
      </c>
      <c r="C37" t="s">
        <v>491</v>
      </c>
      <c r="D37"/>
      <c r="E37" t="s">
        <v>406</v>
      </c>
      <c r="F37"/>
      <c r="G37" t="s">
        <v>47</v>
      </c>
      <c r="H37"/>
      <c r="I37" s="159">
        <v>46300.470069444447</v>
      </c>
      <c r="J37" t="s">
        <v>587</v>
      </c>
      <c r="K37" t="s">
        <v>388</v>
      </c>
      <c r="L37" s="158">
        <v>46299</v>
      </c>
      <c r="M37" t="s">
        <v>586</v>
      </c>
      <c r="N37" t="s">
        <v>178</v>
      </c>
      <c r="O37" t="s">
        <v>179</v>
      </c>
      <c r="P37">
        <v>3</v>
      </c>
      <c r="Q37" t="s">
        <v>180</v>
      </c>
    </row>
    <row r="38" spans="1:17" s="3" customFormat="1">
      <c r="A38" s="82">
        <v>6.2788198321759262E-2</v>
      </c>
      <c r="B38" t="s">
        <v>44</v>
      </c>
      <c r="C38" t="s">
        <v>492</v>
      </c>
      <c r="D38"/>
      <c r="E38" t="s">
        <v>406</v>
      </c>
      <c r="F38"/>
      <c r="G38" t="s">
        <v>47</v>
      </c>
      <c r="H38"/>
      <c r="I38" s="159">
        <v>46300.470057870371</v>
      </c>
      <c r="J38" t="s">
        <v>587</v>
      </c>
      <c r="K38" t="s">
        <v>388</v>
      </c>
      <c r="L38" s="158">
        <v>46299</v>
      </c>
      <c r="M38" t="s">
        <v>586</v>
      </c>
      <c r="N38" t="s">
        <v>178</v>
      </c>
      <c r="O38" t="s">
        <v>179</v>
      </c>
      <c r="P38">
        <v>3</v>
      </c>
      <c r="Q38" t="s">
        <v>180</v>
      </c>
    </row>
    <row r="39" spans="1:17" s="3" customFormat="1">
      <c r="A39" s="82">
        <v>6.2736839490740742E-2</v>
      </c>
      <c r="B39" t="s">
        <v>44</v>
      </c>
      <c r="C39"/>
      <c r="D39"/>
      <c r="E39" t="s">
        <v>135</v>
      </c>
      <c r="F39"/>
      <c r="G39" t="s">
        <v>47</v>
      </c>
      <c r="H39"/>
      <c r="I39" s="159">
        <v>46300.469386574077</v>
      </c>
      <c r="J39" t="s">
        <v>587</v>
      </c>
      <c r="K39" t="s">
        <v>388</v>
      </c>
      <c r="L39" s="158">
        <v>46299</v>
      </c>
      <c r="M39" t="s">
        <v>586</v>
      </c>
      <c r="N39" t="s">
        <v>178</v>
      </c>
      <c r="O39" t="s">
        <v>179</v>
      </c>
      <c r="P39">
        <v>3</v>
      </c>
      <c r="Q39" t="s">
        <v>180</v>
      </c>
    </row>
    <row r="40" spans="1:17" s="3" customFormat="1">
      <c r="A40" s="82">
        <v>6.2736839490740742E-2</v>
      </c>
      <c r="B40" t="s">
        <v>44</v>
      </c>
      <c r="C40"/>
      <c r="D40"/>
      <c r="E40" t="s">
        <v>49</v>
      </c>
      <c r="F40"/>
      <c r="G40" t="s">
        <v>113</v>
      </c>
      <c r="H40"/>
      <c r="I40" s="159">
        <v>46300.469363425924</v>
      </c>
      <c r="J40" t="s">
        <v>587</v>
      </c>
      <c r="K40" t="s">
        <v>388</v>
      </c>
      <c r="L40" s="158">
        <v>46299</v>
      </c>
      <c r="M40" t="s">
        <v>586</v>
      </c>
      <c r="N40" t="s">
        <v>178</v>
      </c>
      <c r="O40" t="s">
        <v>179</v>
      </c>
      <c r="P40">
        <v>3</v>
      </c>
      <c r="Q40" t="s">
        <v>180</v>
      </c>
    </row>
    <row r="41" spans="1:17" s="3" customFormat="1">
      <c r="A41" s="82">
        <v>6.1324196006944443E-2</v>
      </c>
      <c r="B41" t="s">
        <v>44</v>
      </c>
      <c r="C41"/>
      <c r="D41"/>
      <c r="E41" t="s">
        <v>37</v>
      </c>
      <c r="F41"/>
      <c r="G41" t="s">
        <v>47</v>
      </c>
      <c r="H41"/>
      <c r="I41" s="159">
        <v>46300.468344907407</v>
      </c>
      <c r="J41" t="s">
        <v>587</v>
      </c>
      <c r="K41" t="s">
        <v>388</v>
      </c>
      <c r="L41" s="158">
        <v>46299</v>
      </c>
      <c r="M41" t="s">
        <v>586</v>
      </c>
      <c r="N41" t="s">
        <v>178</v>
      </c>
      <c r="O41" t="s">
        <v>179</v>
      </c>
      <c r="P41">
        <v>3</v>
      </c>
      <c r="Q41" t="s">
        <v>180</v>
      </c>
    </row>
    <row r="42" spans="1:17" s="3" customFormat="1">
      <c r="A42" s="82">
        <v>6.1324196006944443E-2</v>
      </c>
      <c r="B42" t="s">
        <v>44</v>
      </c>
      <c r="C42"/>
      <c r="D42"/>
      <c r="E42" t="s">
        <v>160</v>
      </c>
      <c r="F42" t="s">
        <v>540</v>
      </c>
      <c r="G42" t="s">
        <v>47</v>
      </c>
      <c r="H42"/>
      <c r="I42" s="159">
        <v>46300.468344907407</v>
      </c>
      <c r="J42" t="s">
        <v>587</v>
      </c>
      <c r="K42" t="s">
        <v>388</v>
      </c>
      <c r="L42" s="158">
        <v>46299</v>
      </c>
      <c r="M42" t="s">
        <v>586</v>
      </c>
      <c r="N42" t="s">
        <v>178</v>
      </c>
      <c r="O42" t="s">
        <v>179</v>
      </c>
      <c r="P42">
        <v>3</v>
      </c>
      <c r="Q42" t="s">
        <v>180</v>
      </c>
    </row>
    <row r="43" spans="1:17" s="3" customFormat="1">
      <c r="A43" s="82">
        <v>6.1296551759259257E-2</v>
      </c>
      <c r="B43" t="s">
        <v>44</v>
      </c>
      <c r="C43"/>
      <c r="D43"/>
      <c r="E43" t="s">
        <v>133</v>
      </c>
      <c r="F43"/>
      <c r="G43" t="s">
        <v>47</v>
      </c>
      <c r="H43"/>
      <c r="I43" s="159">
        <v>46300.468275462961</v>
      </c>
      <c r="J43" t="s">
        <v>587</v>
      </c>
      <c r="K43" t="s">
        <v>388</v>
      </c>
      <c r="L43" s="158">
        <v>46299</v>
      </c>
      <c r="M43" t="s">
        <v>586</v>
      </c>
      <c r="N43" t="s">
        <v>178</v>
      </c>
      <c r="O43" t="s">
        <v>179</v>
      </c>
      <c r="P43">
        <v>3</v>
      </c>
      <c r="Q43" t="s">
        <v>180</v>
      </c>
    </row>
    <row r="44" spans="1:17" s="3" customFormat="1">
      <c r="A44" s="82">
        <v>6.1207663159722217E-2</v>
      </c>
      <c r="B44" t="s">
        <v>44</v>
      </c>
      <c r="C44"/>
      <c r="D44"/>
      <c r="E44" t="s">
        <v>219</v>
      </c>
      <c r="F44"/>
      <c r="G44" t="s">
        <v>113</v>
      </c>
      <c r="H44"/>
      <c r="I44" s="159">
        <v>46300.468148148146</v>
      </c>
      <c r="J44" t="s">
        <v>587</v>
      </c>
      <c r="K44" t="s">
        <v>388</v>
      </c>
      <c r="L44" s="158">
        <v>46299</v>
      </c>
      <c r="M44" t="s">
        <v>586</v>
      </c>
      <c r="N44" t="s">
        <v>178</v>
      </c>
      <c r="O44" t="s">
        <v>179</v>
      </c>
      <c r="P44">
        <v>3</v>
      </c>
      <c r="Q44" t="s">
        <v>180</v>
      </c>
    </row>
    <row r="45" spans="1:17" s="3" customFormat="1">
      <c r="A45" s="82">
        <v>6.1058776840277773E-2</v>
      </c>
      <c r="B45" t="s">
        <v>44</v>
      </c>
      <c r="C45"/>
      <c r="D45"/>
      <c r="E45" t="s">
        <v>62</v>
      </c>
      <c r="F45"/>
      <c r="G45" t="s">
        <v>113</v>
      </c>
      <c r="H45"/>
      <c r="I45" s="159">
        <v>46300.467372685183</v>
      </c>
      <c r="J45" t="s">
        <v>587</v>
      </c>
      <c r="K45" t="s">
        <v>388</v>
      </c>
      <c r="L45" s="158">
        <v>46299</v>
      </c>
      <c r="M45" t="s">
        <v>586</v>
      </c>
      <c r="N45" t="s">
        <v>178</v>
      </c>
      <c r="O45" t="s">
        <v>179</v>
      </c>
      <c r="P45">
        <v>3</v>
      </c>
      <c r="Q45" t="s">
        <v>180</v>
      </c>
    </row>
    <row r="46" spans="1:17" s="3" customFormat="1">
      <c r="A46" s="82">
        <v>6.1058776840277773E-2</v>
      </c>
      <c r="B46" t="s">
        <v>44</v>
      </c>
      <c r="C46"/>
      <c r="D46"/>
      <c r="E46" t="s">
        <v>53</v>
      </c>
      <c r="F46"/>
      <c r="G46" t="s">
        <v>113</v>
      </c>
      <c r="H46"/>
      <c r="I46" s="159">
        <v>46300.467060185183</v>
      </c>
      <c r="J46" t="s">
        <v>587</v>
      </c>
      <c r="K46" t="s">
        <v>388</v>
      </c>
      <c r="L46" s="158">
        <v>46299</v>
      </c>
      <c r="M46" t="s">
        <v>586</v>
      </c>
      <c r="N46" t="s">
        <v>178</v>
      </c>
      <c r="O46" t="s">
        <v>179</v>
      </c>
      <c r="P46">
        <v>3</v>
      </c>
      <c r="Q46" t="s">
        <v>180</v>
      </c>
    </row>
    <row r="47" spans="1:17" s="3" customFormat="1">
      <c r="A47" s="82">
        <v>6.0537137650462966E-2</v>
      </c>
      <c r="B47" t="s">
        <v>44</v>
      </c>
      <c r="C47"/>
      <c r="D47"/>
      <c r="E47" t="s">
        <v>37</v>
      </c>
      <c r="F47"/>
      <c r="G47" t="s">
        <v>47</v>
      </c>
      <c r="H47"/>
      <c r="I47" s="159">
        <v>46300.466631944444</v>
      </c>
      <c r="J47" t="s">
        <v>587</v>
      </c>
      <c r="K47" t="s">
        <v>388</v>
      </c>
      <c r="L47" s="158">
        <v>46299</v>
      </c>
      <c r="M47" t="s">
        <v>586</v>
      </c>
      <c r="N47" t="s">
        <v>178</v>
      </c>
      <c r="O47" t="s">
        <v>179</v>
      </c>
      <c r="P47">
        <v>3</v>
      </c>
      <c r="Q47" t="s">
        <v>180</v>
      </c>
    </row>
    <row r="48" spans="1:17" s="3" customFormat="1">
      <c r="A48" s="82">
        <v>6.0466351250000001E-2</v>
      </c>
      <c r="B48" t="s">
        <v>44</v>
      </c>
      <c r="C48"/>
      <c r="D48"/>
      <c r="E48" t="s">
        <v>133</v>
      </c>
      <c r="F48"/>
      <c r="G48" t="s">
        <v>47</v>
      </c>
      <c r="H48"/>
      <c r="I48" s="159">
        <v>46300.466562499998</v>
      </c>
      <c r="J48" t="s">
        <v>587</v>
      </c>
      <c r="K48" t="s">
        <v>388</v>
      </c>
      <c r="L48" s="158">
        <v>46299</v>
      </c>
      <c r="M48" t="s">
        <v>586</v>
      </c>
      <c r="N48" t="s">
        <v>178</v>
      </c>
      <c r="O48" t="s">
        <v>179</v>
      </c>
      <c r="P48">
        <v>3</v>
      </c>
      <c r="Q48" t="s">
        <v>180</v>
      </c>
    </row>
    <row r="49" spans="1:17" s="3" customFormat="1">
      <c r="A49" s="82">
        <v>6.0417209236111109E-2</v>
      </c>
      <c r="B49" t="s">
        <v>44</v>
      </c>
      <c r="C49"/>
      <c r="D49"/>
      <c r="E49" t="s">
        <v>54</v>
      </c>
      <c r="F49"/>
      <c r="G49" t="s">
        <v>47</v>
      </c>
      <c r="H49"/>
      <c r="I49" s="159">
        <v>46300.466516203705</v>
      </c>
      <c r="J49" t="s">
        <v>587</v>
      </c>
      <c r="K49" t="s">
        <v>388</v>
      </c>
      <c r="L49" s="158">
        <v>46299</v>
      </c>
      <c r="M49" t="s">
        <v>586</v>
      </c>
      <c r="N49" t="s">
        <v>178</v>
      </c>
      <c r="O49" t="s">
        <v>179</v>
      </c>
      <c r="P49">
        <v>3</v>
      </c>
      <c r="Q49" t="s">
        <v>180</v>
      </c>
    </row>
    <row r="50" spans="1:17" s="3" customFormat="1">
      <c r="A50" s="82">
        <v>5.9982515405092592E-2</v>
      </c>
      <c r="B50" t="s">
        <v>44</v>
      </c>
      <c r="C50"/>
      <c r="D50"/>
      <c r="E50" t="s">
        <v>37</v>
      </c>
      <c r="F50"/>
      <c r="G50" t="s">
        <v>47</v>
      </c>
      <c r="H50"/>
      <c r="I50" s="159">
        <v>46300.466365740744</v>
      </c>
      <c r="J50" t="s">
        <v>587</v>
      </c>
      <c r="K50" t="s">
        <v>388</v>
      </c>
      <c r="L50" s="158">
        <v>46299</v>
      </c>
      <c r="M50" t="s">
        <v>586</v>
      </c>
      <c r="N50" t="s">
        <v>178</v>
      </c>
      <c r="O50" t="s">
        <v>179</v>
      </c>
      <c r="P50">
        <v>3</v>
      </c>
      <c r="Q50" t="s">
        <v>180</v>
      </c>
    </row>
    <row r="51" spans="1:17" s="3" customFormat="1">
      <c r="A51" s="82">
        <v>5.9957984791666669E-2</v>
      </c>
      <c r="B51" t="s">
        <v>44</v>
      </c>
      <c r="C51"/>
      <c r="D51"/>
      <c r="E51" t="s">
        <v>132</v>
      </c>
      <c r="F51"/>
      <c r="G51" t="s">
        <v>113</v>
      </c>
      <c r="H51"/>
      <c r="I51" s="159">
        <v>46300.46634259259</v>
      </c>
      <c r="J51" t="s">
        <v>587</v>
      </c>
      <c r="K51" t="s">
        <v>388</v>
      </c>
      <c r="L51" s="158">
        <v>46299</v>
      </c>
      <c r="M51" t="s">
        <v>586</v>
      </c>
      <c r="N51" t="s">
        <v>178</v>
      </c>
      <c r="O51" t="s">
        <v>179</v>
      </c>
      <c r="P51">
        <v>3</v>
      </c>
      <c r="Q51" t="s">
        <v>180</v>
      </c>
    </row>
    <row r="52" spans="1:17" s="3" customFormat="1">
      <c r="A52" s="82">
        <v>5.9741311296296291E-2</v>
      </c>
      <c r="B52" t="s">
        <v>44</v>
      </c>
      <c r="C52"/>
      <c r="D52"/>
      <c r="E52" t="s">
        <v>50</v>
      </c>
      <c r="F52"/>
      <c r="G52" t="s">
        <v>113</v>
      </c>
      <c r="H52"/>
      <c r="I52" s="159">
        <v>46300.466041666667</v>
      </c>
      <c r="J52" t="s">
        <v>587</v>
      </c>
      <c r="K52" t="s">
        <v>388</v>
      </c>
      <c r="L52" s="158">
        <v>46299</v>
      </c>
      <c r="M52" t="s">
        <v>586</v>
      </c>
      <c r="N52" t="s">
        <v>178</v>
      </c>
      <c r="O52" t="s">
        <v>179</v>
      </c>
      <c r="P52">
        <v>3</v>
      </c>
      <c r="Q52" t="s">
        <v>180</v>
      </c>
    </row>
    <row r="53" spans="1:17" s="3" customFormat="1">
      <c r="A53" s="82">
        <v>5.9322183275462965E-2</v>
      </c>
      <c r="B53" t="s">
        <v>44</v>
      </c>
      <c r="C53" t="s">
        <v>488</v>
      </c>
      <c r="D53"/>
      <c r="E53" t="s">
        <v>262</v>
      </c>
      <c r="F53"/>
      <c r="G53" t="s">
        <v>113</v>
      </c>
      <c r="H53"/>
      <c r="I53" s="159">
        <v>46300.465798611112</v>
      </c>
      <c r="J53" t="s">
        <v>587</v>
      </c>
      <c r="K53" t="s">
        <v>388</v>
      </c>
      <c r="L53" s="158">
        <v>46299</v>
      </c>
      <c r="M53" t="s">
        <v>586</v>
      </c>
      <c r="N53" t="s">
        <v>178</v>
      </c>
      <c r="O53" t="s">
        <v>179</v>
      </c>
      <c r="P53">
        <v>3</v>
      </c>
      <c r="Q53" t="s">
        <v>180</v>
      </c>
    </row>
    <row r="54" spans="1:17" s="3" customFormat="1">
      <c r="A54" s="82">
        <v>5.9295462048611115E-2</v>
      </c>
      <c r="B54" t="s">
        <v>44</v>
      </c>
      <c r="C54"/>
      <c r="D54"/>
      <c r="E54" t="s">
        <v>37</v>
      </c>
      <c r="F54"/>
      <c r="G54" t="s">
        <v>113</v>
      </c>
      <c r="H54"/>
      <c r="I54" s="159">
        <v>46300.465752314813</v>
      </c>
      <c r="J54" t="s">
        <v>587</v>
      </c>
      <c r="K54" t="s">
        <v>388</v>
      </c>
      <c r="L54" s="158">
        <v>46299</v>
      </c>
      <c r="M54" t="s">
        <v>586</v>
      </c>
      <c r="N54" t="s">
        <v>178</v>
      </c>
      <c r="O54" t="s">
        <v>179</v>
      </c>
      <c r="P54">
        <v>3</v>
      </c>
      <c r="Q54" t="s">
        <v>180</v>
      </c>
    </row>
    <row r="55" spans="1:17" s="3" customFormat="1">
      <c r="A55" s="82">
        <v>5.9295462048611115E-2</v>
      </c>
      <c r="B55" t="s">
        <v>44</v>
      </c>
      <c r="C55" t="s">
        <v>488</v>
      </c>
      <c r="D55" t="s">
        <v>169</v>
      </c>
      <c r="E55" t="s">
        <v>161</v>
      </c>
      <c r="F55" t="s">
        <v>520</v>
      </c>
      <c r="G55" t="s">
        <v>113</v>
      </c>
      <c r="H55"/>
      <c r="I55" s="159">
        <v>46300.465752314813</v>
      </c>
      <c r="J55" t="s">
        <v>587</v>
      </c>
      <c r="K55" t="s">
        <v>388</v>
      </c>
      <c r="L55" s="158">
        <v>46299</v>
      </c>
      <c r="M55" t="s">
        <v>586</v>
      </c>
      <c r="N55" t="s">
        <v>178</v>
      </c>
      <c r="O55" t="s">
        <v>179</v>
      </c>
      <c r="P55">
        <v>3</v>
      </c>
      <c r="Q55" t="s">
        <v>180</v>
      </c>
    </row>
    <row r="56" spans="1:17" s="3" customFormat="1">
      <c r="A56" s="82">
        <v>5.9010815671296298E-2</v>
      </c>
      <c r="B56" t="s">
        <v>44</v>
      </c>
      <c r="C56"/>
      <c r="D56"/>
      <c r="E56" t="s">
        <v>62</v>
      </c>
      <c r="F56"/>
      <c r="G56" t="s">
        <v>113</v>
      </c>
      <c r="H56"/>
      <c r="I56" s="159">
        <v>46300.465497685182</v>
      </c>
      <c r="J56" t="s">
        <v>587</v>
      </c>
      <c r="K56" t="s">
        <v>388</v>
      </c>
      <c r="L56" s="158">
        <v>46299</v>
      </c>
      <c r="M56" t="s">
        <v>586</v>
      </c>
      <c r="N56" t="s">
        <v>178</v>
      </c>
      <c r="O56" t="s">
        <v>179</v>
      </c>
      <c r="P56">
        <v>3</v>
      </c>
      <c r="Q56" t="s">
        <v>180</v>
      </c>
    </row>
    <row r="57" spans="1:17" s="3" customFormat="1">
      <c r="A57" s="82">
        <v>5.8927221886574073E-2</v>
      </c>
      <c r="B57" t="s">
        <v>44</v>
      </c>
      <c r="C57"/>
      <c r="D57"/>
      <c r="E57" t="s">
        <v>53</v>
      </c>
      <c r="F57"/>
      <c r="G57" t="s">
        <v>113</v>
      </c>
      <c r="H57"/>
      <c r="I57" s="159">
        <v>46300.465127314812</v>
      </c>
      <c r="J57" t="s">
        <v>587</v>
      </c>
      <c r="K57" t="s">
        <v>388</v>
      </c>
      <c r="L57" s="158">
        <v>46299</v>
      </c>
      <c r="M57" t="s">
        <v>586</v>
      </c>
      <c r="N57" t="s">
        <v>178</v>
      </c>
      <c r="O57" t="s">
        <v>179</v>
      </c>
      <c r="P57">
        <v>3</v>
      </c>
      <c r="Q57" t="s">
        <v>180</v>
      </c>
    </row>
    <row r="58" spans="1:17" s="3" customFormat="1">
      <c r="A58" s="82">
        <v>5.8628874907407411E-2</v>
      </c>
      <c r="B58" t="s">
        <v>44</v>
      </c>
      <c r="C58"/>
      <c r="D58"/>
      <c r="E58" t="s">
        <v>37</v>
      </c>
      <c r="F58"/>
      <c r="G58" t="s">
        <v>47</v>
      </c>
      <c r="H58"/>
      <c r="I58" s="159">
        <v>46300.463402777779</v>
      </c>
      <c r="J58" t="s">
        <v>587</v>
      </c>
      <c r="K58" t="s">
        <v>388</v>
      </c>
      <c r="L58" s="158">
        <v>46299</v>
      </c>
      <c r="M58" t="s">
        <v>586</v>
      </c>
      <c r="N58" t="s">
        <v>178</v>
      </c>
      <c r="O58" t="s">
        <v>179</v>
      </c>
      <c r="P58">
        <v>3</v>
      </c>
      <c r="Q58" t="s">
        <v>180</v>
      </c>
    </row>
    <row r="59" spans="1:17" s="3" customFormat="1">
      <c r="A59" s="82">
        <v>5.8582215532407403E-2</v>
      </c>
      <c r="B59" t="s">
        <v>44</v>
      </c>
      <c r="C59"/>
      <c r="D59"/>
      <c r="E59" t="s">
        <v>133</v>
      </c>
      <c r="F59"/>
      <c r="G59" t="s">
        <v>47</v>
      </c>
      <c r="H59"/>
      <c r="I59" s="159">
        <v>46300.463356481479</v>
      </c>
      <c r="J59" t="s">
        <v>587</v>
      </c>
      <c r="K59" t="s">
        <v>388</v>
      </c>
      <c r="L59" s="158">
        <v>46299</v>
      </c>
      <c r="M59" t="s">
        <v>586</v>
      </c>
      <c r="N59" t="s">
        <v>178</v>
      </c>
      <c r="O59" t="s">
        <v>179</v>
      </c>
      <c r="P59">
        <v>3</v>
      </c>
      <c r="Q59" t="s">
        <v>180</v>
      </c>
    </row>
    <row r="60" spans="1:17" s="3" customFormat="1">
      <c r="A60" s="82">
        <v>5.854888844907407E-2</v>
      </c>
      <c r="B60" t="s">
        <v>44</v>
      </c>
      <c r="C60"/>
      <c r="D60"/>
      <c r="E60" t="s">
        <v>135</v>
      </c>
      <c r="F60"/>
      <c r="G60" t="s">
        <v>47</v>
      </c>
      <c r="H60"/>
      <c r="I60" s="159">
        <v>46300.463321759256</v>
      </c>
      <c r="J60" t="s">
        <v>587</v>
      </c>
      <c r="K60" t="s">
        <v>388</v>
      </c>
      <c r="L60" s="158">
        <v>46299</v>
      </c>
      <c r="M60" t="s">
        <v>586</v>
      </c>
      <c r="N60" t="s">
        <v>178</v>
      </c>
      <c r="O60" t="s">
        <v>179</v>
      </c>
      <c r="P60">
        <v>3</v>
      </c>
      <c r="Q60" t="s">
        <v>180</v>
      </c>
    </row>
    <row r="61" spans="1:17" s="3" customFormat="1">
      <c r="A61" s="82">
        <v>5.8462898969907404E-2</v>
      </c>
      <c r="B61" t="s">
        <v>44</v>
      </c>
      <c r="C61"/>
      <c r="D61"/>
      <c r="E61" t="s">
        <v>49</v>
      </c>
      <c r="F61"/>
      <c r="G61" t="s">
        <v>113</v>
      </c>
      <c r="H61"/>
      <c r="I61" s="159">
        <v>46300.463240740741</v>
      </c>
      <c r="J61" t="s">
        <v>587</v>
      </c>
      <c r="K61" t="s">
        <v>388</v>
      </c>
      <c r="L61" s="158">
        <v>46299</v>
      </c>
      <c r="M61" t="s">
        <v>586</v>
      </c>
      <c r="N61" t="s">
        <v>178</v>
      </c>
      <c r="O61" t="s">
        <v>179</v>
      </c>
      <c r="P61">
        <v>3</v>
      </c>
      <c r="Q61" t="s">
        <v>180</v>
      </c>
    </row>
    <row r="62" spans="1:17" s="3" customFormat="1">
      <c r="A62" s="82">
        <v>5.7747043495370368E-2</v>
      </c>
      <c r="B62" t="s">
        <v>44</v>
      </c>
      <c r="C62"/>
      <c r="D62"/>
      <c r="E62" t="s">
        <v>37</v>
      </c>
      <c r="F62"/>
      <c r="G62" t="s">
        <v>47</v>
      </c>
      <c r="H62"/>
      <c r="I62" s="159">
        <v>46300.463009259256</v>
      </c>
      <c r="J62" t="s">
        <v>587</v>
      </c>
      <c r="K62" t="s">
        <v>388</v>
      </c>
      <c r="L62" s="158">
        <v>46299</v>
      </c>
      <c r="M62" t="s">
        <v>586</v>
      </c>
      <c r="N62" t="s">
        <v>178</v>
      </c>
      <c r="O62" t="s">
        <v>179</v>
      </c>
      <c r="P62">
        <v>3</v>
      </c>
      <c r="Q62" t="s">
        <v>180</v>
      </c>
    </row>
    <row r="63" spans="1:17" s="3" customFormat="1">
      <c r="A63" s="82">
        <v>5.7747043495370368E-2</v>
      </c>
      <c r="B63" t="s">
        <v>44</v>
      </c>
      <c r="C63"/>
      <c r="D63"/>
      <c r="E63" t="s">
        <v>160</v>
      </c>
      <c r="F63" t="s">
        <v>530</v>
      </c>
      <c r="G63" t="s">
        <v>47</v>
      </c>
      <c r="H63"/>
      <c r="I63" s="159">
        <v>46300.463009259256</v>
      </c>
      <c r="J63" t="s">
        <v>587</v>
      </c>
      <c r="K63" t="s">
        <v>388</v>
      </c>
      <c r="L63" s="158">
        <v>46299</v>
      </c>
      <c r="M63" t="s">
        <v>586</v>
      </c>
      <c r="N63" t="s">
        <v>178</v>
      </c>
      <c r="O63" t="s">
        <v>179</v>
      </c>
      <c r="P63">
        <v>3</v>
      </c>
      <c r="Q63" t="s">
        <v>180</v>
      </c>
    </row>
    <row r="64" spans="1:17" s="3" customFormat="1">
      <c r="A64" s="82">
        <v>5.7425238194444443E-2</v>
      </c>
      <c r="B64" t="s">
        <v>44</v>
      </c>
      <c r="C64" t="s">
        <v>593</v>
      </c>
      <c r="D64"/>
      <c r="E64" t="s">
        <v>59</v>
      </c>
      <c r="F64"/>
      <c r="G64" t="s">
        <v>113</v>
      </c>
      <c r="H64"/>
      <c r="I64" s="159">
        <v>46300.462569444448</v>
      </c>
      <c r="J64" t="s">
        <v>587</v>
      </c>
      <c r="K64" t="s">
        <v>388</v>
      </c>
      <c r="L64" s="158">
        <v>46299</v>
      </c>
      <c r="M64" t="s">
        <v>586</v>
      </c>
      <c r="N64" t="s">
        <v>178</v>
      </c>
      <c r="O64" t="s">
        <v>179</v>
      </c>
      <c r="P64">
        <v>3</v>
      </c>
      <c r="Q64" t="s">
        <v>180</v>
      </c>
    </row>
    <row r="65" spans="1:17" s="3" customFormat="1">
      <c r="A65" s="82">
        <v>5.7399852696759263E-2</v>
      </c>
      <c r="B65" t="s">
        <v>44</v>
      </c>
      <c r="C65"/>
      <c r="D65"/>
      <c r="E65" t="s">
        <v>53</v>
      </c>
      <c r="F65"/>
      <c r="G65" t="s">
        <v>113</v>
      </c>
      <c r="H65"/>
      <c r="I65" s="159">
        <v>46300.462118055555</v>
      </c>
      <c r="J65" t="s">
        <v>587</v>
      </c>
      <c r="K65" t="s">
        <v>388</v>
      </c>
      <c r="L65" s="158">
        <v>46299</v>
      </c>
      <c r="M65" t="s">
        <v>586</v>
      </c>
      <c r="N65" t="s">
        <v>178</v>
      </c>
      <c r="O65" t="s">
        <v>179</v>
      </c>
      <c r="P65">
        <v>3</v>
      </c>
      <c r="Q65" t="s">
        <v>180</v>
      </c>
    </row>
    <row r="66" spans="1:17" s="3" customFormat="1">
      <c r="A66" s="82">
        <v>5.7077340624999993E-2</v>
      </c>
      <c r="B66" t="s">
        <v>44</v>
      </c>
      <c r="C66"/>
      <c r="D66"/>
      <c r="E66" t="s">
        <v>37</v>
      </c>
      <c r="F66"/>
      <c r="G66" t="s">
        <v>113</v>
      </c>
      <c r="H66"/>
      <c r="I66" s="159">
        <v>46300.462025462963</v>
      </c>
      <c r="J66" t="s">
        <v>587</v>
      </c>
      <c r="K66" t="s">
        <v>388</v>
      </c>
      <c r="L66" s="158">
        <v>46299</v>
      </c>
      <c r="M66" t="s">
        <v>586</v>
      </c>
      <c r="N66" t="s">
        <v>178</v>
      </c>
      <c r="O66" t="s">
        <v>179</v>
      </c>
      <c r="P66">
        <v>3</v>
      </c>
      <c r="Q66" t="s">
        <v>180</v>
      </c>
    </row>
    <row r="67" spans="1:17" s="3" customFormat="1">
      <c r="A67" s="82">
        <v>5.7052738298611114E-2</v>
      </c>
      <c r="B67" t="s">
        <v>44</v>
      </c>
      <c r="C67"/>
      <c r="D67"/>
      <c r="E67" t="s">
        <v>133</v>
      </c>
      <c r="F67"/>
      <c r="G67" t="s">
        <v>113</v>
      </c>
      <c r="H67"/>
      <c r="I67" s="159">
        <v>46300.462002314816</v>
      </c>
      <c r="J67" t="s">
        <v>587</v>
      </c>
      <c r="K67" t="s">
        <v>388</v>
      </c>
      <c r="L67" s="158">
        <v>46299</v>
      </c>
      <c r="M67" t="s">
        <v>586</v>
      </c>
      <c r="N67" t="s">
        <v>178</v>
      </c>
      <c r="O67" t="s">
        <v>179</v>
      </c>
      <c r="P67">
        <v>3</v>
      </c>
      <c r="Q67" t="s">
        <v>180</v>
      </c>
    </row>
    <row r="68" spans="1:17" s="3" customFormat="1">
      <c r="A68" s="82">
        <v>5.6958645277777775E-2</v>
      </c>
      <c r="B68" t="s">
        <v>44</v>
      </c>
      <c r="C68" t="s">
        <v>493</v>
      </c>
      <c r="D68"/>
      <c r="E68" t="s">
        <v>8</v>
      </c>
      <c r="F68"/>
      <c r="G68" t="s">
        <v>113</v>
      </c>
      <c r="H68"/>
      <c r="I68" s="159">
        <v>46300.461840277778</v>
      </c>
      <c r="J68" t="s">
        <v>587</v>
      </c>
      <c r="K68" t="s">
        <v>388</v>
      </c>
      <c r="L68" s="158">
        <v>46299</v>
      </c>
      <c r="M68" t="s">
        <v>586</v>
      </c>
      <c r="N68" t="s">
        <v>178</v>
      </c>
      <c r="O68" t="s">
        <v>179</v>
      </c>
      <c r="P68">
        <v>3</v>
      </c>
      <c r="Q68" t="s">
        <v>180</v>
      </c>
    </row>
    <row r="69" spans="1:17" s="3" customFormat="1">
      <c r="A69" s="82">
        <v>5.6958645277777775E-2</v>
      </c>
      <c r="B69" t="s">
        <v>44</v>
      </c>
      <c r="C69"/>
      <c r="D69"/>
      <c r="E69" t="s">
        <v>50</v>
      </c>
      <c r="F69"/>
      <c r="G69" t="s">
        <v>47</v>
      </c>
      <c r="H69"/>
      <c r="I69" s="159">
        <v>46300.461759259262</v>
      </c>
      <c r="J69" t="s">
        <v>587</v>
      </c>
      <c r="K69" t="s">
        <v>388</v>
      </c>
      <c r="L69" s="158">
        <v>46299</v>
      </c>
      <c r="M69" t="s">
        <v>586</v>
      </c>
      <c r="N69" t="s">
        <v>178</v>
      </c>
      <c r="O69" t="s">
        <v>179</v>
      </c>
      <c r="P69">
        <v>3</v>
      </c>
      <c r="Q69" t="s">
        <v>180</v>
      </c>
    </row>
    <row r="70" spans="1:17" s="3" customFormat="1">
      <c r="A70" s="82">
        <v>5.6156369826388892E-2</v>
      </c>
      <c r="B70" t="s">
        <v>44</v>
      </c>
      <c r="C70"/>
      <c r="D70"/>
      <c r="E70" t="s">
        <v>37</v>
      </c>
      <c r="F70"/>
      <c r="G70" t="s">
        <v>47</v>
      </c>
      <c r="H70"/>
      <c r="I70" s="159">
        <v>46300.461354166669</v>
      </c>
      <c r="J70" t="s">
        <v>587</v>
      </c>
      <c r="K70" t="s">
        <v>388</v>
      </c>
      <c r="L70" s="158">
        <v>46299</v>
      </c>
      <c r="M70" t="s">
        <v>586</v>
      </c>
      <c r="N70" t="s">
        <v>178</v>
      </c>
      <c r="O70" t="s">
        <v>179</v>
      </c>
      <c r="P70">
        <v>3</v>
      </c>
      <c r="Q70" t="s">
        <v>180</v>
      </c>
    </row>
    <row r="71" spans="1:17" s="3" customFormat="1">
      <c r="A71" s="82">
        <v>5.6156369826388892E-2</v>
      </c>
      <c r="B71" t="s">
        <v>44</v>
      </c>
      <c r="C71"/>
      <c r="D71"/>
      <c r="E71" t="s">
        <v>160</v>
      </c>
      <c r="F71" t="s">
        <v>156</v>
      </c>
      <c r="G71" t="s">
        <v>47</v>
      </c>
      <c r="H71"/>
      <c r="I71" s="159">
        <v>46300.461354166669</v>
      </c>
      <c r="J71" t="s">
        <v>587</v>
      </c>
      <c r="K71" t="s">
        <v>388</v>
      </c>
      <c r="L71" s="158">
        <v>46299</v>
      </c>
      <c r="M71" t="s">
        <v>586</v>
      </c>
      <c r="N71" t="s">
        <v>178</v>
      </c>
      <c r="O71" t="s">
        <v>179</v>
      </c>
      <c r="P71">
        <v>3</v>
      </c>
      <c r="Q71" t="s">
        <v>180</v>
      </c>
    </row>
    <row r="72" spans="1:17" s="3" customFormat="1">
      <c r="A72" s="82">
        <v>5.614097065972222E-2</v>
      </c>
      <c r="B72" t="s">
        <v>44</v>
      </c>
      <c r="C72"/>
      <c r="D72"/>
      <c r="E72" t="s">
        <v>137</v>
      </c>
      <c r="F72"/>
      <c r="G72" t="s">
        <v>113</v>
      </c>
      <c r="H72"/>
      <c r="I72" s="159">
        <v>46300.46130787037</v>
      </c>
      <c r="J72" t="s">
        <v>587</v>
      </c>
      <c r="K72" t="s">
        <v>388</v>
      </c>
      <c r="L72" s="158">
        <v>46299</v>
      </c>
      <c r="M72" t="s">
        <v>586</v>
      </c>
      <c r="N72" t="s">
        <v>178</v>
      </c>
      <c r="O72" t="s">
        <v>179</v>
      </c>
      <c r="P72">
        <v>3</v>
      </c>
      <c r="Q72" t="s">
        <v>180</v>
      </c>
    </row>
    <row r="73" spans="1:17" s="3" customFormat="1">
      <c r="A73" s="82">
        <v>5.6119508553240743E-2</v>
      </c>
      <c r="B73" t="s">
        <v>44</v>
      </c>
      <c r="C73"/>
      <c r="D73"/>
      <c r="E73" t="s">
        <v>133</v>
      </c>
      <c r="F73"/>
      <c r="G73" t="s">
        <v>47</v>
      </c>
      <c r="H73"/>
      <c r="I73" s="159">
        <v>46300.461284722223</v>
      </c>
      <c r="J73" t="s">
        <v>587</v>
      </c>
      <c r="K73" t="s">
        <v>388</v>
      </c>
      <c r="L73" s="158">
        <v>46299</v>
      </c>
      <c r="M73" t="s">
        <v>586</v>
      </c>
      <c r="N73" t="s">
        <v>178</v>
      </c>
      <c r="O73" t="s">
        <v>179</v>
      </c>
      <c r="P73">
        <v>3</v>
      </c>
      <c r="Q73" t="s">
        <v>180</v>
      </c>
    </row>
    <row r="74" spans="1:17" s="3" customFormat="1">
      <c r="A74" s="82">
        <v>5.6015098159722221E-2</v>
      </c>
      <c r="B74" t="s">
        <v>44</v>
      </c>
      <c r="C74" t="s">
        <v>592</v>
      </c>
      <c r="D74"/>
      <c r="E74" t="s">
        <v>407</v>
      </c>
      <c r="F74"/>
      <c r="G74" t="s">
        <v>47</v>
      </c>
      <c r="H74"/>
      <c r="I74" s="159">
        <v>46300.461157407408</v>
      </c>
      <c r="J74" t="s">
        <v>587</v>
      </c>
      <c r="K74" t="s">
        <v>388</v>
      </c>
      <c r="L74" s="158">
        <v>46299</v>
      </c>
      <c r="M74" t="s">
        <v>586</v>
      </c>
      <c r="N74" t="s">
        <v>178</v>
      </c>
      <c r="O74" t="s">
        <v>179</v>
      </c>
      <c r="P74">
        <v>3</v>
      </c>
      <c r="Q74" t="s">
        <v>180</v>
      </c>
    </row>
    <row r="75" spans="1:17" s="3" customFormat="1">
      <c r="A75" s="82">
        <v>5.5916079791666663E-2</v>
      </c>
      <c r="B75" t="s">
        <v>44</v>
      </c>
      <c r="C75" t="s">
        <v>484</v>
      </c>
      <c r="D75"/>
      <c r="E75" t="s">
        <v>407</v>
      </c>
      <c r="F75"/>
      <c r="G75" t="s">
        <v>47</v>
      </c>
      <c r="H75"/>
      <c r="I75" s="159">
        <v>46300.460995370369</v>
      </c>
      <c r="J75" t="s">
        <v>587</v>
      </c>
      <c r="K75" t="s">
        <v>388</v>
      </c>
      <c r="L75" s="158">
        <v>46299</v>
      </c>
      <c r="M75" t="s">
        <v>586</v>
      </c>
      <c r="N75" t="s">
        <v>178</v>
      </c>
      <c r="O75" t="s">
        <v>179</v>
      </c>
      <c r="P75">
        <v>3</v>
      </c>
      <c r="Q75" t="s">
        <v>180</v>
      </c>
    </row>
    <row r="76" spans="1:17" s="3" customFormat="1">
      <c r="A76" s="82">
        <v>5.5892115439814809E-2</v>
      </c>
      <c r="B76" t="s">
        <v>44</v>
      </c>
      <c r="C76" t="s">
        <v>484</v>
      </c>
      <c r="D76"/>
      <c r="E76" t="s">
        <v>60</v>
      </c>
      <c r="F76"/>
      <c r="G76" t="s">
        <v>47</v>
      </c>
      <c r="H76"/>
      <c r="I76" s="159">
        <v>46300.460844907408</v>
      </c>
      <c r="J76" t="s">
        <v>587</v>
      </c>
      <c r="K76" t="s">
        <v>388</v>
      </c>
      <c r="L76" s="158">
        <v>46299</v>
      </c>
      <c r="M76" t="s">
        <v>586</v>
      </c>
      <c r="N76" t="s">
        <v>178</v>
      </c>
      <c r="O76" t="s">
        <v>179</v>
      </c>
      <c r="P76">
        <v>3</v>
      </c>
      <c r="Q76" t="s">
        <v>180</v>
      </c>
    </row>
    <row r="77" spans="1:17" s="3" customFormat="1">
      <c r="A77" s="82">
        <v>5.5876029571759252E-2</v>
      </c>
      <c r="B77" t="s">
        <v>44</v>
      </c>
      <c r="C77"/>
      <c r="D77"/>
      <c r="E77" t="s">
        <v>53</v>
      </c>
      <c r="F77"/>
      <c r="G77" t="s">
        <v>47</v>
      </c>
      <c r="H77"/>
      <c r="I77" s="159">
        <v>46300.459988425922</v>
      </c>
      <c r="J77" t="s">
        <v>587</v>
      </c>
      <c r="K77" t="s">
        <v>388</v>
      </c>
      <c r="L77" s="158">
        <v>46299</v>
      </c>
      <c r="M77" t="s">
        <v>586</v>
      </c>
      <c r="N77" t="s">
        <v>178</v>
      </c>
      <c r="O77" t="s">
        <v>179</v>
      </c>
      <c r="P77">
        <v>3</v>
      </c>
      <c r="Q77" t="s">
        <v>180</v>
      </c>
    </row>
    <row r="78" spans="1:17" s="3" customFormat="1">
      <c r="A78" s="82">
        <v>5.4934403946759261E-2</v>
      </c>
      <c r="B78" t="s">
        <v>44</v>
      </c>
      <c r="C78"/>
      <c r="D78"/>
      <c r="E78" t="s">
        <v>37</v>
      </c>
      <c r="F78"/>
      <c r="G78" t="s">
        <v>47</v>
      </c>
      <c r="H78"/>
      <c r="I78" s="159">
        <v>46300.458333333336</v>
      </c>
      <c r="J78" t="s">
        <v>587</v>
      </c>
      <c r="K78" t="s">
        <v>388</v>
      </c>
      <c r="L78" s="158">
        <v>46299</v>
      </c>
      <c r="M78" t="s">
        <v>586</v>
      </c>
      <c r="N78" t="s">
        <v>178</v>
      </c>
      <c r="O78" t="s">
        <v>179</v>
      </c>
      <c r="P78">
        <v>3</v>
      </c>
      <c r="Q78" t="s">
        <v>180</v>
      </c>
    </row>
    <row r="79" spans="1:17" s="3" customFormat="1">
      <c r="A79" s="82">
        <v>5.4934403946759261E-2</v>
      </c>
      <c r="B79" t="s">
        <v>44</v>
      </c>
      <c r="C79"/>
      <c r="D79"/>
      <c r="E79" t="s">
        <v>160</v>
      </c>
      <c r="F79" t="s">
        <v>529</v>
      </c>
      <c r="G79" t="s">
        <v>47</v>
      </c>
      <c r="H79"/>
      <c r="I79" s="159">
        <v>46300.458333333336</v>
      </c>
      <c r="J79" t="s">
        <v>587</v>
      </c>
      <c r="K79" t="s">
        <v>388</v>
      </c>
      <c r="L79" s="158">
        <v>46299</v>
      </c>
      <c r="M79" t="s">
        <v>586</v>
      </c>
      <c r="N79" t="s">
        <v>178</v>
      </c>
      <c r="O79" t="s">
        <v>179</v>
      </c>
      <c r="P79">
        <v>3</v>
      </c>
      <c r="Q79" t="s">
        <v>180</v>
      </c>
    </row>
    <row r="80" spans="1:17" s="3" customFormat="1">
      <c r="A80" s="82">
        <v>5.4789235671296295E-2</v>
      </c>
      <c r="B80" t="s">
        <v>44</v>
      </c>
      <c r="C80" t="s">
        <v>497</v>
      </c>
      <c r="D80"/>
      <c r="E80" t="s">
        <v>57</v>
      </c>
      <c r="F80"/>
      <c r="G80" t="s">
        <v>113</v>
      </c>
      <c r="H80"/>
      <c r="I80" s="159">
        <v>46300.457928240743</v>
      </c>
      <c r="J80" t="s">
        <v>587</v>
      </c>
      <c r="K80" t="s">
        <v>388</v>
      </c>
      <c r="L80" s="158">
        <v>46299</v>
      </c>
      <c r="M80" t="s">
        <v>586</v>
      </c>
      <c r="N80" t="s">
        <v>178</v>
      </c>
      <c r="O80" t="s">
        <v>179</v>
      </c>
      <c r="P80">
        <v>3</v>
      </c>
      <c r="Q80" t="s">
        <v>180</v>
      </c>
    </row>
    <row r="81" spans="1:17" s="3" customFormat="1">
      <c r="A81" s="82">
        <v>5.4754437002314818E-2</v>
      </c>
      <c r="B81" t="s">
        <v>44</v>
      </c>
      <c r="C81" t="s">
        <v>591</v>
      </c>
      <c r="D81"/>
      <c r="E81" t="s">
        <v>57</v>
      </c>
      <c r="F81"/>
      <c r="G81" t="s">
        <v>113</v>
      </c>
      <c r="H81"/>
      <c r="I81" s="159">
        <v>46300.457812499997</v>
      </c>
      <c r="J81" t="s">
        <v>587</v>
      </c>
      <c r="K81" t="s">
        <v>388</v>
      </c>
      <c r="L81" s="158">
        <v>46299</v>
      </c>
      <c r="M81" t="s">
        <v>586</v>
      </c>
      <c r="N81" t="s">
        <v>178</v>
      </c>
      <c r="O81" t="s">
        <v>179</v>
      </c>
      <c r="P81">
        <v>3</v>
      </c>
      <c r="Q81" t="s">
        <v>180</v>
      </c>
    </row>
    <row r="82" spans="1:17" s="3" customFormat="1">
      <c r="A82" s="82">
        <v>5.4625689236111115E-2</v>
      </c>
      <c r="B82" t="s">
        <v>44</v>
      </c>
      <c r="C82" t="s">
        <v>491</v>
      </c>
      <c r="D82"/>
      <c r="E82" t="s">
        <v>57</v>
      </c>
      <c r="F82"/>
      <c r="G82" t="s">
        <v>113</v>
      </c>
      <c r="H82"/>
      <c r="I82" s="159">
        <v>46300.457465277781</v>
      </c>
      <c r="J82" t="s">
        <v>587</v>
      </c>
      <c r="K82" t="s">
        <v>388</v>
      </c>
      <c r="L82" s="158">
        <v>46299</v>
      </c>
      <c r="M82" t="s">
        <v>586</v>
      </c>
      <c r="N82" t="s">
        <v>178</v>
      </c>
      <c r="O82" t="s">
        <v>179</v>
      </c>
      <c r="P82">
        <v>3</v>
      </c>
      <c r="Q82" t="s">
        <v>180</v>
      </c>
    </row>
    <row r="83" spans="1:17" s="3" customFormat="1">
      <c r="A83" s="82">
        <v>5.4592372870370366E-2</v>
      </c>
      <c r="B83" t="s">
        <v>44</v>
      </c>
      <c r="C83" t="s">
        <v>512</v>
      </c>
      <c r="D83"/>
      <c r="E83" t="s">
        <v>9</v>
      </c>
      <c r="F83"/>
      <c r="G83" t="s">
        <v>113</v>
      </c>
      <c r="H83"/>
      <c r="I83" s="159">
        <v>46300.457268518519</v>
      </c>
      <c r="J83" t="s">
        <v>587</v>
      </c>
      <c r="K83" t="s">
        <v>388</v>
      </c>
      <c r="L83" s="158">
        <v>46299</v>
      </c>
      <c r="M83" t="s">
        <v>586</v>
      </c>
      <c r="N83" t="s">
        <v>178</v>
      </c>
      <c r="O83" t="s">
        <v>179</v>
      </c>
      <c r="P83">
        <v>3</v>
      </c>
      <c r="Q83" t="s">
        <v>180</v>
      </c>
    </row>
    <row r="84" spans="1:17" s="3" customFormat="1">
      <c r="A84" s="82">
        <v>5.4557897060185177E-2</v>
      </c>
      <c r="B84" t="s">
        <v>44</v>
      </c>
      <c r="C84"/>
      <c r="D84"/>
      <c r="E84" t="s">
        <v>137</v>
      </c>
      <c r="F84"/>
      <c r="G84" t="s">
        <v>113</v>
      </c>
      <c r="H84"/>
      <c r="I84" s="159">
        <v>46300.457175925927</v>
      </c>
      <c r="J84" t="s">
        <v>587</v>
      </c>
      <c r="K84" t="s">
        <v>388</v>
      </c>
      <c r="L84" s="158">
        <v>46299</v>
      </c>
      <c r="M84" t="s">
        <v>586</v>
      </c>
      <c r="N84" t="s">
        <v>178</v>
      </c>
      <c r="O84" t="s">
        <v>179</v>
      </c>
      <c r="P84">
        <v>3</v>
      </c>
      <c r="Q84" t="s">
        <v>180</v>
      </c>
    </row>
    <row r="85" spans="1:17" s="3" customFormat="1">
      <c r="A85" s="82">
        <v>5.4522523391203705E-2</v>
      </c>
      <c r="B85" t="s">
        <v>44</v>
      </c>
      <c r="C85"/>
      <c r="D85"/>
      <c r="E85" t="s">
        <v>49</v>
      </c>
      <c r="F85"/>
      <c r="G85" t="s">
        <v>47</v>
      </c>
      <c r="H85"/>
      <c r="I85" s="159">
        <v>46300.45685185185</v>
      </c>
      <c r="J85" t="s">
        <v>587</v>
      </c>
      <c r="K85" t="s">
        <v>388</v>
      </c>
      <c r="L85" s="158">
        <v>46299</v>
      </c>
      <c r="M85" t="s">
        <v>586</v>
      </c>
      <c r="N85" t="s">
        <v>178</v>
      </c>
      <c r="O85" t="s">
        <v>179</v>
      </c>
      <c r="P85">
        <v>3</v>
      </c>
      <c r="Q85" t="s">
        <v>180</v>
      </c>
    </row>
    <row r="86" spans="1:17" s="3" customFormat="1">
      <c r="A86" s="82">
        <v>5.397683306712963E-2</v>
      </c>
      <c r="B86" t="s">
        <v>44</v>
      </c>
      <c r="C86"/>
      <c r="D86"/>
      <c r="E86" t="s">
        <v>64</v>
      </c>
      <c r="F86"/>
      <c r="G86" t="s">
        <v>113</v>
      </c>
      <c r="H86"/>
      <c r="I86" s="159">
        <v>46300.456759259258</v>
      </c>
      <c r="J86" t="s">
        <v>587</v>
      </c>
      <c r="K86" t="s">
        <v>388</v>
      </c>
      <c r="L86" s="158">
        <v>46299</v>
      </c>
      <c r="M86" t="s">
        <v>586</v>
      </c>
      <c r="N86" t="s">
        <v>178</v>
      </c>
      <c r="O86" t="s">
        <v>179</v>
      </c>
      <c r="P86">
        <v>3</v>
      </c>
      <c r="Q86" t="s">
        <v>180</v>
      </c>
    </row>
    <row r="87" spans="1:17" s="3" customFormat="1">
      <c r="A87" s="82">
        <v>5.3452688356481481E-2</v>
      </c>
      <c r="B87" t="s">
        <v>44</v>
      </c>
      <c r="C87"/>
      <c r="D87"/>
      <c r="E87" t="s">
        <v>37</v>
      </c>
      <c r="F87"/>
      <c r="G87" t="s">
        <v>47</v>
      </c>
      <c r="H87"/>
      <c r="I87" s="159">
        <v>46300.456620370373</v>
      </c>
      <c r="J87" t="s">
        <v>587</v>
      </c>
      <c r="K87" t="s">
        <v>388</v>
      </c>
      <c r="L87" s="158">
        <v>46299</v>
      </c>
      <c r="M87" t="s">
        <v>586</v>
      </c>
      <c r="N87" t="s">
        <v>178</v>
      </c>
      <c r="O87" t="s">
        <v>179</v>
      </c>
      <c r="P87">
        <v>3</v>
      </c>
      <c r="Q87" t="s">
        <v>180</v>
      </c>
    </row>
    <row r="88" spans="1:17" s="3" customFormat="1">
      <c r="A88" s="82">
        <v>5.3452688356481481E-2</v>
      </c>
      <c r="B88" t="s">
        <v>44</v>
      </c>
      <c r="C88"/>
      <c r="D88"/>
      <c r="E88" t="s">
        <v>52</v>
      </c>
      <c r="F88"/>
      <c r="G88" t="s">
        <v>113</v>
      </c>
      <c r="H88"/>
      <c r="I88" s="159">
        <v>46300.456608796296</v>
      </c>
      <c r="J88" t="s">
        <v>587</v>
      </c>
      <c r="K88" t="s">
        <v>388</v>
      </c>
      <c r="L88" s="158">
        <v>46299</v>
      </c>
      <c r="M88" t="s">
        <v>586</v>
      </c>
      <c r="N88" t="s">
        <v>178</v>
      </c>
      <c r="O88" t="s">
        <v>179</v>
      </c>
      <c r="P88">
        <v>3</v>
      </c>
      <c r="Q88" t="s">
        <v>180</v>
      </c>
    </row>
    <row r="89" spans="1:17" s="3" customFormat="1">
      <c r="A89" s="82">
        <v>5.3388472939814816E-2</v>
      </c>
      <c r="B89" t="s">
        <v>44</v>
      </c>
      <c r="C89" t="s">
        <v>492</v>
      </c>
      <c r="D89"/>
      <c r="E89" t="s">
        <v>57</v>
      </c>
      <c r="F89"/>
      <c r="G89" t="s">
        <v>113</v>
      </c>
      <c r="H89"/>
      <c r="I89" s="159">
        <v>46300.456516203703</v>
      </c>
      <c r="J89" t="s">
        <v>587</v>
      </c>
      <c r="K89" t="s">
        <v>388</v>
      </c>
      <c r="L89" s="158">
        <v>46299</v>
      </c>
      <c r="M89" t="s">
        <v>586</v>
      </c>
      <c r="N89" t="s">
        <v>178</v>
      </c>
      <c r="O89" t="s">
        <v>179</v>
      </c>
      <c r="P89">
        <v>3</v>
      </c>
      <c r="Q89" t="s">
        <v>180</v>
      </c>
    </row>
    <row r="90" spans="1:17" s="3" customFormat="1">
      <c r="A90" s="82">
        <v>5.3359240567129623E-2</v>
      </c>
      <c r="B90" t="s">
        <v>44</v>
      </c>
      <c r="C90" t="s">
        <v>591</v>
      </c>
      <c r="D90"/>
      <c r="E90" t="s">
        <v>9</v>
      </c>
      <c r="F90"/>
      <c r="G90" t="s">
        <v>113</v>
      </c>
      <c r="H90"/>
      <c r="I90" s="159">
        <v>46300.45616898148</v>
      </c>
      <c r="J90" t="s">
        <v>587</v>
      </c>
      <c r="K90" t="s">
        <v>388</v>
      </c>
      <c r="L90" s="158">
        <v>46299</v>
      </c>
      <c r="M90" t="s">
        <v>586</v>
      </c>
      <c r="N90" t="s">
        <v>178</v>
      </c>
      <c r="O90" t="s">
        <v>179</v>
      </c>
      <c r="P90">
        <v>3</v>
      </c>
      <c r="Q90" t="s">
        <v>180</v>
      </c>
    </row>
    <row r="91" spans="1:17" s="3" customFormat="1">
      <c r="A91" s="82">
        <v>5.3359240567129623E-2</v>
      </c>
      <c r="B91" t="s">
        <v>44</v>
      </c>
      <c r="C91" t="s">
        <v>593</v>
      </c>
      <c r="D91"/>
      <c r="E91" t="s">
        <v>9</v>
      </c>
      <c r="F91"/>
      <c r="G91" t="s">
        <v>113</v>
      </c>
      <c r="H91"/>
      <c r="I91" s="159">
        <v>46300.456111111111</v>
      </c>
      <c r="J91" t="s">
        <v>587</v>
      </c>
      <c r="K91" t="s">
        <v>388</v>
      </c>
      <c r="L91" s="158">
        <v>46299</v>
      </c>
      <c r="M91" t="s">
        <v>586</v>
      </c>
      <c r="N91" t="s">
        <v>178</v>
      </c>
      <c r="O91" t="s">
        <v>179</v>
      </c>
      <c r="P91">
        <v>3</v>
      </c>
      <c r="Q91" t="s">
        <v>180</v>
      </c>
    </row>
    <row r="92" spans="1:17" s="3" customFormat="1">
      <c r="A92" s="82">
        <v>5.3336032303240744E-2</v>
      </c>
      <c r="B92" t="s">
        <v>44</v>
      </c>
      <c r="C92" t="s">
        <v>483</v>
      </c>
      <c r="D92"/>
      <c r="E92" t="s">
        <v>9</v>
      </c>
      <c r="F92"/>
      <c r="G92" t="s">
        <v>113</v>
      </c>
      <c r="H92"/>
      <c r="I92" s="159">
        <v>46300.455208333333</v>
      </c>
      <c r="J92" t="s">
        <v>587</v>
      </c>
      <c r="K92" t="s">
        <v>388</v>
      </c>
      <c r="L92" s="158">
        <v>46299</v>
      </c>
      <c r="M92" t="s">
        <v>586</v>
      </c>
      <c r="N92" t="s">
        <v>178</v>
      </c>
      <c r="O92" t="s">
        <v>179</v>
      </c>
      <c r="P92">
        <v>3</v>
      </c>
      <c r="Q92" t="s">
        <v>180</v>
      </c>
    </row>
    <row r="93" spans="1:17" s="3" customFormat="1">
      <c r="A93" s="82">
        <v>5.3317766631944451E-2</v>
      </c>
      <c r="B93" t="s">
        <v>44</v>
      </c>
      <c r="C93" t="s">
        <v>592</v>
      </c>
      <c r="D93"/>
      <c r="E93" t="s">
        <v>9</v>
      </c>
      <c r="F93"/>
      <c r="G93" t="s">
        <v>113</v>
      </c>
      <c r="H93"/>
      <c r="I93" s="159">
        <v>46300.455104166664</v>
      </c>
      <c r="J93" t="s">
        <v>587</v>
      </c>
      <c r="K93" t="s">
        <v>388</v>
      </c>
      <c r="L93" s="158">
        <v>46299</v>
      </c>
      <c r="M93" t="s">
        <v>586</v>
      </c>
      <c r="N93" t="s">
        <v>178</v>
      </c>
      <c r="O93" t="s">
        <v>179</v>
      </c>
      <c r="P93">
        <v>3</v>
      </c>
      <c r="Q93" t="s">
        <v>180</v>
      </c>
    </row>
    <row r="94" spans="1:17" s="3" customFormat="1">
      <c r="A94" s="82">
        <v>5.3298889444444449E-2</v>
      </c>
      <c r="B94" t="s">
        <v>44</v>
      </c>
      <c r="C94" t="s">
        <v>484</v>
      </c>
      <c r="D94"/>
      <c r="E94" t="s">
        <v>9</v>
      </c>
      <c r="F94"/>
      <c r="G94" t="s">
        <v>113</v>
      </c>
      <c r="H94"/>
      <c r="I94" s="159">
        <v>46300.454895833333</v>
      </c>
      <c r="J94" t="s">
        <v>587</v>
      </c>
      <c r="K94" t="s">
        <v>388</v>
      </c>
      <c r="L94" s="158">
        <v>46299</v>
      </c>
      <c r="M94" t="s">
        <v>586</v>
      </c>
      <c r="N94" t="s">
        <v>178</v>
      </c>
      <c r="O94" t="s">
        <v>179</v>
      </c>
      <c r="P94">
        <v>3</v>
      </c>
      <c r="Q94" t="s">
        <v>180</v>
      </c>
    </row>
    <row r="95" spans="1:17" s="3" customFormat="1">
      <c r="A95" s="82">
        <v>5.3228144988425923E-2</v>
      </c>
      <c r="B95" t="s">
        <v>44</v>
      </c>
      <c r="C95" t="s">
        <v>591</v>
      </c>
      <c r="D95"/>
      <c r="E95" t="s">
        <v>57</v>
      </c>
      <c r="F95"/>
      <c r="G95" t="s">
        <v>113</v>
      </c>
      <c r="H95"/>
      <c r="I95" s="159">
        <v>46300.454513888886</v>
      </c>
      <c r="J95" t="s">
        <v>587</v>
      </c>
      <c r="K95" t="s">
        <v>388</v>
      </c>
      <c r="L95" s="158">
        <v>46299</v>
      </c>
      <c r="M95" t="s">
        <v>586</v>
      </c>
      <c r="N95" t="s">
        <v>178</v>
      </c>
      <c r="O95" t="s">
        <v>179</v>
      </c>
      <c r="P95">
        <v>3</v>
      </c>
      <c r="Q95" t="s">
        <v>180</v>
      </c>
    </row>
    <row r="96" spans="1:17" s="3" customFormat="1">
      <c r="A96" s="82">
        <v>5.3215665833333335E-2</v>
      </c>
      <c r="B96" t="s">
        <v>44</v>
      </c>
      <c r="C96"/>
      <c r="D96"/>
      <c r="E96" t="s">
        <v>10</v>
      </c>
      <c r="F96"/>
      <c r="G96" t="s">
        <v>47</v>
      </c>
      <c r="H96"/>
      <c r="I96" s="159">
        <v>46300.454398148147</v>
      </c>
      <c r="J96" t="s">
        <v>587</v>
      </c>
      <c r="K96" t="s">
        <v>388</v>
      </c>
      <c r="L96" s="158">
        <v>46299</v>
      </c>
      <c r="M96" t="s">
        <v>586</v>
      </c>
      <c r="N96" t="s">
        <v>178</v>
      </c>
      <c r="O96" t="s">
        <v>179</v>
      </c>
      <c r="P96">
        <v>3</v>
      </c>
      <c r="Q96" t="s">
        <v>180</v>
      </c>
    </row>
    <row r="97" spans="1:17" s="3" customFormat="1">
      <c r="A97" s="82">
        <v>5.3179018136574073E-2</v>
      </c>
      <c r="B97" t="s">
        <v>44</v>
      </c>
      <c r="C97" t="s">
        <v>489</v>
      </c>
      <c r="D97"/>
      <c r="E97" t="s">
        <v>407</v>
      </c>
      <c r="F97"/>
      <c r="G97" t="s">
        <v>47</v>
      </c>
      <c r="H97"/>
      <c r="I97" s="159">
        <v>46300.45416666667</v>
      </c>
      <c r="J97" t="s">
        <v>587</v>
      </c>
      <c r="K97" t="s">
        <v>388</v>
      </c>
      <c r="L97" s="158">
        <v>46299</v>
      </c>
      <c r="M97" t="s">
        <v>586</v>
      </c>
      <c r="N97" t="s">
        <v>178</v>
      </c>
      <c r="O97" t="s">
        <v>179</v>
      </c>
      <c r="P97">
        <v>3</v>
      </c>
      <c r="Q97" t="s">
        <v>180</v>
      </c>
    </row>
    <row r="98" spans="1:17" s="3" customFormat="1">
      <c r="A98" s="82">
        <v>5.3103607430555554E-2</v>
      </c>
      <c r="B98" t="s">
        <v>44</v>
      </c>
      <c r="C98" t="s">
        <v>592</v>
      </c>
      <c r="D98"/>
      <c r="E98" t="s">
        <v>407</v>
      </c>
      <c r="F98"/>
      <c r="G98" t="s">
        <v>47</v>
      </c>
      <c r="H98"/>
      <c r="I98" s="159">
        <v>46300.454050925924</v>
      </c>
      <c r="J98" t="s">
        <v>587</v>
      </c>
      <c r="K98" t="s">
        <v>388</v>
      </c>
      <c r="L98" s="158">
        <v>46299</v>
      </c>
      <c r="M98" t="s">
        <v>586</v>
      </c>
      <c r="N98" t="s">
        <v>178</v>
      </c>
      <c r="O98" t="s">
        <v>179</v>
      </c>
      <c r="P98">
        <v>3</v>
      </c>
      <c r="Q98" t="s">
        <v>180</v>
      </c>
    </row>
    <row r="99" spans="1:17" s="3" customFormat="1">
      <c r="A99" s="82">
        <v>5.3051583217592589E-2</v>
      </c>
      <c r="B99" t="s">
        <v>44</v>
      </c>
      <c r="C99" t="s">
        <v>484</v>
      </c>
      <c r="D99"/>
      <c r="E99" t="s">
        <v>406</v>
      </c>
      <c r="F99"/>
      <c r="G99" t="s">
        <v>47</v>
      </c>
      <c r="H99"/>
      <c r="I99" s="159">
        <v>46300.453923611109</v>
      </c>
      <c r="J99" t="s">
        <v>587</v>
      </c>
      <c r="K99" t="s">
        <v>388</v>
      </c>
      <c r="L99" s="158">
        <v>46299</v>
      </c>
      <c r="M99" t="s">
        <v>586</v>
      </c>
      <c r="N99" t="s">
        <v>178</v>
      </c>
      <c r="O99" t="s">
        <v>179</v>
      </c>
      <c r="P99">
        <v>3</v>
      </c>
      <c r="Q99" t="s">
        <v>180</v>
      </c>
    </row>
    <row r="100" spans="1:17" s="3" customFormat="1">
      <c r="A100" s="82">
        <v>5.296251480324074E-2</v>
      </c>
      <c r="B100" t="s">
        <v>44</v>
      </c>
      <c r="C100" t="s">
        <v>487</v>
      </c>
      <c r="D100"/>
      <c r="E100" t="s">
        <v>60</v>
      </c>
      <c r="F100"/>
      <c r="G100" t="s">
        <v>47</v>
      </c>
      <c r="H100"/>
      <c r="I100" s="159">
        <v>46300.453703703701</v>
      </c>
      <c r="J100" t="s">
        <v>587</v>
      </c>
      <c r="K100" t="s">
        <v>388</v>
      </c>
      <c r="L100" s="158">
        <v>46299</v>
      </c>
      <c r="M100" t="s">
        <v>586</v>
      </c>
      <c r="N100" t="s">
        <v>178</v>
      </c>
      <c r="O100" t="s">
        <v>179</v>
      </c>
      <c r="P100">
        <v>3</v>
      </c>
      <c r="Q100" t="s">
        <v>180</v>
      </c>
    </row>
    <row r="101" spans="1:17" s="3" customFormat="1">
      <c r="A101" s="82">
        <v>5.2920714444444447E-2</v>
      </c>
      <c r="B101" t="s">
        <v>44</v>
      </c>
      <c r="C101"/>
      <c r="D101"/>
      <c r="E101" t="s">
        <v>53</v>
      </c>
      <c r="F101"/>
      <c r="G101" t="s">
        <v>47</v>
      </c>
      <c r="H101"/>
      <c r="I101" s="159">
        <v>46300.453148148146</v>
      </c>
      <c r="J101" t="s">
        <v>587</v>
      </c>
      <c r="K101" t="s">
        <v>388</v>
      </c>
      <c r="L101" s="158">
        <v>46299</v>
      </c>
      <c r="M101" t="s">
        <v>586</v>
      </c>
      <c r="N101" t="s">
        <v>178</v>
      </c>
      <c r="O101" t="s">
        <v>179</v>
      </c>
      <c r="P101">
        <v>3</v>
      </c>
      <c r="Q101" t="s">
        <v>180</v>
      </c>
    </row>
    <row r="102" spans="1:17" s="3" customFormat="1">
      <c r="A102" s="82">
        <v>5.2086243182870376E-2</v>
      </c>
      <c r="B102" t="s">
        <v>44</v>
      </c>
      <c r="C102"/>
      <c r="D102"/>
      <c r="E102" t="s">
        <v>37</v>
      </c>
      <c r="F102"/>
      <c r="G102" t="s">
        <v>47</v>
      </c>
      <c r="H102"/>
      <c r="I102" s="159">
        <v>46300.451574074075</v>
      </c>
      <c r="J102" t="s">
        <v>587</v>
      </c>
      <c r="K102" t="s">
        <v>388</v>
      </c>
      <c r="L102" s="158">
        <v>46299</v>
      </c>
      <c r="M102" t="s">
        <v>586</v>
      </c>
      <c r="N102" t="s">
        <v>178</v>
      </c>
      <c r="O102" t="s">
        <v>179</v>
      </c>
      <c r="P102">
        <v>3</v>
      </c>
      <c r="Q102" t="s">
        <v>180</v>
      </c>
    </row>
    <row r="103" spans="1:17" s="3" customFormat="1">
      <c r="A103" s="82">
        <v>5.2086243182870376E-2</v>
      </c>
      <c r="B103" t="s">
        <v>44</v>
      </c>
      <c r="C103"/>
      <c r="D103"/>
      <c r="E103" t="s">
        <v>160</v>
      </c>
      <c r="F103" t="s">
        <v>167</v>
      </c>
      <c r="G103" t="s">
        <v>47</v>
      </c>
      <c r="H103"/>
      <c r="I103" s="159">
        <v>46300.451574074075</v>
      </c>
      <c r="J103" t="s">
        <v>587</v>
      </c>
      <c r="K103" t="s">
        <v>388</v>
      </c>
      <c r="L103" s="158">
        <v>46299</v>
      </c>
      <c r="M103" t="s">
        <v>586</v>
      </c>
      <c r="N103" t="s">
        <v>178</v>
      </c>
      <c r="O103" t="s">
        <v>179</v>
      </c>
      <c r="P103">
        <v>3</v>
      </c>
      <c r="Q103" t="s">
        <v>180</v>
      </c>
    </row>
    <row r="104" spans="1:17" s="3" customFormat="1">
      <c r="A104" s="82">
        <v>5.1922062662037041E-2</v>
      </c>
      <c r="B104" t="s">
        <v>44</v>
      </c>
      <c r="C104" t="s">
        <v>492</v>
      </c>
      <c r="D104"/>
      <c r="E104" t="s">
        <v>406</v>
      </c>
      <c r="F104"/>
      <c r="G104" t="s">
        <v>47</v>
      </c>
      <c r="H104"/>
      <c r="I104" s="159">
        <v>46300.451342592591</v>
      </c>
      <c r="J104" t="s">
        <v>587</v>
      </c>
      <c r="K104" t="s">
        <v>388</v>
      </c>
      <c r="L104" s="158">
        <v>46299</v>
      </c>
      <c r="M104" t="s">
        <v>586</v>
      </c>
      <c r="N104" t="s">
        <v>178</v>
      </c>
      <c r="O104" t="s">
        <v>179</v>
      </c>
      <c r="P104">
        <v>3</v>
      </c>
      <c r="Q104" t="s">
        <v>180</v>
      </c>
    </row>
    <row r="105" spans="1:17" s="3" customFormat="1">
      <c r="A105" s="82">
        <v>5.1922062662037041E-2</v>
      </c>
      <c r="B105" t="s">
        <v>44</v>
      </c>
      <c r="C105"/>
      <c r="D105"/>
      <c r="E105" t="s">
        <v>132</v>
      </c>
      <c r="F105"/>
      <c r="G105" t="s">
        <v>113</v>
      </c>
      <c r="H105"/>
      <c r="I105" s="159">
        <v>46300.451296296298</v>
      </c>
      <c r="J105" t="s">
        <v>587</v>
      </c>
      <c r="K105" t="s">
        <v>388</v>
      </c>
      <c r="L105" s="158">
        <v>46299</v>
      </c>
      <c r="M105" t="s">
        <v>586</v>
      </c>
      <c r="N105" t="s">
        <v>178</v>
      </c>
      <c r="O105" t="s">
        <v>179</v>
      </c>
      <c r="P105">
        <v>3</v>
      </c>
      <c r="Q105" t="s">
        <v>180</v>
      </c>
    </row>
    <row r="106" spans="1:17" s="3" customFormat="1">
      <c r="A106" s="82">
        <v>5.1900812268518511E-2</v>
      </c>
      <c r="B106" t="s">
        <v>44</v>
      </c>
      <c r="C106" t="s">
        <v>487</v>
      </c>
      <c r="D106"/>
      <c r="E106" t="s">
        <v>57</v>
      </c>
      <c r="F106"/>
      <c r="G106" t="s">
        <v>113</v>
      </c>
      <c r="H106"/>
      <c r="I106" s="159">
        <v>46300.450682870367</v>
      </c>
      <c r="J106" t="s">
        <v>587</v>
      </c>
      <c r="K106" t="s">
        <v>388</v>
      </c>
      <c r="L106" s="158">
        <v>46299</v>
      </c>
      <c r="M106" t="s">
        <v>586</v>
      </c>
      <c r="N106" t="s">
        <v>178</v>
      </c>
      <c r="O106" t="s">
        <v>179</v>
      </c>
      <c r="P106">
        <v>3</v>
      </c>
      <c r="Q106" t="s">
        <v>180</v>
      </c>
    </row>
    <row r="107" spans="1:17" s="3" customFormat="1">
      <c r="A107" s="82">
        <v>5.1828276331018518E-2</v>
      </c>
      <c r="B107" t="s">
        <v>44</v>
      </c>
      <c r="C107" t="s">
        <v>593</v>
      </c>
      <c r="D107"/>
      <c r="E107" t="s">
        <v>57</v>
      </c>
      <c r="F107"/>
      <c r="G107" t="s">
        <v>113</v>
      </c>
      <c r="H107"/>
      <c r="I107" s="159">
        <v>46300.450428240743</v>
      </c>
      <c r="J107" t="s">
        <v>587</v>
      </c>
      <c r="K107" t="s">
        <v>388</v>
      </c>
      <c r="L107" s="158">
        <v>46299</v>
      </c>
      <c r="M107" t="s">
        <v>586</v>
      </c>
      <c r="N107" t="s">
        <v>178</v>
      </c>
      <c r="O107" t="s">
        <v>179</v>
      </c>
      <c r="P107">
        <v>3</v>
      </c>
      <c r="Q107" t="s">
        <v>180</v>
      </c>
    </row>
    <row r="108" spans="1:17" s="3" customFormat="1">
      <c r="A108" s="82">
        <v>5.1801811261574071E-2</v>
      </c>
      <c r="B108" t="s">
        <v>44</v>
      </c>
      <c r="C108" t="s">
        <v>512</v>
      </c>
      <c r="D108"/>
      <c r="E108" t="s">
        <v>82</v>
      </c>
      <c r="F108"/>
      <c r="G108" t="s">
        <v>113</v>
      </c>
      <c r="H108"/>
      <c r="I108" s="159">
        <v>46300.449907407405</v>
      </c>
      <c r="J108" t="s">
        <v>587</v>
      </c>
      <c r="K108" t="s">
        <v>388</v>
      </c>
      <c r="L108" s="158">
        <v>46299</v>
      </c>
      <c r="M108" t="s">
        <v>586</v>
      </c>
      <c r="N108" t="s">
        <v>178</v>
      </c>
      <c r="O108" t="s">
        <v>179</v>
      </c>
      <c r="P108">
        <v>3</v>
      </c>
      <c r="Q108" t="s">
        <v>180</v>
      </c>
    </row>
    <row r="109" spans="1:17" s="3" customFormat="1">
      <c r="A109" s="82">
        <v>5.1801811261574071E-2</v>
      </c>
      <c r="B109" t="s">
        <v>44</v>
      </c>
      <c r="C109" t="s">
        <v>496</v>
      </c>
      <c r="D109"/>
      <c r="E109" t="s">
        <v>82</v>
      </c>
      <c r="F109"/>
      <c r="G109" t="s">
        <v>113</v>
      </c>
      <c r="H109"/>
      <c r="I109" s="159">
        <v>46300.449895833335</v>
      </c>
      <c r="J109" t="s">
        <v>587</v>
      </c>
      <c r="K109" t="s">
        <v>388</v>
      </c>
      <c r="L109" s="158">
        <v>46299</v>
      </c>
      <c r="M109" t="s">
        <v>586</v>
      </c>
      <c r="N109" t="s">
        <v>178</v>
      </c>
      <c r="O109" t="s">
        <v>179</v>
      </c>
      <c r="P109">
        <v>3</v>
      </c>
      <c r="Q109" t="s">
        <v>180</v>
      </c>
    </row>
    <row r="110" spans="1:17" s="3" customFormat="1">
      <c r="A110" s="82">
        <v>5.178352924768518E-2</v>
      </c>
      <c r="B110" t="s">
        <v>44</v>
      </c>
      <c r="C110" t="s">
        <v>484</v>
      </c>
      <c r="D110"/>
      <c r="E110" t="s">
        <v>9</v>
      </c>
      <c r="F110"/>
      <c r="G110" t="s">
        <v>113</v>
      </c>
      <c r="H110"/>
      <c r="I110" s="159">
        <v>46300.449745370373</v>
      </c>
      <c r="J110" t="s">
        <v>587</v>
      </c>
      <c r="K110" t="s">
        <v>388</v>
      </c>
      <c r="L110" s="158">
        <v>46299</v>
      </c>
      <c r="M110" t="s">
        <v>586</v>
      </c>
      <c r="N110" t="s">
        <v>178</v>
      </c>
      <c r="O110" t="s">
        <v>179</v>
      </c>
      <c r="P110">
        <v>3</v>
      </c>
      <c r="Q110" t="s">
        <v>180</v>
      </c>
    </row>
    <row r="111" spans="1:17" s="3" customFormat="1">
      <c r="A111" s="82">
        <v>5.1682210856481475E-2</v>
      </c>
      <c r="B111" t="s">
        <v>44</v>
      </c>
      <c r="C111"/>
      <c r="D111"/>
      <c r="E111" t="s">
        <v>62</v>
      </c>
      <c r="F111"/>
      <c r="G111" t="s">
        <v>113</v>
      </c>
      <c r="H111"/>
      <c r="I111" s="159">
        <v>46300.449444444443</v>
      </c>
      <c r="J111" t="s">
        <v>587</v>
      </c>
      <c r="K111" t="s">
        <v>388</v>
      </c>
      <c r="L111" s="158">
        <v>46299</v>
      </c>
      <c r="M111" t="s">
        <v>586</v>
      </c>
      <c r="N111" t="s">
        <v>178</v>
      </c>
      <c r="O111" t="s">
        <v>179</v>
      </c>
      <c r="P111">
        <v>3</v>
      </c>
      <c r="Q111" t="s">
        <v>180</v>
      </c>
    </row>
    <row r="112" spans="1:17" s="3" customFormat="1">
      <c r="A112" s="82">
        <v>5.1580170439814818E-2</v>
      </c>
      <c r="B112" t="s">
        <v>44</v>
      </c>
      <c r="C112"/>
      <c r="D112"/>
      <c r="E112" t="s">
        <v>53</v>
      </c>
      <c r="F112"/>
      <c r="G112" t="s">
        <v>113</v>
      </c>
      <c r="H112"/>
      <c r="I112" s="159">
        <v>46300.448981481481</v>
      </c>
      <c r="J112" t="s">
        <v>587</v>
      </c>
      <c r="K112" t="s">
        <v>388</v>
      </c>
      <c r="L112" s="158">
        <v>46299</v>
      </c>
      <c r="M112" t="s">
        <v>586</v>
      </c>
      <c r="N112" t="s">
        <v>178</v>
      </c>
      <c r="O112" t="s">
        <v>179</v>
      </c>
      <c r="P112">
        <v>3</v>
      </c>
      <c r="Q112" t="s">
        <v>180</v>
      </c>
    </row>
    <row r="113" spans="1:17" s="3" customFormat="1">
      <c r="A113" s="82">
        <v>5.1208386747685186E-2</v>
      </c>
      <c r="B113" t="s">
        <v>44</v>
      </c>
      <c r="C113"/>
      <c r="D113"/>
      <c r="E113" t="s">
        <v>37</v>
      </c>
      <c r="F113"/>
      <c r="G113" t="s">
        <v>47</v>
      </c>
      <c r="H113"/>
      <c r="I113" s="159">
        <v>46300.448935185188</v>
      </c>
      <c r="J113" t="s">
        <v>587</v>
      </c>
      <c r="K113" t="s">
        <v>388</v>
      </c>
      <c r="L113" s="158">
        <v>46299</v>
      </c>
      <c r="M113" t="s">
        <v>586</v>
      </c>
      <c r="N113" t="s">
        <v>178</v>
      </c>
      <c r="O113" t="s">
        <v>179</v>
      </c>
      <c r="P113">
        <v>3</v>
      </c>
      <c r="Q113" t="s">
        <v>180</v>
      </c>
    </row>
    <row r="114" spans="1:17" s="3" customFormat="1">
      <c r="A114" s="82">
        <v>5.1097678807870368E-2</v>
      </c>
      <c r="B114" t="s">
        <v>44</v>
      </c>
      <c r="C114"/>
      <c r="D114"/>
      <c r="E114" t="s">
        <v>133</v>
      </c>
      <c r="F114"/>
      <c r="G114" t="s">
        <v>47</v>
      </c>
      <c r="H114"/>
      <c r="I114" s="159">
        <v>46300.448819444442</v>
      </c>
      <c r="J114" t="s">
        <v>587</v>
      </c>
      <c r="K114" t="s">
        <v>388</v>
      </c>
      <c r="L114" s="158">
        <v>46299</v>
      </c>
      <c r="M114" t="s">
        <v>586</v>
      </c>
      <c r="N114" t="s">
        <v>178</v>
      </c>
      <c r="O114" t="s">
        <v>179</v>
      </c>
      <c r="P114">
        <v>3</v>
      </c>
      <c r="Q114" t="s">
        <v>180</v>
      </c>
    </row>
    <row r="115" spans="1:17" s="3" customFormat="1">
      <c r="A115" s="82">
        <v>5.1027063622685186E-2</v>
      </c>
      <c r="B115" t="s">
        <v>44</v>
      </c>
      <c r="C115" t="s">
        <v>486</v>
      </c>
      <c r="D115"/>
      <c r="E115" t="s">
        <v>406</v>
      </c>
      <c r="F115"/>
      <c r="G115" t="s">
        <v>47</v>
      </c>
      <c r="H115"/>
      <c r="I115" s="159">
        <v>46300.44872685185</v>
      </c>
      <c r="J115" t="s">
        <v>587</v>
      </c>
      <c r="K115" t="s">
        <v>388</v>
      </c>
      <c r="L115" s="158">
        <v>46299</v>
      </c>
      <c r="M115" t="s">
        <v>586</v>
      </c>
      <c r="N115" t="s">
        <v>178</v>
      </c>
      <c r="O115" t="s">
        <v>179</v>
      </c>
      <c r="P115">
        <v>3</v>
      </c>
      <c r="Q115" t="s">
        <v>180</v>
      </c>
    </row>
    <row r="116" spans="1:17" s="3" customFormat="1">
      <c r="A116" s="82">
        <v>5.0997150821759256E-2</v>
      </c>
      <c r="B116" t="s">
        <v>44</v>
      </c>
      <c r="C116" t="s">
        <v>483</v>
      </c>
      <c r="D116"/>
      <c r="E116" t="s">
        <v>406</v>
      </c>
      <c r="F116"/>
      <c r="G116" t="s">
        <v>47</v>
      </c>
      <c r="H116"/>
      <c r="I116" s="159">
        <v>46300.448587962965</v>
      </c>
      <c r="J116" t="s">
        <v>587</v>
      </c>
      <c r="K116" t="s">
        <v>388</v>
      </c>
      <c r="L116" s="158">
        <v>46299</v>
      </c>
      <c r="M116" t="s">
        <v>586</v>
      </c>
      <c r="N116" t="s">
        <v>178</v>
      </c>
      <c r="O116" t="s">
        <v>179</v>
      </c>
      <c r="P116">
        <v>3</v>
      </c>
      <c r="Q116" t="s">
        <v>180</v>
      </c>
    </row>
    <row r="117" spans="1:17" s="3" customFormat="1">
      <c r="A117" s="82">
        <v>5.0954804224537034E-2</v>
      </c>
      <c r="B117" t="s">
        <v>44</v>
      </c>
      <c r="C117" t="s">
        <v>496</v>
      </c>
      <c r="D117"/>
      <c r="E117" t="s">
        <v>219</v>
      </c>
      <c r="F117"/>
      <c r="G117" t="s">
        <v>113</v>
      </c>
      <c r="H117"/>
      <c r="I117" s="159">
        <v>46300.448379629626</v>
      </c>
      <c r="J117" t="s">
        <v>587</v>
      </c>
      <c r="K117" t="s">
        <v>388</v>
      </c>
      <c r="L117" s="158">
        <v>46299</v>
      </c>
      <c r="M117" t="s">
        <v>586</v>
      </c>
      <c r="N117" t="s">
        <v>178</v>
      </c>
      <c r="O117" t="s">
        <v>179</v>
      </c>
      <c r="P117">
        <v>3</v>
      </c>
      <c r="Q117" t="s">
        <v>180</v>
      </c>
    </row>
    <row r="118" spans="1:17" s="3" customFormat="1">
      <c r="A118" s="82">
        <v>5.0919889097222219E-2</v>
      </c>
      <c r="B118" t="s">
        <v>44</v>
      </c>
      <c r="C118" t="s">
        <v>489</v>
      </c>
      <c r="D118"/>
      <c r="E118" t="s">
        <v>57</v>
      </c>
      <c r="F118"/>
      <c r="G118" t="s">
        <v>113</v>
      </c>
      <c r="H118"/>
      <c r="I118" s="159">
        <v>46300.448298611111</v>
      </c>
      <c r="J118" t="s">
        <v>587</v>
      </c>
      <c r="K118" t="s">
        <v>388</v>
      </c>
      <c r="L118" s="158">
        <v>46299</v>
      </c>
      <c r="M118" t="s">
        <v>586</v>
      </c>
      <c r="N118" t="s">
        <v>178</v>
      </c>
      <c r="O118" t="s">
        <v>179</v>
      </c>
      <c r="P118">
        <v>3</v>
      </c>
      <c r="Q118" t="s">
        <v>180</v>
      </c>
    </row>
    <row r="119" spans="1:17" s="3" customFormat="1">
      <c r="A119" s="82">
        <v>5.0889984537037039E-2</v>
      </c>
      <c r="B119" t="s">
        <v>44</v>
      </c>
      <c r="C119" t="s">
        <v>492</v>
      </c>
      <c r="D119"/>
      <c r="E119" t="s">
        <v>57</v>
      </c>
      <c r="F119"/>
      <c r="G119" t="s">
        <v>113</v>
      </c>
      <c r="H119"/>
      <c r="I119" s="159">
        <v>46300.447881944441</v>
      </c>
      <c r="J119" t="s">
        <v>587</v>
      </c>
      <c r="K119" t="s">
        <v>388</v>
      </c>
      <c r="L119" s="158">
        <v>46299</v>
      </c>
      <c r="M119" t="s">
        <v>586</v>
      </c>
      <c r="N119" t="s">
        <v>178</v>
      </c>
      <c r="O119" t="s">
        <v>179</v>
      </c>
      <c r="P119">
        <v>3</v>
      </c>
      <c r="Q119" t="s">
        <v>180</v>
      </c>
    </row>
    <row r="120" spans="1:17" s="3" customFormat="1">
      <c r="A120" s="82">
        <v>5.0810421284722219E-2</v>
      </c>
      <c r="B120" t="s">
        <v>44</v>
      </c>
      <c r="C120" t="s">
        <v>491</v>
      </c>
      <c r="D120"/>
      <c r="E120" t="s">
        <v>57</v>
      </c>
      <c r="F120"/>
      <c r="G120" t="s">
        <v>113</v>
      </c>
      <c r="H120"/>
      <c r="I120" s="159">
        <v>46300.447662037041</v>
      </c>
      <c r="J120" t="s">
        <v>587</v>
      </c>
      <c r="K120" t="s">
        <v>388</v>
      </c>
      <c r="L120" s="158">
        <v>46299</v>
      </c>
      <c r="M120" t="s">
        <v>586</v>
      </c>
      <c r="N120" t="s">
        <v>178</v>
      </c>
      <c r="O120" t="s">
        <v>179</v>
      </c>
      <c r="P120">
        <v>3</v>
      </c>
      <c r="Q120" t="s">
        <v>180</v>
      </c>
    </row>
    <row r="121" spans="1:17" s="3" customFormat="1">
      <c r="A121" s="82">
        <v>5.0745622800925927E-2</v>
      </c>
      <c r="B121" t="s">
        <v>44</v>
      </c>
      <c r="C121" t="s">
        <v>486</v>
      </c>
      <c r="D121"/>
      <c r="E121" t="s">
        <v>57</v>
      </c>
      <c r="F121"/>
      <c r="G121" t="s">
        <v>113</v>
      </c>
      <c r="H121" t="s">
        <v>611</v>
      </c>
      <c r="I121" s="159">
        <v>46300.447199074071</v>
      </c>
      <c r="J121" t="s">
        <v>587</v>
      </c>
      <c r="K121" t="s">
        <v>388</v>
      </c>
      <c r="L121" s="158">
        <v>46299</v>
      </c>
      <c r="M121" t="s">
        <v>586</v>
      </c>
      <c r="N121" t="s">
        <v>178</v>
      </c>
      <c r="O121" t="s">
        <v>179</v>
      </c>
      <c r="P121">
        <v>3</v>
      </c>
      <c r="Q121" t="s">
        <v>180</v>
      </c>
    </row>
    <row r="122" spans="1:17" s="3" customFormat="1">
      <c r="A122" s="82">
        <v>5.0697859560185181E-2</v>
      </c>
      <c r="B122" t="s">
        <v>44</v>
      </c>
      <c r="C122"/>
      <c r="D122"/>
      <c r="E122" t="s">
        <v>62</v>
      </c>
      <c r="F122"/>
      <c r="G122" t="s">
        <v>113</v>
      </c>
      <c r="H122"/>
      <c r="I122" s="159">
        <v>46300.447060185186</v>
      </c>
      <c r="J122" t="s">
        <v>587</v>
      </c>
      <c r="K122" t="s">
        <v>388</v>
      </c>
      <c r="L122" s="158">
        <v>46299</v>
      </c>
      <c r="M122" t="s">
        <v>586</v>
      </c>
      <c r="N122" t="s">
        <v>178</v>
      </c>
      <c r="O122" t="s">
        <v>179</v>
      </c>
      <c r="P122">
        <v>3</v>
      </c>
      <c r="Q122" t="s">
        <v>180</v>
      </c>
    </row>
    <row r="123" spans="1:17" s="3" customFormat="1">
      <c r="A123" s="82">
        <v>5.0614091990740739E-2</v>
      </c>
      <c r="B123" t="s">
        <v>44</v>
      </c>
      <c r="C123"/>
      <c r="D123"/>
      <c r="E123" t="s">
        <v>53</v>
      </c>
      <c r="F123"/>
      <c r="G123" t="s">
        <v>113</v>
      </c>
      <c r="H123"/>
      <c r="I123" s="159">
        <v>46300.446770833332</v>
      </c>
      <c r="J123" t="s">
        <v>587</v>
      </c>
      <c r="K123" t="s">
        <v>388</v>
      </c>
      <c r="L123" s="158">
        <v>46299</v>
      </c>
      <c r="M123" t="s">
        <v>586</v>
      </c>
      <c r="N123" t="s">
        <v>178</v>
      </c>
      <c r="O123" t="s">
        <v>179</v>
      </c>
      <c r="P123">
        <v>3</v>
      </c>
      <c r="Q123" t="s">
        <v>180</v>
      </c>
    </row>
    <row r="124" spans="1:17" s="3" customFormat="1">
      <c r="A124" s="82">
        <v>4.9901108483796294E-2</v>
      </c>
      <c r="B124" t="s">
        <v>44</v>
      </c>
      <c r="C124"/>
      <c r="D124"/>
      <c r="E124" t="s">
        <v>37</v>
      </c>
      <c r="F124"/>
      <c r="G124" t="s">
        <v>113</v>
      </c>
      <c r="H124"/>
      <c r="I124" s="159">
        <v>46300.44667824074</v>
      </c>
      <c r="J124" t="s">
        <v>587</v>
      </c>
      <c r="K124" t="s">
        <v>388</v>
      </c>
      <c r="L124" s="158">
        <v>46299</v>
      </c>
      <c r="M124" t="s">
        <v>586</v>
      </c>
      <c r="N124" t="s">
        <v>178</v>
      </c>
      <c r="O124" t="s">
        <v>179</v>
      </c>
      <c r="P124">
        <v>3</v>
      </c>
      <c r="Q124" t="s">
        <v>180</v>
      </c>
    </row>
    <row r="125" spans="1:17" s="3" customFormat="1">
      <c r="A125" s="82">
        <v>4.9901108483796294E-2</v>
      </c>
      <c r="B125" t="s">
        <v>44</v>
      </c>
      <c r="C125" t="s">
        <v>512</v>
      </c>
      <c r="D125" t="s">
        <v>153</v>
      </c>
      <c r="E125" t="s">
        <v>161</v>
      </c>
      <c r="F125" t="s">
        <v>539</v>
      </c>
      <c r="G125" t="s">
        <v>113</v>
      </c>
      <c r="H125"/>
      <c r="I125" s="159">
        <v>46300.44667824074</v>
      </c>
      <c r="J125" t="s">
        <v>587</v>
      </c>
      <c r="K125" t="s">
        <v>388</v>
      </c>
      <c r="L125" s="158">
        <v>46299</v>
      </c>
      <c r="M125" t="s">
        <v>586</v>
      </c>
      <c r="N125" t="s">
        <v>178</v>
      </c>
      <c r="O125" t="s">
        <v>179</v>
      </c>
      <c r="P125">
        <v>3</v>
      </c>
      <c r="Q125" t="s">
        <v>180</v>
      </c>
    </row>
    <row r="126" spans="1:17" s="3" customFormat="1">
      <c r="A126" s="82">
        <v>4.9864489629629624E-2</v>
      </c>
      <c r="B126" t="s">
        <v>44</v>
      </c>
      <c r="C126" t="s">
        <v>512</v>
      </c>
      <c r="D126"/>
      <c r="E126" t="s">
        <v>57</v>
      </c>
      <c r="F126"/>
      <c r="G126" t="s">
        <v>113</v>
      </c>
      <c r="H126"/>
      <c r="I126" s="159">
        <v>46300.446550925924</v>
      </c>
      <c r="J126" t="s">
        <v>587</v>
      </c>
      <c r="K126" t="s">
        <v>388</v>
      </c>
      <c r="L126" s="158">
        <v>46299</v>
      </c>
      <c r="M126" t="s">
        <v>586</v>
      </c>
      <c r="N126" t="s">
        <v>178</v>
      </c>
      <c r="O126" t="s">
        <v>179</v>
      </c>
      <c r="P126">
        <v>3</v>
      </c>
      <c r="Q126" t="s">
        <v>180</v>
      </c>
    </row>
    <row r="127" spans="1:17" s="3" customFormat="1">
      <c r="A127" s="82">
        <v>4.9827690208333331E-2</v>
      </c>
      <c r="B127" t="s">
        <v>44</v>
      </c>
      <c r="C127" t="s">
        <v>512</v>
      </c>
      <c r="D127"/>
      <c r="E127" t="s">
        <v>84</v>
      </c>
      <c r="F127"/>
      <c r="G127" t="s">
        <v>113</v>
      </c>
      <c r="H127"/>
      <c r="I127" s="159">
        <v>46300.446226851855</v>
      </c>
      <c r="J127" t="s">
        <v>587</v>
      </c>
      <c r="K127" t="s">
        <v>388</v>
      </c>
      <c r="L127" s="158">
        <v>46299</v>
      </c>
      <c r="M127" t="s">
        <v>586</v>
      </c>
      <c r="N127" t="s">
        <v>178</v>
      </c>
      <c r="O127" t="s">
        <v>179</v>
      </c>
      <c r="P127">
        <v>3</v>
      </c>
      <c r="Q127" t="s">
        <v>180</v>
      </c>
    </row>
    <row r="128" spans="1:17" s="3" customFormat="1">
      <c r="A128" s="82">
        <v>4.9810441400462965E-2</v>
      </c>
      <c r="B128" t="s">
        <v>44</v>
      </c>
      <c r="C128" t="s">
        <v>497</v>
      </c>
      <c r="D128"/>
      <c r="E128" t="s">
        <v>57</v>
      </c>
      <c r="F128"/>
      <c r="G128" t="s">
        <v>113</v>
      </c>
      <c r="H128"/>
      <c r="I128" s="159">
        <v>46300.446099537039</v>
      </c>
      <c r="J128" t="s">
        <v>587</v>
      </c>
      <c r="K128" t="s">
        <v>388</v>
      </c>
      <c r="L128" s="158">
        <v>46299</v>
      </c>
      <c r="M128" t="s">
        <v>586</v>
      </c>
      <c r="N128" t="s">
        <v>178</v>
      </c>
      <c r="O128" t="s">
        <v>179</v>
      </c>
      <c r="P128">
        <v>3</v>
      </c>
      <c r="Q128" t="s">
        <v>180</v>
      </c>
    </row>
    <row r="129" spans="1:17" s="3" customFormat="1">
      <c r="A129" s="82">
        <v>4.9793146874999999E-2</v>
      </c>
      <c r="B129" t="s">
        <v>44</v>
      </c>
      <c r="C129" t="s">
        <v>485</v>
      </c>
      <c r="D129"/>
      <c r="E129" t="s">
        <v>57</v>
      </c>
      <c r="F129"/>
      <c r="G129" t="s">
        <v>113</v>
      </c>
      <c r="H129"/>
      <c r="I129" s="159">
        <v>46300.446030092593</v>
      </c>
      <c r="J129" t="s">
        <v>587</v>
      </c>
      <c r="K129" t="s">
        <v>388</v>
      </c>
      <c r="L129" s="158">
        <v>46299</v>
      </c>
      <c r="M129" t="s">
        <v>586</v>
      </c>
      <c r="N129" t="s">
        <v>178</v>
      </c>
      <c r="O129" t="s">
        <v>179</v>
      </c>
      <c r="P129">
        <v>3</v>
      </c>
      <c r="Q129" t="s">
        <v>180</v>
      </c>
    </row>
    <row r="130" spans="1:17" s="3" customFormat="1">
      <c r="A130" s="82">
        <v>4.978632988425926E-2</v>
      </c>
      <c r="B130" t="s">
        <v>44</v>
      </c>
      <c r="C130" t="s">
        <v>32</v>
      </c>
      <c r="D130"/>
      <c r="E130" t="s">
        <v>132</v>
      </c>
      <c r="F130"/>
      <c r="G130" t="s">
        <v>47</v>
      </c>
      <c r="H130"/>
      <c r="I130" s="159">
        <v>46300.446018518516</v>
      </c>
      <c r="J130" t="s">
        <v>587</v>
      </c>
      <c r="K130" t="s">
        <v>388</v>
      </c>
      <c r="L130" s="158">
        <v>46299</v>
      </c>
      <c r="M130" t="s">
        <v>586</v>
      </c>
      <c r="N130" t="s">
        <v>178</v>
      </c>
      <c r="O130" t="s">
        <v>179</v>
      </c>
      <c r="P130">
        <v>3</v>
      </c>
      <c r="Q130" t="s">
        <v>180</v>
      </c>
    </row>
    <row r="131" spans="1:17" s="3" customFormat="1">
      <c r="A131" s="82">
        <v>4.976612143518519E-2</v>
      </c>
      <c r="B131" t="s">
        <v>44</v>
      </c>
      <c r="C131" t="s">
        <v>593</v>
      </c>
      <c r="D131"/>
      <c r="E131" t="s">
        <v>60</v>
      </c>
      <c r="F131"/>
      <c r="G131" t="s">
        <v>47</v>
      </c>
      <c r="H131"/>
      <c r="I131" s="159">
        <v>46300.445162037038</v>
      </c>
      <c r="J131" t="s">
        <v>587</v>
      </c>
      <c r="K131" t="s">
        <v>388</v>
      </c>
      <c r="L131" s="158">
        <v>46299</v>
      </c>
      <c r="M131" t="s">
        <v>586</v>
      </c>
      <c r="N131" t="s">
        <v>178</v>
      </c>
      <c r="O131" t="s">
        <v>179</v>
      </c>
      <c r="P131">
        <v>3</v>
      </c>
      <c r="Q131" t="s">
        <v>180</v>
      </c>
    </row>
    <row r="132" spans="1:17" s="3" customFormat="1">
      <c r="A132" s="82">
        <v>4.9673440254629636E-2</v>
      </c>
      <c r="B132" t="s">
        <v>44</v>
      </c>
      <c r="C132"/>
      <c r="D132"/>
      <c r="E132" t="s">
        <v>53</v>
      </c>
      <c r="F132"/>
      <c r="G132" t="s">
        <v>47</v>
      </c>
      <c r="H132"/>
      <c r="I132" s="159">
        <v>46300.444791666669</v>
      </c>
      <c r="J132" t="s">
        <v>587</v>
      </c>
      <c r="K132" t="s">
        <v>388</v>
      </c>
      <c r="L132" s="158">
        <v>46299</v>
      </c>
      <c r="M132" t="s">
        <v>586</v>
      </c>
      <c r="N132" t="s">
        <v>178</v>
      </c>
      <c r="O132" t="s">
        <v>179</v>
      </c>
      <c r="P132">
        <v>3</v>
      </c>
      <c r="Q132" t="s">
        <v>180</v>
      </c>
    </row>
    <row r="133" spans="1:17" s="3" customFormat="1">
      <c r="A133" s="82">
        <v>4.2950842754629633E-2</v>
      </c>
      <c r="B133" t="s">
        <v>44</v>
      </c>
      <c r="C133" t="s">
        <v>486</v>
      </c>
      <c r="D133"/>
      <c r="E133" t="s">
        <v>574</v>
      </c>
      <c r="F133"/>
      <c r="G133" t="s">
        <v>113</v>
      </c>
      <c r="H133"/>
      <c r="I133" s="159">
        <v>46300.444212962961</v>
      </c>
      <c r="J133" t="s">
        <v>587</v>
      </c>
      <c r="K133" t="s">
        <v>388</v>
      </c>
      <c r="L133" s="158">
        <v>46299</v>
      </c>
      <c r="M133" t="s">
        <v>586</v>
      </c>
      <c r="N133" t="s">
        <v>178</v>
      </c>
      <c r="O133" t="s">
        <v>179</v>
      </c>
      <c r="P133">
        <v>3</v>
      </c>
      <c r="Q133" t="s">
        <v>180</v>
      </c>
    </row>
    <row r="134" spans="1:17" s="3" customFormat="1">
      <c r="A134" s="82">
        <v>3.319961900462963E-2</v>
      </c>
      <c r="B134" t="s">
        <v>44</v>
      </c>
      <c r="C134" t="s">
        <v>486</v>
      </c>
      <c r="D134"/>
      <c r="E134" t="s">
        <v>262</v>
      </c>
      <c r="F134"/>
      <c r="G134" t="s">
        <v>113</v>
      </c>
      <c r="H134"/>
      <c r="I134" s="159">
        <v>46300.443530092591</v>
      </c>
      <c r="J134" t="s">
        <v>587</v>
      </c>
      <c r="K134" t="s">
        <v>388</v>
      </c>
      <c r="L134" s="158">
        <v>46299</v>
      </c>
      <c r="M134" t="s">
        <v>586</v>
      </c>
      <c r="N134" t="s">
        <v>178</v>
      </c>
      <c r="O134" t="s">
        <v>179</v>
      </c>
      <c r="P134">
        <v>3</v>
      </c>
      <c r="Q134" t="s">
        <v>180</v>
      </c>
    </row>
    <row r="135" spans="1:17" s="3" customFormat="1">
      <c r="A135" s="82">
        <v>4.9222391064814817E-2</v>
      </c>
      <c r="B135" t="s">
        <v>44</v>
      </c>
      <c r="C135"/>
      <c r="D135"/>
      <c r="E135" t="s">
        <v>37</v>
      </c>
      <c r="F135"/>
      <c r="G135" t="s">
        <v>47</v>
      </c>
      <c r="H135"/>
      <c r="I135" s="159">
        <v>46300.440115740741</v>
      </c>
      <c r="J135" t="s">
        <v>587</v>
      </c>
      <c r="K135" t="s">
        <v>388</v>
      </c>
      <c r="L135" s="158">
        <v>46299</v>
      </c>
      <c r="M135" t="s">
        <v>586</v>
      </c>
      <c r="N135" t="s">
        <v>178</v>
      </c>
      <c r="O135" t="s">
        <v>179</v>
      </c>
      <c r="P135">
        <v>3</v>
      </c>
      <c r="Q135" t="s">
        <v>180</v>
      </c>
    </row>
    <row r="136" spans="1:17" s="3" customFormat="1">
      <c r="A136" s="82">
        <v>4.9222391064814817E-2</v>
      </c>
      <c r="B136" t="s">
        <v>44</v>
      </c>
      <c r="C136"/>
      <c r="D136"/>
      <c r="E136" t="s">
        <v>160</v>
      </c>
      <c r="F136" t="s">
        <v>539</v>
      </c>
      <c r="G136" t="s">
        <v>47</v>
      </c>
      <c r="H136"/>
      <c r="I136" s="159">
        <v>46300.440115740741</v>
      </c>
      <c r="J136" t="s">
        <v>587</v>
      </c>
      <c r="K136" t="s">
        <v>388</v>
      </c>
      <c r="L136" s="158">
        <v>46299</v>
      </c>
      <c r="M136" t="s">
        <v>586</v>
      </c>
      <c r="N136" t="s">
        <v>178</v>
      </c>
      <c r="O136" t="s">
        <v>179</v>
      </c>
      <c r="P136">
        <v>3</v>
      </c>
      <c r="Q136" t="s">
        <v>180</v>
      </c>
    </row>
    <row r="137" spans="1:17" s="3" customFormat="1">
      <c r="A137" s="82">
        <v>4.8983437534722223E-2</v>
      </c>
      <c r="B137" t="s">
        <v>44</v>
      </c>
      <c r="C137" t="s">
        <v>487</v>
      </c>
      <c r="D137"/>
      <c r="E137" t="s">
        <v>407</v>
      </c>
      <c r="F137"/>
      <c r="G137" t="s">
        <v>47</v>
      </c>
      <c r="H137"/>
      <c r="I137" s="159">
        <v>46300.439942129633</v>
      </c>
      <c r="J137" t="s">
        <v>587</v>
      </c>
      <c r="K137" t="s">
        <v>388</v>
      </c>
      <c r="L137" s="158">
        <v>46299</v>
      </c>
      <c r="M137" t="s">
        <v>586</v>
      </c>
      <c r="N137" t="s">
        <v>178</v>
      </c>
      <c r="O137" t="s">
        <v>179</v>
      </c>
      <c r="P137">
        <v>3</v>
      </c>
      <c r="Q137" t="s">
        <v>180</v>
      </c>
    </row>
    <row r="138" spans="1:17" s="3" customFormat="1">
      <c r="A138" s="82">
        <v>4.9085712407407403E-2</v>
      </c>
      <c r="B138" t="s">
        <v>44</v>
      </c>
      <c r="C138" t="s">
        <v>490</v>
      </c>
      <c r="D138"/>
      <c r="E138" t="s">
        <v>406</v>
      </c>
      <c r="F138"/>
      <c r="G138" t="s">
        <v>47</v>
      </c>
      <c r="H138"/>
      <c r="I138" s="159">
        <v>46300.439733796295</v>
      </c>
      <c r="J138" t="s">
        <v>587</v>
      </c>
      <c r="K138" t="s">
        <v>388</v>
      </c>
      <c r="L138" s="158">
        <v>46299</v>
      </c>
      <c r="M138" t="s">
        <v>586</v>
      </c>
      <c r="N138" t="s">
        <v>178</v>
      </c>
      <c r="O138" t="s">
        <v>179</v>
      </c>
      <c r="P138">
        <v>3</v>
      </c>
      <c r="Q138" t="s">
        <v>180</v>
      </c>
    </row>
    <row r="139" spans="1:17" s="3" customFormat="1">
      <c r="A139" s="82">
        <v>4.8990217418981484E-2</v>
      </c>
      <c r="B139" t="s">
        <v>44</v>
      </c>
      <c r="C139"/>
      <c r="D139"/>
      <c r="E139" t="s">
        <v>225</v>
      </c>
      <c r="F139"/>
      <c r="G139" t="s">
        <v>47</v>
      </c>
      <c r="H139"/>
      <c r="I139" s="159">
        <v>46300.43949074074</v>
      </c>
      <c r="J139" t="s">
        <v>587</v>
      </c>
      <c r="K139" t="s">
        <v>388</v>
      </c>
      <c r="L139" s="158">
        <v>46299</v>
      </c>
      <c r="M139" t="s">
        <v>586</v>
      </c>
      <c r="N139" t="s">
        <v>178</v>
      </c>
      <c r="O139" t="s">
        <v>179</v>
      </c>
      <c r="P139">
        <v>3</v>
      </c>
      <c r="Q139" t="s">
        <v>180</v>
      </c>
    </row>
    <row r="140" spans="1:17" s="3" customFormat="1">
      <c r="A140" s="82">
        <v>4.88887081712963E-2</v>
      </c>
      <c r="B140" t="s">
        <v>44</v>
      </c>
      <c r="C140"/>
      <c r="D140"/>
      <c r="E140" t="s">
        <v>54</v>
      </c>
      <c r="F140"/>
      <c r="G140" t="s">
        <v>47</v>
      </c>
      <c r="H140"/>
      <c r="I140" s="159">
        <v>46300.439212962963</v>
      </c>
      <c r="J140" t="s">
        <v>587</v>
      </c>
      <c r="K140" t="s">
        <v>388</v>
      </c>
      <c r="L140" s="158">
        <v>46299</v>
      </c>
      <c r="M140" t="s">
        <v>586</v>
      </c>
      <c r="N140" t="s">
        <v>178</v>
      </c>
      <c r="O140" t="s">
        <v>179</v>
      </c>
      <c r="P140">
        <v>3</v>
      </c>
      <c r="Q140" t="s">
        <v>180</v>
      </c>
    </row>
    <row r="141" spans="1:17" s="3" customFormat="1">
      <c r="A141" s="82">
        <v>4.8179264432870378E-2</v>
      </c>
      <c r="B141" t="s">
        <v>44</v>
      </c>
      <c r="C141"/>
      <c r="D141"/>
      <c r="E141" t="s">
        <v>37</v>
      </c>
      <c r="F141"/>
      <c r="G141" t="s">
        <v>47</v>
      </c>
      <c r="H141"/>
      <c r="I141" s="159">
        <v>46300.439166666663</v>
      </c>
      <c r="J141" t="s">
        <v>587</v>
      </c>
      <c r="K141" t="s">
        <v>388</v>
      </c>
      <c r="L141" s="158">
        <v>46299</v>
      </c>
      <c r="M141" t="s">
        <v>586</v>
      </c>
      <c r="N141" t="s">
        <v>178</v>
      </c>
      <c r="O141" t="s">
        <v>179</v>
      </c>
      <c r="P141">
        <v>3</v>
      </c>
      <c r="Q141" t="s">
        <v>180</v>
      </c>
    </row>
    <row r="142" spans="1:17" s="3" customFormat="1">
      <c r="A142" s="82">
        <v>4.8160019340277783E-2</v>
      </c>
      <c r="B142" t="s">
        <v>44</v>
      </c>
      <c r="C142"/>
      <c r="D142"/>
      <c r="E142" t="s">
        <v>132</v>
      </c>
      <c r="F142"/>
      <c r="G142" t="s">
        <v>113</v>
      </c>
      <c r="H142"/>
      <c r="I142" s="159">
        <v>46300.439155092594</v>
      </c>
      <c r="J142" t="s">
        <v>587</v>
      </c>
      <c r="K142" t="s">
        <v>388</v>
      </c>
      <c r="L142" s="158">
        <v>46299</v>
      </c>
      <c r="M142" t="s">
        <v>586</v>
      </c>
      <c r="N142" t="s">
        <v>178</v>
      </c>
      <c r="O142" t="s">
        <v>179</v>
      </c>
      <c r="P142">
        <v>3</v>
      </c>
      <c r="Q142" t="s">
        <v>180</v>
      </c>
    </row>
    <row r="143" spans="1:17" s="3" customFormat="1">
      <c r="A143" s="82">
        <v>4.8092216597222216E-2</v>
      </c>
      <c r="B143" t="s">
        <v>44</v>
      </c>
      <c r="C143" t="s">
        <v>484</v>
      </c>
      <c r="D143"/>
      <c r="E143" t="s">
        <v>8</v>
      </c>
      <c r="F143"/>
      <c r="G143" t="s">
        <v>113</v>
      </c>
      <c r="H143"/>
      <c r="I143" s="159">
        <v>46300.439050925925</v>
      </c>
      <c r="J143" t="s">
        <v>587</v>
      </c>
      <c r="K143" t="s">
        <v>388</v>
      </c>
      <c r="L143" s="158">
        <v>46299</v>
      </c>
      <c r="M143" t="s">
        <v>586</v>
      </c>
      <c r="N143" t="s">
        <v>178</v>
      </c>
      <c r="O143" t="s">
        <v>179</v>
      </c>
      <c r="P143">
        <v>3</v>
      </c>
      <c r="Q143" t="s">
        <v>180</v>
      </c>
    </row>
    <row r="144" spans="1:17" s="3" customFormat="1">
      <c r="A144" s="82">
        <v>4.7999635185185185E-2</v>
      </c>
      <c r="B144" t="s">
        <v>44</v>
      </c>
      <c r="C144" t="s">
        <v>487</v>
      </c>
      <c r="D144"/>
      <c r="E144" t="s">
        <v>57</v>
      </c>
      <c r="F144"/>
      <c r="G144" t="s">
        <v>113</v>
      </c>
      <c r="H144"/>
      <c r="I144" s="159">
        <v>46300.438888888886</v>
      </c>
      <c r="J144" t="s">
        <v>587</v>
      </c>
      <c r="K144" t="s">
        <v>388</v>
      </c>
      <c r="L144" s="158">
        <v>46299</v>
      </c>
      <c r="M144" t="s">
        <v>586</v>
      </c>
      <c r="N144" t="s">
        <v>178</v>
      </c>
      <c r="O144" t="s">
        <v>179</v>
      </c>
      <c r="P144">
        <v>3</v>
      </c>
      <c r="Q144" t="s">
        <v>180</v>
      </c>
    </row>
    <row r="145" spans="1:17" s="3" customFormat="1">
      <c r="A145" s="82">
        <v>4.7957970127314814E-2</v>
      </c>
      <c r="B145" t="s">
        <v>44</v>
      </c>
      <c r="C145" t="s">
        <v>593</v>
      </c>
      <c r="D145"/>
      <c r="E145" t="s">
        <v>57</v>
      </c>
      <c r="F145"/>
      <c r="G145" t="s">
        <v>113</v>
      </c>
      <c r="H145"/>
      <c r="I145" s="159">
        <v>46300.438680555555</v>
      </c>
      <c r="J145" t="s">
        <v>587</v>
      </c>
      <c r="K145" t="s">
        <v>388</v>
      </c>
      <c r="L145" s="158">
        <v>46299</v>
      </c>
      <c r="M145" t="s">
        <v>586</v>
      </c>
      <c r="N145" t="s">
        <v>178</v>
      </c>
      <c r="O145" t="s">
        <v>179</v>
      </c>
      <c r="P145">
        <v>3</v>
      </c>
      <c r="Q145" t="s">
        <v>180</v>
      </c>
    </row>
    <row r="146" spans="1:17" s="3" customFormat="1">
      <c r="A146" s="82">
        <v>4.7863651342592593E-2</v>
      </c>
      <c r="B146" t="s">
        <v>44</v>
      </c>
      <c r="C146" t="s">
        <v>483</v>
      </c>
      <c r="D146"/>
      <c r="E146" t="s">
        <v>57</v>
      </c>
      <c r="F146"/>
      <c r="G146" t="s">
        <v>113</v>
      </c>
      <c r="H146"/>
      <c r="I146" s="159">
        <v>46300.43822916667</v>
      </c>
      <c r="J146" t="s">
        <v>587</v>
      </c>
      <c r="K146" t="s">
        <v>388</v>
      </c>
      <c r="L146" s="158">
        <v>46299</v>
      </c>
      <c r="M146" t="s">
        <v>586</v>
      </c>
      <c r="N146" t="s">
        <v>178</v>
      </c>
      <c r="O146" t="s">
        <v>179</v>
      </c>
      <c r="P146">
        <v>3</v>
      </c>
      <c r="Q146" t="s">
        <v>180</v>
      </c>
    </row>
    <row r="147" spans="1:17" s="3" customFormat="1">
      <c r="A147" s="82">
        <v>4.7839562604166663E-2</v>
      </c>
      <c r="B147" t="s">
        <v>44</v>
      </c>
      <c r="C147"/>
      <c r="D147"/>
      <c r="E147" t="s">
        <v>137</v>
      </c>
      <c r="F147"/>
      <c r="G147" t="s">
        <v>113</v>
      </c>
      <c r="H147"/>
      <c r="I147" s="159">
        <v>46300.438090277778</v>
      </c>
      <c r="J147" t="s">
        <v>587</v>
      </c>
      <c r="K147" t="s">
        <v>388</v>
      </c>
      <c r="L147" s="158">
        <v>46299</v>
      </c>
      <c r="M147" t="s">
        <v>586</v>
      </c>
      <c r="N147" t="s">
        <v>178</v>
      </c>
      <c r="O147" t="s">
        <v>179</v>
      </c>
      <c r="P147">
        <v>3</v>
      </c>
      <c r="Q147" t="s">
        <v>180</v>
      </c>
    </row>
    <row r="148" spans="1:17" s="3" customFormat="1">
      <c r="A148" s="82">
        <v>4.7804740150462967E-2</v>
      </c>
      <c r="B148" t="s">
        <v>44</v>
      </c>
      <c r="C148"/>
      <c r="D148"/>
      <c r="E148" t="s">
        <v>133</v>
      </c>
      <c r="F148"/>
      <c r="G148" t="s">
        <v>47</v>
      </c>
      <c r="H148"/>
      <c r="I148" s="159">
        <v>46300.438009259262</v>
      </c>
      <c r="J148" t="s">
        <v>587</v>
      </c>
      <c r="K148" t="s">
        <v>388</v>
      </c>
      <c r="L148" s="158">
        <v>46299</v>
      </c>
      <c r="M148" t="s">
        <v>586</v>
      </c>
      <c r="N148" t="s">
        <v>178</v>
      </c>
      <c r="O148" t="s">
        <v>179</v>
      </c>
      <c r="P148">
        <v>3</v>
      </c>
      <c r="Q148" t="s">
        <v>180</v>
      </c>
    </row>
    <row r="149" spans="1:17" s="3" customFormat="1">
      <c r="A149" s="82">
        <v>4.7804740150462967E-2</v>
      </c>
      <c r="B149" t="s">
        <v>44</v>
      </c>
      <c r="C149"/>
      <c r="D149"/>
      <c r="E149" t="s">
        <v>50</v>
      </c>
      <c r="F149"/>
      <c r="G149" t="s">
        <v>47</v>
      </c>
      <c r="H149"/>
      <c r="I149" s="159">
        <v>46300.437986111108</v>
      </c>
      <c r="J149" t="s">
        <v>587</v>
      </c>
      <c r="K149" t="s">
        <v>388</v>
      </c>
      <c r="L149" s="158">
        <v>46299</v>
      </c>
      <c r="M149" t="s">
        <v>586</v>
      </c>
      <c r="N149" t="s">
        <v>178</v>
      </c>
      <c r="O149" t="s">
        <v>179</v>
      </c>
      <c r="P149">
        <v>3</v>
      </c>
      <c r="Q149" t="s">
        <v>180</v>
      </c>
    </row>
    <row r="150" spans="1:17" s="3" customFormat="1">
      <c r="A150" s="82">
        <v>4.7560991516203702E-2</v>
      </c>
      <c r="B150" t="s">
        <v>44</v>
      </c>
      <c r="C150"/>
      <c r="D150"/>
      <c r="E150" t="s">
        <v>504</v>
      </c>
      <c r="F150" t="s">
        <v>608</v>
      </c>
      <c r="G150" t="s">
        <v>47</v>
      </c>
      <c r="H150"/>
      <c r="I150" s="159">
        <v>46300.437303240738</v>
      </c>
      <c r="J150" t="s">
        <v>587</v>
      </c>
      <c r="K150" t="s">
        <v>388</v>
      </c>
      <c r="L150" s="158">
        <v>46299</v>
      </c>
      <c r="M150" t="s">
        <v>586</v>
      </c>
      <c r="N150" t="s">
        <v>178</v>
      </c>
      <c r="O150" t="s">
        <v>179</v>
      </c>
      <c r="P150">
        <v>3</v>
      </c>
      <c r="Q150" t="s">
        <v>180</v>
      </c>
    </row>
    <row r="151" spans="1:17" s="3" customFormat="1">
      <c r="A151" s="82">
        <v>4.7451352372685184E-2</v>
      </c>
      <c r="B151" t="s">
        <v>44</v>
      </c>
      <c r="C151"/>
      <c r="D151"/>
      <c r="E151" t="s">
        <v>53</v>
      </c>
      <c r="F151"/>
      <c r="G151" t="s">
        <v>113</v>
      </c>
      <c r="H151"/>
      <c r="I151" s="159">
        <v>46300.436921296299</v>
      </c>
      <c r="J151" t="s">
        <v>587</v>
      </c>
      <c r="K151" t="s">
        <v>388</v>
      </c>
      <c r="L151" s="158">
        <v>46299</v>
      </c>
      <c r="M151" t="s">
        <v>586</v>
      </c>
      <c r="N151" t="s">
        <v>178</v>
      </c>
      <c r="O151" t="s">
        <v>179</v>
      </c>
      <c r="P151">
        <v>3</v>
      </c>
      <c r="Q151" t="s">
        <v>180</v>
      </c>
    </row>
    <row r="152" spans="1:17" s="3" customFormat="1">
      <c r="A152" s="82">
        <v>4.6569892476851851E-2</v>
      </c>
      <c r="B152" t="s">
        <v>44</v>
      </c>
      <c r="C152"/>
      <c r="D152"/>
      <c r="E152" t="s">
        <v>37</v>
      </c>
      <c r="F152"/>
      <c r="G152" t="s">
        <v>113</v>
      </c>
      <c r="H152"/>
      <c r="I152" s="159">
        <v>46300.43677083333</v>
      </c>
      <c r="J152" t="s">
        <v>587</v>
      </c>
      <c r="K152" t="s">
        <v>388</v>
      </c>
      <c r="L152" s="158">
        <v>46299</v>
      </c>
      <c r="M152" t="s">
        <v>586</v>
      </c>
      <c r="N152" t="s">
        <v>178</v>
      </c>
      <c r="O152" t="s">
        <v>179</v>
      </c>
      <c r="P152">
        <v>3</v>
      </c>
      <c r="Q152" t="s">
        <v>180</v>
      </c>
    </row>
    <row r="153" spans="1:17" s="3" customFormat="1">
      <c r="A153" s="82">
        <v>4.6569892476851851E-2</v>
      </c>
      <c r="B153" t="s">
        <v>44</v>
      </c>
      <c r="C153" t="s">
        <v>483</v>
      </c>
      <c r="D153" t="s">
        <v>153</v>
      </c>
      <c r="E153" t="s">
        <v>161</v>
      </c>
      <c r="F153" t="s">
        <v>539</v>
      </c>
      <c r="G153" t="s">
        <v>113</v>
      </c>
      <c r="H153"/>
      <c r="I153" s="159">
        <v>46300.43677083333</v>
      </c>
      <c r="J153" t="s">
        <v>587</v>
      </c>
      <c r="K153" t="s">
        <v>388</v>
      </c>
      <c r="L153" s="158">
        <v>46299</v>
      </c>
      <c r="M153" t="s">
        <v>586</v>
      </c>
      <c r="N153" t="s">
        <v>178</v>
      </c>
      <c r="O153" t="s">
        <v>179</v>
      </c>
      <c r="P153">
        <v>3</v>
      </c>
      <c r="Q153" t="s">
        <v>180</v>
      </c>
    </row>
    <row r="154" spans="1:17" s="3" customFormat="1">
      <c r="A154" s="82">
        <v>4.6524903912037036E-2</v>
      </c>
      <c r="B154" t="s">
        <v>44</v>
      </c>
      <c r="C154" t="s">
        <v>483</v>
      </c>
      <c r="D154"/>
      <c r="E154" t="s">
        <v>84</v>
      </c>
      <c r="F154"/>
      <c r="G154" t="s">
        <v>113</v>
      </c>
      <c r="H154"/>
      <c r="I154" s="159">
        <v>46300.436597222222</v>
      </c>
      <c r="J154" t="s">
        <v>587</v>
      </c>
      <c r="K154" t="s">
        <v>388</v>
      </c>
      <c r="L154" s="158">
        <v>46299</v>
      </c>
      <c r="M154" t="s">
        <v>586</v>
      </c>
      <c r="N154" t="s">
        <v>178</v>
      </c>
      <c r="O154" t="s">
        <v>179</v>
      </c>
      <c r="P154">
        <v>3</v>
      </c>
      <c r="Q154" t="s">
        <v>180</v>
      </c>
    </row>
    <row r="155" spans="1:17" s="3" customFormat="1">
      <c r="A155" s="82">
        <v>4.6524903912037036E-2</v>
      </c>
      <c r="B155" t="s">
        <v>44</v>
      </c>
      <c r="C155" t="s">
        <v>486</v>
      </c>
      <c r="D155"/>
      <c r="E155" t="s">
        <v>57</v>
      </c>
      <c r="F155"/>
      <c r="G155" t="s">
        <v>113</v>
      </c>
      <c r="H155"/>
      <c r="I155" s="159">
        <v>46300.436562499999</v>
      </c>
      <c r="J155" t="s">
        <v>587</v>
      </c>
      <c r="K155" t="s">
        <v>388</v>
      </c>
      <c r="L155" s="158">
        <v>46299</v>
      </c>
      <c r="M155" t="s">
        <v>586</v>
      </c>
      <c r="N155" t="s">
        <v>178</v>
      </c>
      <c r="O155" t="s">
        <v>179</v>
      </c>
      <c r="P155">
        <v>3</v>
      </c>
      <c r="Q155" t="s">
        <v>180</v>
      </c>
    </row>
    <row r="156" spans="1:17" s="3" customFormat="1">
      <c r="A156" s="82">
        <v>4.6458629467592598E-2</v>
      </c>
      <c r="B156" t="s">
        <v>44</v>
      </c>
      <c r="C156"/>
      <c r="D156"/>
      <c r="E156" t="s">
        <v>137</v>
      </c>
      <c r="F156"/>
      <c r="G156" t="s">
        <v>113</v>
      </c>
      <c r="H156"/>
      <c r="I156" s="159">
        <v>46300.436145833337</v>
      </c>
      <c r="J156" t="s">
        <v>587</v>
      </c>
      <c r="K156" t="s">
        <v>388</v>
      </c>
      <c r="L156" s="158">
        <v>46299</v>
      </c>
      <c r="M156" t="s">
        <v>586</v>
      </c>
      <c r="N156" t="s">
        <v>178</v>
      </c>
      <c r="O156" t="s">
        <v>179</v>
      </c>
      <c r="P156">
        <v>3</v>
      </c>
      <c r="Q156" t="s">
        <v>180</v>
      </c>
    </row>
    <row r="157" spans="1:17" s="3" customFormat="1">
      <c r="A157" s="82">
        <v>4.6415630636574078E-2</v>
      </c>
      <c r="B157" t="s">
        <v>44</v>
      </c>
      <c r="C157"/>
      <c r="D157"/>
      <c r="E157" t="s">
        <v>133</v>
      </c>
      <c r="F157"/>
      <c r="G157" t="s">
        <v>47</v>
      </c>
      <c r="H157"/>
      <c r="I157" s="159">
        <v>46300.436099537037</v>
      </c>
      <c r="J157" t="s">
        <v>587</v>
      </c>
      <c r="K157" t="s">
        <v>388</v>
      </c>
      <c r="L157" s="158">
        <v>46299</v>
      </c>
      <c r="M157" t="s">
        <v>586</v>
      </c>
      <c r="N157" t="s">
        <v>178</v>
      </c>
      <c r="O157" t="s">
        <v>179</v>
      </c>
      <c r="P157">
        <v>3</v>
      </c>
      <c r="Q157" t="s">
        <v>180</v>
      </c>
    </row>
    <row r="158" spans="1:17" s="3" customFormat="1">
      <c r="A158" s="82">
        <v>4.636460091435185E-2</v>
      </c>
      <c r="B158" t="s">
        <v>44</v>
      </c>
      <c r="C158"/>
      <c r="D158"/>
      <c r="E158" t="s">
        <v>225</v>
      </c>
      <c r="F158"/>
      <c r="G158" t="s">
        <v>47</v>
      </c>
      <c r="H158"/>
      <c r="I158" s="159">
        <v>46300.436064814814</v>
      </c>
      <c r="J158" t="s">
        <v>587</v>
      </c>
      <c r="K158" t="s">
        <v>388</v>
      </c>
      <c r="L158" s="158">
        <v>46299</v>
      </c>
      <c r="M158" t="s">
        <v>586</v>
      </c>
      <c r="N158" t="s">
        <v>178</v>
      </c>
      <c r="O158" t="s">
        <v>179</v>
      </c>
      <c r="P158">
        <v>3</v>
      </c>
      <c r="Q158" t="s">
        <v>180</v>
      </c>
    </row>
    <row r="159" spans="1:17" s="3" customFormat="1">
      <c r="A159" s="82">
        <v>4.6297011435185186E-2</v>
      </c>
      <c r="B159" t="s">
        <v>44</v>
      </c>
      <c r="C159"/>
      <c r="D159"/>
      <c r="E159" t="s">
        <v>54</v>
      </c>
      <c r="F159"/>
      <c r="G159" t="s">
        <v>47</v>
      </c>
      <c r="H159"/>
      <c r="I159" s="159">
        <v>46300.435752314814</v>
      </c>
      <c r="J159" t="s">
        <v>587</v>
      </c>
      <c r="K159" t="s">
        <v>388</v>
      </c>
      <c r="L159" s="158">
        <v>46299</v>
      </c>
      <c r="M159" t="s">
        <v>586</v>
      </c>
      <c r="N159" t="s">
        <v>178</v>
      </c>
      <c r="O159" t="s">
        <v>179</v>
      </c>
      <c r="P159">
        <v>3</v>
      </c>
      <c r="Q159" t="s">
        <v>180</v>
      </c>
    </row>
    <row r="160" spans="1:17" s="3" customFormat="1">
      <c r="A160" s="82">
        <v>4.5936444884259256E-2</v>
      </c>
      <c r="B160" t="s">
        <v>44</v>
      </c>
      <c r="C160"/>
      <c r="D160"/>
      <c r="E160" t="s">
        <v>221</v>
      </c>
      <c r="F160"/>
      <c r="G160" t="s">
        <v>113</v>
      </c>
      <c r="H160"/>
      <c r="I160" s="159">
        <v>46300.435636574075</v>
      </c>
      <c r="J160" t="s">
        <v>587</v>
      </c>
      <c r="K160" t="s">
        <v>388</v>
      </c>
      <c r="L160" s="158">
        <v>46299</v>
      </c>
      <c r="M160" t="s">
        <v>586</v>
      </c>
      <c r="N160" t="s">
        <v>178</v>
      </c>
      <c r="O160" t="s">
        <v>179</v>
      </c>
      <c r="P160">
        <v>3</v>
      </c>
      <c r="Q160" t="s">
        <v>180</v>
      </c>
    </row>
    <row r="161" spans="1:17" s="3" customFormat="1">
      <c r="A161" s="82">
        <v>4.5865805335648151E-2</v>
      </c>
      <c r="B161" t="s">
        <v>44</v>
      </c>
      <c r="C161"/>
      <c r="D161"/>
      <c r="E161" t="s">
        <v>53</v>
      </c>
      <c r="F161"/>
      <c r="G161" t="s">
        <v>113</v>
      </c>
      <c r="H161"/>
      <c r="I161" s="159">
        <v>46300.435277777775</v>
      </c>
      <c r="J161" t="s">
        <v>587</v>
      </c>
      <c r="K161" t="s">
        <v>388</v>
      </c>
      <c r="L161" s="158">
        <v>46299</v>
      </c>
      <c r="M161" t="s">
        <v>586</v>
      </c>
      <c r="N161" t="s">
        <v>178</v>
      </c>
      <c r="O161" t="s">
        <v>179</v>
      </c>
      <c r="P161">
        <v>3</v>
      </c>
      <c r="Q161" t="s">
        <v>180</v>
      </c>
    </row>
    <row r="162" spans="1:17" s="3" customFormat="1">
      <c r="A162" s="82">
        <v>4.5480179120370369E-2</v>
      </c>
      <c r="B162" t="s">
        <v>44</v>
      </c>
      <c r="C162"/>
      <c r="D162"/>
      <c r="E162" t="s">
        <v>37</v>
      </c>
      <c r="F162"/>
      <c r="G162" t="s">
        <v>47</v>
      </c>
      <c r="H162"/>
      <c r="I162" s="159">
        <v>46300.435208333336</v>
      </c>
      <c r="J162" t="s">
        <v>587</v>
      </c>
      <c r="K162" t="s">
        <v>388</v>
      </c>
      <c r="L162" s="158">
        <v>46299</v>
      </c>
      <c r="M162" t="s">
        <v>586</v>
      </c>
      <c r="N162" t="s">
        <v>178</v>
      </c>
      <c r="O162" t="s">
        <v>179</v>
      </c>
      <c r="P162">
        <v>3</v>
      </c>
      <c r="Q162" t="s">
        <v>180</v>
      </c>
    </row>
    <row r="163" spans="1:17" s="3" customFormat="1">
      <c r="A163" s="82">
        <v>4.5400314236111107E-2</v>
      </c>
      <c r="B163" t="s">
        <v>44</v>
      </c>
      <c r="C163"/>
      <c r="D163"/>
      <c r="E163" t="s">
        <v>133</v>
      </c>
      <c r="F163"/>
      <c r="G163" t="s">
        <v>47</v>
      </c>
      <c r="H163"/>
      <c r="I163" s="159">
        <v>46300.435127314813</v>
      </c>
      <c r="J163" t="s">
        <v>587</v>
      </c>
      <c r="K163" t="s">
        <v>388</v>
      </c>
      <c r="L163" s="158">
        <v>46299</v>
      </c>
      <c r="M163" t="s">
        <v>586</v>
      </c>
      <c r="N163" t="s">
        <v>178</v>
      </c>
      <c r="O163" t="s">
        <v>179</v>
      </c>
      <c r="P163">
        <v>3</v>
      </c>
      <c r="Q163" t="s">
        <v>180</v>
      </c>
    </row>
    <row r="164" spans="1:17" s="3" customFormat="1">
      <c r="A164" s="82">
        <v>4.534808857638889E-2</v>
      </c>
      <c r="B164" t="s">
        <v>44</v>
      </c>
      <c r="C164"/>
      <c r="D164"/>
      <c r="E164" t="s">
        <v>400</v>
      </c>
      <c r="F164"/>
      <c r="G164" t="s">
        <v>113</v>
      </c>
      <c r="H164"/>
      <c r="I164" s="159">
        <v>46300.435057870367</v>
      </c>
      <c r="J164" t="s">
        <v>587</v>
      </c>
      <c r="K164" t="s">
        <v>388</v>
      </c>
      <c r="L164" s="158">
        <v>46299</v>
      </c>
      <c r="M164" t="s">
        <v>586</v>
      </c>
      <c r="N164" t="s">
        <v>178</v>
      </c>
      <c r="O164" t="s">
        <v>179</v>
      </c>
      <c r="P164">
        <v>3</v>
      </c>
      <c r="Q164" t="s">
        <v>180</v>
      </c>
    </row>
    <row r="165" spans="1:17" s="3" customFormat="1">
      <c r="A165" s="82">
        <v>4.5317421099537035E-2</v>
      </c>
      <c r="B165" t="s">
        <v>44</v>
      </c>
      <c r="C165" t="s">
        <v>496</v>
      </c>
      <c r="D165"/>
      <c r="E165" t="s">
        <v>9</v>
      </c>
      <c r="F165"/>
      <c r="G165" t="s">
        <v>113</v>
      </c>
      <c r="H165"/>
      <c r="I165" s="159">
        <v>46300.434861111113</v>
      </c>
      <c r="J165" t="s">
        <v>587</v>
      </c>
      <c r="K165" t="s">
        <v>388</v>
      </c>
      <c r="L165" s="158">
        <v>46299</v>
      </c>
      <c r="M165" t="s">
        <v>586</v>
      </c>
      <c r="N165" t="s">
        <v>178</v>
      </c>
      <c r="O165" t="s">
        <v>179</v>
      </c>
      <c r="P165">
        <v>3</v>
      </c>
      <c r="Q165" t="s">
        <v>180</v>
      </c>
    </row>
    <row r="166" spans="1:17" s="3" customFormat="1">
      <c r="A166" s="82">
        <v>4.5217976932870371E-2</v>
      </c>
      <c r="B166" t="s">
        <v>44</v>
      </c>
      <c r="C166" t="s">
        <v>512</v>
      </c>
      <c r="D166"/>
      <c r="E166" t="s">
        <v>57</v>
      </c>
      <c r="F166"/>
      <c r="G166" t="s">
        <v>113</v>
      </c>
      <c r="H166"/>
      <c r="I166" s="159">
        <v>46300.434560185182</v>
      </c>
      <c r="J166" t="s">
        <v>587</v>
      </c>
      <c r="K166" t="s">
        <v>388</v>
      </c>
      <c r="L166" s="158">
        <v>46299</v>
      </c>
      <c r="M166" t="s">
        <v>586</v>
      </c>
      <c r="N166" t="s">
        <v>178</v>
      </c>
      <c r="O166" t="s">
        <v>179</v>
      </c>
      <c r="P166">
        <v>3</v>
      </c>
      <c r="Q166" t="s">
        <v>180</v>
      </c>
    </row>
    <row r="167" spans="1:17" s="3" customFormat="1">
      <c r="A167" s="82">
        <v>4.5119680405092594E-2</v>
      </c>
      <c r="B167" t="s">
        <v>44</v>
      </c>
      <c r="C167" t="s">
        <v>487</v>
      </c>
      <c r="D167"/>
      <c r="E167" t="s">
        <v>57</v>
      </c>
      <c r="F167"/>
      <c r="G167" t="s">
        <v>113</v>
      </c>
      <c r="H167"/>
      <c r="I167" s="159">
        <v>46300.434120370373</v>
      </c>
      <c r="J167" t="s">
        <v>587</v>
      </c>
      <c r="K167" t="s">
        <v>388</v>
      </c>
      <c r="L167" s="158">
        <v>46299</v>
      </c>
      <c r="M167" t="s">
        <v>586</v>
      </c>
      <c r="N167" t="s">
        <v>178</v>
      </c>
      <c r="O167" t="s">
        <v>179</v>
      </c>
      <c r="P167">
        <v>3</v>
      </c>
      <c r="Q167" t="s">
        <v>180</v>
      </c>
    </row>
    <row r="168" spans="1:17" s="3" customFormat="1">
      <c r="A168" s="82">
        <v>4.508759039351852E-2</v>
      </c>
      <c r="B168" t="s">
        <v>44</v>
      </c>
      <c r="C168" t="s">
        <v>484</v>
      </c>
      <c r="D168"/>
      <c r="E168" t="s">
        <v>9</v>
      </c>
      <c r="F168"/>
      <c r="G168" t="s">
        <v>113</v>
      </c>
      <c r="H168"/>
      <c r="I168" s="159">
        <v>46300.42931712963</v>
      </c>
      <c r="J168" t="s">
        <v>587</v>
      </c>
      <c r="K168" t="s">
        <v>388</v>
      </c>
      <c r="L168" s="158">
        <v>46299</v>
      </c>
      <c r="M168" t="s">
        <v>586</v>
      </c>
      <c r="N168" t="s">
        <v>178</v>
      </c>
      <c r="O168" t="s">
        <v>179</v>
      </c>
      <c r="P168">
        <v>3</v>
      </c>
      <c r="Q168" t="s">
        <v>180</v>
      </c>
    </row>
    <row r="169" spans="1:17" s="3" customFormat="1">
      <c r="A169" s="82">
        <v>4.4960123043981483E-2</v>
      </c>
      <c r="B169" t="s">
        <v>44</v>
      </c>
      <c r="C169" t="s">
        <v>485</v>
      </c>
      <c r="D169"/>
      <c r="E169" t="s">
        <v>57</v>
      </c>
      <c r="F169"/>
      <c r="G169" t="s">
        <v>113</v>
      </c>
      <c r="H169"/>
      <c r="I169" s="159">
        <v>46300.429108796299</v>
      </c>
      <c r="J169" t="s">
        <v>587</v>
      </c>
      <c r="K169" t="s">
        <v>388</v>
      </c>
      <c r="L169" s="158">
        <v>46299</v>
      </c>
      <c r="M169" t="s">
        <v>586</v>
      </c>
      <c r="N169" t="s">
        <v>178</v>
      </c>
      <c r="O169" t="s">
        <v>179</v>
      </c>
      <c r="P169">
        <v>3</v>
      </c>
      <c r="Q169" t="s">
        <v>180</v>
      </c>
    </row>
    <row r="170" spans="1:17" s="3" customFormat="1">
      <c r="A170" s="82">
        <v>4.4866386284722219E-2</v>
      </c>
      <c r="B170" t="s">
        <v>44</v>
      </c>
      <c r="C170" t="s">
        <v>491</v>
      </c>
      <c r="D170"/>
      <c r="E170" t="s">
        <v>57</v>
      </c>
      <c r="F170"/>
      <c r="G170" t="s">
        <v>113</v>
      </c>
      <c r="H170"/>
      <c r="I170" s="159">
        <v>46300.428877314815</v>
      </c>
      <c r="J170" t="s">
        <v>587</v>
      </c>
      <c r="K170" t="s">
        <v>388</v>
      </c>
      <c r="L170" s="158">
        <v>46299</v>
      </c>
      <c r="M170" t="s">
        <v>586</v>
      </c>
      <c r="N170" t="s">
        <v>178</v>
      </c>
      <c r="O170" t="s">
        <v>179</v>
      </c>
      <c r="P170">
        <v>3</v>
      </c>
      <c r="Q170" t="s">
        <v>180</v>
      </c>
    </row>
    <row r="171" spans="1:17" s="3" customFormat="1">
      <c r="A171" s="82">
        <v>4.477153431712963E-2</v>
      </c>
      <c r="B171" t="s">
        <v>44</v>
      </c>
      <c r="C171" t="s">
        <v>487</v>
      </c>
      <c r="D171"/>
      <c r="E171" t="s">
        <v>58</v>
      </c>
      <c r="F171"/>
      <c r="G171" t="s">
        <v>47</v>
      </c>
      <c r="H171"/>
      <c r="I171" s="159">
        <v>46300.428668981483</v>
      </c>
      <c r="J171" t="s">
        <v>587</v>
      </c>
      <c r="K171" t="s">
        <v>388</v>
      </c>
      <c r="L171" s="158">
        <v>46299</v>
      </c>
      <c r="M171" t="s">
        <v>586</v>
      </c>
      <c r="N171" t="s">
        <v>178</v>
      </c>
      <c r="O171" t="s">
        <v>179</v>
      </c>
      <c r="P171">
        <v>3</v>
      </c>
      <c r="Q171" t="s">
        <v>180</v>
      </c>
    </row>
    <row r="172" spans="1:17" s="3" customFormat="1">
      <c r="A172" s="82">
        <v>4.4728561967592596E-2</v>
      </c>
      <c r="B172" t="s">
        <v>44</v>
      </c>
      <c r="C172"/>
      <c r="D172"/>
      <c r="E172" t="s">
        <v>53</v>
      </c>
      <c r="F172"/>
      <c r="G172" t="s">
        <v>47</v>
      </c>
      <c r="H172"/>
      <c r="I172" s="159">
        <v>46300.428113425929</v>
      </c>
      <c r="J172" t="s">
        <v>587</v>
      </c>
      <c r="K172" t="s">
        <v>388</v>
      </c>
      <c r="L172" s="158">
        <v>46299</v>
      </c>
      <c r="M172" t="s">
        <v>586</v>
      </c>
      <c r="N172" t="s">
        <v>178</v>
      </c>
      <c r="O172" t="s">
        <v>179</v>
      </c>
      <c r="P172">
        <v>3</v>
      </c>
      <c r="Q172" t="s">
        <v>180</v>
      </c>
    </row>
    <row r="173" spans="1:17" s="3" customFormat="1">
      <c r="A173" s="82">
        <v>4.4203077303240745E-2</v>
      </c>
      <c r="B173" t="s">
        <v>44</v>
      </c>
      <c r="C173"/>
      <c r="D173"/>
      <c r="E173" t="s">
        <v>37</v>
      </c>
      <c r="F173"/>
      <c r="G173" t="s">
        <v>47</v>
      </c>
      <c r="H173"/>
      <c r="I173" s="159">
        <v>46300.427928240744</v>
      </c>
      <c r="J173" t="s">
        <v>587</v>
      </c>
      <c r="K173" t="s">
        <v>388</v>
      </c>
      <c r="L173" s="158">
        <v>46299</v>
      </c>
      <c r="M173" t="s">
        <v>586</v>
      </c>
      <c r="N173" t="s">
        <v>178</v>
      </c>
      <c r="O173" t="s">
        <v>179</v>
      </c>
      <c r="P173">
        <v>3</v>
      </c>
      <c r="Q173" t="s">
        <v>180</v>
      </c>
    </row>
    <row r="174" spans="1:17" s="3" customFormat="1">
      <c r="A174" s="82">
        <v>4.4203077303240745E-2</v>
      </c>
      <c r="B174" t="s">
        <v>44</v>
      </c>
      <c r="C174"/>
      <c r="D174"/>
      <c r="E174" t="s">
        <v>160</v>
      </c>
      <c r="F174" t="s">
        <v>530</v>
      </c>
      <c r="G174" t="s">
        <v>47</v>
      </c>
      <c r="H174"/>
      <c r="I174" s="159">
        <v>46300.427928240744</v>
      </c>
      <c r="J174" t="s">
        <v>587</v>
      </c>
      <c r="K174" t="s">
        <v>388</v>
      </c>
      <c r="L174" s="158">
        <v>46299</v>
      </c>
      <c r="M174" t="s">
        <v>586</v>
      </c>
      <c r="N174" t="s">
        <v>178</v>
      </c>
      <c r="O174" t="s">
        <v>179</v>
      </c>
      <c r="P174">
        <v>3</v>
      </c>
      <c r="Q174" t="s">
        <v>180</v>
      </c>
    </row>
    <row r="175" spans="1:17" s="3" customFormat="1">
      <c r="A175" s="82">
        <v>4.4135410590277778E-2</v>
      </c>
      <c r="B175" t="s">
        <v>44</v>
      </c>
      <c r="C175" t="s">
        <v>490</v>
      </c>
      <c r="D175"/>
      <c r="E175" t="s">
        <v>57</v>
      </c>
      <c r="F175"/>
      <c r="G175" t="s">
        <v>113</v>
      </c>
      <c r="H175"/>
      <c r="I175" s="159">
        <v>46300.427777777775</v>
      </c>
      <c r="J175" t="s">
        <v>587</v>
      </c>
      <c r="K175" t="s">
        <v>388</v>
      </c>
      <c r="L175" s="158">
        <v>46299</v>
      </c>
      <c r="M175" t="s">
        <v>586</v>
      </c>
      <c r="N175" t="s">
        <v>178</v>
      </c>
      <c r="O175" t="s">
        <v>179</v>
      </c>
      <c r="P175">
        <v>3</v>
      </c>
      <c r="Q175" t="s">
        <v>180</v>
      </c>
    </row>
    <row r="176" spans="1:17" s="3" customFormat="1">
      <c r="A176" s="82">
        <v>4.3979127812500005E-2</v>
      </c>
      <c r="B176" t="s">
        <v>44</v>
      </c>
      <c r="C176" t="s">
        <v>512</v>
      </c>
      <c r="D176"/>
      <c r="E176" t="s">
        <v>57</v>
      </c>
      <c r="F176"/>
      <c r="G176" t="s">
        <v>113</v>
      </c>
      <c r="H176"/>
      <c r="I176" s="159">
        <v>46300.427581018521</v>
      </c>
      <c r="J176" t="s">
        <v>587</v>
      </c>
      <c r="K176" t="s">
        <v>388</v>
      </c>
      <c r="L176" s="158">
        <v>46299</v>
      </c>
      <c r="M176" t="s">
        <v>586</v>
      </c>
      <c r="N176" t="s">
        <v>178</v>
      </c>
      <c r="O176" t="s">
        <v>179</v>
      </c>
      <c r="P176">
        <v>3</v>
      </c>
      <c r="Q176" t="s">
        <v>180</v>
      </c>
    </row>
    <row r="177" spans="1:17" s="3" customFormat="1">
      <c r="A177" s="82">
        <v>4.3959022800925923E-2</v>
      </c>
      <c r="B177" t="s">
        <v>44</v>
      </c>
      <c r="C177" t="s">
        <v>496</v>
      </c>
      <c r="D177"/>
      <c r="E177" t="s">
        <v>57</v>
      </c>
      <c r="F177"/>
      <c r="G177" t="s">
        <v>113</v>
      </c>
      <c r="H177"/>
      <c r="I177" s="159">
        <v>46300.427141203705</v>
      </c>
      <c r="J177" t="s">
        <v>587</v>
      </c>
      <c r="K177" t="s">
        <v>388</v>
      </c>
      <c r="L177" s="158">
        <v>46299</v>
      </c>
      <c r="M177" t="s">
        <v>586</v>
      </c>
      <c r="N177" t="s">
        <v>178</v>
      </c>
      <c r="O177" t="s">
        <v>179</v>
      </c>
      <c r="P177">
        <v>3</v>
      </c>
      <c r="Q177" t="s">
        <v>180</v>
      </c>
    </row>
    <row r="178" spans="1:17" s="3" customFormat="1">
      <c r="A178" s="82">
        <v>4.3915316793981481E-2</v>
      </c>
      <c r="B178" t="s">
        <v>44</v>
      </c>
      <c r="C178"/>
      <c r="D178"/>
      <c r="E178" t="s">
        <v>137</v>
      </c>
      <c r="F178"/>
      <c r="G178" t="s">
        <v>113</v>
      </c>
      <c r="H178"/>
      <c r="I178" s="159">
        <v>46300.427071759259</v>
      </c>
      <c r="J178" t="s">
        <v>587</v>
      </c>
      <c r="K178" t="s">
        <v>388</v>
      </c>
      <c r="L178" s="158">
        <v>46299</v>
      </c>
      <c r="M178" t="s">
        <v>586</v>
      </c>
      <c r="N178" t="s">
        <v>178</v>
      </c>
      <c r="O178" t="s">
        <v>179</v>
      </c>
      <c r="P178">
        <v>3</v>
      </c>
      <c r="Q178" t="s">
        <v>180</v>
      </c>
    </row>
    <row r="179" spans="1:17" s="3" customFormat="1">
      <c r="A179" s="82">
        <v>4.3884625729166668E-2</v>
      </c>
      <c r="B179" t="s">
        <v>44</v>
      </c>
      <c r="C179"/>
      <c r="D179"/>
      <c r="E179" t="s">
        <v>133</v>
      </c>
      <c r="F179"/>
      <c r="G179" t="s">
        <v>47</v>
      </c>
      <c r="H179"/>
      <c r="I179" s="159">
        <v>46300.427037037036</v>
      </c>
      <c r="J179" t="s">
        <v>587</v>
      </c>
      <c r="K179" t="s">
        <v>388</v>
      </c>
      <c r="L179" s="158">
        <v>46299</v>
      </c>
      <c r="M179" t="s">
        <v>586</v>
      </c>
      <c r="N179" t="s">
        <v>178</v>
      </c>
      <c r="O179" t="s">
        <v>179</v>
      </c>
      <c r="P179">
        <v>3</v>
      </c>
      <c r="Q179" t="s">
        <v>180</v>
      </c>
    </row>
    <row r="180" spans="1:17" s="3" customFormat="1">
      <c r="A180" s="82">
        <v>4.3856986493055555E-2</v>
      </c>
      <c r="B180" t="s">
        <v>44</v>
      </c>
      <c r="C180"/>
      <c r="D180"/>
      <c r="E180" t="s">
        <v>135</v>
      </c>
      <c r="F180"/>
      <c r="G180" t="s">
        <v>47</v>
      </c>
      <c r="H180"/>
      <c r="I180" s="159">
        <v>46300.42701388889</v>
      </c>
      <c r="J180" t="s">
        <v>587</v>
      </c>
      <c r="K180" t="s">
        <v>388</v>
      </c>
      <c r="L180" s="158">
        <v>46299</v>
      </c>
      <c r="M180" t="s">
        <v>586</v>
      </c>
      <c r="N180" t="s">
        <v>178</v>
      </c>
      <c r="O180" t="s">
        <v>179</v>
      </c>
      <c r="P180">
        <v>3</v>
      </c>
      <c r="Q180" t="s">
        <v>180</v>
      </c>
    </row>
    <row r="181" spans="1:17" s="3" customFormat="1">
      <c r="A181" s="82">
        <v>4.382011105324074E-2</v>
      </c>
      <c r="B181" t="s">
        <v>44</v>
      </c>
      <c r="C181"/>
      <c r="D181"/>
      <c r="E181" t="s">
        <v>133</v>
      </c>
      <c r="F181"/>
      <c r="G181" t="s">
        <v>113</v>
      </c>
      <c r="H181"/>
      <c r="I181" s="159">
        <v>46300.426921296297</v>
      </c>
      <c r="J181" t="s">
        <v>587</v>
      </c>
      <c r="K181" t="s">
        <v>388</v>
      </c>
      <c r="L181" s="158">
        <v>46299</v>
      </c>
      <c r="M181" t="s">
        <v>586</v>
      </c>
      <c r="N181" t="s">
        <v>178</v>
      </c>
      <c r="O181" t="s">
        <v>179</v>
      </c>
      <c r="P181">
        <v>3</v>
      </c>
      <c r="Q181" t="s">
        <v>180</v>
      </c>
    </row>
    <row r="182" spans="1:17" s="3" customFormat="1">
      <c r="A182" s="82">
        <v>4.3739097233796292E-2</v>
      </c>
      <c r="B182" t="s">
        <v>44</v>
      </c>
      <c r="C182" t="s">
        <v>483</v>
      </c>
      <c r="D182"/>
      <c r="E182" t="s">
        <v>57</v>
      </c>
      <c r="F182"/>
      <c r="G182" t="s">
        <v>113</v>
      </c>
      <c r="H182"/>
      <c r="I182" s="159">
        <v>46300.426759259259</v>
      </c>
      <c r="J182" t="s">
        <v>587</v>
      </c>
      <c r="K182" t="s">
        <v>388</v>
      </c>
      <c r="L182" s="158">
        <v>46299</v>
      </c>
      <c r="M182" t="s">
        <v>586</v>
      </c>
      <c r="N182" t="s">
        <v>178</v>
      </c>
      <c r="O182" t="s">
        <v>179</v>
      </c>
      <c r="P182">
        <v>3</v>
      </c>
      <c r="Q182" t="s">
        <v>180</v>
      </c>
    </row>
    <row r="183" spans="1:17" s="3" customFormat="1">
      <c r="A183" s="82">
        <v>4.3679900821759259E-2</v>
      </c>
      <c r="B183" t="s">
        <v>44</v>
      </c>
      <c r="C183"/>
      <c r="D183"/>
      <c r="E183" t="s">
        <v>137</v>
      </c>
      <c r="F183"/>
      <c r="G183" t="s">
        <v>113</v>
      </c>
      <c r="H183"/>
      <c r="I183" s="159">
        <v>46300.426666666666</v>
      </c>
      <c r="J183" t="s">
        <v>587</v>
      </c>
      <c r="K183" t="s">
        <v>388</v>
      </c>
      <c r="L183" s="158">
        <v>46299</v>
      </c>
      <c r="M183" t="s">
        <v>586</v>
      </c>
      <c r="N183" t="s">
        <v>178</v>
      </c>
      <c r="O183" t="s">
        <v>179</v>
      </c>
      <c r="P183">
        <v>3</v>
      </c>
      <c r="Q183" t="s">
        <v>180</v>
      </c>
    </row>
    <row r="184" spans="1:17" s="3" customFormat="1">
      <c r="A184" s="82">
        <v>4.363997445601852E-2</v>
      </c>
      <c r="B184" t="s">
        <v>44</v>
      </c>
      <c r="C184"/>
      <c r="D184"/>
      <c r="E184" t="s">
        <v>133</v>
      </c>
      <c r="F184"/>
      <c r="G184" t="s">
        <v>47</v>
      </c>
      <c r="H184"/>
      <c r="I184" s="159">
        <v>46300.426620370374</v>
      </c>
      <c r="J184" t="s">
        <v>587</v>
      </c>
      <c r="K184" t="s">
        <v>388</v>
      </c>
      <c r="L184" s="158">
        <v>46299</v>
      </c>
      <c r="M184" t="s">
        <v>586</v>
      </c>
      <c r="N184" t="s">
        <v>178</v>
      </c>
      <c r="O184" t="s">
        <v>179</v>
      </c>
      <c r="P184">
        <v>3</v>
      </c>
      <c r="Q184" t="s">
        <v>180</v>
      </c>
    </row>
    <row r="185" spans="1:17" s="3" customFormat="1">
      <c r="A185" s="82">
        <v>4.3544614826388883E-2</v>
      </c>
      <c r="B185" t="s">
        <v>44</v>
      </c>
      <c r="C185" t="s">
        <v>491</v>
      </c>
      <c r="D185"/>
      <c r="E185" t="s">
        <v>407</v>
      </c>
      <c r="F185"/>
      <c r="G185" t="s">
        <v>47</v>
      </c>
      <c r="H185"/>
      <c r="I185" s="159">
        <v>46300.426539351851</v>
      </c>
      <c r="J185" t="s">
        <v>587</v>
      </c>
      <c r="K185" t="s">
        <v>388</v>
      </c>
      <c r="L185" s="158">
        <v>46299</v>
      </c>
      <c r="M185" t="s">
        <v>586</v>
      </c>
      <c r="N185" t="s">
        <v>178</v>
      </c>
      <c r="O185" t="s">
        <v>179</v>
      </c>
      <c r="P185">
        <v>3</v>
      </c>
      <c r="Q185" t="s">
        <v>180</v>
      </c>
    </row>
    <row r="186" spans="1:17" s="3" customFormat="1">
      <c r="A186" s="82">
        <v>4.3520056759259261E-2</v>
      </c>
      <c r="B186" t="s">
        <v>44</v>
      </c>
      <c r="C186"/>
      <c r="D186"/>
      <c r="E186" t="s">
        <v>135</v>
      </c>
      <c r="F186"/>
      <c r="G186" t="s">
        <v>47</v>
      </c>
      <c r="H186"/>
      <c r="I186" s="159">
        <v>46300.426504629628</v>
      </c>
      <c r="J186" t="s">
        <v>587</v>
      </c>
      <c r="K186" t="s">
        <v>388</v>
      </c>
      <c r="L186" s="158">
        <v>46299</v>
      </c>
      <c r="M186" t="s">
        <v>586</v>
      </c>
      <c r="N186" t="s">
        <v>178</v>
      </c>
      <c r="O186" t="s">
        <v>179</v>
      </c>
      <c r="P186">
        <v>3</v>
      </c>
      <c r="Q186" t="s">
        <v>180</v>
      </c>
    </row>
    <row r="187" spans="1:17" s="3" customFormat="1">
      <c r="A187" s="82">
        <v>4.3455543900462967E-2</v>
      </c>
      <c r="B187" t="s">
        <v>44</v>
      </c>
      <c r="C187"/>
      <c r="D187"/>
      <c r="E187" t="s">
        <v>49</v>
      </c>
      <c r="F187"/>
      <c r="G187" t="s">
        <v>113</v>
      </c>
      <c r="H187"/>
      <c r="I187" s="159">
        <v>46300.426423611112</v>
      </c>
      <c r="J187" t="s">
        <v>587</v>
      </c>
      <c r="K187" t="s">
        <v>388</v>
      </c>
      <c r="L187" s="158">
        <v>46299</v>
      </c>
      <c r="M187" t="s">
        <v>586</v>
      </c>
      <c r="N187" t="s">
        <v>178</v>
      </c>
      <c r="O187" t="s">
        <v>179</v>
      </c>
      <c r="P187">
        <v>3</v>
      </c>
      <c r="Q187" t="s">
        <v>180</v>
      </c>
    </row>
    <row r="188" spans="1:17" s="3" customFormat="1">
      <c r="A188" s="82">
        <v>4.3035300775462963E-2</v>
      </c>
      <c r="B188" t="s">
        <v>44</v>
      </c>
      <c r="C188" t="s">
        <v>496</v>
      </c>
      <c r="D188"/>
      <c r="E188" t="s">
        <v>65</v>
      </c>
      <c r="F188"/>
      <c r="G188" t="s">
        <v>47</v>
      </c>
      <c r="H188"/>
      <c r="I188" s="159">
        <v>46300.425752314812</v>
      </c>
      <c r="J188" t="s">
        <v>587</v>
      </c>
      <c r="K188" t="s">
        <v>388</v>
      </c>
      <c r="L188" s="158">
        <v>46299</v>
      </c>
      <c r="M188" t="s">
        <v>586</v>
      </c>
      <c r="N188" t="s">
        <v>178</v>
      </c>
      <c r="O188" t="s">
        <v>179</v>
      </c>
      <c r="P188">
        <v>3</v>
      </c>
      <c r="Q188" t="s">
        <v>180</v>
      </c>
    </row>
    <row r="189" spans="1:17" s="3" customFormat="1">
      <c r="A189" s="82">
        <v>4.218281517361111E-2</v>
      </c>
      <c r="B189" t="s">
        <v>44</v>
      </c>
      <c r="C189"/>
      <c r="D189"/>
      <c r="E189" t="s">
        <v>37</v>
      </c>
      <c r="F189"/>
      <c r="G189" t="s">
        <v>47</v>
      </c>
      <c r="H189"/>
      <c r="I189" s="159">
        <v>46300.42559027778</v>
      </c>
      <c r="J189" t="s">
        <v>587</v>
      </c>
      <c r="K189" t="s">
        <v>388</v>
      </c>
      <c r="L189" s="158">
        <v>46299</v>
      </c>
      <c r="M189" t="s">
        <v>586</v>
      </c>
      <c r="N189" t="s">
        <v>178</v>
      </c>
      <c r="O189" t="s">
        <v>179</v>
      </c>
      <c r="P189">
        <v>3</v>
      </c>
      <c r="Q189" t="s">
        <v>180</v>
      </c>
    </row>
    <row r="190" spans="1:17" s="3" customFormat="1">
      <c r="A190" s="82">
        <v>4.218281517361111E-2</v>
      </c>
      <c r="B190" t="s">
        <v>44</v>
      </c>
      <c r="C190"/>
      <c r="D190"/>
      <c r="E190" t="s">
        <v>160</v>
      </c>
      <c r="F190" t="s">
        <v>156</v>
      </c>
      <c r="G190" t="s">
        <v>47</v>
      </c>
      <c r="H190"/>
      <c r="I190" s="159">
        <v>46300.42559027778</v>
      </c>
      <c r="J190" t="s">
        <v>587</v>
      </c>
      <c r="K190" t="s">
        <v>388</v>
      </c>
      <c r="L190" s="158">
        <v>46299</v>
      </c>
      <c r="M190" t="s">
        <v>586</v>
      </c>
      <c r="N190" t="s">
        <v>178</v>
      </c>
      <c r="O190" t="s">
        <v>179</v>
      </c>
      <c r="P190">
        <v>3</v>
      </c>
      <c r="Q190" t="s">
        <v>180</v>
      </c>
    </row>
    <row r="191" spans="1:17" s="3" customFormat="1">
      <c r="A191" s="82">
        <v>4.2024663993055558E-2</v>
      </c>
      <c r="B191" t="s">
        <v>44</v>
      </c>
      <c r="C191" t="s">
        <v>489</v>
      </c>
      <c r="D191"/>
      <c r="E191" t="s">
        <v>406</v>
      </c>
      <c r="F191"/>
      <c r="G191" t="s">
        <v>47</v>
      </c>
      <c r="H191"/>
      <c r="I191" s="159">
        <v>46300.425300925926</v>
      </c>
      <c r="J191" t="s">
        <v>587</v>
      </c>
      <c r="K191" t="s">
        <v>388</v>
      </c>
      <c r="L191" s="158">
        <v>46299</v>
      </c>
      <c r="M191" t="s">
        <v>586</v>
      </c>
      <c r="N191" t="s">
        <v>178</v>
      </c>
      <c r="O191" t="s">
        <v>179</v>
      </c>
      <c r="P191">
        <v>3</v>
      </c>
      <c r="Q191" t="s">
        <v>180</v>
      </c>
    </row>
    <row r="192" spans="1:17" s="3" customFormat="1">
      <c r="A192" s="82">
        <v>4.1984215486111108E-2</v>
      </c>
      <c r="B192" t="s">
        <v>44</v>
      </c>
      <c r="C192" t="s">
        <v>496</v>
      </c>
      <c r="D192"/>
      <c r="E192" t="s">
        <v>406</v>
      </c>
      <c r="F192"/>
      <c r="G192" t="s">
        <v>47</v>
      </c>
      <c r="H192"/>
      <c r="I192" s="159">
        <v>46300.425196759257</v>
      </c>
      <c r="J192" t="s">
        <v>587</v>
      </c>
      <c r="K192" t="s">
        <v>388</v>
      </c>
      <c r="L192" s="158">
        <v>46299</v>
      </c>
      <c r="M192" t="s">
        <v>586</v>
      </c>
      <c r="N192" t="s">
        <v>178</v>
      </c>
      <c r="O192" t="s">
        <v>179</v>
      </c>
      <c r="P192">
        <v>3</v>
      </c>
      <c r="Q192" t="s">
        <v>180</v>
      </c>
    </row>
    <row r="193" spans="1:17" s="3" customFormat="1">
      <c r="A193" s="82">
        <v>4.1972260659722219E-2</v>
      </c>
      <c r="B193" t="s">
        <v>44</v>
      </c>
      <c r="C193" t="s">
        <v>490</v>
      </c>
      <c r="D193"/>
      <c r="E193" t="s">
        <v>406</v>
      </c>
      <c r="F193"/>
      <c r="G193" t="s">
        <v>47</v>
      </c>
      <c r="H193"/>
      <c r="I193" s="159">
        <v>46300.425115740742</v>
      </c>
      <c r="J193" t="s">
        <v>587</v>
      </c>
      <c r="K193" t="s">
        <v>388</v>
      </c>
      <c r="L193" s="158">
        <v>46299</v>
      </c>
      <c r="M193" t="s">
        <v>586</v>
      </c>
      <c r="N193" t="s">
        <v>178</v>
      </c>
      <c r="O193" t="s">
        <v>179</v>
      </c>
      <c r="P193">
        <v>3</v>
      </c>
      <c r="Q193" t="s">
        <v>180</v>
      </c>
    </row>
    <row r="194" spans="1:17" s="3" customFormat="1">
      <c r="A194" s="82">
        <v>4.1935810567129632E-2</v>
      </c>
      <c r="B194" t="s">
        <v>44</v>
      </c>
      <c r="C194"/>
      <c r="D194"/>
      <c r="E194" t="s">
        <v>400</v>
      </c>
      <c r="F194"/>
      <c r="G194" t="s">
        <v>113</v>
      </c>
      <c r="H194"/>
      <c r="I194" s="159">
        <v>46300.424942129626</v>
      </c>
      <c r="J194" t="s">
        <v>587</v>
      </c>
      <c r="K194" t="s">
        <v>388</v>
      </c>
      <c r="L194" s="158">
        <v>46299</v>
      </c>
      <c r="M194" t="s">
        <v>586</v>
      </c>
      <c r="N194" t="s">
        <v>178</v>
      </c>
      <c r="O194" t="s">
        <v>179</v>
      </c>
      <c r="P194">
        <v>3</v>
      </c>
      <c r="Q194" t="s">
        <v>180</v>
      </c>
    </row>
    <row r="195" spans="1:17" s="3" customFormat="1">
      <c r="A195" s="82">
        <v>4.185859596064815E-2</v>
      </c>
      <c r="B195" t="s">
        <v>44</v>
      </c>
      <c r="C195" t="s">
        <v>483</v>
      </c>
      <c r="D195"/>
      <c r="E195" t="s">
        <v>57</v>
      </c>
      <c r="F195"/>
      <c r="G195" t="s">
        <v>113</v>
      </c>
      <c r="H195"/>
      <c r="I195" s="159">
        <v>46300.424618055556</v>
      </c>
      <c r="J195" t="s">
        <v>587</v>
      </c>
      <c r="K195" t="s">
        <v>388</v>
      </c>
      <c r="L195" s="158">
        <v>46299</v>
      </c>
      <c r="M195" t="s">
        <v>586</v>
      </c>
      <c r="N195" t="s">
        <v>178</v>
      </c>
      <c r="O195" t="s">
        <v>179</v>
      </c>
      <c r="P195">
        <v>3</v>
      </c>
      <c r="Q195" t="s">
        <v>180</v>
      </c>
    </row>
    <row r="196" spans="1:17" s="3" customFormat="1">
      <c r="A196" s="82">
        <v>4.185859596064815E-2</v>
      </c>
      <c r="B196" t="s">
        <v>44</v>
      </c>
      <c r="C196" t="s">
        <v>512</v>
      </c>
      <c r="D196"/>
      <c r="E196" t="s">
        <v>57</v>
      </c>
      <c r="F196"/>
      <c r="G196" t="s">
        <v>113</v>
      </c>
      <c r="H196"/>
      <c r="I196" s="159">
        <v>46300.42460648148</v>
      </c>
      <c r="J196" t="s">
        <v>587</v>
      </c>
      <c r="K196" t="s">
        <v>388</v>
      </c>
      <c r="L196" s="158">
        <v>46299</v>
      </c>
      <c r="M196" t="s">
        <v>586</v>
      </c>
      <c r="N196" t="s">
        <v>178</v>
      </c>
      <c r="O196" t="s">
        <v>179</v>
      </c>
      <c r="P196">
        <v>3</v>
      </c>
      <c r="Q196" t="s">
        <v>180</v>
      </c>
    </row>
    <row r="197" spans="1:17" s="3" customFormat="1">
      <c r="A197" s="82">
        <v>4.1785582268518522E-2</v>
      </c>
      <c r="B197" t="s">
        <v>44</v>
      </c>
      <c r="C197"/>
      <c r="D197"/>
      <c r="E197" t="s">
        <v>58</v>
      </c>
      <c r="F197"/>
      <c r="G197" t="s">
        <v>47</v>
      </c>
      <c r="H197"/>
      <c r="I197" s="159">
        <v>46300.424155092594</v>
      </c>
      <c r="J197" t="s">
        <v>587</v>
      </c>
      <c r="K197" t="s">
        <v>388</v>
      </c>
      <c r="L197" s="158">
        <v>46299</v>
      </c>
      <c r="M197" t="s">
        <v>586</v>
      </c>
      <c r="N197" t="s">
        <v>178</v>
      </c>
      <c r="O197" t="s">
        <v>179</v>
      </c>
      <c r="P197">
        <v>3</v>
      </c>
      <c r="Q197" t="s">
        <v>180</v>
      </c>
    </row>
    <row r="198" spans="1:17" s="3" customFormat="1">
      <c r="A198" s="82">
        <v>4.1746003969907408E-2</v>
      </c>
      <c r="B198" t="s">
        <v>44</v>
      </c>
      <c r="C198"/>
      <c r="D198"/>
      <c r="E198" t="s">
        <v>53</v>
      </c>
      <c r="F198"/>
      <c r="G198" t="s">
        <v>47</v>
      </c>
      <c r="H198"/>
      <c r="I198" s="159">
        <v>46300.423842592594</v>
      </c>
      <c r="J198" t="s">
        <v>587</v>
      </c>
      <c r="K198" t="s">
        <v>388</v>
      </c>
      <c r="L198" s="158">
        <v>46299</v>
      </c>
      <c r="M198" t="s">
        <v>586</v>
      </c>
      <c r="N198" t="s">
        <v>178</v>
      </c>
      <c r="O198" t="s">
        <v>179</v>
      </c>
      <c r="P198">
        <v>3</v>
      </c>
      <c r="Q198" t="s">
        <v>180</v>
      </c>
    </row>
    <row r="199" spans="1:17" s="3" customFormat="1">
      <c r="A199" s="82">
        <v>4.1335015752314817E-2</v>
      </c>
      <c r="B199" t="s">
        <v>44</v>
      </c>
      <c r="C199"/>
      <c r="D199"/>
      <c r="E199" t="s">
        <v>37</v>
      </c>
      <c r="F199"/>
      <c r="G199" t="s">
        <v>113</v>
      </c>
      <c r="H199"/>
      <c r="I199" s="159">
        <v>46300.423726851855</v>
      </c>
      <c r="J199" t="s">
        <v>587</v>
      </c>
      <c r="K199" t="s">
        <v>388</v>
      </c>
      <c r="L199" s="158">
        <v>46299</v>
      </c>
      <c r="M199" t="s">
        <v>586</v>
      </c>
      <c r="N199" t="s">
        <v>178</v>
      </c>
      <c r="O199" t="s">
        <v>179</v>
      </c>
      <c r="P199">
        <v>3</v>
      </c>
      <c r="Q199" t="s">
        <v>180</v>
      </c>
    </row>
    <row r="200" spans="1:17" s="3" customFormat="1">
      <c r="A200" s="82">
        <v>4.1295202187499998E-2</v>
      </c>
      <c r="B200" t="s">
        <v>44</v>
      </c>
      <c r="C200" t="s">
        <v>514</v>
      </c>
      <c r="D200"/>
      <c r="E200" t="s">
        <v>57</v>
      </c>
      <c r="F200"/>
      <c r="G200" t="s">
        <v>113</v>
      </c>
      <c r="H200"/>
      <c r="I200" s="159">
        <v>46300.423668981479</v>
      </c>
      <c r="J200" t="s">
        <v>587</v>
      </c>
      <c r="K200" t="s">
        <v>388</v>
      </c>
      <c r="L200" s="158">
        <v>46299</v>
      </c>
      <c r="M200" t="s">
        <v>586</v>
      </c>
      <c r="N200" t="s">
        <v>178</v>
      </c>
      <c r="O200" t="s">
        <v>179</v>
      </c>
      <c r="P200">
        <v>3</v>
      </c>
      <c r="Q200" t="s">
        <v>180</v>
      </c>
    </row>
    <row r="201" spans="1:17" s="3" customFormat="1">
      <c r="A201" s="82">
        <v>4.1125943379629631E-2</v>
      </c>
      <c r="B201" t="s">
        <v>44</v>
      </c>
      <c r="C201" t="s">
        <v>489</v>
      </c>
      <c r="D201"/>
      <c r="E201" t="s">
        <v>57</v>
      </c>
      <c r="F201"/>
      <c r="G201" t="s">
        <v>113</v>
      </c>
      <c r="H201"/>
      <c r="I201" s="159">
        <v>46300.423310185186</v>
      </c>
      <c r="J201" t="s">
        <v>587</v>
      </c>
      <c r="K201" t="s">
        <v>388</v>
      </c>
      <c r="L201" s="158">
        <v>46299</v>
      </c>
      <c r="M201" t="s">
        <v>586</v>
      </c>
      <c r="N201" t="s">
        <v>178</v>
      </c>
      <c r="O201" t="s">
        <v>179</v>
      </c>
      <c r="P201">
        <v>3</v>
      </c>
      <c r="Q201" t="s">
        <v>180</v>
      </c>
    </row>
    <row r="202" spans="1:17" s="3" customFormat="1">
      <c r="A202" s="82">
        <v>4.1052419039351855E-2</v>
      </c>
      <c r="B202" t="s">
        <v>44</v>
      </c>
      <c r="C202" t="s">
        <v>512</v>
      </c>
      <c r="D202"/>
      <c r="E202" t="s">
        <v>57</v>
      </c>
      <c r="F202"/>
      <c r="G202" t="s">
        <v>113</v>
      </c>
      <c r="H202"/>
      <c r="I202" s="159">
        <v>46300.422812500001</v>
      </c>
      <c r="J202" t="s">
        <v>587</v>
      </c>
      <c r="K202" t="s">
        <v>388</v>
      </c>
      <c r="L202" s="158">
        <v>46299</v>
      </c>
      <c r="M202" t="s">
        <v>586</v>
      </c>
      <c r="N202" t="s">
        <v>178</v>
      </c>
      <c r="O202" t="s">
        <v>179</v>
      </c>
      <c r="P202">
        <v>3</v>
      </c>
      <c r="Q202" t="s">
        <v>180</v>
      </c>
    </row>
    <row r="203" spans="1:17" s="3" customFormat="1">
      <c r="A203" s="82">
        <v>4.1052419039351855E-2</v>
      </c>
      <c r="B203" t="s">
        <v>44</v>
      </c>
      <c r="C203" t="s">
        <v>485</v>
      </c>
      <c r="D203"/>
      <c r="E203" t="s">
        <v>57</v>
      </c>
      <c r="F203"/>
      <c r="G203" t="s">
        <v>113</v>
      </c>
      <c r="H203"/>
      <c r="I203" s="159">
        <v>46300.422800925924</v>
      </c>
      <c r="J203" t="s">
        <v>587</v>
      </c>
      <c r="K203" t="s">
        <v>388</v>
      </c>
      <c r="L203" s="158">
        <v>46299</v>
      </c>
      <c r="M203" t="s">
        <v>586</v>
      </c>
      <c r="N203" t="s">
        <v>178</v>
      </c>
      <c r="O203" t="s">
        <v>179</v>
      </c>
      <c r="P203">
        <v>3</v>
      </c>
      <c r="Q203" t="s">
        <v>180</v>
      </c>
    </row>
    <row r="204" spans="1:17" s="3" customFormat="1">
      <c r="A204" s="82">
        <v>4.1002990798611111E-2</v>
      </c>
      <c r="B204" t="s">
        <v>44</v>
      </c>
      <c r="C204" t="s">
        <v>490</v>
      </c>
      <c r="D204"/>
      <c r="E204" t="s">
        <v>57</v>
      </c>
      <c r="F204"/>
      <c r="G204" t="s">
        <v>113</v>
      </c>
      <c r="H204"/>
      <c r="I204" s="159">
        <v>46300.422372685185</v>
      </c>
      <c r="J204" t="s">
        <v>587</v>
      </c>
      <c r="K204" t="s">
        <v>388</v>
      </c>
      <c r="L204" s="158">
        <v>46299</v>
      </c>
      <c r="M204" t="s">
        <v>586</v>
      </c>
      <c r="N204" t="s">
        <v>178</v>
      </c>
      <c r="O204" t="s">
        <v>179</v>
      </c>
      <c r="P204">
        <v>3</v>
      </c>
      <c r="Q204" t="s">
        <v>180</v>
      </c>
    </row>
    <row r="205" spans="1:17" s="3" customFormat="1">
      <c r="A205" s="82">
        <v>4.0959714780092596E-2</v>
      </c>
      <c r="B205" t="s">
        <v>44</v>
      </c>
      <c r="C205"/>
      <c r="D205"/>
      <c r="E205" t="s">
        <v>137</v>
      </c>
      <c r="F205"/>
      <c r="G205" t="s">
        <v>113</v>
      </c>
      <c r="H205"/>
      <c r="I205" s="159">
        <v>46300.422280092593</v>
      </c>
      <c r="J205" t="s">
        <v>587</v>
      </c>
      <c r="K205" t="s">
        <v>388</v>
      </c>
      <c r="L205" s="158">
        <v>46299</v>
      </c>
      <c r="M205" t="s">
        <v>586</v>
      </c>
      <c r="N205" t="s">
        <v>178</v>
      </c>
      <c r="O205" t="s">
        <v>179</v>
      </c>
      <c r="P205">
        <v>3</v>
      </c>
      <c r="Q205" t="s">
        <v>180</v>
      </c>
    </row>
    <row r="206" spans="1:17" s="3" customFormat="1">
      <c r="A206" s="82">
        <v>4.0907518287037037E-2</v>
      </c>
      <c r="B206" t="s">
        <v>44</v>
      </c>
      <c r="C206"/>
      <c r="D206"/>
      <c r="E206" t="s">
        <v>133</v>
      </c>
      <c r="F206"/>
      <c r="G206" t="s">
        <v>47</v>
      </c>
      <c r="H206"/>
      <c r="I206" s="159">
        <v>46300.422222222223</v>
      </c>
      <c r="J206" t="s">
        <v>587</v>
      </c>
      <c r="K206" t="s">
        <v>388</v>
      </c>
      <c r="L206" s="158">
        <v>46299</v>
      </c>
      <c r="M206" t="s">
        <v>586</v>
      </c>
      <c r="N206" t="s">
        <v>178</v>
      </c>
      <c r="O206" t="s">
        <v>179</v>
      </c>
      <c r="P206">
        <v>3</v>
      </c>
      <c r="Q206" t="s">
        <v>180</v>
      </c>
    </row>
    <row r="207" spans="1:17" s="3" customFormat="1">
      <c r="A207" s="82">
        <v>4.0806180347222221E-2</v>
      </c>
      <c r="B207" t="s">
        <v>44</v>
      </c>
      <c r="C207" t="s">
        <v>495</v>
      </c>
      <c r="D207"/>
      <c r="E207" t="s">
        <v>406</v>
      </c>
      <c r="F207"/>
      <c r="G207" t="s">
        <v>47</v>
      </c>
      <c r="H207"/>
      <c r="I207" s="159">
        <v>46300.422106481485</v>
      </c>
      <c r="J207" t="s">
        <v>587</v>
      </c>
      <c r="K207" t="s">
        <v>388</v>
      </c>
      <c r="L207" s="158">
        <v>46299</v>
      </c>
      <c r="M207" t="s">
        <v>586</v>
      </c>
      <c r="N207" t="s">
        <v>178</v>
      </c>
      <c r="O207" t="s">
        <v>179</v>
      </c>
      <c r="P207">
        <v>3</v>
      </c>
      <c r="Q207" t="s">
        <v>180</v>
      </c>
    </row>
    <row r="208" spans="1:17" s="3" customFormat="1">
      <c r="A208" s="82">
        <v>4.0777316666666667E-2</v>
      </c>
      <c r="B208" t="s">
        <v>44</v>
      </c>
      <c r="C208"/>
      <c r="D208"/>
      <c r="E208" t="s">
        <v>135</v>
      </c>
      <c r="F208"/>
      <c r="G208" t="s">
        <v>47</v>
      </c>
      <c r="H208"/>
      <c r="I208" s="159">
        <v>46300.422048611108</v>
      </c>
      <c r="J208" t="s">
        <v>587</v>
      </c>
      <c r="K208" t="s">
        <v>388</v>
      </c>
      <c r="L208" s="158">
        <v>46299</v>
      </c>
      <c r="M208" t="s">
        <v>586</v>
      </c>
      <c r="N208" t="s">
        <v>178</v>
      </c>
      <c r="O208" t="s">
        <v>179</v>
      </c>
      <c r="P208">
        <v>3</v>
      </c>
      <c r="Q208" t="s">
        <v>180</v>
      </c>
    </row>
    <row r="209" spans="1:17" s="3" customFormat="1">
      <c r="A209" s="82">
        <v>4.0718962662037041E-2</v>
      </c>
      <c r="B209" t="s">
        <v>44</v>
      </c>
      <c r="C209"/>
      <c r="D209"/>
      <c r="E209" t="s">
        <v>49</v>
      </c>
      <c r="F209"/>
      <c r="G209" t="s">
        <v>113</v>
      </c>
      <c r="H209"/>
      <c r="I209" s="159">
        <v>46300.421979166669</v>
      </c>
      <c r="J209" t="s">
        <v>587</v>
      </c>
      <c r="K209" t="s">
        <v>388</v>
      </c>
      <c r="L209" s="158">
        <v>46299</v>
      </c>
      <c r="M209" t="s">
        <v>586</v>
      </c>
      <c r="N209" t="s">
        <v>178</v>
      </c>
      <c r="O209" t="s">
        <v>179</v>
      </c>
      <c r="P209">
        <v>3</v>
      </c>
      <c r="Q209" t="s">
        <v>180</v>
      </c>
    </row>
    <row r="210" spans="1:17" s="3" customFormat="1">
      <c r="A210" s="82">
        <v>4.053672921296296E-2</v>
      </c>
      <c r="B210" t="s">
        <v>44</v>
      </c>
      <c r="C210" t="s">
        <v>496</v>
      </c>
      <c r="D210"/>
      <c r="E210" t="s">
        <v>65</v>
      </c>
      <c r="F210"/>
      <c r="G210" t="s">
        <v>47</v>
      </c>
      <c r="H210"/>
      <c r="I210" s="159">
        <v>46300.421736111108</v>
      </c>
      <c r="J210" t="s">
        <v>587</v>
      </c>
      <c r="K210" t="s">
        <v>388</v>
      </c>
      <c r="L210" s="158">
        <v>46299</v>
      </c>
      <c r="M210" t="s">
        <v>586</v>
      </c>
      <c r="N210" t="s">
        <v>178</v>
      </c>
      <c r="O210" t="s">
        <v>179</v>
      </c>
      <c r="P210">
        <v>3</v>
      </c>
      <c r="Q210" t="s">
        <v>180</v>
      </c>
    </row>
    <row r="211" spans="1:17" s="3" customFormat="1">
      <c r="A211" s="82">
        <v>3.9819268958333334E-2</v>
      </c>
      <c r="B211" t="s">
        <v>44</v>
      </c>
      <c r="C211"/>
      <c r="D211"/>
      <c r="E211" t="s">
        <v>37</v>
      </c>
      <c r="F211"/>
      <c r="G211" t="s">
        <v>47</v>
      </c>
      <c r="H211"/>
      <c r="I211" s="159">
        <v>46300.421354166669</v>
      </c>
      <c r="J211" t="s">
        <v>587</v>
      </c>
      <c r="K211" t="s">
        <v>388</v>
      </c>
      <c r="L211" s="158">
        <v>46299</v>
      </c>
      <c r="M211" t="s">
        <v>586</v>
      </c>
      <c r="N211" t="s">
        <v>178</v>
      </c>
      <c r="O211" t="s">
        <v>179</v>
      </c>
      <c r="P211">
        <v>3</v>
      </c>
      <c r="Q211" t="s">
        <v>180</v>
      </c>
    </row>
    <row r="212" spans="1:17" s="3" customFormat="1">
      <c r="A212" s="82">
        <v>3.9819268958333334E-2</v>
      </c>
      <c r="B212" t="s">
        <v>44</v>
      </c>
      <c r="C212"/>
      <c r="D212"/>
      <c r="E212" t="s">
        <v>160</v>
      </c>
      <c r="F212" t="s">
        <v>540</v>
      </c>
      <c r="G212" t="s">
        <v>47</v>
      </c>
      <c r="H212"/>
      <c r="I212" s="159">
        <v>46300.421354166669</v>
      </c>
      <c r="J212" t="s">
        <v>587</v>
      </c>
      <c r="K212" t="s">
        <v>388</v>
      </c>
      <c r="L212" s="158">
        <v>46299</v>
      </c>
      <c r="M212" t="s">
        <v>586</v>
      </c>
      <c r="N212" t="s">
        <v>178</v>
      </c>
      <c r="O212" t="s">
        <v>179</v>
      </c>
      <c r="P212">
        <v>3</v>
      </c>
      <c r="Q212" t="s">
        <v>180</v>
      </c>
    </row>
    <row r="213" spans="1:17" s="3" customFormat="1">
      <c r="A213" s="82">
        <v>3.9822029074074075E-2</v>
      </c>
      <c r="B213" t="s">
        <v>44</v>
      </c>
      <c r="C213" t="s">
        <v>497</v>
      </c>
      <c r="D213"/>
      <c r="E213" t="s">
        <v>57</v>
      </c>
      <c r="F213"/>
      <c r="G213" t="s">
        <v>113</v>
      </c>
      <c r="H213"/>
      <c r="I213" s="159">
        <v>46300.420740740738</v>
      </c>
      <c r="J213" t="s">
        <v>587</v>
      </c>
      <c r="K213" t="s">
        <v>388</v>
      </c>
      <c r="L213" s="158">
        <v>46299</v>
      </c>
      <c r="M213" t="s">
        <v>586</v>
      </c>
      <c r="N213" t="s">
        <v>178</v>
      </c>
      <c r="O213" t="s">
        <v>179</v>
      </c>
      <c r="P213">
        <v>3</v>
      </c>
      <c r="Q213" t="s">
        <v>180</v>
      </c>
    </row>
    <row r="214" spans="1:17" s="3" customFormat="1">
      <c r="A214" s="82">
        <v>3.97051994212963E-2</v>
      </c>
      <c r="B214" t="s">
        <v>44</v>
      </c>
      <c r="C214"/>
      <c r="D214"/>
      <c r="E214" t="s">
        <v>137</v>
      </c>
      <c r="F214"/>
      <c r="G214" t="s">
        <v>113</v>
      </c>
      <c r="H214"/>
      <c r="I214" s="159">
        <v>46300.420613425929</v>
      </c>
      <c r="J214" t="s">
        <v>587</v>
      </c>
      <c r="K214" t="s">
        <v>388</v>
      </c>
      <c r="L214" s="158">
        <v>46299</v>
      </c>
      <c r="M214" t="s">
        <v>586</v>
      </c>
      <c r="N214" t="s">
        <v>178</v>
      </c>
      <c r="O214" t="s">
        <v>179</v>
      </c>
      <c r="P214">
        <v>3</v>
      </c>
      <c r="Q214" t="s">
        <v>180</v>
      </c>
    </row>
    <row r="215" spans="1:17" s="3" customFormat="1">
      <c r="A215" s="82">
        <v>3.9656025474537039E-2</v>
      </c>
      <c r="B215" t="s">
        <v>44</v>
      </c>
      <c r="C215"/>
      <c r="D215"/>
      <c r="E215" t="s">
        <v>133</v>
      </c>
      <c r="F215"/>
      <c r="G215" t="s">
        <v>47</v>
      </c>
      <c r="H215"/>
      <c r="I215" s="159">
        <v>46300.420555555553</v>
      </c>
      <c r="J215" t="s">
        <v>587</v>
      </c>
      <c r="K215" t="s">
        <v>388</v>
      </c>
      <c r="L215" s="158">
        <v>46299</v>
      </c>
      <c r="M215" t="s">
        <v>586</v>
      </c>
      <c r="N215" t="s">
        <v>178</v>
      </c>
      <c r="O215" t="s">
        <v>179</v>
      </c>
      <c r="P215">
        <v>3</v>
      </c>
      <c r="Q215" t="s">
        <v>180</v>
      </c>
    </row>
    <row r="216" spans="1:17" s="3" customFormat="1">
      <c r="A216" s="82">
        <v>3.9593637453703708E-2</v>
      </c>
      <c r="B216" t="s">
        <v>44</v>
      </c>
      <c r="C216" t="s">
        <v>489</v>
      </c>
      <c r="D216"/>
      <c r="E216" t="s">
        <v>407</v>
      </c>
      <c r="F216"/>
      <c r="G216" t="s">
        <v>47</v>
      </c>
      <c r="H216"/>
      <c r="I216" s="159">
        <v>46300.420127314814</v>
      </c>
      <c r="J216" t="s">
        <v>587</v>
      </c>
      <c r="K216" t="s">
        <v>388</v>
      </c>
      <c r="L216" s="158">
        <v>46299</v>
      </c>
      <c r="M216" t="s">
        <v>586</v>
      </c>
      <c r="N216" t="s">
        <v>178</v>
      </c>
      <c r="O216" t="s">
        <v>179</v>
      </c>
      <c r="P216">
        <v>3</v>
      </c>
      <c r="Q216" t="s">
        <v>180</v>
      </c>
    </row>
    <row r="217" spans="1:17" s="3" customFormat="1">
      <c r="A217" s="82">
        <v>3.9504903009259261E-2</v>
      </c>
      <c r="B217" t="s">
        <v>44</v>
      </c>
      <c r="C217" t="s">
        <v>593</v>
      </c>
      <c r="D217"/>
      <c r="E217" t="s">
        <v>60</v>
      </c>
      <c r="F217"/>
      <c r="G217" t="s">
        <v>47</v>
      </c>
      <c r="H217"/>
      <c r="I217" s="159">
        <v>46300.419953703706</v>
      </c>
      <c r="J217" t="s">
        <v>587</v>
      </c>
      <c r="K217" t="s">
        <v>388</v>
      </c>
      <c r="L217" s="158">
        <v>46299</v>
      </c>
      <c r="M217" t="s">
        <v>586</v>
      </c>
      <c r="N217" t="s">
        <v>178</v>
      </c>
      <c r="O217" t="s">
        <v>179</v>
      </c>
      <c r="P217">
        <v>3</v>
      </c>
      <c r="Q217" t="s">
        <v>180</v>
      </c>
    </row>
    <row r="218" spans="1:17" s="3" customFormat="1">
      <c r="A218" s="82">
        <v>3.9453670902777772E-2</v>
      </c>
      <c r="B218" t="s">
        <v>44</v>
      </c>
      <c r="C218"/>
      <c r="D218"/>
      <c r="E218" t="s">
        <v>53</v>
      </c>
      <c r="F218"/>
      <c r="G218" t="s">
        <v>47</v>
      </c>
      <c r="H218"/>
      <c r="I218" s="159">
        <v>46300.419571759259</v>
      </c>
      <c r="J218" t="s">
        <v>587</v>
      </c>
      <c r="K218" t="s">
        <v>388</v>
      </c>
      <c r="L218" s="158">
        <v>46299</v>
      </c>
      <c r="M218" t="s">
        <v>586</v>
      </c>
      <c r="N218" t="s">
        <v>178</v>
      </c>
      <c r="O218" t="s">
        <v>179</v>
      </c>
      <c r="P218">
        <v>3</v>
      </c>
      <c r="Q218" t="s">
        <v>180</v>
      </c>
    </row>
    <row r="219" spans="1:17" s="3" customFormat="1">
      <c r="A219" s="82">
        <v>3.8953316423611113E-2</v>
      </c>
      <c r="B219" t="s">
        <v>44</v>
      </c>
      <c r="C219"/>
      <c r="D219"/>
      <c r="E219" t="s">
        <v>37</v>
      </c>
      <c r="F219"/>
      <c r="G219" t="s">
        <v>47</v>
      </c>
      <c r="H219"/>
      <c r="I219" s="159">
        <v>46300.419236111113</v>
      </c>
      <c r="J219" t="s">
        <v>587</v>
      </c>
      <c r="K219" t="s">
        <v>388</v>
      </c>
      <c r="L219" s="158">
        <v>46299</v>
      </c>
      <c r="M219" t="s">
        <v>586</v>
      </c>
      <c r="N219" t="s">
        <v>178</v>
      </c>
      <c r="O219" t="s">
        <v>179</v>
      </c>
      <c r="P219">
        <v>3</v>
      </c>
      <c r="Q219" t="s">
        <v>180</v>
      </c>
    </row>
    <row r="220" spans="1:17" s="3" customFormat="1">
      <c r="A220" s="82">
        <v>3.8953316423611113E-2</v>
      </c>
      <c r="B220" t="s">
        <v>44</v>
      </c>
      <c r="C220"/>
      <c r="D220"/>
      <c r="E220" t="s">
        <v>160</v>
      </c>
      <c r="F220" t="s">
        <v>167</v>
      </c>
      <c r="G220" t="s">
        <v>47</v>
      </c>
      <c r="H220"/>
      <c r="I220" s="159">
        <v>46300.419236111113</v>
      </c>
      <c r="J220" t="s">
        <v>587</v>
      </c>
      <c r="K220" t="s">
        <v>388</v>
      </c>
      <c r="L220" s="158">
        <v>46299</v>
      </c>
      <c r="M220" t="s">
        <v>586</v>
      </c>
      <c r="N220" t="s">
        <v>178</v>
      </c>
      <c r="O220" t="s">
        <v>179</v>
      </c>
      <c r="P220">
        <v>3</v>
      </c>
      <c r="Q220" t="s">
        <v>180</v>
      </c>
    </row>
    <row r="221" spans="1:17" s="3" customFormat="1">
      <c r="A221" s="82">
        <v>3.8848882615740744E-2</v>
      </c>
      <c r="B221" t="s">
        <v>44</v>
      </c>
      <c r="C221" t="s">
        <v>495</v>
      </c>
      <c r="D221"/>
      <c r="E221" t="s">
        <v>82</v>
      </c>
      <c r="F221"/>
      <c r="G221" t="s">
        <v>113</v>
      </c>
      <c r="H221"/>
      <c r="I221" s="159">
        <v>46300.41883101852</v>
      </c>
      <c r="J221" t="s">
        <v>587</v>
      </c>
      <c r="K221" t="s">
        <v>388</v>
      </c>
      <c r="L221" s="158">
        <v>46299</v>
      </c>
      <c r="M221" t="s">
        <v>586</v>
      </c>
      <c r="N221" t="s">
        <v>178</v>
      </c>
      <c r="O221" t="s">
        <v>179</v>
      </c>
      <c r="P221">
        <v>3</v>
      </c>
      <c r="Q221" t="s">
        <v>180</v>
      </c>
    </row>
    <row r="222" spans="1:17" s="3" customFormat="1">
      <c r="A222" s="82">
        <v>3.8848882615740744E-2</v>
      </c>
      <c r="B222" t="s">
        <v>44</v>
      </c>
      <c r="C222" t="s">
        <v>485</v>
      </c>
      <c r="D222"/>
      <c r="E222" t="s">
        <v>82</v>
      </c>
      <c r="F222"/>
      <c r="G222" t="s">
        <v>113</v>
      </c>
      <c r="H222"/>
      <c r="I222" s="159">
        <v>46300.418819444443</v>
      </c>
      <c r="J222" t="s">
        <v>587</v>
      </c>
      <c r="K222" t="s">
        <v>388</v>
      </c>
      <c r="L222" s="158">
        <v>46299</v>
      </c>
      <c r="M222" t="s">
        <v>586</v>
      </c>
      <c r="N222" t="s">
        <v>178</v>
      </c>
      <c r="O222" t="s">
        <v>179</v>
      </c>
      <c r="P222">
        <v>3</v>
      </c>
      <c r="Q222" t="s">
        <v>180</v>
      </c>
    </row>
    <row r="223" spans="1:17" s="3" customFormat="1">
      <c r="A223" s="82">
        <v>3.8772505034722224E-2</v>
      </c>
      <c r="B223" t="s">
        <v>44</v>
      </c>
      <c r="C223"/>
      <c r="D223"/>
      <c r="E223" t="s">
        <v>137</v>
      </c>
      <c r="F223"/>
      <c r="G223" t="s">
        <v>113</v>
      </c>
      <c r="H223"/>
      <c r="I223" s="159">
        <v>46300.418587962966</v>
      </c>
      <c r="J223" t="s">
        <v>587</v>
      </c>
      <c r="K223" t="s">
        <v>388</v>
      </c>
      <c r="L223" s="158">
        <v>46299</v>
      </c>
      <c r="M223" t="s">
        <v>586</v>
      </c>
      <c r="N223" t="s">
        <v>178</v>
      </c>
      <c r="O223" t="s">
        <v>179</v>
      </c>
      <c r="P223">
        <v>3</v>
      </c>
      <c r="Q223" t="s">
        <v>180</v>
      </c>
    </row>
    <row r="224" spans="1:17" s="3" customFormat="1">
      <c r="A224" s="82">
        <v>3.8772505034722224E-2</v>
      </c>
      <c r="B224" t="s">
        <v>44</v>
      </c>
      <c r="C224"/>
      <c r="D224"/>
      <c r="E224" t="s">
        <v>49</v>
      </c>
      <c r="F224"/>
      <c r="G224" t="s">
        <v>47</v>
      </c>
      <c r="H224"/>
      <c r="I224" s="159">
        <v>46300.418553240743</v>
      </c>
      <c r="J224" t="s">
        <v>587</v>
      </c>
      <c r="K224" t="s">
        <v>388</v>
      </c>
      <c r="L224" s="158">
        <v>46299</v>
      </c>
      <c r="M224" t="s">
        <v>586</v>
      </c>
      <c r="N224" t="s">
        <v>178</v>
      </c>
      <c r="O224" t="s">
        <v>179</v>
      </c>
      <c r="P224">
        <v>3</v>
      </c>
      <c r="Q224" t="s">
        <v>180</v>
      </c>
    </row>
    <row r="225" spans="1:17" s="3" customFormat="1">
      <c r="A225" s="82">
        <v>3.834647708333333E-2</v>
      </c>
      <c r="B225" t="s">
        <v>44</v>
      </c>
      <c r="C225"/>
      <c r="D225"/>
      <c r="E225" t="s">
        <v>37</v>
      </c>
      <c r="F225"/>
      <c r="G225" t="s">
        <v>47</v>
      </c>
      <c r="H225"/>
      <c r="I225" s="159">
        <v>46300.413784722223</v>
      </c>
      <c r="J225" t="s">
        <v>587</v>
      </c>
      <c r="K225" t="s">
        <v>388</v>
      </c>
      <c r="L225" s="158">
        <v>46299</v>
      </c>
      <c r="M225" t="s">
        <v>586</v>
      </c>
      <c r="N225" t="s">
        <v>178</v>
      </c>
      <c r="O225" t="s">
        <v>179</v>
      </c>
      <c r="P225">
        <v>3</v>
      </c>
      <c r="Q225" t="s">
        <v>180</v>
      </c>
    </row>
    <row r="226" spans="1:17" s="3" customFormat="1">
      <c r="A226" s="82">
        <v>3.8306526215277775E-2</v>
      </c>
      <c r="B226" t="s">
        <v>44</v>
      </c>
      <c r="C226"/>
      <c r="D226"/>
      <c r="E226" t="s">
        <v>135</v>
      </c>
      <c r="F226"/>
      <c r="G226" t="s">
        <v>47</v>
      </c>
      <c r="H226"/>
      <c r="I226" s="159">
        <v>46300.41375</v>
      </c>
      <c r="J226" t="s">
        <v>587</v>
      </c>
      <c r="K226" t="s">
        <v>388</v>
      </c>
      <c r="L226" s="158">
        <v>46299</v>
      </c>
      <c r="M226" t="s">
        <v>586</v>
      </c>
      <c r="N226" t="s">
        <v>178</v>
      </c>
      <c r="O226" t="s">
        <v>179</v>
      </c>
      <c r="P226">
        <v>3</v>
      </c>
      <c r="Q226" t="s">
        <v>180</v>
      </c>
    </row>
    <row r="227" spans="1:17" s="3" customFormat="1">
      <c r="A227" s="82">
        <v>3.8266608321759259E-2</v>
      </c>
      <c r="B227" t="s">
        <v>44</v>
      </c>
      <c r="C227"/>
      <c r="D227"/>
      <c r="E227" t="s">
        <v>133</v>
      </c>
      <c r="F227"/>
      <c r="G227" t="s">
        <v>113</v>
      </c>
      <c r="H227"/>
      <c r="I227" s="159">
        <v>46300.413715277777</v>
      </c>
      <c r="J227" t="s">
        <v>587</v>
      </c>
      <c r="K227" t="s">
        <v>388</v>
      </c>
      <c r="L227" s="158">
        <v>46299</v>
      </c>
      <c r="M227" t="s">
        <v>586</v>
      </c>
      <c r="N227" t="s">
        <v>178</v>
      </c>
      <c r="O227" t="s">
        <v>179</v>
      </c>
      <c r="P227">
        <v>3</v>
      </c>
      <c r="Q227" t="s">
        <v>180</v>
      </c>
    </row>
    <row r="228" spans="1:17" s="3" customFormat="1">
      <c r="A228" s="82">
        <v>3.8242033680555558E-2</v>
      </c>
      <c r="B228" t="s">
        <v>44</v>
      </c>
      <c r="C228"/>
      <c r="D228"/>
      <c r="E228" t="s">
        <v>137</v>
      </c>
      <c r="F228"/>
      <c r="G228" t="s">
        <v>113</v>
      </c>
      <c r="H228"/>
      <c r="I228" s="159">
        <v>46300.41369212963</v>
      </c>
      <c r="J228" t="s">
        <v>587</v>
      </c>
      <c r="K228" t="s">
        <v>388</v>
      </c>
      <c r="L228" s="158">
        <v>46299</v>
      </c>
      <c r="M228" t="s">
        <v>586</v>
      </c>
      <c r="N228" t="s">
        <v>178</v>
      </c>
      <c r="O228" t="s">
        <v>179</v>
      </c>
      <c r="P228">
        <v>3</v>
      </c>
      <c r="Q228" t="s">
        <v>180</v>
      </c>
    </row>
    <row r="229" spans="1:17" s="3" customFormat="1">
      <c r="A229" s="82">
        <v>3.8220394039351853E-2</v>
      </c>
      <c r="B229" t="s">
        <v>44</v>
      </c>
      <c r="C229"/>
      <c r="D229"/>
      <c r="E229" t="s">
        <v>133</v>
      </c>
      <c r="F229"/>
      <c r="G229" t="s">
        <v>47</v>
      </c>
      <c r="H229"/>
      <c r="I229" s="159">
        <v>46300.413668981484</v>
      </c>
      <c r="J229" t="s">
        <v>587</v>
      </c>
      <c r="K229" t="s">
        <v>388</v>
      </c>
      <c r="L229" s="158">
        <v>46299</v>
      </c>
      <c r="M229" t="s">
        <v>586</v>
      </c>
      <c r="N229" t="s">
        <v>178</v>
      </c>
      <c r="O229" t="s">
        <v>179</v>
      </c>
      <c r="P229">
        <v>3</v>
      </c>
      <c r="Q229" t="s">
        <v>180</v>
      </c>
    </row>
    <row r="230" spans="1:17" s="3" customFormat="1">
      <c r="A230" s="82">
        <v>3.8168183611111114E-2</v>
      </c>
      <c r="B230" t="s">
        <v>44</v>
      </c>
      <c r="C230" t="s">
        <v>491</v>
      </c>
      <c r="D230"/>
      <c r="E230" t="s">
        <v>407</v>
      </c>
      <c r="F230"/>
      <c r="G230" t="s">
        <v>47</v>
      </c>
      <c r="H230"/>
      <c r="I230" s="159">
        <v>46300.413622685184</v>
      </c>
      <c r="J230" t="s">
        <v>587</v>
      </c>
      <c r="K230" t="s">
        <v>388</v>
      </c>
      <c r="L230" s="158">
        <v>46299</v>
      </c>
      <c r="M230" t="s">
        <v>586</v>
      </c>
      <c r="N230" t="s">
        <v>178</v>
      </c>
      <c r="O230" t="s">
        <v>179</v>
      </c>
      <c r="P230">
        <v>3</v>
      </c>
      <c r="Q230" t="s">
        <v>180</v>
      </c>
    </row>
    <row r="231" spans="1:17" s="3" customFormat="1">
      <c r="A231" s="82">
        <v>3.8097566932870371E-2</v>
      </c>
      <c r="B231" t="s">
        <v>44</v>
      </c>
      <c r="C231"/>
      <c r="D231"/>
      <c r="E231" t="s">
        <v>135</v>
      </c>
      <c r="F231"/>
      <c r="G231" t="s">
        <v>47</v>
      </c>
      <c r="H231"/>
      <c r="I231" s="159">
        <v>46300.413530092592</v>
      </c>
      <c r="J231" t="s">
        <v>587</v>
      </c>
      <c r="K231" t="s">
        <v>388</v>
      </c>
      <c r="L231" s="158">
        <v>46299</v>
      </c>
      <c r="M231" t="s">
        <v>586</v>
      </c>
      <c r="N231" t="s">
        <v>178</v>
      </c>
      <c r="O231" t="s">
        <v>179</v>
      </c>
      <c r="P231">
        <v>3</v>
      </c>
      <c r="Q231" t="s">
        <v>180</v>
      </c>
    </row>
    <row r="232" spans="1:17" s="3" customFormat="1">
      <c r="A232" s="82">
        <v>3.8049674444444445E-2</v>
      </c>
      <c r="B232" t="s">
        <v>44</v>
      </c>
      <c r="C232"/>
      <c r="D232"/>
      <c r="E232" t="s">
        <v>49</v>
      </c>
      <c r="F232"/>
      <c r="G232" t="s">
        <v>113</v>
      </c>
      <c r="H232"/>
      <c r="I232" s="159">
        <v>46300.413344907407</v>
      </c>
      <c r="J232" t="s">
        <v>587</v>
      </c>
      <c r="K232" t="s">
        <v>388</v>
      </c>
      <c r="L232" s="158">
        <v>46299</v>
      </c>
      <c r="M232" t="s">
        <v>586</v>
      </c>
      <c r="N232" t="s">
        <v>178</v>
      </c>
      <c r="O232" t="s">
        <v>179</v>
      </c>
      <c r="P232">
        <v>3</v>
      </c>
      <c r="Q232" t="s">
        <v>180</v>
      </c>
    </row>
    <row r="233" spans="1:17" s="3" customFormat="1">
      <c r="A233" s="82">
        <v>3.5206240034722225E-2</v>
      </c>
      <c r="B233" t="s">
        <v>46</v>
      </c>
      <c r="C233"/>
      <c r="D233"/>
      <c r="E233" t="s">
        <v>65</v>
      </c>
      <c r="F233"/>
      <c r="G233" t="s">
        <v>113</v>
      </c>
      <c r="H233"/>
      <c r="I233" s="159">
        <v>46300.413136574076</v>
      </c>
      <c r="J233" t="s">
        <v>587</v>
      </c>
      <c r="K233" t="s">
        <v>388</v>
      </c>
      <c r="L233" s="158">
        <v>46299</v>
      </c>
      <c r="M233" t="s">
        <v>586</v>
      </c>
      <c r="N233" t="s">
        <v>178</v>
      </c>
      <c r="O233" t="s">
        <v>179</v>
      </c>
      <c r="P233">
        <v>3</v>
      </c>
      <c r="Q233" t="s">
        <v>180</v>
      </c>
    </row>
    <row r="234" spans="1:17" s="3" customFormat="1">
      <c r="A234" s="82">
        <v>3.4380878622685185E-2</v>
      </c>
      <c r="B234" t="s">
        <v>46</v>
      </c>
      <c r="C234"/>
      <c r="D234"/>
      <c r="E234" t="s">
        <v>37</v>
      </c>
      <c r="F234"/>
      <c r="G234" t="s">
        <v>113</v>
      </c>
      <c r="H234"/>
      <c r="I234" s="159">
        <v>46300.412777777776</v>
      </c>
      <c r="J234" t="s">
        <v>587</v>
      </c>
      <c r="K234" t="s">
        <v>388</v>
      </c>
      <c r="L234" s="158">
        <v>46299</v>
      </c>
      <c r="M234" t="s">
        <v>586</v>
      </c>
      <c r="N234" t="s">
        <v>178</v>
      </c>
      <c r="O234" t="s">
        <v>179</v>
      </c>
      <c r="P234">
        <v>3</v>
      </c>
      <c r="Q234" t="s">
        <v>180</v>
      </c>
    </row>
    <row r="235" spans="1:17" s="3" customFormat="1">
      <c r="A235" s="82">
        <v>3.4380878622685185E-2</v>
      </c>
      <c r="B235" t="s">
        <v>46</v>
      </c>
      <c r="C235" t="s">
        <v>42</v>
      </c>
      <c r="D235" t="s">
        <v>32</v>
      </c>
      <c r="E235" t="s">
        <v>161</v>
      </c>
      <c r="F235" t="s">
        <v>156</v>
      </c>
      <c r="G235" t="s">
        <v>113</v>
      </c>
      <c r="H235"/>
      <c r="I235" s="159">
        <v>46300.412777777776</v>
      </c>
      <c r="J235" t="s">
        <v>587</v>
      </c>
      <c r="K235" t="s">
        <v>388</v>
      </c>
      <c r="L235" s="158">
        <v>46299</v>
      </c>
      <c r="M235" t="s">
        <v>586</v>
      </c>
      <c r="N235" t="s">
        <v>178</v>
      </c>
      <c r="O235" t="s">
        <v>179</v>
      </c>
      <c r="P235">
        <v>3</v>
      </c>
      <c r="Q235" t="s">
        <v>180</v>
      </c>
    </row>
    <row r="236" spans="1:17" s="3" customFormat="1">
      <c r="A236" s="82">
        <v>3.4334632037037037E-2</v>
      </c>
      <c r="B236" t="s">
        <v>46</v>
      </c>
      <c r="C236" t="s">
        <v>491</v>
      </c>
      <c r="D236"/>
      <c r="E236" t="s">
        <v>57</v>
      </c>
      <c r="F236"/>
      <c r="G236" t="s">
        <v>113</v>
      </c>
      <c r="H236"/>
      <c r="I236" s="159">
        <v>46300.412511574075</v>
      </c>
      <c r="J236" t="s">
        <v>587</v>
      </c>
      <c r="K236" t="s">
        <v>388</v>
      </c>
      <c r="L236" s="158">
        <v>46299</v>
      </c>
      <c r="M236" t="s">
        <v>586</v>
      </c>
      <c r="N236" t="s">
        <v>178</v>
      </c>
      <c r="O236" t="s">
        <v>179</v>
      </c>
      <c r="P236">
        <v>3</v>
      </c>
      <c r="Q236" t="s">
        <v>180</v>
      </c>
    </row>
    <row r="237" spans="1:17" s="3" customFormat="1">
      <c r="A237" s="82">
        <v>3.4315021273148144E-2</v>
      </c>
      <c r="B237" t="s">
        <v>46</v>
      </c>
      <c r="C237" t="s">
        <v>496</v>
      </c>
      <c r="D237"/>
      <c r="E237" t="s">
        <v>57</v>
      </c>
      <c r="F237"/>
      <c r="G237" t="s">
        <v>113</v>
      </c>
      <c r="H237"/>
      <c r="I237" s="159">
        <v>46300.412291666667</v>
      </c>
      <c r="J237" t="s">
        <v>587</v>
      </c>
      <c r="K237" t="s">
        <v>388</v>
      </c>
      <c r="L237" s="158">
        <v>46299</v>
      </c>
      <c r="M237" t="s">
        <v>586</v>
      </c>
      <c r="N237" t="s">
        <v>178</v>
      </c>
      <c r="O237" t="s">
        <v>179</v>
      </c>
      <c r="P237">
        <v>3</v>
      </c>
      <c r="Q237" t="s">
        <v>180</v>
      </c>
    </row>
    <row r="238" spans="1:17" s="3" customFormat="1">
      <c r="A238" s="82">
        <v>3.3880802951388886E-2</v>
      </c>
      <c r="B238" t="s">
        <v>46</v>
      </c>
      <c r="C238"/>
      <c r="D238"/>
      <c r="E238" t="s">
        <v>62</v>
      </c>
      <c r="F238"/>
      <c r="G238" t="s">
        <v>113</v>
      </c>
      <c r="H238"/>
      <c r="I238" s="159">
        <v>46300.41170138889</v>
      </c>
      <c r="J238" t="s">
        <v>587</v>
      </c>
      <c r="K238" t="s">
        <v>388</v>
      </c>
      <c r="L238" s="158">
        <v>46299</v>
      </c>
      <c r="M238" t="s">
        <v>586</v>
      </c>
      <c r="N238" t="s">
        <v>178</v>
      </c>
      <c r="O238" t="s">
        <v>179</v>
      </c>
      <c r="P238">
        <v>3</v>
      </c>
      <c r="Q238" t="s">
        <v>180</v>
      </c>
    </row>
    <row r="239" spans="1:17" s="3" customFormat="1">
      <c r="A239" s="82">
        <v>3.3811214351851852E-2</v>
      </c>
      <c r="B239" t="s">
        <v>46</v>
      </c>
      <c r="C239"/>
      <c r="D239"/>
      <c r="E239" t="s">
        <v>53</v>
      </c>
      <c r="F239"/>
      <c r="G239" t="s">
        <v>113</v>
      </c>
      <c r="H239"/>
      <c r="I239" s="159">
        <v>46300.411400462966</v>
      </c>
      <c r="J239" t="s">
        <v>587</v>
      </c>
      <c r="K239" t="s">
        <v>388</v>
      </c>
      <c r="L239" s="158">
        <v>46299</v>
      </c>
      <c r="M239" t="s">
        <v>586</v>
      </c>
      <c r="N239" t="s">
        <v>178</v>
      </c>
      <c r="O239" t="s">
        <v>179</v>
      </c>
      <c r="P239">
        <v>3</v>
      </c>
      <c r="Q239" t="s">
        <v>180</v>
      </c>
    </row>
    <row r="240" spans="1:17" s="3" customFormat="1">
      <c r="A240" s="82">
        <v>3.3004076932870371E-2</v>
      </c>
      <c r="B240" t="s">
        <v>46</v>
      </c>
      <c r="C240"/>
      <c r="D240"/>
      <c r="E240" t="s">
        <v>37</v>
      </c>
      <c r="F240"/>
      <c r="G240" t="s">
        <v>113</v>
      </c>
      <c r="H240"/>
      <c r="I240" s="159">
        <v>46300.410532407404</v>
      </c>
      <c r="J240" t="s">
        <v>587</v>
      </c>
      <c r="K240" t="s">
        <v>388</v>
      </c>
      <c r="L240" s="158">
        <v>46299</v>
      </c>
      <c r="M240" t="s">
        <v>586</v>
      </c>
      <c r="N240" t="s">
        <v>178</v>
      </c>
      <c r="O240" t="s">
        <v>179</v>
      </c>
      <c r="P240">
        <v>3</v>
      </c>
      <c r="Q240" t="s">
        <v>180</v>
      </c>
    </row>
    <row r="241" spans="1:17" s="3" customFormat="1">
      <c r="A241" s="82">
        <v>3.3004076932870371E-2</v>
      </c>
      <c r="B241" t="s">
        <v>46</v>
      </c>
      <c r="C241" t="s">
        <v>486</v>
      </c>
      <c r="D241" t="s">
        <v>153</v>
      </c>
      <c r="E241" t="s">
        <v>161</v>
      </c>
      <c r="F241" t="s">
        <v>539</v>
      </c>
      <c r="G241" t="s">
        <v>113</v>
      </c>
      <c r="H241"/>
      <c r="I241" s="159">
        <v>46300.410532407404</v>
      </c>
      <c r="J241" t="s">
        <v>587</v>
      </c>
      <c r="K241" t="s">
        <v>388</v>
      </c>
      <c r="L241" s="158">
        <v>46299</v>
      </c>
      <c r="M241" t="s">
        <v>586</v>
      </c>
      <c r="N241" t="s">
        <v>178</v>
      </c>
      <c r="O241" t="s">
        <v>179</v>
      </c>
      <c r="P241">
        <v>3</v>
      </c>
      <c r="Q241" t="s">
        <v>180</v>
      </c>
    </row>
    <row r="242" spans="1:17" s="3" customFormat="1">
      <c r="A242" s="82">
        <v>3.2832154513888892E-2</v>
      </c>
      <c r="B242" t="s">
        <v>46</v>
      </c>
      <c r="C242" t="s">
        <v>511</v>
      </c>
      <c r="D242"/>
      <c r="E242" t="s">
        <v>57</v>
      </c>
      <c r="F242"/>
      <c r="G242" t="s">
        <v>113</v>
      </c>
      <c r="H242"/>
      <c r="I242" s="159">
        <v>46300.409988425927</v>
      </c>
      <c r="J242" t="s">
        <v>587</v>
      </c>
      <c r="K242" t="s">
        <v>388</v>
      </c>
      <c r="L242" s="158">
        <v>46299</v>
      </c>
      <c r="M242" t="s">
        <v>586</v>
      </c>
      <c r="N242" t="s">
        <v>178</v>
      </c>
      <c r="O242" t="s">
        <v>179</v>
      </c>
      <c r="P242">
        <v>3</v>
      </c>
      <c r="Q242" t="s">
        <v>180</v>
      </c>
    </row>
    <row r="243" spans="1:17" s="3" customFormat="1">
      <c r="A243" s="82">
        <v>3.2761400347222219E-2</v>
      </c>
      <c r="B243" t="s">
        <v>46</v>
      </c>
      <c r="C243" t="s">
        <v>486</v>
      </c>
      <c r="D243"/>
      <c r="E243" t="s">
        <v>8</v>
      </c>
      <c r="F243"/>
      <c r="G243" t="s">
        <v>113</v>
      </c>
      <c r="H243"/>
      <c r="I243" s="159">
        <v>46300.409560185188</v>
      </c>
      <c r="J243" t="s">
        <v>587</v>
      </c>
      <c r="K243" t="s">
        <v>388</v>
      </c>
      <c r="L243" s="158">
        <v>46299</v>
      </c>
      <c r="M243" t="s">
        <v>586</v>
      </c>
      <c r="N243" t="s">
        <v>178</v>
      </c>
      <c r="O243" t="s">
        <v>179</v>
      </c>
      <c r="P243">
        <v>3</v>
      </c>
      <c r="Q243" t="s">
        <v>180</v>
      </c>
    </row>
    <row r="244" spans="1:17" s="3" customFormat="1">
      <c r="A244" s="82">
        <v>3.2655071574074074E-2</v>
      </c>
      <c r="B244" t="s">
        <v>46</v>
      </c>
      <c r="C244" t="s">
        <v>487</v>
      </c>
      <c r="D244"/>
      <c r="E244" t="s">
        <v>57</v>
      </c>
      <c r="F244"/>
      <c r="G244" t="s">
        <v>113</v>
      </c>
      <c r="H244"/>
      <c r="I244" s="159">
        <v>46300.409108796295</v>
      </c>
      <c r="J244" t="s">
        <v>587</v>
      </c>
      <c r="K244" t="s">
        <v>388</v>
      </c>
      <c r="L244" s="158">
        <v>46299</v>
      </c>
      <c r="M244" t="s">
        <v>586</v>
      </c>
      <c r="N244" t="s">
        <v>178</v>
      </c>
      <c r="O244" t="s">
        <v>179</v>
      </c>
      <c r="P244">
        <v>3</v>
      </c>
      <c r="Q244" t="s">
        <v>180</v>
      </c>
    </row>
    <row r="245" spans="1:17" s="3" customFormat="1">
      <c r="A245" s="82">
        <v>3.2560595289351853E-2</v>
      </c>
      <c r="B245" t="s">
        <v>46</v>
      </c>
      <c r="C245" t="s">
        <v>491</v>
      </c>
      <c r="D245"/>
      <c r="E245" t="s">
        <v>84</v>
      </c>
      <c r="F245"/>
      <c r="G245" t="s">
        <v>113</v>
      </c>
      <c r="H245"/>
      <c r="I245" s="159">
        <v>46300.408553240741</v>
      </c>
      <c r="J245" t="s">
        <v>587</v>
      </c>
      <c r="K245" t="s">
        <v>388</v>
      </c>
      <c r="L245" s="158">
        <v>46299</v>
      </c>
      <c r="M245" t="s">
        <v>586</v>
      </c>
      <c r="N245" t="s">
        <v>178</v>
      </c>
      <c r="O245" t="s">
        <v>179</v>
      </c>
      <c r="P245">
        <v>3</v>
      </c>
      <c r="Q245" t="s">
        <v>180</v>
      </c>
    </row>
    <row r="246" spans="1:17" s="3" customFormat="1">
      <c r="A246" s="82">
        <v>2.4837962962962964E-2</v>
      </c>
      <c r="B246" t="s">
        <v>46</v>
      </c>
      <c r="C246" t="s">
        <v>512</v>
      </c>
      <c r="D246"/>
      <c r="E246" t="s">
        <v>574</v>
      </c>
      <c r="F246"/>
      <c r="G246" t="s">
        <v>113</v>
      </c>
      <c r="H246"/>
      <c r="I246" s="159">
        <v>46300.406956018516</v>
      </c>
      <c r="J246" t="s">
        <v>587</v>
      </c>
      <c r="K246" t="s">
        <v>388</v>
      </c>
      <c r="L246" s="158">
        <v>46299</v>
      </c>
      <c r="M246" t="s">
        <v>586</v>
      </c>
      <c r="N246" t="s">
        <v>178</v>
      </c>
      <c r="O246" t="s">
        <v>179</v>
      </c>
      <c r="P246">
        <v>3</v>
      </c>
      <c r="Q246" t="s">
        <v>180</v>
      </c>
    </row>
    <row r="247" spans="1:17" s="3" customFormat="1">
      <c r="A247" s="82">
        <v>3.2472094837962963E-2</v>
      </c>
      <c r="B247" t="s">
        <v>46</v>
      </c>
      <c r="C247" t="s">
        <v>512</v>
      </c>
      <c r="D247"/>
      <c r="E247" t="s">
        <v>57</v>
      </c>
      <c r="F247"/>
      <c r="G247" t="s">
        <v>113</v>
      </c>
      <c r="H247"/>
      <c r="I247" s="159">
        <v>46300.406793981485</v>
      </c>
      <c r="J247" t="s">
        <v>587</v>
      </c>
      <c r="K247" t="s">
        <v>388</v>
      </c>
      <c r="L247" s="158">
        <v>46299</v>
      </c>
      <c r="M247" t="s">
        <v>586</v>
      </c>
      <c r="N247" t="s">
        <v>178</v>
      </c>
      <c r="O247" t="s">
        <v>179</v>
      </c>
      <c r="P247">
        <v>3</v>
      </c>
      <c r="Q247" t="s">
        <v>180</v>
      </c>
    </row>
    <row r="248" spans="1:17" s="3" customFormat="1">
      <c r="A248" s="82">
        <v>3.2476872766203702E-2</v>
      </c>
      <c r="B248" t="s">
        <v>46</v>
      </c>
      <c r="C248" t="s">
        <v>496</v>
      </c>
      <c r="D248"/>
      <c r="E248" t="s">
        <v>9</v>
      </c>
      <c r="F248"/>
      <c r="G248" t="s">
        <v>113</v>
      </c>
      <c r="H248"/>
      <c r="I248" s="159">
        <v>46300.401412037034</v>
      </c>
      <c r="J248" t="s">
        <v>587</v>
      </c>
      <c r="K248" t="s">
        <v>388</v>
      </c>
      <c r="L248" s="158">
        <v>46299</v>
      </c>
      <c r="M248" t="s">
        <v>586</v>
      </c>
      <c r="N248" t="s">
        <v>178</v>
      </c>
      <c r="O248" t="s">
        <v>179</v>
      </c>
      <c r="P248">
        <v>3</v>
      </c>
      <c r="Q248" t="s">
        <v>180</v>
      </c>
    </row>
    <row r="249" spans="1:17" s="3" customFormat="1">
      <c r="A249" s="82">
        <v>3.2433961539351852E-2</v>
      </c>
      <c r="B249" t="s">
        <v>46</v>
      </c>
      <c r="C249"/>
      <c r="D249"/>
      <c r="E249" t="s">
        <v>137</v>
      </c>
      <c r="F249"/>
      <c r="G249" t="s">
        <v>113</v>
      </c>
      <c r="H249"/>
      <c r="I249" s="159">
        <v>46300.401226851849</v>
      </c>
      <c r="J249" t="s">
        <v>587</v>
      </c>
      <c r="K249" t="s">
        <v>388</v>
      </c>
      <c r="L249" s="158">
        <v>46299</v>
      </c>
      <c r="M249" t="s">
        <v>586</v>
      </c>
      <c r="N249" t="s">
        <v>178</v>
      </c>
      <c r="O249" t="s">
        <v>179</v>
      </c>
      <c r="P249">
        <v>3</v>
      </c>
      <c r="Q249" t="s">
        <v>180</v>
      </c>
    </row>
    <row r="250" spans="1:17" s="3" customFormat="1">
      <c r="A250" s="82">
        <v>3.2412344652777779E-2</v>
      </c>
      <c r="B250" t="s">
        <v>46</v>
      </c>
      <c r="C250"/>
      <c r="D250"/>
      <c r="E250" t="s">
        <v>133</v>
      </c>
      <c r="F250"/>
      <c r="G250" t="s">
        <v>47</v>
      </c>
      <c r="H250"/>
      <c r="I250" s="159">
        <v>46300.401203703703</v>
      </c>
      <c r="J250" t="s">
        <v>587</v>
      </c>
      <c r="K250" t="s">
        <v>388</v>
      </c>
      <c r="L250" s="158">
        <v>46299</v>
      </c>
      <c r="M250" t="s">
        <v>586</v>
      </c>
      <c r="N250" t="s">
        <v>178</v>
      </c>
      <c r="O250" t="s">
        <v>179</v>
      </c>
      <c r="P250">
        <v>3</v>
      </c>
      <c r="Q250" t="s">
        <v>180</v>
      </c>
    </row>
    <row r="251" spans="1:17" s="3" customFormat="1">
      <c r="A251" s="82">
        <v>3.2318029004629628E-2</v>
      </c>
      <c r="B251" t="s">
        <v>46</v>
      </c>
      <c r="C251" t="s">
        <v>511</v>
      </c>
      <c r="D251"/>
      <c r="E251" t="s">
        <v>407</v>
      </c>
      <c r="F251"/>
      <c r="G251" t="s">
        <v>47</v>
      </c>
      <c r="H251"/>
      <c r="I251" s="159">
        <v>46300.401053240741</v>
      </c>
      <c r="J251" t="s">
        <v>587</v>
      </c>
      <c r="K251" t="s">
        <v>388</v>
      </c>
      <c r="L251" s="158">
        <v>46299</v>
      </c>
      <c r="M251" t="s">
        <v>586</v>
      </c>
      <c r="N251" t="s">
        <v>178</v>
      </c>
      <c r="O251" t="s">
        <v>179</v>
      </c>
      <c r="P251">
        <v>3</v>
      </c>
      <c r="Q251" t="s">
        <v>180</v>
      </c>
    </row>
    <row r="252" spans="1:17" s="3" customFormat="1">
      <c r="A252" s="82">
        <v>3.2317703946759258E-2</v>
      </c>
      <c r="B252" t="s">
        <v>46</v>
      </c>
      <c r="C252"/>
      <c r="D252"/>
      <c r="E252" t="s">
        <v>135</v>
      </c>
      <c r="F252"/>
      <c r="G252" t="s">
        <v>47</v>
      </c>
      <c r="H252"/>
      <c r="I252" s="159">
        <v>46300.400902777779</v>
      </c>
      <c r="J252" t="s">
        <v>587</v>
      </c>
      <c r="K252" t="s">
        <v>388</v>
      </c>
      <c r="L252" s="158">
        <v>46299</v>
      </c>
      <c r="M252" t="s">
        <v>586</v>
      </c>
      <c r="N252" t="s">
        <v>178</v>
      </c>
      <c r="O252" t="s">
        <v>179</v>
      </c>
      <c r="P252">
        <v>3</v>
      </c>
      <c r="Q252" t="s">
        <v>180</v>
      </c>
    </row>
    <row r="253" spans="1:17" s="3" customFormat="1">
      <c r="A253" s="82">
        <v>3.2271628761574071E-2</v>
      </c>
      <c r="B253" t="s">
        <v>46</v>
      </c>
      <c r="C253"/>
      <c r="D253"/>
      <c r="E253" t="s">
        <v>133</v>
      </c>
      <c r="F253"/>
      <c r="G253" t="s">
        <v>113</v>
      </c>
      <c r="H253"/>
      <c r="I253" s="159">
        <v>46300.40084490741</v>
      </c>
      <c r="J253" t="s">
        <v>587</v>
      </c>
      <c r="K253" t="s">
        <v>388</v>
      </c>
      <c r="L253" s="158">
        <v>46299</v>
      </c>
      <c r="M253" t="s">
        <v>586</v>
      </c>
      <c r="N253" t="s">
        <v>178</v>
      </c>
      <c r="O253" t="s">
        <v>179</v>
      </c>
      <c r="P253">
        <v>3</v>
      </c>
      <c r="Q253" t="s">
        <v>180</v>
      </c>
    </row>
    <row r="254" spans="1:17" s="3" customFormat="1">
      <c r="A254" s="82">
        <v>3.2213276574074072E-2</v>
      </c>
      <c r="B254" t="s">
        <v>46</v>
      </c>
      <c r="C254"/>
      <c r="D254"/>
      <c r="E254" t="s">
        <v>137</v>
      </c>
      <c r="F254"/>
      <c r="G254" t="s">
        <v>113</v>
      </c>
      <c r="H254"/>
      <c r="I254" s="159">
        <v>46300.40079861111</v>
      </c>
      <c r="J254" t="s">
        <v>587</v>
      </c>
      <c r="K254" t="s">
        <v>388</v>
      </c>
      <c r="L254" s="158">
        <v>46299</v>
      </c>
      <c r="M254" t="s">
        <v>586</v>
      </c>
      <c r="N254" t="s">
        <v>178</v>
      </c>
      <c r="O254" t="s">
        <v>179</v>
      </c>
      <c r="P254">
        <v>3</v>
      </c>
      <c r="Q254" t="s">
        <v>180</v>
      </c>
    </row>
    <row r="255" spans="1:17" s="3" customFormat="1">
      <c r="A255" s="82">
        <v>3.2191665324074074E-2</v>
      </c>
      <c r="B255" t="s">
        <v>46</v>
      </c>
      <c r="C255"/>
      <c r="D255"/>
      <c r="E255" t="s">
        <v>133</v>
      </c>
      <c r="F255"/>
      <c r="G255" t="s">
        <v>47</v>
      </c>
      <c r="H255"/>
      <c r="I255" s="159">
        <v>46300.400775462964</v>
      </c>
      <c r="J255" t="s">
        <v>587</v>
      </c>
      <c r="K255" t="s">
        <v>388</v>
      </c>
      <c r="L255" s="158">
        <v>46299</v>
      </c>
      <c r="M255" t="s">
        <v>586</v>
      </c>
      <c r="N255" t="s">
        <v>178</v>
      </c>
      <c r="O255" t="s">
        <v>179</v>
      </c>
      <c r="P255">
        <v>3</v>
      </c>
      <c r="Q255" t="s">
        <v>180</v>
      </c>
    </row>
    <row r="256" spans="1:17" s="3" customFormat="1">
      <c r="A256" s="82">
        <v>3.2148647164351847E-2</v>
      </c>
      <c r="B256" t="s">
        <v>46</v>
      </c>
      <c r="C256"/>
      <c r="D256"/>
      <c r="E256" t="s">
        <v>135</v>
      </c>
      <c r="F256"/>
      <c r="G256" t="s">
        <v>47</v>
      </c>
      <c r="H256"/>
      <c r="I256" s="159">
        <v>46300.400729166664</v>
      </c>
      <c r="J256" t="s">
        <v>587</v>
      </c>
      <c r="K256" t="s">
        <v>388</v>
      </c>
      <c r="L256" s="158">
        <v>46299</v>
      </c>
      <c r="M256" t="s">
        <v>586</v>
      </c>
      <c r="N256" t="s">
        <v>178</v>
      </c>
      <c r="O256" t="s">
        <v>179</v>
      </c>
      <c r="P256">
        <v>3</v>
      </c>
      <c r="Q256" t="s">
        <v>180</v>
      </c>
    </row>
    <row r="257" spans="1:17" s="3" customFormat="1">
      <c r="A257" s="82">
        <v>3.2036049490740737E-2</v>
      </c>
      <c r="B257" t="s">
        <v>46</v>
      </c>
      <c r="C257"/>
      <c r="D257"/>
      <c r="E257" t="s">
        <v>49</v>
      </c>
      <c r="F257"/>
      <c r="G257" t="s">
        <v>113</v>
      </c>
      <c r="H257"/>
      <c r="I257" s="159">
        <v>46300.400613425925</v>
      </c>
      <c r="J257" t="s">
        <v>587</v>
      </c>
      <c r="K257" t="s">
        <v>388</v>
      </c>
      <c r="L257" s="158">
        <v>46299</v>
      </c>
      <c r="M257" t="s">
        <v>586</v>
      </c>
      <c r="N257" t="s">
        <v>178</v>
      </c>
      <c r="O257" t="s">
        <v>179</v>
      </c>
      <c r="P257">
        <v>3</v>
      </c>
      <c r="Q257" t="s">
        <v>180</v>
      </c>
    </row>
    <row r="258" spans="1:17" s="3" customFormat="1">
      <c r="A258" s="82">
        <v>3.1412457777777777E-2</v>
      </c>
      <c r="B258" t="s">
        <v>46</v>
      </c>
      <c r="C258" t="s">
        <v>496</v>
      </c>
      <c r="D258"/>
      <c r="E258" t="s">
        <v>64</v>
      </c>
      <c r="F258"/>
      <c r="G258" t="s">
        <v>47</v>
      </c>
      <c r="H258"/>
      <c r="I258" s="159">
        <v>46300.399722222224</v>
      </c>
      <c r="J258" t="s">
        <v>587</v>
      </c>
      <c r="K258" t="s">
        <v>388</v>
      </c>
      <c r="L258" s="158">
        <v>46299</v>
      </c>
      <c r="M258" t="s">
        <v>586</v>
      </c>
      <c r="N258" t="s">
        <v>178</v>
      </c>
      <c r="O258" t="s">
        <v>179</v>
      </c>
      <c r="P258">
        <v>3</v>
      </c>
      <c r="Q258" t="s">
        <v>180</v>
      </c>
    </row>
    <row r="259" spans="1:17" s="3" customFormat="1">
      <c r="A259" s="82">
        <v>3.0734155891203707E-2</v>
      </c>
      <c r="B259" t="s">
        <v>46</v>
      </c>
      <c r="C259"/>
      <c r="D259"/>
      <c r="E259" t="s">
        <v>37</v>
      </c>
      <c r="F259"/>
      <c r="G259" t="s">
        <v>113</v>
      </c>
      <c r="H259"/>
      <c r="I259" s="159">
        <v>46300.399525462963</v>
      </c>
      <c r="J259" t="s">
        <v>587</v>
      </c>
      <c r="K259" t="s">
        <v>388</v>
      </c>
      <c r="L259" s="158">
        <v>46299</v>
      </c>
      <c r="M259" t="s">
        <v>586</v>
      </c>
      <c r="N259" t="s">
        <v>178</v>
      </c>
      <c r="O259" t="s">
        <v>179</v>
      </c>
      <c r="P259">
        <v>3</v>
      </c>
      <c r="Q259" t="s">
        <v>180</v>
      </c>
    </row>
    <row r="260" spans="1:17" s="3" customFormat="1">
      <c r="A260" s="82">
        <v>3.0734155891203707E-2</v>
      </c>
      <c r="B260" t="s">
        <v>46</v>
      </c>
      <c r="C260" t="s">
        <v>490</v>
      </c>
      <c r="D260"/>
      <c r="E260" t="s">
        <v>52</v>
      </c>
      <c r="F260"/>
      <c r="G260" t="s">
        <v>47</v>
      </c>
      <c r="H260"/>
      <c r="I260" s="159">
        <v>46300.399525462963</v>
      </c>
      <c r="J260" t="s">
        <v>587</v>
      </c>
      <c r="K260" t="s">
        <v>388</v>
      </c>
      <c r="L260" s="158">
        <v>46299</v>
      </c>
      <c r="M260" t="s">
        <v>586</v>
      </c>
      <c r="N260" t="s">
        <v>178</v>
      </c>
      <c r="O260" t="s">
        <v>179</v>
      </c>
      <c r="P260">
        <v>3</v>
      </c>
      <c r="Q260" t="s">
        <v>180</v>
      </c>
    </row>
    <row r="261" spans="1:17" s="3" customFormat="1">
      <c r="A261" s="82">
        <v>3.0681776643518521E-2</v>
      </c>
      <c r="B261" t="s">
        <v>46</v>
      </c>
      <c r="C261" t="s">
        <v>496</v>
      </c>
      <c r="D261"/>
      <c r="E261" t="s">
        <v>406</v>
      </c>
      <c r="F261"/>
      <c r="G261" t="s">
        <v>47</v>
      </c>
      <c r="H261"/>
      <c r="I261" s="159">
        <v>46300.399444444447</v>
      </c>
      <c r="J261" t="s">
        <v>587</v>
      </c>
      <c r="K261" t="s">
        <v>388</v>
      </c>
      <c r="L261" s="158">
        <v>46299</v>
      </c>
      <c r="M261" t="s">
        <v>586</v>
      </c>
      <c r="N261" t="s">
        <v>178</v>
      </c>
      <c r="O261" t="s">
        <v>179</v>
      </c>
      <c r="P261">
        <v>3</v>
      </c>
      <c r="Q261" t="s">
        <v>180</v>
      </c>
    </row>
    <row r="262" spans="1:17" s="3" customFormat="1">
      <c r="A262" s="82">
        <v>3.0623533877314812E-2</v>
      </c>
      <c r="B262" t="s">
        <v>46</v>
      </c>
      <c r="C262" t="s">
        <v>492</v>
      </c>
      <c r="D262"/>
      <c r="E262" t="s">
        <v>249</v>
      </c>
      <c r="F262"/>
      <c r="G262" t="s">
        <v>47</v>
      </c>
      <c r="H262"/>
      <c r="I262" s="159">
        <v>46300.399282407408</v>
      </c>
      <c r="J262" t="s">
        <v>587</v>
      </c>
      <c r="K262" t="s">
        <v>388</v>
      </c>
      <c r="L262" s="158">
        <v>46299</v>
      </c>
      <c r="M262" t="s">
        <v>586</v>
      </c>
      <c r="N262" t="s">
        <v>178</v>
      </c>
      <c r="O262" t="s">
        <v>179</v>
      </c>
      <c r="P262">
        <v>3</v>
      </c>
      <c r="Q262" t="s">
        <v>180</v>
      </c>
    </row>
    <row r="263" spans="1:17" s="3" customFormat="1">
      <c r="A263" s="82">
        <v>3.0594593564814813E-2</v>
      </c>
      <c r="B263" t="s">
        <v>46</v>
      </c>
      <c r="C263" t="s">
        <v>495</v>
      </c>
      <c r="D263"/>
      <c r="E263" t="s">
        <v>407</v>
      </c>
      <c r="F263"/>
      <c r="G263" t="s">
        <v>47</v>
      </c>
      <c r="H263"/>
      <c r="I263" s="159">
        <v>46300.399189814816</v>
      </c>
      <c r="J263" t="s">
        <v>587</v>
      </c>
      <c r="K263" t="s">
        <v>388</v>
      </c>
      <c r="L263" s="158">
        <v>46299</v>
      </c>
      <c r="M263" t="s">
        <v>586</v>
      </c>
      <c r="N263" t="s">
        <v>178</v>
      </c>
      <c r="O263" t="s">
        <v>179</v>
      </c>
      <c r="P263">
        <v>3</v>
      </c>
      <c r="Q263" t="s">
        <v>180</v>
      </c>
    </row>
    <row r="264" spans="1:17" s="3" customFormat="1">
      <c r="A264" s="82">
        <v>3.0552969768518519E-2</v>
      </c>
      <c r="B264" t="s">
        <v>46</v>
      </c>
      <c r="C264" t="s">
        <v>483</v>
      </c>
      <c r="D264"/>
      <c r="E264" t="s">
        <v>406</v>
      </c>
      <c r="F264"/>
      <c r="G264" t="s">
        <v>47</v>
      </c>
      <c r="H264"/>
      <c r="I264" s="159">
        <v>46300.398935185185</v>
      </c>
      <c r="J264" t="s">
        <v>587</v>
      </c>
      <c r="K264" t="s">
        <v>388</v>
      </c>
      <c r="L264" s="158">
        <v>46299</v>
      </c>
      <c r="M264" t="s">
        <v>586</v>
      </c>
      <c r="N264" t="s">
        <v>178</v>
      </c>
      <c r="O264" t="s">
        <v>179</v>
      </c>
      <c r="P264">
        <v>3</v>
      </c>
      <c r="Q264" t="s">
        <v>180</v>
      </c>
    </row>
    <row r="265" spans="1:17" s="3" customFormat="1">
      <c r="A265" s="82">
        <v>3.0524174398148151E-2</v>
      </c>
      <c r="B265" t="s">
        <v>46</v>
      </c>
      <c r="C265" t="s">
        <v>491</v>
      </c>
      <c r="D265"/>
      <c r="E265" t="s">
        <v>407</v>
      </c>
      <c r="F265"/>
      <c r="G265" t="s">
        <v>47</v>
      </c>
      <c r="H265"/>
      <c r="I265" s="159">
        <v>46300.39880787037</v>
      </c>
      <c r="J265" t="s">
        <v>587</v>
      </c>
      <c r="K265" t="s">
        <v>388</v>
      </c>
      <c r="L265" s="158">
        <v>46299</v>
      </c>
      <c r="M265" t="s">
        <v>586</v>
      </c>
      <c r="N265" t="s">
        <v>178</v>
      </c>
      <c r="O265" t="s">
        <v>179</v>
      </c>
      <c r="P265">
        <v>3</v>
      </c>
      <c r="Q265" t="s">
        <v>180</v>
      </c>
    </row>
    <row r="266" spans="1:17" s="3" customFormat="1">
      <c r="A266" s="82">
        <v>3.0454573090277777E-2</v>
      </c>
      <c r="B266" t="s">
        <v>46</v>
      </c>
      <c r="C266" t="s">
        <v>487</v>
      </c>
      <c r="D266"/>
      <c r="E266" t="s">
        <v>406</v>
      </c>
      <c r="F266"/>
      <c r="G266" t="s">
        <v>47</v>
      </c>
      <c r="H266"/>
      <c r="I266" s="159">
        <v>46300.398645833331</v>
      </c>
      <c r="J266" t="s">
        <v>587</v>
      </c>
      <c r="K266" t="s">
        <v>388</v>
      </c>
      <c r="L266" s="158">
        <v>46299</v>
      </c>
      <c r="M266" t="s">
        <v>586</v>
      </c>
      <c r="N266" t="s">
        <v>178</v>
      </c>
      <c r="O266" t="s">
        <v>179</v>
      </c>
      <c r="P266">
        <v>3</v>
      </c>
      <c r="Q266" t="s">
        <v>180</v>
      </c>
    </row>
    <row r="267" spans="1:17" s="3" customFormat="1">
      <c r="A267" s="82">
        <v>3.0389188611111111E-2</v>
      </c>
      <c r="B267" t="s">
        <v>46</v>
      </c>
      <c r="C267"/>
      <c r="D267"/>
      <c r="E267" t="s">
        <v>135</v>
      </c>
      <c r="F267"/>
      <c r="G267" t="s">
        <v>47</v>
      </c>
      <c r="H267"/>
      <c r="I267" s="159">
        <v>46300.398553240739</v>
      </c>
      <c r="J267" t="s">
        <v>587</v>
      </c>
      <c r="K267" t="s">
        <v>388</v>
      </c>
      <c r="L267" s="158">
        <v>46299</v>
      </c>
      <c r="M267" t="s">
        <v>586</v>
      </c>
      <c r="N267" t="s">
        <v>178</v>
      </c>
      <c r="O267" t="s">
        <v>179</v>
      </c>
      <c r="P267">
        <v>3</v>
      </c>
      <c r="Q267" t="s">
        <v>180</v>
      </c>
    </row>
    <row r="268" spans="1:17" s="3" customFormat="1">
      <c r="A268" s="82">
        <v>3.0284640763888891E-2</v>
      </c>
      <c r="B268" t="s">
        <v>46</v>
      </c>
      <c r="C268"/>
      <c r="D268"/>
      <c r="E268" t="s">
        <v>49</v>
      </c>
      <c r="F268"/>
      <c r="G268" t="s">
        <v>113</v>
      </c>
      <c r="H268"/>
      <c r="I268" s="159">
        <v>46300.398449074077</v>
      </c>
      <c r="J268" t="s">
        <v>587</v>
      </c>
      <c r="K268" t="s">
        <v>388</v>
      </c>
      <c r="L268" s="158">
        <v>46299</v>
      </c>
      <c r="M268" t="s">
        <v>586</v>
      </c>
      <c r="N268" t="s">
        <v>178</v>
      </c>
      <c r="O268" t="s">
        <v>179</v>
      </c>
      <c r="P268">
        <v>3</v>
      </c>
      <c r="Q268" t="s">
        <v>180</v>
      </c>
    </row>
    <row r="269" spans="1:17" s="3" customFormat="1">
      <c r="A269" s="82">
        <v>2.9769533090277776E-2</v>
      </c>
      <c r="B269" t="s">
        <v>46</v>
      </c>
      <c r="C269" t="s">
        <v>496</v>
      </c>
      <c r="D269"/>
      <c r="E269" t="s">
        <v>64</v>
      </c>
      <c r="F269"/>
      <c r="G269" t="s">
        <v>47</v>
      </c>
      <c r="H269"/>
      <c r="I269" s="159">
        <v>46300.397800925923</v>
      </c>
      <c r="J269" t="s">
        <v>587</v>
      </c>
      <c r="K269" t="s">
        <v>388</v>
      </c>
      <c r="L269" s="158">
        <v>46299</v>
      </c>
      <c r="M269" t="s">
        <v>586</v>
      </c>
      <c r="N269" t="s">
        <v>178</v>
      </c>
      <c r="O269" t="s">
        <v>179</v>
      </c>
      <c r="P269">
        <v>3</v>
      </c>
      <c r="Q269" t="s">
        <v>180</v>
      </c>
    </row>
    <row r="270" spans="1:17" s="3" customFormat="1">
      <c r="A270" s="82">
        <v>2.9187373287037039E-2</v>
      </c>
      <c r="B270" t="s">
        <v>46</v>
      </c>
      <c r="C270"/>
      <c r="D270"/>
      <c r="E270" t="s">
        <v>37</v>
      </c>
      <c r="F270"/>
      <c r="G270" t="s">
        <v>113</v>
      </c>
      <c r="H270"/>
      <c r="I270" s="159">
        <v>46300.397581018522</v>
      </c>
      <c r="J270" t="s">
        <v>587</v>
      </c>
      <c r="K270" t="s">
        <v>388</v>
      </c>
      <c r="L270" s="158">
        <v>46299</v>
      </c>
      <c r="M270" t="s">
        <v>586</v>
      </c>
      <c r="N270" t="s">
        <v>178</v>
      </c>
      <c r="O270" t="s">
        <v>179</v>
      </c>
      <c r="P270">
        <v>3</v>
      </c>
      <c r="Q270" t="s">
        <v>180</v>
      </c>
    </row>
    <row r="271" spans="1:17" s="3" customFormat="1">
      <c r="A271" s="82">
        <v>2.9187373287037039E-2</v>
      </c>
      <c r="B271" t="s">
        <v>46</v>
      </c>
      <c r="C271" t="s">
        <v>514</v>
      </c>
      <c r="D271"/>
      <c r="E271" t="s">
        <v>52</v>
      </c>
      <c r="F271"/>
      <c r="G271" t="s">
        <v>47</v>
      </c>
      <c r="H271"/>
      <c r="I271" s="159">
        <v>46300.397581018522</v>
      </c>
      <c r="J271" t="s">
        <v>587</v>
      </c>
      <c r="K271" t="s">
        <v>388</v>
      </c>
      <c r="L271" s="158">
        <v>46299</v>
      </c>
      <c r="M271" t="s">
        <v>586</v>
      </c>
      <c r="N271" t="s">
        <v>178</v>
      </c>
      <c r="O271" t="s">
        <v>179</v>
      </c>
      <c r="P271">
        <v>3</v>
      </c>
      <c r="Q271" t="s">
        <v>180</v>
      </c>
    </row>
    <row r="272" spans="1:17" s="3" customFormat="1">
      <c r="A272" s="82">
        <v>2.9145472094907407E-2</v>
      </c>
      <c r="B272" t="s">
        <v>46</v>
      </c>
      <c r="C272"/>
      <c r="D272"/>
      <c r="E272" t="s">
        <v>400</v>
      </c>
      <c r="F272"/>
      <c r="G272" t="s">
        <v>113</v>
      </c>
      <c r="H272"/>
      <c r="I272" s="159">
        <v>46300.397349537037</v>
      </c>
      <c r="J272" t="s">
        <v>587</v>
      </c>
      <c r="K272" t="s">
        <v>388</v>
      </c>
      <c r="L272" s="158">
        <v>46299</v>
      </c>
      <c r="M272" t="s">
        <v>586</v>
      </c>
      <c r="N272" t="s">
        <v>178</v>
      </c>
      <c r="O272" t="s">
        <v>179</v>
      </c>
      <c r="P272">
        <v>3</v>
      </c>
      <c r="Q272" t="s">
        <v>180</v>
      </c>
    </row>
    <row r="273" spans="1:17" s="3" customFormat="1">
      <c r="A273" s="82">
        <v>2.9122042326388889E-2</v>
      </c>
      <c r="B273" t="s">
        <v>46</v>
      </c>
      <c r="C273"/>
      <c r="D273"/>
      <c r="E273" t="s">
        <v>137</v>
      </c>
      <c r="F273"/>
      <c r="G273" t="s">
        <v>113</v>
      </c>
      <c r="H273"/>
      <c r="I273" s="159">
        <v>46300.397256944445</v>
      </c>
      <c r="J273" t="s">
        <v>587</v>
      </c>
      <c r="K273" t="s">
        <v>388</v>
      </c>
      <c r="L273" s="158">
        <v>46299</v>
      </c>
      <c r="M273" t="s">
        <v>586</v>
      </c>
      <c r="N273" t="s">
        <v>178</v>
      </c>
      <c r="O273" t="s">
        <v>179</v>
      </c>
      <c r="P273">
        <v>3</v>
      </c>
      <c r="Q273" t="s">
        <v>180</v>
      </c>
    </row>
    <row r="274" spans="1:17" s="3" customFormat="1">
      <c r="A274" s="82">
        <v>2.9065436400462965E-2</v>
      </c>
      <c r="B274" t="s">
        <v>46</v>
      </c>
      <c r="C274"/>
      <c r="D274"/>
      <c r="E274" t="s">
        <v>133</v>
      </c>
      <c r="F274"/>
      <c r="G274" t="s">
        <v>47</v>
      </c>
      <c r="H274"/>
      <c r="I274" s="159">
        <v>46300.397141203706</v>
      </c>
      <c r="J274" t="s">
        <v>587</v>
      </c>
      <c r="K274" t="s">
        <v>388</v>
      </c>
      <c r="L274" s="158">
        <v>46299</v>
      </c>
      <c r="M274" t="s">
        <v>586</v>
      </c>
      <c r="N274" t="s">
        <v>178</v>
      </c>
      <c r="O274" t="s">
        <v>179</v>
      </c>
      <c r="P274">
        <v>3</v>
      </c>
      <c r="Q274" t="s">
        <v>180</v>
      </c>
    </row>
    <row r="275" spans="1:17" s="3" customFormat="1">
      <c r="A275" s="82">
        <v>2.9041001539351855E-2</v>
      </c>
      <c r="B275" t="s">
        <v>46</v>
      </c>
      <c r="C275"/>
      <c r="D275"/>
      <c r="E275" t="s">
        <v>50</v>
      </c>
      <c r="F275"/>
      <c r="G275" t="s">
        <v>47</v>
      </c>
      <c r="H275"/>
      <c r="I275" s="159">
        <v>46300.397083333337</v>
      </c>
      <c r="J275" t="s">
        <v>587</v>
      </c>
      <c r="K275" t="s">
        <v>388</v>
      </c>
      <c r="L275" s="158">
        <v>46299</v>
      </c>
      <c r="M275" t="s">
        <v>586</v>
      </c>
      <c r="N275" t="s">
        <v>178</v>
      </c>
      <c r="O275" t="s">
        <v>179</v>
      </c>
      <c r="P275">
        <v>3</v>
      </c>
      <c r="Q275" t="s">
        <v>180</v>
      </c>
    </row>
    <row r="276" spans="1:17" s="3" customFormat="1">
      <c r="A276" s="82">
        <v>2.9023344745370369E-2</v>
      </c>
      <c r="B276" t="s">
        <v>46</v>
      </c>
      <c r="C276"/>
      <c r="D276"/>
      <c r="E276" t="s">
        <v>37</v>
      </c>
      <c r="F276"/>
      <c r="G276" t="s">
        <v>47</v>
      </c>
      <c r="H276"/>
      <c r="I276" s="159">
        <v>46300.396724537037</v>
      </c>
      <c r="J276" t="s">
        <v>587</v>
      </c>
      <c r="K276" t="s">
        <v>388</v>
      </c>
      <c r="L276" s="158">
        <v>46299</v>
      </c>
      <c r="M276" t="s">
        <v>586</v>
      </c>
      <c r="N276" t="s">
        <v>178</v>
      </c>
      <c r="O276" t="s">
        <v>179</v>
      </c>
      <c r="P276">
        <v>3</v>
      </c>
      <c r="Q276" t="s">
        <v>180</v>
      </c>
    </row>
    <row r="277" spans="1:17" s="3" customFormat="1">
      <c r="A277" s="82">
        <v>2.9023344745370369E-2</v>
      </c>
      <c r="B277" t="s">
        <v>46</v>
      </c>
      <c r="C277"/>
      <c r="D277"/>
      <c r="E277" t="s">
        <v>160</v>
      </c>
      <c r="F277" t="s">
        <v>516</v>
      </c>
      <c r="G277" t="s">
        <v>47</v>
      </c>
      <c r="H277"/>
      <c r="I277" s="159">
        <v>46300.396724537037</v>
      </c>
      <c r="J277" t="s">
        <v>587</v>
      </c>
      <c r="K277" t="s">
        <v>388</v>
      </c>
      <c r="L277" s="158">
        <v>46299</v>
      </c>
      <c r="M277" t="s">
        <v>586</v>
      </c>
      <c r="N277" t="s">
        <v>178</v>
      </c>
      <c r="O277" t="s">
        <v>179</v>
      </c>
      <c r="P277">
        <v>3</v>
      </c>
      <c r="Q277" t="s">
        <v>180</v>
      </c>
    </row>
    <row r="278" spans="1:17" s="3" customFormat="1">
      <c r="A278" s="82">
        <v>2.8905570625000002E-2</v>
      </c>
      <c r="B278" t="s">
        <v>46</v>
      </c>
      <c r="C278"/>
      <c r="D278"/>
      <c r="E278" t="s">
        <v>231</v>
      </c>
      <c r="F278"/>
      <c r="G278" t="s">
        <v>113</v>
      </c>
      <c r="H278"/>
      <c r="I278" s="159">
        <v>46300.396134259259</v>
      </c>
      <c r="J278" t="s">
        <v>587</v>
      </c>
      <c r="K278" t="s">
        <v>388</v>
      </c>
      <c r="L278" s="158">
        <v>46299</v>
      </c>
      <c r="M278" t="s">
        <v>586</v>
      </c>
      <c r="N278" t="s">
        <v>178</v>
      </c>
      <c r="O278" t="s">
        <v>179</v>
      </c>
      <c r="P278">
        <v>3</v>
      </c>
      <c r="Q278" t="s">
        <v>180</v>
      </c>
    </row>
    <row r="279" spans="1:17" s="3" customFormat="1">
      <c r="A279" s="82">
        <v>2.8834923425925925E-2</v>
      </c>
      <c r="B279" t="s">
        <v>46</v>
      </c>
      <c r="C279"/>
      <c r="D279"/>
      <c r="E279" t="s">
        <v>54</v>
      </c>
      <c r="F279"/>
      <c r="G279" t="s">
        <v>113</v>
      </c>
      <c r="H279"/>
      <c r="I279" s="159">
        <v>46300.395891203705</v>
      </c>
      <c r="J279" t="s">
        <v>587</v>
      </c>
      <c r="K279" t="s">
        <v>388</v>
      </c>
      <c r="L279" s="158">
        <v>46299</v>
      </c>
      <c r="M279" t="s">
        <v>586</v>
      </c>
      <c r="N279" t="s">
        <v>178</v>
      </c>
      <c r="O279" t="s">
        <v>179</v>
      </c>
      <c r="P279">
        <v>3</v>
      </c>
      <c r="Q279" t="s">
        <v>180</v>
      </c>
    </row>
    <row r="280" spans="1:17" s="3" customFormat="1">
      <c r="A280" s="82">
        <v>2.8549662847222219E-2</v>
      </c>
      <c r="B280" t="s">
        <v>46</v>
      </c>
      <c r="C280" t="s">
        <v>511</v>
      </c>
      <c r="D280"/>
      <c r="E280" t="s">
        <v>61</v>
      </c>
      <c r="F280"/>
      <c r="G280" t="s">
        <v>47</v>
      </c>
      <c r="H280"/>
      <c r="I280" s="159">
        <v>46300.395798611113</v>
      </c>
      <c r="J280" t="s">
        <v>587</v>
      </c>
      <c r="K280" t="s">
        <v>388</v>
      </c>
      <c r="L280" s="158">
        <v>46299</v>
      </c>
      <c r="M280" t="s">
        <v>586</v>
      </c>
      <c r="N280" t="s">
        <v>178</v>
      </c>
      <c r="O280" t="s">
        <v>179</v>
      </c>
      <c r="P280">
        <v>3</v>
      </c>
      <c r="Q280" t="s">
        <v>180</v>
      </c>
    </row>
    <row r="281" spans="1:17" s="3" customFormat="1">
      <c r="A281" s="82">
        <v>2.846673398148148E-2</v>
      </c>
      <c r="B281" t="s">
        <v>46</v>
      </c>
      <c r="C281"/>
      <c r="D281"/>
      <c r="E281" t="s">
        <v>53</v>
      </c>
      <c r="F281"/>
      <c r="G281" t="s">
        <v>47</v>
      </c>
      <c r="H281"/>
      <c r="I281" s="159">
        <v>46300.395312499997</v>
      </c>
      <c r="J281" t="s">
        <v>587</v>
      </c>
      <c r="K281" t="s">
        <v>388</v>
      </c>
      <c r="L281" s="158">
        <v>46299</v>
      </c>
      <c r="M281" t="s">
        <v>586</v>
      </c>
      <c r="N281" t="s">
        <v>178</v>
      </c>
      <c r="O281" t="s">
        <v>179</v>
      </c>
      <c r="P281">
        <v>3</v>
      </c>
      <c r="Q281" t="s">
        <v>180</v>
      </c>
    </row>
    <row r="282" spans="1:17" s="3" customFormat="1">
      <c r="A282" s="82">
        <v>2.8102506006944448E-2</v>
      </c>
      <c r="B282" t="s">
        <v>46</v>
      </c>
      <c r="C282"/>
      <c r="D282"/>
      <c r="E282" t="s">
        <v>37</v>
      </c>
      <c r="F282"/>
      <c r="G282" t="s">
        <v>113</v>
      </c>
      <c r="H282"/>
      <c r="I282" s="159">
        <v>46300.395243055558</v>
      </c>
      <c r="J282" t="s">
        <v>587</v>
      </c>
      <c r="K282" t="s">
        <v>388</v>
      </c>
      <c r="L282" s="158">
        <v>46299</v>
      </c>
      <c r="M282" t="s">
        <v>586</v>
      </c>
      <c r="N282" t="s">
        <v>178</v>
      </c>
      <c r="O282" t="s">
        <v>179</v>
      </c>
      <c r="P282">
        <v>3</v>
      </c>
      <c r="Q282" t="s">
        <v>180</v>
      </c>
    </row>
    <row r="283" spans="1:17" s="3" customFormat="1">
      <c r="A283" s="82">
        <v>2.8045545196759256E-2</v>
      </c>
      <c r="B283" t="s">
        <v>46</v>
      </c>
      <c r="C283"/>
      <c r="D283"/>
      <c r="E283" t="s">
        <v>133</v>
      </c>
      <c r="F283"/>
      <c r="G283" t="s">
        <v>113</v>
      </c>
      <c r="H283"/>
      <c r="I283" s="159">
        <v>46300.395162037035</v>
      </c>
      <c r="J283" t="s">
        <v>587</v>
      </c>
      <c r="K283" t="s">
        <v>388</v>
      </c>
      <c r="L283" s="158">
        <v>46299</v>
      </c>
      <c r="M283" t="s">
        <v>586</v>
      </c>
      <c r="N283" t="s">
        <v>178</v>
      </c>
      <c r="O283" t="s">
        <v>179</v>
      </c>
      <c r="P283">
        <v>3</v>
      </c>
      <c r="Q283" t="s">
        <v>180</v>
      </c>
    </row>
    <row r="284" spans="1:17" s="3" customFormat="1">
      <c r="A284" s="82">
        <v>2.8045545196759256E-2</v>
      </c>
      <c r="B284" t="s">
        <v>46</v>
      </c>
      <c r="C284"/>
      <c r="D284"/>
      <c r="E284" t="s">
        <v>50</v>
      </c>
      <c r="F284"/>
      <c r="G284" t="s">
        <v>113</v>
      </c>
      <c r="H284"/>
      <c r="I284" s="159">
        <v>46300.395138888889</v>
      </c>
      <c r="J284" t="s">
        <v>587</v>
      </c>
      <c r="K284" t="s">
        <v>388</v>
      </c>
      <c r="L284" s="158">
        <v>46299</v>
      </c>
      <c r="M284" t="s">
        <v>586</v>
      </c>
      <c r="N284" t="s">
        <v>178</v>
      </c>
      <c r="O284" t="s">
        <v>179</v>
      </c>
      <c r="P284">
        <v>3</v>
      </c>
      <c r="Q284" t="s">
        <v>180</v>
      </c>
    </row>
    <row r="285" spans="1:17" s="3" customFormat="1">
      <c r="A285" s="82">
        <v>2.7395012488425925E-2</v>
      </c>
      <c r="B285" t="s">
        <v>46</v>
      </c>
      <c r="C285"/>
      <c r="D285"/>
      <c r="E285" t="s">
        <v>37</v>
      </c>
      <c r="F285"/>
      <c r="G285" t="s">
        <v>47</v>
      </c>
      <c r="H285"/>
      <c r="I285" s="159">
        <v>46300.394652777781</v>
      </c>
      <c r="J285" t="s">
        <v>587</v>
      </c>
      <c r="K285" t="s">
        <v>388</v>
      </c>
      <c r="L285" s="158">
        <v>46299</v>
      </c>
      <c r="M285" t="s">
        <v>586</v>
      </c>
      <c r="N285" t="s">
        <v>178</v>
      </c>
      <c r="O285" t="s">
        <v>179</v>
      </c>
      <c r="P285">
        <v>3</v>
      </c>
      <c r="Q285" t="s">
        <v>180</v>
      </c>
    </row>
    <row r="286" spans="1:17" s="3" customFormat="1">
      <c r="A286" s="82">
        <v>2.7395012488425925E-2</v>
      </c>
      <c r="B286" t="s">
        <v>46</v>
      </c>
      <c r="C286"/>
      <c r="D286"/>
      <c r="E286" t="s">
        <v>160</v>
      </c>
      <c r="F286" t="s">
        <v>534</v>
      </c>
      <c r="G286" t="s">
        <v>47</v>
      </c>
      <c r="H286"/>
      <c r="I286" s="159">
        <v>46300.394652777781</v>
      </c>
      <c r="J286" t="s">
        <v>587</v>
      </c>
      <c r="K286" t="s">
        <v>388</v>
      </c>
      <c r="L286" s="158">
        <v>46299</v>
      </c>
      <c r="M286" t="s">
        <v>586</v>
      </c>
      <c r="N286" t="s">
        <v>178</v>
      </c>
      <c r="O286" t="s">
        <v>179</v>
      </c>
      <c r="P286">
        <v>3</v>
      </c>
      <c r="Q286" t="s">
        <v>180</v>
      </c>
    </row>
    <row r="287" spans="1:17" s="3" customFormat="1">
      <c r="A287" s="82">
        <v>2.7318129155092595E-2</v>
      </c>
      <c r="B287" t="s">
        <v>46</v>
      </c>
      <c r="C287"/>
      <c r="D287"/>
      <c r="E287" t="s">
        <v>133</v>
      </c>
      <c r="F287"/>
      <c r="G287" t="s">
        <v>47</v>
      </c>
      <c r="H287"/>
      <c r="I287" s="159">
        <v>46300.394444444442</v>
      </c>
      <c r="J287" t="s">
        <v>587</v>
      </c>
      <c r="K287" t="s">
        <v>388</v>
      </c>
      <c r="L287" s="158">
        <v>46299</v>
      </c>
      <c r="M287" t="s">
        <v>586</v>
      </c>
      <c r="N287" t="s">
        <v>178</v>
      </c>
      <c r="O287" t="s">
        <v>179</v>
      </c>
      <c r="P287">
        <v>3</v>
      </c>
      <c r="Q287" t="s">
        <v>180</v>
      </c>
    </row>
    <row r="288" spans="1:17" s="3" customFormat="1">
      <c r="A288" s="82">
        <v>2.715585704861111E-2</v>
      </c>
      <c r="B288" t="s">
        <v>46</v>
      </c>
      <c r="C288" t="s">
        <v>494</v>
      </c>
      <c r="D288"/>
      <c r="E288" t="s">
        <v>406</v>
      </c>
      <c r="F288"/>
      <c r="G288" t="s">
        <v>47</v>
      </c>
      <c r="H288"/>
      <c r="I288" s="159">
        <v>46300.394236111111</v>
      </c>
      <c r="J288" t="s">
        <v>587</v>
      </c>
      <c r="K288" t="s">
        <v>388</v>
      </c>
      <c r="L288" s="158">
        <v>46299</v>
      </c>
      <c r="M288" t="s">
        <v>586</v>
      </c>
      <c r="N288" t="s">
        <v>178</v>
      </c>
      <c r="O288" t="s">
        <v>179</v>
      </c>
      <c r="P288">
        <v>3</v>
      </c>
      <c r="Q288" t="s">
        <v>180</v>
      </c>
    </row>
    <row r="289" spans="1:17" s="3" customFormat="1">
      <c r="A289" s="82">
        <v>2.7080575902777779E-2</v>
      </c>
      <c r="B289" t="s">
        <v>46</v>
      </c>
      <c r="C289" t="s">
        <v>511</v>
      </c>
      <c r="D289"/>
      <c r="E289" t="s">
        <v>406</v>
      </c>
      <c r="F289"/>
      <c r="G289" t="s">
        <v>47</v>
      </c>
      <c r="H289"/>
      <c r="I289" s="159">
        <v>46300.394108796296</v>
      </c>
      <c r="J289" t="s">
        <v>587</v>
      </c>
      <c r="K289" t="s">
        <v>388</v>
      </c>
      <c r="L289" s="158">
        <v>46299</v>
      </c>
      <c r="M289" t="s">
        <v>586</v>
      </c>
      <c r="N289" t="s">
        <v>178</v>
      </c>
      <c r="O289" t="s">
        <v>179</v>
      </c>
      <c r="P289">
        <v>3</v>
      </c>
      <c r="Q289" t="s">
        <v>180</v>
      </c>
    </row>
    <row r="290" spans="1:17" s="3" customFormat="1">
      <c r="A290" s="82">
        <v>2.6987909444444444E-2</v>
      </c>
      <c r="B290" t="s">
        <v>46</v>
      </c>
      <c r="C290" t="s">
        <v>486</v>
      </c>
      <c r="D290"/>
      <c r="E290" t="s">
        <v>406</v>
      </c>
      <c r="F290"/>
      <c r="G290" t="s">
        <v>47</v>
      </c>
      <c r="H290"/>
      <c r="I290" s="159">
        <v>46300.393993055557</v>
      </c>
      <c r="J290" t="s">
        <v>587</v>
      </c>
      <c r="K290" t="s">
        <v>388</v>
      </c>
      <c r="L290" s="158">
        <v>46299</v>
      </c>
      <c r="M290" t="s">
        <v>586</v>
      </c>
      <c r="N290" t="s">
        <v>178</v>
      </c>
      <c r="O290" t="s">
        <v>179</v>
      </c>
      <c r="P290">
        <v>3</v>
      </c>
      <c r="Q290" t="s">
        <v>180</v>
      </c>
    </row>
    <row r="291" spans="1:17" s="3" customFormat="1">
      <c r="A291" s="82">
        <v>2.6876747372685184E-2</v>
      </c>
      <c r="B291" t="s">
        <v>46</v>
      </c>
      <c r="C291" t="s">
        <v>492</v>
      </c>
      <c r="D291"/>
      <c r="E291" t="s">
        <v>249</v>
      </c>
      <c r="F291"/>
      <c r="G291" t="s">
        <v>47</v>
      </c>
      <c r="H291"/>
      <c r="I291" s="159">
        <v>46300.393541666665</v>
      </c>
      <c r="J291" t="s">
        <v>587</v>
      </c>
      <c r="K291" t="s">
        <v>388</v>
      </c>
      <c r="L291" s="158">
        <v>46299</v>
      </c>
      <c r="M291" t="s">
        <v>586</v>
      </c>
      <c r="N291" t="s">
        <v>178</v>
      </c>
      <c r="O291" t="s">
        <v>179</v>
      </c>
      <c r="P291">
        <v>3</v>
      </c>
      <c r="Q291" t="s">
        <v>180</v>
      </c>
    </row>
    <row r="292" spans="1:17" s="3" customFormat="1">
      <c r="A292" s="82">
        <v>2.6804746932870372E-2</v>
      </c>
      <c r="B292" t="s">
        <v>46</v>
      </c>
      <c r="C292" t="s">
        <v>511</v>
      </c>
      <c r="D292"/>
      <c r="E292" t="s">
        <v>407</v>
      </c>
      <c r="F292"/>
      <c r="G292" t="s">
        <v>47</v>
      </c>
      <c r="H292"/>
      <c r="I292" s="159">
        <v>46300.391550925924</v>
      </c>
      <c r="J292" t="s">
        <v>587</v>
      </c>
      <c r="K292" t="s">
        <v>388</v>
      </c>
      <c r="L292" s="158">
        <v>46299</v>
      </c>
      <c r="M292" t="s">
        <v>586</v>
      </c>
      <c r="N292" t="s">
        <v>178</v>
      </c>
      <c r="O292" t="s">
        <v>179</v>
      </c>
      <c r="P292">
        <v>3</v>
      </c>
      <c r="Q292" t="s">
        <v>180</v>
      </c>
    </row>
    <row r="293" spans="1:17" s="3" customFormat="1">
      <c r="A293" s="82">
        <v>2.6752695532407406E-2</v>
      </c>
      <c r="B293" t="s">
        <v>46</v>
      </c>
      <c r="C293" t="s">
        <v>487</v>
      </c>
      <c r="D293"/>
      <c r="E293" t="s">
        <v>407</v>
      </c>
      <c r="F293"/>
      <c r="G293" t="s">
        <v>47</v>
      </c>
      <c r="H293"/>
      <c r="I293" s="159">
        <v>46300.391446759262</v>
      </c>
      <c r="J293" t="s">
        <v>587</v>
      </c>
      <c r="K293" t="s">
        <v>388</v>
      </c>
      <c r="L293" s="158">
        <v>46299</v>
      </c>
      <c r="M293" t="s">
        <v>586</v>
      </c>
      <c r="N293" t="s">
        <v>178</v>
      </c>
      <c r="O293" t="s">
        <v>179</v>
      </c>
      <c r="P293">
        <v>3</v>
      </c>
      <c r="Q293" t="s">
        <v>180</v>
      </c>
    </row>
    <row r="294" spans="1:17" s="3" customFormat="1">
      <c r="A294" s="82">
        <v>2.6713173831018518E-2</v>
      </c>
      <c r="B294" t="s">
        <v>46</v>
      </c>
      <c r="C294"/>
      <c r="D294"/>
      <c r="E294" t="s">
        <v>60</v>
      </c>
      <c r="F294"/>
      <c r="G294" t="s">
        <v>47</v>
      </c>
      <c r="H294"/>
      <c r="I294" s="159">
        <v>46300.391365740739</v>
      </c>
      <c r="J294" t="s">
        <v>587</v>
      </c>
      <c r="K294" t="s">
        <v>388</v>
      </c>
      <c r="L294" s="158">
        <v>46299</v>
      </c>
      <c r="M294" t="s">
        <v>586</v>
      </c>
      <c r="N294" t="s">
        <v>178</v>
      </c>
      <c r="O294" t="s">
        <v>179</v>
      </c>
      <c r="P294">
        <v>3</v>
      </c>
      <c r="Q294" t="s">
        <v>180</v>
      </c>
    </row>
    <row r="295" spans="1:17" s="3" customFormat="1">
      <c r="A295" s="82">
        <v>2.6617864942129629E-2</v>
      </c>
      <c r="B295" t="s">
        <v>46</v>
      </c>
      <c r="C295"/>
      <c r="D295"/>
      <c r="E295" t="s">
        <v>54</v>
      </c>
      <c r="F295"/>
      <c r="G295" t="s">
        <v>47</v>
      </c>
      <c r="H295"/>
      <c r="I295" s="159">
        <v>46300.391087962962</v>
      </c>
      <c r="J295" t="s">
        <v>587</v>
      </c>
      <c r="K295" t="s">
        <v>388</v>
      </c>
      <c r="L295" s="158">
        <v>46299</v>
      </c>
      <c r="M295" t="s">
        <v>586</v>
      </c>
      <c r="N295" t="s">
        <v>178</v>
      </c>
      <c r="O295" t="s">
        <v>179</v>
      </c>
      <c r="P295">
        <v>3</v>
      </c>
      <c r="Q295" t="s">
        <v>180</v>
      </c>
    </row>
    <row r="296" spans="1:17" s="3" customFormat="1">
      <c r="A296" s="82">
        <v>2.6280500613425926E-2</v>
      </c>
      <c r="B296" t="s">
        <v>46</v>
      </c>
      <c r="C296"/>
      <c r="D296"/>
      <c r="E296" t="s">
        <v>221</v>
      </c>
      <c r="F296"/>
      <c r="G296" t="s">
        <v>113</v>
      </c>
      <c r="H296"/>
      <c r="I296" s="159">
        <v>46300.390983796293</v>
      </c>
      <c r="J296" t="s">
        <v>587</v>
      </c>
      <c r="K296" t="s">
        <v>388</v>
      </c>
      <c r="L296" s="158">
        <v>46299</v>
      </c>
      <c r="M296" t="s">
        <v>586</v>
      </c>
      <c r="N296" t="s">
        <v>178</v>
      </c>
      <c r="O296" t="s">
        <v>179</v>
      </c>
      <c r="P296">
        <v>3</v>
      </c>
      <c r="Q296" t="s">
        <v>180</v>
      </c>
    </row>
    <row r="297" spans="1:17" s="3" customFormat="1">
      <c r="A297" s="82">
        <v>2.6203578368055556E-2</v>
      </c>
      <c r="B297" t="s">
        <v>46</v>
      </c>
      <c r="C297"/>
      <c r="D297"/>
      <c r="E297" t="s">
        <v>53</v>
      </c>
      <c r="F297"/>
      <c r="G297" t="s">
        <v>47</v>
      </c>
      <c r="H297"/>
      <c r="I297" s="159">
        <v>46300.390636574077</v>
      </c>
      <c r="J297" t="s">
        <v>587</v>
      </c>
      <c r="K297" t="s">
        <v>388</v>
      </c>
      <c r="L297" s="158">
        <v>46299</v>
      </c>
      <c r="M297" t="s">
        <v>586</v>
      </c>
      <c r="N297" t="s">
        <v>178</v>
      </c>
      <c r="O297" t="s">
        <v>179</v>
      </c>
      <c r="P297">
        <v>3</v>
      </c>
      <c r="Q297" t="s">
        <v>180</v>
      </c>
    </row>
    <row r="298" spans="1:17" s="3" customFormat="1">
      <c r="A298" s="82">
        <v>2.5613963113425925E-2</v>
      </c>
      <c r="B298" t="s">
        <v>46</v>
      </c>
      <c r="C298"/>
      <c r="D298"/>
      <c r="E298" t="s">
        <v>37</v>
      </c>
      <c r="F298"/>
      <c r="G298" t="s">
        <v>47</v>
      </c>
      <c r="H298"/>
      <c r="I298" s="159">
        <v>46300.390590277777</v>
      </c>
      <c r="J298" t="s">
        <v>587</v>
      </c>
      <c r="K298" t="s">
        <v>388</v>
      </c>
      <c r="L298" s="158">
        <v>46299</v>
      </c>
      <c r="M298" t="s">
        <v>586</v>
      </c>
      <c r="N298" t="s">
        <v>178</v>
      </c>
      <c r="O298" t="s">
        <v>179</v>
      </c>
      <c r="P298">
        <v>3</v>
      </c>
      <c r="Q298" t="s">
        <v>180</v>
      </c>
    </row>
    <row r="299" spans="1:17" s="3" customFormat="1">
      <c r="A299" s="82">
        <v>2.5550938125000002E-2</v>
      </c>
      <c r="B299" t="s">
        <v>46</v>
      </c>
      <c r="C299"/>
      <c r="D299"/>
      <c r="E299" t="s">
        <v>133</v>
      </c>
      <c r="F299"/>
      <c r="G299" t="s">
        <v>47</v>
      </c>
      <c r="H299"/>
      <c r="I299" s="159">
        <v>46300.390532407408</v>
      </c>
      <c r="J299" t="s">
        <v>587</v>
      </c>
      <c r="K299" t="s">
        <v>388</v>
      </c>
      <c r="L299" s="158">
        <v>46299</v>
      </c>
      <c r="M299" t="s">
        <v>586</v>
      </c>
      <c r="N299" t="s">
        <v>178</v>
      </c>
      <c r="O299" t="s">
        <v>179</v>
      </c>
      <c r="P299">
        <v>3</v>
      </c>
      <c r="Q299" t="s">
        <v>180</v>
      </c>
    </row>
    <row r="300" spans="1:17" s="3" customFormat="1">
      <c r="A300" s="82">
        <v>2.5531042916666663E-2</v>
      </c>
      <c r="B300" t="s">
        <v>46</v>
      </c>
      <c r="C300"/>
      <c r="D300"/>
      <c r="E300" t="s">
        <v>135</v>
      </c>
      <c r="F300"/>
      <c r="G300" t="s">
        <v>47</v>
      </c>
      <c r="H300"/>
      <c r="I300" s="159">
        <v>46300.390509259261</v>
      </c>
      <c r="J300" t="s">
        <v>587</v>
      </c>
      <c r="K300" t="s">
        <v>388</v>
      </c>
      <c r="L300" s="158">
        <v>46299</v>
      </c>
      <c r="M300" t="s">
        <v>586</v>
      </c>
      <c r="N300" t="s">
        <v>178</v>
      </c>
      <c r="O300" t="s">
        <v>179</v>
      </c>
      <c r="P300">
        <v>3</v>
      </c>
      <c r="Q300" t="s">
        <v>180</v>
      </c>
    </row>
    <row r="301" spans="1:17" s="3" customFormat="1">
      <c r="A301" s="82">
        <v>2.549109185185185E-2</v>
      </c>
      <c r="B301" t="s">
        <v>46</v>
      </c>
      <c r="C301"/>
      <c r="D301"/>
      <c r="E301" t="s">
        <v>133</v>
      </c>
      <c r="F301"/>
      <c r="G301" t="s">
        <v>113</v>
      </c>
      <c r="H301"/>
      <c r="I301" s="159">
        <v>46300.390474537038</v>
      </c>
      <c r="J301" t="s">
        <v>587</v>
      </c>
      <c r="K301" t="s">
        <v>388</v>
      </c>
      <c r="L301" s="158">
        <v>46299</v>
      </c>
      <c r="M301" t="s">
        <v>586</v>
      </c>
      <c r="N301" t="s">
        <v>178</v>
      </c>
      <c r="O301" t="s">
        <v>179</v>
      </c>
      <c r="P301">
        <v>3</v>
      </c>
      <c r="Q301" t="s">
        <v>180</v>
      </c>
    </row>
    <row r="302" spans="1:17" s="3" customFormat="1">
      <c r="A302" s="82">
        <v>2.5458350347222224E-2</v>
      </c>
      <c r="B302" t="s">
        <v>46</v>
      </c>
      <c r="C302"/>
      <c r="D302"/>
      <c r="E302" t="s">
        <v>137</v>
      </c>
      <c r="F302"/>
      <c r="G302" t="s">
        <v>113</v>
      </c>
      <c r="H302"/>
      <c r="I302" s="159">
        <v>46300.390439814815</v>
      </c>
      <c r="J302" t="s">
        <v>587</v>
      </c>
      <c r="K302" t="s">
        <v>388</v>
      </c>
      <c r="L302" s="158">
        <v>46299</v>
      </c>
      <c r="M302" t="s">
        <v>586</v>
      </c>
      <c r="N302" t="s">
        <v>178</v>
      </c>
      <c r="O302" t="s">
        <v>179</v>
      </c>
      <c r="P302">
        <v>3</v>
      </c>
      <c r="Q302" t="s">
        <v>180</v>
      </c>
    </row>
    <row r="303" spans="1:17" s="3" customFormat="1">
      <c r="A303" s="82">
        <v>2.5438760231481481E-2</v>
      </c>
      <c r="B303" t="s">
        <v>46</v>
      </c>
      <c r="C303"/>
      <c r="D303"/>
      <c r="E303" t="s">
        <v>133</v>
      </c>
      <c r="F303"/>
      <c r="G303" t="s">
        <v>47</v>
      </c>
      <c r="H303"/>
      <c r="I303" s="159">
        <v>46300.390416666669</v>
      </c>
      <c r="J303" t="s">
        <v>587</v>
      </c>
      <c r="K303" t="s">
        <v>388</v>
      </c>
      <c r="L303" s="158">
        <v>46299</v>
      </c>
      <c r="M303" t="s">
        <v>586</v>
      </c>
      <c r="N303" t="s">
        <v>178</v>
      </c>
      <c r="O303" t="s">
        <v>179</v>
      </c>
      <c r="P303">
        <v>3</v>
      </c>
      <c r="Q303" t="s">
        <v>180</v>
      </c>
    </row>
    <row r="304" spans="1:17" s="3" customFormat="1">
      <c r="A304" s="82">
        <v>2.5331041203703702E-2</v>
      </c>
      <c r="B304" t="s">
        <v>46</v>
      </c>
      <c r="C304" t="s">
        <v>491</v>
      </c>
      <c r="D304"/>
      <c r="E304" t="s">
        <v>407</v>
      </c>
      <c r="F304"/>
      <c r="G304" t="s">
        <v>47</v>
      </c>
      <c r="H304"/>
      <c r="I304" s="159">
        <v>46300.390266203707</v>
      </c>
      <c r="J304" t="s">
        <v>587</v>
      </c>
      <c r="K304" t="s">
        <v>388</v>
      </c>
      <c r="L304" s="158">
        <v>46299</v>
      </c>
      <c r="M304" t="s">
        <v>586</v>
      </c>
      <c r="N304" t="s">
        <v>178</v>
      </c>
      <c r="O304" t="s">
        <v>179</v>
      </c>
      <c r="P304">
        <v>3</v>
      </c>
      <c r="Q304" t="s">
        <v>180</v>
      </c>
    </row>
    <row r="305" spans="1:17" s="3" customFormat="1">
      <c r="A305" s="82">
        <v>2.5247332256944442E-2</v>
      </c>
      <c r="B305" t="s">
        <v>46</v>
      </c>
      <c r="C305" t="s">
        <v>487</v>
      </c>
      <c r="D305"/>
      <c r="E305" t="s">
        <v>407</v>
      </c>
      <c r="F305"/>
      <c r="G305" t="s">
        <v>47</v>
      </c>
      <c r="H305"/>
      <c r="I305" s="159">
        <v>46300.389270833337</v>
      </c>
      <c r="J305" t="s">
        <v>587</v>
      </c>
      <c r="K305" t="s">
        <v>388</v>
      </c>
      <c r="L305" s="158">
        <v>46299</v>
      </c>
      <c r="M305" t="s">
        <v>586</v>
      </c>
      <c r="N305" t="s">
        <v>178</v>
      </c>
      <c r="O305" t="s">
        <v>179</v>
      </c>
      <c r="P305">
        <v>3</v>
      </c>
      <c r="Q305" t="s">
        <v>180</v>
      </c>
    </row>
    <row r="306" spans="1:17" s="3" customFormat="1">
      <c r="A306" s="82">
        <v>2.5204225034722222E-2</v>
      </c>
      <c r="B306" t="s">
        <v>46</v>
      </c>
      <c r="C306"/>
      <c r="D306"/>
      <c r="E306" t="s">
        <v>135</v>
      </c>
      <c r="F306"/>
      <c r="G306" t="s">
        <v>47</v>
      </c>
      <c r="H306"/>
      <c r="I306" s="159">
        <v>46300.389224537037</v>
      </c>
      <c r="J306" t="s">
        <v>587</v>
      </c>
      <c r="K306" t="s">
        <v>388</v>
      </c>
      <c r="L306" s="158">
        <v>46299</v>
      </c>
      <c r="M306" t="s">
        <v>586</v>
      </c>
      <c r="N306" t="s">
        <v>178</v>
      </c>
      <c r="O306" t="s">
        <v>179</v>
      </c>
      <c r="P306">
        <v>3</v>
      </c>
      <c r="Q306" t="s">
        <v>180</v>
      </c>
    </row>
    <row r="307" spans="1:17" s="3" customFormat="1">
      <c r="A307" s="82">
        <v>2.5179669594907406E-2</v>
      </c>
      <c r="B307" t="s">
        <v>46</v>
      </c>
      <c r="C307"/>
      <c r="D307"/>
      <c r="E307" t="s">
        <v>49</v>
      </c>
      <c r="F307"/>
      <c r="G307" t="s">
        <v>113</v>
      </c>
      <c r="H307"/>
      <c r="I307" s="159">
        <v>46300.389201388891</v>
      </c>
      <c r="J307" t="s">
        <v>587</v>
      </c>
      <c r="K307" t="s">
        <v>388</v>
      </c>
      <c r="L307" s="158">
        <v>46299</v>
      </c>
      <c r="M307" t="s">
        <v>586</v>
      </c>
      <c r="N307" t="s">
        <v>178</v>
      </c>
      <c r="O307" t="s">
        <v>179</v>
      </c>
      <c r="P307">
        <v>3</v>
      </c>
      <c r="Q307" t="s">
        <v>180</v>
      </c>
    </row>
    <row r="308" spans="1:17" s="3" customFormat="1">
      <c r="A308" s="82">
        <v>2.4057348819444446E-2</v>
      </c>
      <c r="B308" t="s">
        <v>46</v>
      </c>
      <c r="C308"/>
      <c r="D308"/>
      <c r="E308" t="s">
        <v>37</v>
      </c>
      <c r="F308"/>
      <c r="G308" t="s">
        <v>113</v>
      </c>
      <c r="H308"/>
      <c r="I308" s="159">
        <v>46300.388784722221</v>
      </c>
      <c r="J308" t="s">
        <v>587</v>
      </c>
      <c r="K308" t="s">
        <v>388</v>
      </c>
      <c r="L308" s="158">
        <v>46299</v>
      </c>
      <c r="M308" t="s">
        <v>586</v>
      </c>
      <c r="N308" t="s">
        <v>178</v>
      </c>
      <c r="O308" t="s">
        <v>179</v>
      </c>
      <c r="P308">
        <v>3</v>
      </c>
      <c r="Q308" t="s">
        <v>180</v>
      </c>
    </row>
    <row r="309" spans="1:17" s="3" customFormat="1">
      <c r="A309" s="82">
        <v>2.4057348819444446E-2</v>
      </c>
      <c r="B309" t="s">
        <v>46</v>
      </c>
      <c r="C309" t="s">
        <v>490</v>
      </c>
      <c r="D309"/>
      <c r="E309" t="s">
        <v>52</v>
      </c>
      <c r="F309"/>
      <c r="G309" t="s">
        <v>47</v>
      </c>
      <c r="H309"/>
      <c r="I309" s="159">
        <v>46300.388784722221</v>
      </c>
      <c r="J309" t="s">
        <v>587</v>
      </c>
      <c r="K309" t="s">
        <v>388</v>
      </c>
      <c r="L309" s="158">
        <v>46299</v>
      </c>
      <c r="M309" t="s">
        <v>586</v>
      </c>
      <c r="N309" t="s">
        <v>178</v>
      </c>
      <c r="O309" t="s">
        <v>179</v>
      </c>
      <c r="P309">
        <v>3</v>
      </c>
      <c r="Q309" t="s">
        <v>180</v>
      </c>
    </row>
    <row r="310" spans="1:17" s="3" customFormat="1">
      <c r="A310" s="82">
        <v>2.3906851863425928E-2</v>
      </c>
      <c r="B310" t="s">
        <v>46</v>
      </c>
      <c r="C310" t="s">
        <v>492</v>
      </c>
      <c r="D310"/>
      <c r="E310" t="s">
        <v>406</v>
      </c>
      <c r="F310"/>
      <c r="G310" t="s">
        <v>47</v>
      </c>
      <c r="H310"/>
      <c r="I310" s="159">
        <v>46300.388611111113</v>
      </c>
      <c r="J310" t="s">
        <v>587</v>
      </c>
      <c r="K310" t="s">
        <v>388</v>
      </c>
      <c r="L310" s="158">
        <v>46299</v>
      </c>
      <c r="M310" t="s">
        <v>586</v>
      </c>
      <c r="N310" t="s">
        <v>178</v>
      </c>
      <c r="O310" t="s">
        <v>179</v>
      </c>
      <c r="P310">
        <v>3</v>
      </c>
      <c r="Q310" t="s">
        <v>180</v>
      </c>
    </row>
    <row r="311" spans="1:17" s="3" customFormat="1">
      <c r="A311" s="82">
        <v>2.3836019363425925E-2</v>
      </c>
      <c r="B311" t="s">
        <v>46</v>
      </c>
      <c r="C311" t="s">
        <v>489</v>
      </c>
      <c r="D311"/>
      <c r="E311" t="s">
        <v>249</v>
      </c>
      <c r="F311"/>
      <c r="G311" t="s">
        <v>47</v>
      </c>
      <c r="H311"/>
      <c r="I311" s="159">
        <v>46300.388402777775</v>
      </c>
      <c r="J311" t="s">
        <v>587</v>
      </c>
      <c r="K311" t="s">
        <v>388</v>
      </c>
      <c r="L311" s="158">
        <v>46299</v>
      </c>
      <c r="M311" t="s">
        <v>586</v>
      </c>
      <c r="N311" t="s">
        <v>178</v>
      </c>
      <c r="O311" t="s">
        <v>179</v>
      </c>
      <c r="P311">
        <v>3</v>
      </c>
      <c r="Q311" t="s">
        <v>180</v>
      </c>
    </row>
    <row r="312" spans="1:17" s="3" customFormat="1">
      <c r="A312" s="82">
        <v>2.3741740833333334E-2</v>
      </c>
      <c r="B312" t="s">
        <v>46</v>
      </c>
      <c r="C312" t="s">
        <v>511</v>
      </c>
      <c r="D312"/>
      <c r="E312" t="s">
        <v>407</v>
      </c>
      <c r="F312"/>
      <c r="G312" t="s">
        <v>47</v>
      </c>
      <c r="H312"/>
      <c r="I312" s="159">
        <v>46300.387824074074</v>
      </c>
      <c r="J312" t="s">
        <v>587</v>
      </c>
      <c r="K312" t="s">
        <v>388</v>
      </c>
      <c r="L312" s="158">
        <v>46299</v>
      </c>
      <c r="M312" t="s">
        <v>586</v>
      </c>
      <c r="N312" t="s">
        <v>178</v>
      </c>
      <c r="O312" t="s">
        <v>179</v>
      </c>
      <c r="P312">
        <v>3</v>
      </c>
      <c r="Q312" t="s">
        <v>180</v>
      </c>
    </row>
    <row r="313" spans="1:17" s="3" customFormat="1">
      <c r="A313" s="82">
        <v>2.3626010277777779E-2</v>
      </c>
      <c r="B313" t="s">
        <v>46</v>
      </c>
      <c r="C313" t="s">
        <v>488</v>
      </c>
      <c r="D313"/>
      <c r="E313" t="s">
        <v>406</v>
      </c>
      <c r="F313"/>
      <c r="G313" t="s">
        <v>47</v>
      </c>
      <c r="H313"/>
      <c r="I313" s="159">
        <v>46300.387638888889</v>
      </c>
      <c r="J313" t="s">
        <v>587</v>
      </c>
      <c r="K313" t="s">
        <v>388</v>
      </c>
      <c r="L313" s="158">
        <v>46299</v>
      </c>
      <c r="M313" t="s">
        <v>586</v>
      </c>
      <c r="N313" t="s">
        <v>178</v>
      </c>
      <c r="O313" t="s">
        <v>179</v>
      </c>
      <c r="P313">
        <v>3</v>
      </c>
      <c r="Q313" t="s">
        <v>180</v>
      </c>
    </row>
    <row r="314" spans="1:17" s="3" customFormat="1">
      <c r="A314" s="82">
        <v>2.3510293171296298E-2</v>
      </c>
      <c r="B314" t="s">
        <v>46</v>
      </c>
      <c r="C314" t="s">
        <v>514</v>
      </c>
      <c r="D314"/>
      <c r="E314" t="s">
        <v>249</v>
      </c>
      <c r="F314"/>
      <c r="G314" t="s">
        <v>47</v>
      </c>
      <c r="H314"/>
      <c r="I314" s="159">
        <v>46300.387453703705</v>
      </c>
      <c r="J314" t="s">
        <v>587</v>
      </c>
      <c r="K314" t="s">
        <v>388</v>
      </c>
      <c r="L314" s="158">
        <v>46299</v>
      </c>
      <c r="M314" t="s">
        <v>586</v>
      </c>
      <c r="N314" t="s">
        <v>178</v>
      </c>
      <c r="O314" t="s">
        <v>179</v>
      </c>
      <c r="P314">
        <v>3</v>
      </c>
      <c r="Q314" t="s">
        <v>180</v>
      </c>
    </row>
    <row r="315" spans="1:17" s="3" customFormat="1">
      <c r="A315" s="82">
        <v>2.3472893541666668E-2</v>
      </c>
      <c r="B315" t="s">
        <v>46</v>
      </c>
      <c r="C315"/>
      <c r="D315"/>
      <c r="E315" t="s">
        <v>135</v>
      </c>
      <c r="F315"/>
      <c r="G315" t="s">
        <v>47</v>
      </c>
      <c r="H315"/>
      <c r="I315" s="159">
        <v>46300.387372685182</v>
      </c>
      <c r="J315" t="s">
        <v>587</v>
      </c>
      <c r="K315" t="s">
        <v>388</v>
      </c>
      <c r="L315" s="158">
        <v>46299</v>
      </c>
      <c r="M315" t="s">
        <v>586</v>
      </c>
      <c r="N315" t="s">
        <v>178</v>
      </c>
      <c r="O315" t="s">
        <v>179</v>
      </c>
      <c r="P315">
        <v>3</v>
      </c>
      <c r="Q315" t="s">
        <v>180</v>
      </c>
    </row>
    <row r="316" spans="1:17" s="3" customFormat="1">
      <c r="A316" s="82">
        <v>2.3429917083333335E-2</v>
      </c>
      <c r="B316" t="s">
        <v>46</v>
      </c>
      <c r="C316"/>
      <c r="D316"/>
      <c r="E316" t="s">
        <v>133</v>
      </c>
      <c r="F316"/>
      <c r="G316" t="s">
        <v>113</v>
      </c>
      <c r="H316"/>
      <c r="I316" s="159">
        <v>46300.387326388889</v>
      </c>
      <c r="J316" t="s">
        <v>587</v>
      </c>
      <c r="K316" t="s">
        <v>388</v>
      </c>
      <c r="L316" s="158">
        <v>46299</v>
      </c>
      <c r="M316" t="s">
        <v>586</v>
      </c>
      <c r="N316" t="s">
        <v>178</v>
      </c>
      <c r="O316" t="s">
        <v>179</v>
      </c>
      <c r="P316">
        <v>3</v>
      </c>
      <c r="Q316" t="s">
        <v>180</v>
      </c>
    </row>
    <row r="317" spans="1:17" s="3" customFormat="1">
      <c r="A317" s="82">
        <v>2.3422727488425926E-2</v>
      </c>
      <c r="B317" t="s">
        <v>46</v>
      </c>
      <c r="C317" t="s">
        <v>486</v>
      </c>
      <c r="D317"/>
      <c r="E317" t="s">
        <v>58</v>
      </c>
      <c r="F317"/>
      <c r="G317" t="s">
        <v>47</v>
      </c>
      <c r="H317"/>
      <c r="I317" s="159">
        <v>46300.38726851852</v>
      </c>
      <c r="J317" t="s">
        <v>587</v>
      </c>
      <c r="K317" t="s">
        <v>388</v>
      </c>
      <c r="L317" s="158">
        <v>46299</v>
      </c>
      <c r="M317" t="s">
        <v>586</v>
      </c>
      <c r="N317" t="s">
        <v>178</v>
      </c>
      <c r="O317" t="s">
        <v>179</v>
      </c>
      <c r="P317">
        <v>3</v>
      </c>
      <c r="Q317" t="s">
        <v>180</v>
      </c>
    </row>
    <row r="318" spans="1:17" s="3" customFormat="1">
      <c r="A318" s="82">
        <v>2.3348106759259257E-2</v>
      </c>
      <c r="B318" t="s">
        <v>46</v>
      </c>
      <c r="C318"/>
      <c r="D318"/>
      <c r="E318" t="s">
        <v>53</v>
      </c>
      <c r="F318"/>
      <c r="G318" t="s">
        <v>47</v>
      </c>
      <c r="H318"/>
      <c r="I318" s="159">
        <v>46300.386863425927</v>
      </c>
      <c r="J318" t="s">
        <v>587</v>
      </c>
      <c r="K318" t="s">
        <v>388</v>
      </c>
      <c r="L318" s="158">
        <v>46299</v>
      </c>
      <c r="M318" t="s">
        <v>586</v>
      </c>
      <c r="N318" t="s">
        <v>178</v>
      </c>
      <c r="O318" t="s">
        <v>179</v>
      </c>
      <c r="P318">
        <v>3</v>
      </c>
      <c r="Q318" t="s">
        <v>180</v>
      </c>
    </row>
    <row r="319" spans="1:17" s="3" customFormat="1">
      <c r="A319" s="82">
        <v>2.2563703807870369E-2</v>
      </c>
      <c r="B319" t="s">
        <v>46</v>
      </c>
      <c r="C319"/>
      <c r="D319"/>
      <c r="E319" t="s">
        <v>37</v>
      </c>
      <c r="F319"/>
      <c r="G319" t="s">
        <v>47</v>
      </c>
      <c r="H319"/>
      <c r="I319" s="159">
        <v>46300.386608796296</v>
      </c>
      <c r="J319" t="s">
        <v>587</v>
      </c>
      <c r="K319" t="s">
        <v>388</v>
      </c>
      <c r="L319" s="158">
        <v>46299</v>
      </c>
      <c r="M319" t="s">
        <v>586</v>
      </c>
      <c r="N319" t="s">
        <v>178</v>
      </c>
      <c r="O319" t="s">
        <v>179</v>
      </c>
      <c r="P319">
        <v>3</v>
      </c>
      <c r="Q319" t="s">
        <v>180</v>
      </c>
    </row>
    <row r="320" spans="1:17" s="3" customFormat="1">
      <c r="A320" s="82">
        <v>2.2563703807870369E-2</v>
      </c>
      <c r="B320" t="s">
        <v>46</v>
      </c>
      <c r="C320"/>
      <c r="D320"/>
      <c r="E320" t="s">
        <v>160</v>
      </c>
      <c r="F320" t="s">
        <v>534</v>
      </c>
      <c r="G320" t="s">
        <v>47</v>
      </c>
      <c r="H320"/>
      <c r="I320" s="159">
        <v>46300.386608796296</v>
      </c>
      <c r="J320" t="s">
        <v>587</v>
      </c>
      <c r="K320" t="s">
        <v>388</v>
      </c>
      <c r="L320" s="158">
        <v>46299</v>
      </c>
      <c r="M320" t="s">
        <v>586</v>
      </c>
      <c r="N320" t="s">
        <v>178</v>
      </c>
      <c r="O320" t="s">
        <v>179</v>
      </c>
      <c r="P320">
        <v>3</v>
      </c>
      <c r="Q320" t="s">
        <v>180</v>
      </c>
    </row>
    <row r="321" spans="1:17" s="3" customFormat="1">
      <c r="A321" s="82">
        <v>2.2659058020833331E-2</v>
      </c>
      <c r="B321" t="s">
        <v>46</v>
      </c>
      <c r="C321" t="s">
        <v>511</v>
      </c>
      <c r="D321"/>
      <c r="E321" t="s">
        <v>132</v>
      </c>
      <c r="F321"/>
      <c r="G321" t="s">
        <v>47</v>
      </c>
      <c r="H321"/>
      <c r="I321" s="159">
        <v>46300.385462962964</v>
      </c>
      <c r="J321" t="s">
        <v>587</v>
      </c>
      <c r="K321" t="s">
        <v>388</v>
      </c>
      <c r="L321" s="158">
        <v>46299</v>
      </c>
      <c r="M321" t="s">
        <v>586</v>
      </c>
      <c r="N321" t="s">
        <v>178</v>
      </c>
      <c r="O321" t="s">
        <v>179</v>
      </c>
      <c r="P321">
        <v>3</v>
      </c>
      <c r="Q321" t="s">
        <v>180</v>
      </c>
    </row>
    <row r="322" spans="1:17" s="3" customFormat="1">
      <c r="A322" s="82">
        <v>2.2519890532407407E-2</v>
      </c>
      <c r="B322" t="s">
        <v>46</v>
      </c>
      <c r="C322" t="s">
        <v>486</v>
      </c>
      <c r="D322"/>
      <c r="E322" t="s">
        <v>407</v>
      </c>
      <c r="F322"/>
      <c r="G322" t="s">
        <v>47</v>
      </c>
      <c r="H322"/>
      <c r="I322" s="159">
        <v>46300.382673611108</v>
      </c>
      <c r="J322" t="s">
        <v>587</v>
      </c>
      <c r="K322" t="s">
        <v>388</v>
      </c>
      <c r="L322" s="158">
        <v>46299</v>
      </c>
      <c r="M322" t="s">
        <v>586</v>
      </c>
      <c r="N322" t="s">
        <v>178</v>
      </c>
      <c r="O322" t="s">
        <v>179</v>
      </c>
      <c r="P322">
        <v>3</v>
      </c>
      <c r="Q322" t="s">
        <v>180</v>
      </c>
    </row>
    <row r="323" spans="1:17" s="3" customFormat="1">
      <c r="A323" s="82">
        <v>2.2502518680555555E-2</v>
      </c>
      <c r="B323" t="s">
        <v>46</v>
      </c>
      <c r="C323" t="s">
        <v>492</v>
      </c>
      <c r="D323"/>
      <c r="E323" t="s">
        <v>406</v>
      </c>
      <c r="F323"/>
      <c r="G323" t="s">
        <v>47</v>
      </c>
      <c r="H323"/>
      <c r="I323" s="159">
        <v>46300.382534722223</v>
      </c>
      <c r="J323" t="s">
        <v>587</v>
      </c>
      <c r="K323" t="s">
        <v>388</v>
      </c>
      <c r="L323" s="158">
        <v>46299</v>
      </c>
      <c r="M323" t="s">
        <v>586</v>
      </c>
      <c r="N323" t="s">
        <v>178</v>
      </c>
      <c r="O323" t="s">
        <v>179</v>
      </c>
      <c r="P323">
        <v>3</v>
      </c>
      <c r="Q323" t="s">
        <v>180</v>
      </c>
    </row>
    <row r="324" spans="1:17" s="3" customFormat="1">
      <c r="A324" s="82">
        <v>2.237577271990741E-2</v>
      </c>
      <c r="B324" t="s">
        <v>46</v>
      </c>
      <c r="C324" t="s">
        <v>491</v>
      </c>
      <c r="D324"/>
      <c r="E324" t="s">
        <v>406</v>
      </c>
      <c r="F324"/>
      <c r="G324" t="s">
        <v>47</v>
      </c>
      <c r="H324"/>
      <c r="I324" s="159">
        <v>46300.375416666669</v>
      </c>
      <c r="J324" t="s">
        <v>587</v>
      </c>
      <c r="K324" t="s">
        <v>388</v>
      </c>
      <c r="L324" s="158">
        <v>46299</v>
      </c>
      <c r="M324" t="s">
        <v>586</v>
      </c>
      <c r="N324" t="s">
        <v>178</v>
      </c>
      <c r="O324" t="s">
        <v>179</v>
      </c>
      <c r="P324">
        <v>3</v>
      </c>
      <c r="Q324" t="s">
        <v>180</v>
      </c>
    </row>
    <row r="325" spans="1:17" s="3" customFormat="1">
      <c r="A325" s="82">
        <v>2.2363205150462962E-2</v>
      </c>
      <c r="B325" t="s">
        <v>46</v>
      </c>
      <c r="C325" t="s">
        <v>490</v>
      </c>
      <c r="D325"/>
      <c r="E325" t="s">
        <v>406</v>
      </c>
      <c r="F325"/>
      <c r="G325" t="s">
        <v>47</v>
      </c>
      <c r="H325"/>
      <c r="I325" s="159">
        <v>46300.375277777777</v>
      </c>
      <c r="J325" t="s">
        <v>587</v>
      </c>
      <c r="K325" t="s">
        <v>388</v>
      </c>
      <c r="L325" s="158">
        <v>46299</v>
      </c>
      <c r="M325" t="s">
        <v>586</v>
      </c>
      <c r="N325" t="s">
        <v>178</v>
      </c>
      <c r="O325" t="s">
        <v>179</v>
      </c>
      <c r="P325">
        <v>3</v>
      </c>
      <c r="Q325" t="s">
        <v>180</v>
      </c>
    </row>
    <row r="326" spans="1:17" s="3" customFormat="1">
      <c r="A326" s="82">
        <v>2.214324045138889E-2</v>
      </c>
      <c r="B326" t="s">
        <v>46</v>
      </c>
      <c r="C326" t="s">
        <v>489</v>
      </c>
      <c r="D326"/>
      <c r="E326" t="s">
        <v>407</v>
      </c>
      <c r="F326"/>
      <c r="G326" t="s">
        <v>47</v>
      </c>
      <c r="H326"/>
      <c r="I326" s="159">
        <v>46300.374976851854</v>
      </c>
      <c r="J326" t="s">
        <v>587</v>
      </c>
      <c r="K326" t="s">
        <v>388</v>
      </c>
      <c r="L326" s="158">
        <v>46299</v>
      </c>
      <c r="M326" t="s">
        <v>586</v>
      </c>
      <c r="N326" t="s">
        <v>178</v>
      </c>
      <c r="O326" t="s">
        <v>179</v>
      </c>
      <c r="P326">
        <v>3</v>
      </c>
      <c r="Q326" t="s">
        <v>180</v>
      </c>
    </row>
    <row r="327" spans="1:17" s="3" customFormat="1">
      <c r="A327" s="82">
        <v>2.2058082094907408E-2</v>
      </c>
      <c r="B327" t="s">
        <v>46</v>
      </c>
      <c r="C327" t="s">
        <v>491</v>
      </c>
      <c r="D327"/>
      <c r="E327" t="s">
        <v>407</v>
      </c>
      <c r="F327"/>
      <c r="G327" t="s">
        <v>47</v>
      </c>
      <c r="H327"/>
      <c r="I327" s="159">
        <v>46300.374201388891</v>
      </c>
      <c r="J327" t="s">
        <v>587</v>
      </c>
      <c r="K327" t="s">
        <v>388</v>
      </c>
      <c r="L327" s="158">
        <v>46299</v>
      </c>
      <c r="M327" t="s">
        <v>586</v>
      </c>
      <c r="N327" t="s">
        <v>178</v>
      </c>
      <c r="O327" t="s">
        <v>179</v>
      </c>
      <c r="P327">
        <v>3</v>
      </c>
      <c r="Q327" t="s">
        <v>180</v>
      </c>
    </row>
    <row r="328" spans="1:17" s="3" customFormat="1">
      <c r="A328" s="82">
        <v>2.1923070729166667E-2</v>
      </c>
      <c r="B328" t="s">
        <v>46</v>
      </c>
      <c r="C328"/>
      <c r="D328"/>
      <c r="E328" t="s">
        <v>135</v>
      </c>
      <c r="F328"/>
      <c r="G328" t="s">
        <v>47</v>
      </c>
      <c r="H328"/>
      <c r="I328" s="159">
        <v>46300.373993055553</v>
      </c>
      <c r="J328" t="s">
        <v>587</v>
      </c>
      <c r="K328" t="s">
        <v>388</v>
      </c>
      <c r="L328" s="158">
        <v>46299</v>
      </c>
      <c r="M328" t="s">
        <v>586</v>
      </c>
      <c r="N328" t="s">
        <v>178</v>
      </c>
      <c r="O328" t="s">
        <v>179</v>
      </c>
      <c r="P328">
        <v>3</v>
      </c>
      <c r="Q328" t="s">
        <v>180</v>
      </c>
    </row>
    <row r="329" spans="1:17" s="3" customFormat="1">
      <c r="A329" s="82">
        <v>2.1923070729166667E-2</v>
      </c>
      <c r="B329" t="s">
        <v>46</v>
      </c>
      <c r="C329"/>
      <c r="D329"/>
      <c r="E329" t="s">
        <v>133</v>
      </c>
      <c r="F329"/>
      <c r="G329" t="s">
        <v>113</v>
      </c>
      <c r="H329"/>
      <c r="I329" s="159">
        <v>46300.373981481483</v>
      </c>
      <c r="J329" t="s">
        <v>587</v>
      </c>
      <c r="K329" t="s">
        <v>388</v>
      </c>
      <c r="L329" s="158">
        <v>46299</v>
      </c>
      <c r="M329" t="s">
        <v>586</v>
      </c>
      <c r="N329" t="s">
        <v>178</v>
      </c>
      <c r="O329" t="s">
        <v>179</v>
      </c>
      <c r="P329">
        <v>3</v>
      </c>
      <c r="Q329" t="s">
        <v>180</v>
      </c>
    </row>
    <row r="330" spans="1:17" s="3" customFormat="1">
      <c r="A330" s="82">
        <v>2.1923070729166667E-2</v>
      </c>
      <c r="B330" t="s">
        <v>46</v>
      </c>
      <c r="C330"/>
      <c r="D330"/>
      <c r="E330" t="s">
        <v>50</v>
      </c>
      <c r="F330"/>
      <c r="G330" t="s">
        <v>113</v>
      </c>
      <c r="H330"/>
      <c r="I330" s="159">
        <v>46300.373923611114</v>
      </c>
      <c r="J330" t="s">
        <v>587</v>
      </c>
      <c r="K330" t="s">
        <v>388</v>
      </c>
      <c r="L330" s="158">
        <v>46299</v>
      </c>
      <c r="M330" t="s">
        <v>586</v>
      </c>
      <c r="N330" t="s">
        <v>178</v>
      </c>
      <c r="O330" t="s">
        <v>179</v>
      </c>
      <c r="P330">
        <v>3</v>
      </c>
      <c r="Q330" t="s">
        <v>180</v>
      </c>
    </row>
    <row r="331" spans="1:17" s="3" customFormat="1">
      <c r="A331" s="82">
        <v>2.1483476331018516E-2</v>
      </c>
      <c r="B331" t="s">
        <v>46</v>
      </c>
      <c r="C331"/>
      <c r="D331"/>
      <c r="E331" t="s">
        <v>37</v>
      </c>
      <c r="F331"/>
      <c r="G331" t="s">
        <v>113</v>
      </c>
      <c r="H331"/>
      <c r="I331" s="159">
        <v>46300.372789351852</v>
      </c>
      <c r="J331" t="s">
        <v>587</v>
      </c>
      <c r="K331" t="s">
        <v>388</v>
      </c>
      <c r="L331" s="158">
        <v>46299</v>
      </c>
      <c r="M331" t="s">
        <v>586</v>
      </c>
      <c r="N331" t="s">
        <v>178</v>
      </c>
      <c r="O331" t="s">
        <v>179</v>
      </c>
      <c r="P331">
        <v>3</v>
      </c>
      <c r="Q331" t="s">
        <v>180</v>
      </c>
    </row>
    <row r="332" spans="1:17" s="3" customFormat="1">
      <c r="A332" s="82">
        <v>2.1483476331018516E-2</v>
      </c>
      <c r="B332" t="s">
        <v>46</v>
      </c>
      <c r="C332" t="s">
        <v>487</v>
      </c>
      <c r="D332" t="s">
        <v>153</v>
      </c>
      <c r="E332" t="s">
        <v>161</v>
      </c>
      <c r="F332" t="s">
        <v>156</v>
      </c>
      <c r="G332" t="s">
        <v>113</v>
      </c>
      <c r="H332"/>
      <c r="I332" s="159">
        <v>46300.372789351852</v>
      </c>
      <c r="J332" t="s">
        <v>587</v>
      </c>
      <c r="K332" t="s">
        <v>388</v>
      </c>
      <c r="L332" s="158">
        <v>46299</v>
      </c>
      <c r="M332" t="s">
        <v>586</v>
      </c>
      <c r="N332" t="s">
        <v>178</v>
      </c>
      <c r="O332" t="s">
        <v>179</v>
      </c>
      <c r="P332">
        <v>3</v>
      </c>
      <c r="Q332" t="s">
        <v>180</v>
      </c>
    </row>
    <row r="333" spans="1:17" s="3" customFormat="1">
      <c r="A333" s="82">
        <v>2.1297046851851853E-2</v>
      </c>
      <c r="B333" t="s">
        <v>46</v>
      </c>
      <c r="C333"/>
      <c r="D333"/>
      <c r="E333" t="s">
        <v>135</v>
      </c>
      <c r="F333"/>
      <c r="G333" t="s">
        <v>47</v>
      </c>
      <c r="H333"/>
      <c r="I333" s="159">
        <v>46300.37226851852</v>
      </c>
      <c r="J333" t="s">
        <v>587</v>
      </c>
      <c r="K333" t="s">
        <v>388</v>
      </c>
      <c r="L333" s="158">
        <v>46299</v>
      </c>
      <c r="M333" t="s">
        <v>586</v>
      </c>
      <c r="N333" t="s">
        <v>178</v>
      </c>
      <c r="O333" t="s">
        <v>179</v>
      </c>
      <c r="P333">
        <v>3</v>
      </c>
      <c r="Q333" t="s">
        <v>180</v>
      </c>
    </row>
    <row r="334" spans="1:17" s="3" customFormat="1">
      <c r="A334" s="82">
        <v>2.1231381076388889E-2</v>
      </c>
      <c r="B334" t="s">
        <v>46</v>
      </c>
      <c r="C334"/>
      <c r="D334"/>
      <c r="E334" t="s">
        <v>133</v>
      </c>
      <c r="F334"/>
      <c r="G334" t="s">
        <v>113</v>
      </c>
      <c r="H334"/>
      <c r="I334" s="159">
        <v>46300.372199074074</v>
      </c>
      <c r="J334" t="s">
        <v>587</v>
      </c>
      <c r="K334" t="s">
        <v>388</v>
      </c>
      <c r="L334" s="158">
        <v>46299</v>
      </c>
      <c r="M334" t="s">
        <v>586</v>
      </c>
      <c r="N334" t="s">
        <v>178</v>
      </c>
      <c r="O334" t="s">
        <v>179</v>
      </c>
      <c r="P334">
        <v>3</v>
      </c>
      <c r="Q334" t="s">
        <v>180</v>
      </c>
    </row>
    <row r="335" spans="1:17" s="3" customFormat="1">
      <c r="A335" s="82">
        <v>2.1117704884259261E-2</v>
      </c>
      <c r="B335" t="s">
        <v>46</v>
      </c>
      <c r="C335" t="s">
        <v>485</v>
      </c>
      <c r="D335"/>
      <c r="E335" t="s">
        <v>132</v>
      </c>
      <c r="F335"/>
      <c r="G335" t="s">
        <v>47</v>
      </c>
      <c r="H335"/>
      <c r="I335" s="159">
        <v>46300.372060185182</v>
      </c>
      <c r="J335" t="s">
        <v>587</v>
      </c>
      <c r="K335" t="s">
        <v>388</v>
      </c>
      <c r="L335" s="158">
        <v>46299</v>
      </c>
      <c r="M335" t="s">
        <v>586</v>
      </c>
      <c r="N335" t="s">
        <v>178</v>
      </c>
      <c r="O335" t="s">
        <v>179</v>
      </c>
      <c r="P335">
        <v>3</v>
      </c>
      <c r="Q335" t="s">
        <v>180</v>
      </c>
    </row>
    <row r="336" spans="1:17" s="3" customFormat="1">
      <c r="A336" s="82">
        <v>2.1077025208333332E-2</v>
      </c>
      <c r="B336" t="s">
        <v>46</v>
      </c>
      <c r="C336" t="s">
        <v>485</v>
      </c>
      <c r="D336"/>
      <c r="E336" t="s">
        <v>406</v>
      </c>
      <c r="F336"/>
      <c r="G336" t="s">
        <v>47</v>
      </c>
      <c r="H336"/>
      <c r="I336" s="159">
        <v>46300.371932870374</v>
      </c>
      <c r="J336" t="s">
        <v>587</v>
      </c>
      <c r="K336" t="s">
        <v>388</v>
      </c>
      <c r="L336" s="158">
        <v>46299</v>
      </c>
      <c r="M336" t="s">
        <v>586</v>
      </c>
      <c r="N336" t="s">
        <v>178</v>
      </c>
      <c r="O336" t="s">
        <v>179</v>
      </c>
      <c r="P336">
        <v>3</v>
      </c>
      <c r="Q336" t="s">
        <v>180</v>
      </c>
    </row>
    <row r="337" spans="1:17" s="3" customFormat="1">
      <c r="A337" s="82">
        <v>2.1035154293981482E-2</v>
      </c>
      <c r="B337" t="s">
        <v>46</v>
      </c>
      <c r="C337" t="s">
        <v>483</v>
      </c>
      <c r="D337"/>
      <c r="E337" t="s">
        <v>407</v>
      </c>
      <c r="F337"/>
      <c r="G337" t="s">
        <v>47</v>
      </c>
      <c r="H337"/>
      <c r="I337" s="159">
        <v>46300.371724537035</v>
      </c>
      <c r="J337" t="s">
        <v>587</v>
      </c>
      <c r="K337" t="s">
        <v>388</v>
      </c>
      <c r="L337" s="158">
        <v>46299</v>
      </c>
      <c r="M337" t="s">
        <v>586</v>
      </c>
      <c r="N337" t="s">
        <v>178</v>
      </c>
      <c r="O337" t="s">
        <v>179</v>
      </c>
      <c r="P337">
        <v>3</v>
      </c>
      <c r="Q337" t="s">
        <v>180</v>
      </c>
    </row>
    <row r="338" spans="1:17" s="3" customFormat="1">
      <c r="A338" s="82">
        <v>2.0953364594907407E-2</v>
      </c>
      <c r="B338" t="s">
        <v>46</v>
      </c>
      <c r="C338" t="s">
        <v>487</v>
      </c>
      <c r="D338"/>
      <c r="E338" t="s">
        <v>60</v>
      </c>
      <c r="F338"/>
      <c r="G338" t="s">
        <v>47</v>
      </c>
      <c r="H338"/>
      <c r="I338" s="159">
        <v>46300.371550925927</v>
      </c>
      <c r="J338" t="s">
        <v>587</v>
      </c>
      <c r="K338" t="s">
        <v>388</v>
      </c>
      <c r="L338" s="158">
        <v>46299</v>
      </c>
      <c r="M338" t="s">
        <v>586</v>
      </c>
      <c r="N338" t="s">
        <v>178</v>
      </c>
      <c r="O338" t="s">
        <v>179</v>
      </c>
      <c r="P338">
        <v>3</v>
      </c>
      <c r="Q338" t="s">
        <v>180</v>
      </c>
    </row>
    <row r="339" spans="1:17" s="3" customFormat="1">
      <c r="A339" s="82">
        <v>2.0900299907407407E-2</v>
      </c>
      <c r="B339" t="s">
        <v>46</v>
      </c>
      <c r="C339"/>
      <c r="D339"/>
      <c r="E339" t="s">
        <v>53</v>
      </c>
      <c r="F339"/>
      <c r="G339" t="s">
        <v>47</v>
      </c>
      <c r="H339"/>
      <c r="I339" s="159">
        <v>46300.371180555558</v>
      </c>
      <c r="J339" t="s">
        <v>587</v>
      </c>
      <c r="K339" t="s">
        <v>388</v>
      </c>
      <c r="L339" s="158">
        <v>46299</v>
      </c>
      <c r="M339" t="s">
        <v>586</v>
      </c>
      <c r="N339" t="s">
        <v>178</v>
      </c>
      <c r="O339" t="s">
        <v>179</v>
      </c>
      <c r="P339">
        <v>3</v>
      </c>
      <c r="Q339" t="s">
        <v>180</v>
      </c>
    </row>
    <row r="340" spans="1:17" s="3" customFormat="1">
      <c r="A340" s="82">
        <v>2.0392159675925926E-2</v>
      </c>
      <c r="B340" t="s">
        <v>46</v>
      </c>
      <c r="C340"/>
      <c r="D340"/>
      <c r="E340" t="s">
        <v>37</v>
      </c>
      <c r="F340"/>
      <c r="G340" t="s">
        <v>47</v>
      </c>
      <c r="H340"/>
      <c r="I340" s="159">
        <v>46300.370925925927</v>
      </c>
      <c r="J340" t="s">
        <v>587</v>
      </c>
      <c r="K340" t="s">
        <v>388</v>
      </c>
      <c r="L340" s="158">
        <v>46299</v>
      </c>
      <c r="M340" t="s">
        <v>586</v>
      </c>
      <c r="N340" t="s">
        <v>178</v>
      </c>
      <c r="O340" t="s">
        <v>179</v>
      </c>
      <c r="P340">
        <v>3</v>
      </c>
      <c r="Q340" t="s">
        <v>180</v>
      </c>
    </row>
    <row r="341" spans="1:17" s="3" customFormat="1">
      <c r="A341" s="82">
        <v>2.0392159675925926E-2</v>
      </c>
      <c r="B341" t="s">
        <v>46</v>
      </c>
      <c r="C341"/>
      <c r="D341"/>
      <c r="E341" t="s">
        <v>160</v>
      </c>
      <c r="F341" t="s">
        <v>530</v>
      </c>
      <c r="G341" t="s">
        <v>47</v>
      </c>
      <c r="H341"/>
      <c r="I341" s="159">
        <v>46300.370925925927</v>
      </c>
      <c r="J341" t="s">
        <v>587</v>
      </c>
      <c r="K341" t="s">
        <v>388</v>
      </c>
      <c r="L341" s="158">
        <v>46299</v>
      </c>
      <c r="M341" t="s">
        <v>586</v>
      </c>
      <c r="N341" t="s">
        <v>178</v>
      </c>
      <c r="O341" t="s">
        <v>179</v>
      </c>
      <c r="P341">
        <v>3</v>
      </c>
      <c r="Q341" t="s">
        <v>180</v>
      </c>
    </row>
    <row r="342" spans="1:17" s="3" customFormat="1">
      <c r="A342" s="82">
        <v>2.0290874594907405E-2</v>
      </c>
      <c r="B342" t="s">
        <v>46</v>
      </c>
      <c r="C342" t="s">
        <v>489</v>
      </c>
      <c r="D342"/>
      <c r="E342" t="s">
        <v>84</v>
      </c>
      <c r="F342"/>
      <c r="G342" t="s">
        <v>113</v>
      </c>
      <c r="H342"/>
      <c r="I342" s="159">
        <v>46300.370706018519</v>
      </c>
      <c r="J342" t="s">
        <v>587</v>
      </c>
      <c r="K342" t="s">
        <v>388</v>
      </c>
      <c r="L342" s="158">
        <v>46299</v>
      </c>
      <c r="M342" t="s">
        <v>586</v>
      </c>
      <c r="N342" t="s">
        <v>178</v>
      </c>
      <c r="O342" t="s">
        <v>179</v>
      </c>
      <c r="P342">
        <v>3</v>
      </c>
      <c r="Q342" t="s">
        <v>180</v>
      </c>
    </row>
    <row r="343" spans="1:17" s="3" customFormat="1">
      <c r="A343" s="82">
        <v>2.0253061203703702E-2</v>
      </c>
      <c r="B343" t="s">
        <v>46</v>
      </c>
      <c r="C343" t="s">
        <v>486</v>
      </c>
      <c r="D343"/>
      <c r="E343" t="s">
        <v>58</v>
      </c>
      <c r="F343"/>
      <c r="G343" t="s">
        <v>47</v>
      </c>
      <c r="H343"/>
      <c r="I343" s="159">
        <v>46300.370509259257</v>
      </c>
      <c r="J343" t="s">
        <v>587</v>
      </c>
      <c r="K343" t="s">
        <v>388</v>
      </c>
      <c r="L343" s="158">
        <v>46299</v>
      </c>
      <c r="M343" t="s">
        <v>586</v>
      </c>
      <c r="N343" t="s">
        <v>178</v>
      </c>
      <c r="O343" t="s">
        <v>179</v>
      </c>
      <c r="P343">
        <v>3</v>
      </c>
      <c r="Q343" t="s">
        <v>180</v>
      </c>
    </row>
    <row r="344" spans="1:17" s="3" customFormat="1">
      <c r="A344" s="82">
        <v>2.0218176122685186E-2</v>
      </c>
      <c r="B344" t="s">
        <v>46</v>
      </c>
      <c r="C344"/>
      <c r="D344"/>
      <c r="E344" t="s">
        <v>53</v>
      </c>
      <c r="F344"/>
      <c r="G344" t="s">
        <v>47</v>
      </c>
      <c r="H344"/>
      <c r="I344" s="159">
        <v>46300.369687500002</v>
      </c>
      <c r="J344" t="s">
        <v>587</v>
      </c>
      <c r="K344" t="s">
        <v>388</v>
      </c>
      <c r="L344" s="158">
        <v>46299</v>
      </c>
      <c r="M344" t="s">
        <v>586</v>
      </c>
      <c r="N344" t="s">
        <v>178</v>
      </c>
      <c r="O344" t="s">
        <v>179</v>
      </c>
      <c r="P344">
        <v>3</v>
      </c>
      <c r="Q344" t="s">
        <v>180</v>
      </c>
    </row>
    <row r="345" spans="1:17" s="3" customFormat="1">
      <c r="A345" s="82">
        <v>1.9789722743055557E-2</v>
      </c>
      <c r="B345" t="s">
        <v>46</v>
      </c>
      <c r="C345"/>
      <c r="D345"/>
      <c r="E345" t="s">
        <v>37</v>
      </c>
      <c r="F345"/>
      <c r="G345" t="s">
        <v>113</v>
      </c>
      <c r="H345"/>
      <c r="I345" s="159">
        <v>46300.369606481479</v>
      </c>
      <c r="J345" t="s">
        <v>587</v>
      </c>
      <c r="K345" t="s">
        <v>388</v>
      </c>
      <c r="L345" s="158">
        <v>46299</v>
      </c>
      <c r="M345" t="s">
        <v>586</v>
      </c>
      <c r="N345" t="s">
        <v>178</v>
      </c>
      <c r="O345" t="s">
        <v>179</v>
      </c>
      <c r="P345">
        <v>3</v>
      </c>
      <c r="Q345" t="s">
        <v>180</v>
      </c>
    </row>
    <row r="346" spans="1:17" s="3" customFormat="1">
      <c r="A346" s="82">
        <v>1.9702408217592594E-2</v>
      </c>
      <c r="B346" t="s">
        <v>46</v>
      </c>
      <c r="C346"/>
      <c r="D346"/>
      <c r="E346" t="s">
        <v>231</v>
      </c>
      <c r="F346"/>
      <c r="G346" t="s">
        <v>113</v>
      </c>
      <c r="H346"/>
      <c r="I346" s="159">
        <v>46300.369513888887</v>
      </c>
      <c r="J346" t="s">
        <v>587</v>
      </c>
      <c r="K346" t="s">
        <v>388</v>
      </c>
      <c r="L346" s="158">
        <v>46299</v>
      </c>
      <c r="M346" t="s">
        <v>586</v>
      </c>
      <c r="N346" t="s">
        <v>178</v>
      </c>
      <c r="O346" t="s">
        <v>179</v>
      </c>
      <c r="P346">
        <v>3</v>
      </c>
      <c r="Q346" t="s">
        <v>180</v>
      </c>
    </row>
    <row r="347" spans="1:17" s="3" customFormat="1">
      <c r="A347" s="82">
        <v>1.9609678993055556E-2</v>
      </c>
      <c r="B347" t="s">
        <v>46</v>
      </c>
      <c r="C347"/>
      <c r="D347"/>
      <c r="E347" t="s">
        <v>54</v>
      </c>
      <c r="F347"/>
      <c r="G347" t="s">
        <v>113</v>
      </c>
      <c r="H347"/>
      <c r="I347" s="159">
        <v>46300.369189814817</v>
      </c>
      <c r="J347" t="s">
        <v>587</v>
      </c>
      <c r="K347" t="s">
        <v>388</v>
      </c>
      <c r="L347" s="158">
        <v>46299</v>
      </c>
      <c r="M347" t="s">
        <v>586</v>
      </c>
      <c r="N347" t="s">
        <v>178</v>
      </c>
      <c r="O347" t="s">
        <v>179</v>
      </c>
      <c r="P347">
        <v>3</v>
      </c>
      <c r="Q347" t="s">
        <v>180</v>
      </c>
    </row>
    <row r="348" spans="1:17" s="3" customFormat="1">
      <c r="A348" s="82">
        <v>1.932261431712963E-2</v>
      </c>
      <c r="B348" t="s">
        <v>46</v>
      </c>
      <c r="C348" t="s">
        <v>487</v>
      </c>
      <c r="D348"/>
      <c r="E348" t="s">
        <v>61</v>
      </c>
      <c r="F348"/>
      <c r="G348" t="s">
        <v>47</v>
      </c>
      <c r="H348"/>
      <c r="I348" s="159">
        <v>46300.368958333333</v>
      </c>
      <c r="J348" t="s">
        <v>587</v>
      </c>
      <c r="K348" t="s">
        <v>388</v>
      </c>
      <c r="L348" s="158">
        <v>46299</v>
      </c>
      <c r="M348" t="s">
        <v>586</v>
      </c>
      <c r="N348" t="s">
        <v>178</v>
      </c>
      <c r="O348" t="s">
        <v>179</v>
      </c>
      <c r="P348">
        <v>3</v>
      </c>
      <c r="Q348" t="s">
        <v>180</v>
      </c>
    </row>
    <row r="349" spans="1:17" s="3" customFormat="1">
      <c r="A349" s="82">
        <v>1.9230662152777776E-2</v>
      </c>
      <c r="B349" t="s">
        <v>46</v>
      </c>
      <c r="C349"/>
      <c r="D349"/>
      <c r="E349" t="s">
        <v>53</v>
      </c>
      <c r="F349"/>
      <c r="G349" t="s">
        <v>47</v>
      </c>
      <c r="H349"/>
      <c r="I349" s="159">
        <v>46300.368414351855</v>
      </c>
      <c r="J349" t="s">
        <v>587</v>
      </c>
      <c r="K349" t="s">
        <v>388</v>
      </c>
      <c r="L349" s="158">
        <v>46299</v>
      </c>
      <c r="M349" t="s">
        <v>586</v>
      </c>
      <c r="N349" t="s">
        <v>178</v>
      </c>
      <c r="O349" t="s">
        <v>179</v>
      </c>
      <c r="P349">
        <v>3</v>
      </c>
      <c r="Q349" t="s">
        <v>180</v>
      </c>
    </row>
    <row r="350" spans="1:17" s="3" customFormat="1">
      <c r="A350" s="82">
        <v>1.8762883043981479E-2</v>
      </c>
      <c r="B350" t="s">
        <v>46</v>
      </c>
      <c r="C350"/>
      <c r="D350"/>
      <c r="E350" t="s">
        <v>37</v>
      </c>
      <c r="F350"/>
      <c r="G350" t="s">
        <v>47</v>
      </c>
      <c r="H350"/>
      <c r="I350" s="159">
        <v>46300.368136574078</v>
      </c>
      <c r="J350" t="s">
        <v>587</v>
      </c>
      <c r="K350" t="s">
        <v>388</v>
      </c>
      <c r="L350" s="158">
        <v>46299</v>
      </c>
      <c r="M350" t="s">
        <v>586</v>
      </c>
      <c r="N350" t="s">
        <v>178</v>
      </c>
      <c r="O350" t="s">
        <v>179</v>
      </c>
      <c r="P350">
        <v>3</v>
      </c>
      <c r="Q350" t="s">
        <v>180</v>
      </c>
    </row>
    <row r="351" spans="1:17" s="3" customFormat="1">
      <c r="A351" s="82">
        <v>1.8762883043981479E-2</v>
      </c>
      <c r="B351" t="s">
        <v>46</v>
      </c>
      <c r="C351"/>
      <c r="D351"/>
      <c r="E351" t="s">
        <v>160</v>
      </c>
      <c r="F351" t="s">
        <v>539</v>
      </c>
      <c r="G351" t="s">
        <v>47</v>
      </c>
      <c r="H351"/>
      <c r="I351" s="159">
        <v>46300.368136574078</v>
      </c>
      <c r="J351" t="s">
        <v>587</v>
      </c>
      <c r="K351" t="s">
        <v>388</v>
      </c>
      <c r="L351" s="158">
        <v>46299</v>
      </c>
      <c r="M351" t="s">
        <v>586</v>
      </c>
      <c r="N351" t="s">
        <v>178</v>
      </c>
      <c r="O351" t="s">
        <v>179</v>
      </c>
      <c r="P351">
        <v>3</v>
      </c>
      <c r="Q351" t="s">
        <v>180</v>
      </c>
    </row>
    <row r="352" spans="1:17" s="3" customFormat="1">
      <c r="A352" s="82">
        <v>1.8697249849537037E-2</v>
      </c>
      <c r="B352" t="s">
        <v>46</v>
      </c>
      <c r="C352" t="s">
        <v>488</v>
      </c>
      <c r="D352"/>
      <c r="E352" t="s">
        <v>406</v>
      </c>
      <c r="F352"/>
      <c r="G352" t="s">
        <v>47</v>
      </c>
      <c r="H352"/>
      <c r="I352" s="159">
        <v>46300.367696759262</v>
      </c>
      <c r="J352" t="s">
        <v>587</v>
      </c>
      <c r="K352" t="s">
        <v>388</v>
      </c>
      <c r="L352" s="158">
        <v>46299</v>
      </c>
      <c r="M352" t="s">
        <v>586</v>
      </c>
      <c r="N352" t="s">
        <v>178</v>
      </c>
      <c r="O352" t="s">
        <v>179</v>
      </c>
      <c r="P352">
        <v>3</v>
      </c>
      <c r="Q352" t="s">
        <v>180</v>
      </c>
    </row>
    <row r="353" spans="1:17" s="3" customFormat="1">
      <c r="A353" s="82">
        <v>1.8697203842592592E-2</v>
      </c>
      <c r="B353" t="s">
        <v>46</v>
      </c>
      <c r="C353"/>
      <c r="D353"/>
      <c r="E353" t="s">
        <v>132</v>
      </c>
      <c r="F353"/>
      <c r="G353" t="s">
        <v>113</v>
      </c>
      <c r="H353"/>
      <c r="I353" s="159">
        <v>46300.366909722223</v>
      </c>
      <c r="J353" t="s">
        <v>587</v>
      </c>
      <c r="K353" t="s">
        <v>388</v>
      </c>
      <c r="L353" s="158">
        <v>46299</v>
      </c>
      <c r="M353" t="s">
        <v>586</v>
      </c>
      <c r="N353" t="s">
        <v>178</v>
      </c>
      <c r="O353" t="s">
        <v>179</v>
      </c>
      <c r="P353">
        <v>3</v>
      </c>
      <c r="Q353" t="s">
        <v>180</v>
      </c>
    </row>
    <row r="354" spans="1:17" s="3" customFormat="1">
      <c r="A354" s="82">
        <v>1.861090204861111E-2</v>
      </c>
      <c r="B354" t="s">
        <v>46</v>
      </c>
      <c r="C354"/>
      <c r="D354"/>
      <c r="E354" t="s">
        <v>231</v>
      </c>
      <c r="F354"/>
      <c r="G354" t="s">
        <v>113</v>
      </c>
      <c r="H354"/>
      <c r="I354" s="159">
        <v>46300.366828703707</v>
      </c>
      <c r="J354" t="s">
        <v>587</v>
      </c>
      <c r="K354" t="s">
        <v>388</v>
      </c>
      <c r="L354" s="158">
        <v>46299</v>
      </c>
      <c r="M354" t="s">
        <v>586</v>
      </c>
      <c r="N354" t="s">
        <v>178</v>
      </c>
      <c r="O354" t="s">
        <v>179</v>
      </c>
      <c r="P354">
        <v>3</v>
      </c>
      <c r="Q354" t="s">
        <v>180</v>
      </c>
    </row>
    <row r="355" spans="1:17" s="3" customFormat="1">
      <c r="A355" s="82">
        <v>1.8562479548611111E-2</v>
      </c>
      <c r="B355" t="s">
        <v>46</v>
      </c>
      <c r="C355"/>
      <c r="D355"/>
      <c r="E355" t="s">
        <v>54</v>
      </c>
      <c r="F355"/>
      <c r="G355" t="s">
        <v>113</v>
      </c>
      <c r="H355"/>
      <c r="I355" s="159">
        <v>46300.366516203707</v>
      </c>
      <c r="J355" t="s">
        <v>587</v>
      </c>
      <c r="K355" t="s">
        <v>388</v>
      </c>
      <c r="L355" s="158">
        <v>46299</v>
      </c>
      <c r="M355" t="s">
        <v>586</v>
      </c>
      <c r="N355" t="s">
        <v>178</v>
      </c>
      <c r="O355" t="s">
        <v>179</v>
      </c>
      <c r="P355">
        <v>3</v>
      </c>
      <c r="Q355" t="s">
        <v>180</v>
      </c>
    </row>
    <row r="356" spans="1:17" s="3" customFormat="1">
      <c r="A356" s="82">
        <v>1.8125227256944446E-2</v>
      </c>
      <c r="B356" t="s">
        <v>46</v>
      </c>
      <c r="C356"/>
      <c r="D356"/>
      <c r="E356" t="s">
        <v>37</v>
      </c>
      <c r="F356"/>
      <c r="G356" t="s">
        <v>113</v>
      </c>
      <c r="H356"/>
      <c r="I356" s="159">
        <v>46300.366423611114</v>
      </c>
      <c r="J356" t="s">
        <v>587</v>
      </c>
      <c r="K356" t="s">
        <v>388</v>
      </c>
      <c r="L356" s="158">
        <v>46299</v>
      </c>
      <c r="M356" t="s">
        <v>586</v>
      </c>
      <c r="N356" t="s">
        <v>178</v>
      </c>
      <c r="O356" t="s">
        <v>179</v>
      </c>
      <c r="P356">
        <v>3</v>
      </c>
      <c r="Q356" t="s">
        <v>180</v>
      </c>
    </row>
    <row r="357" spans="1:17" s="3" customFormat="1">
      <c r="A357" s="82">
        <v>1.8027572916666668E-2</v>
      </c>
      <c r="B357" t="s">
        <v>46</v>
      </c>
      <c r="C357"/>
      <c r="D357"/>
      <c r="E357" t="s">
        <v>49</v>
      </c>
      <c r="F357"/>
      <c r="G357" t="s">
        <v>47</v>
      </c>
      <c r="H357"/>
      <c r="I357" s="159">
        <v>46300.366215277776</v>
      </c>
      <c r="J357" t="s">
        <v>587</v>
      </c>
      <c r="K357" t="s">
        <v>388</v>
      </c>
      <c r="L357" s="158">
        <v>46299</v>
      </c>
      <c r="M357" t="s">
        <v>586</v>
      </c>
      <c r="N357" t="s">
        <v>178</v>
      </c>
      <c r="O357" t="s">
        <v>179</v>
      </c>
      <c r="P357">
        <v>3</v>
      </c>
      <c r="Q357" t="s">
        <v>180</v>
      </c>
    </row>
    <row r="358" spans="1:17" s="3" customFormat="1">
      <c r="A358" s="82">
        <v>1.6996502083333333E-2</v>
      </c>
      <c r="B358" t="s">
        <v>46</v>
      </c>
      <c r="C358" t="s">
        <v>512</v>
      </c>
      <c r="D358"/>
      <c r="E358" t="s">
        <v>262</v>
      </c>
      <c r="F358"/>
      <c r="G358" t="s">
        <v>113</v>
      </c>
      <c r="H358"/>
      <c r="I358" s="159">
        <v>46300.365428240744</v>
      </c>
      <c r="J358" t="s">
        <v>587</v>
      </c>
      <c r="K358" t="s">
        <v>388</v>
      </c>
      <c r="L358" s="158">
        <v>46299</v>
      </c>
      <c r="M358" t="s">
        <v>586</v>
      </c>
      <c r="N358" t="s">
        <v>178</v>
      </c>
      <c r="O358" t="s">
        <v>179</v>
      </c>
      <c r="P358">
        <v>3</v>
      </c>
      <c r="Q358" t="s">
        <v>180</v>
      </c>
    </row>
    <row r="359" spans="1:17" s="3" customFormat="1">
      <c r="A359" s="82">
        <v>1.6959317118055556E-2</v>
      </c>
      <c r="B359" t="s">
        <v>46</v>
      </c>
      <c r="C359"/>
      <c r="D359"/>
      <c r="E359" t="s">
        <v>37</v>
      </c>
      <c r="F359"/>
      <c r="G359" t="s">
        <v>113</v>
      </c>
      <c r="H359"/>
      <c r="I359" s="159">
        <v>46300.365358796298</v>
      </c>
      <c r="J359" t="s">
        <v>587</v>
      </c>
      <c r="K359" t="s">
        <v>388</v>
      </c>
      <c r="L359" s="158">
        <v>46299</v>
      </c>
      <c r="M359" t="s">
        <v>586</v>
      </c>
      <c r="N359" t="s">
        <v>178</v>
      </c>
      <c r="O359" t="s">
        <v>179</v>
      </c>
      <c r="P359">
        <v>3</v>
      </c>
      <c r="Q359" t="s">
        <v>180</v>
      </c>
    </row>
    <row r="360" spans="1:17" s="3" customFormat="1">
      <c r="A360" s="82">
        <v>1.6959317118055556E-2</v>
      </c>
      <c r="B360" t="s">
        <v>46</v>
      </c>
      <c r="C360" t="s">
        <v>512</v>
      </c>
      <c r="D360" t="s">
        <v>153</v>
      </c>
      <c r="E360" t="s">
        <v>161</v>
      </c>
      <c r="F360" t="s">
        <v>534</v>
      </c>
      <c r="G360" t="s">
        <v>113</v>
      </c>
      <c r="H360"/>
      <c r="I360" s="159">
        <v>46300.365347222221</v>
      </c>
      <c r="J360" t="s">
        <v>587</v>
      </c>
      <c r="K360" t="s">
        <v>388</v>
      </c>
      <c r="L360" s="158">
        <v>46299</v>
      </c>
      <c r="M360" t="s">
        <v>586</v>
      </c>
      <c r="N360" t="s">
        <v>178</v>
      </c>
      <c r="O360" t="s">
        <v>179</v>
      </c>
      <c r="P360">
        <v>3</v>
      </c>
      <c r="Q360" t="s">
        <v>180</v>
      </c>
    </row>
    <row r="361" spans="1:17" s="3" customFormat="1">
      <c r="A361" s="82">
        <v>1.6882362939814814E-2</v>
      </c>
      <c r="B361" t="s">
        <v>46</v>
      </c>
      <c r="C361" t="s">
        <v>512</v>
      </c>
      <c r="D361"/>
      <c r="E361" t="s">
        <v>57</v>
      </c>
      <c r="F361"/>
      <c r="G361" t="s">
        <v>113</v>
      </c>
      <c r="H361"/>
      <c r="I361" s="159">
        <v>46300.36515046296</v>
      </c>
      <c r="J361" t="s">
        <v>587</v>
      </c>
      <c r="K361" t="s">
        <v>388</v>
      </c>
      <c r="L361" s="158">
        <v>46299</v>
      </c>
      <c r="M361" t="s">
        <v>586</v>
      </c>
      <c r="N361" t="s">
        <v>178</v>
      </c>
      <c r="O361" t="s">
        <v>179</v>
      </c>
      <c r="P361">
        <v>3</v>
      </c>
      <c r="Q361" t="s">
        <v>180</v>
      </c>
    </row>
    <row r="362" spans="1:17" s="3" customFormat="1">
      <c r="A362" s="82">
        <v>1.6774681226851853E-2</v>
      </c>
      <c r="B362" t="s">
        <v>46</v>
      </c>
      <c r="C362" t="s">
        <v>483</v>
      </c>
      <c r="D362"/>
      <c r="E362" t="s">
        <v>57</v>
      </c>
      <c r="F362"/>
      <c r="G362" t="s">
        <v>113</v>
      </c>
      <c r="H362"/>
      <c r="I362" s="159">
        <v>46300.364490740743</v>
      </c>
      <c r="J362" t="s">
        <v>587</v>
      </c>
      <c r="K362" t="s">
        <v>388</v>
      </c>
      <c r="L362" s="158">
        <v>46299</v>
      </c>
      <c r="M362" t="s">
        <v>586</v>
      </c>
      <c r="N362" t="s">
        <v>178</v>
      </c>
      <c r="O362" t="s">
        <v>179</v>
      </c>
      <c r="P362">
        <v>3</v>
      </c>
      <c r="Q362" t="s">
        <v>180</v>
      </c>
    </row>
    <row r="363" spans="1:17" s="3" customFormat="1">
      <c r="A363" s="82">
        <v>1.6710013321759261E-2</v>
      </c>
      <c r="B363" t="s">
        <v>46</v>
      </c>
      <c r="C363" t="s">
        <v>488</v>
      </c>
      <c r="D363"/>
      <c r="E363" t="s">
        <v>57</v>
      </c>
      <c r="F363"/>
      <c r="G363" t="s">
        <v>113</v>
      </c>
      <c r="H363"/>
      <c r="I363" s="159">
        <v>46300.364270833335</v>
      </c>
      <c r="J363" t="s">
        <v>587</v>
      </c>
      <c r="K363" t="s">
        <v>388</v>
      </c>
      <c r="L363" s="158">
        <v>46299</v>
      </c>
      <c r="M363" t="s">
        <v>586</v>
      </c>
      <c r="N363" t="s">
        <v>178</v>
      </c>
      <c r="O363" t="s">
        <v>179</v>
      </c>
      <c r="P363">
        <v>3</v>
      </c>
      <c r="Q363" t="s">
        <v>180</v>
      </c>
    </row>
    <row r="364" spans="1:17" s="3" customFormat="1">
      <c r="A364" s="82">
        <v>1.6665609305555558E-2</v>
      </c>
      <c r="B364" t="s">
        <v>46</v>
      </c>
      <c r="C364"/>
      <c r="D364"/>
      <c r="E364" t="s">
        <v>231</v>
      </c>
      <c r="F364"/>
      <c r="G364" t="s">
        <v>113</v>
      </c>
      <c r="H364"/>
      <c r="I364" s="159">
        <v>46300.36409722222</v>
      </c>
      <c r="J364" t="s">
        <v>587</v>
      </c>
      <c r="K364" t="s">
        <v>388</v>
      </c>
      <c r="L364" s="158">
        <v>46299</v>
      </c>
      <c r="M364" t="s">
        <v>586</v>
      </c>
      <c r="N364" t="s">
        <v>178</v>
      </c>
      <c r="O364" t="s">
        <v>179</v>
      </c>
      <c r="P364">
        <v>3</v>
      </c>
      <c r="Q364" t="s">
        <v>180</v>
      </c>
    </row>
    <row r="365" spans="1:17" s="3" customFormat="1">
      <c r="A365" s="82">
        <v>1.659495445601852E-2</v>
      </c>
      <c r="B365" t="s">
        <v>46</v>
      </c>
      <c r="C365"/>
      <c r="D365"/>
      <c r="E365" t="s">
        <v>54</v>
      </c>
      <c r="F365"/>
      <c r="G365" t="s">
        <v>113</v>
      </c>
      <c r="H365"/>
      <c r="I365" s="159">
        <v>46300.363680555558</v>
      </c>
      <c r="J365" t="s">
        <v>587</v>
      </c>
      <c r="K365" t="s">
        <v>388</v>
      </c>
      <c r="L365" s="158">
        <v>46299</v>
      </c>
      <c r="M365" t="s">
        <v>586</v>
      </c>
      <c r="N365" t="s">
        <v>178</v>
      </c>
      <c r="O365" t="s">
        <v>179</v>
      </c>
      <c r="P365">
        <v>3</v>
      </c>
      <c r="Q365" t="s">
        <v>180</v>
      </c>
    </row>
    <row r="366" spans="1:17" s="3" customFormat="1">
      <c r="A366" s="82">
        <v>1.6293634699074074E-2</v>
      </c>
      <c r="B366" t="s">
        <v>46</v>
      </c>
      <c r="C366"/>
      <c r="D366"/>
      <c r="E366" t="s">
        <v>37</v>
      </c>
      <c r="F366"/>
      <c r="G366" t="s">
        <v>113</v>
      </c>
      <c r="H366"/>
      <c r="I366" s="159">
        <v>46300.363506944443</v>
      </c>
      <c r="J366" t="s">
        <v>587</v>
      </c>
      <c r="K366" t="s">
        <v>388</v>
      </c>
      <c r="L366" s="158">
        <v>46299</v>
      </c>
      <c r="M366" t="s">
        <v>586</v>
      </c>
      <c r="N366" t="s">
        <v>178</v>
      </c>
      <c r="O366" t="s">
        <v>179</v>
      </c>
      <c r="P366">
        <v>3</v>
      </c>
      <c r="Q366" t="s">
        <v>180</v>
      </c>
    </row>
    <row r="367" spans="1:17" s="3" customFormat="1">
      <c r="A367" s="82">
        <v>1.6270344039351851E-2</v>
      </c>
      <c r="B367" t="s">
        <v>46</v>
      </c>
      <c r="C367" t="s">
        <v>489</v>
      </c>
      <c r="D367"/>
      <c r="E367" t="s">
        <v>132</v>
      </c>
      <c r="F367"/>
      <c r="G367" t="s">
        <v>47</v>
      </c>
      <c r="H367"/>
      <c r="I367" s="159">
        <v>46300.363449074073</v>
      </c>
      <c r="J367" t="s">
        <v>587</v>
      </c>
      <c r="K367" t="s">
        <v>388</v>
      </c>
      <c r="L367" s="158">
        <v>46299</v>
      </c>
      <c r="M367" t="s">
        <v>586</v>
      </c>
      <c r="N367" t="s">
        <v>178</v>
      </c>
      <c r="O367" t="s">
        <v>179</v>
      </c>
      <c r="P367">
        <v>3</v>
      </c>
      <c r="Q367" t="s">
        <v>180</v>
      </c>
    </row>
    <row r="368" spans="1:17" s="3" customFormat="1">
      <c r="A368" s="82">
        <v>1.6186776932870371E-2</v>
      </c>
      <c r="B368" t="s">
        <v>46</v>
      </c>
      <c r="C368" t="s">
        <v>512</v>
      </c>
      <c r="D368"/>
      <c r="E368" t="s">
        <v>59</v>
      </c>
      <c r="F368"/>
      <c r="G368" t="s">
        <v>47</v>
      </c>
      <c r="H368"/>
      <c r="I368" s="159">
        <v>46300.361921296295</v>
      </c>
      <c r="J368" t="s">
        <v>587</v>
      </c>
      <c r="K368" t="s">
        <v>388</v>
      </c>
      <c r="L368" s="158">
        <v>46299</v>
      </c>
      <c r="M368" t="s">
        <v>586</v>
      </c>
      <c r="N368" t="s">
        <v>178</v>
      </c>
      <c r="O368" t="s">
        <v>179</v>
      </c>
      <c r="P368">
        <v>3</v>
      </c>
      <c r="Q368" t="s">
        <v>180</v>
      </c>
    </row>
    <row r="369" spans="1:17" s="3" customFormat="1">
      <c r="A369" s="82">
        <v>1.6125984467592593E-2</v>
      </c>
      <c r="B369" t="s">
        <v>46</v>
      </c>
      <c r="C369"/>
      <c r="D369"/>
      <c r="E369" t="s">
        <v>53</v>
      </c>
      <c r="F369"/>
      <c r="G369" t="s">
        <v>47</v>
      </c>
      <c r="H369"/>
      <c r="I369" s="159">
        <v>46300.360833333332</v>
      </c>
      <c r="J369" t="s">
        <v>587</v>
      </c>
      <c r="K369" t="s">
        <v>388</v>
      </c>
      <c r="L369" s="158">
        <v>46299</v>
      </c>
      <c r="M369" t="s">
        <v>586</v>
      </c>
      <c r="N369" t="s">
        <v>178</v>
      </c>
      <c r="O369" t="s">
        <v>179</v>
      </c>
      <c r="P369">
        <v>3</v>
      </c>
      <c r="Q369" t="s">
        <v>180</v>
      </c>
    </row>
    <row r="370" spans="1:17" s="3" customFormat="1">
      <c r="A370" s="82">
        <v>1.5829711851851853E-2</v>
      </c>
      <c r="B370" t="s">
        <v>46</v>
      </c>
      <c r="C370"/>
      <c r="D370"/>
      <c r="E370" t="s">
        <v>37</v>
      </c>
      <c r="F370"/>
      <c r="G370" t="s">
        <v>113</v>
      </c>
      <c r="H370"/>
      <c r="I370" s="159">
        <v>46300.36078703704</v>
      </c>
      <c r="J370" t="s">
        <v>587</v>
      </c>
      <c r="K370" t="s">
        <v>388</v>
      </c>
      <c r="L370" s="158">
        <v>46299</v>
      </c>
      <c r="M370" t="s">
        <v>586</v>
      </c>
      <c r="N370" t="s">
        <v>178</v>
      </c>
      <c r="O370" t="s">
        <v>179</v>
      </c>
      <c r="P370">
        <v>3</v>
      </c>
      <c r="Q370" t="s">
        <v>180</v>
      </c>
    </row>
    <row r="371" spans="1:17" s="3" customFormat="1">
      <c r="A371" s="82">
        <v>1.5789671724537036E-2</v>
      </c>
      <c r="B371" t="s">
        <v>46</v>
      </c>
      <c r="C371"/>
      <c r="D371"/>
      <c r="E371" t="s">
        <v>133</v>
      </c>
      <c r="F371"/>
      <c r="G371" t="s">
        <v>113</v>
      </c>
      <c r="H371"/>
      <c r="I371" s="159">
        <v>46300.36074074074</v>
      </c>
      <c r="J371" t="s">
        <v>587</v>
      </c>
      <c r="K371" t="s">
        <v>388</v>
      </c>
      <c r="L371" s="158">
        <v>46299</v>
      </c>
      <c r="M371" t="s">
        <v>586</v>
      </c>
      <c r="N371" t="s">
        <v>178</v>
      </c>
      <c r="O371" t="s">
        <v>179</v>
      </c>
      <c r="P371">
        <v>3</v>
      </c>
      <c r="Q371" t="s">
        <v>180</v>
      </c>
    </row>
    <row r="372" spans="1:17" s="3" customFormat="1">
      <c r="A372" s="82">
        <v>1.5738023564814813E-2</v>
      </c>
      <c r="B372" t="s">
        <v>46</v>
      </c>
      <c r="C372" t="s">
        <v>488</v>
      </c>
      <c r="D372"/>
      <c r="E372" t="s">
        <v>57</v>
      </c>
      <c r="F372"/>
      <c r="G372" t="s">
        <v>113</v>
      </c>
      <c r="H372"/>
      <c r="I372" s="159">
        <v>46300.360659722224</v>
      </c>
      <c r="J372" t="s">
        <v>587</v>
      </c>
      <c r="K372" t="s">
        <v>388</v>
      </c>
      <c r="L372" s="158">
        <v>46299</v>
      </c>
      <c r="M372" t="s">
        <v>586</v>
      </c>
      <c r="N372" t="s">
        <v>178</v>
      </c>
      <c r="O372" t="s">
        <v>179</v>
      </c>
      <c r="P372">
        <v>3</v>
      </c>
      <c r="Q372" t="s">
        <v>180</v>
      </c>
    </row>
    <row r="373" spans="1:17" s="3" customFormat="1">
      <c r="A373" s="82">
        <v>1.5738023564814813E-2</v>
      </c>
      <c r="B373" t="s">
        <v>46</v>
      </c>
      <c r="C373"/>
      <c r="D373"/>
      <c r="E373" t="s">
        <v>137</v>
      </c>
      <c r="F373"/>
      <c r="G373" t="s">
        <v>113</v>
      </c>
      <c r="H373"/>
      <c r="I373" s="159">
        <v>46300.360625000001</v>
      </c>
      <c r="J373" t="s">
        <v>587</v>
      </c>
      <c r="K373" t="s">
        <v>388</v>
      </c>
      <c r="L373" s="158">
        <v>46299</v>
      </c>
      <c r="M373" t="s">
        <v>586</v>
      </c>
      <c r="N373" t="s">
        <v>178</v>
      </c>
      <c r="O373" t="s">
        <v>179</v>
      </c>
      <c r="P373">
        <v>3</v>
      </c>
      <c r="Q373" t="s">
        <v>180</v>
      </c>
    </row>
    <row r="374" spans="1:17" s="3" customFormat="1">
      <c r="A374" s="82">
        <v>1.5684982453703703E-2</v>
      </c>
      <c r="B374" t="s">
        <v>46</v>
      </c>
      <c r="C374"/>
      <c r="D374"/>
      <c r="E374" t="s">
        <v>133</v>
      </c>
      <c r="F374"/>
      <c r="G374" t="s">
        <v>47</v>
      </c>
      <c r="H374"/>
      <c r="I374" s="159">
        <v>46300.360196759262</v>
      </c>
      <c r="J374" t="s">
        <v>587</v>
      </c>
      <c r="K374" t="s">
        <v>388</v>
      </c>
      <c r="L374" s="158">
        <v>46299</v>
      </c>
      <c r="M374" t="s">
        <v>586</v>
      </c>
      <c r="N374" t="s">
        <v>178</v>
      </c>
      <c r="O374" t="s">
        <v>179</v>
      </c>
      <c r="P374">
        <v>3</v>
      </c>
      <c r="Q374" t="s">
        <v>180</v>
      </c>
    </row>
    <row r="375" spans="1:17" s="3" customFormat="1">
      <c r="A375" s="82">
        <v>1.5684982453703703E-2</v>
      </c>
      <c r="B375" t="s">
        <v>46</v>
      </c>
      <c r="C375" t="s">
        <v>488</v>
      </c>
      <c r="D375"/>
      <c r="E375" t="s">
        <v>249</v>
      </c>
      <c r="F375"/>
      <c r="G375" t="s">
        <v>47</v>
      </c>
      <c r="H375"/>
      <c r="I375" s="159">
        <v>46300.360115740739</v>
      </c>
      <c r="J375" t="s">
        <v>587</v>
      </c>
      <c r="K375" t="s">
        <v>388</v>
      </c>
      <c r="L375" s="158">
        <v>46299</v>
      </c>
      <c r="M375" t="s">
        <v>586</v>
      </c>
      <c r="N375" t="s">
        <v>178</v>
      </c>
      <c r="O375" t="s">
        <v>179</v>
      </c>
      <c r="P375">
        <v>3</v>
      </c>
      <c r="Q375" t="s">
        <v>180</v>
      </c>
    </row>
    <row r="376" spans="1:17" s="3" customFormat="1">
      <c r="A376" s="82">
        <v>1.5661808958333332E-2</v>
      </c>
      <c r="B376" t="s">
        <v>46</v>
      </c>
      <c r="C376"/>
      <c r="D376"/>
      <c r="E376" t="s">
        <v>135</v>
      </c>
      <c r="F376"/>
      <c r="G376" t="s">
        <v>47</v>
      </c>
      <c r="H376"/>
      <c r="I376" s="159">
        <v>46300.359988425924</v>
      </c>
      <c r="J376" t="s">
        <v>587</v>
      </c>
      <c r="K376" t="s">
        <v>388</v>
      </c>
      <c r="L376" s="158">
        <v>46299</v>
      </c>
      <c r="M376" t="s">
        <v>586</v>
      </c>
      <c r="N376" t="s">
        <v>178</v>
      </c>
      <c r="O376" t="s">
        <v>179</v>
      </c>
      <c r="P376">
        <v>3</v>
      </c>
      <c r="Q376" t="s">
        <v>180</v>
      </c>
    </row>
    <row r="377" spans="1:17" s="3" customFormat="1">
      <c r="A377" s="82">
        <v>1.5638605636574075E-2</v>
      </c>
      <c r="B377" t="s">
        <v>46</v>
      </c>
      <c r="C377"/>
      <c r="D377"/>
      <c r="E377" t="s">
        <v>133</v>
      </c>
      <c r="F377"/>
      <c r="G377" t="s">
        <v>47</v>
      </c>
      <c r="H377"/>
      <c r="I377" s="159">
        <v>46300.359918981485</v>
      </c>
      <c r="J377" t="s">
        <v>587</v>
      </c>
      <c r="K377" t="s">
        <v>388</v>
      </c>
      <c r="L377" s="158">
        <v>46299</v>
      </c>
      <c r="M377" t="s">
        <v>586</v>
      </c>
      <c r="N377" t="s">
        <v>178</v>
      </c>
      <c r="O377" t="s">
        <v>179</v>
      </c>
      <c r="P377">
        <v>3</v>
      </c>
      <c r="Q377" t="s">
        <v>180</v>
      </c>
    </row>
    <row r="378" spans="1:17" s="3" customFormat="1">
      <c r="A378" s="82">
        <v>1.5593814363425924E-2</v>
      </c>
      <c r="B378" t="s">
        <v>46</v>
      </c>
      <c r="C378"/>
      <c r="D378"/>
      <c r="E378" t="s">
        <v>225</v>
      </c>
      <c r="F378"/>
      <c r="G378" t="s">
        <v>47</v>
      </c>
      <c r="H378"/>
      <c r="I378" s="159">
        <v>46300.359814814816</v>
      </c>
      <c r="J378" t="s">
        <v>587</v>
      </c>
      <c r="K378" t="s">
        <v>388</v>
      </c>
      <c r="L378" s="158">
        <v>46299</v>
      </c>
      <c r="M378" t="s">
        <v>586</v>
      </c>
      <c r="N378" t="s">
        <v>178</v>
      </c>
      <c r="O378" t="s">
        <v>179</v>
      </c>
      <c r="P378">
        <v>3</v>
      </c>
      <c r="Q378" t="s">
        <v>180</v>
      </c>
    </row>
    <row r="379" spans="1:17" s="3" customFormat="1">
      <c r="A379" s="82">
        <v>1.5548539421296297E-2</v>
      </c>
      <c r="B379" t="s">
        <v>46</v>
      </c>
      <c r="C379"/>
      <c r="D379"/>
      <c r="E379" t="s">
        <v>54</v>
      </c>
      <c r="F379"/>
      <c r="G379" t="s">
        <v>47</v>
      </c>
      <c r="H379"/>
      <c r="I379" s="159">
        <v>46300.359375</v>
      </c>
      <c r="J379" t="s">
        <v>587</v>
      </c>
      <c r="K379" t="s">
        <v>388</v>
      </c>
      <c r="L379" s="158">
        <v>46299</v>
      </c>
      <c r="M379" t="s">
        <v>586</v>
      </c>
      <c r="N379" t="s">
        <v>178</v>
      </c>
      <c r="O379" t="s">
        <v>179</v>
      </c>
      <c r="P379">
        <v>3</v>
      </c>
      <c r="Q379" t="s">
        <v>180</v>
      </c>
    </row>
    <row r="380" spans="1:17" s="3" customFormat="1">
      <c r="A380" s="82">
        <v>1.5222834733796296E-2</v>
      </c>
      <c r="B380" t="s">
        <v>46</v>
      </c>
      <c r="C380"/>
      <c r="D380"/>
      <c r="E380" t="s">
        <v>221</v>
      </c>
      <c r="F380"/>
      <c r="G380" t="s">
        <v>113</v>
      </c>
      <c r="H380"/>
      <c r="I380" s="159">
        <v>46300.359131944446</v>
      </c>
      <c r="J380" t="s">
        <v>587</v>
      </c>
      <c r="K380" t="s">
        <v>388</v>
      </c>
      <c r="L380" s="158">
        <v>46299</v>
      </c>
      <c r="M380" t="s">
        <v>586</v>
      </c>
      <c r="N380" t="s">
        <v>178</v>
      </c>
      <c r="O380" t="s">
        <v>179</v>
      </c>
      <c r="P380">
        <v>3</v>
      </c>
      <c r="Q380" t="s">
        <v>180</v>
      </c>
    </row>
    <row r="381" spans="1:17" s="3" customFormat="1">
      <c r="A381" s="82">
        <v>1.5174474953703705E-2</v>
      </c>
      <c r="B381" t="s">
        <v>46</v>
      </c>
      <c r="C381"/>
      <c r="D381"/>
      <c r="E381" t="s">
        <v>53</v>
      </c>
      <c r="F381"/>
      <c r="G381" t="s">
        <v>113</v>
      </c>
      <c r="H381"/>
      <c r="I381" s="159">
        <v>46300.358368055553</v>
      </c>
      <c r="J381" t="s">
        <v>587</v>
      </c>
      <c r="K381" t="s">
        <v>388</v>
      </c>
      <c r="L381" s="158">
        <v>46299</v>
      </c>
      <c r="M381" t="s">
        <v>586</v>
      </c>
      <c r="N381" t="s">
        <v>178</v>
      </c>
      <c r="O381" t="s">
        <v>179</v>
      </c>
      <c r="P381">
        <v>3</v>
      </c>
      <c r="Q381" t="s">
        <v>180</v>
      </c>
    </row>
    <row r="382" spans="1:17" s="3" customFormat="1">
      <c r="A382" s="82">
        <v>1.4641447233796297E-2</v>
      </c>
      <c r="B382" t="s">
        <v>46</v>
      </c>
      <c r="C382"/>
      <c r="D382"/>
      <c r="E382" t="s">
        <v>37</v>
      </c>
      <c r="F382"/>
      <c r="G382" t="s">
        <v>113</v>
      </c>
      <c r="H382"/>
      <c r="I382" s="159">
        <v>46300.358263888891</v>
      </c>
      <c r="J382" t="s">
        <v>587</v>
      </c>
      <c r="K382" t="s">
        <v>388</v>
      </c>
      <c r="L382" s="158">
        <v>46299</v>
      </c>
      <c r="M382" t="s">
        <v>586</v>
      </c>
      <c r="N382" t="s">
        <v>178</v>
      </c>
      <c r="O382" t="s">
        <v>179</v>
      </c>
      <c r="P382">
        <v>3</v>
      </c>
      <c r="Q382" t="s">
        <v>180</v>
      </c>
    </row>
    <row r="383" spans="1:17" s="3" customFormat="1">
      <c r="A383" s="82">
        <v>1.4641447233796297E-2</v>
      </c>
      <c r="B383" t="s">
        <v>46</v>
      </c>
      <c r="C383" t="s">
        <v>490</v>
      </c>
      <c r="D383" t="s">
        <v>169</v>
      </c>
      <c r="E383" t="s">
        <v>161</v>
      </c>
      <c r="F383" t="s">
        <v>542</v>
      </c>
      <c r="G383" t="s">
        <v>113</v>
      </c>
      <c r="H383"/>
      <c r="I383" s="159">
        <v>46300.358263888891</v>
      </c>
      <c r="J383" t="s">
        <v>587</v>
      </c>
      <c r="K383" t="s">
        <v>388</v>
      </c>
      <c r="L383" s="158">
        <v>46299</v>
      </c>
      <c r="M383" t="s">
        <v>586</v>
      </c>
      <c r="N383" t="s">
        <v>178</v>
      </c>
      <c r="O383" t="s">
        <v>179</v>
      </c>
      <c r="P383">
        <v>3</v>
      </c>
      <c r="Q383" t="s">
        <v>180</v>
      </c>
    </row>
    <row r="384" spans="1:17" s="3" customFormat="1">
      <c r="A384" s="82">
        <v>1.4550800393518517E-2</v>
      </c>
      <c r="B384" t="s">
        <v>46</v>
      </c>
      <c r="C384" t="s">
        <v>490</v>
      </c>
      <c r="D384"/>
      <c r="E384" t="s">
        <v>84</v>
      </c>
      <c r="F384"/>
      <c r="G384" t="s">
        <v>113</v>
      </c>
      <c r="H384"/>
      <c r="I384" s="159">
        <v>46300.357939814814</v>
      </c>
      <c r="J384" t="s">
        <v>587</v>
      </c>
      <c r="K384" t="s">
        <v>388</v>
      </c>
      <c r="L384" s="158">
        <v>46299</v>
      </c>
      <c r="M384" t="s">
        <v>586</v>
      </c>
      <c r="N384" t="s">
        <v>178</v>
      </c>
      <c r="O384" t="s">
        <v>179</v>
      </c>
      <c r="P384">
        <v>3</v>
      </c>
      <c r="Q384" t="s">
        <v>180</v>
      </c>
    </row>
    <row r="385" spans="1:17" s="3" customFormat="1">
      <c r="A385" s="82">
        <v>1.4513999687500001E-2</v>
      </c>
      <c r="B385" t="s">
        <v>46</v>
      </c>
      <c r="C385"/>
      <c r="D385"/>
      <c r="E385" t="s">
        <v>137</v>
      </c>
      <c r="F385"/>
      <c r="G385" t="s">
        <v>113</v>
      </c>
      <c r="H385"/>
      <c r="I385" s="159">
        <v>46300.357662037037</v>
      </c>
      <c r="J385" t="s">
        <v>587</v>
      </c>
      <c r="K385" t="s">
        <v>388</v>
      </c>
      <c r="L385" s="158">
        <v>46299</v>
      </c>
      <c r="M385" t="s">
        <v>586</v>
      </c>
      <c r="N385" t="s">
        <v>178</v>
      </c>
      <c r="O385" t="s">
        <v>179</v>
      </c>
      <c r="P385">
        <v>3</v>
      </c>
      <c r="Q385" t="s">
        <v>180</v>
      </c>
    </row>
    <row r="386" spans="1:17" s="3" customFormat="1">
      <c r="A386" s="82">
        <v>1.4490838854166667E-2</v>
      </c>
      <c r="B386" t="s">
        <v>46</v>
      </c>
      <c r="C386"/>
      <c r="D386"/>
      <c r="E386" t="s">
        <v>133</v>
      </c>
      <c r="F386"/>
      <c r="G386" t="s">
        <v>113</v>
      </c>
      <c r="H386"/>
      <c r="I386" s="159">
        <v>46300.357581018521</v>
      </c>
      <c r="J386" t="s">
        <v>587</v>
      </c>
      <c r="K386" t="s">
        <v>388</v>
      </c>
      <c r="L386" s="158">
        <v>46299</v>
      </c>
      <c r="M386" t="s">
        <v>586</v>
      </c>
      <c r="N386" t="s">
        <v>178</v>
      </c>
      <c r="O386" t="s">
        <v>179</v>
      </c>
      <c r="P386">
        <v>3</v>
      </c>
      <c r="Q386" t="s">
        <v>180</v>
      </c>
    </row>
    <row r="387" spans="1:17" s="3" customFormat="1">
      <c r="A387" s="82">
        <v>1.4457375046296295E-2</v>
      </c>
      <c r="B387" t="s">
        <v>46</v>
      </c>
      <c r="C387"/>
      <c r="D387"/>
      <c r="E387" t="s">
        <v>231</v>
      </c>
      <c r="F387"/>
      <c r="G387" t="s">
        <v>113</v>
      </c>
      <c r="H387"/>
      <c r="I387" s="159">
        <v>46300.357546296298</v>
      </c>
      <c r="J387" t="s">
        <v>587</v>
      </c>
      <c r="K387" t="s">
        <v>388</v>
      </c>
      <c r="L387" s="158">
        <v>46299</v>
      </c>
      <c r="M387" t="s">
        <v>586</v>
      </c>
      <c r="N387" t="s">
        <v>178</v>
      </c>
      <c r="O387" t="s">
        <v>179</v>
      </c>
      <c r="P387">
        <v>3</v>
      </c>
      <c r="Q387" t="s">
        <v>180</v>
      </c>
    </row>
    <row r="388" spans="1:17" s="3" customFormat="1">
      <c r="A388" s="82">
        <v>1.4380593333333334E-2</v>
      </c>
      <c r="B388" t="s">
        <v>46</v>
      </c>
      <c r="C388"/>
      <c r="D388"/>
      <c r="E388" t="s">
        <v>54</v>
      </c>
      <c r="F388"/>
      <c r="G388" t="s">
        <v>113</v>
      </c>
      <c r="H388"/>
      <c r="I388" s="159">
        <v>46300.35728009259</v>
      </c>
      <c r="J388" t="s">
        <v>587</v>
      </c>
      <c r="K388" t="s">
        <v>388</v>
      </c>
      <c r="L388" s="158">
        <v>46299</v>
      </c>
      <c r="M388" t="s">
        <v>586</v>
      </c>
      <c r="N388" t="s">
        <v>178</v>
      </c>
      <c r="O388" t="s">
        <v>179</v>
      </c>
      <c r="P388">
        <v>3</v>
      </c>
      <c r="Q388" t="s">
        <v>180</v>
      </c>
    </row>
    <row r="389" spans="1:17" s="3" customFormat="1">
      <c r="A389" s="82">
        <v>1.4049508287037037E-2</v>
      </c>
      <c r="B389" t="s">
        <v>46</v>
      </c>
      <c r="C389" t="s">
        <v>512</v>
      </c>
      <c r="D389"/>
      <c r="E389" t="s">
        <v>61</v>
      </c>
      <c r="F389"/>
      <c r="G389" t="s">
        <v>47</v>
      </c>
      <c r="H389"/>
      <c r="I389" s="159">
        <v>46300.357106481482</v>
      </c>
      <c r="J389" t="s">
        <v>587</v>
      </c>
      <c r="K389" t="s">
        <v>388</v>
      </c>
      <c r="L389" s="158">
        <v>46299</v>
      </c>
      <c r="M389" t="s">
        <v>586</v>
      </c>
      <c r="N389" t="s">
        <v>178</v>
      </c>
      <c r="O389" t="s">
        <v>179</v>
      </c>
      <c r="P389">
        <v>3</v>
      </c>
      <c r="Q389" t="s">
        <v>180</v>
      </c>
    </row>
    <row r="390" spans="1:17" s="3" customFormat="1">
      <c r="A390" s="82">
        <v>1.3894098055555557E-2</v>
      </c>
      <c r="B390" t="s">
        <v>46</v>
      </c>
      <c r="C390"/>
      <c r="D390"/>
      <c r="E390" t="s">
        <v>53</v>
      </c>
      <c r="F390"/>
      <c r="G390" t="s">
        <v>47</v>
      </c>
      <c r="H390"/>
      <c r="I390" s="159">
        <v>46300.356261574074</v>
      </c>
      <c r="J390" t="s">
        <v>587</v>
      </c>
      <c r="K390" t="s">
        <v>388</v>
      </c>
      <c r="L390" s="158">
        <v>46299</v>
      </c>
      <c r="M390" t="s">
        <v>586</v>
      </c>
      <c r="N390" t="s">
        <v>178</v>
      </c>
      <c r="O390" t="s">
        <v>179</v>
      </c>
      <c r="P390">
        <v>3</v>
      </c>
      <c r="Q390" t="s">
        <v>180</v>
      </c>
    </row>
    <row r="391" spans="1:17" s="3" customFormat="1">
      <c r="A391" s="82">
        <v>1.359193087962963E-2</v>
      </c>
      <c r="B391" t="s">
        <v>46</v>
      </c>
      <c r="C391"/>
      <c r="D391"/>
      <c r="E391" t="s">
        <v>37</v>
      </c>
      <c r="F391"/>
      <c r="G391" t="s">
        <v>47</v>
      </c>
      <c r="H391"/>
      <c r="I391" s="159">
        <v>46300.356076388889</v>
      </c>
      <c r="J391" t="s">
        <v>587</v>
      </c>
      <c r="K391" t="s">
        <v>388</v>
      </c>
      <c r="L391" s="158">
        <v>46299</v>
      </c>
      <c r="M391" t="s">
        <v>586</v>
      </c>
      <c r="N391" t="s">
        <v>178</v>
      </c>
      <c r="O391" t="s">
        <v>179</v>
      </c>
      <c r="P391">
        <v>3</v>
      </c>
      <c r="Q391" t="s">
        <v>180</v>
      </c>
    </row>
    <row r="392" spans="1:17" s="3" customFormat="1">
      <c r="A392" s="82">
        <v>1.3490457349537037E-2</v>
      </c>
      <c r="B392" t="s">
        <v>46</v>
      </c>
      <c r="C392"/>
      <c r="D392"/>
      <c r="E392" t="s">
        <v>133</v>
      </c>
      <c r="F392"/>
      <c r="G392" t="s">
        <v>47</v>
      </c>
      <c r="H392"/>
      <c r="I392" s="159">
        <v>46300.35597222222</v>
      </c>
      <c r="J392" t="s">
        <v>587</v>
      </c>
      <c r="K392" t="s">
        <v>388</v>
      </c>
      <c r="L392" s="158">
        <v>46299</v>
      </c>
      <c r="M392" t="s">
        <v>586</v>
      </c>
      <c r="N392" t="s">
        <v>178</v>
      </c>
      <c r="O392" t="s">
        <v>179</v>
      </c>
      <c r="P392">
        <v>3</v>
      </c>
      <c r="Q392" t="s">
        <v>180</v>
      </c>
    </row>
    <row r="393" spans="1:17" s="3" customFormat="1">
      <c r="A393" s="82">
        <v>1.3441296851851853E-2</v>
      </c>
      <c r="B393" t="s">
        <v>46</v>
      </c>
      <c r="C393"/>
      <c r="D393"/>
      <c r="E393" t="s">
        <v>135</v>
      </c>
      <c r="F393"/>
      <c r="G393" t="s">
        <v>47</v>
      </c>
      <c r="H393"/>
      <c r="I393" s="159">
        <v>46300.355925925927</v>
      </c>
      <c r="J393" t="s">
        <v>587</v>
      </c>
      <c r="K393" t="s">
        <v>388</v>
      </c>
      <c r="L393" s="158">
        <v>46299</v>
      </c>
      <c r="M393" t="s">
        <v>586</v>
      </c>
      <c r="N393" t="s">
        <v>178</v>
      </c>
      <c r="O393" t="s">
        <v>179</v>
      </c>
      <c r="P393">
        <v>3</v>
      </c>
      <c r="Q393" t="s">
        <v>180</v>
      </c>
    </row>
    <row r="394" spans="1:17" s="3" customFormat="1">
      <c r="A394" s="82">
        <v>1.33888421875E-2</v>
      </c>
      <c r="B394" t="s">
        <v>46</v>
      </c>
      <c r="C394"/>
      <c r="D394"/>
      <c r="E394" t="s">
        <v>133</v>
      </c>
      <c r="F394"/>
      <c r="G394" t="s">
        <v>113</v>
      </c>
      <c r="H394"/>
      <c r="I394" s="159">
        <v>46300.355833333335</v>
      </c>
      <c r="J394" t="s">
        <v>587</v>
      </c>
      <c r="K394" t="s">
        <v>388</v>
      </c>
      <c r="L394" s="158">
        <v>46299</v>
      </c>
      <c r="M394" t="s">
        <v>586</v>
      </c>
      <c r="N394" t="s">
        <v>178</v>
      </c>
      <c r="O394" t="s">
        <v>179</v>
      </c>
      <c r="P394">
        <v>3</v>
      </c>
      <c r="Q394" t="s">
        <v>180</v>
      </c>
    </row>
    <row r="395" spans="1:17" s="3" customFormat="1">
      <c r="A395" s="82">
        <v>1.3330581481481482E-2</v>
      </c>
      <c r="B395" t="s">
        <v>46</v>
      </c>
      <c r="C395" t="s">
        <v>512</v>
      </c>
      <c r="D395"/>
      <c r="E395" t="s">
        <v>57</v>
      </c>
      <c r="F395"/>
      <c r="G395" t="s">
        <v>113</v>
      </c>
      <c r="H395"/>
      <c r="I395" s="159">
        <v>46300.355694444443</v>
      </c>
      <c r="J395" t="s">
        <v>587</v>
      </c>
      <c r="K395" t="s">
        <v>388</v>
      </c>
      <c r="L395" s="158">
        <v>46299</v>
      </c>
      <c r="M395" t="s">
        <v>586</v>
      </c>
      <c r="N395" t="s">
        <v>178</v>
      </c>
      <c r="O395" t="s">
        <v>179</v>
      </c>
      <c r="P395">
        <v>3</v>
      </c>
      <c r="Q395" t="s">
        <v>180</v>
      </c>
    </row>
    <row r="396" spans="1:17" s="3" customFormat="1">
      <c r="A396" s="82">
        <v>1.3318053738425924E-2</v>
      </c>
      <c r="B396" t="s">
        <v>46</v>
      </c>
      <c r="C396" t="s">
        <v>484</v>
      </c>
      <c r="D396"/>
      <c r="E396" t="s">
        <v>9</v>
      </c>
      <c r="F396"/>
      <c r="G396" t="s">
        <v>113</v>
      </c>
      <c r="H396"/>
      <c r="I396" s="159">
        <v>46300.355567129627</v>
      </c>
      <c r="J396" t="s">
        <v>587</v>
      </c>
      <c r="K396" t="s">
        <v>388</v>
      </c>
      <c r="L396" s="158">
        <v>46299</v>
      </c>
      <c r="M396" t="s">
        <v>586</v>
      </c>
      <c r="N396" t="s">
        <v>178</v>
      </c>
      <c r="O396" t="s">
        <v>179</v>
      </c>
      <c r="P396">
        <v>3</v>
      </c>
      <c r="Q396" t="s">
        <v>180</v>
      </c>
    </row>
    <row r="397" spans="1:17" s="3" customFormat="1">
      <c r="A397" s="82">
        <v>1.3265998125000001E-2</v>
      </c>
      <c r="B397" t="s">
        <v>46</v>
      </c>
      <c r="C397" t="s">
        <v>514</v>
      </c>
      <c r="D397"/>
      <c r="E397" t="s">
        <v>57</v>
      </c>
      <c r="F397"/>
      <c r="G397" t="s">
        <v>113</v>
      </c>
      <c r="H397"/>
      <c r="I397" s="159">
        <v>46300.355393518519</v>
      </c>
      <c r="J397" t="s">
        <v>587</v>
      </c>
      <c r="K397" t="s">
        <v>388</v>
      </c>
      <c r="L397" s="158">
        <v>46299</v>
      </c>
      <c r="M397" t="s">
        <v>586</v>
      </c>
      <c r="N397" t="s">
        <v>178</v>
      </c>
      <c r="O397" t="s">
        <v>179</v>
      </c>
      <c r="P397">
        <v>3</v>
      </c>
      <c r="Q397" t="s">
        <v>180</v>
      </c>
    </row>
    <row r="398" spans="1:17" s="3" customFormat="1">
      <c r="A398" s="82">
        <v>1.3245411840277778E-2</v>
      </c>
      <c r="B398" t="s">
        <v>46</v>
      </c>
      <c r="C398"/>
      <c r="D398"/>
      <c r="E398" t="s">
        <v>137</v>
      </c>
      <c r="F398"/>
      <c r="G398" t="s">
        <v>113</v>
      </c>
      <c r="H398"/>
      <c r="I398" s="159">
        <v>46300.355219907404</v>
      </c>
      <c r="J398" t="s">
        <v>587</v>
      </c>
      <c r="K398" t="s">
        <v>388</v>
      </c>
      <c r="L398" s="158">
        <v>46299</v>
      </c>
      <c r="M398" t="s">
        <v>586</v>
      </c>
      <c r="N398" t="s">
        <v>178</v>
      </c>
      <c r="O398" t="s">
        <v>179</v>
      </c>
      <c r="P398">
        <v>3</v>
      </c>
      <c r="Q398" t="s">
        <v>180</v>
      </c>
    </row>
    <row r="399" spans="1:17" s="3" customFormat="1">
      <c r="A399" s="82">
        <v>1.3202277777777778E-2</v>
      </c>
      <c r="B399" t="s">
        <v>46</v>
      </c>
      <c r="C399"/>
      <c r="D399"/>
      <c r="E399" t="s">
        <v>49</v>
      </c>
      <c r="F399"/>
      <c r="G399" t="s">
        <v>47</v>
      </c>
      <c r="H399"/>
      <c r="I399" s="159">
        <v>46300.355173611111</v>
      </c>
      <c r="J399" t="s">
        <v>587</v>
      </c>
      <c r="K399" t="s">
        <v>388</v>
      </c>
      <c r="L399" s="158">
        <v>46299</v>
      </c>
      <c r="M399" t="s">
        <v>586</v>
      </c>
      <c r="N399" t="s">
        <v>178</v>
      </c>
      <c r="O399" t="s">
        <v>179</v>
      </c>
      <c r="P399">
        <v>3</v>
      </c>
      <c r="Q399" t="s">
        <v>180</v>
      </c>
    </row>
    <row r="400" spans="1:17" s="3" customFormat="1">
      <c r="A400" s="82">
        <v>1.2784544502314813E-2</v>
      </c>
      <c r="B400" t="s">
        <v>46</v>
      </c>
      <c r="C400"/>
      <c r="D400"/>
      <c r="E400" t="s">
        <v>65</v>
      </c>
      <c r="F400"/>
      <c r="G400" t="s">
        <v>113</v>
      </c>
      <c r="H400"/>
      <c r="I400" s="159">
        <v>46300.354548611111</v>
      </c>
      <c r="J400" t="s">
        <v>587</v>
      </c>
      <c r="K400" t="s">
        <v>388</v>
      </c>
      <c r="L400" s="158">
        <v>46299</v>
      </c>
      <c r="M400" t="s">
        <v>586</v>
      </c>
      <c r="N400" t="s">
        <v>178</v>
      </c>
      <c r="O400" t="s">
        <v>179</v>
      </c>
      <c r="P400">
        <v>3</v>
      </c>
      <c r="Q400" t="s">
        <v>180</v>
      </c>
    </row>
    <row r="401" spans="1:17" s="3" customFormat="1">
      <c r="A401" s="82">
        <v>1.1825018425925926E-2</v>
      </c>
      <c r="B401" t="s">
        <v>46</v>
      </c>
      <c r="C401" t="s">
        <v>511</v>
      </c>
      <c r="D401" t="s">
        <v>153</v>
      </c>
      <c r="E401" t="s">
        <v>161</v>
      </c>
      <c r="F401" t="s">
        <v>531</v>
      </c>
      <c r="G401" t="s">
        <v>113</v>
      </c>
      <c r="H401"/>
      <c r="I401" s="159">
        <v>46300.353530092594</v>
      </c>
      <c r="J401" t="s">
        <v>587</v>
      </c>
      <c r="K401" t="s">
        <v>388</v>
      </c>
      <c r="L401" s="158">
        <v>46299</v>
      </c>
      <c r="M401" t="s">
        <v>586</v>
      </c>
      <c r="N401" t="s">
        <v>178</v>
      </c>
      <c r="O401" t="s">
        <v>179</v>
      </c>
      <c r="P401">
        <v>3</v>
      </c>
      <c r="Q401" t="s">
        <v>180</v>
      </c>
    </row>
    <row r="402" spans="1:17" s="3" customFormat="1">
      <c r="A402" s="82">
        <v>1.1806573912037037E-2</v>
      </c>
      <c r="B402" t="s">
        <v>46</v>
      </c>
      <c r="C402"/>
      <c r="D402"/>
      <c r="E402" t="s">
        <v>37</v>
      </c>
      <c r="F402"/>
      <c r="G402" t="s">
        <v>47</v>
      </c>
      <c r="H402"/>
      <c r="I402" s="159">
        <v>46300.353055555555</v>
      </c>
      <c r="J402" t="s">
        <v>587</v>
      </c>
      <c r="K402" t="s">
        <v>388</v>
      </c>
      <c r="L402" s="158">
        <v>46299</v>
      </c>
      <c r="M402" t="s">
        <v>586</v>
      </c>
      <c r="N402" t="s">
        <v>178</v>
      </c>
      <c r="O402" t="s">
        <v>179</v>
      </c>
      <c r="P402">
        <v>3</v>
      </c>
      <c r="Q402" t="s">
        <v>180</v>
      </c>
    </row>
    <row r="403" spans="1:17" s="3" customFormat="1">
      <c r="A403" s="82">
        <v>1.179121383101852E-2</v>
      </c>
      <c r="B403" t="s">
        <v>46</v>
      </c>
      <c r="C403"/>
      <c r="D403"/>
      <c r="E403" t="s">
        <v>132</v>
      </c>
      <c r="F403"/>
      <c r="G403" t="s">
        <v>113</v>
      </c>
      <c r="H403"/>
      <c r="I403" s="159">
        <v>46300.353043981479</v>
      </c>
      <c r="J403" t="s">
        <v>587</v>
      </c>
      <c r="K403" t="s">
        <v>388</v>
      </c>
      <c r="L403" s="158">
        <v>46299</v>
      </c>
      <c r="M403" t="s">
        <v>586</v>
      </c>
      <c r="N403" t="s">
        <v>178</v>
      </c>
      <c r="O403" t="s">
        <v>179</v>
      </c>
      <c r="P403">
        <v>3</v>
      </c>
      <c r="Q403" t="s">
        <v>180</v>
      </c>
    </row>
    <row r="404" spans="1:17" s="3" customFormat="1">
      <c r="A404" s="82">
        <v>1.1651295648148149E-2</v>
      </c>
      <c r="B404" t="s">
        <v>46</v>
      </c>
      <c r="C404" t="s">
        <v>511</v>
      </c>
      <c r="D404"/>
      <c r="E404" t="s">
        <v>57</v>
      </c>
      <c r="F404"/>
      <c r="G404" t="s">
        <v>113</v>
      </c>
      <c r="H404"/>
      <c r="I404" s="159">
        <v>46300.352812500001</v>
      </c>
      <c r="J404" t="s">
        <v>587</v>
      </c>
      <c r="K404" t="s">
        <v>388</v>
      </c>
      <c r="L404" s="158">
        <v>46299</v>
      </c>
      <c r="M404" t="s">
        <v>586</v>
      </c>
      <c r="N404" t="s">
        <v>178</v>
      </c>
      <c r="O404" t="s">
        <v>179</v>
      </c>
      <c r="P404">
        <v>3</v>
      </c>
      <c r="Q404" t="s">
        <v>180</v>
      </c>
    </row>
    <row r="405" spans="1:17" s="3" customFormat="1">
      <c r="A405" s="82">
        <v>1.1576704583333333E-2</v>
      </c>
      <c r="B405" t="s">
        <v>46</v>
      </c>
      <c r="C405" t="s">
        <v>486</v>
      </c>
      <c r="D405"/>
      <c r="E405" t="s">
        <v>57</v>
      </c>
      <c r="F405"/>
      <c r="G405" t="s">
        <v>113</v>
      </c>
      <c r="H405"/>
      <c r="I405" s="159">
        <v>46300.35255787037</v>
      </c>
      <c r="J405" t="s">
        <v>587</v>
      </c>
      <c r="K405" t="s">
        <v>388</v>
      </c>
      <c r="L405" s="158">
        <v>46299</v>
      </c>
      <c r="M405" t="s">
        <v>586</v>
      </c>
      <c r="N405" t="s">
        <v>178</v>
      </c>
      <c r="O405" t="s">
        <v>179</v>
      </c>
      <c r="P405">
        <v>3</v>
      </c>
      <c r="Q405" t="s">
        <v>180</v>
      </c>
    </row>
    <row r="406" spans="1:17" s="3" customFormat="1">
      <c r="A406" s="82">
        <v>1.1576704583333333E-2</v>
      </c>
      <c r="B406" t="s">
        <v>46</v>
      </c>
      <c r="C406" t="s">
        <v>483</v>
      </c>
      <c r="D406"/>
      <c r="E406" t="s">
        <v>57</v>
      </c>
      <c r="F406"/>
      <c r="G406" t="s">
        <v>113</v>
      </c>
      <c r="H406"/>
      <c r="I406" s="159">
        <v>46300.352546296293</v>
      </c>
      <c r="J406" t="s">
        <v>587</v>
      </c>
      <c r="K406" t="s">
        <v>388</v>
      </c>
      <c r="L406" s="158">
        <v>46299</v>
      </c>
      <c r="M406" t="s">
        <v>586</v>
      </c>
      <c r="N406" t="s">
        <v>178</v>
      </c>
      <c r="O406" t="s">
        <v>179</v>
      </c>
      <c r="P406">
        <v>3</v>
      </c>
      <c r="Q406" t="s">
        <v>180</v>
      </c>
    </row>
    <row r="407" spans="1:17" s="3" customFormat="1">
      <c r="A407" s="82">
        <v>1.1510656875000001E-2</v>
      </c>
      <c r="B407" t="s">
        <v>46</v>
      </c>
      <c r="C407"/>
      <c r="D407"/>
      <c r="E407" t="s">
        <v>137</v>
      </c>
      <c r="F407"/>
      <c r="G407" t="s">
        <v>113</v>
      </c>
      <c r="H407"/>
      <c r="I407" s="159">
        <v>46300.351319444446</v>
      </c>
      <c r="J407" t="s">
        <v>587</v>
      </c>
      <c r="K407" t="s">
        <v>388</v>
      </c>
      <c r="L407" s="158">
        <v>46299</v>
      </c>
      <c r="M407" t="s">
        <v>586</v>
      </c>
      <c r="N407" t="s">
        <v>178</v>
      </c>
      <c r="O407" t="s">
        <v>179</v>
      </c>
      <c r="P407">
        <v>3</v>
      </c>
      <c r="Q407" t="s">
        <v>180</v>
      </c>
    </row>
    <row r="408" spans="1:17" s="3" customFormat="1">
      <c r="A408" s="82">
        <v>1.1473513101851853E-2</v>
      </c>
      <c r="B408" t="s">
        <v>46</v>
      </c>
      <c r="C408"/>
      <c r="D408"/>
      <c r="E408" t="s">
        <v>133</v>
      </c>
      <c r="F408"/>
      <c r="G408" t="s">
        <v>47</v>
      </c>
      <c r="H408"/>
      <c r="I408" s="159">
        <v>46300.351122685184</v>
      </c>
      <c r="J408" t="s">
        <v>587</v>
      </c>
      <c r="K408" t="s">
        <v>388</v>
      </c>
      <c r="L408" s="158">
        <v>46299</v>
      </c>
      <c r="M408" t="s">
        <v>586</v>
      </c>
      <c r="N408" t="s">
        <v>178</v>
      </c>
      <c r="O408" t="s">
        <v>179</v>
      </c>
      <c r="P408">
        <v>3</v>
      </c>
      <c r="Q408" t="s">
        <v>180</v>
      </c>
    </row>
    <row r="409" spans="1:17" s="3" customFormat="1">
      <c r="A409" s="82">
        <v>1.1439585E-2</v>
      </c>
      <c r="B409" t="s">
        <v>46</v>
      </c>
      <c r="C409"/>
      <c r="D409"/>
      <c r="E409" t="s">
        <v>135</v>
      </c>
      <c r="F409"/>
      <c r="G409" t="s">
        <v>47</v>
      </c>
      <c r="H409"/>
      <c r="I409" s="159">
        <v>46300.351087962961</v>
      </c>
      <c r="J409" t="s">
        <v>587</v>
      </c>
      <c r="K409" t="s">
        <v>388</v>
      </c>
      <c r="L409" s="158">
        <v>46299</v>
      </c>
      <c r="M409" t="s">
        <v>586</v>
      </c>
      <c r="N409" t="s">
        <v>178</v>
      </c>
      <c r="O409" t="s">
        <v>179</v>
      </c>
      <c r="P409">
        <v>3</v>
      </c>
      <c r="Q409" t="s">
        <v>180</v>
      </c>
    </row>
    <row r="410" spans="1:17" s="3" customFormat="1">
      <c r="A410" s="82">
        <v>1.1350520104166666E-2</v>
      </c>
      <c r="B410" t="s">
        <v>46</v>
      </c>
      <c r="C410"/>
      <c r="D410"/>
      <c r="E410" t="s">
        <v>133</v>
      </c>
      <c r="F410"/>
      <c r="G410" t="s">
        <v>113</v>
      </c>
      <c r="H410"/>
      <c r="I410" s="159">
        <v>46300.351006944446</v>
      </c>
      <c r="J410" t="s">
        <v>587</v>
      </c>
      <c r="K410" t="s">
        <v>388</v>
      </c>
      <c r="L410" s="158">
        <v>46299</v>
      </c>
      <c r="M410" t="s">
        <v>586</v>
      </c>
      <c r="N410" t="s">
        <v>178</v>
      </c>
      <c r="O410" t="s">
        <v>179</v>
      </c>
      <c r="P410">
        <v>3</v>
      </c>
      <c r="Q410" t="s">
        <v>180</v>
      </c>
    </row>
    <row r="411" spans="1:17" s="3" customFormat="1">
      <c r="A411" s="82">
        <v>1.1332097708333334E-2</v>
      </c>
      <c r="B411" t="s">
        <v>46</v>
      </c>
      <c r="C411"/>
      <c r="D411"/>
      <c r="E411" t="s">
        <v>137</v>
      </c>
      <c r="F411"/>
      <c r="G411" t="s">
        <v>113</v>
      </c>
      <c r="H411"/>
      <c r="I411" s="159">
        <v>46300.350983796299</v>
      </c>
      <c r="J411" t="s">
        <v>587</v>
      </c>
      <c r="K411" t="s">
        <v>388</v>
      </c>
      <c r="L411" s="158">
        <v>46299</v>
      </c>
      <c r="M411" t="s">
        <v>586</v>
      </c>
      <c r="N411" t="s">
        <v>178</v>
      </c>
      <c r="O411" t="s">
        <v>179</v>
      </c>
      <c r="P411">
        <v>3</v>
      </c>
      <c r="Q411" t="s">
        <v>180</v>
      </c>
    </row>
    <row r="412" spans="1:17" s="3" customFormat="1">
      <c r="A412" s="82">
        <v>1.1319646481481482E-2</v>
      </c>
      <c r="B412" t="s">
        <v>46</v>
      </c>
      <c r="C412"/>
      <c r="D412"/>
      <c r="E412" t="s">
        <v>133</v>
      </c>
      <c r="F412"/>
      <c r="G412" t="s">
        <v>47</v>
      </c>
      <c r="H412"/>
      <c r="I412" s="159">
        <v>46300.350949074076</v>
      </c>
      <c r="J412" t="s">
        <v>587</v>
      </c>
      <c r="K412" t="s">
        <v>388</v>
      </c>
      <c r="L412" s="158">
        <v>46299</v>
      </c>
      <c r="M412" t="s">
        <v>586</v>
      </c>
      <c r="N412" t="s">
        <v>178</v>
      </c>
      <c r="O412" t="s">
        <v>179</v>
      </c>
      <c r="P412">
        <v>3</v>
      </c>
      <c r="Q412" t="s">
        <v>180</v>
      </c>
    </row>
    <row r="413" spans="1:17" s="3" customFormat="1">
      <c r="A413" s="82">
        <v>1.1238614930555555E-2</v>
      </c>
      <c r="B413" t="s">
        <v>46</v>
      </c>
      <c r="C413" t="s">
        <v>484</v>
      </c>
      <c r="D413"/>
      <c r="E413" t="s">
        <v>406</v>
      </c>
      <c r="F413"/>
      <c r="G413" t="s">
        <v>47</v>
      </c>
      <c r="H413"/>
      <c r="I413" s="159">
        <v>46300.350787037038</v>
      </c>
      <c r="J413" t="s">
        <v>587</v>
      </c>
      <c r="K413" t="s">
        <v>388</v>
      </c>
      <c r="L413" s="158">
        <v>46299</v>
      </c>
      <c r="M413" t="s">
        <v>586</v>
      </c>
      <c r="N413" t="s">
        <v>178</v>
      </c>
      <c r="O413" t="s">
        <v>179</v>
      </c>
      <c r="P413">
        <v>3</v>
      </c>
      <c r="Q413" t="s">
        <v>180</v>
      </c>
    </row>
    <row r="414" spans="1:17" s="3" customFormat="1">
      <c r="A414" s="82">
        <v>1.1145870740740742E-2</v>
      </c>
      <c r="B414" t="s">
        <v>46</v>
      </c>
      <c r="C414" t="s">
        <v>495</v>
      </c>
      <c r="D414"/>
      <c r="E414" t="s">
        <v>407</v>
      </c>
      <c r="F414"/>
      <c r="G414" t="s">
        <v>47</v>
      </c>
      <c r="H414"/>
      <c r="I414" s="159">
        <v>46300.350590277776</v>
      </c>
      <c r="J414" t="s">
        <v>587</v>
      </c>
      <c r="K414" t="s">
        <v>388</v>
      </c>
      <c r="L414" s="158">
        <v>46299</v>
      </c>
      <c r="M414" t="s">
        <v>586</v>
      </c>
      <c r="N414" t="s">
        <v>178</v>
      </c>
      <c r="O414" t="s">
        <v>179</v>
      </c>
      <c r="P414">
        <v>3</v>
      </c>
      <c r="Q414" t="s">
        <v>180</v>
      </c>
    </row>
    <row r="415" spans="1:17" s="3" customFormat="1">
      <c r="A415" s="82">
        <v>1.1099395949074074E-2</v>
      </c>
      <c r="B415" t="s">
        <v>46</v>
      </c>
      <c r="C415" t="s">
        <v>488</v>
      </c>
      <c r="D415"/>
      <c r="E415" t="s">
        <v>249</v>
      </c>
      <c r="F415"/>
      <c r="G415" t="s">
        <v>47</v>
      </c>
      <c r="H415"/>
      <c r="I415" s="159">
        <v>46300.350474537037</v>
      </c>
      <c r="J415" t="s">
        <v>587</v>
      </c>
      <c r="K415" t="s">
        <v>388</v>
      </c>
      <c r="L415" s="158">
        <v>46299</v>
      </c>
      <c r="M415" t="s">
        <v>586</v>
      </c>
      <c r="N415" t="s">
        <v>178</v>
      </c>
      <c r="O415" t="s">
        <v>179</v>
      </c>
      <c r="P415">
        <v>3</v>
      </c>
      <c r="Q415" t="s">
        <v>180</v>
      </c>
    </row>
    <row r="416" spans="1:17" s="3" customFormat="1">
      <c r="A416" s="82">
        <v>1.1052921331018518E-2</v>
      </c>
      <c r="B416" t="s">
        <v>46</v>
      </c>
      <c r="C416"/>
      <c r="D416"/>
      <c r="E416" t="s">
        <v>135</v>
      </c>
      <c r="F416"/>
      <c r="G416" t="s">
        <v>47</v>
      </c>
      <c r="H416"/>
      <c r="I416" s="159">
        <v>46300.350347222222</v>
      </c>
      <c r="J416" t="s">
        <v>587</v>
      </c>
      <c r="K416" t="s">
        <v>388</v>
      </c>
      <c r="L416" s="158">
        <v>46299</v>
      </c>
      <c r="M416" t="s">
        <v>586</v>
      </c>
      <c r="N416" t="s">
        <v>178</v>
      </c>
      <c r="O416" t="s">
        <v>179</v>
      </c>
      <c r="P416">
        <v>3</v>
      </c>
      <c r="Q416" t="s">
        <v>180</v>
      </c>
    </row>
    <row r="417" spans="1:17" s="3" customFormat="1">
      <c r="A417" s="82">
        <v>1.0986910833333334E-2</v>
      </c>
      <c r="B417" t="s">
        <v>46</v>
      </c>
      <c r="C417"/>
      <c r="D417"/>
      <c r="E417" t="s">
        <v>49</v>
      </c>
      <c r="F417"/>
      <c r="G417" t="s">
        <v>47</v>
      </c>
      <c r="H417"/>
      <c r="I417" s="159">
        <v>46300.350104166668</v>
      </c>
      <c r="J417" t="s">
        <v>587</v>
      </c>
      <c r="K417" t="s">
        <v>388</v>
      </c>
      <c r="L417" s="158">
        <v>46299</v>
      </c>
      <c r="M417" t="s">
        <v>586</v>
      </c>
      <c r="N417" t="s">
        <v>178</v>
      </c>
      <c r="O417" t="s">
        <v>179</v>
      </c>
      <c r="P417">
        <v>3</v>
      </c>
      <c r="Q417" t="s">
        <v>180</v>
      </c>
    </row>
    <row r="418" spans="1:17" s="3" customFormat="1">
      <c r="A418" s="82">
        <v>1.0762303101851851E-2</v>
      </c>
      <c r="B418" t="s">
        <v>46</v>
      </c>
      <c r="C418"/>
      <c r="D418"/>
      <c r="E418" t="s">
        <v>64</v>
      </c>
      <c r="F418"/>
      <c r="G418" t="s">
        <v>113</v>
      </c>
      <c r="H418"/>
      <c r="I418" s="159">
        <v>46300.349988425929</v>
      </c>
      <c r="J418" t="s">
        <v>587</v>
      </c>
      <c r="K418" t="s">
        <v>388</v>
      </c>
      <c r="L418" s="158">
        <v>46299</v>
      </c>
      <c r="M418" t="s">
        <v>586</v>
      </c>
      <c r="N418" t="s">
        <v>178</v>
      </c>
      <c r="O418" t="s">
        <v>179</v>
      </c>
      <c r="P418">
        <v>3</v>
      </c>
      <c r="Q418" t="s">
        <v>180</v>
      </c>
    </row>
    <row r="419" spans="1:17" s="3" customFormat="1">
      <c r="A419" s="82">
        <v>1.0086653668981482E-2</v>
      </c>
      <c r="B419" t="s">
        <v>46</v>
      </c>
      <c r="C419"/>
      <c r="D419"/>
      <c r="E419" t="s">
        <v>37</v>
      </c>
      <c r="F419"/>
      <c r="G419" t="s">
        <v>47</v>
      </c>
      <c r="H419"/>
      <c r="I419" s="159">
        <v>46300.349861111114</v>
      </c>
      <c r="J419" t="s">
        <v>587</v>
      </c>
      <c r="K419" t="s">
        <v>388</v>
      </c>
      <c r="L419" s="158">
        <v>46299</v>
      </c>
      <c r="M419" t="s">
        <v>586</v>
      </c>
      <c r="N419" t="s">
        <v>178</v>
      </c>
      <c r="O419" t="s">
        <v>179</v>
      </c>
      <c r="P419">
        <v>3</v>
      </c>
      <c r="Q419" t="s">
        <v>180</v>
      </c>
    </row>
    <row r="420" spans="1:17" s="3" customFormat="1">
      <c r="A420" s="82">
        <v>1.0086653668981482E-2</v>
      </c>
      <c r="B420" t="s">
        <v>46</v>
      </c>
      <c r="C420"/>
      <c r="D420"/>
      <c r="E420" t="s">
        <v>52</v>
      </c>
      <c r="F420"/>
      <c r="G420" t="s">
        <v>113</v>
      </c>
      <c r="H420"/>
      <c r="I420" s="159">
        <v>46300.349861111114</v>
      </c>
      <c r="J420" t="s">
        <v>587</v>
      </c>
      <c r="K420" t="s">
        <v>388</v>
      </c>
      <c r="L420" s="158">
        <v>46299</v>
      </c>
      <c r="M420" t="s">
        <v>586</v>
      </c>
      <c r="N420" t="s">
        <v>178</v>
      </c>
      <c r="O420" t="s">
        <v>179</v>
      </c>
      <c r="P420">
        <v>3</v>
      </c>
      <c r="Q420" t="s">
        <v>180</v>
      </c>
    </row>
    <row r="421" spans="1:17" s="3" customFormat="1">
      <c r="A421" s="82">
        <v>9.8864677777777774E-3</v>
      </c>
      <c r="B421" t="s">
        <v>46</v>
      </c>
      <c r="C421" t="s">
        <v>487</v>
      </c>
      <c r="D421"/>
      <c r="E421" t="s">
        <v>58</v>
      </c>
      <c r="F421"/>
      <c r="G421" t="s">
        <v>47</v>
      </c>
      <c r="H421"/>
      <c r="I421" s="159">
        <v>46300.349351851852</v>
      </c>
      <c r="J421" t="s">
        <v>587</v>
      </c>
      <c r="K421" t="s">
        <v>388</v>
      </c>
      <c r="L421" s="158">
        <v>46299</v>
      </c>
      <c r="M421" t="s">
        <v>586</v>
      </c>
      <c r="N421" t="s">
        <v>178</v>
      </c>
      <c r="O421" t="s">
        <v>179</v>
      </c>
      <c r="P421">
        <v>3</v>
      </c>
      <c r="Q421" t="s">
        <v>180</v>
      </c>
    </row>
    <row r="422" spans="1:17" s="3" customFormat="1">
      <c r="A422" s="82">
        <v>9.8441668981481475E-3</v>
      </c>
      <c r="B422" t="s">
        <v>46</v>
      </c>
      <c r="C422"/>
      <c r="D422"/>
      <c r="E422" t="s">
        <v>53</v>
      </c>
      <c r="F422"/>
      <c r="G422" t="s">
        <v>47</v>
      </c>
      <c r="H422"/>
      <c r="I422" s="159">
        <v>46300.348773148151</v>
      </c>
      <c r="J422" t="s">
        <v>587</v>
      </c>
      <c r="K422" t="s">
        <v>388</v>
      </c>
      <c r="L422" s="158">
        <v>46299</v>
      </c>
      <c r="M422" t="s">
        <v>586</v>
      </c>
      <c r="N422" t="s">
        <v>178</v>
      </c>
      <c r="O422" t="s">
        <v>179</v>
      </c>
      <c r="P422">
        <v>3</v>
      </c>
      <c r="Q422" t="s">
        <v>180</v>
      </c>
    </row>
    <row r="423" spans="1:17" s="3" customFormat="1">
      <c r="A423" s="82">
        <v>9.5827583333333334E-3</v>
      </c>
      <c r="B423" t="s">
        <v>46</v>
      </c>
      <c r="C423"/>
      <c r="D423"/>
      <c r="E423" t="s">
        <v>37</v>
      </c>
      <c r="F423"/>
      <c r="G423" t="s">
        <v>113</v>
      </c>
      <c r="H423"/>
      <c r="I423" s="159">
        <v>46300.348668981482</v>
      </c>
      <c r="J423" t="s">
        <v>587</v>
      </c>
      <c r="K423" t="s">
        <v>388</v>
      </c>
      <c r="L423" s="158">
        <v>46299</v>
      </c>
      <c r="M423" t="s">
        <v>586</v>
      </c>
      <c r="N423" t="s">
        <v>178</v>
      </c>
      <c r="O423" t="s">
        <v>179</v>
      </c>
      <c r="P423">
        <v>3</v>
      </c>
      <c r="Q423" t="s">
        <v>180</v>
      </c>
    </row>
    <row r="424" spans="1:17" s="3" customFormat="1">
      <c r="A424" s="82">
        <v>9.3196754398148143E-3</v>
      </c>
      <c r="B424" t="s">
        <v>46</v>
      </c>
      <c r="C424"/>
      <c r="D424"/>
      <c r="E424" t="s">
        <v>62</v>
      </c>
      <c r="F424"/>
      <c r="G424" t="s">
        <v>113</v>
      </c>
      <c r="H424"/>
      <c r="I424" s="159">
        <v>46300.348333333335</v>
      </c>
      <c r="J424" t="s">
        <v>587</v>
      </c>
      <c r="K424" t="s">
        <v>388</v>
      </c>
      <c r="L424" s="158">
        <v>46299</v>
      </c>
      <c r="M424" t="s">
        <v>586</v>
      </c>
      <c r="N424" t="s">
        <v>178</v>
      </c>
      <c r="O424" t="s">
        <v>179</v>
      </c>
      <c r="P424">
        <v>3</v>
      </c>
      <c r="Q424" t="s">
        <v>180</v>
      </c>
    </row>
    <row r="425" spans="1:17" s="3" customFormat="1">
      <c r="A425" s="82">
        <v>9.2683394328703702E-3</v>
      </c>
      <c r="B425" t="s">
        <v>46</v>
      </c>
      <c r="C425"/>
      <c r="D425"/>
      <c r="E425" t="s">
        <v>53</v>
      </c>
      <c r="F425"/>
      <c r="G425" t="s">
        <v>113</v>
      </c>
      <c r="H425"/>
      <c r="I425" s="159">
        <v>46300.347951388889</v>
      </c>
      <c r="J425" t="s">
        <v>587</v>
      </c>
      <c r="K425" t="s">
        <v>388</v>
      </c>
      <c r="L425" s="158">
        <v>46299</v>
      </c>
      <c r="M425" t="s">
        <v>586</v>
      </c>
      <c r="N425" t="s">
        <v>178</v>
      </c>
      <c r="O425" t="s">
        <v>179</v>
      </c>
      <c r="P425">
        <v>3</v>
      </c>
      <c r="Q425" t="s">
        <v>180</v>
      </c>
    </row>
    <row r="426" spans="1:17" s="3" customFormat="1">
      <c r="A426" s="82">
        <v>8.8935642013888896E-3</v>
      </c>
      <c r="B426" t="s">
        <v>46</v>
      </c>
      <c r="C426"/>
      <c r="D426"/>
      <c r="E426" t="s">
        <v>37</v>
      </c>
      <c r="F426"/>
      <c r="G426" t="s">
        <v>113</v>
      </c>
      <c r="H426"/>
      <c r="I426" s="159">
        <v>46300.347395833334</v>
      </c>
      <c r="J426" t="s">
        <v>587</v>
      </c>
      <c r="K426" t="s">
        <v>388</v>
      </c>
      <c r="L426" s="158">
        <v>46299</v>
      </c>
      <c r="M426" t="s">
        <v>586</v>
      </c>
      <c r="N426" t="s">
        <v>178</v>
      </c>
      <c r="O426" t="s">
        <v>179</v>
      </c>
      <c r="P426">
        <v>3</v>
      </c>
      <c r="Q426" t="s">
        <v>180</v>
      </c>
    </row>
    <row r="427" spans="1:17" s="3" customFormat="1">
      <c r="A427" s="82">
        <v>8.8075635300925922E-3</v>
      </c>
      <c r="B427" t="s">
        <v>46</v>
      </c>
      <c r="C427"/>
      <c r="D427"/>
      <c r="E427" t="s">
        <v>133</v>
      </c>
      <c r="F427"/>
      <c r="G427" t="s">
        <v>113</v>
      </c>
      <c r="H427" t="s">
        <v>596</v>
      </c>
      <c r="I427" s="159">
        <v>46300.347314814811</v>
      </c>
      <c r="J427" t="s">
        <v>587</v>
      </c>
      <c r="K427" t="s">
        <v>388</v>
      </c>
      <c r="L427" s="158">
        <v>46299</v>
      </c>
      <c r="M427" t="s">
        <v>586</v>
      </c>
      <c r="N427" t="s">
        <v>178</v>
      </c>
      <c r="O427" t="s">
        <v>179</v>
      </c>
      <c r="P427">
        <v>3</v>
      </c>
      <c r="Q427" t="s">
        <v>180</v>
      </c>
    </row>
    <row r="428" spans="1:17" s="3" customFormat="1">
      <c r="A428" s="82">
        <v>8.7726793865740751E-3</v>
      </c>
      <c r="B428" t="s">
        <v>46</v>
      </c>
      <c r="C428"/>
      <c r="D428"/>
      <c r="E428" t="s">
        <v>231</v>
      </c>
      <c r="F428"/>
      <c r="G428" t="s">
        <v>113</v>
      </c>
      <c r="H428"/>
      <c r="I428" s="159">
        <v>46300.347280092596</v>
      </c>
      <c r="J428" t="s">
        <v>587</v>
      </c>
      <c r="K428" t="s">
        <v>388</v>
      </c>
      <c r="L428" s="158">
        <v>46299</v>
      </c>
      <c r="M428" t="s">
        <v>586</v>
      </c>
      <c r="N428" t="s">
        <v>178</v>
      </c>
      <c r="O428" t="s">
        <v>179</v>
      </c>
      <c r="P428">
        <v>3</v>
      </c>
      <c r="Q428" t="s">
        <v>180</v>
      </c>
    </row>
    <row r="429" spans="1:17" s="3" customFormat="1">
      <c r="A429" s="82">
        <v>8.6958940972222225E-3</v>
      </c>
      <c r="B429" t="s">
        <v>46</v>
      </c>
      <c r="C429"/>
      <c r="D429"/>
      <c r="E429" t="s">
        <v>54</v>
      </c>
      <c r="F429"/>
      <c r="G429" t="s">
        <v>113</v>
      </c>
      <c r="H429"/>
      <c r="I429" s="159">
        <v>46300.346967592595</v>
      </c>
      <c r="J429" t="s">
        <v>587</v>
      </c>
      <c r="K429" t="s">
        <v>388</v>
      </c>
      <c r="L429" s="158">
        <v>46299</v>
      </c>
      <c r="M429" t="s">
        <v>586</v>
      </c>
      <c r="N429" t="s">
        <v>178</v>
      </c>
      <c r="O429" t="s">
        <v>179</v>
      </c>
      <c r="P429">
        <v>3</v>
      </c>
      <c r="Q429" t="s">
        <v>180</v>
      </c>
    </row>
    <row r="430" spans="1:17" s="3" customFormat="1">
      <c r="A430" s="82">
        <v>8.2884220601851851E-3</v>
      </c>
      <c r="B430" t="s">
        <v>46</v>
      </c>
      <c r="C430"/>
      <c r="D430"/>
      <c r="E430" t="s">
        <v>37</v>
      </c>
      <c r="F430"/>
      <c r="G430" t="s">
        <v>113</v>
      </c>
      <c r="H430"/>
      <c r="I430" s="159">
        <v>46300.34679398148</v>
      </c>
      <c r="J430" t="s">
        <v>587</v>
      </c>
      <c r="K430" t="s">
        <v>388</v>
      </c>
      <c r="L430" s="158">
        <v>46299</v>
      </c>
      <c r="M430" t="s">
        <v>586</v>
      </c>
      <c r="N430" t="s">
        <v>178</v>
      </c>
      <c r="O430" t="s">
        <v>179</v>
      </c>
      <c r="P430">
        <v>3</v>
      </c>
      <c r="Q430" t="s">
        <v>180</v>
      </c>
    </row>
    <row r="431" spans="1:17" s="3" customFormat="1">
      <c r="A431" s="82">
        <v>8.2884220601851851E-3</v>
      </c>
      <c r="B431" t="s">
        <v>46</v>
      </c>
      <c r="C431" t="s">
        <v>489</v>
      </c>
      <c r="D431"/>
      <c r="E431" t="s">
        <v>57</v>
      </c>
      <c r="F431"/>
      <c r="G431" t="s">
        <v>113</v>
      </c>
      <c r="H431"/>
      <c r="I431" s="159">
        <v>46300.346736111111</v>
      </c>
      <c r="J431" t="s">
        <v>587</v>
      </c>
      <c r="K431" t="s">
        <v>388</v>
      </c>
      <c r="L431" s="158">
        <v>46299</v>
      </c>
      <c r="M431" t="s">
        <v>586</v>
      </c>
      <c r="N431" t="s">
        <v>178</v>
      </c>
      <c r="O431" t="s">
        <v>179</v>
      </c>
      <c r="P431">
        <v>3</v>
      </c>
      <c r="Q431" t="s">
        <v>180</v>
      </c>
    </row>
    <row r="432" spans="1:17" s="3" customFormat="1">
      <c r="A432" s="82">
        <v>8.2884220601851851E-3</v>
      </c>
      <c r="B432" t="s">
        <v>46</v>
      </c>
      <c r="C432" t="s">
        <v>514</v>
      </c>
      <c r="D432"/>
      <c r="E432" t="s">
        <v>9</v>
      </c>
      <c r="F432"/>
      <c r="G432" t="s">
        <v>113</v>
      </c>
      <c r="H432"/>
      <c r="I432" s="159">
        <v>46300.346701388888</v>
      </c>
      <c r="J432" t="s">
        <v>587</v>
      </c>
      <c r="K432" t="s">
        <v>388</v>
      </c>
      <c r="L432" s="158">
        <v>46299</v>
      </c>
      <c r="M432" t="s">
        <v>586</v>
      </c>
      <c r="N432" t="s">
        <v>178</v>
      </c>
      <c r="O432" t="s">
        <v>179</v>
      </c>
      <c r="P432">
        <v>3</v>
      </c>
      <c r="Q432" t="s">
        <v>180</v>
      </c>
    </row>
    <row r="433" spans="1:17" s="3" customFormat="1">
      <c r="A433" s="82">
        <v>8.2720975231481472E-3</v>
      </c>
      <c r="B433" t="s">
        <v>46</v>
      </c>
      <c r="C433" t="s">
        <v>487</v>
      </c>
      <c r="D433"/>
      <c r="E433" t="s">
        <v>132</v>
      </c>
      <c r="F433"/>
      <c r="G433" t="s">
        <v>47</v>
      </c>
      <c r="H433"/>
      <c r="I433" s="159">
        <v>46300.346354166664</v>
      </c>
      <c r="J433" t="s">
        <v>587</v>
      </c>
      <c r="K433" t="s">
        <v>388</v>
      </c>
      <c r="L433" s="158">
        <v>46299</v>
      </c>
      <c r="M433" t="s">
        <v>586</v>
      </c>
      <c r="N433" t="s">
        <v>178</v>
      </c>
      <c r="O433" t="s">
        <v>179</v>
      </c>
      <c r="P433">
        <v>3</v>
      </c>
      <c r="Q433" t="s">
        <v>180</v>
      </c>
    </row>
    <row r="434" spans="1:17" s="3" customFormat="1">
      <c r="A434" s="82">
        <v>8.1910496412037036E-3</v>
      </c>
      <c r="B434" t="s">
        <v>46</v>
      </c>
      <c r="C434" t="s">
        <v>491</v>
      </c>
      <c r="D434"/>
      <c r="E434" t="s">
        <v>406</v>
      </c>
      <c r="F434"/>
      <c r="G434" t="s">
        <v>47</v>
      </c>
      <c r="H434"/>
      <c r="I434" s="159">
        <v>46300.346168981479</v>
      </c>
      <c r="J434" t="s">
        <v>587</v>
      </c>
      <c r="K434" t="s">
        <v>388</v>
      </c>
      <c r="L434" s="158">
        <v>46299</v>
      </c>
      <c r="M434" t="s">
        <v>586</v>
      </c>
      <c r="N434" t="s">
        <v>178</v>
      </c>
      <c r="O434" t="s">
        <v>179</v>
      </c>
      <c r="P434">
        <v>3</v>
      </c>
      <c r="Q434" t="s">
        <v>180</v>
      </c>
    </row>
    <row r="435" spans="1:17" s="3" customFormat="1">
      <c r="A435" s="82">
        <v>7.9532812037037045E-3</v>
      </c>
      <c r="B435" t="s">
        <v>46</v>
      </c>
      <c r="C435" t="s">
        <v>486</v>
      </c>
      <c r="D435"/>
      <c r="E435" t="s">
        <v>60</v>
      </c>
      <c r="F435"/>
      <c r="G435" t="s">
        <v>47</v>
      </c>
      <c r="H435"/>
      <c r="I435" s="159">
        <v>46300.345694444448</v>
      </c>
      <c r="J435" t="s">
        <v>587</v>
      </c>
      <c r="K435" t="s">
        <v>388</v>
      </c>
      <c r="L435" s="158">
        <v>46299</v>
      </c>
      <c r="M435" t="s">
        <v>586</v>
      </c>
      <c r="N435" t="s">
        <v>178</v>
      </c>
      <c r="O435" t="s">
        <v>179</v>
      </c>
      <c r="P435">
        <v>3</v>
      </c>
      <c r="Q435" t="s">
        <v>180</v>
      </c>
    </row>
    <row r="436" spans="1:17" s="3" customFormat="1">
      <c r="A436" s="82">
        <v>7.9090028935185179E-3</v>
      </c>
      <c r="B436" t="s">
        <v>46</v>
      </c>
      <c r="C436"/>
      <c r="D436"/>
      <c r="E436" t="s">
        <v>53</v>
      </c>
      <c r="F436"/>
      <c r="G436" t="s">
        <v>47</v>
      </c>
      <c r="H436"/>
      <c r="I436" s="159">
        <v>46300.345000000001</v>
      </c>
      <c r="J436" t="s">
        <v>587</v>
      </c>
      <c r="K436" t="s">
        <v>388</v>
      </c>
      <c r="L436" s="158">
        <v>46299</v>
      </c>
      <c r="M436" t="s">
        <v>586</v>
      </c>
      <c r="N436" t="s">
        <v>178</v>
      </c>
      <c r="O436" t="s">
        <v>179</v>
      </c>
      <c r="P436">
        <v>3</v>
      </c>
      <c r="Q436" t="s">
        <v>180</v>
      </c>
    </row>
    <row r="437" spans="1:17" s="3" customFormat="1">
      <c r="A437" s="82">
        <v>7.3005173263888884E-3</v>
      </c>
      <c r="B437" t="s">
        <v>46</v>
      </c>
      <c r="C437"/>
      <c r="D437"/>
      <c r="E437" t="s">
        <v>37</v>
      </c>
      <c r="F437"/>
      <c r="G437" t="s">
        <v>47</v>
      </c>
      <c r="H437"/>
      <c r="I437" s="159">
        <v>46300.344907407409</v>
      </c>
      <c r="J437" t="s">
        <v>587</v>
      </c>
      <c r="K437" t="s">
        <v>388</v>
      </c>
      <c r="L437" s="158">
        <v>46299</v>
      </c>
      <c r="M437" t="s">
        <v>586</v>
      </c>
      <c r="N437" t="s">
        <v>178</v>
      </c>
      <c r="O437" t="s">
        <v>179</v>
      </c>
      <c r="P437">
        <v>3</v>
      </c>
      <c r="Q437" t="s">
        <v>180</v>
      </c>
    </row>
    <row r="438" spans="1:17" s="3" customFormat="1">
      <c r="A438" s="82">
        <v>7.3005173263888884E-3</v>
      </c>
      <c r="B438" t="s">
        <v>46</v>
      </c>
      <c r="C438"/>
      <c r="D438"/>
      <c r="E438" t="s">
        <v>160</v>
      </c>
      <c r="F438" t="s">
        <v>539</v>
      </c>
      <c r="G438" t="s">
        <v>47</v>
      </c>
      <c r="H438"/>
      <c r="I438" s="159">
        <v>46300.344895833332</v>
      </c>
      <c r="J438" t="s">
        <v>587</v>
      </c>
      <c r="K438" t="s">
        <v>388</v>
      </c>
      <c r="L438" s="158">
        <v>46299</v>
      </c>
      <c r="M438" t="s">
        <v>586</v>
      </c>
      <c r="N438" t="s">
        <v>178</v>
      </c>
      <c r="O438" t="s">
        <v>179</v>
      </c>
      <c r="P438">
        <v>3</v>
      </c>
      <c r="Q438" t="s">
        <v>180</v>
      </c>
    </row>
    <row r="439" spans="1:17" s="3" customFormat="1">
      <c r="A439" s="82">
        <v>7.2428796990740745E-3</v>
      </c>
      <c r="B439" t="s">
        <v>46</v>
      </c>
      <c r="C439" t="s">
        <v>490</v>
      </c>
      <c r="D439"/>
      <c r="E439" t="s">
        <v>406</v>
      </c>
      <c r="F439"/>
      <c r="G439" t="s">
        <v>47</v>
      </c>
      <c r="H439"/>
      <c r="I439" s="159">
        <v>46300.344710648147</v>
      </c>
      <c r="J439" t="s">
        <v>587</v>
      </c>
      <c r="K439" t="s">
        <v>388</v>
      </c>
      <c r="L439" s="158">
        <v>46299</v>
      </c>
      <c r="M439" t="s">
        <v>586</v>
      </c>
      <c r="N439" t="s">
        <v>178</v>
      </c>
      <c r="O439" t="s">
        <v>179</v>
      </c>
      <c r="P439">
        <v>3</v>
      </c>
      <c r="Q439" t="s">
        <v>180</v>
      </c>
    </row>
    <row r="440" spans="1:17" s="3" customFormat="1">
      <c r="A440" s="82">
        <v>7.0998132870370365E-3</v>
      </c>
      <c r="B440" t="s">
        <v>46</v>
      </c>
      <c r="C440" t="s">
        <v>495</v>
      </c>
      <c r="D440"/>
      <c r="E440" t="s">
        <v>407</v>
      </c>
      <c r="F440"/>
      <c r="G440" t="s">
        <v>47</v>
      </c>
      <c r="H440"/>
      <c r="I440" s="159">
        <v>46300.344409722224</v>
      </c>
      <c r="J440" t="s">
        <v>587</v>
      </c>
      <c r="K440" t="s">
        <v>388</v>
      </c>
      <c r="L440" s="158">
        <v>46299</v>
      </c>
      <c r="M440" t="s">
        <v>586</v>
      </c>
      <c r="N440" t="s">
        <v>178</v>
      </c>
      <c r="O440" t="s">
        <v>179</v>
      </c>
      <c r="P440">
        <v>3</v>
      </c>
      <c r="Q440" t="s">
        <v>180</v>
      </c>
    </row>
    <row r="441" spans="1:17" s="3" customFormat="1">
      <c r="A441" s="82">
        <v>7.0511375000000005E-3</v>
      </c>
      <c r="B441" t="s">
        <v>46</v>
      </c>
      <c r="C441" t="s">
        <v>487</v>
      </c>
      <c r="D441"/>
      <c r="E441" t="s">
        <v>59</v>
      </c>
      <c r="F441"/>
      <c r="G441" t="s">
        <v>113</v>
      </c>
      <c r="H441"/>
      <c r="I441" s="159">
        <v>46300.344039351854</v>
      </c>
      <c r="J441" t="s">
        <v>587</v>
      </c>
      <c r="K441" t="s">
        <v>388</v>
      </c>
      <c r="L441" s="158">
        <v>46299</v>
      </c>
      <c r="M441" t="s">
        <v>586</v>
      </c>
      <c r="N441" t="s">
        <v>178</v>
      </c>
      <c r="O441" t="s">
        <v>179</v>
      </c>
      <c r="P441">
        <v>3</v>
      </c>
      <c r="Q441" t="s">
        <v>180</v>
      </c>
    </row>
    <row r="442" spans="1:17" s="3" customFormat="1">
      <c r="A442" s="82">
        <v>6.9968232060185183E-3</v>
      </c>
      <c r="B442" t="s">
        <v>46</v>
      </c>
      <c r="C442"/>
      <c r="D442"/>
      <c r="E442" t="s">
        <v>53</v>
      </c>
      <c r="F442"/>
      <c r="G442" t="s">
        <v>113</v>
      </c>
      <c r="H442"/>
      <c r="I442" s="159">
        <v>46300.34337962963</v>
      </c>
      <c r="J442" t="s">
        <v>587</v>
      </c>
      <c r="K442" t="s">
        <v>388</v>
      </c>
      <c r="L442" s="158">
        <v>46299</v>
      </c>
      <c r="M442" t="s">
        <v>586</v>
      </c>
      <c r="N442" t="s">
        <v>178</v>
      </c>
      <c r="O442" t="s">
        <v>179</v>
      </c>
      <c r="P442">
        <v>3</v>
      </c>
      <c r="Q442" t="s">
        <v>180</v>
      </c>
    </row>
    <row r="443" spans="1:17" s="3" customFormat="1">
      <c r="A443" s="82">
        <v>6.7604776736111113E-3</v>
      </c>
      <c r="B443" t="s">
        <v>46</v>
      </c>
      <c r="C443"/>
      <c r="D443"/>
      <c r="E443" t="s">
        <v>37</v>
      </c>
      <c r="F443"/>
      <c r="G443" t="s">
        <v>47</v>
      </c>
      <c r="H443"/>
      <c r="I443" s="159">
        <v>46300.343321759261</v>
      </c>
      <c r="J443" t="s">
        <v>587</v>
      </c>
      <c r="K443" t="s">
        <v>388</v>
      </c>
      <c r="L443" s="158">
        <v>46299</v>
      </c>
      <c r="M443" t="s">
        <v>586</v>
      </c>
      <c r="N443" t="s">
        <v>178</v>
      </c>
      <c r="O443" t="s">
        <v>179</v>
      </c>
      <c r="P443">
        <v>3</v>
      </c>
      <c r="Q443" t="s">
        <v>180</v>
      </c>
    </row>
    <row r="444" spans="1:17" s="3" customFormat="1">
      <c r="A444" s="82">
        <v>6.7021161805555559E-3</v>
      </c>
      <c r="B444" t="s">
        <v>46</v>
      </c>
      <c r="C444"/>
      <c r="D444"/>
      <c r="E444" t="s">
        <v>133</v>
      </c>
      <c r="F444"/>
      <c r="G444" t="s">
        <v>47</v>
      </c>
      <c r="H444"/>
      <c r="I444" s="159">
        <v>46300.343263888892</v>
      </c>
      <c r="J444" t="s">
        <v>587</v>
      </c>
      <c r="K444" t="s">
        <v>388</v>
      </c>
      <c r="L444" s="158">
        <v>46299</v>
      </c>
      <c r="M444" t="s">
        <v>586</v>
      </c>
      <c r="N444" t="s">
        <v>178</v>
      </c>
      <c r="O444" t="s">
        <v>179</v>
      </c>
      <c r="P444">
        <v>3</v>
      </c>
      <c r="Q444" t="s">
        <v>180</v>
      </c>
    </row>
    <row r="445" spans="1:17" s="3" customFormat="1">
      <c r="A445" s="82">
        <v>6.6590511574074083E-3</v>
      </c>
      <c r="B445" t="s">
        <v>46</v>
      </c>
      <c r="C445"/>
      <c r="D445"/>
      <c r="E445" t="s">
        <v>135</v>
      </c>
      <c r="F445"/>
      <c r="G445" t="s">
        <v>47</v>
      </c>
      <c r="H445"/>
      <c r="I445" s="159">
        <v>46300.343206018515</v>
      </c>
      <c r="J445" t="s">
        <v>587</v>
      </c>
      <c r="K445" t="s">
        <v>388</v>
      </c>
      <c r="L445" s="158">
        <v>46299</v>
      </c>
      <c r="M445" t="s">
        <v>586</v>
      </c>
      <c r="N445" t="s">
        <v>178</v>
      </c>
      <c r="O445" t="s">
        <v>179</v>
      </c>
      <c r="P445">
        <v>3</v>
      </c>
      <c r="Q445" t="s">
        <v>180</v>
      </c>
    </row>
    <row r="446" spans="1:17" s="3" customFormat="1">
      <c r="A446" s="82">
        <v>6.6590511574074083E-3</v>
      </c>
      <c r="B446" t="s">
        <v>46</v>
      </c>
      <c r="C446"/>
      <c r="D446"/>
      <c r="E446" t="s">
        <v>133</v>
      </c>
      <c r="F446"/>
      <c r="G446" t="s">
        <v>113</v>
      </c>
      <c r="H446"/>
      <c r="I446" s="159">
        <v>46300.343182870369</v>
      </c>
      <c r="J446" t="s">
        <v>587</v>
      </c>
      <c r="K446" t="s">
        <v>388</v>
      </c>
      <c r="L446" s="158">
        <v>46299</v>
      </c>
      <c r="M446" t="s">
        <v>586</v>
      </c>
      <c r="N446" t="s">
        <v>178</v>
      </c>
      <c r="O446" t="s">
        <v>179</v>
      </c>
      <c r="P446">
        <v>3</v>
      </c>
      <c r="Q446" t="s">
        <v>180</v>
      </c>
    </row>
    <row r="447" spans="1:17" s="3" customFormat="1">
      <c r="A447" s="82">
        <v>6.6007683217592589E-3</v>
      </c>
      <c r="B447" t="s">
        <v>46</v>
      </c>
      <c r="C447"/>
      <c r="D447"/>
      <c r="E447" t="s">
        <v>137</v>
      </c>
      <c r="F447"/>
      <c r="G447" t="s">
        <v>113</v>
      </c>
      <c r="H447"/>
      <c r="I447" s="159">
        <v>46300.343078703707</v>
      </c>
      <c r="J447" t="s">
        <v>587</v>
      </c>
      <c r="K447" t="s">
        <v>388</v>
      </c>
      <c r="L447" s="158">
        <v>46299</v>
      </c>
      <c r="M447" t="s">
        <v>586</v>
      </c>
      <c r="N447" t="s">
        <v>178</v>
      </c>
      <c r="O447" t="s">
        <v>179</v>
      </c>
      <c r="P447">
        <v>3</v>
      </c>
      <c r="Q447" t="s">
        <v>180</v>
      </c>
    </row>
    <row r="448" spans="1:17" s="3" customFormat="1">
      <c r="A448" s="82">
        <v>6.5566879861111106E-3</v>
      </c>
      <c r="B448" t="s">
        <v>46</v>
      </c>
      <c r="C448"/>
      <c r="D448"/>
      <c r="E448" t="s">
        <v>49</v>
      </c>
      <c r="F448"/>
      <c r="G448" t="s">
        <v>47</v>
      </c>
      <c r="H448"/>
      <c r="I448" s="159">
        <v>46300.342627314814</v>
      </c>
      <c r="J448" t="s">
        <v>587</v>
      </c>
      <c r="K448" t="s">
        <v>388</v>
      </c>
      <c r="L448" s="158">
        <v>46299</v>
      </c>
      <c r="M448" t="s">
        <v>586</v>
      </c>
      <c r="N448" t="s">
        <v>178</v>
      </c>
      <c r="O448" t="s">
        <v>179</v>
      </c>
      <c r="P448">
        <v>3</v>
      </c>
      <c r="Q448" t="s">
        <v>180</v>
      </c>
    </row>
    <row r="449" spans="1:17" s="3" customFormat="1">
      <c r="A449" s="82">
        <v>5.7122586342592593E-3</v>
      </c>
      <c r="B449" t="s">
        <v>46</v>
      </c>
      <c r="C449"/>
      <c r="D449"/>
      <c r="E449" t="s">
        <v>37</v>
      </c>
      <c r="F449"/>
      <c r="G449" t="s">
        <v>113</v>
      </c>
      <c r="H449"/>
      <c r="I449" s="159">
        <v>46300.342291666668</v>
      </c>
      <c r="J449" t="s">
        <v>587</v>
      </c>
      <c r="K449" t="s">
        <v>388</v>
      </c>
      <c r="L449" s="158">
        <v>46299</v>
      </c>
      <c r="M449" t="s">
        <v>586</v>
      </c>
      <c r="N449" t="s">
        <v>178</v>
      </c>
      <c r="O449" t="s">
        <v>179</v>
      </c>
      <c r="P449">
        <v>3</v>
      </c>
      <c r="Q449" t="s">
        <v>180</v>
      </c>
    </row>
    <row r="450" spans="1:17" s="3" customFormat="1">
      <c r="A450" s="82">
        <v>5.7122586342592593E-3</v>
      </c>
      <c r="B450" t="s">
        <v>46</v>
      </c>
      <c r="C450" t="s">
        <v>42</v>
      </c>
      <c r="D450" t="s">
        <v>32</v>
      </c>
      <c r="E450" t="s">
        <v>161</v>
      </c>
      <c r="F450" t="s">
        <v>520</v>
      </c>
      <c r="G450" t="s">
        <v>113</v>
      </c>
      <c r="H450"/>
      <c r="I450" s="159">
        <v>46300.342291666668</v>
      </c>
      <c r="J450" t="s">
        <v>587</v>
      </c>
      <c r="K450" t="s">
        <v>388</v>
      </c>
      <c r="L450" s="158">
        <v>46299</v>
      </c>
      <c r="M450" t="s">
        <v>586</v>
      </c>
      <c r="N450" t="s">
        <v>178</v>
      </c>
      <c r="O450" t="s">
        <v>179</v>
      </c>
      <c r="P450">
        <v>3</v>
      </c>
      <c r="Q450" t="s">
        <v>180</v>
      </c>
    </row>
    <row r="451" spans="1:17" s="3" customFormat="1">
      <c r="A451" s="82">
        <v>5.1872701273148148E-3</v>
      </c>
      <c r="B451" t="s">
        <v>46</v>
      </c>
      <c r="C451"/>
      <c r="D451"/>
      <c r="E451" t="s">
        <v>62</v>
      </c>
      <c r="F451"/>
      <c r="G451" t="s">
        <v>113</v>
      </c>
      <c r="H451"/>
      <c r="I451" s="159">
        <v>46300.341319444444</v>
      </c>
      <c r="J451" t="s">
        <v>587</v>
      </c>
      <c r="K451" t="s">
        <v>388</v>
      </c>
      <c r="L451" s="158">
        <v>46299</v>
      </c>
      <c r="M451" t="s">
        <v>586</v>
      </c>
      <c r="N451" t="s">
        <v>178</v>
      </c>
      <c r="O451" t="s">
        <v>179</v>
      </c>
      <c r="P451">
        <v>3</v>
      </c>
      <c r="Q451" t="s">
        <v>180</v>
      </c>
    </row>
    <row r="452" spans="1:17" s="3" customFormat="1">
      <c r="A452" s="82">
        <v>5.1165163773148154E-3</v>
      </c>
      <c r="B452" t="s">
        <v>46</v>
      </c>
      <c r="C452"/>
      <c r="D452"/>
      <c r="E452" t="s">
        <v>53</v>
      </c>
      <c r="F452"/>
      <c r="G452" t="s">
        <v>113</v>
      </c>
      <c r="H452"/>
      <c r="I452" s="159">
        <v>46300.340821759259</v>
      </c>
      <c r="J452" t="s">
        <v>587</v>
      </c>
      <c r="K452" t="s">
        <v>388</v>
      </c>
      <c r="L452" s="158">
        <v>46299</v>
      </c>
      <c r="M452" t="s">
        <v>586</v>
      </c>
      <c r="N452" t="s">
        <v>178</v>
      </c>
      <c r="O452" t="s">
        <v>179</v>
      </c>
      <c r="P452">
        <v>3</v>
      </c>
      <c r="Q452" t="s">
        <v>180</v>
      </c>
    </row>
    <row r="453" spans="1:17" s="3" customFormat="1">
      <c r="A453" s="82">
        <v>4.7624702199074069E-3</v>
      </c>
      <c r="B453" t="s">
        <v>46</v>
      </c>
      <c r="C453"/>
      <c r="D453"/>
      <c r="E453" t="s">
        <v>37</v>
      </c>
      <c r="F453"/>
      <c r="G453" t="s">
        <v>113</v>
      </c>
      <c r="H453"/>
      <c r="I453" s="159">
        <v>46300.340567129628</v>
      </c>
      <c r="J453" t="s">
        <v>587</v>
      </c>
      <c r="K453" t="s">
        <v>388</v>
      </c>
      <c r="L453" s="158">
        <v>46299</v>
      </c>
      <c r="M453" t="s">
        <v>586</v>
      </c>
      <c r="N453" t="s">
        <v>178</v>
      </c>
      <c r="O453" t="s">
        <v>179</v>
      </c>
      <c r="P453">
        <v>3</v>
      </c>
      <c r="Q453" t="s">
        <v>180</v>
      </c>
    </row>
    <row r="454" spans="1:17" s="3" customFormat="1">
      <c r="A454" s="82">
        <v>4.7624702199074069E-3</v>
      </c>
      <c r="B454" t="s">
        <v>46</v>
      </c>
      <c r="C454" t="s">
        <v>512</v>
      </c>
      <c r="D454" t="s">
        <v>153</v>
      </c>
      <c r="E454" t="s">
        <v>161</v>
      </c>
      <c r="F454" t="s">
        <v>538</v>
      </c>
      <c r="G454" t="s">
        <v>113</v>
      </c>
      <c r="H454"/>
      <c r="I454" s="159">
        <v>46300.340567129628</v>
      </c>
      <c r="J454" t="s">
        <v>587</v>
      </c>
      <c r="K454" t="s">
        <v>388</v>
      </c>
      <c r="L454" s="158">
        <v>46299</v>
      </c>
      <c r="M454" t="s">
        <v>586</v>
      </c>
      <c r="N454" t="s">
        <v>178</v>
      </c>
      <c r="O454" t="s">
        <v>179</v>
      </c>
      <c r="P454">
        <v>3</v>
      </c>
      <c r="Q454" t="s">
        <v>180</v>
      </c>
    </row>
    <row r="455" spans="1:17" s="3" customFormat="1">
      <c r="A455" s="82">
        <v>4.662597777777778E-3</v>
      </c>
      <c r="B455" t="s">
        <v>46</v>
      </c>
      <c r="C455" t="s">
        <v>484</v>
      </c>
      <c r="D455"/>
      <c r="E455" t="s">
        <v>82</v>
      </c>
      <c r="F455"/>
      <c r="G455" t="s">
        <v>113</v>
      </c>
      <c r="H455"/>
      <c r="I455" s="159">
        <v>46300.340243055558</v>
      </c>
      <c r="J455" t="s">
        <v>587</v>
      </c>
      <c r="K455" t="s">
        <v>388</v>
      </c>
      <c r="L455" s="158">
        <v>46299</v>
      </c>
      <c r="M455" t="s">
        <v>586</v>
      </c>
      <c r="N455" t="s">
        <v>178</v>
      </c>
      <c r="O455" t="s">
        <v>179</v>
      </c>
      <c r="P455">
        <v>3</v>
      </c>
      <c r="Q455" t="s">
        <v>180</v>
      </c>
    </row>
    <row r="456" spans="1:17" s="3" customFormat="1">
      <c r="A456" s="82">
        <v>4.662597777777778E-3</v>
      </c>
      <c r="B456" t="s">
        <v>46</v>
      </c>
      <c r="C456" t="s">
        <v>512</v>
      </c>
      <c r="D456"/>
      <c r="E456" t="s">
        <v>82</v>
      </c>
      <c r="F456"/>
      <c r="G456" t="s">
        <v>113</v>
      </c>
      <c r="H456"/>
      <c r="I456" s="159">
        <v>46300.340231481481</v>
      </c>
      <c r="J456" t="s">
        <v>587</v>
      </c>
      <c r="K456" t="s">
        <v>388</v>
      </c>
      <c r="L456" s="158">
        <v>46299</v>
      </c>
      <c r="M456" t="s">
        <v>586</v>
      </c>
      <c r="N456" t="s">
        <v>178</v>
      </c>
      <c r="O456" t="s">
        <v>179</v>
      </c>
      <c r="P456">
        <v>3</v>
      </c>
      <c r="Q456" t="s">
        <v>180</v>
      </c>
    </row>
    <row r="457" spans="1:17" s="3" customFormat="1">
      <c r="A457" s="82">
        <v>4.5793884722222216E-3</v>
      </c>
      <c r="B457" t="s">
        <v>46</v>
      </c>
      <c r="C457" t="s">
        <v>511</v>
      </c>
      <c r="D457"/>
      <c r="E457" t="s">
        <v>57</v>
      </c>
      <c r="F457"/>
      <c r="G457" t="s">
        <v>113</v>
      </c>
      <c r="H457"/>
      <c r="I457" s="159">
        <v>46300.339965277781</v>
      </c>
      <c r="J457" t="s">
        <v>587</v>
      </c>
      <c r="K457" t="s">
        <v>388</v>
      </c>
      <c r="L457" s="158">
        <v>46299</v>
      </c>
      <c r="M457" t="s">
        <v>586</v>
      </c>
      <c r="N457" t="s">
        <v>178</v>
      </c>
      <c r="O457" t="s">
        <v>179</v>
      </c>
      <c r="P457">
        <v>3</v>
      </c>
      <c r="Q457" t="s">
        <v>180</v>
      </c>
    </row>
    <row r="458" spans="1:17" s="3" customFormat="1">
      <c r="A458" s="82">
        <v>4.5578927546296296E-3</v>
      </c>
      <c r="B458" t="s">
        <v>46</v>
      </c>
      <c r="C458"/>
      <c r="D458"/>
      <c r="E458" t="s">
        <v>137</v>
      </c>
      <c r="F458"/>
      <c r="G458" t="s">
        <v>113</v>
      </c>
      <c r="H458"/>
      <c r="I458" s="159">
        <v>46300.339930555558</v>
      </c>
      <c r="J458" t="s">
        <v>587</v>
      </c>
      <c r="K458" t="s">
        <v>388</v>
      </c>
      <c r="L458" s="158">
        <v>46299</v>
      </c>
      <c r="M458" t="s">
        <v>586</v>
      </c>
      <c r="N458" t="s">
        <v>178</v>
      </c>
      <c r="O458" t="s">
        <v>179</v>
      </c>
      <c r="P458">
        <v>3</v>
      </c>
      <c r="Q458" t="s">
        <v>180</v>
      </c>
    </row>
    <row r="459" spans="1:17" s="3" customFormat="1">
      <c r="A459" s="82">
        <v>4.5165256018518517E-3</v>
      </c>
      <c r="B459" t="s">
        <v>46</v>
      </c>
      <c r="C459"/>
      <c r="D459"/>
      <c r="E459" t="s">
        <v>49</v>
      </c>
      <c r="F459"/>
      <c r="G459" t="s">
        <v>47</v>
      </c>
      <c r="H459"/>
      <c r="I459" s="159">
        <v>46300.338680555556</v>
      </c>
      <c r="J459" t="s">
        <v>587</v>
      </c>
      <c r="K459" t="s">
        <v>388</v>
      </c>
      <c r="L459" s="158">
        <v>46299</v>
      </c>
      <c r="M459" t="s">
        <v>586</v>
      </c>
      <c r="N459" t="s">
        <v>178</v>
      </c>
      <c r="O459" t="s">
        <v>179</v>
      </c>
      <c r="P459">
        <v>3</v>
      </c>
      <c r="Q459" t="s">
        <v>180</v>
      </c>
    </row>
    <row r="460" spans="1:17" s="3" customFormat="1"/>
    <row r="461" spans="1:17" s="3" customFormat="1"/>
    <row r="462" spans="1:17" s="3" customFormat="1"/>
    <row r="463" spans="1:17" s="3" customFormat="1"/>
    <row r="464" spans="1:17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pans="1:17" s="3" customFormat="1"/>
    <row r="514" spans="1:17" s="3" customFormat="1"/>
    <row r="515" spans="1:17" s="3" customFormat="1"/>
    <row r="516" spans="1:17" s="3" customFormat="1"/>
    <row r="517" spans="1:17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</row>
    <row r="518" spans="1:17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</row>
    <row r="519" spans="1:17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</row>
    <row r="520" spans="1:17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</row>
    <row r="521" spans="1:17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</row>
    <row r="522" spans="1:17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</row>
    <row r="523" spans="1:17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</row>
    <row r="524" spans="1:17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</row>
    <row r="525" spans="1:17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</row>
    <row r="526" spans="1:17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</row>
    <row r="527" spans="1:17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</row>
    <row r="528" spans="1:17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</row>
    <row r="529" spans="1:17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</row>
    <row r="530" spans="1:17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</row>
    <row r="531" spans="1:17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</row>
    <row r="532" spans="1:17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</row>
    <row r="533" spans="1:17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</row>
    <row r="534" spans="1:17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</row>
    <row r="535" spans="1:17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</row>
    <row r="536" spans="1:17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</row>
    <row r="537" spans="1:17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</row>
    <row r="538" spans="1:17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</row>
    <row r="539" spans="1:17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</row>
    <row r="540" spans="1:17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</row>
    <row r="541" spans="1:17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</row>
    <row r="542" spans="1:17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</row>
    <row r="543" spans="1:17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</row>
    <row r="544" spans="1:17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</row>
    <row r="545" spans="1:17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</row>
  </sheetData>
  <dataValidations count="6">
    <dataValidation type="list" allowBlank="1" showErrorMessage="1" sqref="C2:C45" xr:uid="{6314B49B-4132-7048-AED2-94151E82B6B2}">
      <formula1>LISTE_JOUEURS_JOURNAL</formula1>
    </dataValidation>
    <dataValidation type="list" allowBlank="1" showErrorMessage="1" sqref="B2:B459" xr:uid="{8B757845-B836-E240-BB6C-D4266B1A3CE4}">
      <formula1>LISTE_MT_JOURNAL</formula1>
    </dataValidation>
    <dataValidation type="list" allowBlank="1" showErrorMessage="1" sqref="E2:E459" xr:uid="{B0BB06EB-42FE-6C46-B139-7CEE8AE972DB}">
      <formula1>LISTE_ACTIONS_JOURNAL</formula1>
    </dataValidation>
    <dataValidation type="list" allowBlank="1" showErrorMessage="1" sqref="G2:G459" xr:uid="{F1603AD6-453F-C345-8E43-E95CA1F37B53}">
      <formula1>LISTE_EQUIPES_JOURNAL</formula1>
    </dataValidation>
    <dataValidation type="list" allowBlank="1" showErrorMessage="1" sqref="F2:F459" xr:uid="{C2EE328B-0666-E741-8FAA-10F45762FF46}">
      <formula1>LISTE_MOTIFS_PENALITE</formula1>
    </dataValidation>
    <dataValidation type="list" allowBlank="1" showInputMessage="1" showErrorMessage="1" sqref="D2:D459" xr:uid="{EACE573C-BE71-034E-97F4-7AC7A7772AA6}">
      <formula1>LISTE_GROUPES_FAUTIFS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FAF394-D88F-E744-87C9-E7501F1A3F92}">
          <x14:formula1>
            <xm:f>Paramètres!$AA$1:$AA$24</xm:f>
          </x14:formula1>
          <xm:sqref>C46:C459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6"/>
  <sheetViews>
    <sheetView topLeftCell="A16" workbookViewId="0">
      <selection activeCell="D52" sqref="D52"/>
    </sheetView>
    <sheetView tabSelected="1" topLeftCell="A41"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169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A3 : MXV / US Eauze Gondrin Première</v>
      </c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</row>
    <row r="4" spans="2:37" s="3" customFormat="1" ht="20" customHeight="1">
      <c r="B4" s="169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</row>
    <row r="5" spans="2:37" s="3" customFormat="1"/>
    <row r="6" spans="2:37" ht="14" customHeight="1">
      <c r="B6" s="175" t="s">
        <v>14</v>
      </c>
      <c r="C6" s="177" t="str">
        <f>ACT_PL_NORMAL</f>
        <v>Plaquage normal</v>
      </c>
      <c r="D6" s="172"/>
      <c r="E6" s="177" t="str">
        <f>ACT_PL_OFF</f>
        <v>Plaquage offensif</v>
      </c>
      <c r="F6" s="172"/>
      <c r="G6" s="177" t="str">
        <f>ACT_PL_RATE</f>
        <v>Plaquage raté</v>
      </c>
      <c r="H6" s="172"/>
      <c r="I6" s="177" t="str">
        <f>ACT_PL_A2</f>
        <v>Plaquage à 2</v>
      </c>
      <c r="J6" s="171"/>
      <c r="K6" s="171" t="str">
        <f>ACT_PL_HAUT</f>
        <v>Plaquage haut</v>
      </c>
      <c r="L6" s="172"/>
      <c r="M6" s="171" t="str">
        <f>ACT_GRATTAGE</f>
        <v>Grattage</v>
      </c>
      <c r="N6" s="172"/>
      <c r="O6" s="171" t="str">
        <f>ACT_FRANCHISSEMENT</f>
        <v>Franchissement</v>
      </c>
      <c r="P6" s="172"/>
      <c r="Q6" s="171" t="str">
        <f>ACT_AVANCEE</f>
        <v>Avancée au contact</v>
      </c>
      <c r="R6" s="172"/>
      <c r="S6" s="171" t="str">
        <f>ACT_ATT_NULLE</f>
        <v>Recul ou sans progression</v>
      </c>
      <c r="T6" s="172"/>
      <c r="U6" s="204" t="s">
        <v>232</v>
      </c>
      <c r="V6" s="205"/>
      <c r="W6" s="205"/>
      <c r="X6" s="205"/>
      <c r="Y6" s="205"/>
      <c r="Z6" s="206"/>
      <c r="AF6"/>
      <c r="AG6"/>
    </row>
    <row r="7" spans="2:37" ht="13" customHeight="1">
      <c r="B7" s="176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>
        <f>IF(COUNTIFS(JournalActions[Joueur],$B8,JournalActions[Action],$C$6,JournalActions[Mi-temps],C$7)=0,"",COUNTIFS(JournalActions[Joueur],$B8,JournalActions[Action],$C$6,JournalActions[Mi-temps],C$7))</f>
        <v>1</v>
      </c>
      <c r="D8" s="34">
        <f>IF(COUNTIFS(JournalActions[Joueur],$B8,JournalActions[Action],$C$6,JournalActions[Mi-temps],D$7)=0,"",COUNTIFS(JournalActions[Joueur],$B8,JournalActions[Action],$C$6,JournalActions[Mi-temps],D$7))</f>
        <v>3</v>
      </c>
      <c r="E8" s="33">
        <f>IF(COUNTIFS(JournalActions[Joueur],$B8,JournalActions[Action],$E$6,JournalActions[Mi-temps],E$7)=0,"",COUNTIFS(JournalActions[Joueur],$B8,JournalActions[Action],$E$6,JournalActions[Mi-temps],E$7))</f>
        <v>1</v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>
        <f>IF(COUNTIFS(JournalActions[Joueur],$B8,JournalActions[Action],$Q$6,JournalActions[Mi-temps],Q$7)=0,"",COUNTIFS(JournalActions[Joueur],$B8,JournalActions[Action],$Q$6,JournalActions[Mi-temps],Q$7))</f>
        <v>1</v>
      </c>
      <c r="R8" s="34">
        <f>IF(COUNTIFS(JournalActions[Joueur],$B8,JournalActions[Action],$Q$6,JournalActions[Mi-temps],R$7)=0,"",COUNTIFS(JournalActions[Joueur],$B8,JournalActions[Action],$Q$6,JournalActions[Mi-temps],R$7))</f>
        <v>2</v>
      </c>
      <c r="S8" s="33">
        <f>IF(COUNTIFS(JournalActions[Joueur],$B8,JournalActions[Action],$S$6,JournalActions[Mi-temps],S$7)=0,"",COUNTIFS(JournalActions[Joueur],$B8,JournalActions[Action],$S$6,JournalActions[Mi-temps],S$7))</f>
        <v>1</v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>
        <f>IF(COUNTIFS(JournalActions[Joueur],$B9,JournalActions[Action],$E$6,JournalActions[Mi-temps],F$7)=0,"",COUNTIFS(JournalActions[Joueur],$B9,JournalActions[Action],$E$6,JournalActions[Mi-temps],F$7))</f>
        <v>1</v>
      </c>
      <c r="G9" s="28">
        <f>IF(COUNTIFS(JournalActions[Joueur],$B9,JournalActions[Action],$G$6,JournalActions[Mi-temps],G$7)=0,"",COUNTIFS(JournalActions[Joueur],$B9,JournalActions[Action],$G$6,JournalActions[Mi-temps],G$7))</f>
        <v>1</v>
      </c>
      <c r="H9" s="29">
        <f>IF(COUNTIFS(JournalActions[Joueur],$B9,JournalActions[Action],$G$6,JournalActions[Mi-temps],H$7)=0,"",COUNTIFS(JournalActions[Joueur],$B9,JournalActions[Action],$G$6,JournalActions[Mi-temps],H$7))</f>
        <v>3</v>
      </c>
      <c r="I9">
        <f>IF(COUNTIFS(JournalActions[Joueur],$B9,JournalActions[Action],$I$6,JournalActions[Mi-temps],I$7)=0,"",COUNTIFS(JournalActions[Joueur],$B9,JournalActions[Action],$I$6,JournalActions[Mi-temps],I$7))</f>
        <v>1</v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>
        <f>IF(COUNTIFS(JournalActions[Joueur],$B9,JournalActions[Action],$Q$6,JournalActions[Mi-temps],Q$7)=0,"",COUNTIFS(JournalActions[Joueur],$B9,JournalActions[Action],$Q$6,JournalActions[Mi-temps],Q$7))</f>
        <v>1</v>
      </c>
      <c r="R9" s="29">
        <f>IF(COUNTIFS(JournalActions[Joueur],$B9,JournalActions[Action],$Q$6,JournalActions[Mi-temps],R$7)=0,"",COUNTIFS(JournalActions[Joueur],$B9,JournalActions[Action],$Q$6,JournalActions[Mi-temps],R$7))</f>
        <v>1</v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>
        <f>IF(COUNTIFS(JournalActions[Joueur],$B9,JournalActions[Action],$S$6,JournalActions[Mi-temps],T$7)=0,"",COUNTIFS(JournalActions[Joueur],$B9,JournalActions[Action],$S$6,JournalActions[Mi-temps],T$7))</f>
        <v>1</v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>
        <f>IF(COUNTIFS(JournalActions[Joueur],$B10,JournalActions[Action],$C$6,JournalActions[Mi-temps],D$7)=0,"",COUNTIFS(JournalActions[Joueur],$B10,JournalActions[Action],$C$6,JournalActions[Mi-temps],D$7))</f>
        <v>3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BAQUE Mickael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>
        <f>IF(COUNTIFS(JournalActions[Joueur],$B11,JournalActions[Action],$C$6,JournalActions[Mi-temps],D$7)=0,"",COUNTIFS(JournalActions[Joueur],$B11,JournalActions[Action],$C$6,JournalActions[Mi-temps],D$7))</f>
        <v>2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>
        <f>IF(COUNTIFS(JournalActions[Joueur],$B11,JournalActions[Action],$G$6,JournalActions[Mi-temps],H$7)=0,"",COUNTIFS(JournalActions[Joueur],$B11,JournalActions[Action],$G$6,JournalActions[Mi-temps],H$7))</f>
        <v>1</v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BARATGIN Julian</v>
      </c>
      <c r="C12" s="28">
        <f>IF(COUNTIFS(JournalActions[Joueur],$B12,JournalActions[Action],$C$6,JournalActions[Mi-temps],C$7)=0,"",COUNTIFS(JournalActions[Joueur],$B12,JournalActions[Action],$C$6,JournalActions[Mi-temps],C$7))</f>
        <v>1</v>
      </c>
      <c r="D12" s="29">
        <f>IF(COUNTIFS(JournalActions[Joueur],$B12,JournalActions[Action],$C$6,JournalActions[Mi-temps],D$7)=0,"",COUNTIFS(JournalActions[Joueur],$B12,JournalActions[Action],$C$6,JournalActions[Mi-temps],D$7))</f>
        <v>4</v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>
        <f>IF(COUNTIFS(JournalActions[Joueur],$B12,JournalActions[Action],$Q$6,JournalActions[Mi-temps],Q$7)=0,"",COUNTIFS(JournalActions[Joueur],$B12,JournalActions[Action],$Q$6,JournalActions[Mi-temps],Q$7))</f>
        <v>1</v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>
        <f>IF(COUNTIFS(JournalActions[Joueur],$B12,JournalActions[Action],$S$6,JournalActions[Mi-temps],S$7)=0,"",COUNTIFS(JournalActions[Joueur],$B12,JournalActions[Action],$S$6,JournalActions[Mi-temps],S$7))</f>
        <v>2</v>
      </c>
      <c r="T12" s="29">
        <f>IF(COUNTIFS(JournalActions[Joueur],$B12,JournalActions[Action],$S$6,JournalActions[Mi-temps],T$7)=0,"",COUNTIFS(JournalActions[Joueur],$B12,JournalActions[Action],$S$6,JournalActions[Mi-temps],T$7))</f>
        <v>1</v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>1</v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BOURREC Anthony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>
        <f>IF(COUNTIFS(JournalActions[Joueur],$B13,JournalActions[Action],$C$6,JournalActions[Mi-temps],D$7)=0,"",COUNTIFS(JournalActions[Joueur],$B13,JournalActions[Action],$C$6,JournalActions[Mi-temps],D$7))</f>
        <v>2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>
        <f>IF(COUNTIFS(JournalActions[Joueur],$B13,JournalActions[Action],$K$6,JournalActions[Mi-temps],K$7)=0,"",COUNTIFS(JournalActions[Joueur],$B13,JournalActions[Action],$K$6,JournalActions[Mi-temps],K$7))</f>
        <v>1</v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>
        <f>IF(COUNTIFS(JournalActions[Joueur],$B13,JournalActions[Action],$Q$6,JournalActions[Mi-temps],Q$7)=0,"",COUNTIFS(JournalActions[Joueur],$B13,JournalActions[Action],$Q$6,JournalActions[Mi-temps],Q$7))</f>
        <v>2</v>
      </c>
      <c r="R13" s="29">
        <f>IF(COUNTIFS(JournalActions[Joueur],$B13,JournalActions[Action],$Q$6,JournalActions[Mi-temps],R$7)=0,"",COUNTIFS(JournalActions[Joueur],$B13,JournalActions[Action],$Q$6,JournalActions[Mi-temps],R$7))</f>
        <v>3</v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CESCA Sacha</v>
      </c>
      <c r="C14" s="28">
        <f>IF(COUNTIFS(JournalActions[Joueur],$B14,JournalActions[Action],$C$6,JournalActions[Mi-temps],C$7)=0,"",COUNTIFS(JournalActions[Joueur],$B14,JournalActions[Action],$C$6,JournalActions[Mi-temps],C$7))</f>
        <v>1</v>
      </c>
      <c r="D14" s="29">
        <f>IF(COUNTIFS(JournalActions[Joueur],$B14,JournalActions[Action],$C$6,JournalActions[Mi-temps],D$7)=0,"",COUNTIFS(JournalActions[Joueur],$B14,JournalActions[Action],$C$6,JournalActions[Mi-temps],D$7))</f>
        <v>2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>
        <f>IF(COUNTIFS(JournalActions[Joueur],$B14,JournalActions[Action],$G$6,JournalActions[Mi-temps],G$7)=0,"",COUNTIFS(JournalActions[Joueur],$B14,JournalActions[Action],$G$6,JournalActions[Mi-temps],G$7))</f>
        <v>1</v>
      </c>
      <c r="H14" s="29">
        <f>IF(COUNTIFS(JournalActions[Joueur],$B14,JournalActions[Action],$G$6,JournalActions[Mi-temps],H$7)=0,"",COUNTIFS(JournalActions[Joueur],$B14,JournalActions[Action],$G$6,JournalActions[Mi-temps],H$7))</f>
        <v>1</v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>
        <f>IF(COUNTIFS(JournalActions[Joueur],$B14,JournalActions[Action],$I$6,JournalActions[Mi-temps],J$7)=0,"",COUNTIFS(JournalActions[Joueur],$B14,JournalActions[Action],$I$6,JournalActions[Mi-temps],J$7))</f>
        <v>1</v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>
        <f>IF(COUNTIFS(JournalActions[Joueur],$B14,JournalActions[Action],$Q$6,JournalActions[Mi-temps],Q$7)=0,"",COUNTIFS(JournalActions[Joueur],$B14,JournalActions[Action],$Q$6,JournalActions[Mi-temps],Q$7))</f>
        <v>1</v>
      </c>
      <c r="R14" s="29">
        <f>IF(COUNTIFS(JournalActions[Joueur],$B14,JournalActions[Action],$Q$6,JournalActions[Mi-temps],R$7)=0,"",COUNTIFS(JournalActions[Joueur],$B14,JournalActions[Action],$Q$6,JournalActions[Mi-temps],R$7))</f>
        <v>2</v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COURREGES Romain</v>
      </c>
      <c r="C15" s="28">
        <f>IF(COUNTIFS(JournalActions[Joueur],$B15,JournalActions[Action],$C$6,JournalActions[Mi-temps],C$7)=0,"",COUNTIFS(JournalActions[Joueur],$B15,JournalActions[Action],$C$6,JournalActions[Mi-temps],C$7))</f>
        <v>1</v>
      </c>
      <c r="D15" s="29">
        <f>IF(COUNTIFS(JournalActions[Joueur],$B15,JournalActions[Action],$C$6,JournalActions[Mi-temps],D$7)=0,"",COUNTIFS(JournalActions[Joueur],$B15,JournalActions[Action],$C$6,JournalActions[Mi-temps],D$7))</f>
        <v>3</v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>
        <f>IF(COUNTIFS(JournalActions[Joueur],$B15,JournalActions[Action],$K$6,JournalActions[Mi-temps],K$7)=0,"",COUNTIFS(JournalActions[Joueur],$B15,JournalActions[Action],$K$6,JournalActions[Mi-temps],K$7))</f>
        <v>1</v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>
        <f>IF(COUNTIFS(JournalActions[Joueur],$B15,JournalActions[Action],$O$6,JournalActions[Mi-temps],O$7)=0,"",COUNTIFS(JournalActions[Joueur],$B15,JournalActions[Action],$O$6,JournalActions[Mi-temps],O$7))</f>
        <v>1</v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>
        <f>IF(COUNTIFS(JournalActions[Joueur],$B15,JournalActions[Action],$Q$6,JournalActions[Mi-temps],R$7)=0,"",COUNTIFS(JournalActions[Joueur],$B15,JournalActions[Action],$Q$6,JournalActions[Mi-temps],R$7))</f>
        <v>2</v>
      </c>
      <c r="S15" s="28">
        <f>IF(COUNTIFS(JournalActions[Joueur],$B15,JournalActions[Action],$S$6,JournalActions[Mi-temps],S$7)=0,"",COUNTIFS(JournalActions[Joueur],$B15,JournalActions[Action],$S$6,JournalActions[Mi-temps],S$7))</f>
        <v>1</v>
      </c>
      <c r="T15" s="29">
        <f>IF(COUNTIFS(JournalActions[Joueur],$B15,JournalActions[Action],$S$6,JournalActions[Mi-temps],T$7)=0,"",COUNTIFS(JournalActions[Joueur],$B15,JournalActions[Action],$S$6,JournalActions[Mi-temps],T$7))</f>
        <v>2</v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>1</v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DALLA ROSA Jonah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>
        <f>IF(COUNTIFS(JournalActions[Joueur],$B16,JournalActions[Action],$C$6,JournalActions[Mi-temps],D$7)=0,"",COUNTIFS(JournalActions[Joueur],$B16,JournalActions[Action],$C$6,JournalActions[Mi-temps],D$7))</f>
        <v>4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>
        <f>IF(COUNTIFS(JournalActions[Joueur],$B16,JournalActions[Action],$I$6,JournalActions[Mi-temps],J$7)=0,"",COUNTIFS(JournalActions[Joueur],$B16,JournalActions[Action],$I$6,JournalActions[Mi-temps],J$7))</f>
        <v>1</v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>
        <f>IF(COUNTIFS(JournalActions[Joueur],$B16,JournalActions[Action],$Q$6,JournalActions[Mi-temps],Q$7)=0,"",COUNTIFS(JournalActions[Joueur],$B16,JournalActions[Action],$Q$6,JournalActions[Mi-temps],Q$7))</f>
        <v>1</v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>
        <f>IF(COUNTIFS(JournalActions[Joueur],$B16,JournalActions[Action],$S$6,JournalActions[Mi-temps],T$7)=0,"",COUNTIFS(JournalActions[Joueur],$B16,JournalActions[Action],$S$6,JournalActions[Mi-temps],T$7))</f>
        <v>1</v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DUTREY Thomas</v>
      </c>
      <c r="C17" s="28">
        <f>IF(COUNTIFS(JournalActions[Joueur],$B17,JournalActions[Action],$C$6,JournalActions[Mi-temps],C$7)=0,"",COUNTIFS(JournalActions[Joueur],$B17,JournalActions[Action],$C$6,JournalActions[Mi-temps],C$7))</f>
        <v>3</v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>
        <f>IF(COUNTIFS(JournalActions[Joueur],$B17,JournalActions[Action],$Q$6,JournalActions[Mi-temps],Q$7)=0,"",COUNTIFS(JournalActions[Joueur],$B17,JournalActions[Action],$Q$6,JournalActions[Mi-temps],Q$7))</f>
        <v>1</v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>
        <f>IF(COUNTIFS(JournalActions[Joueur],$B17,JournalActions[Action],$S$6,JournalActions[Mi-temps],S$7)=0,"",COUNTIFS(JournalActions[Joueur],$B17,JournalActions[Action],$S$6,JournalActions[Mi-temps],S$7))</f>
        <v>3</v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FITAN Maël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>
        <f>IF(COUNTIFS(JournalActions[Joueur],$B18,JournalActions[Action],$C$6,JournalActions[Mi-temps],D$7)=0,"",COUNTIFS(JournalActions[Joueur],$B18,JournalActions[Action],$C$6,JournalActions[Mi-temps],D$7))</f>
        <v>2</v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>
        <f>IF(COUNTIFS(JournalActions[Joueur],$B18,JournalActions[Action],$G$6,JournalActions[Mi-temps],H$7)=0,"",COUNTIFS(JournalActions[Joueur],$B18,JournalActions[Action],$G$6,JournalActions[Mi-temps],H$7))</f>
        <v>1</v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>
        <f>IF(COUNTIFS(JournalActions[Joueur],$B20,JournalActions[Action],$E$6,JournalActions[Mi-temps],F$7)=0,"",COUNTIFS(JournalActions[Joueur],$B20,JournalActions[Action],$E$6,JournalActions[Mi-temps],F$7))</f>
        <v>1</v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>
        <f>IF(COUNTIFS(JournalActions[Joueur],$B20,JournalActions[Action],$Q$6,JournalActions[Mi-temps],R$7)=0,"",COUNTIFS(JournalActions[Joueur],$B20,JournalActions[Action],$Q$6,JournalActions[Mi-temps],R$7))</f>
        <v>1</v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>
        <f>IF(COUNTIFS(JournalActions[Joueur],$B21,JournalActions[Action],$C$6,JournalActions[Mi-temps],D$7)=0,"",COUNTIFS(JournalActions[Joueur],$B21,JournalActions[Action],$C$6,JournalActions[Mi-temps],D$7))</f>
        <v>2</v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>
        <f>IF(COUNTIFS(JournalActions[Joueur],$B21,JournalActions[Action],$O$6,JournalActions[Mi-temps],O$7)=0,"",COUNTIFS(JournalActions[Joueur],$B21,JournalActions[Action],$O$6,JournalActions[Mi-temps],O$7))</f>
        <v>2</v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>
        <f>IF(COUNTIFS(JournalActions[Joueur],$B21,JournalActions[Action],$Q$6,JournalActions[Mi-temps],Q$7)=0,"",COUNTIFS(JournalActions[Joueur],$B21,JournalActions[Action],$Q$6,JournalActions[Mi-temps],Q$7))</f>
        <v>2</v>
      </c>
      <c r="R21" s="29">
        <f>IF(COUNTIFS(JournalActions[Joueur],$B21,JournalActions[Action],$Q$6,JournalActions[Mi-temps],R$7)=0,"",COUNTIFS(JournalActions[Joueur],$B21,JournalActions[Action],$Q$6,JournalActions[Mi-temps],R$7))</f>
        <v>2</v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>
        <f>IF(COUNTIFS(JournalActions[Joueur],$B21,JournalActions[Action],$S$6,JournalActions[Mi-temps],T$7)=0,"",COUNTIFS(JournalActions[Joueur],$B21,JournalActions[Action],$S$6,JournalActions[Mi-temps],T$7))</f>
        <v>2</v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>
        <f>IF(COUNTIFS(JournalActions[Joueur],$B22,JournalActions[Action],$C$6,JournalActions[Mi-temps],C$7)=0,"",COUNTIFS(JournalActions[Joueur],$B22,JournalActions[Action],$C$6,JournalActions[Mi-temps],C$7))</f>
        <v>1</v>
      </c>
      <c r="D22" s="29">
        <f>IF(COUNTIFS(JournalActions[Joueur],$B22,JournalActions[Action],$C$6,JournalActions[Mi-temps],D$7)=0,"",COUNTIFS(JournalActions[Joueur],$B22,JournalActions[Action],$C$6,JournalActions[Mi-temps],D$7))</f>
        <v>3</v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>
        <f>IF(COUNTIFS(JournalActions[Joueur],$B22,JournalActions[Action],$K$6,JournalActions[Mi-temps],K$7)=0,"",COUNTIFS(JournalActions[Joueur],$B22,JournalActions[Action],$K$6,JournalActions[Mi-temps],K$7))</f>
        <v>1</v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>
        <f>IF(COUNTIFS(JournalActions[Joueur],$B22,JournalActions[Action],$Q$6,JournalActions[Mi-temps],Q$7)=0,"",COUNTIFS(JournalActions[Joueur],$B22,JournalActions[Action],$Q$6,JournalActions[Mi-temps],Q$7))</f>
        <v>2</v>
      </c>
      <c r="R22" s="29">
        <f>IF(COUNTIFS(JournalActions[Joueur],$B22,JournalActions[Action],$Q$6,JournalActions[Mi-temps],R$7)=0,"",COUNTIFS(JournalActions[Joueur],$B22,JournalActions[Action],$Q$6,JournalActions[Mi-temps],R$7))</f>
        <v>2</v>
      </c>
      <c r="S22" s="28">
        <f>IF(COUNTIFS(JournalActions[Joueur],$B22,JournalActions[Action],$S$6,JournalActions[Mi-temps],S$7)=0,"",COUNTIFS(JournalActions[Joueur],$B22,JournalActions[Action],$S$6,JournalActions[Mi-temps],S$7))</f>
        <v>3</v>
      </c>
      <c r="T22" s="29">
        <f>IF(COUNTIFS(JournalActions[Joueur],$B22,JournalActions[Action],$S$6,JournalActions[Mi-temps],T$7)=0,"",COUNTIFS(JournalActions[Joueur],$B22,JournalActions[Action],$S$6,JournalActions[Mi-temps],T$7))</f>
        <v>2</v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>
        <f>IF(COUNTIFS(JournalActions[Joueur],$B23,JournalActions[Action],$C$6,JournalActions[Mi-temps],C$7)=0,"",COUNTIFS(JournalActions[Joueur],$B23,JournalActions[Action],$C$6,JournalActions[Mi-temps],C$7))</f>
        <v>2</v>
      </c>
      <c r="D23" s="29">
        <f>IF(COUNTIFS(JournalActions[Joueur],$B23,JournalActions[Action],$C$6,JournalActions[Mi-temps],D$7)=0,"",COUNTIFS(JournalActions[Joueur],$B23,JournalActions[Action],$C$6,JournalActions[Mi-temps],D$7))</f>
        <v>3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>
        <f>IF(COUNTIFS(JournalActions[Joueur],$B23,JournalActions[Action],$G$6,JournalActions[Mi-temps],H$7)=0,"",COUNTIFS(JournalActions[Joueur],$B23,JournalActions[Action],$G$6,JournalActions[Mi-temps],H$7))</f>
        <v>2</v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>
        <f>IF(COUNTIFS(JournalActions[Joueur],$B23,JournalActions[Action],$K$6,JournalActions[Mi-temps],L$7)=0,"",COUNTIFS(JournalActions[Joueur],$B23,JournalActions[Action],$K$6,JournalActions[Mi-temps],L$7))</f>
        <v>1</v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>
        <f>IF(COUNTIFS(JournalActions[Joueur],$B23,JournalActions[Action],$Q$6,JournalActions[Mi-temps],Q$7)=0,"",COUNTIFS(JournalActions[Joueur],$B23,JournalActions[Action],$Q$6,JournalActions[Mi-temps],Q$7))</f>
        <v>1</v>
      </c>
      <c r="R23" s="29">
        <f>IF(COUNTIFS(JournalActions[Joueur],$B23,JournalActions[Action],$Q$6,JournalActions[Mi-temps],R$7)=0,"",COUNTIFS(JournalActions[Joueur],$B23,JournalActions[Action],$Q$6,JournalActions[Mi-temps],R$7))</f>
        <v>2</v>
      </c>
      <c r="S23" s="28">
        <f>IF(COUNTIFS(JournalActions[Joueur],$B23,JournalActions[Action],$S$6,JournalActions[Mi-temps],S$7)=0,"",COUNTIFS(JournalActions[Joueur],$B23,JournalActions[Action],$S$6,JournalActions[Mi-temps],S$7))</f>
        <v>1</v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>
        <f>IF(COUNTIFS(JournalActions[Joueur],$B24,JournalActions[Action],$C$6,JournalActions[Mi-temps],C$7)=0,"",COUNTIFS(JournalActions[Joueur],$B24,JournalActions[Action],$C$6,JournalActions[Mi-temps],C$7))</f>
        <v>2</v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>
        <f>IF(COUNTIFS(JournalActions[Joueur],$B24,JournalActions[Action],$O$6,JournalActions[Mi-temps],O$7)=0,"",COUNTIFS(JournalActions[Joueur],$B24,JournalActions[Action],$O$6,JournalActions[Mi-temps],O$7))</f>
        <v>2</v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>
        <f>IF(COUNTIFS(JournalActions[Joueur],$B24,JournalActions[Action],$Q$6,JournalActions[Mi-temps],Q$7)=0,"",COUNTIFS(JournalActions[Joueur],$B24,JournalActions[Action],$Q$6,JournalActions[Mi-temps],Q$7))</f>
        <v>2</v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>
        <f>IF(COUNTIFS(JournalActions[Joueur],$B25,JournalActions[Action],$C$6,JournalActions[Mi-temps],C$7)=0,"",COUNTIFS(JournalActions[Joueur],$B25,JournalActions[Action],$C$6,JournalActions[Mi-temps],C$7))</f>
        <v>3</v>
      </c>
      <c r="D25" s="29">
        <f>IF(COUNTIFS(JournalActions[Joueur],$B25,JournalActions[Action],$C$6,JournalActions[Mi-temps],D$7)=0,"",COUNTIFS(JournalActions[Joueur],$B25,JournalActions[Action],$C$6,JournalActions[Mi-temps],D$7))</f>
        <v>5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>
        <f>IF(COUNTIFS(JournalActions[Joueur],$B25,JournalActions[Action],$G$6,JournalActions[Mi-temps],H$7)=0,"",COUNTIFS(JournalActions[Joueur],$B25,JournalActions[Action],$G$6,JournalActions[Mi-temps],H$7))</f>
        <v>1</v>
      </c>
      <c r="I25">
        <f>IF(COUNTIFS(JournalActions[Joueur],$B25,JournalActions[Action],$I$6,JournalActions[Mi-temps],I$7)=0,"",COUNTIFS(JournalActions[Joueur],$B25,JournalActions[Action],$I$6,JournalActions[Mi-temps],I$7))</f>
        <v>1</v>
      </c>
      <c r="J25">
        <f>IF(COUNTIFS(JournalActions[Joueur],$B25,JournalActions[Action],$I$6,JournalActions[Mi-temps],J$7)=0,"",COUNTIFS(JournalActions[Joueur],$B25,JournalActions[Action],$I$6,JournalActions[Mi-temps],J$7))</f>
        <v>1</v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>
        <f>IF(COUNTIFS(JournalActions[Joueur],$B25,JournalActions[Action],$K$6,JournalActions[Mi-temps],L$7)=0,"",COUNTIFS(JournalActions[Joueur],$B25,JournalActions[Action],$K$6,JournalActions[Mi-temps],L$7))</f>
        <v>1</v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>
        <f>IF(COUNTIFS(JournalActions[Joueur],$B26,JournalActions[Action],$I$6,JournalActions[Mi-temps],J$7)=0,"",COUNTIFS(JournalActions[Joueur],$B26,JournalActions[Action],$I$6,JournalActions[Mi-temps],J$7))</f>
        <v>1</v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>
        <f>IF(COUNTIFS(JournalActions[Joueur],$B26,JournalActions[Action],$Q$6,JournalActions[Mi-temps],R$7)=0,"",COUNTIFS(JournalActions[Joueur],$B26,JournalActions[Action],$Q$6,JournalActions[Mi-temps],R$7))</f>
        <v>1</v>
      </c>
      <c r="S26" s="28">
        <f>IF(COUNTIFS(JournalActions[Joueur],$B26,JournalActions[Action],$S$6,JournalActions[Mi-temps],S$7)=0,"",COUNTIFS(JournalActions[Joueur],$B26,JournalActions[Action],$S$6,JournalActions[Mi-temps],S$7))</f>
        <v>3</v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ROBERT Jimmy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>
        <f>IF(COUNTIFS(JournalActions[Joueur],$B27,JournalActions[Action],$G$6,JournalActions[Mi-temps],H$7)=0,"",COUNTIFS(JournalActions[Joueur],$B27,JournalActions[Action],$G$6,JournalActions[Mi-temps],H$7))</f>
        <v>1</v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>
        <f>IF(COUNTIFS(JournalActions[Joueur],$B27,JournalActions[Action],$S$6,JournalActions[Mi-temps],T$7)=0,"",COUNTIFS(JournalActions[Joueur],$B27,JournalActions[Action],$S$6,JournalActions[Mi-temps],T$7))</f>
        <v>2</v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SALLES Fabien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>
        <f>IF(COUNTIFS(JournalActions[Joueur],$B28,JournalActions[Action],$Q$6,JournalActions[Mi-temps],Q$7)=0,"",COUNTIFS(JournalActions[Joueur],$B28,JournalActions[Action],$Q$6,JournalActions[Mi-temps],Q$7))</f>
        <v>1</v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SOUVILLE Quentin</v>
      </c>
      <c r="C29" s="28">
        <f>IF(COUNTIFS(JournalActions[Joueur],$B29,JournalActions[Action],$C$6,JournalActions[Mi-temps],C$7)=0,"",COUNTIFS(JournalActions[Joueur],$B29,JournalActions[Action],$C$6,JournalActions[Mi-temps],C$7))</f>
        <v>1</v>
      </c>
      <c r="D29" s="29">
        <f>IF(COUNTIFS(JournalActions[Joueur],$B29,JournalActions[Action],$C$6,JournalActions[Mi-temps],D$7)=0,"",COUNTIFS(JournalActions[Joueur],$B29,JournalActions[Action],$C$6,JournalActions[Mi-temps],D$7))</f>
        <v>1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>
        <f>IF(COUNTIFS(JournalActions[Joueur],$B29,JournalActions[Action],$G$6,JournalActions[Mi-temps],G$7)=0,"",COUNTIFS(JournalActions[Joueur],$B29,JournalActions[Action],$G$6,JournalActions[Mi-temps],G$7))</f>
        <v>1</v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>
        <f>IF(COUNTIFS(JournalActions[Joueur],$B29,JournalActions[Action],$O$6,JournalActions[Mi-temps],O$7)=0,"",COUNTIFS(JournalActions[Joueur],$B29,JournalActions[Action],$O$6,JournalActions[Mi-temps],O$7))</f>
        <v>1</v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>1</v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16</v>
      </c>
      <c r="D32" s="54">
        <f t="shared" ref="D32:Z32" si="0">SUM(D8:D31)</f>
        <v>39</v>
      </c>
      <c r="E32" s="53">
        <f t="shared" si="0"/>
        <v>1</v>
      </c>
      <c r="F32" s="54">
        <f t="shared" si="0"/>
        <v>2</v>
      </c>
      <c r="G32" s="53">
        <f t="shared" si="0"/>
        <v>3</v>
      </c>
      <c r="H32" s="54">
        <f t="shared" si="0"/>
        <v>10</v>
      </c>
      <c r="I32" s="53">
        <f t="shared" si="0"/>
        <v>2</v>
      </c>
      <c r="J32" s="54">
        <f t="shared" si="0"/>
        <v>4</v>
      </c>
      <c r="K32" s="53">
        <f t="shared" si="0"/>
        <v>3</v>
      </c>
      <c r="L32" s="54">
        <f t="shared" si="0"/>
        <v>2</v>
      </c>
      <c r="M32" s="53">
        <f t="shared" si="0"/>
        <v>0</v>
      </c>
      <c r="N32" s="54">
        <f t="shared" si="0"/>
        <v>0</v>
      </c>
      <c r="O32" s="53">
        <f t="shared" ref="O32:P32" si="1">SUM(O8:O31)</f>
        <v>6</v>
      </c>
      <c r="P32" s="54">
        <f t="shared" si="1"/>
        <v>0</v>
      </c>
      <c r="Q32" s="53">
        <f t="shared" ref="Q32:T32" si="2">SUM(Q8:Q31)</f>
        <v>16</v>
      </c>
      <c r="R32" s="54">
        <f t="shared" si="2"/>
        <v>18</v>
      </c>
      <c r="S32" s="53">
        <f t="shared" si="2"/>
        <v>14</v>
      </c>
      <c r="T32" s="54">
        <f t="shared" si="2"/>
        <v>11</v>
      </c>
      <c r="U32" s="207">
        <f t="shared" si="0"/>
        <v>0</v>
      </c>
      <c r="V32" s="207">
        <f t="shared" si="0"/>
        <v>3</v>
      </c>
      <c r="W32" s="207">
        <f t="shared" si="0"/>
        <v>0</v>
      </c>
      <c r="X32" s="207">
        <f t="shared" si="0"/>
        <v>0</v>
      </c>
      <c r="Y32" s="207">
        <f t="shared" si="0"/>
        <v>0</v>
      </c>
      <c r="Z32" s="207">
        <f t="shared" si="0"/>
        <v>0</v>
      </c>
    </row>
    <row r="33" spans="2:33" s="41" customFormat="1" ht="25" customHeight="1">
      <c r="B33" s="55" t="s">
        <v>176</v>
      </c>
      <c r="C33" s="182">
        <f>C32+D32</f>
        <v>55</v>
      </c>
      <c r="D33" s="174"/>
      <c r="E33" s="173">
        <f t="shared" ref="E33" si="3">E32+F32</f>
        <v>3</v>
      </c>
      <c r="F33" s="173"/>
      <c r="G33" s="182">
        <f t="shared" ref="G33" si="4">G32+H32</f>
        <v>13</v>
      </c>
      <c r="H33" s="174"/>
      <c r="I33" s="182">
        <f>I32+J32</f>
        <v>6</v>
      </c>
      <c r="J33" s="174"/>
      <c r="K33" s="182">
        <f t="shared" ref="K33" si="5">K32+L32</f>
        <v>5</v>
      </c>
      <c r="L33" s="174"/>
      <c r="M33" s="173">
        <f t="shared" ref="M33" si="6">M32+N32</f>
        <v>0</v>
      </c>
      <c r="N33" s="174"/>
      <c r="O33" s="173">
        <f t="shared" ref="O33" si="7">O32+P32</f>
        <v>6</v>
      </c>
      <c r="P33" s="174"/>
      <c r="Q33" s="173">
        <f t="shared" ref="Q33" si="8">Q32+R32</f>
        <v>34</v>
      </c>
      <c r="R33" s="174"/>
      <c r="S33" s="173">
        <f t="shared" ref="S33" si="9">S32+T32</f>
        <v>25</v>
      </c>
      <c r="T33" s="174"/>
      <c r="U33" s="208"/>
      <c r="V33" s="208"/>
      <c r="W33" s="208"/>
      <c r="X33" s="208"/>
      <c r="Y33" s="208"/>
      <c r="Z33" s="208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09" t="s">
        <v>144</v>
      </c>
      <c r="E36" s="57" t="s">
        <v>477</v>
      </c>
      <c r="F36" s="3"/>
      <c r="G36" s="177" t="s">
        <v>171</v>
      </c>
      <c r="H36" s="172"/>
      <c r="J36" s="3"/>
      <c r="K36" s="3"/>
      <c r="L36" s="177" t="s">
        <v>28</v>
      </c>
      <c r="M36" s="177" t="s">
        <v>147</v>
      </c>
      <c r="N36" s="171"/>
      <c r="O36" s="172"/>
      <c r="P36" s="172" t="s">
        <v>172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3</v>
      </c>
      <c r="D37" s="107">
        <f>COUNTIFS(JournalActions[Action],ACT_TO_NS_P,JournalActions[Mi-temps],"MT1")</f>
        <v>3</v>
      </c>
      <c r="E37" s="37">
        <f>COUNTIFS(JournalActions[Action],ACT_TO_NS_PAS_DROIT,JournalActions[Mi-temps],"MT1")</f>
        <v>3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19</v>
      </c>
      <c r="I37" s="3"/>
      <c r="J37" s="3"/>
      <c r="K37" s="3"/>
      <c r="L37" s="202"/>
      <c r="M37" s="70" t="s">
        <v>153</v>
      </c>
      <c r="N37" s="66" t="s">
        <v>170</v>
      </c>
      <c r="O37" s="71" t="s">
        <v>32</v>
      </c>
      <c r="P37" s="203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3</v>
      </c>
      <c r="D38" s="108">
        <f>COUNTIFS(JournalActions[Action],ACT_TO_ADV_VOLEE,JournalActions[Mi-temps],"MT1")</f>
        <v>2</v>
      </c>
      <c r="E38" s="12">
        <f>COUNTIFS(JournalActions[Action],ACT_TO_ADV_PAS_DROIT,JournalActions[Mi-temps],"MT1")</f>
        <v>2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5</v>
      </c>
      <c r="N38" s="29">
        <f>COUNTIFS(JournalActions[Action],ACT_PEN_CONTRE_NOUS,JournalActions[Mi-temps],"MT1",JournalActions[Groupe fautif],"Trois-quarts*")</f>
        <v>1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2</v>
      </c>
      <c r="P38" s="34">
        <f>COUNTIFS(JournalActions[Action],ACT_PEN_CONTRE_ADV,JournalActions[Mi-temps],"MT1")</f>
        <v>6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2</v>
      </c>
      <c r="N39" s="12">
        <f>COUNTIFS(JournalActions[Action],ACT_PEN_CONTRE_NOUS,JournalActions[Mi-temps],"MT2",JournalActions[Groupe fautif],"Trois-quarts*")</f>
        <v>2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10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09" t="s">
        <v>144</v>
      </c>
      <c r="E40" s="57" t="s">
        <v>477</v>
      </c>
      <c r="F40" s="3"/>
      <c r="G40" s="177" t="s">
        <v>149</v>
      </c>
      <c r="H40" s="17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4</v>
      </c>
      <c r="D41" s="107">
        <f>COUNTIFS(JournalActions[Action],ACT_TO_NS_P,JournalActions[Mi-temps],"MT2")</f>
        <v>2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25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172</v>
      </c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4</v>
      </c>
      <c r="D42" s="108">
        <f>COUNTIFS(JournalActions[Action],ACT_TO_ADV_VOLEE,JournalActions[Mi-temps],"MT2")</f>
        <v>1</v>
      </c>
      <c r="E42" s="12">
        <f>COUNTIFS(JournalActions[Action],ACT_TO_ADV_PAS_DROIT,JournalActions[Mi-temps],"MT2")</f>
        <v>1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27</v>
      </c>
      <c r="I42" s="3"/>
      <c r="J42" s="3"/>
      <c r="K42" s="3"/>
      <c r="L42" s="189" t="s">
        <v>1</v>
      </c>
      <c r="M42" s="190"/>
      <c r="N42" s="38">
        <f>COUNTIFS(JournalActions[Action],ACT_PEN_CONTRE_NOUS,JournalActions[Motif penalite],"Maul*")</f>
        <v>2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187" t="s">
        <v>2</v>
      </c>
      <c r="M43" s="188"/>
      <c r="N43" s="13">
        <f>COUNTIFS(JournalActions[Action],ACT_PEN_CONTRE_NOUS,JournalActions[Motif penalite],"Ruck*")</f>
        <v>2</v>
      </c>
      <c r="O43" s="13">
        <f>COUNTIFS(JournalActions[Action],ACT_PEN_CONTRE_ADV,JournalActions[Motif penalite],"Ruck*")</f>
        <v>6</v>
      </c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162" t="s">
        <v>618</v>
      </c>
      <c r="H44" s="166" t="s">
        <v>47</v>
      </c>
      <c r="I44" s="161" t="s">
        <v>619</v>
      </c>
      <c r="J44" s="168" t="s">
        <v>237</v>
      </c>
      <c r="K44" s="3"/>
      <c r="L44" s="189" t="s">
        <v>3</v>
      </c>
      <c r="M44" s="190"/>
      <c r="N44" s="38">
        <f>COUNTIFS(JournalActions[Action],ACT_PEN_CONTRE_NOUS,JournalActions[Motif penalite],"Hors-jeu")</f>
        <v>3</v>
      </c>
      <c r="O44" s="38">
        <f>COUNTIFS(JournalActions[Action],ACT_PEN_CONTRE_ADV,JournalActions[Motif penalite],"Hors-jeu")</f>
        <v>2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1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63">
        <v>7.0687524652777809E-3</v>
      </c>
      <c r="I45" s="77">
        <v>5.8953596527777825E-3</v>
      </c>
      <c r="J45" s="77">
        <v>1.3171508020833347E-2</v>
      </c>
      <c r="K45" s="3"/>
      <c r="L45" s="187" t="s">
        <v>4</v>
      </c>
      <c r="M45" s="188"/>
      <c r="N45" s="13">
        <f>COUNTIFS(JournalActions[Action],ACT_PEN_CONTRE_NOUS,JournalActions[Motif penalite],"Plaquage - à 2")</f>
        <v>1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6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64">
        <v>4.6541566203703727E-3</v>
      </c>
      <c r="I46" s="78">
        <v>6.6536279861111186E-3</v>
      </c>
      <c r="J46" s="78">
        <v>1.1307784606481491E-2</v>
      </c>
      <c r="K46" s="3"/>
      <c r="L46" s="189" t="s">
        <v>5</v>
      </c>
      <c r="M46" s="190"/>
      <c r="N46" s="38">
        <f>COUNTIFS(JournalActions[Action],ACT_PEN_CONTRE_NOUS,JournalActions[Motif penalite],"Plaquage - haut")</f>
        <v>3</v>
      </c>
      <c r="O46" s="38">
        <f>COUNTIFS(JournalActions[Action],ACT_PEN_CONTRE_ADV,JournalActions[Motif penalite],"Plaquage - haut")</f>
        <v>3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67" t="s">
        <v>237</v>
      </c>
      <c r="H47" s="165">
        <v>1.1722909085648154E-2</v>
      </c>
      <c r="I47" s="79">
        <v>1.2548987638888901E-2</v>
      </c>
      <c r="J47" s="79">
        <v>2.4479292627314839E-2</v>
      </c>
      <c r="K47" s="3"/>
      <c r="L47" s="187" t="s">
        <v>167</v>
      </c>
      <c r="M47" s="188"/>
      <c r="N47" s="13">
        <f>COUNTIF(JournalActions[Action],ACT_PEN_CONTRE_NOUS)-SUM(N42:N46)</f>
        <v>1</v>
      </c>
      <c r="O47" s="13">
        <f>COUNTIF(JournalActions[Action],ACT_PEN_CONTRE_ADV)-SUM(O42:O46)</f>
        <v>5</v>
      </c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2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9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1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169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A3 : MXV / US Eauze Gondrin Première - Touches et possession</v>
      </c>
      <c r="C56" s="170"/>
      <c r="D56" s="170"/>
      <c r="E56" s="170"/>
      <c r="F56" s="170"/>
      <c r="G56" s="170"/>
      <c r="H56" s="170"/>
      <c r="I56" s="170"/>
      <c r="J56" s="170"/>
      <c r="K56" s="170"/>
      <c r="L56" s="128"/>
      <c r="M56" s="128"/>
      <c r="N56" s="128"/>
      <c r="O56" s="128"/>
      <c r="P56" s="128"/>
      <c r="Q56" s="128"/>
      <c r="R56" s="128"/>
      <c r="S56" s="128"/>
      <c r="T56" s="128"/>
    </row>
    <row r="57" spans="2:20" s="3" customFormat="1" ht="13" customHeight="1">
      <c r="B57" s="169"/>
      <c r="C57" s="170"/>
      <c r="D57" s="170"/>
      <c r="E57" s="170"/>
      <c r="F57" s="170"/>
      <c r="G57" s="170"/>
      <c r="H57" s="170"/>
      <c r="I57" s="170"/>
      <c r="J57" s="170"/>
      <c r="K57" s="170"/>
      <c r="L57" s="128"/>
      <c r="M57" s="128"/>
      <c r="N57" s="128"/>
      <c r="O57" s="128"/>
      <c r="P57" s="128"/>
      <c r="Q57" s="128"/>
      <c r="R57" s="128"/>
      <c r="S57" s="128"/>
      <c r="T57" s="128"/>
    </row>
    <row r="58" spans="2:20" s="3" customFormat="1" ht="14" thickBot="1"/>
    <row r="59" spans="2:20" s="3" customFormat="1">
      <c r="B59" s="191" t="s">
        <v>235</v>
      </c>
      <c r="C59" s="192"/>
      <c r="D59" s="192"/>
      <c r="E59" s="192"/>
      <c r="F59" s="192"/>
      <c r="G59" s="192"/>
      <c r="H59" s="192"/>
      <c r="I59" s="192"/>
      <c r="J59" s="192"/>
      <c r="K59" s="193"/>
    </row>
    <row r="60" spans="2:20" s="3" customFormat="1">
      <c r="B60" s="194"/>
      <c r="C60" s="195"/>
      <c r="D60" s="195"/>
      <c r="E60" s="195"/>
      <c r="F60" s="195"/>
      <c r="G60" s="195"/>
      <c r="H60" s="195"/>
      <c r="I60" s="195"/>
      <c r="J60" s="195"/>
      <c r="K60" s="196"/>
    </row>
    <row r="61" spans="2:20" s="3" customFormat="1" ht="14" thickBot="1">
      <c r="B61" s="197"/>
      <c r="C61" s="198"/>
      <c r="D61" s="198"/>
      <c r="E61" s="198"/>
      <c r="F61" s="198"/>
      <c r="G61" s="198"/>
      <c r="H61" s="198"/>
      <c r="I61" s="198"/>
      <c r="J61" s="198"/>
      <c r="K61" s="199"/>
    </row>
    <row r="62" spans="2:20" s="3" customFormat="1"/>
    <row r="63" spans="2:20" s="3" customFormat="1" ht="14">
      <c r="B63" s="175" t="s">
        <v>14</v>
      </c>
      <c r="C63" s="177" t="str">
        <f>ACT_TO_NS_G</f>
        <v>Touche à nous conservée</v>
      </c>
      <c r="D63" s="172"/>
      <c r="E63" s="177" t="str">
        <f>ACT_TO_ADV_VOLEE</f>
        <v>Touche à eux volée</v>
      </c>
      <c r="F63" s="172"/>
      <c r="H63" s="200" t="str">
        <f>ACT_TO_NS_P</f>
        <v>Touche à nous perdue</v>
      </c>
      <c r="I63" s="201"/>
      <c r="J63" s="200" t="str">
        <f>ACT_TO_NS_PAS_DROIT</f>
        <v>Touche à nous pas droite</v>
      </c>
      <c r="K63" s="201"/>
    </row>
    <row r="64" spans="2:20" s="3" customFormat="1" ht="14">
      <c r="B64" s="176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>
        <f>IF(COUNTIFS(JournalActions[Joueur],$B65,JournalActions[Action],$C$63,JournalActions[Mi-temps],C$64)=0,"",COUNTIFS(JournalActions[Joueur],$B65,JournalActions[Action],$C$63,JournalActions[Mi-temps],C$64))</f>
        <v>1</v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>
        <f>IF(COUNTIFS(JournalActions[Joueur],$B65,JournalActions[Action],$H$63,JournalActions[Mi-temps],H$64)=0,"",COUNTIFS(JournalActions[Joueur],$B65,JournalActions[Action],$H$63,JournalActions[Mi-temps],H$64))</f>
        <v>2</v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>
        <f>IF(COUNTIFS(JournalActions[Joueur],$B66,JournalActions[Action],$C$63,JournalActions[Mi-temps],D$64)=0,"",COUNTIFS(JournalActions[Joueur],$B66,JournalActions[Action],$C$63,JournalActions[Mi-temps],D$64))</f>
        <v>1</v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BAQUE Mickael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BARATGIN Julian</v>
      </c>
      <c r="C69" s="28">
        <f>IF(COUNTIFS(JournalActions[Joueur],$B69,JournalActions[Action],$C$63,JournalActions[Mi-temps],C$64)=0,"",COUNTIFS(JournalActions[Joueur],$B69,JournalActions[Action],$C$63,JournalActions[Mi-temps],C$64))</f>
        <v>1</v>
      </c>
      <c r="D69" s="29">
        <f>IF(COUNTIFS(JournalActions[Joueur],$B69,JournalActions[Action],$C$63,JournalActions[Mi-temps],D$64)=0,"",COUNTIFS(JournalActions[Joueur],$B69,JournalActions[Action],$C$63,JournalActions[Mi-temps],D$64))</f>
        <v>1</v>
      </c>
      <c r="E69" s="28">
        <f>IF(COUNTIFS(JournalActions[Joueur],$B69,JournalActions[Action],$E$63,JournalActions[Mi-temps],E$64)=0,"",COUNTIFS(JournalActions[Joueur],$B69,JournalActions[Action],$E$63,JournalActions[Mi-temps],E$64))</f>
        <v>1</v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>
        <f>IF(COUNTIFS(JournalActions[Joueur],$B69,JournalActions[Action],$H$63,JournalActions[Mi-temps],H$64)=0,"",COUNTIFS(JournalActions[Joueur],$B69,JournalActions[Action],$H$63,JournalActions[Mi-temps],H$64))</f>
        <v>1</v>
      </c>
      <c r="I69" s="29">
        <f>IF(COUNTIFS(JournalActions[Joueur],$B69,JournalActions[Action],$H$63,JournalActions[Mi-temps],I$64)=0,"",COUNTIFS(JournalActions[Joueur],$B69,JournalActions[Action],$H$63,JournalActions[Mi-temps],I$64))</f>
        <v>1</v>
      </c>
      <c r="J69" s="28">
        <f>IF(COUNTIFS(JournalActions[Joueur],$B69,JournalActions[Action],$J$63,JournalActions[Mi-temps],J$64)=0,"",COUNTIFS(JournalActions[Joueur],$B69,JournalActions[Action],$J$63,JournalActions[Mi-temps],J$64))</f>
        <v>1</v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BOURREC Anthony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CESCA Sacha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COURREGES Romain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DALLA ROSA Jonah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DUTREY Thomas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>
        <f>IF(COUNTIFS(JournalActions[Joueur],$B74,JournalActions[Action],$J$63,JournalActions[Mi-temps],J$64)=0,"",COUNTIFS(JournalActions[Joueur],$B74,JournalActions[Action],$J$63,JournalActions[Mi-temps],J$64))</f>
        <v>1</v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FITAN Maël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>
        <f>IF(COUNTIFS(JournalActions[Joueur],$B75,JournalActions[Action],$C$63,JournalActions[Mi-temps],D$64)=0,"",COUNTIFS(JournalActions[Joueur],$B75,JournalActions[Action],$C$63,JournalActions[Mi-temps],D$64))</f>
        <v>2</v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>
        <f>IF(COUNTIFS(JournalActions[Joueur],$B75,JournalActions[Action],$E$63,JournalActions[Mi-temps],F$64)=0,"",COUNTIFS(JournalActions[Joueur],$B75,JournalActions[Action],$E$63,JournalActions[Mi-temps],F$64))</f>
        <v>1</v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>
        <f>IF(COUNTIFS(JournalActions[Joueur],$B82,JournalActions[Action],$E$63,JournalActions[Mi-temps],E$64)=0,"",COUNTIFS(JournalActions[Joueur],$B82,JournalActions[Action],$E$63,JournalActions[Mi-temps],E$64))</f>
        <v>1</v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>
        <f>IF(COUNTIFS(JournalActions[Joueur],$B82,JournalActions[Action],$J$63,JournalActions[Mi-temps],J$64)=0,"",COUNTIFS(JournalActions[Joueur],$B82,JournalActions[Action],$J$63,JournalActions[Mi-temps],J$64))</f>
        <v>1</v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ROBERT Jimmy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SALLES Fabien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SOUVILLE Quentin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2</v>
      </c>
      <c r="D89" s="54">
        <f t="shared" ref="D89" si="10">SUM(D65:D88)</f>
        <v>4</v>
      </c>
      <c r="E89" s="53">
        <f>SUM(E65:E88)</f>
        <v>2</v>
      </c>
      <c r="F89" s="54">
        <f t="shared" ref="F89" si="11">SUM(F65:F88)</f>
        <v>1</v>
      </c>
      <c r="H89" s="74">
        <f>SUM(H65:H88)</f>
        <v>3</v>
      </c>
      <c r="I89" s="75">
        <f>SUM(I65:I88)</f>
        <v>1</v>
      </c>
      <c r="J89" s="74">
        <f>SUM(J65:J88)</f>
        <v>3</v>
      </c>
      <c r="K89" s="75">
        <f t="shared" ref="K89" si="12">SUM(K65:K88)</f>
        <v>0</v>
      </c>
    </row>
    <row r="90" spans="2:11" s="3" customFormat="1" ht="16">
      <c r="B90" s="55" t="s">
        <v>176</v>
      </c>
      <c r="C90" s="182">
        <f>C89+D89</f>
        <v>6</v>
      </c>
      <c r="D90" s="174"/>
      <c r="E90" s="182">
        <f>E89+F89</f>
        <v>3</v>
      </c>
      <c r="F90" s="174"/>
      <c r="H90" s="183">
        <f>H89+I89</f>
        <v>4</v>
      </c>
      <c r="I90" s="184"/>
      <c r="J90" s="183">
        <f>J89+K89</f>
        <v>3</v>
      </c>
      <c r="K90" s="184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9" t="s">
        <v>390</v>
      </c>
      <c r="C94" s="130" t="s">
        <v>47</v>
      </c>
      <c r="D94" s="131" t="s">
        <v>113</v>
      </c>
      <c r="F94" s="185" t="s">
        <v>391</v>
      </c>
      <c r="G94" s="186"/>
      <c r="H94" s="130" t="s">
        <v>46</v>
      </c>
      <c r="I94" s="130" t="s">
        <v>44</v>
      </c>
      <c r="J94" s="137" t="s">
        <v>237</v>
      </c>
    </row>
    <row r="95" spans="2:11" s="3" customFormat="1" ht="16">
      <c r="B95" s="132" t="s">
        <v>238</v>
      </c>
      <c r="C95" s="81">
        <v>50</v>
      </c>
      <c r="D95" s="133">
        <v>44</v>
      </c>
      <c r="F95" s="180" t="s">
        <v>238</v>
      </c>
      <c r="G95" s="181"/>
      <c r="H95" s="81">
        <v>8</v>
      </c>
      <c r="I95" s="81">
        <v>5</v>
      </c>
      <c r="J95" s="138">
        <v>13</v>
      </c>
    </row>
    <row r="96" spans="2:11" s="3" customFormat="1" ht="16">
      <c r="B96" s="132" t="s">
        <v>239</v>
      </c>
      <c r="C96" s="81">
        <v>15</v>
      </c>
      <c r="D96" s="133">
        <v>19</v>
      </c>
      <c r="F96" s="180" t="s">
        <v>239</v>
      </c>
      <c r="G96" s="181"/>
      <c r="H96" s="81">
        <v>9</v>
      </c>
      <c r="I96" s="81">
        <v>12</v>
      </c>
      <c r="J96" s="138">
        <v>21</v>
      </c>
    </row>
    <row r="97" spans="2:10" s="3" customFormat="1" ht="16">
      <c r="B97" s="132" t="s">
        <v>240</v>
      </c>
      <c r="C97" s="81">
        <v>4</v>
      </c>
      <c r="D97" s="133">
        <v>4</v>
      </c>
      <c r="F97" s="180" t="s">
        <v>240</v>
      </c>
      <c r="G97" s="181"/>
      <c r="H97" s="81">
        <v>7</v>
      </c>
      <c r="I97" s="81">
        <v>5</v>
      </c>
      <c r="J97" s="138">
        <v>12</v>
      </c>
    </row>
    <row r="98" spans="2:10" s="3" customFormat="1" ht="16">
      <c r="B98" s="132" t="s">
        <v>241</v>
      </c>
      <c r="C98" s="81">
        <v>1</v>
      </c>
      <c r="D98" s="133">
        <v>0</v>
      </c>
      <c r="F98" s="180" t="s">
        <v>241</v>
      </c>
      <c r="G98" s="181"/>
      <c r="H98" s="81">
        <v>4</v>
      </c>
      <c r="I98" s="81">
        <v>5</v>
      </c>
      <c r="J98" s="138">
        <v>9</v>
      </c>
    </row>
    <row r="99" spans="2:10" s="3" customFormat="1" ht="17" thickBot="1">
      <c r="B99" s="134" t="s">
        <v>242</v>
      </c>
      <c r="C99" s="135">
        <v>0</v>
      </c>
      <c r="D99" s="136">
        <v>0</v>
      </c>
      <c r="F99" s="180" t="s">
        <v>392</v>
      </c>
      <c r="G99" s="181"/>
      <c r="H99" s="81">
        <v>1</v>
      </c>
      <c r="I99" s="81">
        <v>0</v>
      </c>
      <c r="J99" s="138">
        <v>1</v>
      </c>
    </row>
    <row r="100" spans="2:10" s="3" customFormat="1" ht="16">
      <c r="F100" s="180" t="s">
        <v>393</v>
      </c>
      <c r="G100" s="181"/>
      <c r="H100" s="81">
        <v>0</v>
      </c>
      <c r="I100" s="81">
        <v>0</v>
      </c>
      <c r="J100" s="138">
        <v>0</v>
      </c>
    </row>
    <row r="101" spans="2:10" s="3" customFormat="1" ht="16">
      <c r="F101" s="180" t="s">
        <v>394</v>
      </c>
      <c r="G101" s="181"/>
      <c r="H101" s="81">
        <v>0</v>
      </c>
      <c r="I101" s="81">
        <v>0</v>
      </c>
      <c r="J101" s="138">
        <v>0</v>
      </c>
    </row>
    <row r="102" spans="2:10" s="3" customFormat="1" ht="17" thickBot="1">
      <c r="F102" s="178" t="s">
        <v>395</v>
      </c>
      <c r="G102" s="179"/>
      <c r="H102" s="135">
        <v>0</v>
      </c>
      <c r="I102" s="135">
        <v>0</v>
      </c>
      <c r="J102" s="139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  <mergeCell ref="L42:M42"/>
    <mergeCell ref="C33:D33"/>
    <mergeCell ref="E33:F33"/>
    <mergeCell ref="G33:H33"/>
    <mergeCell ref="I33:J33"/>
    <mergeCell ref="K33:L33"/>
    <mergeCell ref="G36:H36"/>
    <mergeCell ref="L36:L37"/>
    <mergeCell ref="M36:O36"/>
    <mergeCell ref="M33:N33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L38:P38 B8:Z31">
    <cfRule type="expression" dxfId="19" priority="6" stopIfTrue="1">
      <formula>ISEVEN(ROW())</formula>
    </cfRule>
  </conditionalFormatting>
  <conditionalFormatting sqref="B65:B88">
    <cfRule type="expression" dxfId="18" priority="5" stopIfTrue="1">
      <formula>ISEVEN(ROW())</formula>
    </cfRule>
  </conditionalFormatting>
  <conditionalFormatting sqref="C65:D88">
    <cfRule type="expression" dxfId="17" priority="4" stopIfTrue="1">
      <formula>ISEVEN(ROW())</formula>
    </cfRule>
  </conditionalFormatting>
  <conditionalFormatting sqref="H65:I88">
    <cfRule type="expression" dxfId="16" priority="3" stopIfTrue="1">
      <formula>ISEVEN(ROW())</formula>
    </cfRule>
  </conditionalFormatting>
  <conditionalFormatting sqref="J65:K88">
    <cfRule type="expression" dxfId="15" priority="2" stopIfTrue="1">
      <formula>ISEVEN(ROW())</formula>
    </cfRule>
  </conditionalFormatting>
  <conditionalFormatting sqref="E65:F88">
    <cfRule type="expression" dxfId="14" priority="1" stopIfTrue="1">
      <formula>ISEVEN(ROW())</formula>
    </cfRule>
  </conditionalFormatting>
  <pageMargins left="0.7" right="0.7" top="0.75" bottom="0.75" header="0.3" footer="0.3"/>
  <pageSetup paperSize="9" scale="26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57"/>
  <sheetViews>
    <sheetView workbookViewId="0">
      <selection activeCell="K2" sqref="K2"/>
    </sheetView>
    <sheetView workbookViewId="1">
      <selection activeCell="E12" sqref="E12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6.33203125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448</v>
      </c>
      <c r="W1" t="s">
        <v>413</v>
      </c>
      <c r="X1" t="s">
        <v>416</v>
      </c>
      <c r="Y1" t="s">
        <v>420</v>
      </c>
      <c r="Z1" t="s">
        <v>421</v>
      </c>
      <c r="AA1" t="s">
        <v>427</v>
      </c>
      <c r="AB1" t="s">
        <v>430</v>
      </c>
      <c r="AC1" t="s">
        <v>442</v>
      </c>
      <c r="AD1" t="s">
        <v>444</v>
      </c>
      <c r="AE1" t="s">
        <v>464</v>
      </c>
      <c r="AF1" t="s">
        <v>473</v>
      </c>
    </row>
    <row r="2" spans="1:32">
      <c r="A2" t="s">
        <v>449</v>
      </c>
      <c r="B2" t="s">
        <v>7</v>
      </c>
      <c r="C2" t="s">
        <v>450</v>
      </c>
      <c r="D2" t="s">
        <v>451</v>
      </c>
      <c r="E2" t="s">
        <v>452</v>
      </c>
      <c r="F2" t="s">
        <v>453</v>
      </c>
      <c r="G2" t="s">
        <v>454</v>
      </c>
      <c r="H2" t="s">
        <v>455</v>
      </c>
      <c r="I2" t="s">
        <v>456</v>
      </c>
      <c r="J2" t="s">
        <v>457</v>
      </c>
      <c r="W2" t="s">
        <v>414</v>
      </c>
      <c r="X2" t="s">
        <v>417</v>
      </c>
      <c r="Y2" t="s">
        <v>417</v>
      </c>
      <c r="Z2" t="s">
        <v>422</v>
      </c>
      <c r="AA2" t="s">
        <v>428</v>
      </c>
      <c r="AB2" t="s">
        <v>431</v>
      </c>
      <c r="AC2">
        <v>2</v>
      </c>
      <c r="AD2" t="s">
        <v>445</v>
      </c>
      <c r="AE2" t="s">
        <v>465</v>
      </c>
      <c r="AF2" t="s">
        <v>474</v>
      </c>
    </row>
    <row r="3" spans="1:32">
      <c r="A3" s="82">
        <v>5.1872701273148148E-3</v>
      </c>
      <c r="B3" t="s">
        <v>46</v>
      </c>
      <c r="C3" t="s">
        <v>415</v>
      </c>
      <c r="D3" t="s">
        <v>418</v>
      </c>
      <c r="F3" t="s">
        <v>425</v>
      </c>
      <c r="G3" t="s">
        <v>428</v>
      </c>
      <c r="H3" t="s">
        <v>435</v>
      </c>
      <c r="I3" t="s">
        <v>443</v>
      </c>
      <c r="W3" t="s">
        <v>415</v>
      </c>
      <c r="X3" t="s">
        <v>418</v>
      </c>
      <c r="Y3" t="s">
        <v>418</v>
      </c>
      <c r="Z3" t="s">
        <v>423</v>
      </c>
      <c r="AA3" t="s">
        <v>429</v>
      </c>
      <c r="AB3" t="s">
        <v>432</v>
      </c>
      <c r="AC3">
        <v>3</v>
      </c>
      <c r="AD3" t="s">
        <v>446</v>
      </c>
      <c r="AE3" s="99" t="s">
        <v>170</v>
      </c>
      <c r="AF3" t="s">
        <v>475</v>
      </c>
    </row>
    <row r="4" spans="1:32">
      <c r="A4" s="82">
        <v>7.0511375000000005E-3</v>
      </c>
      <c r="B4" t="s">
        <v>46</v>
      </c>
      <c r="C4" t="s">
        <v>415</v>
      </c>
      <c r="D4" t="s">
        <v>417</v>
      </c>
      <c r="E4" t="s">
        <v>487</v>
      </c>
      <c r="F4" t="s">
        <v>424</v>
      </c>
      <c r="G4" t="s">
        <v>429</v>
      </c>
      <c r="H4" t="s">
        <v>436</v>
      </c>
      <c r="I4" t="s">
        <v>443</v>
      </c>
      <c r="X4" t="s">
        <v>419</v>
      </c>
      <c r="Z4" t="s">
        <v>424</v>
      </c>
      <c r="AB4" t="s">
        <v>433</v>
      </c>
      <c r="AC4">
        <v>4</v>
      </c>
      <c r="AD4" t="s">
        <v>447</v>
      </c>
      <c r="AE4" t="s">
        <v>466</v>
      </c>
    </row>
    <row r="5" spans="1:32">
      <c r="A5" s="82">
        <v>7.9532812037037045E-3</v>
      </c>
      <c r="B5" t="s">
        <v>46</v>
      </c>
      <c r="C5" t="s">
        <v>414</v>
      </c>
      <c r="D5" t="s">
        <v>417</v>
      </c>
      <c r="E5" t="s">
        <v>486</v>
      </c>
      <c r="F5" t="s">
        <v>424</v>
      </c>
      <c r="G5" t="s">
        <v>428</v>
      </c>
      <c r="H5" t="s">
        <v>438</v>
      </c>
      <c r="I5" t="s">
        <v>443</v>
      </c>
      <c r="Z5" t="s">
        <v>425</v>
      </c>
      <c r="AB5" t="s">
        <v>434</v>
      </c>
      <c r="AC5">
        <v>5</v>
      </c>
    </row>
    <row r="6" spans="1:32">
      <c r="A6" s="82">
        <v>9.3196754398148143E-3</v>
      </c>
      <c r="B6" t="s">
        <v>46</v>
      </c>
      <c r="C6" t="s">
        <v>415</v>
      </c>
      <c r="D6" t="s">
        <v>418</v>
      </c>
      <c r="F6" t="s">
        <v>423</v>
      </c>
      <c r="G6" t="s">
        <v>428</v>
      </c>
      <c r="H6" t="s">
        <v>431</v>
      </c>
      <c r="I6" t="s">
        <v>443</v>
      </c>
      <c r="Z6" t="s">
        <v>426</v>
      </c>
      <c r="AB6" t="s">
        <v>435</v>
      </c>
      <c r="AC6">
        <v>6</v>
      </c>
    </row>
    <row r="7" spans="1:32">
      <c r="A7" s="82">
        <v>9.8864677777777774E-3</v>
      </c>
      <c r="B7" t="s">
        <v>46</v>
      </c>
      <c r="C7" t="s">
        <v>414</v>
      </c>
      <c r="D7" t="s">
        <v>418</v>
      </c>
      <c r="E7" t="s">
        <v>487</v>
      </c>
      <c r="F7" t="s">
        <v>423</v>
      </c>
      <c r="H7" t="s">
        <v>431</v>
      </c>
      <c r="I7" t="s">
        <v>443</v>
      </c>
      <c r="AB7" t="s">
        <v>436</v>
      </c>
      <c r="AC7" t="s">
        <v>443</v>
      </c>
    </row>
    <row r="8" spans="1:32">
      <c r="A8" s="82">
        <v>1.4049508287037037E-2</v>
      </c>
      <c r="B8" t="s">
        <v>46</v>
      </c>
      <c r="C8" t="s">
        <v>414</v>
      </c>
      <c r="D8" t="s">
        <v>419</v>
      </c>
      <c r="E8" t="s">
        <v>512</v>
      </c>
      <c r="F8" t="s">
        <v>425</v>
      </c>
      <c r="H8" t="s">
        <v>437</v>
      </c>
      <c r="I8">
        <v>5</v>
      </c>
      <c r="AB8" t="s">
        <v>437</v>
      </c>
    </row>
    <row r="9" spans="1:32">
      <c r="A9" s="82">
        <v>1.5222834733796296E-2</v>
      </c>
      <c r="B9" t="s">
        <v>46</v>
      </c>
      <c r="C9" t="s">
        <v>415</v>
      </c>
      <c r="D9" t="s">
        <v>419</v>
      </c>
      <c r="F9" t="s">
        <v>425</v>
      </c>
      <c r="H9" t="s">
        <v>434</v>
      </c>
      <c r="I9" t="s">
        <v>443</v>
      </c>
      <c r="AB9" t="s">
        <v>438</v>
      </c>
    </row>
    <row r="10" spans="1:32">
      <c r="A10" s="82">
        <v>1.6186776932870371E-2</v>
      </c>
      <c r="B10" t="s">
        <v>46</v>
      </c>
      <c r="C10" t="s">
        <v>414</v>
      </c>
      <c r="D10" t="s">
        <v>417</v>
      </c>
      <c r="E10" t="s">
        <v>512</v>
      </c>
      <c r="F10" t="s">
        <v>425</v>
      </c>
      <c r="G10" t="s">
        <v>429</v>
      </c>
      <c r="H10" t="s">
        <v>436</v>
      </c>
      <c r="I10">
        <v>5</v>
      </c>
      <c r="J10" t="s">
        <v>606</v>
      </c>
      <c r="AB10" t="s">
        <v>439</v>
      </c>
    </row>
    <row r="11" spans="1:32">
      <c r="A11" s="82">
        <v>1.932261431712963E-2</v>
      </c>
      <c r="B11" t="s">
        <v>46</v>
      </c>
      <c r="C11" t="s">
        <v>414</v>
      </c>
      <c r="D11" t="s">
        <v>419</v>
      </c>
      <c r="E11" t="s">
        <v>487</v>
      </c>
      <c r="F11" t="s">
        <v>423</v>
      </c>
      <c r="H11" t="s">
        <v>436</v>
      </c>
      <c r="I11">
        <v>5</v>
      </c>
      <c r="AB11" t="s">
        <v>440</v>
      </c>
    </row>
    <row r="12" spans="1:32">
      <c r="A12" s="82">
        <v>2.0253061203703702E-2</v>
      </c>
      <c r="B12" t="s">
        <v>46</v>
      </c>
      <c r="C12" t="s">
        <v>414</v>
      </c>
      <c r="D12" t="s">
        <v>418</v>
      </c>
      <c r="E12" t="s">
        <v>486</v>
      </c>
      <c r="F12" t="s">
        <v>425</v>
      </c>
      <c r="H12" t="s">
        <v>437</v>
      </c>
      <c r="I12" t="s">
        <v>443</v>
      </c>
      <c r="AB12" t="s">
        <v>441</v>
      </c>
    </row>
    <row r="13" spans="1:32">
      <c r="A13" s="82">
        <v>2.0953364594907407E-2</v>
      </c>
      <c r="B13" t="s">
        <v>46</v>
      </c>
      <c r="C13" t="s">
        <v>414</v>
      </c>
      <c r="D13" t="s">
        <v>417</v>
      </c>
      <c r="E13" t="s">
        <v>487</v>
      </c>
      <c r="F13" t="s">
        <v>423</v>
      </c>
      <c r="G13" t="s">
        <v>429</v>
      </c>
      <c r="H13" t="s">
        <v>439</v>
      </c>
      <c r="I13">
        <v>4</v>
      </c>
    </row>
    <row r="14" spans="1:32">
      <c r="A14" s="82">
        <v>2.3422727488425926E-2</v>
      </c>
      <c r="B14" t="s">
        <v>46</v>
      </c>
      <c r="C14" t="s">
        <v>414</v>
      </c>
      <c r="D14" t="s">
        <v>418</v>
      </c>
      <c r="E14" t="s">
        <v>486</v>
      </c>
      <c r="F14" t="s">
        <v>426</v>
      </c>
      <c r="H14" t="s">
        <v>439</v>
      </c>
      <c r="I14">
        <v>5</v>
      </c>
    </row>
    <row r="15" spans="1:32">
      <c r="A15" s="82">
        <v>2.6280500613425926E-2</v>
      </c>
      <c r="B15" t="s">
        <v>46</v>
      </c>
      <c r="C15" t="s">
        <v>415</v>
      </c>
      <c r="D15" t="s">
        <v>419</v>
      </c>
      <c r="H15" t="s">
        <v>437</v>
      </c>
      <c r="I15">
        <v>5</v>
      </c>
    </row>
    <row r="16" spans="1:32">
      <c r="A16" s="82">
        <v>2.8549662847222219E-2</v>
      </c>
      <c r="B16" t="s">
        <v>46</v>
      </c>
      <c r="C16" t="s">
        <v>414</v>
      </c>
      <c r="D16" t="s">
        <v>419</v>
      </c>
      <c r="E16" t="s">
        <v>511</v>
      </c>
      <c r="F16" t="s">
        <v>425</v>
      </c>
      <c r="H16" t="s">
        <v>436</v>
      </c>
      <c r="I16">
        <v>5</v>
      </c>
    </row>
    <row r="17" spans="1:10">
      <c r="A17" s="82">
        <v>3.3880802951388886E-2</v>
      </c>
      <c r="B17" t="s">
        <v>46</v>
      </c>
      <c r="C17" t="s">
        <v>415</v>
      </c>
      <c r="D17" t="s">
        <v>418</v>
      </c>
      <c r="F17" t="s">
        <v>425</v>
      </c>
      <c r="G17" t="s">
        <v>428</v>
      </c>
      <c r="H17" t="s">
        <v>433</v>
      </c>
      <c r="I17" t="s">
        <v>443</v>
      </c>
    </row>
    <row r="18" spans="1:10">
      <c r="A18" s="82">
        <v>3.9504903009259261E-2</v>
      </c>
      <c r="B18" t="s">
        <v>44</v>
      </c>
      <c r="C18" t="s">
        <v>414</v>
      </c>
      <c r="D18" t="s">
        <v>417</v>
      </c>
      <c r="E18" t="s">
        <v>593</v>
      </c>
      <c r="F18" t="s">
        <v>423</v>
      </c>
      <c r="G18" t="s">
        <v>429</v>
      </c>
      <c r="H18" t="s">
        <v>437</v>
      </c>
      <c r="I18" t="s">
        <v>443</v>
      </c>
    </row>
    <row r="19" spans="1:10">
      <c r="A19" s="82">
        <v>4.1785582268518522E-2</v>
      </c>
      <c r="B19" t="s">
        <v>44</v>
      </c>
      <c r="C19" t="s">
        <v>414</v>
      </c>
      <c r="D19" t="s">
        <v>418</v>
      </c>
      <c r="H19" t="s">
        <v>437</v>
      </c>
      <c r="I19">
        <v>5</v>
      </c>
    </row>
    <row r="20" spans="1:10">
      <c r="A20" s="82">
        <v>4.477153431712963E-2</v>
      </c>
      <c r="B20" t="s">
        <v>44</v>
      </c>
      <c r="C20" t="s">
        <v>414</v>
      </c>
      <c r="D20" t="s">
        <v>418</v>
      </c>
      <c r="E20" t="s">
        <v>487</v>
      </c>
      <c r="F20" t="s">
        <v>424</v>
      </c>
      <c r="H20" t="s">
        <v>437</v>
      </c>
      <c r="I20" t="s">
        <v>443</v>
      </c>
    </row>
    <row r="21" spans="1:10">
      <c r="A21" s="82">
        <v>4.5936444884259256E-2</v>
      </c>
      <c r="B21" t="s">
        <v>44</v>
      </c>
      <c r="C21" t="s">
        <v>415</v>
      </c>
      <c r="D21" t="s">
        <v>419</v>
      </c>
      <c r="F21" t="s">
        <v>425</v>
      </c>
      <c r="H21" t="s">
        <v>435</v>
      </c>
      <c r="I21">
        <v>5</v>
      </c>
    </row>
    <row r="22" spans="1:10">
      <c r="A22" s="82">
        <v>4.976612143518519E-2</v>
      </c>
      <c r="B22" t="s">
        <v>44</v>
      </c>
      <c r="C22" t="s">
        <v>414</v>
      </c>
      <c r="D22" t="s">
        <v>417</v>
      </c>
      <c r="E22" t="s">
        <v>593</v>
      </c>
      <c r="F22" t="s">
        <v>423</v>
      </c>
      <c r="G22" t="s">
        <v>428</v>
      </c>
      <c r="H22" t="s">
        <v>437</v>
      </c>
      <c r="I22" t="s">
        <v>443</v>
      </c>
    </row>
    <row r="23" spans="1:10">
      <c r="A23" s="82">
        <v>5.0697859560185181E-2</v>
      </c>
      <c r="B23" t="s">
        <v>44</v>
      </c>
      <c r="C23" t="s">
        <v>415</v>
      </c>
      <c r="D23" t="s">
        <v>418</v>
      </c>
      <c r="F23" t="s">
        <v>426</v>
      </c>
      <c r="G23" t="s">
        <v>428</v>
      </c>
      <c r="H23" t="s">
        <v>433</v>
      </c>
      <c r="I23" t="s">
        <v>443</v>
      </c>
    </row>
    <row r="24" spans="1:10">
      <c r="A24" s="82">
        <v>5.1682210856481475E-2</v>
      </c>
      <c r="B24" t="s">
        <v>44</v>
      </c>
      <c r="C24" t="s">
        <v>415</v>
      </c>
      <c r="D24" t="s">
        <v>418</v>
      </c>
      <c r="F24" t="s">
        <v>423</v>
      </c>
      <c r="G24" t="s">
        <v>428</v>
      </c>
      <c r="H24" t="s">
        <v>438</v>
      </c>
      <c r="I24">
        <v>5</v>
      </c>
    </row>
    <row r="25" spans="1:10">
      <c r="A25" s="82">
        <v>5.296251480324074E-2</v>
      </c>
      <c r="B25" t="s">
        <v>44</v>
      </c>
      <c r="C25" t="s">
        <v>414</v>
      </c>
      <c r="D25" t="s">
        <v>417</v>
      </c>
      <c r="E25" t="s">
        <v>487</v>
      </c>
      <c r="F25" t="s">
        <v>424</v>
      </c>
      <c r="H25" t="s">
        <v>436</v>
      </c>
      <c r="I25" t="s">
        <v>443</v>
      </c>
    </row>
    <row r="26" spans="1:10">
      <c r="A26" s="82">
        <v>5.5892115439814809E-2</v>
      </c>
      <c r="B26" t="s">
        <v>44</v>
      </c>
      <c r="C26" t="s">
        <v>414</v>
      </c>
      <c r="D26" t="s">
        <v>417</v>
      </c>
      <c r="E26" t="s">
        <v>484</v>
      </c>
      <c r="F26" t="s">
        <v>424</v>
      </c>
      <c r="G26" t="s">
        <v>429</v>
      </c>
      <c r="H26" t="s">
        <v>439</v>
      </c>
      <c r="I26" t="s">
        <v>443</v>
      </c>
      <c r="J26" t="s">
        <v>613</v>
      </c>
    </row>
    <row r="27" spans="1:10">
      <c r="A27" s="82">
        <v>5.7425238194444443E-2</v>
      </c>
      <c r="B27" t="s">
        <v>44</v>
      </c>
      <c r="C27" t="s">
        <v>415</v>
      </c>
      <c r="D27" t="s">
        <v>417</v>
      </c>
      <c r="E27" t="s">
        <v>593</v>
      </c>
      <c r="F27" t="s">
        <v>423</v>
      </c>
      <c r="G27" t="s">
        <v>428</v>
      </c>
      <c r="H27" t="s">
        <v>438</v>
      </c>
      <c r="I27" t="s">
        <v>443</v>
      </c>
    </row>
    <row r="28" spans="1:10">
      <c r="A28" s="82">
        <v>5.9010815671296298E-2</v>
      </c>
      <c r="B28" t="s">
        <v>44</v>
      </c>
      <c r="C28" t="s">
        <v>415</v>
      </c>
      <c r="D28" t="s">
        <v>418</v>
      </c>
      <c r="F28" t="s">
        <v>426</v>
      </c>
      <c r="G28" t="s">
        <v>428</v>
      </c>
      <c r="H28" t="s">
        <v>432</v>
      </c>
      <c r="I28" t="s">
        <v>443</v>
      </c>
    </row>
    <row r="29" spans="1:10">
      <c r="A29" s="82">
        <v>6.1058776840277773E-2</v>
      </c>
      <c r="B29" t="s">
        <v>44</v>
      </c>
      <c r="C29" t="s">
        <v>415</v>
      </c>
      <c r="D29" t="s">
        <v>418</v>
      </c>
      <c r="F29" t="s">
        <v>423</v>
      </c>
      <c r="G29" t="s">
        <v>428</v>
      </c>
      <c r="H29" t="s">
        <v>433</v>
      </c>
      <c r="I29" t="s">
        <v>443</v>
      </c>
    </row>
    <row r="30" spans="1:10">
      <c r="A30" s="82"/>
      <c r="E30" t="s">
        <v>66</v>
      </c>
    </row>
    <row r="31" spans="1:10">
      <c r="A31" s="112" t="s">
        <v>222</v>
      </c>
      <c r="B31" s="113" t="s">
        <v>211</v>
      </c>
      <c r="C31" s="113" t="s">
        <v>144</v>
      </c>
      <c r="D31" s="113" t="s">
        <v>477</v>
      </c>
    </row>
    <row r="32" spans="1:10">
      <c r="A32" s="114" t="s">
        <v>142</v>
      </c>
      <c r="B32" s="115">
        <f>COUNTIFS(DetailTouches[Lance pour],"N",DetailTouches[Issue],"G")</f>
        <v>7</v>
      </c>
      <c r="C32" s="115">
        <f>COUNTIFS(DetailTouches[Lance pour],"N",DetailTouches[Issue],"P")</f>
        <v>5</v>
      </c>
      <c r="D32" s="115">
        <f>COUNTIFS(DetailTouches[Lance pour],"N",DetailTouches[Issue],"ND")</f>
        <v>3</v>
      </c>
    </row>
    <row r="33" spans="1:10">
      <c r="A33" s="110" t="s">
        <v>173</v>
      </c>
      <c r="B33" s="111">
        <f>COUNTIFS(DetailTouches[Lance pour],"E",DetailTouches[Issue],"P")</f>
        <v>7</v>
      </c>
      <c r="C33" s="111">
        <f>COUNTIFS(DetailTouches[Lance pour],"E",DetailTouches[Issue],"G")</f>
        <v>2</v>
      </c>
      <c r="D33" s="111">
        <f>COUNTIFS(DetailTouches[Lance pour],"E",DetailTouches[Issue],"ND")</f>
        <v>3</v>
      </c>
    </row>
    <row r="35" spans="1:10" ht="18">
      <c r="A35" s="98" t="s">
        <v>458</v>
      </c>
    </row>
    <row r="36" spans="1:10">
      <c r="A36" t="s">
        <v>449</v>
      </c>
      <c r="B36" t="s">
        <v>7</v>
      </c>
      <c r="C36" t="s">
        <v>476</v>
      </c>
      <c r="D36" t="s">
        <v>451</v>
      </c>
      <c r="E36" t="s">
        <v>459</v>
      </c>
      <c r="F36" t="s">
        <v>460</v>
      </c>
      <c r="G36" t="s">
        <v>461</v>
      </c>
      <c r="H36" t="s">
        <v>462</v>
      </c>
      <c r="I36" t="s">
        <v>463</v>
      </c>
      <c r="J36" t="s">
        <v>457</v>
      </c>
    </row>
    <row r="37" spans="1:10">
      <c r="A37" s="82">
        <v>8.7726793865740751E-3</v>
      </c>
      <c r="B37" t="s">
        <v>46</v>
      </c>
      <c r="C37" t="s">
        <v>415</v>
      </c>
      <c r="D37" t="s">
        <v>418</v>
      </c>
      <c r="E37" t="s">
        <v>438</v>
      </c>
      <c r="F37" t="s">
        <v>446</v>
      </c>
      <c r="G37" s="96"/>
      <c r="H37" s="96"/>
      <c r="I37" s="96" t="s">
        <v>595</v>
      </c>
    </row>
    <row r="38" spans="1:10">
      <c r="A38" s="82">
        <v>1.4457375046296295E-2</v>
      </c>
      <c r="B38" t="s">
        <v>46</v>
      </c>
      <c r="C38" t="s">
        <v>415</v>
      </c>
      <c r="D38" t="s">
        <v>418</v>
      </c>
      <c r="E38" t="s">
        <v>437</v>
      </c>
      <c r="F38" t="s">
        <v>445</v>
      </c>
      <c r="G38" s="96"/>
      <c r="H38" s="96"/>
      <c r="I38" s="96" t="s">
        <v>595</v>
      </c>
    </row>
    <row r="39" spans="1:10">
      <c r="A39" s="82">
        <v>1.5593814363425924E-2</v>
      </c>
      <c r="B39" t="s">
        <v>46</v>
      </c>
      <c r="C39" t="s">
        <v>414</v>
      </c>
      <c r="D39" t="s">
        <v>417</v>
      </c>
      <c r="E39" t="s">
        <v>434</v>
      </c>
      <c r="F39" t="s">
        <v>447</v>
      </c>
      <c r="G39" s="96"/>
      <c r="H39" s="96"/>
      <c r="I39" s="96" t="s">
        <v>595</v>
      </c>
    </row>
    <row r="40" spans="1:10">
      <c r="A40" s="82">
        <v>1.6665609305555558E-2</v>
      </c>
      <c r="B40" t="s">
        <v>46</v>
      </c>
      <c r="C40" t="s">
        <v>415</v>
      </c>
      <c r="D40" t="s">
        <v>418</v>
      </c>
      <c r="E40" t="s">
        <v>436</v>
      </c>
      <c r="F40" t="s">
        <v>446</v>
      </c>
      <c r="G40" s="96" t="s">
        <v>595</v>
      </c>
      <c r="H40" s="96"/>
      <c r="I40" s="96"/>
    </row>
    <row r="41" spans="1:10">
      <c r="A41" s="82">
        <v>1.861090204861111E-2</v>
      </c>
      <c r="B41" t="s">
        <v>46</v>
      </c>
      <c r="C41" t="s">
        <v>415</v>
      </c>
      <c r="D41" t="s">
        <v>418</v>
      </c>
      <c r="E41" t="s">
        <v>433</v>
      </c>
      <c r="F41" t="s">
        <v>446</v>
      </c>
      <c r="G41" s="96"/>
      <c r="H41" s="96" t="s">
        <v>595</v>
      </c>
      <c r="I41" s="96"/>
    </row>
    <row r="42" spans="1:10">
      <c r="A42" s="82">
        <v>1.9702408217592594E-2</v>
      </c>
      <c r="B42" t="s">
        <v>46</v>
      </c>
      <c r="C42" t="s">
        <v>415</v>
      </c>
      <c r="D42" t="s">
        <v>418</v>
      </c>
      <c r="E42" t="s">
        <v>436</v>
      </c>
      <c r="F42" t="s">
        <v>445</v>
      </c>
      <c r="G42" s="96"/>
      <c r="H42" s="96"/>
      <c r="I42" s="96" t="s">
        <v>595</v>
      </c>
    </row>
    <row r="43" spans="1:10">
      <c r="A43" s="82">
        <v>2.6713173831018518E-2</v>
      </c>
      <c r="B43" t="s">
        <v>46</v>
      </c>
      <c r="C43" t="s">
        <v>414</v>
      </c>
      <c r="D43" t="s">
        <v>417</v>
      </c>
      <c r="E43" t="s">
        <v>437</v>
      </c>
      <c r="F43" t="s">
        <v>445</v>
      </c>
      <c r="G43" s="96" t="s">
        <v>595</v>
      </c>
      <c r="H43" s="96"/>
      <c r="I43" s="96"/>
    </row>
    <row r="44" spans="1:10">
      <c r="A44" s="82">
        <v>2.8905570625000002E-2</v>
      </c>
      <c r="B44" t="s">
        <v>46</v>
      </c>
      <c r="C44" t="s">
        <v>415</v>
      </c>
      <c r="D44" t="s">
        <v>418</v>
      </c>
      <c r="E44" t="s">
        <v>436</v>
      </c>
      <c r="F44" t="s">
        <v>445</v>
      </c>
      <c r="G44" s="96" t="s">
        <v>595</v>
      </c>
      <c r="H44" s="96"/>
      <c r="I44" s="96"/>
    </row>
    <row r="45" spans="1:10">
      <c r="A45" s="82">
        <v>4.636460091435185E-2</v>
      </c>
      <c r="B45" t="s">
        <v>44</v>
      </c>
      <c r="C45" t="s">
        <v>414</v>
      </c>
      <c r="D45" t="s">
        <v>417</v>
      </c>
      <c r="E45" t="s">
        <v>435</v>
      </c>
      <c r="F45" t="s">
        <v>447</v>
      </c>
      <c r="G45" s="96"/>
      <c r="H45" s="96"/>
      <c r="I45" s="96" t="s">
        <v>595</v>
      </c>
    </row>
    <row r="46" spans="1:10">
      <c r="A46" s="82">
        <v>4.8990217418981484E-2</v>
      </c>
      <c r="B46" t="s">
        <v>44</v>
      </c>
      <c r="C46" t="s">
        <v>414</v>
      </c>
      <c r="D46" t="s">
        <v>417</v>
      </c>
      <c r="E46" t="s">
        <v>434</v>
      </c>
      <c r="F46" t="s">
        <v>446</v>
      </c>
      <c r="G46" s="96" t="s">
        <v>595</v>
      </c>
      <c r="H46" s="96"/>
      <c r="I46" s="96"/>
    </row>
    <row r="47" spans="1:10">
      <c r="A47" s="82">
        <v>6.5719857465277767E-2</v>
      </c>
      <c r="B47" t="s">
        <v>44</v>
      </c>
      <c r="C47" t="s">
        <v>415</v>
      </c>
      <c r="D47" t="s">
        <v>418</v>
      </c>
      <c r="E47" t="s">
        <v>436</v>
      </c>
      <c r="F47" t="s">
        <v>447</v>
      </c>
      <c r="G47" s="96" t="s">
        <v>595</v>
      </c>
      <c r="H47" s="96"/>
      <c r="I47" s="96"/>
    </row>
    <row r="48" spans="1:10">
      <c r="A48" s="82"/>
      <c r="G48" s="96"/>
      <c r="H48" s="96"/>
      <c r="I48" s="96"/>
    </row>
    <row r="49" spans="1:9">
      <c r="A49" s="116" t="s">
        <v>478</v>
      </c>
      <c r="B49" s="117" t="s">
        <v>211</v>
      </c>
      <c r="C49" s="117" t="s">
        <v>144</v>
      </c>
      <c r="G49" s="96"/>
      <c r="H49" s="96"/>
      <c r="I49" s="96"/>
    </row>
    <row r="50" spans="1:9">
      <c r="A50" s="118" t="s">
        <v>142</v>
      </c>
      <c r="B50" s="119">
        <f>COUNTIFS(DetailMelees[Introduction pour],"N",DetailMelees[Issue],"G")</f>
        <v>4</v>
      </c>
      <c r="C50" s="119">
        <f>COUNTIFS(DetailMelees[Introduction pour],"N",DetailMelees[Issue],"P")</f>
        <v>0</v>
      </c>
      <c r="G50" s="96"/>
      <c r="H50" s="96"/>
      <c r="I50" s="96"/>
    </row>
    <row r="51" spans="1:9">
      <c r="A51" s="110" t="s">
        <v>173</v>
      </c>
      <c r="B51" s="111">
        <f>COUNTIFS(DetailMelees[Introduction pour],"E",DetailMelees[Issue],"P")</f>
        <v>7</v>
      </c>
      <c r="C51" s="111">
        <f>COUNTIFS(DetailMelees[Introduction pour],"E",DetailMelees[Issue],"G")</f>
        <v>0</v>
      </c>
      <c r="G51" s="96"/>
      <c r="H51" s="96"/>
      <c r="I51" s="96"/>
    </row>
    <row r="52" spans="1:9">
      <c r="G52" s="96"/>
      <c r="H52" s="96"/>
      <c r="I52" s="96"/>
    </row>
    <row r="53" spans="1:9">
      <c r="A53" s="266" t="s">
        <v>544</v>
      </c>
      <c r="B53" s="266"/>
      <c r="G53" s="96"/>
      <c r="H53" s="96"/>
      <c r="I53" s="96"/>
    </row>
    <row r="54" spans="1:9">
      <c r="A54" s="266"/>
      <c r="B54" s="266"/>
      <c r="G54" s="96"/>
      <c r="H54" s="96"/>
      <c r="I54" s="96"/>
    </row>
    <row r="55" spans="1:9">
      <c r="G55" s="96"/>
      <c r="H55" s="96"/>
      <c r="I55" s="96"/>
    </row>
    <row r="56" spans="1:9">
      <c r="G56" s="96"/>
      <c r="H56" s="96"/>
      <c r="I56" s="96"/>
    </row>
    <row r="57" spans="1:9">
      <c r="G57" s="96"/>
      <c r="H57" s="96"/>
      <c r="I57" s="96"/>
    </row>
  </sheetData>
  <mergeCells count="1">
    <mergeCell ref="A53:B54"/>
  </mergeCells>
  <conditionalFormatting sqref="D48:D49">
    <cfRule type="expression" dxfId="13" priority="7" stopIfTrue="1">
      <formula>($C48&amp;$D48)="NP"</formula>
    </cfRule>
    <cfRule type="expression" dxfId="12" priority="8" stopIfTrue="1">
      <formula>($C48&amp;$D48)="EG"</formula>
    </cfRule>
  </conditionalFormatting>
  <conditionalFormatting sqref="E50:J57 A48:J48 D49:J49">
    <cfRule type="expression" dxfId="11" priority="19" stopIfTrue="1">
      <formula>$C48="N"</formula>
    </cfRule>
    <cfRule type="expression" dxfId="10" priority="20" stopIfTrue="1">
      <formula>$C48&lt;&gt;""</formula>
    </cfRule>
  </conditionalFormatting>
  <conditionalFormatting sqref="D3:D30">
    <cfRule type="expression" dxfId="9" priority="21" stopIfTrue="1">
      <formula>($C3&amp;$D3)="NP"</formula>
    </cfRule>
    <cfRule type="expression" dxfId="8" priority="22" stopIfTrue="1">
      <formula>($C3&amp;$D3)="EG"</formula>
    </cfRule>
  </conditionalFormatting>
  <conditionalFormatting sqref="G3:G30">
    <cfRule type="expression" dxfId="7" priority="23" stopIfTrue="1">
      <formula>$G3="F"</formula>
    </cfRule>
    <cfRule type="expression" dxfId="6" priority="24" stopIfTrue="1">
      <formula>$G3="C"</formula>
    </cfRule>
  </conditionalFormatting>
  <conditionalFormatting sqref="A3:J30">
    <cfRule type="expression" dxfId="5" priority="25" stopIfTrue="1">
      <formula>$C3="N"</formula>
    </cfRule>
    <cfRule type="expression" dxfId="4" priority="26" stopIfTrue="1">
      <formula>$C3&lt;&gt;""</formula>
    </cfRule>
  </conditionalFormatting>
  <conditionalFormatting sqref="D37:D47">
    <cfRule type="expression" dxfId="3" priority="27" stopIfTrue="1">
      <formula>($C37&amp;$D37)="NP"</formula>
    </cfRule>
  </conditionalFormatting>
  <conditionalFormatting sqref="D37:D47">
    <cfRule type="expression" dxfId="2" priority="28" stopIfTrue="1">
      <formula>($C37&amp;$D37)="EG"</formula>
    </cfRule>
  </conditionalFormatting>
  <conditionalFormatting sqref="A37:J47">
    <cfRule type="expression" dxfId="1" priority="29" stopIfTrue="1">
      <formula>$C37="N"</formula>
    </cfRule>
  </conditionalFormatting>
  <conditionalFormatting sqref="A37:J47">
    <cfRule type="expression" dxfId="0" priority="30" stopIfTrue="1">
      <formula>$C37&lt;&gt;""</formula>
    </cfRule>
  </conditionalFormatting>
  <dataValidations count="4">
    <dataValidation type="list" allowBlank="1" showInputMessage="1" showErrorMessage="1" sqref="E37:E57" xr:uid="{64A4C253-AEB6-0746-8088-408393901E28}">
      <formula1>$AB$2:$AB$12</formula1>
    </dataValidation>
    <dataValidation type="list" allowBlank="1" showInputMessage="1" showErrorMessage="1" sqref="C37:C48" xr:uid="{6B585E68-F1A1-7745-9643-1EF0153DEB7E}">
      <formula1>$W$2:$W$3</formula1>
    </dataValidation>
    <dataValidation type="list" allowBlank="1" showInputMessage="1" showErrorMessage="1" sqref="D37:D49" xr:uid="{A6C13FE2-5239-9B4C-9CE1-DC572AA10432}">
      <formula1>$Y$2:$Y$3</formula1>
    </dataValidation>
    <dataValidation type="list" allowBlank="1" showInputMessage="1" showErrorMessage="1" sqref="F37:F57" xr:uid="{5677D023-EFE8-D448-B8D6-30965607D817}">
      <formula1>$AD$2:$AD$4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486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57" t="s">
        <v>484</v>
      </c>
      <c r="N2" t="s">
        <v>153</v>
      </c>
      <c r="Q2" s="18" t="s">
        <v>78</v>
      </c>
      <c r="R2" s="18" t="s">
        <v>8</v>
      </c>
      <c r="AA2" t="s">
        <v>484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57" t="s">
        <v>495</v>
      </c>
      <c r="N3" t="s">
        <v>169</v>
      </c>
      <c r="Q3" s="21" t="s">
        <v>79</v>
      </c>
      <c r="R3" s="21" t="s">
        <v>57</v>
      </c>
      <c r="AA3" t="s">
        <v>497</v>
      </c>
    </row>
    <row r="4" spans="1:27" ht="30" customHeight="1">
      <c r="C4" s="19" t="s">
        <v>189</v>
      </c>
      <c r="D4" s="19"/>
      <c r="F4" s="17" t="s">
        <v>102</v>
      </c>
      <c r="G4" s="5"/>
      <c r="K4" s="157" t="s">
        <v>485</v>
      </c>
      <c r="Q4" s="18" t="s">
        <v>80</v>
      </c>
      <c r="R4" s="18" t="s">
        <v>9</v>
      </c>
      <c r="AA4" t="s">
        <v>591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57" t="s">
        <v>511</v>
      </c>
      <c r="Q5" s="21" t="s">
        <v>81</v>
      </c>
      <c r="R5" s="21" t="s">
        <v>82</v>
      </c>
      <c r="AA5" t="s">
        <v>487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57" t="s">
        <v>486</v>
      </c>
      <c r="Q6" s="18" t="s">
        <v>83</v>
      </c>
      <c r="R6" s="18" t="s">
        <v>84</v>
      </c>
      <c r="AA6" t="s">
        <v>490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57" t="s">
        <v>483</v>
      </c>
      <c r="Q7" s="21" t="s">
        <v>85</v>
      </c>
      <c r="R7" s="21" t="s">
        <v>60</v>
      </c>
      <c r="AA7" t="s">
        <v>496</v>
      </c>
    </row>
    <row r="8" spans="1:27" ht="30" customHeight="1">
      <c r="C8" s="19" t="s">
        <v>191</v>
      </c>
      <c r="D8" s="19"/>
      <c r="F8" s="17" t="s">
        <v>106</v>
      </c>
      <c r="G8" s="2"/>
      <c r="K8" s="157" t="s">
        <v>512</v>
      </c>
      <c r="Q8" s="18" t="s">
        <v>86</v>
      </c>
      <c r="R8" s="18" t="s">
        <v>58</v>
      </c>
      <c r="AA8" t="s">
        <v>489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57" t="s">
        <v>487</v>
      </c>
      <c r="Q9" s="21" t="s">
        <v>87</v>
      </c>
      <c r="R9" s="21" t="s">
        <v>61</v>
      </c>
      <c r="AA9" s="15" t="s">
        <v>485</v>
      </c>
    </row>
    <row r="10" spans="1:27" ht="30" customHeight="1">
      <c r="C10" s="19" t="s">
        <v>389</v>
      </c>
      <c r="D10" s="19"/>
      <c r="F10" s="17" t="s">
        <v>108</v>
      </c>
      <c r="G10" s="121"/>
      <c r="I10" s="45" t="s">
        <v>214</v>
      </c>
      <c r="K10" s="157" t="s">
        <v>488</v>
      </c>
      <c r="Q10" s="18" t="s">
        <v>88</v>
      </c>
      <c r="R10" s="18" t="s">
        <v>59</v>
      </c>
      <c r="AA10" t="s">
        <v>511</v>
      </c>
    </row>
    <row r="11" spans="1:27" s="15" customFormat="1" ht="30" customHeight="1">
      <c r="D11" s="19"/>
      <c r="F11" s="20" t="s">
        <v>245</v>
      </c>
      <c r="G11" s="83"/>
      <c r="K11" s="157" t="s">
        <v>489</v>
      </c>
      <c r="Q11" s="21" t="s">
        <v>89</v>
      </c>
      <c r="R11" s="21" t="s">
        <v>62</v>
      </c>
      <c r="AA11" s="15" t="s">
        <v>593</v>
      </c>
    </row>
    <row r="12" spans="1:27" ht="30" customHeight="1">
      <c r="C12" s="19" t="s">
        <v>193</v>
      </c>
      <c r="D12" s="19"/>
      <c r="F12" s="17" t="s">
        <v>246</v>
      </c>
      <c r="G12" s="84"/>
      <c r="K12" s="157" t="s">
        <v>490</v>
      </c>
      <c r="Q12" s="21" t="s">
        <v>220</v>
      </c>
      <c r="R12" s="21" t="s">
        <v>221</v>
      </c>
      <c r="AA12" t="s">
        <v>513</v>
      </c>
    </row>
    <row r="13" spans="1:27" s="15" customFormat="1" ht="30" customHeight="1">
      <c r="C13" s="19" t="s">
        <v>180</v>
      </c>
      <c r="D13" s="19"/>
      <c r="F13" s="20" t="s">
        <v>247</v>
      </c>
      <c r="G13" s="122"/>
      <c r="K13" s="157" t="s">
        <v>491</v>
      </c>
      <c r="Q13" s="20" t="s">
        <v>175</v>
      </c>
      <c r="R13" s="65" t="s">
        <v>160</v>
      </c>
      <c r="AA13" s="15" t="s">
        <v>493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57" t="s">
        <v>492</v>
      </c>
      <c r="Q14" s="20" t="s">
        <v>174</v>
      </c>
      <c r="R14" s="65" t="s">
        <v>161</v>
      </c>
      <c r="AA14" t="s">
        <v>492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57" t="s">
        <v>514</v>
      </c>
      <c r="Q15" s="20" t="s">
        <v>90</v>
      </c>
      <c r="R15" s="65" t="s">
        <v>52</v>
      </c>
      <c r="AA15" s="15" t="s">
        <v>491</v>
      </c>
    </row>
    <row r="16" spans="1:27" ht="30" customHeight="1">
      <c r="C16" s="19"/>
      <c r="D16" s="19"/>
      <c r="I16" s="15" t="s">
        <v>120</v>
      </c>
      <c r="K16" s="157" t="s">
        <v>494</v>
      </c>
      <c r="Q16" s="20" t="s">
        <v>91</v>
      </c>
      <c r="R16" s="65" t="s">
        <v>63</v>
      </c>
      <c r="AA16" t="s">
        <v>483</v>
      </c>
    </row>
    <row r="17" spans="3:27" s="15" customFormat="1" ht="30" customHeight="1">
      <c r="C17" s="19" t="s">
        <v>202</v>
      </c>
      <c r="D17" s="19"/>
      <c r="F17" s="15" t="s">
        <v>481</v>
      </c>
      <c r="G17" s="151"/>
      <c r="I17" s="15" t="s">
        <v>121</v>
      </c>
      <c r="K17" s="157" t="s">
        <v>513</v>
      </c>
      <c r="Q17" s="20" t="s">
        <v>92</v>
      </c>
      <c r="R17" s="65" t="s">
        <v>64</v>
      </c>
      <c r="AA17" s="15" t="s">
        <v>488</v>
      </c>
    </row>
    <row r="18" spans="3:27" ht="30" customHeight="1">
      <c r="C18" s="19" t="s">
        <v>203</v>
      </c>
      <c r="D18" s="19"/>
      <c r="F18" s="15" t="s">
        <v>482</v>
      </c>
      <c r="G18" s="150"/>
      <c r="I18" s="15" t="s">
        <v>122</v>
      </c>
      <c r="K18" s="157" t="s">
        <v>591</v>
      </c>
      <c r="Q18" s="20" t="s">
        <v>93</v>
      </c>
      <c r="R18" s="65" t="s">
        <v>65</v>
      </c>
      <c r="AA18" t="s">
        <v>512</v>
      </c>
    </row>
    <row r="19" spans="3:27" ht="30" customHeight="1">
      <c r="C19" s="19" t="s">
        <v>204</v>
      </c>
      <c r="D19" s="19"/>
      <c r="F19" s="15"/>
      <c r="I19" s="15" t="s">
        <v>216</v>
      </c>
      <c r="K19" s="157" t="s">
        <v>592</v>
      </c>
      <c r="Q19" s="20" t="s">
        <v>94</v>
      </c>
      <c r="R19" s="65" t="s">
        <v>56</v>
      </c>
      <c r="AA19" t="s">
        <v>495</v>
      </c>
    </row>
    <row r="20" spans="3:27" ht="30" customHeight="1">
      <c r="C20" s="19" t="s">
        <v>205</v>
      </c>
      <c r="D20" s="19"/>
      <c r="I20" s="15" t="s">
        <v>217</v>
      </c>
      <c r="K20" s="157" t="s">
        <v>593</v>
      </c>
      <c r="Q20" s="20" t="s">
        <v>95</v>
      </c>
      <c r="R20" s="65" t="s">
        <v>53</v>
      </c>
      <c r="AA20" t="s">
        <v>592</v>
      </c>
    </row>
    <row r="21" spans="3:27" ht="30" customHeight="1">
      <c r="C21" s="19" t="s">
        <v>206</v>
      </c>
      <c r="D21" s="19"/>
      <c r="K21" s="157" t="s">
        <v>497</v>
      </c>
      <c r="Q21" s="20" t="s">
        <v>96</v>
      </c>
      <c r="R21" s="65" t="s">
        <v>54</v>
      </c>
      <c r="AA21" t="s">
        <v>494</v>
      </c>
    </row>
    <row r="22" spans="3:27" ht="30" customHeight="1">
      <c r="C22" s="19"/>
      <c r="D22" s="19"/>
      <c r="K22" s="157" t="s">
        <v>496</v>
      </c>
      <c r="Q22" s="20" t="s">
        <v>97</v>
      </c>
      <c r="R22" s="65" t="s">
        <v>49</v>
      </c>
      <c r="AA22" t="s">
        <v>514</v>
      </c>
    </row>
    <row r="23" spans="3:27" ht="30" customHeight="1">
      <c r="C23" s="19"/>
      <c r="D23" s="19"/>
      <c r="K23" s="157" t="s">
        <v>493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57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57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409</v>
      </c>
      <c r="Q27" s="20" t="s">
        <v>134</v>
      </c>
      <c r="R27" s="65" t="s">
        <v>135</v>
      </c>
    </row>
    <row r="28" spans="3:27" ht="30" customHeight="1">
      <c r="K28" t="s">
        <v>410</v>
      </c>
      <c r="Q28" s="20" t="s">
        <v>136</v>
      </c>
      <c r="R28" s="65" t="s">
        <v>137</v>
      </c>
    </row>
    <row r="29" spans="3:27" ht="30" customHeight="1">
      <c r="K29" t="s">
        <v>411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248</v>
      </c>
      <c r="R42" s="25" t="s">
        <v>249</v>
      </c>
    </row>
    <row r="43" spans="17:18" ht="30" customHeight="1">
      <c r="Q43" s="25" t="s">
        <v>250</v>
      </c>
      <c r="R43" s="25" t="s">
        <v>251</v>
      </c>
    </row>
    <row r="44" spans="17:18" ht="30" customHeight="1">
      <c r="Q44" s="25" t="s">
        <v>252</v>
      </c>
      <c r="R44" s="25" t="s">
        <v>253</v>
      </c>
    </row>
    <row r="45" spans="17:18" ht="30" customHeight="1">
      <c r="Q45" s="25" t="s">
        <v>254</v>
      </c>
      <c r="R45" s="25" t="s">
        <v>260</v>
      </c>
    </row>
    <row r="46" spans="17:18" ht="30" customHeight="1">
      <c r="Q46" s="25" t="s">
        <v>255</v>
      </c>
      <c r="R46" s="25" t="s">
        <v>261</v>
      </c>
    </row>
    <row r="47" spans="17:18" ht="30" customHeight="1">
      <c r="Q47" s="25" t="s">
        <v>256</v>
      </c>
      <c r="R47" s="25" t="s">
        <v>262</v>
      </c>
    </row>
    <row r="48" spans="17:18" ht="30" customHeight="1">
      <c r="Q48" s="25" t="s">
        <v>257</v>
      </c>
      <c r="R48" s="25" t="s">
        <v>263</v>
      </c>
    </row>
    <row r="49" spans="17:18" ht="30" customHeight="1">
      <c r="Q49" s="25" t="s">
        <v>258</v>
      </c>
      <c r="R49" s="25" t="s">
        <v>264</v>
      </c>
    </row>
    <row r="50" spans="17:18" ht="30" customHeight="1">
      <c r="Q50" s="25" t="s">
        <v>259</v>
      </c>
      <c r="R50" s="25" t="s">
        <v>265</v>
      </c>
    </row>
    <row r="51" spans="17:18" ht="30" customHeight="1">
      <c r="Q51" s="21" t="s">
        <v>397</v>
      </c>
      <c r="R51" s="21" t="s">
        <v>400</v>
      </c>
    </row>
    <row r="52" spans="17:18" ht="30" customHeight="1">
      <c r="Q52" s="25" t="s">
        <v>398</v>
      </c>
      <c r="R52" s="25" t="s">
        <v>399</v>
      </c>
    </row>
    <row r="53" spans="17:18" ht="30" customHeight="1">
      <c r="Q53" s="25" t="s">
        <v>404</v>
      </c>
      <c r="R53" s="25" t="s">
        <v>407</v>
      </c>
    </row>
    <row r="54" spans="17:18" ht="30" customHeight="1">
      <c r="Q54" s="25" t="s">
        <v>405</v>
      </c>
      <c r="R54" s="25" t="s">
        <v>406</v>
      </c>
    </row>
    <row r="55" spans="17:18" ht="30" customHeight="1">
      <c r="Q55" s="126" t="s">
        <v>502</v>
      </c>
      <c r="R55" s="126" t="s">
        <v>504</v>
      </c>
    </row>
    <row r="56" spans="17:18" ht="30" customHeight="1">
      <c r="Q56" s="127" t="s">
        <v>503</v>
      </c>
      <c r="R56" s="127" t="s">
        <v>505</v>
      </c>
    </row>
    <row r="57" spans="17:18" ht="30" customHeight="1">
      <c r="Q57" s="18" t="s">
        <v>565</v>
      </c>
      <c r="R57" s="18" t="s">
        <v>566</v>
      </c>
    </row>
    <row r="58" spans="17:18" ht="30" customHeight="1">
      <c r="Q58" s="18" t="s">
        <v>567</v>
      </c>
      <c r="R58" s="18" t="s">
        <v>568</v>
      </c>
    </row>
    <row r="59" spans="17:18" ht="30" customHeight="1">
      <c r="Q59" s="18" t="s">
        <v>569</v>
      </c>
      <c r="R59" s="18" t="s">
        <v>570</v>
      </c>
    </row>
    <row r="60" spans="17:18" ht="30" customHeight="1">
      <c r="Q60" s="18" t="s">
        <v>571</v>
      </c>
      <c r="R60" s="18" t="s">
        <v>572</v>
      </c>
    </row>
    <row r="61" spans="17:18" ht="30" customHeight="1">
      <c r="Q61" s="18" t="s">
        <v>573</v>
      </c>
      <c r="R61" s="18" t="s">
        <v>574</v>
      </c>
    </row>
    <row r="62" spans="17:18" ht="30" customHeight="1">
      <c r="Q62" s="18" t="s">
        <v>575</v>
      </c>
      <c r="R62" s="18" t="s">
        <v>576</v>
      </c>
    </row>
    <row r="63" spans="17:18" ht="30" customHeight="1">
      <c r="Q63" s="18" t="s">
        <v>577</v>
      </c>
      <c r="R63" s="18" t="s">
        <v>578</v>
      </c>
    </row>
    <row r="64" spans="17:18" ht="30" customHeight="1">
      <c r="Q64" s="152" t="s">
        <v>579</v>
      </c>
      <c r="R64" s="152" t="s">
        <v>580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67" t="s">
        <v>76</v>
      </c>
      <c r="D5" s="267"/>
      <c r="E5" s="267"/>
      <c r="F5" s="267"/>
      <c r="G5" s="267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  <sheetView workbookViewId="1"/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467</v>
      </c>
    </row>
    <row r="4" spans="2:4">
      <c r="B4" s="102" t="s">
        <v>449</v>
      </c>
      <c r="C4" s="140" t="s">
        <v>614</v>
      </c>
      <c r="D4" s="106" t="s">
        <v>11</v>
      </c>
    </row>
    <row r="5" spans="2:4">
      <c r="B5" s="102" t="s">
        <v>7</v>
      </c>
      <c r="C5" s="103" t="s">
        <v>44</v>
      </c>
    </row>
    <row r="6" spans="2:4">
      <c r="B6" s="102" t="s">
        <v>450</v>
      </c>
      <c r="C6" s="103" t="s">
        <v>47</v>
      </c>
    </row>
    <row r="7" spans="2:4">
      <c r="B7" s="102" t="s">
        <v>451</v>
      </c>
      <c r="C7" s="103" t="s">
        <v>607</v>
      </c>
    </row>
    <row r="9" spans="2:4">
      <c r="B9" s="101" t="s">
        <v>452</v>
      </c>
      <c r="C9" s="104"/>
    </row>
    <row r="10" spans="2:4">
      <c r="B10" s="101" t="s">
        <v>468</v>
      </c>
      <c r="C10" s="104" t="s">
        <v>423</v>
      </c>
    </row>
    <row r="11" spans="2:4">
      <c r="B11" s="101" t="s">
        <v>454</v>
      </c>
      <c r="C11" s="104" t="s">
        <v>474</v>
      </c>
    </row>
    <row r="12" spans="2:4">
      <c r="B12" s="101" t="s">
        <v>455</v>
      </c>
      <c r="C12" s="104" t="s">
        <v>433</v>
      </c>
    </row>
    <row r="13" spans="2:4">
      <c r="B13" s="101" t="s">
        <v>456</v>
      </c>
      <c r="C13" s="104" t="s">
        <v>443</v>
      </c>
    </row>
    <row r="14" spans="2:4">
      <c r="B14" s="101" t="s">
        <v>457</v>
      </c>
      <c r="C14" s="104"/>
    </row>
    <row r="16" spans="2:4" ht="24" customHeight="1">
      <c r="B16" s="105" t="s">
        <v>470</v>
      </c>
      <c r="C16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DE4D617E-A8DD-FB46-A0A4-E956852BC56D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>
      <selection activeCell="C14" sqref="C14"/>
    </sheetView>
    <sheetView workbookViewId="1"/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471</v>
      </c>
    </row>
    <row r="4" spans="2:4">
      <c r="B4" s="102" t="s">
        <v>449</v>
      </c>
      <c r="C4" s="140" t="s">
        <v>616</v>
      </c>
      <c r="D4" s="106" t="s">
        <v>11</v>
      </c>
    </row>
    <row r="5" spans="2:4">
      <c r="B5" s="102" t="s">
        <v>7</v>
      </c>
      <c r="C5" s="103" t="s">
        <v>44</v>
      </c>
    </row>
    <row r="6" spans="2:4">
      <c r="B6" s="102" t="s">
        <v>476</v>
      </c>
      <c r="C6" s="103" t="s">
        <v>55</v>
      </c>
    </row>
    <row r="7" spans="2:4">
      <c r="B7" s="102" t="s">
        <v>451</v>
      </c>
      <c r="C7" s="103" t="s">
        <v>607</v>
      </c>
    </row>
    <row r="9" spans="2:4">
      <c r="B9" s="101" t="s">
        <v>459</v>
      </c>
      <c r="C9" s="104" t="s">
        <v>436</v>
      </c>
    </row>
    <row r="10" spans="2:4">
      <c r="B10" s="101" t="s">
        <v>460</v>
      </c>
      <c r="C10" s="104" t="s">
        <v>447</v>
      </c>
    </row>
    <row r="11" spans="2:4">
      <c r="B11" s="101" t="s">
        <v>472</v>
      </c>
      <c r="C11" s="104" t="s">
        <v>465</v>
      </c>
    </row>
    <row r="12" spans="2:4">
      <c r="B12" s="101" t="s">
        <v>457</v>
      </c>
      <c r="C12" s="104"/>
    </row>
    <row r="14" spans="2:4" ht="24" customHeight="1">
      <c r="B14" s="105" t="s">
        <v>470</v>
      </c>
      <c r="C14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517</v>
      </c>
    </row>
    <row r="4" spans="2:21" ht="14" customHeight="1">
      <c r="B4" s="102" t="s">
        <v>449</v>
      </c>
      <c r="C4" s="276" t="s">
        <v>642</v>
      </c>
      <c r="D4" s="271"/>
      <c r="E4" s="270" t="s">
        <v>11</v>
      </c>
      <c r="F4" s="270"/>
      <c r="K4" s="274" t="s">
        <v>518</v>
      </c>
      <c r="L4" s="274"/>
      <c r="M4" s="274"/>
      <c r="N4" s="274"/>
      <c r="O4" s="274"/>
      <c r="P4" s="274"/>
      <c r="Q4" s="274"/>
      <c r="R4" s="274"/>
      <c r="S4" s="274"/>
      <c r="T4" s="274"/>
      <c r="U4" s="274"/>
    </row>
    <row r="5" spans="2:21" ht="15" customHeight="1">
      <c r="B5" s="102" t="s">
        <v>7</v>
      </c>
      <c r="C5" s="271" t="s">
        <v>46</v>
      </c>
      <c r="D5" s="271"/>
      <c r="K5" s="274"/>
      <c r="L5" s="274"/>
      <c r="M5" s="274"/>
      <c r="N5" s="274"/>
      <c r="O5" s="274"/>
      <c r="P5" s="274"/>
      <c r="Q5" s="274"/>
      <c r="R5" s="274"/>
      <c r="S5" s="274"/>
      <c r="T5" s="274"/>
      <c r="U5" s="274"/>
    </row>
    <row r="6" spans="2:21">
      <c r="B6" s="102" t="s">
        <v>479</v>
      </c>
      <c r="C6" s="271" t="s">
        <v>47</v>
      </c>
      <c r="D6" s="271"/>
    </row>
    <row r="7" spans="2:21" ht="32" customHeight="1">
      <c r="B7" s="282"/>
      <c r="C7" s="282"/>
      <c r="D7" s="282"/>
      <c r="E7" s="282"/>
      <c r="F7" s="282"/>
      <c r="G7" s="282"/>
      <c r="H7" s="282"/>
      <c r="I7" s="282"/>
      <c r="K7" s="272" t="s">
        <v>628</v>
      </c>
      <c r="L7" s="273"/>
      <c r="M7" s="273"/>
      <c r="O7" s="272" t="s">
        <v>629</v>
      </c>
      <c r="P7" s="273"/>
      <c r="Q7" s="273"/>
      <c r="S7" s="272" t="s">
        <v>630</v>
      </c>
      <c r="T7" s="273"/>
      <c r="U7" s="273"/>
    </row>
    <row r="8" spans="2:21" ht="10" customHeight="1">
      <c r="B8" s="282"/>
      <c r="C8" s="282"/>
      <c r="D8" s="282"/>
      <c r="E8" s="282"/>
      <c r="F8" s="282"/>
      <c r="G8" s="282"/>
      <c r="H8" s="282"/>
      <c r="I8" s="282"/>
    </row>
    <row r="9" spans="2:21" ht="32" customHeight="1">
      <c r="B9" s="283" t="s">
        <v>519</v>
      </c>
      <c r="C9" s="268"/>
      <c r="D9" s="282"/>
      <c r="E9" s="283" t="s">
        <v>526</v>
      </c>
      <c r="F9" s="268"/>
      <c r="G9" s="282"/>
      <c r="H9" s="283" t="s">
        <v>537</v>
      </c>
      <c r="I9" s="268"/>
      <c r="M9" s="272" t="s">
        <v>631</v>
      </c>
      <c r="N9" s="273"/>
      <c r="O9" s="273"/>
      <c r="Q9" s="272" t="s">
        <v>632</v>
      </c>
      <c r="R9" s="273"/>
      <c r="S9" s="273"/>
    </row>
    <row r="10" spans="2:21" ht="10" customHeight="1">
      <c r="B10" s="282"/>
      <c r="C10" s="282"/>
      <c r="D10" s="282"/>
      <c r="E10" s="282"/>
      <c r="F10" s="282"/>
      <c r="G10" s="282"/>
      <c r="H10" s="282"/>
      <c r="I10" s="282"/>
    </row>
    <row r="11" spans="2:21" ht="32" customHeight="1">
      <c r="B11" s="283" t="s">
        <v>620</v>
      </c>
      <c r="C11" s="268"/>
      <c r="D11" s="282"/>
      <c r="E11" s="283" t="s">
        <v>527</v>
      </c>
      <c r="F11" s="268"/>
      <c r="G11" s="282"/>
      <c r="H11" s="283" t="s">
        <v>538</v>
      </c>
      <c r="I11" s="268"/>
      <c r="K11" s="272" t="s">
        <v>633</v>
      </c>
      <c r="L11" s="273"/>
      <c r="M11" s="273"/>
      <c r="O11" s="284" t="s">
        <v>643</v>
      </c>
      <c r="P11" s="273"/>
      <c r="Q11" s="273"/>
      <c r="S11" s="272" t="s">
        <v>634</v>
      </c>
      <c r="T11" s="273"/>
      <c r="U11" s="273"/>
    </row>
    <row r="12" spans="2:21" ht="10" customHeight="1">
      <c r="B12" s="282"/>
      <c r="C12" s="282"/>
      <c r="D12" s="282"/>
      <c r="E12" s="282"/>
      <c r="F12" s="282"/>
      <c r="G12" s="282"/>
      <c r="H12" s="282"/>
      <c r="I12" s="282"/>
    </row>
    <row r="13" spans="2:21" ht="32" customHeight="1">
      <c r="B13" s="283" t="s">
        <v>520</v>
      </c>
      <c r="C13" s="268"/>
      <c r="D13" s="282"/>
      <c r="E13" s="283" t="s">
        <v>528</v>
      </c>
      <c r="F13" s="268"/>
      <c r="G13" s="282"/>
      <c r="H13" s="283" t="s">
        <v>539</v>
      </c>
      <c r="I13" s="268"/>
      <c r="M13" s="272" t="s">
        <v>635</v>
      </c>
      <c r="N13" s="273"/>
      <c r="O13" s="273"/>
    </row>
    <row r="14" spans="2:21" ht="10" customHeight="1">
      <c r="B14" s="282"/>
      <c r="C14" s="282"/>
      <c r="D14" s="282"/>
      <c r="E14" s="282"/>
      <c r="F14" s="282"/>
      <c r="G14" s="282"/>
      <c r="H14" s="282"/>
      <c r="I14" s="282"/>
    </row>
    <row r="15" spans="2:21" ht="32" customHeight="1">
      <c r="B15" s="283" t="s">
        <v>521</v>
      </c>
      <c r="C15" s="268"/>
      <c r="D15" s="282"/>
      <c r="E15" s="283" t="s">
        <v>529</v>
      </c>
      <c r="F15" s="268"/>
      <c r="G15" s="282"/>
      <c r="H15" s="283" t="s">
        <v>540</v>
      </c>
      <c r="I15" s="268"/>
      <c r="P15" s="272" t="s">
        <v>636</v>
      </c>
      <c r="Q15" s="273"/>
      <c r="R15" s="273"/>
    </row>
    <row r="16" spans="2:21" ht="10" customHeight="1">
      <c r="B16" s="282"/>
      <c r="C16" s="282"/>
      <c r="D16" s="282"/>
      <c r="E16" s="282"/>
      <c r="F16" s="282"/>
      <c r="G16" s="282"/>
      <c r="H16" s="282"/>
      <c r="I16" s="282"/>
    </row>
    <row r="17" spans="2:21" ht="32" customHeight="1">
      <c r="B17" s="283" t="s">
        <v>522</v>
      </c>
      <c r="C17" s="268"/>
      <c r="D17" s="282"/>
      <c r="E17" s="283" t="s">
        <v>530</v>
      </c>
      <c r="F17" s="268"/>
      <c r="G17" s="282"/>
      <c r="H17" s="283" t="s">
        <v>541</v>
      </c>
      <c r="I17" s="268"/>
      <c r="M17" s="272" t="s">
        <v>637</v>
      </c>
      <c r="N17" s="273"/>
      <c r="O17" s="273"/>
      <c r="Q17" s="272" t="s">
        <v>638</v>
      </c>
      <c r="R17" s="273"/>
      <c r="S17" s="273"/>
    </row>
    <row r="18" spans="2:21" ht="10" customHeight="1">
      <c r="B18" s="282"/>
      <c r="C18" s="282"/>
      <c r="D18" s="282"/>
      <c r="E18" s="282"/>
      <c r="F18" s="282"/>
      <c r="G18" s="282"/>
      <c r="H18" s="282"/>
      <c r="I18" s="282"/>
    </row>
    <row r="19" spans="2:21" ht="32" customHeight="1">
      <c r="B19" s="282"/>
      <c r="C19" s="282"/>
      <c r="D19" s="282"/>
      <c r="E19" s="283" t="s">
        <v>531</v>
      </c>
      <c r="F19" s="268"/>
      <c r="G19" s="282"/>
      <c r="H19" s="283" t="s">
        <v>542</v>
      </c>
      <c r="I19" s="268"/>
      <c r="K19" s="272" t="s">
        <v>639</v>
      </c>
      <c r="L19" s="273"/>
      <c r="M19" s="273"/>
      <c r="O19" s="272" t="s">
        <v>640</v>
      </c>
      <c r="P19" s="273"/>
      <c r="Q19" s="273"/>
      <c r="S19" s="272" t="s">
        <v>641</v>
      </c>
      <c r="T19" s="273"/>
      <c r="U19" s="273"/>
    </row>
    <row r="20" spans="2:21" ht="10" customHeight="1">
      <c r="B20" s="282"/>
      <c r="C20" s="282"/>
      <c r="D20" s="282"/>
      <c r="E20" s="282"/>
      <c r="F20" s="282"/>
      <c r="G20" s="282"/>
      <c r="H20" s="282"/>
      <c r="I20" s="282"/>
    </row>
    <row r="21" spans="2:21" ht="20" customHeight="1">
      <c r="B21" s="283" t="s">
        <v>523</v>
      </c>
      <c r="C21" s="268"/>
      <c r="D21" s="282"/>
      <c r="E21" s="283" t="s">
        <v>532</v>
      </c>
      <c r="F21" s="268"/>
      <c r="G21" s="282"/>
      <c r="H21" s="283" t="s">
        <v>621</v>
      </c>
      <c r="I21" s="268"/>
      <c r="K21" s="272" t="s">
        <v>42</v>
      </c>
      <c r="L21" s="273"/>
      <c r="M21" s="273"/>
      <c r="S21" s="272" t="s">
        <v>32</v>
      </c>
      <c r="T21" s="273"/>
      <c r="U21" s="273"/>
    </row>
    <row r="22" spans="2:21" ht="10" customHeight="1">
      <c r="B22" s="282"/>
      <c r="C22" s="282"/>
      <c r="D22" s="282"/>
      <c r="E22" s="282"/>
      <c r="F22" s="282"/>
      <c r="G22" s="282"/>
      <c r="H22" s="282"/>
      <c r="I22" s="282"/>
    </row>
    <row r="23" spans="2:21" ht="20" customHeight="1">
      <c r="B23" s="283" t="s">
        <v>524</v>
      </c>
      <c r="C23" s="268"/>
      <c r="D23" s="282"/>
      <c r="E23" s="283" t="s">
        <v>533</v>
      </c>
      <c r="F23" s="268"/>
      <c r="G23" s="282"/>
      <c r="H23" s="283" t="s">
        <v>516</v>
      </c>
      <c r="I23" s="268"/>
    </row>
    <row r="24" spans="2:21" ht="10" customHeight="1">
      <c r="B24" s="282"/>
      <c r="C24" s="282"/>
      <c r="D24" s="282"/>
      <c r="E24" s="282"/>
      <c r="F24" s="282"/>
      <c r="G24" s="282"/>
      <c r="H24" s="282"/>
      <c r="I24" s="282"/>
    </row>
    <row r="25" spans="2:21" ht="20" customHeight="1">
      <c r="B25" s="283" t="s">
        <v>525</v>
      </c>
      <c r="C25" s="268"/>
      <c r="D25" s="282"/>
      <c r="E25" s="283" t="s">
        <v>534</v>
      </c>
      <c r="F25" s="268"/>
      <c r="G25" s="282"/>
      <c r="H25" s="283" t="s">
        <v>156</v>
      </c>
      <c r="I25" s="268"/>
    </row>
    <row r="26" spans="2:21" ht="10" customHeight="1">
      <c r="B26" s="282"/>
      <c r="C26" s="282"/>
      <c r="D26" s="282"/>
      <c r="E26" s="282"/>
      <c r="F26" s="282"/>
      <c r="G26" s="282"/>
      <c r="H26" s="282"/>
      <c r="I26" s="282"/>
    </row>
    <row r="27" spans="2:21" ht="20" customHeight="1">
      <c r="B27" s="283" t="s">
        <v>167</v>
      </c>
      <c r="C27" s="268"/>
      <c r="D27" s="282"/>
      <c r="E27" s="283" t="s">
        <v>535</v>
      </c>
      <c r="F27" s="268"/>
      <c r="G27" s="282"/>
      <c r="H27" s="283" t="s">
        <v>543</v>
      </c>
      <c r="I27" s="268"/>
    </row>
    <row r="28" spans="2:21" ht="10" customHeight="1">
      <c r="B28" s="282"/>
      <c r="C28" s="282"/>
      <c r="D28" s="282"/>
      <c r="E28" s="282"/>
      <c r="F28" s="282"/>
      <c r="G28" s="282"/>
      <c r="H28" s="282"/>
      <c r="I28" s="282"/>
    </row>
    <row r="29" spans="2:21" ht="20" customHeight="1">
      <c r="B29" s="283" t="s">
        <v>32</v>
      </c>
      <c r="C29" s="268"/>
      <c r="D29" s="282"/>
      <c r="E29" s="283" t="s">
        <v>536</v>
      </c>
      <c r="F29" s="268"/>
      <c r="G29" s="282"/>
      <c r="H29" s="277" t="s">
        <v>622</v>
      </c>
      <c r="I29" s="268"/>
    </row>
    <row r="30" spans="2:21" ht="10" customHeight="1">
      <c r="B30" s="282"/>
      <c r="C30" s="282"/>
      <c r="D30" s="282"/>
      <c r="E30" s="282"/>
      <c r="F30" s="282"/>
      <c r="G30" s="282"/>
      <c r="H30" s="282"/>
      <c r="I30" s="282"/>
    </row>
    <row r="31" spans="2:21" ht="9" customHeight="1">
      <c r="B31" s="282"/>
      <c r="C31" s="282"/>
      <c r="D31" s="282"/>
      <c r="E31" s="282"/>
      <c r="F31" s="282"/>
      <c r="G31" s="282"/>
      <c r="H31" s="282"/>
      <c r="I31" s="282"/>
    </row>
    <row r="32" spans="2:21" ht="26" customHeight="1">
      <c r="B32" s="269" t="s">
        <v>470</v>
      </c>
      <c r="C32" s="269"/>
      <c r="D32" s="123"/>
      <c r="E32" s="270" t="s">
        <v>480</v>
      </c>
      <c r="F32" s="270"/>
      <c r="G32" s="270"/>
      <c r="H32" s="270"/>
      <c r="I32" s="123"/>
    </row>
  </sheetData>
  <mergeCells count="56">
    <mergeCell ref="O19:Q19"/>
    <mergeCell ref="K21:M21"/>
    <mergeCell ref="H19:I19"/>
    <mergeCell ref="E19:F19"/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H17:I17"/>
    <mergeCell ref="H11:I11"/>
    <mergeCell ref="E17:F17"/>
    <mergeCell ref="E15:F15"/>
    <mergeCell ref="H15:I15"/>
    <mergeCell ref="E11:F11"/>
    <mergeCell ref="H13:I13"/>
    <mergeCell ref="K7:M7"/>
    <mergeCell ref="O7:Q7"/>
    <mergeCell ref="E13:F13"/>
    <mergeCell ref="E9:F9"/>
    <mergeCell ref="H9:I9"/>
    <mergeCell ref="E4:F4"/>
    <mergeCell ref="B21:C21"/>
    <mergeCell ref="B25:C25"/>
    <mergeCell ref="E21:F21"/>
    <mergeCell ref="E25:F25"/>
    <mergeCell ref="B23:C23"/>
    <mergeCell ref="C4:D4"/>
    <mergeCell ref="C5:D5"/>
    <mergeCell ref="C6:D6"/>
    <mergeCell ref="B9:C9"/>
    <mergeCell ref="B17:C17"/>
    <mergeCell ref="B15:C15"/>
    <mergeCell ref="B13:C13"/>
    <mergeCell ref="B11:C11"/>
    <mergeCell ref="E23:F23"/>
    <mergeCell ref="B27:C27"/>
    <mergeCell ref="B29:C29"/>
    <mergeCell ref="H21:I21"/>
    <mergeCell ref="B32:C32"/>
    <mergeCell ref="E32:H32"/>
    <mergeCell ref="E27:F27"/>
    <mergeCell ref="E29:F29"/>
    <mergeCell ref="H23:I23"/>
    <mergeCell ref="H25:I25"/>
    <mergeCell ref="H27:I27"/>
    <mergeCell ref="H29:I2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546</v>
      </c>
      <c r="L1" s="101" t="s">
        <v>547</v>
      </c>
    </row>
    <row r="2" spans="2:12" ht="21">
      <c r="B2" s="100" t="s">
        <v>498</v>
      </c>
      <c r="J2" s="101" t="s">
        <v>549</v>
      </c>
      <c r="L2" s="101" t="s">
        <v>597</v>
      </c>
    </row>
    <row r="3" spans="2:12">
      <c r="J3" s="101" t="s">
        <v>598</v>
      </c>
      <c r="L3" s="101" t="s">
        <v>548</v>
      </c>
    </row>
    <row r="4" spans="2:12">
      <c r="B4" s="102" t="s">
        <v>449</v>
      </c>
      <c r="D4" s="140" t="s">
        <v>615</v>
      </c>
      <c r="E4" s="106" t="s">
        <v>11</v>
      </c>
      <c r="J4" s="101" t="s">
        <v>599</v>
      </c>
      <c r="L4" s="101" t="s">
        <v>600</v>
      </c>
    </row>
    <row r="5" spans="2:12">
      <c r="B5" s="120" t="s">
        <v>501</v>
      </c>
      <c r="D5" s="124">
        <v>75</v>
      </c>
      <c r="J5" s="101" t="s">
        <v>550</v>
      </c>
      <c r="L5" s="101" t="s">
        <v>556</v>
      </c>
    </row>
    <row r="6" spans="2:12">
      <c r="J6" s="101" t="s">
        <v>551</v>
      </c>
      <c r="L6" s="101" t="s">
        <v>601</v>
      </c>
    </row>
    <row r="7" spans="2:12">
      <c r="B7" s="120" t="s">
        <v>499</v>
      </c>
      <c r="D7" s="120" t="s">
        <v>500</v>
      </c>
      <c r="J7" s="101" t="s">
        <v>552</v>
      </c>
      <c r="L7" s="101" t="s">
        <v>557</v>
      </c>
    </row>
    <row r="8" spans="2:12">
      <c r="B8" s="125" t="s">
        <v>602</v>
      </c>
      <c r="D8" s="125" t="s">
        <v>597</v>
      </c>
      <c r="J8" s="101" t="s">
        <v>553</v>
      </c>
    </row>
    <row r="9" spans="2:12">
      <c r="B9" s="125"/>
      <c r="D9" s="125"/>
      <c r="J9" s="101" t="s">
        <v>554</v>
      </c>
    </row>
    <row r="10" spans="2:12">
      <c r="B10" s="125"/>
      <c r="D10" s="125"/>
      <c r="J10" s="101" t="s">
        <v>555</v>
      </c>
    </row>
    <row r="11" spans="2:12">
      <c r="B11" s="125"/>
      <c r="D11" s="125"/>
      <c r="J11" s="101" t="s">
        <v>602</v>
      </c>
    </row>
    <row r="12" spans="2:12">
      <c r="B12" s="125"/>
      <c r="D12" s="125"/>
      <c r="J12" s="101" t="s">
        <v>603</v>
      </c>
    </row>
    <row r="13" spans="2:12">
      <c r="J13" s="101" t="s">
        <v>604</v>
      </c>
    </row>
    <row r="14" spans="2:12" ht="26" customHeight="1">
      <c r="B14" s="105" t="s">
        <v>470</v>
      </c>
      <c r="C14" s="123"/>
      <c r="D14" s="106" t="s">
        <v>469</v>
      </c>
      <c r="J14" s="101" t="s">
        <v>558</v>
      </c>
    </row>
    <row r="15" spans="2:12">
      <c r="J15" s="101" t="s">
        <v>605</v>
      </c>
    </row>
  </sheetData>
  <dataValidations count="2">
    <dataValidation type="list" allowBlank="1" showInputMessage="1" showErrorMessage="1" sqref="B9 B10 B11 B8 B12" xr:uid="{F7A6CCAA-80A4-8343-8967-F77A880E48F6}">
      <formula1>$J$1:$J$15</formula1>
    </dataValidation>
    <dataValidation type="list" allowBlank="1" showInputMessage="1" showErrorMessage="1" sqref="D9 D10 D11 D8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581</v>
      </c>
    </row>
    <row r="4" spans="2:8">
      <c r="B4" s="102" t="s">
        <v>582</v>
      </c>
      <c r="C4" s="276" t="s">
        <v>609</v>
      </c>
      <c r="D4" s="271"/>
      <c r="G4" s="270" t="s">
        <v>11</v>
      </c>
      <c r="H4" s="270"/>
    </row>
    <row r="5" spans="2:8">
      <c r="B5" s="102" t="s">
        <v>7</v>
      </c>
      <c r="C5" s="271" t="s">
        <v>44</v>
      </c>
      <c r="D5" s="271"/>
    </row>
    <row r="7" spans="2:8" ht="22" customHeight="1">
      <c r="B7" s="274" t="s">
        <v>583</v>
      </c>
      <c r="C7" s="274"/>
      <c r="D7" s="274"/>
      <c r="E7" s="274"/>
      <c r="F7" s="274"/>
      <c r="G7" s="274"/>
      <c r="H7" s="274"/>
    </row>
    <row r="9" spans="2:8" ht="22" customHeight="1">
      <c r="B9" s="277" t="s">
        <v>610</v>
      </c>
      <c r="C9" s="277"/>
      <c r="D9" s="277"/>
      <c r="E9" s="277"/>
      <c r="F9" s="277"/>
      <c r="G9" s="277"/>
      <c r="H9" s="277"/>
    </row>
    <row r="10" spans="2:8" ht="8" customHeight="1"/>
    <row r="11" spans="2:8" ht="22" customHeight="1">
      <c r="B11" s="275"/>
      <c r="C11" s="275"/>
      <c r="D11" s="275"/>
      <c r="E11" s="275"/>
      <c r="F11" s="275"/>
      <c r="G11" s="275"/>
      <c r="H11" s="275"/>
    </row>
    <row r="12" spans="2:8" ht="8" customHeight="1"/>
    <row r="13" spans="2:8" ht="22" customHeight="1">
      <c r="B13" s="278"/>
      <c r="C13" s="278"/>
      <c r="D13" s="278"/>
      <c r="E13" s="278"/>
      <c r="F13" s="278"/>
      <c r="G13" s="278"/>
      <c r="H13" s="278"/>
    </row>
    <row r="14" spans="2:8" ht="8" customHeight="1"/>
    <row r="15" spans="2:8" ht="22" customHeight="1">
      <c r="B15" s="278"/>
      <c r="C15" s="278"/>
      <c r="D15" s="278"/>
      <c r="E15" s="278"/>
      <c r="F15" s="278"/>
      <c r="G15" s="278"/>
      <c r="H15" s="278"/>
    </row>
    <row r="16" spans="2:8" ht="8" customHeight="1"/>
    <row r="17" spans="2:8" ht="22" customHeight="1">
      <c r="B17" s="278"/>
      <c r="C17" s="278"/>
      <c r="D17" s="278"/>
      <c r="E17" s="278"/>
      <c r="F17" s="278"/>
      <c r="G17" s="278"/>
      <c r="H17" s="278"/>
    </row>
    <row r="18" spans="2:8" ht="8" customHeight="1"/>
    <row r="19" spans="2:8" ht="22" customHeight="1">
      <c r="B19" s="278"/>
      <c r="C19" s="278"/>
      <c r="D19" s="278"/>
      <c r="E19" s="278"/>
      <c r="F19" s="278"/>
      <c r="G19" s="278"/>
      <c r="H19" s="278"/>
    </row>
    <row r="20" spans="2:8" ht="8" customHeight="1"/>
    <row r="21" spans="2:8" ht="22" customHeight="1">
      <c r="B21" s="278"/>
      <c r="C21" s="278"/>
      <c r="D21" s="278"/>
      <c r="E21" s="278"/>
      <c r="F21" s="278"/>
      <c r="G21" s="278"/>
      <c r="H21" s="278"/>
    </row>
    <row r="22" spans="2:8" ht="8" customHeight="1"/>
    <row r="23" spans="2:8" ht="22" customHeight="1">
      <c r="B23" s="278"/>
      <c r="C23" s="278"/>
      <c r="D23" s="278"/>
      <c r="E23" s="278"/>
      <c r="F23" s="278"/>
      <c r="G23" s="278"/>
      <c r="H23" s="278"/>
    </row>
    <row r="24" spans="2:8" ht="8" customHeight="1"/>
    <row r="25" spans="2:8" ht="22" customHeight="1">
      <c r="B25" s="278"/>
      <c r="C25" s="278"/>
      <c r="D25" s="278"/>
      <c r="E25" s="278"/>
      <c r="F25" s="278"/>
      <c r="G25" s="278"/>
      <c r="H25" s="278"/>
    </row>
    <row r="26" spans="2:8" ht="8" customHeight="1"/>
    <row r="27" spans="2:8" ht="22" customHeight="1">
      <c r="B27" s="278"/>
      <c r="C27" s="278"/>
      <c r="D27" s="278"/>
      <c r="E27" s="278"/>
      <c r="F27" s="278"/>
      <c r="G27" s="278"/>
      <c r="H27" s="278"/>
    </row>
    <row r="28" spans="2:8" ht="8" customHeight="1"/>
    <row r="29" spans="2:8" ht="26" customHeight="1">
      <c r="B29" s="269" t="s">
        <v>470</v>
      </c>
      <c r="C29" s="269"/>
      <c r="D29" s="123"/>
      <c r="E29" s="270" t="s">
        <v>480</v>
      </c>
      <c r="F29" s="270"/>
      <c r="G29" s="270"/>
      <c r="H29" s="270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2026-10-07T15:41:15Z</cp:lastPrinted>
  <dcterms:created xsi:type="dcterms:W3CDTF">2026-07-02T15:37:39Z</dcterms:created>
  <dcterms:modified xsi:type="dcterms:W3CDTF">2026-10-07T16:58:07Z</dcterms:modified>
</cp:coreProperties>
</file>