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A32347C9-3F23-F64C-BEBF-A956977B4AEA}" xr6:coauthVersionLast="47" xr6:coauthVersionMax="47" xr10:uidLastSave="{00000000-0000-0000-0000-000000000000}"/>
  <bookViews>
    <workbookView xWindow="22060" yWindow="660" windowWidth="12500" windowHeight="21680" activeTab="2" xr2:uid="{1E5C896C-F332-E148-BC32-5F8B49356FF5}"/>
    <workbookView xWindow="0" yWindow="980" windowWidth="23640" windowHeight="5940" activeTab="3" xr2:uid="{F1B9606C-296E-034A-B033-0A5934677F42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state="hidden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</sheets>
  <functionGroups builtInGroupCount="19"/>
  <definedNames>
    <definedName name="_xleta.T" hidden="1" xlm="1">#NAME?</definedName>
    <definedName name="ACT_ARRACHAGE">Paramètres!$R$37</definedName>
    <definedName name="ACT_ARRACHAGE_ADV">Paramètres!$R$70</definedName>
    <definedName name="ACT_ARRACHAGE_NS">Paramètres!$R$69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CONTRE_RUCK_ADV">Paramètres!$R$68</definedName>
    <definedName name="ACT_CONTRE_RUCK_NS">Paramètres!$R$67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GRATTAGE_ADV">Paramètres!$R$66</definedName>
    <definedName name="ACT_GRATTAGE_NS">Paramètres!$R$65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vidéo'!$P$4</definedName>
    <definedName name="BTN_ARRACHAGE">'Saisie vidéo'!$V$26</definedName>
    <definedName name="BTN_ARRET_DU_JEU">'Saisie vidéo'!$AH$14</definedName>
    <definedName name="BTN_ATT_NULLE">'Saisie vidéo'!$V$22</definedName>
    <definedName name="BTN_AVANCEE">'Saisie vidéo'!$P$22</definedName>
    <definedName name="BTN_CARTON_BLANC">'Saisie vidéo'!$V$8</definedName>
    <definedName name="BTN_CARTON_BLEU">'Saisie vidéo'!$AB$8</definedName>
    <definedName name="BTN_CARTON_JAUNE">'Saisie vidéo'!$P$8</definedName>
    <definedName name="BTN_CARTON_ROUGE">'Saisie vidéo'!$J$8</definedName>
    <definedName name="BTN_CF_CONTRE_ADV">'Saisie vidéo'!$AB$28</definedName>
    <definedName name="BTN_CF_CONTRE_NOUS">'Saisie vidéo'!$AH$28</definedName>
    <definedName name="BTN_CHRONO_MINUS_5_SEC">'Saisie vidéo'!$P$50</definedName>
    <definedName name="BTN_CHRONO_PLAY_PAUSE">'Saisie vidéo'!$V$50</definedName>
    <definedName name="BTN_CHRONO_PLUS_5_SEC">'Saisie vidéo'!$AB$50</definedName>
    <definedName name="BTN_CHRONO_RESET">'Saisie vidéo'!$AH$50</definedName>
    <definedName name="BTN_CONTRE_RUCK">'Saisie vidéo'!$P$26</definedName>
    <definedName name="BTN_EN_AVANT">'Saisie vidéo'!$J$24</definedName>
    <definedName name="BTN_FRANCHISSEMENT">'Saisie vidéo'!$J$22</definedName>
    <definedName name="BTN_GRATTAGE">'Saisie vidéo'!$J$26</definedName>
    <definedName name="BTN_JEU_AU_PIED">'Saisie vidéo'!$P$24</definedName>
    <definedName name="BTN_JO_1">'Saisie vidéo'!$C$36</definedName>
    <definedName name="BTN_JO_10">'Saisie vidéo'!$AC$36</definedName>
    <definedName name="BTN_JO_11">'Saisie vidéo'!$V$40</definedName>
    <definedName name="BTN_JO_12">'Saisie vidéo'!$Y$38</definedName>
    <definedName name="BTN_JO_13">'Saisie vidéo'!$AE$38</definedName>
    <definedName name="BTN_JO_14">'Saisie vidéo'!$AH$40</definedName>
    <definedName name="BTN_JO_15">'Saisie vidéo'!$AB$40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vidéo'!$I$36</definedName>
    <definedName name="BTN_JO_20">'Saisie vidéo'!$F$20</definedName>
    <definedName name="BTN_JO_21">'Saisie vidéo'!$H$20</definedName>
    <definedName name="BTN_JO_22">'Saisie vidéo'!$J$20</definedName>
    <definedName name="BTN_JO_3">'Saisie vidéo'!$O$36</definedName>
    <definedName name="BTN_JO_4">'Saisie vidéo'!$F$38</definedName>
    <definedName name="BTN_JO_5">'Saisie vidéo'!$L$38</definedName>
    <definedName name="BTN_JO_6">'Saisie vidéo'!$C$40</definedName>
    <definedName name="BTN_JO_7">'Saisie vidéo'!$O$40</definedName>
    <definedName name="BTN_JO_8">'Saisie vidéo'!$I$40</definedName>
    <definedName name="BTN_JO_9">'Saisie vidéo'!$W$36</definedName>
    <definedName name="BTN_JO_AVANT">'Saisie vidéo'!$O$42</definedName>
    <definedName name="BTN_JO_COLLECTIF">'Saisie vidéo'!$I$42</definedName>
    <definedName name="BTN_JO_NON_IDENTIFIE">'Saisie vidéo'!$AB$42</definedName>
    <definedName name="BTN_JO_TROIS_QUARTS">'Saisie vidéo'!$V$42</definedName>
    <definedName name="BTN_ME_G">'Saisie vidéo'!$J$20</definedName>
    <definedName name="BTN_ME_P">'Saisie vidéo'!$P$20</definedName>
    <definedName name="BTN_MT1">'Saisie vidéo'!$AB$4</definedName>
    <definedName name="BTN_MT2">'Saisie vidéo'!$AH$4</definedName>
    <definedName name="BTN_NOUS">'Saisie vidéo'!$J$4</definedName>
    <definedName name="BTN_PARKING">'Saisie vidéo'!$A$1</definedName>
    <definedName name="BTN_PEN_CONTRE_ADV">'Saisie vidéo'!$J$28</definedName>
    <definedName name="BTN_PEN_CONTRE_NOUS">'Saisie vidéo'!$P$28</definedName>
    <definedName name="BTN_PL_A2">'Saisie vidéo'!$AB$16</definedName>
    <definedName name="BTN_PL_HAUT">'Saisie vidéo'!$AH$16</definedName>
    <definedName name="BTN_PL_NORMAL">'Saisie vidéo'!$P$16</definedName>
    <definedName name="BTN_PL_OFF">'Saisie vidéo'!$J$16</definedName>
    <definedName name="BTN_PL_RATE">'Saisie vidéo'!$V$16</definedName>
    <definedName name="BTN_PTS_DROP">'Saisie vidéo'!$AH$30</definedName>
    <definedName name="BTN_PTS_ESSAI">'Saisie vidéo'!$J$30</definedName>
    <definedName name="BTN_PTS_ESSAI_PEN">'Saisie vidéo'!$P$30</definedName>
    <definedName name="BTN_PTS_PENALITE">'Saisie vidéo'!$AB$30</definedName>
    <definedName name="BTN_PTS_TRANSFO">'Saisie vidéo'!$V$30</definedName>
    <definedName name="BTN_RECEPTION_ADV">'Saisie vidéo'!$AB$24</definedName>
    <definedName name="BTN_RECEPTION_NOUS">'Saisie vidéo'!$V$24</definedName>
    <definedName name="BTN_REMPLACEMENT">'Saisie vidéo'!$AB$20</definedName>
    <definedName name="BTN_REPRISE_A_LA_MAIN">'Saisie vidéo'!$AB$14</definedName>
    <definedName name="BTN_REPRISE_MELEE">'Saisie vidéo'!$P$14</definedName>
    <definedName name="BTN_REPRISE_RENVOI">'Saisie vidéo'!$V$14</definedName>
    <definedName name="BTN_REPRISE_TOUCHE">'Saisie vidéo'!$J$14</definedName>
    <definedName name="BTN_RETOUR_CARTON">'Saisie vidéo'!$AH$8</definedName>
    <definedName name="BTN_TO_G">'Saisie vidéo'!$J$18</definedName>
    <definedName name="BTN_TO_P">'Saisie vidéo'!$P$18</definedName>
    <definedName name="BTN_TO_PAS_DROIT">'Saisie vidéo'!$V$18</definedName>
    <definedName name="BTN_TURNOVER">'Saisie vidéo'!$AH$24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vidéo'!$C$50</definedName>
    <definedName name="EQUIPE_NIV">LstEquipesClub[EQUIPE_NIV]</definedName>
    <definedName name="EQUIPES_POULE">LstEquipesPoule[EQUIPES_A_AFFRONTER]</definedName>
    <definedName name="LBL_ATTITUDES">'Saisie vidéo'!$C$22</definedName>
    <definedName name="LBL_CARTONS">'Saisie vidéo'!$C$8</definedName>
    <definedName name="LBL_CHGT_POSS_1">'Saisie vidéo'!$C$24</definedName>
    <definedName name="LBL_CHGT_POSS_2">'Saisie vidéo'!$C$26</definedName>
    <definedName name="LBL_COUP_FRANC">'Saisie vidéo'!$V$28</definedName>
    <definedName name="LBL_MELEES">'Saisie vidéo'!$C$20</definedName>
    <definedName name="LBL_MI_TEMPS">'Saisie vidéo'!$AB$4</definedName>
    <definedName name="LBL_PENALITE">'Saisie vidéo'!$C$28</definedName>
    <definedName name="LBL_PLAQUAGES">'Saisie vidéo'!$C$16</definedName>
    <definedName name="LBL_POINTS">'Saisie vidéo'!$C$30</definedName>
    <definedName name="LBL_POSITION_VIDEO">'Saisie vidéo'!$C$48</definedName>
    <definedName name="LBL_POSSESSION">'Saisie vidéo'!$C$4</definedName>
    <definedName name="LBL_REPRISE_JEU">'Saisie vidéo'!$C$14</definedName>
    <definedName name="LBL_TOUCHES">'Saisie vidéo'!$C$18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Melees'!$AB$2:$AB$9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vidéo'!$C$35:$AL$43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melee'!$C$19</definedName>
    <definedName name="POPUP_ME_CHAMPS">'Popup melee'!$AD$2:$AD$4,'Popup melee'!$C$17:$N$17</definedName>
    <definedName name="POPUP_ME_CONTEXTE">'Popup melee'!$C$4:$C$7</definedName>
    <definedName name="POPUP_ME_OBS">'Popup melee'!$C$17:$N$17</definedName>
    <definedName name="POPUP_ME_PLAY_PAUSE">'Popup melee'!$E$4</definedName>
    <definedName name="POPUP_ME_UTILISATION">'Popup melee'!$AD$4</definedName>
    <definedName name="POPUP_ME_VALIDER">'Popup melee'!$F$19</definedName>
    <definedName name="POPUP_ME_ZONE_LARGEUR">'Popup melee'!$AD$3</definedName>
    <definedName name="POPUP_ME_ZONE_LONGUEUR">'Popup melee'!$AD$2</definedName>
    <definedName name="POPUP_NOM">Popup!$D$9</definedName>
    <definedName name="POPUP_PRENOM">Popup!$D$11</definedName>
    <definedName name="POPUP_TO_ALIGNEMENT">'Popup touche'!$AD$5</definedName>
    <definedName name="POPUP_TO_ANNULER">'Popup touche'!$C$23</definedName>
    <definedName name="POPUP_TO_BALLON">'Popup touche'!$AD$3</definedName>
    <definedName name="POPUP_TO_CHAMPS">'Popup touche'!$C$9:$F$9,'Popup touche'!$AD$2:$AD$5,'Popup touche'!$C$21:$N$21</definedName>
    <definedName name="POPUP_TO_CONTEXTE">'Popup touche'!$C$4:$C$7</definedName>
    <definedName name="POPUP_TO_OBS">'Popup touche'!$C$21:$N$21</definedName>
    <definedName name="POPUP_TO_PLAY_PAUSE">'Popup touche'!$E$4</definedName>
    <definedName name="POPUP_TO_SAUTEUR">'Popup touche'!$C$9:$F$9</definedName>
    <definedName name="POPUP_TO_VALIDER">'Popup touche'!$F$23</definedName>
    <definedName name="POPUP_TO_ZONE_SAUT">'Popup touche'!$AD$2</definedName>
    <definedName name="POPUP_TO_ZONE_TERRAIN">'Popup touche'!$AD$4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TAT_TEMPS_EFFECTIF_MT1">'Stats match'!$J$45</definedName>
    <definedName name="STAT_TEMPS_EFFECTIF_MT2">'Stats match'!$J$46</definedName>
    <definedName name="STAT_TEMPS_EFFECTIF_TOTAL">'Stats match'!$J$47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vidéo'!$C$46</definedName>
    <definedName name="TITRE_PALETTE_ACTIONS">'Saisie vidéo'!$C$12</definedName>
    <definedName name="TITRE_PALETTE_JOUEURS">'Saisie vidéo'!$C$34</definedName>
    <definedName name="TM_BTN_EXPORT">'Touches Melees'!$A$49</definedName>
    <definedName name="TM_RECAP_MELEES">'Touches Melees'!$A$45</definedName>
    <definedName name="TM_RECAP_TOUCHES">'Touches Melees'!$A$16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7" i="18" l="1"/>
  <c r="B47" i="18"/>
  <c r="C46" i="18"/>
  <c r="B46" i="18"/>
  <c r="D18" i="18"/>
  <c r="C18" i="18"/>
  <c r="B18" i="18"/>
  <c r="D17" i="18"/>
  <c r="C17" i="18"/>
  <c r="B17" i="18"/>
  <c r="B1" i="2"/>
  <c r="I38" i="12"/>
  <c r="I37" i="12"/>
  <c r="N31" i="12"/>
  <c r="M31" i="12"/>
  <c r="N30" i="12"/>
  <c r="M30" i="12"/>
  <c r="D41" i="12"/>
  <c r="D42" i="12"/>
  <c r="E41" i="12"/>
  <c r="E37" i="12"/>
  <c r="D38" i="12"/>
  <c r="D37" i="12"/>
  <c r="B56" i="12"/>
  <c r="O46" i="12"/>
  <c r="N46" i="12"/>
  <c r="O45" i="12"/>
  <c r="N45" i="12"/>
  <c r="O44" i="12"/>
  <c r="N44" i="12"/>
  <c r="O43" i="12"/>
  <c r="N43" i="12"/>
  <c r="O42" i="12"/>
  <c r="N42" i="12"/>
  <c r="F15" i="3"/>
  <c r="E15" i="3"/>
  <c r="F66" i="3"/>
  <c r="E66" i="3"/>
  <c r="B65" i="12" a="1"/>
  <c r="B65" i="12" s="1"/>
  <c r="B8" i="12" a="1"/>
  <c r="B8" i="12" s="1"/>
  <c r="N8" i="12" s="1"/>
  <c r="B3" i="12"/>
  <c r="E2" i="7"/>
  <c r="E38" i="12"/>
  <c r="E42" i="12"/>
  <c r="F40" i="3"/>
  <c r="E40" i="3"/>
  <c r="M27" i="12" l="1"/>
  <c r="N15" i="12"/>
  <c r="M28" i="12"/>
  <c r="M29" i="12"/>
  <c r="N24" i="12"/>
  <c r="M21" i="12"/>
  <c r="N21" i="12"/>
  <c r="M22" i="12"/>
  <c r="N28" i="12"/>
  <c r="N29" i="12"/>
  <c r="M18" i="12"/>
  <c r="N18" i="12"/>
  <c r="M13" i="12"/>
  <c r="M19" i="12"/>
  <c r="M25" i="12"/>
  <c r="M9" i="12"/>
  <c r="N9" i="12"/>
  <c r="M10" i="12"/>
  <c r="N16" i="12"/>
  <c r="M23" i="12"/>
  <c r="N17" i="12"/>
  <c r="M12" i="12"/>
  <c r="N12" i="12"/>
  <c r="N13" i="12"/>
  <c r="N19" i="12"/>
  <c r="N25" i="12"/>
  <c r="M16" i="12"/>
  <c r="N22" i="12"/>
  <c r="M17" i="12"/>
  <c r="N11" i="12"/>
  <c r="M24" i="12"/>
  <c r="M8" i="12"/>
  <c r="M14" i="12"/>
  <c r="M20" i="12"/>
  <c r="M26" i="12"/>
  <c r="M15" i="12"/>
  <c r="N27" i="12"/>
  <c r="N10" i="12"/>
  <c r="M11" i="12"/>
  <c r="N23" i="12"/>
  <c r="N14" i="12"/>
  <c r="N20" i="12"/>
  <c r="N26" i="12"/>
  <c r="N47" i="12"/>
  <c r="O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C41" i="12"/>
  <c r="P39" i="12"/>
  <c r="O39" i="12"/>
  <c r="N39" i="12"/>
  <c r="M39" i="12"/>
  <c r="P38" i="12"/>
  <c r="O38" i="12"/>
  <c r="N38" i="12"/>
  <c r="M38" i="12"/>
  <c r="C38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C15" i="12"/>
  <c r="L16" i="12"/>
  <c r="H18" i="12"/>
  <c r="W19" i="12"/>
  <c r="C23" i="12"/>
  <c r="L24" i="12"/>
  <c r="H26" i="12"/>
  <c r="W27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C11" i="12"/>
  <c r="L12" i="12"/>
  <c r="H14" i="12"/>
  <c r="W15" i="12"/>
  <c r="C19" i="12"/>
  <c r="L20" i="12"/>
  <c r="H22" i="12"/>
  <c r="W23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G27" i="12"/>
  <c r="G25" i="12"/>
  <c r="G23" i="12"/>
  <c r="G21" i="12"/>
  <c r="G19" i="12"/>
  <c r="Y17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Y19" i="12"/>
  <c r="G17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Y15" i="12"/>
  <c r="G15" i="12"/>
  <c r="Y13" i="12"/>
  <c r="G13" i="12"/>
  <c r="G11" i="12"/>
  <c r="Z29" i="12"/>
  <c r="H29" i="12"/>
  <c r="Z27" i="12"/>
  <c r="H27" i="12"/>
  <c r="Z25" i="12"/>
  <c r="H25" i="12"/>
  <c r="Z23" i="12"/>
  <c r="H23" i="12"/>
  <c r="Z21" i="12"/>
  <c r="H21" i="12"/>
  <c r="Z19" i="12"/>
  <c r="H19" i="12"/>
  <c r="Z17" i="12"/>
  <c r="H17" i="12"/>
  <c r="Z15" i="12"/>
  <c r="H15" i="12"/>
  <c r="Z13" i="12"/>
  <c r="H13" i="12"/>
  <c r="Z11" i="12"/>
  <c r="H11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Y16" i="12"/>
  <c r="I18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Y12" i="12"/>
  <c r="X15" i="12"/>
  <c r="Y20" i="12"/>
  <c r="I22" i="12"/>
  <c r="X23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C17" i="12"/>
  <c r="L18" i="12"/>
  <c r="W21" i="12"/>
  <c r="C25" i="12"/>
  <c r="L26" i="12"/>
  <c r="H28" i="12"/>
  <c r="W29" i="12"/>
  <c r="I88" i="12"/>
  <c r="H88" i="12"/>
  <c r="Y10" i="12"/>
  <c r="I12" i="12"/>
  <c r="E17" i="12"/>
  <c r="H68" i="12"/>
  <c r="E11" i="12"/>
  <c r="I14" i="12"/>
  <c r="E19" i="12"/>
  <c r="E27" i="12"/>
  <c r="W9" i="12"/>
  <c r="C13" i="12"/>
  <c r="L14" i="12"/>
  <c r="H16" i="12"/>
  <c r="W17" i="12"/>
  <c r="C21" i="12"/>
  <c r="L22" i="12"/>
  <c r="H24" i="12"/>
  <c r="W25" i="12"/>
  <c r="C29" i="12"/>
  <c r="L30" i="12"/>
  <c r="X9" i="12"/>
  <c r="E13" i="12"/>
  <c r="Y14" i="12"/>
  <c r="I16" i="12"/>
  <c r="X17" i="12"/>
  <c r="E21" i="12"/>
  <c r="Y22" i="12"/>
  <c r="I24" i="12"/>
  <c r="X25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32" i="12"/>
  <c r="U8" i="12"/>
  <c r="U32" i="12" s="1"/>
  <c r="C8" i="12"/>
  <c r="C32" i="12" s="1"/>
  <c r="N32" i="12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<sst xmlns="http://schemas.openxmlformats.org/spreadsheetml/2006/main" count="2894" uniqueCount="644">
  <si>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</si>
  <si>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</si>
  <si>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</si>
  <si>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</si>
  <si>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</si>
  <si>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</si>
  <si>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</si>
  <si>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</si>
  <si>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</si>
  <si>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</si>
  <si>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</si>
  <si>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</si>
  <si>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</si>
  <si>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</si>
  <si>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</si>
  <si>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</si>
  <si>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</si>
  <si>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</si>
  <si>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</si>
  <si>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</si>
  <si>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</si>
  <si>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</si>
  <si>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</si>
  <si>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</si>
  <si>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</si>
  <si>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</si>
  <si>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</si>
  <si>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</si>
  <si>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</si>
  <si>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</si>
  <si>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</si>
  <si>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</si>
  <si>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</si>
  <si>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</si>
  <si>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</si>
  <si>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</si>
  <si>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</si>
  <si>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</si>
  <si>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</si>
  <si>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</si>
  <si>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</si>
  <si>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</si>
  <si>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</si>
  <si>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</si>
  <si>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</si>
  <si>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</si>
  <si>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</si>
  <si>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</si>
  <si>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</si>
  <si>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</si>
  <si>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</si>
  <si>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</si>
  <si>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</si>
  <si>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</si>
  <si>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</si>
  <si>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</si>
  <si>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</si>
  <si>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</si>
  <si>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</si>
  <si>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</si>
  <si>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</si>
  <si>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</si>
  <si>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</si>
  <si>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</si>
  <si>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</si>
  <si>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</si>
  <si>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</si>
  <si>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</si>
  <si>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</si>
  <si>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</si>
  <si>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</si>
  <si>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</si>
  <si>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</si>
  <si>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</si>
  <si>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</si>
  <si>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</si>
  <si>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</si>
  <si>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</si>
  <si>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</si>
  <si>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</si>
  <si>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</si>
  <si>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</si>
  <si>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</si>
  <si>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</si>
  <si>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</si>
  <si>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</si>
  <si>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</si>
  <si>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</si>
  <si>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</si>
  <si>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</si>
  <si>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</si>
  <si>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</si>
  <si>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</si>
  <si>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</si>
  <si>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</si>
  <si>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</si>
  <si>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</si>
  <si>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</si>
  <si>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</si>
  <si>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</si>
  <si>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</si>
  <si>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</si>
  <si>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</si>
  <si>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</si>
  <si>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</si>
  <si>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</si>
  <si>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</si>
  <si>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</si>
  <si>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</si>
  <si>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</si>
  <si>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</si>
  <si>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</si>
  <si>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</si>
  <si>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</si>
  <si>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</si>
  <si>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</si>
  <si>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</si>
  <si>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</si>
  <si>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</si>
  <si>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</si>
  <si>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</si>
  <si>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</si>
  <si>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</si>
  <si>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</si>
  <si>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</si>
  <si>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</si>
  <si>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</si>
  <si>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</si>
  <si>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</si>
  <si>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</si>
  <si>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</si>
  <si>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</si>
  <si>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</si>
  <si>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</si>
  <si>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</si>
  <si>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</si>
  <si>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</si>
  <si>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</si>
  <si>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</si>
  <si>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</si>
  <si>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</si>
  <si>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</si>
  <si>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</si>
  <si>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</si>
  <si>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</si>
  <si>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</si>
  <si>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</si>
  <si>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</si>
  <si>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</si>
  <si>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</si>
  <si>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</si>
  <si>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</si>
  <si>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</si>
  <si>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</si>
  <si>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</si>
  <si>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</si>
  <si>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</si>
  <si>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</si>
  <si>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</si>
  <si>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</si>
  <si>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</si>
  <si>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</si>
  <si>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</si>
  <si>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</si>
  <si>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</si>
  <si>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</si>
  <si>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</si>
  <si>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</si>
  <si>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</si>
  <si>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</si>
  <si>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</si>
  <si>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</si>
  <si>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</si>
  <si>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</si>
  <si>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</si>
  <si>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</si>
  <si>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</si>
  <si>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</si>
  <si>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</si>
  <si>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</si>
  <si>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</si>
  <si>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</si>
  <si>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</si>
  <si>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</si>
  <si>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</si>
  <si>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</si>
  <si>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</si>
  <si>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</si>
  <si>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</si>
  <si>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</si>
  <si>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</si>
  <si>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</si>
  <si>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</si>
  <si>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</si>
  <si>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</si>
  <si>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</si>
  <si>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</si>
  <si>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</si>
  <si>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</si>
  <si>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</si>
  <si>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</si>
  <si>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</si>
  <si>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</si>
  <si>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</si>
  <si>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</si>
  <si>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</si>
  <si>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</si>
  <si>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</si>
  <si>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</si>
  <si>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</si>
  <si>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</si>
  <si>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</si>
  <si>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</si>
  <si>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</si>
  <si>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</si>
  <si>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</si>
  <si>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</si>
  <si>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</si>
  <si>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</si>
  <si>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</si>
  <si>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</si>
  <si>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</si>
  <si>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</si>
  <si>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</si>
  <si>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</si>
  <si>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</si>
  <si>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</si>
  <si>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</si>
  <si>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</si>
  <si>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</si>
  <si>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</si>
  <si>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</si>
  <si>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</si>
  <si>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</si>
  <si>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</si>
  <si>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</si>
  <si>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</si>
  <si>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</si>
  <si>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</si>
  <si>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</si>
  <si>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</si>
  <si>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</si>
  <si>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</si>
  <si>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</si>
  <si>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</si>
  <si>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</si>
  <si>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</si>
  <si>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</si>
  <si>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</si>
  <si>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</si>
  <si>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</si>
  <si>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</si>
  <si>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</si>
  <si>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</si>
  <si>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</si>
  <si>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</si>
  <si>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</si>
  <si>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</si>
  <si>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</si>
  <si>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</si>
  <si>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</si>
  <si>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</si>
  <si>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</si>
  <si>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</si>
  <si>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</si>
  <si>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</si>
  <si>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</si>
  <si>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</si>
  <si>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</si>
  <si>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</si>
  <si>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</si>
  <si>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</si>
  <si>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</si>
  <si>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</si>
  <si>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</si>
  <si>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</si>
  <si>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</si>
  <si>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</si>
  <si>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</si>
  <si>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</si>
  <si>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</si>
  <si>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</si>
  <si>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</si>
  <si>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</si>
  <si>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</si>
  <si>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</si>
  <si>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</si>
  <si>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</si>
  <si>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</si>
  <si>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</si>
  <si>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</si>
  <si>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</si>
  <si>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</si>
  <si>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</si>
  <si>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</si>
  <si>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</si>
  <si>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</si>
  <si>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</si>
  <si>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</si>
  <si>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</si>
  <si>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</si>
  <si>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</si>
  <si>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</si>
  <si>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</si>
  <si>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</si>
  <si>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</si>
  <si>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</si>
  <si>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</si>
  <si>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</si>
  <si>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</si>
  <si>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</si>
  <si>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</si>
  <si>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</si>
  <si>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</si>
  <si>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</si>
  <si>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</si>
  <si>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</si>
  <si>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</si>
  <si>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</si>
  <si>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</si>
  <si>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</si>
  <si>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</si>
  <si>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</si>
  <si>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</si>
  <si>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</si>
  <si>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</si>
  <si>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</si>
  <si>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</si>
  <si>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</si>
  <si>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</si>
  <si>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</si>
  <si>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</si>
  <si>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</si>
  <si>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</si>
  <si>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</si>
  <si>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</si>
  <si>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</si>
  <si>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</si>
  <si>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</si>
  <si>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</si>
  <si>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</si>
  <si>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</si>
  <si>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</si>
  <si>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</si>
  <si>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</si>
  <si>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</si>
  <si>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</si>
  <si>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</si>
  <si>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</si>
  <si>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</si>
  <si>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</si>
  <si>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</si>
  <si>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</si>
  <si>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</si>
  <si>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</si>
  <si>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</si>
  <si>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</si>
  <si>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</si>
  <si>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</si>
  <si>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</si>
  <si>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</si>
  <si>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</si>
  <si>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</si>
  <si>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</si>
  <si>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</si>
  <si>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</si>
  <si>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</si>
  <si>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</si>
  <si>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</si>
  <si>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</si>
  <si>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</si>
  <si>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</si>
  <si>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</si>
  <si>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</si>
  <si>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</si>
  <si>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</si>
  <si>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</si>
  <si>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</si>
  <si>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</si>
  <si>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</si>
  <si>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</si>
  <si>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</si>
  <si>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</si>
  <si>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</si>
  <si>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</si>
  <si>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</si>
  <si>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</si>
  <si>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</si>
  <si>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</si>
  <si>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</si>
  <si>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</si>
  <si>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</si>
  <si>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</si>
  <si>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</si>
  <si>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</si>
  <si>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</si>
  <si>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</si>
  <si>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</si>
  <si>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</si>
  <si>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</si>
  <si>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</si>
  <si>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</si>
  <si>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</si>
  <si>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</si>
  <si>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</si>
  <si>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</si>
  <si>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</si>
  <si>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</si>
  <si>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</si>
  <si>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</si>
  <si>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</si>
  <si>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</si>
  <si>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</si>
  <si>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</si>
  <si>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</si>
  <si>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</si>
  <si>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</si>
  <si>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</si>
  <si>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</si>
  <si>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</si>
  <si>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</si>
  <si>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</si>
  <si>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</si>
  <si>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</si>
  <si>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</si>
  <si>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</si>
  <si>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</si>
  <si>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</si>
  <si>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</si>
  <si>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</si>
  <si>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</si>
  <si>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</si>
  <si>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</si>
  <si>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</si>
  <si>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</si>
  <si>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</si>
  <si>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</si>
  <si>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</si>
  <si>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</si>
  <si>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</si>
  <si>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</si>
  <si>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</si>
  <si>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</si>
  <si>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</si>
  <si>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</si>
  <si>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</si>
  <si>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</si>
  <si>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</si>
  <si>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</si>
  <si>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</si>
  <si>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</si>
  <si>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</si>
  <si>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</si>
  <si>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</si>
  <si>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</si>
  <si>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</si>
  <si>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</si>
  <si>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</si>
  <si>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</si>
  <si>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</si>
  <si>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</si>
  <si>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</si>
  <si>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</si>
  <si>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</si>
  <si>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</si>
  <si>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</si>
  <si>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</si>
  <si>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</si>
  <si>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</si>
  <si>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</si>
  <si>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</si>
  <si>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</si>
  <si>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</si>
  <si>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</si>
  <si>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</si>
  <si>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</si>
  <si>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</si>
  <si>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</si>
  <si>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</si>
  <si>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</si>
  <si>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</si>
  <si>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</si>
  <si>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</si>
  <si>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</si>
  <si>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</si>
  <si>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</si>
  <si>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</si>
  <si>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</si>
  <si>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</si>
  <si>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</si>
  <si>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</si>
  <si>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</si>
  <si>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</si>
  <si>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</si>
  <si>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</si>
  <si>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</si>
  <si>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</si>
  <si>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</si>
  <si>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</si>
  <si>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</si>
  <si>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</si>
  <si>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</si>
  <si>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</si>
  <si>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</si>
  <si>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</si>
  <si>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</si>
  <si>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</si>
  <si>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</si>
  <si>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MULLIER Victor</t>
  </si>
  <si>
    <t>SOUVILLE Quentin</t>
  </si>
  <si>
    <t>Remplacement</t>
  </si>
  <si>
    <t>Passage à vide</t>
  </si>
  <si>
    <t>EXPORTER
LA FEUILLE</t>
  </si>
  <si>
    <t>00:00</t>
  </si>
  <si>
    <t>1 - ABADIE Quentin</t>
  </si>
  <si>
    <t>2 - RICHIARDONNE Gregory</t>
  </si>
  <si>
    <t>3 - BAUP Bastien</t>
  </si>
  <si>
    <t>4 - DUTREY Thomas</t>
  </si>
  <si>
    <t>5 - ABADIE Emeric</t>
  </si>
  <si>
    <t>6 - MULLIER Victor</t>
  </si>
  <si>
    <t>7 - BIFFI Pierre</t>
  </si>
  <si>
    <t>8 - BARATGIN Julian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</si>
  <si>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</si>
  <si>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</si>
  <si>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</si>
  <si>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</si>
  <si>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</si>
  <si>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</si>
  <si>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</si>
  <si>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</si>
  <si>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</si>
  <si>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</si>
  <si>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</si>
  <si>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</si>
  <si>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</si>
  <si>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</si>
  <si>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</si>
  <si>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</si>
  <si>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</si>
  <si>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</si>
  <si>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</si>
  <si>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</si>
  <si>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</si>
  <si>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</si>
  <si>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</si>
  <si>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</si>
  <si>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</si>
  <si>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</si>
  <si>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</si>
  <si>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</si>
  <si>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</si>
  <si>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</si>
  <si>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</si>
  <si>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</si>
  <si>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</si>
  <si>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US Eauze Gondrin</t>
  </si>
  <si>
    <t>Jeu effectif</t>
  </si>
  <si>
    <t>Eux</t>
  </si>
  <si>
    <t>10m de plus - contestation</t>
  </si>
  <si>
    <t>ZONE TERRAIN</t>
  </si>
  <si>
    <t>en-but</t>
  </si>
  <si>
    <t>15m</t>
  </si>
  <si>
    <t>22m</t>
  </si>
  <si>
    <t>30m</t>
  </si>
  <si>
    <t>40m</t>
  </si>
  <si>
    <t>NOTRE CAMP</t>
  </si>
  <si>
    <t>CAMP ADVERSE</t>
  </si>
  <si>
    <t>ZONE DE JEU</t>
  </si>
  <si>
    <t>Zone de touche</t>
  </si>
  <si>
    <t>Retour carton</t>
  </si>
  <si>
    <t>ACT_GRATTAGE_NS</t>
  </si>
  <si>
    <t>Grattage - récupération du ballon</t>
  </si>
  <si>
    <t>ACT_GRATTAGE_ADV</t>
  </si>
  <si>
    <t>Grattage - perte du ballon</t>
  </si>
  <si>
    <t>ACT_CONTRE_RUCK_NS</t>
  </si>
  <si>
    <t>Contre-ruck - récupération du ballon</t>
  </si>
  <si>
    <t>ACT_CONTRE_RUCK_ADV</t>
  </si>
  <si>
    <t>Contre-ruck - perte du ballon</t>
  </si>
  <si>
    <t>ACT_ARRACHAGE_NS</t>
  </si>
  <si>
    <t>Arrachage - récupération du ballon</t>
  </si>
  <si>
    <t>ACT_ARRACHAGE_ADV</t>
  </si>
  <si>
    <t>Arrachage - perte du ballon</t>
  </si>
  <si>
    <t>Score</t>
  </si>
  <si>
    <t>26-27_A1_US Portet_Première_DOM</t>
  </si>
  <si>
    <t>MICHELIN Paul</t>
  </si>
  <si>
    <t>BAYLE Jean</t>
  </si>
  <si>
    <t>GABRELLE Neot</t>
  </si>
  <si>
    <t>ROUSSEL Mathis</t>
  </si>
  <si>
    <t>PENALITE</t>
  </si>
  <si>
    <t>En-avant volontaire</t>
  </si>
  <si>
    <t>En-avant repris devant</t>
  </si>
  <si>
    <t>Maul - Entrer sur le côté</t>
  </si>
  <si>
    <t>Maul - Ecroulement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</si>
  <si>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</si>
  <si>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</si>
  <si>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</si>
  <si>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</si>
  <si>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</si>
  <si>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</si>
  <si>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</si>
  <si>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</si>
  <si>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Garde le ballon au sol</t>
  </si>
  <si>
    <t>Ruck - Déblayage sur le coté</t>
  </si>
  <si>
    <t>Ruck - Saisie relayeur</t>
  </si>
  <si>
    <t>Ruck - Talonnage à la main</t>
  </si>
  <si>
    <t>Ruck - Plaqueur qui ne sort pas</t>
  </si>
  <si>
    <t>Ruck - 4 appuis</t>
  </si>
  <si>
    <t>Ruck - Gratteur ne relâche pas</t>
  </si>
  <si>
    <t>Brutalité</t>
  </si>
  <si>
    <t>Plaquage - à 2</t>
  </si>
  <si>
    <t>Plaquage - haut</t>
  </si>
  <si>
    <t>Plaquage - sans ballon</t>
  </si>
  <si>
    <t>Plaquage - à retardement</t>
  </si>
  <si>
    <t>Plaquage - en l'air</t>
  </si>
  <si>
    <t>Porteur roule au sol</t>
  </si>
  <si>
    <t>10m de plus</t>
  </si>
  <si>
    <t>E 15m</t>
  </si>
  <si>
    <t>Perdue</t>
  </si>
  <si>
    <t>✓</t>
  </si>
  <si>
    <t>E 22m</t>
  </si>
  <si>
    <t>Mauvaise utilisation de l'avant</t>
  </si>
  <si>
    <t>Pas droite</t>
  </si>
  <si>
    <t>Tapette</t>
  </si>
  <si>
    <t>32:11</t>
  </si>
  <si>
    <t>36:21</t>
  </si>
  <si>
    <t>36:26</t>
  </si>
  <si>
    <t>Adversaire  -  carton blanc  -  21:32</t>
  </si>
  <si>
    <t>Nous  -  carton blanc  -  KAPFER Bastien  -  26:58</t>
  </si>
  <si>
    <t>36:55</t>
  </si>
  <si>
    <r>
      <t>1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ABADIE</t>
    </r>
  </si>
  <si>
    <r>
      <t>2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DALLA ROSA</t>
    </r>
  </si>
  <si>
    <r>
      <t>3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BAUP</t>
    </r>
  </si>
  <si>
    <r>
      <t>4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ABADIE</t>
    </r>
  </si>
  <si>
    <r>
      <t>5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MICHELIN</t>
    </r>
  </si>
  <si>
    <r>
      <t>6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LOUREIRO LABAZUY</t>
    </r>
  </si>
  <si>
    <r>
      <t>7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BARATGIN</t>
    </r>
  </si>
  <si>
    <r>
      <t>8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BAYLE</t>
    </r>
  </si>
  <si>
    <r>
      <t>9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MOUDENS</t>
    </r>
  </si>
  <si>
    <r>
      <t>10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COURREGES</t>
    </r>
  </si>
  <si>
    <r>
      <t>11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BOURREC</t>
    </r>
  </si>
  <si>
    <r>
      <t>12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LAUDET</t>
    </r>
  </si>
  <si>
    <r>
      <t>13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KAPFER</t>
    </r>
  </si>
  <si>
    <r>
      <t>14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JOUNAUX</t>
    </r>
  </si>
  <si>
    <r>
      <t>15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SALLES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</si>
</sst>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6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rgb="FFFFFFFF"/>
      <name val="Calibri"/>
      <family val="2"/>
    </font>
    <font>
      <b/>
      <sz val="9"/>
      <color rgb="FF0070C0"/>
      <name val="Calibri"/>
      <family val="2"/>
    </font>
    <font>
      <i/>
      <sz val="9"/>
      <color theme="1"/>
      <name val="Calibri"/>
      <family val="2"/>
    </font>
    <font>
      <sz val="10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sz val="9"/>
      <color rgb="FFFFFFFF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AEDFB"/>
        <bgColor indexed="64"/>
      </patternFill>
    </fill>
    <fill>
      <patternFill patternType="solid">
        <fgColor rgb="FF000000"/>
        <bgColor indexed="64"/>
      </patternFill>
    </fill>
  </fills>
  <borders count="68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96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3" xfId="0" applyNumberFormat="1" applyFill="1" applyBorder="1"/>
    <xf numFmtId="165" fontId="0" fillId="17" borderId="64" xfId="0" applyNumberFormat="1" applyFill="1" applyBorder="1"/>
    <xf numFmtId="165" fontId="31" fillId="24" borderId="65" xfId="0" applyNumberFormat="1" applyFont="1" applyFill="1" applyBorder="1"/>
    <xf numFmtId="0" fontId="23" fillId="24" borderId="62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6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right" vertical="center"/>
    </xf>
    <xf numFmtId="0" fontId="51" fillId="16" borderId="0" xfId="0" applyFont="1" applyFill="1" applyAlignment="1">
      <alignment horizontal="center"/>
    </xf>
    <xf numFmtId="0" fontId="47" fillId="44" borderId="67" xfId="0" applyFont="1" applyFill="1" applyBorder="1" applyAlignment="1">
      <alignment horizontal="center" vertical="center"/>
    </xf>
    <xf numFmtId="0" fontId="47" fillId="12" borderId="67" xfId="0" applyFont="1" applyFill="1" applyBorder="1" applyAlignment="1">
      <alignment horizontal="center" vertical="center"/>
    </xf>
    <xf numFmtId="0" fontId="50" fillId="16" borderId="0" xfId="0" applyFont="1" applyFill="1" applyAlignment="1">
      <alignment horizontal="right" vertical="center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0" fillId="25" borderId="7" xfId="0" applyFill="1" applyBorder="1"/>
    <xf numFmtId="0" fontId="0" fillId="25" borderId="9" xfId="0" applyFill="1" applyBorder="1"/>
    <xf numFmtId="0" fontId="22" fillId="0" borderId="0" xfId="0" applyFont="1" applyAlignment="1">
      <alignment horizontal="center" vertical="center" wrapText="1"/>
    </xf>
    <xf numFmtId="14" fontId="0" fillId="0" borderId="0" xfId="0" applyNumberFormat="1"/>
    <xf numFmtId="22" fontId="0" fillId="0" borderId="0" xfId="0" applyNumberFormat="1"/>
    <xf numFmtId="0" fontId="49" fillId="43" borderId="67" xfId="0" applyFont="1" applyFill="1" applyBorder="1" applyAlignment="1">
      <alignment horizontal="center" vertical="center"/>
    </xf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3" fillId="24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3" fillId="9" borderId="0" xfId="0" applyFont="1" applyFill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2" fillId="16" borderId="0" xfId="0" applyFont="1" applyFill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 wrapText="1"/>
    </xf>
    <xf numFmtId="0" fontId="31" fillId="13" borderId="44" xfId="0" applyFont="1" applyFill="1" applyBorder="1" applyAlignment="1">
      <alignment horizontal="center" vertical="center" wrapText="1"/>
    </xf>
    <xf numFmtId="0" fontId="31" fillId="13" borderId="20" xfId="0" applyFont="1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165" fontId="46" fillId="40" borderId="19" xfId="0" applyNumberFormat="1" applyFont="1" applyFill="1" applyBorder="1" applyAlignment="1">
      <alignment horizontal="center" vertical="center" wrapText="1"/>
    </xf>
    <xf numFmtId="0" fontId="0" fillId="40" borderId="44" xfId="0" applyFill="1" applyBorder="1" applyAlignment="1">
      <alignment horizontal="center" vertical="center" wrapText="1"/>
    </xf>
    <xf numFmtId="0" fontId="0" fillId="40" borderId="20" xfId="0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0" fillId="40" borderId="19" xfId="0" applyFill="1" applyBorder="1" applyAlignment="1">
      <alignment horizontal="center" vertical="center" wrapText="1"/>
    </xf>
    <xf numFmtId="0" fontId="23" fillId="24" borderId="9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26" fillId="24" borderId="22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center"/>
    </xf>
    <xf numFmtId="0" fontId="47" fillId="14" borderId="43" xfId="0" applyFont="1" applyFill="1" applyBorder="1" applyAlignment="1">
      <alignment horizontal="center" vertical="center"/>
    </xf>
    <xf numFmtId="0" fontId="49" fillId="43" borderId="43" xfId="0" applyFont="1" applyFill="1" applyBorder="1" applyAlignment="1">
      <alignment horizontal="center" vertical="center"/>
    </xf>
    <xf numFmtId="0" fontId="50" fillId="16" borderId="0" xfId="0" applyFont="1" applyFill="1" applyAlignment="1">
      <alignment horizontal="center"/>
    </xf>
    <xf numFmtId="49" fontId="42" fillId="33" borderId="0" xfId="0" applyNumberFormat="1" applyFont="1" applyFill="1" applyAlignment="1">
      <alignment horizontal="center"/>
    </xf>
    <xf numFmtId="0" fontId="42" fillId="33" borderId="0" xfId="0" applyFont="1" applyFill="1" applyAlignment="1">
      <alignment horizontal="center"/>
    </xf>
    <xf numFmtId="0" fontId="48" fillId="16" borderId="0" xfId="0" applyFont="1" applyFill="1" applyAlignment="1">
      <alignment horizontal="center" vertical="center" wrapText="1"/>
    </xf>
    <xf numFmtId="0" fontId="40" fillId="16" borderId="0" xfId="0" applyFont="1" applyFill="1" applyAlignment="1">
      <alignment horizontal="center" vertical="center" wrapText="1"/>
    </xf>
    <xf numFmtId="0" fontId="47" fillId="16" borderId="0" xfId="0" applyFont="1" applyFill="1" applyAlignment="1">
      <alignment horizontal="center" vertical="center" wrapText="1"/>
    </xf>
    <xf numFmtId="0" fontId="33" fillId="16" borderId="0" xfId="0" applyFont="1" applyFill="1" applyAlignment="1">
      <alignment horizontal="center" vertical="center"/>
    </xf>
    <xf numFmtId="0" fontId="49" fillId="14" borderId="43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center" vertical="center"/>
    </xf>
    <xf numFmtId="0" fontId="33" fillId="41" borderId="0" xfId="0" applyFont="1" applyFill="1" applyAlignment="1">
      <alignment horizontal="center" vertical="center"/>
    </xf>
    <xf numFmtId="0" fontId="54" fillId="10" borderId="59" xfId="0" applyNumberFormat="1" applyFont="1" applyFill="1" applyBorder="1" applyAlignment="1">
      <alignment horizontal="center" vertical="center" wrapText="1"/>
    </xf>
    <xf numFmtId="0" fontId="54" fillId="10" borderId="60" xfId="0" applyNumberFormat="1" applyFont="1" applyFill="1" applyBorder="1" applyAlignment="1">
      <alignment horizontal="center" vertical="center" wrapText="1"/>
    </xf>
    <xf numFmtId="0" fontId="54" fillId="10" borderId="61" xfId="0" applyNumberFormat="1" applyFont="1" applyFill="1" applyBorder="1" applyAlignment="1">
      <alignment horizontal="center" vertical="center" wrapText="1"/>
    </xf>
    <xf numFmtId="0" fontId="52" fillId="19" borderId="59" xfId="0" applyNumberFormat="1" applyFont="1" applyFill="1" applyBorder="1" applyAlignment="1">
      <alignment horizontal="center" vertical="center"/>
    </xf>
    <xf numFmtId="0" fontId="52" fillId="19" borderId="60" xfId="0" applyNumberFormat="1" applyFont="1" applyFill="1" applyBorder="1" applyAlignment="1">
      <alignment horizontal="center" vertical="center"/>
    </xf>
    <xf numFmtId="0" fontId="52" fillId="19" borderId="61" xfId="0" applyNumberFormat="1" applyFont="1" applyFill="1" applyBorder="1" applyAlignment="1">
      <alignment horizontal="center" vertical="center"/>
    </xf>
    <xf numFmtId="0" fontId="16" fillId="12" borderId="59" xfId="0" applyNumberFormat="1" applyFont="1" applyFill="1" applyBorder="1" applyAlignment="1">
      <alignment horizontal="center" vertical="center" wrapText="1"/>
    </xf>
    <xf numFmtId="0" fontId="16" fillId="12" borderId="60" xfId="0" applyNumberFormat="1" applyFont="1" applyFill="1" applyBorder="1" applyAlignment="1">
      <alignment horizontal="center" vertical="center" wrapText="1"/>
    </xf>
    <xf numFmtId="0" fontId="16" fillId="12" borderId="61" xfId="0" applyNumberFormat="1" applyFont="1" applyFill="1" applyBorder="1" applyAlignment="1">
      <alignment horizontal="center" vertical="center" wrapText="1"/>
    </xf>
    <xf numFmtId="0" fontId="16" fillId="23" borderId="59" xfId="0" applyNumberFormat="1" applyFont="1" applyFill="1" applyBorder="1" applyAlignment="1">
      <alignment horizontal="center" vertical="center" wrapText="1"/>
    </xf>
    <xf numFmtId="0" fontId="16" fillId="23" borderId="60" xfId="0" applyNumberFormat="1" applyFont="1" applyFill="1" applyBorder="1" applyAlignment="1">
      <alignment horizontal="center" vertical="center" wrapText="1"/>
    </xf>
    <xf numFmtId="0" fontId="16" fillId="23" borderId="61" xfId="0" applyNumberFormat="1" applyFont="1" applyFill="1" applyBorder="1" applyAlignment="1">
      <alignment horizontal="center" vertical="center" wrapText="1"/>
    </xf>
    <xf numFmtId="0" fontId="16" fillId="15" borderId="59" xfId="0" applyNumberFormat="1" applyFont="1" applyFill="1" applyBorder="1" applyAlignment="1">
      <alignment horizontal="center" vertical="center" wrapText="1"/>
    </xf>
    <xf numFmtId="0" fontId="16" fillId="15" borderId="60" xfId="0" applyNumberFormat="1" applyFont="1" applyFill="1" applyBorder="1" applyAlignment="1">
      <alignment horizontal="center" vertical="center" wrapText="1"/>
    </xf>
    <xf numFmtId="0" fontId="16" fillId="15" borderId="61" xfId="0" applyNumberFormat="1" applyFont="1" applyFill="1" applyBorder="1" applyAlignment="1">
      <alignment horizontal="center" vertical="center" wrapText="1"/>
    </xf>
    <xf numFmtId="0" fontId="16" fillId="14" borderId="59" xfId="0" applyNumberFormat="1" applyFont="1" applyFill="1" applyBorder="1" applyAlignment="1">
      <alignment horizontal="center" vertical="center" wrapText="1"/>
    </xf>
    <xf numFmtId="0" fontId="16" fillId="14" borderId="60" xfId="0" applyNumberFormat="1" applyFont="1" applyFill="1" applyBorder="1" applyAlignment="1">
      <alignment horizontal="center" vertical="center" wrapText="1"/>
    </xf>
    <xf numFmtId="0" fontId="16" fillId="14" borderId="61" xfId="0" applyNumberFormat="1" applyFont="1" applyFill="1" applyBorder="1" applyAlignment="1">
      <alignment horizontal="center" vertical="center" wrapText="1"/>
    </xf>
    <xf numFmtId="0" fontId="3" fillId="13" borderId="59" xfId="0" applyNumberFormat="1" applyFont="1" applyFill="1" applyBorder="1" applyAlignment="1">
      <alignment horizontal="center" vertical="center"/>
    </xf>
    <xf numFmtId="0" fontId="3" fillId="13" borderId="60" xfId="0" applyNumberFormat="1" applyFont="1" applyFill="1" applyBorder="1" applyAlignment="1">
      <alignment horizontal="center" vertical="center"/>
    </xf>
    <xf numFmtId="0" fontId="3" fillId="13" borderId="61" xfId="0" applyNumberFormat="1" applyFont="1" applyFill="1" applyBorder="1" applyAlignment="1">
      <alignment horizontal="center" vertical="center"/>
    </xf>
    <xf numFmtId="0" fontId="52" fillId="31" borderId="59" xfId="0" applyNumberFormat="1" applyFont="1" applyFill="1" applyBorder="1" applyAlignment="1">
      <alignment horizontal="center" vertical="center" wrapText="1"/>
    </xf>
    <xf numFmtId="0" fontId="52" fillId="31" borderId="60" xfId="0" applyNumberFormat="1" applyFont="1" applyFill="1" applyBorder="1" applyAlignment="1">
      <alignment horizontal="center" vertical="center" wrapText="1"/>
    </xf>
    <xf numFmtId="0" fontId="52" fillId="31" borderId="61" xfId="0" applyNumberFormat="1" applyFont="1" applyFill="1" applyBorder="1" applyAlignment="1">
      <alignment horizontal="center" vertical="center" wrapText="1"/>
    </xf>
    <xf numFmtId="0" fontId="52" fillId="16" borderId="59" xfId="0" applyNumberFormat="1" applyFont="1" applyFill="1" applyBorder="1" applyAlignment="1">
      <alignment horizontal="center" vertical="center" wrapText="1"/>
    </xf>
    <xf numFmtId="0" fontId="52" fillId="16" borderId="60" xfId="0" applyNumberFormat="1" applyFont="1" applyFill="1" applyBorder="1" applyAlignment="1">
      <alignment horizontal="center" vertical="center" wrapText="1"/>
    </xf>
    <xf numFmtId="0" fontId="52" fillId="16" borderId="61" xfId="0" applyNumberFormat="1" applyFont="1" applyFill="1" applyBorder="1" applyAlignment="1">
      <alignment horizontal="center" vertical="center" wrapText="1"/>
    </xf>
    <xf numFmtId="0" fontId="44" fillId="32" borderId="59" xfId="0" applyNumberFormat="1" applyFont="1" applyFill="1" applyBorder="1" applyAlignment="1">
      <alignment horizontal="center" vertical="center" wrapText="1"/>
    </xf>
    <xf numFmtId="0" fontId="44" fillId="32" borderId="60" xfId="0" applyNumberFormat="1" applyFont="1" applyFill="1" applyBorder="1" applyAlignment="1">
      <alignment horizontal="center" vertical="center" wrapText="1"/>
    </xf>
    <xf numFmtId="0" fontId="44" fillId="32" borderId="61" xfId="0" applyNumberFormat="1" applyFont="1" applyFill="1" applyBorder="1" applyAlignment="1">
      <alignment horizontal="center" vertical="center" wrapText="1"/>
    </xf>
    <xf numFmtId="0" fontId="52" fillId="45" borderId="60" xfId="0" applyNumberFormat="1" applyFont="1" applyFill="1" applyBorder="1" applyAlignment="1">
      <alignment horizontal="center" vertical="center" wrapText="1"/>
    </xf>
    <xf numFmtId="0" fontId="52" fillId="45" borderId="61" xfId="0" applyNumberFormat="1" applyFont="1" applyFill="1" applyBorder="1" applyAlignment="1">
      <alignment horizontal="center" vertical="center" wrapText="1"/>
    </xf>
    <xf numFmtId="0" fontId="8" fillId="45" borderId="59" xfId="0" applyNumberFormat="1" applyFont="1" applyFill="1" applyBorder="1" applyAlignment="1">
      <alignment horizontal="center" vertical="center" wrapText="1"/>
    </xf>
    <xf numFmtId="0" fontId="55" fillId="46" borderId="59" xfId="0" applyNumberFormat="1" applyFont="1" applyFill="1" applyBorder="1" applyAlignment="1">
      <alignment horizontal="center" vertical="center"/>
    </xf>
    <xf numFmtId="0" fontId="55" fillId="46" borderId="60" xfId="0" applyNumberFormat="1" applyFont="1" applyFill="1" applyBorder="1" applyAlignment="1">
      <alignment horizontal="center" vertical="center"/>
    </xf>
    <xf numFmtId="0" fontId="55" fillId="46" borderId="61" xfId="0" applyNumberFormat="1" applyFont="1" applyFill="1" applyBorder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3"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m]:ss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66" formatCode="m/d/yy"/>
    </dxf>
    <dxf>
      <numFmt numFmtId="167" formatCode="m/d/yy\ h:mm"/>
    </dxf>
    <dxf>
      <numFmt numFmtId="165" formatCode="[m]:ss"/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 hidden="1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50</xdr:row>
      <xdr:rowOff>241300</xdr:rowOff>
    </xdr:from>
    <xdr:to>
      <xdr:col>13</xdr:col>
      <xdr:colOff>139700</xdr:colOff>
      <xdr:row>50</xdr:row>
      <xdr:rowOff>939800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79400" y="135509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16</xdr:col>
      <xdr:colOff>88900</xdr:colOff>
      <xdr:row>50</xdr:row>
      <xdr:rowOff>196850</xdr:rowOff>
    </xdr:from>
    <xdr:to>
      <xdr:col>38</xdr:col>
      <xdr:colOff>25400</xdr:colOff>
      <xdr:row>50</xdr:row>
      <xdr:rowOff>1136650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76500" y="1350645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15</xdr:col>
      <xdr:colOff>50800</xdr:colOff>
      <xdr:row>50</xdr:row>
      <xdr:rowOff>298450</xdr:rowOff>
    </xdr:from>
    <xdr:to>
      <xdr:col>16</xdr:col>
      <xdr:colOff>93083</xdr:colOff>
      <xdr:row>50</xdr:row>
      <xdr:rowOff>472186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98700" y="1360805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41</xdr:col>
      <xdr:colOff>0</xdr:colOff>
      <xdr:row>0</xdr:row>
      <xdr:rowOff>0</xdr:rowOff>
    </xdr:from>
    <xdr:to>
      <xdr:col>53</xdr:col>
      <xdr:colOff>635000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4711700" y="0"/>
          <a:ext cx="21209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plein ecran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69" dataDxfId="68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7"/>
    <tableColumn id="2" xr3:uid="{0C1B8A30-A3B8-DA4D-B893-C4C99FF33E90}" name="nom" dataDxfId="66"/>
    <tableColumn id="3" xr3:uid="{8AE5AF32-0026-9B41-8B0B-16B9ED0F3727}" name="prenom" dataDxfId="65"/>
    <tableColumn id="6" xr3:uid="{D5D3A7D0-7C7D-684B-8AA7-DABBCC7051CF}" name="1ère ligne" dataDxfId="64"/>
    <tableColumn id="4" xr3:uid="{4CE41A86-7158-6B42-B932-A5275F10AB48}" name="prenom NOM" dataDxfId="63">
      <calculatedColumnFormula>LstEffectif[[#This Row],[prenom]] &amp; " " &amp; LstEffectif[[#This Row],[nom]]</calculatedColumnFormula>
    </tableColumn>
    <tableColumn id="5" xr3:uid="{EB017694-E6D2-7440-91BF-61113926AB7D}" name="NOM Prénom" dataDxfId="62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61" dataDxfId="60">
  <autoFilter ref="J1:J11" xr:uid="{037D6424-D1EC-894D-B963-D36ABCA682C4}"/>
  <tableColumns count="1">
    <tableColumn id="1" xr3:uid="{63806632-B9ED-294D-800A-F2FDB2EC48D2}" name="EQUIPES_A_AFFRONTER" dataDxfId="5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8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194" totalsRowShown="0">
  <autoFilter ref="A1:Q194" xr:uid="{274E98FB-BCE1-0347-AD79-C8025C407DEC}"/>
  <tableColumns count="17">
    <tableColumn id="1" xr3:uid="{1C6F1113-17EB-A449-86BF-30B1CE9CAC0A}" name="temps video" dataDxfId="72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71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70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14" totalsRowShown="0">
  <autoFilter ref="A2:J14" xr:uid="{1BC259CC-2467-644D-900B-02D4F95FCC56}"/>
  <tableColumns count="10">
    <tableColumn id="1" xr3:uid="{29E94664-85C6-8341-9568-C2C37D97888A}" name="Temps video" dataDxfId="57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40:J43" totalsRowShown="0">
  <autoFilter ref="A40:J43" xr:uid="{A1FE138B-7A57-FD4E-B0BC-4BF4203BE379}"/>
  <tableColumns count="10">
    <tableColumn id="1" xr3:uid="{9154875D-F6A2-FD43-A363-B5D480E2C8C9}" name="Temps video" dataDxfId="56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55"/>
    <tableColumn id="8" xr3:uid="{D9175B18-6528-4648-B15C-FF2CC25EEBE4}" name="Jeu 3/4" dataDxfId="54"/>
    <tableColumn id="9" xr3:uid="{CAE0CE17-6518-8346-8125-3B7CA02D88C1}" name="Jeu pied" dataDxfId="53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70" totalsRowShown="0" headerRowDxfId="52" dataDxfId="50" headerRowBorderDxfId="51" tableBorderDxfId="49" totalsRowBorderDxfId="48">
  <autoFilter ref="Q1:R70" xr:uid="{6D1F5F0A-5FD5-AC4E-A195-33A78A5E0E58}"/>
  <tableColumns count="2">
    <tableColumn id="1" xr3:uid="{8A0D5429-5616-B849-BD27-167A576FE99E}" name="Nom de cellule à créer" dataDxfId="47"/>
    <tableColumn id="2" xr3:uid="{19545507-672A-9F40-8818-E4C9060AA52B}" name="Libellé" dataDxfId="4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45" headerRowBorderDxfId="44" tableBorderDxfId="43" totalsRowBorderDxfId="42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41" headerRowBorderDxfId="40" tableBorderDxfId="39" totalsRowBorderDxfId="38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37" dataDxfId="36">
  <autoFilter ref="I14:I20" xr:uid="{CC940AF9-E81A-F746-8EAD-392809C3CFBE}"/>
  <tableColumns count="1">
    <tableColumn id="1" xr3:uid="{816CA1DF-3681-2948-A622-26353E2B9A97}" name="LISTE_LECTEUR_VIDEO" dataDxfId="3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34" dataDxfId="33">
  <autoFilter ref="C1:C4" xr:uid="{61FC7709-08E5-D048-A38B-441B18CF5D35}"/>
  <tableColumns count="1">
    <tableColumn id="1" xr3:uid="{C41B523D-40DA-AF48-A2C2-015B04960B0A}" name="LIEU_MATCH" dataDxfId="3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31" dataDxfId="30">
  <autoFilter ref="C6:C10" xr:uid="{86EA01CF-5567-6445-9906-AD2B60CA0A8A}"/>
  <tableColumns count="1">
    <tableColumn id="1" xr3:uid="{B57F8324-6F25-7B40-9B20-1BFDF9708631}" name="PHASE" dataDxfId="2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28" dataDxfId="27">
  <autoFilter ref="C12:C15" xr:uid="{DAA9B017-78F0-D447-B788-CF8333AEAC38}"/>
  <tableColumns count="1">
    <tableColumn id="1" xr3:uid="{C5E86C3D-762A-054E-B864-5A67DBB9A8CA}" name="RESULTAT" dataDxfId="2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25" dataDxfId="24">
  <autoFilter ref="C17:C21" xr:uid="{F661D9E2-619C-DA44-92C5-8A09E8E281AC}"/>
  <tableColumns count="1">
    <tableColumn id="1" xr3:uid="{ADD3AF05-089E-D149-9728-7C2A6F62FA22}" name="EQUIPE_NIV" dataDxfId="2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22" dataDxfId="20" headerRowBorderDxfId="21" tableBorderDxfId="19" totalsRowBorderDxfId="18">
  <autoFilter ref="K1:K25" xr:uid="{391966D0-8F83-3948-82BB-835638F7D3FE}"/>
  <tableColumns count="1">
    <tableColumn id="1" xr3:uid="{F45BF991-6668-F741-B07C-7905B99AC752}" name="LISTE_JOUEURS_JOURNAL" dataDxfId="1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16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H31" sqref="H31"/>
    </sheetView>
    <sheetView topLeftCell="B1" workbookViewId="1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407</v>
      </c>
      <c r="E1" s="96" t="s">
        <v>72</v>
      </c>
      <c r="F1" s="96" t="s">
        <v>112</v>
      </c>
      <c r="J1" t="s">
        <v>385</v>
      </c>
    </row>
    <row r="2" spans="1:10" ht="14">
      <c r="A2">
        <v>1</v>
      </c>
      <c r="B2" s="85" t="s">
        <v>268</v>
      </c>
      <c r="C2" s="85" t="s">
        <v>269</v>
      </c>
      <c r="D2" s="85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377</v>
      </c>
    </row>
    <row r="3" spans="1:10" ht="14">
      <c r="A3">
        <v>2</v>
      </c>
      <c r="B3" s="85" t="s">
        <v>268</v>
      </c>
      <c r="C3" s="85" t="s">
        <v>270</v>
      </c>
      <c r="D3" s="85" t="s">
        <v>409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378</v>
      </c>
    </row>
    <row r="4" spans="1:10" ht="14">
      <c r="A4">
        <v>3</v>
      </c>
      <c r="B4" s="85" t="s">
        <v>268</v>
      </c>
      <c r="C4" s="85" t="s">
        <v>73</v>
      </c>
      <c r="D4" s="85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379</v>
      </c>
    </row>
    <row r="5" spans="1:10" ht="14">
      <c r="A5">
        <v>4</v>
      </c>
      <c r="B5" s="85" t="s">
        <v>271</v>
      </c>
      <c r="C5" s="85" t="s">
        <v>272</v>
      </c>
      <c r="D5" s="85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380</v>
      </c>
    </row>
    <row r="6" spans="1:10" ht="14">
      <c r="A6">
        <v>5</v>
      </c>
      <c r="B6" s="85" t="s">
        <v>273</v>
      </c>
      <c r="C6" s="85" t="s">
        <v>274</v>
      </c>
      <c r="D6" s="85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381</v>
      </c>
    </row>
    <row r="7" spans="1:10" ht="14">
      <c r="A7">
        <v>68</v>
      </c>
      <c r="B7" s="85" t="s">
        <v>273</v>
      </c>
      <c r="C7" s="85" t="s">
        <v>411</v>
      </c>
      <c r="D7" s="85" t="s">
        <v>409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555</v>
      </c>
    </row>
    <row r="8" spans="1:10" ht="14">
      <c r="A8">
        <v>6</v>
      </c>
      <c r="B8" s="85" t="s">
        <v>275</v>
      </c>
      <c r="C8" s="85" t="s">
        <v>276</v>
      </c>
      <c r="D8" s="85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382</v>
      </c>
    </row>
    <row r="9" spans="1:10" ht="14">
      <c r="A9">
        <v>7</v>
      </c>
      <c r="B9" s="85" t="s">
        <v>277</v>
      </c>
      <c r="C9" s="85" t="s">
        <v>278</v>
      </c>
      <c r="D9" s="85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383</v>
      </c>
    </row>
    <row r="10" spans="1:10" ht="14">
      <c r="A10">
        <v>8</v>
      </c>
      <c r="B10" s="85" t="s">
        <v>279</v>
      </c>
      <c r="C10" s="85" t="s">
        <v>280</v>
      </c>
      <c r="D10" s="85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384</v>
      </c>
    </row>
    <row r="11" spans="1:10" ht="14">
      <c r="A11">
        <v>9</v>
      </c>
      <c r="B11" s="85" t="s">
        <v>281</v>
      </c>
      <c r="C11" s="85" t="s">
        <v>282</v>
      </c>
      <c r="D11" s="85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386</v>
      </c>
    </row>
    <row r="12" spans="1:10" ht="14">
      <c r="A12">
        <v>10</v>
      </c>
      <c r="B12" s="85" t="s">
        <v>283</v>
      </c>
      <c r="C12" s="85" t="s">
        <v>284</v>
      </c>
      <c r="D12" s="85" t="s">
        <v>409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5" t="s">
        <v>285</v>
      </c>
      <c r="C13" s="85" t="s">
        <v>286</v>
      </c>
      <c r="D13" s="85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5" t="s">
        <v>287</v>
      </c>
      <c r="C14" s="85" t="s">
        <v>288</v>
      </c>
      <c r="D14" s="85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5" t="s">
        <v>287</v>
      </c>
      <c r="C15" s="85" t="s">
        <v>288</v>
      </c>
      <c r="D15" s="85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5" t="s">
        <v>289</v>
      </c>
      <c r="C16" s="85" t="s">
        <v>290</v>
      </c>
      <c r="D16" s="85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5" t="s">
        <v>291</v>
      </c>
      <c r="C17" s="85" t="s">
        <v>292</v>
      </c>
      <c r="D17" s="85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5" t="s">
        <v>293</v>
      </c>
      <c r="C18" s="85" t="s">
        <v>294</v>
      </c>
      <c r="D18" s="85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5" t="s">
        <v>293</v>
      </c>
      <c r="C19" s="85" t="s">
        <v>295</v>
      </c>
      <c r="D19" s="85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5" t="s">
        <v>296</v>
      </c>
      <c r="C20" s="85" t="s">
        <v>297</v>
      </c>
      <c r="D20" s="85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5" t="s">
        <v>298</v>
      </c>
      <c r="C21" s="85" t="s">
        <v>299</v>
      </c>
      <c r="D21" s="85" t="s">
        <v>409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5" t="s">
        <v>300</v>
      </c>
      <c r="C22" s="85" t="s">
        <v>299</v>
      </c>
      <c r="D22" s="85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5" t="s">
        <v>301</v>
      </c>
      <c r="C23" s="85" t="s">
        <v>302</v>
      </c>
      <c r="D23" s="85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5" t="s">
        <v>303</v>
      </c>
      <c r="C24" s="85" t="s">
        <v>304</v>
      </c>
      <c r="D24" s="85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5" t="s">
        <v>305</v>
      </c>
      <c r="C25" s="85" t="s">
        <v>306</v>
      </c>
      <c r="D25" s="85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5" t="s">
        <v>305</v>
      </c>
      <c r="C26" s="85" t="s">
        <v>307</v>
      </c>
      <c r="D26" s="85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5" t="s">
        <v>308</v>
      </c>
      <c r="C27" s="85" t="s">
        <v>309</v>
      </c>
      <c r="D27" s="85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5" t="s">
        <v>310</v>
      </c>
      <c r="C28" s="85" t="s">
        <v>299</v>
      </c>
      <c r="D28" s="85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5" t="s">
        <v>311</v>
      </c>
      <c r="C29" s="85" t="s">
        <v>312</v>
      </c>
      <c r="D29" s="85" t="s">
        <v>409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5" t="s">
        <v>313</v>
      </c>
      <c r="C30" s="85" t="s">
        <v>73</v>
      </c>
      <c r="D30" s="85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5" t="s">
        <v>314</v>
      </c>
      <c r="C31" s="85" t="s">
        <v>315</v>
      </c>
      <c r="D31" s="85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5" t="s">
        <v>316</v>
      </c>
      <c r="C32" s="85" t="s">
        <v>317</v>
      </c>
      <c r="D32" s="85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5" t="s">
        <v>318</v>
      </c>
      <c r="C33" s="85" t="s">
        <v>319</v>
      </c>
      <c r="D33" s="85" t="s">
        <v>409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5" t="s">
        <v>320</v>
      </c>
      <c r="C34" s="85" t="s">
        <v>282</v>
      </c>
      <c r="D34" s="85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5" t="s">
        <v>321</v>
      </c>
      <c r="C35" s="85" t="s">
        <v>266</v>
      </c>
      <c r="D35" s="85" t="s">
        <v>409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5" t="s">
        <v>322</v>
      </c>
      <c r="C36" s="85" t="s">
        <v>323</v>
      </c>
      <c r="D36" s="85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5" t="s">
        <v>324</v>
      </c>
      <c r="C37" s="85" t="s">
        <v>325</v>
      </c>
      <c r="D37" s="85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5" t="s">
        <v>324</v>
      </c>
      <c r="C38" s="85" t="s">
        <v>326</v>
      </c>
      <c r="D38" s="85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5" t="s">
        <v>327</v>
      </c>
      <c r="C39" s="85" t="s">
        <v>284</v>
      </c>
      <c r="D39" s="85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5" t="s">
        <v>327</v>
      </c>
      <c r="C40" s="85" t="s">
        <v>302</v>
      </c>
      <c r="D40" s="85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5" t="s">
        <v>328</v>
      </c>
      <c r="C41" s="85" t="s">
        <v>297</v>
      </c>
      <c r="D41" s="85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5" t="s">
        <v>329</v>
      </c>
      <c r="C42" s="85" t="s">
        <v>330</v>
      </c>
      <c r="D42" s="85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5" t="s">
        <v>331</v>
      </c>
      <c r="C43" s="85" t="s">
        <v>274</v>
      </c>
      <c r="D43" s="85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5" t="s">
        <v>332</v>
      </c>
      <c r="C44" s="85" t="s">
        <v>333</v>
      </c>
      <c r="D44" s="85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5" t="s">
        <v>334</v>
      </c>
      <c r="C45" s="85" t="s">
        <v>292</v>
      </c>
      <c r="D45" s="85" t="s">
        <v>409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5" t="s">
        <v>335</v>
      </c>
      <c r="C46" s="85" t="s">
        <v>336</v>
      </c>
      <c r="D46" s="85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5" t="s">
        <v>337</v>
      </c>
      <c r="C47" s="85" t="s">
        <v>338</v>
      </c>
      <c r="D47" s="85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5" t="s">
        <v>339</v>
      </c>
      <c r="C48" s="85" t="s">
        <v>340</v>
      </c>
      <c r="D48" s="85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5" t="s">
        <v>341</v>
      </c>
      <c r="C49" s="85" t="s">
        <v>342</v>
      </c>
      <c r="D49" s="85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5" t="s">
        <v>343</v>
      </c>
      <c r="C50" s="85" t="s">
        <v>344</v>
      </c>
      <c r="D50" s="85" t="s">
        <v>409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5" t="s">
        <v>343</v>
      </c>
      <c r="C51" s="85" t="s">
        <v>345</v>
      </c>
      <c r="D51" s="85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5" t="s">
        <v>346</v>
      </c>
      <c r="C52" s="85" t="s">
        <v>347</v>
      </c>
      <c r="D52" s="85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5" t="s">
        <v>348</v>
      </c>
      <c r="C53" s="85" t="s">
        <v>349</v>
      </c>
      <c r="D53" s="85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5" t="s">
        <v>350</v>
      </c>
      <c r="C54" s="85" t="s">
        <v>323</v>
      </c>
      <c r="D54" s="85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5" t="s">
        <v>351</v>
      </c>
      <c r="C55" s="85" t="s">
        <v>352</v>
      </c>
      <c r="D55" s="85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5" t="s">
        <v>353</v>
      </c>
      <c r="C56" s="85" t="s">
        <v>297</v>
      </c>
      <c r="D56" s="85" t="s">
        <v>409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5" t="s">
        <v>354</v>
      </c>
      <c r="C57" s="85" t="s">
        <v>267</v>
      </c>
      <c r="D57" s="85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5" t="s">
        <v>355</v>
      </c>
      <c r="C58" s="85" t="s">
        <v>356</v>
      </c>
      <c r="D58" s="85" t="s">
        <v>409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5" t="s">
        <v>357</v>
      </c>
      <c r="C59" s="85" t="s">
        <v>235</v>
      </c>
      <c r="D59" s="85" t="s">
        <v>409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5" t="s">
        <v>358</v>
      </c>
      <c r="C60" s="85" t="s">
        <v>359</v>
      </c>
      <c r="D60" s="85" t="s">
        <v>409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5" t="s">
        <v>360</v>
      </c>
      <c r="C61" s="85" t="s">
        <v>361</v>
      </c>
      <c r="D61" s="85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5" t="s">
        <v>362</v>
      </c>
      <c r="C62" s="85" t="s">
        <v>363</v>
      </c>
      <c r="D62" s="85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5" t="s">
        <v>362</v>
      </c>
      <c r="C63" s="85" t="s">
        <v>295</v>
      </c>
      <c r="D63" s="85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5" t="s">
        <v>364</v>
      </c>
      <c r="C64" s="85" t="s">
        <v>365</v>
      </c>
      <c r="D64" s="85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5" t="s">
        <v>366</v>
      </c>
      <c r="C65" s="85" t="s">
        <v>270</v>
      </c>
      <c r="D65" s="85" t="s">
        <v>409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5" t="s">
        <v>507</v>
      </c>
      <c r="C66" s="85" t="s">
        <v>506</v>
      </c>
      <c r="D66" s="85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5" t="s">
        <v>367</v>
      </c>
      <c r="C67" s="85" t="s">
        <v>368</v>
      </c>
      <c r="D67" s="85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5" t="s">
        <v>369</v>
      </c>
      <c r="C68" s="85" t="s">
        <v>370</v>
      </c>
      <c r="D68" s="85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5" t="s">
        <v>371</v>
      </c>
      <c r="C69" s="85" t="s">
        <v>295</v>
      </c>
      <c r="D69" s="85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5" t="s">
        <v>372</v>
      </c>
      <c r="C70" s="85" t="s">
        <v>373</v>
      </c>
      <c r="D70" s="85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5" t="s">
        <v>374</v>
      </c>
      <c r="C71" s="85" t="s">
        <v>282</v>
      </c>
      <c r="D71" s="85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5" t="s">
        <v>375</v>
      </c>
      <c r="C72" s="85" t="s">
        <v>376</v>
      </c>
      <c r="D72" s="85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workbookViewId="0">
      <selection activeCell="D19" sqref="D19"/>
    </sheetView>
    <sheetView workbookViewId="1"/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5" width="10.83203125" style="3"/>
  </cols>
  <sheetData>
    <row r="1" spans="1:8" s="3" customFormat="1" ht="14" thickBot="1">
      <c r="A1" s="63"/>
      <c r="D1" s="63"/>
    </row>
    <row r="2" spans="1:8" ht="19" customHeight="1">
      <c r="B2" s="169" t="s">
        <v>200</v>
      </c>
      <c r="C2" s="169"/>
      <c r="E2" s="170" t="str">
        <f>"FEUILLE COMPO "&amp;MATCH_NOUS</f>
        <v>FEUILLE COMPO MXV</v>
      </c>
      <c r="F2" s="171"/>
      <c r="G2" s="171"/>
      <c r="H2" s="172"/>
    </row>
    <row r="3" spans="1:8" ht="19" customHeight="1">
      <c r="B3" s="169"/>
      <c r="C3" s="169"/>
      <c r="E3" s="173"/>
      <c r="F3" s="174"/>
      <c r="G3" s="174"/>
      <c r="H3" s="175"/>
    </row>
    <row r="4" spans="1:8" ht="19" customHeight="1" thickBot="1">
      <c r="B4" s="169"/>
      <c r="C4" s="169"/>
      <c r="E4" s="176"/>
      <c r="F4" s="177"/>
      <c r="G4" s="177"/>
      <c r="H4" s="178"/>
    </row>
    <row r="5" spans="1:8" s="3" customFormat="1">
      <c r="A5" s="63"/>
      <c r="D5" s="63"/>
    </row>
    <row r="6" spans="1:8">
      <c r="B6" s="42" t="s">
        <v>180</v>
      </c>
      <c r="C6" s="43" t="s">
        <v>387</v>
      </c>
      <c r="E6" t="s">
        <v>67</v>
      </c>
      <c r="F6" t="s">
        <v>68</v>
      </c>
      <c r="G6" t="s">
        <v>151</v>
      </c>
      <c r="H6" t="s">
        <v>150</v>
      </c>
    </row>
    <row r="7" spans="1:8">
      <c r="B7" s="3"/>
      <c r="C7" s="3"/>
      <c r="E7">
        <v>1</v>
      </c>
      <c r="F7" t="s">
        <v>480</v>
      </c>
      <c r="G7" t="s">
        <v>153</v>
      </c>
    </row>
    <row r="8" spans="1:8">
      <c r="B8" s="42" t="s">
        <v>208</v>
      </c>
      <c r="C8" s="43">
        <v>46284</v>
      </c>
      <c r="E8">
        <v>2</v>
      </c>
      <c r="F8" t="s">
        <v>481</v>
      </c>
      <c r="G8" t="s">
        <v>153</v>
      </c>
    </row>
    <row r="9" spans="1:8">
      <c r="B9" s="3"/>
      <c r="C9" s="3"/>
      <c r="E9">
        <v>3</v>
      </c>
      <c r="F9" t="s">
        <v>482</v>
      </c>
      <c r="G9" t="s">
        <v>153</v>
      </c>
    </row>
    <row r="10" spans="1:8">
      <c r="B10" s="42" t="s">
        <v>504</v>
      </c>
      <c r="C10" s="43" t="s">
        <v>505</v>
      </c>
      <c r="E10">
        <v>4</v>
      </c>
      <c r="F10" t="s">
        <v>483</v>
      </c>
      <c r="G10" t="s">
        <v>153</v>
      </c>
    </row>
    <row r="11" spans="1:8">
      <c r="B11" s="3"/>
      <c r="C11" s="3"/>
      <c r="E11">
        <v>5</v>
      </c>
      <c r="F11" t="s">
        <v>584</v>
      </c>
      <c r="G11" t="s">
        <v>153</v>
      </c>
    </row>
    <row r="12" spans="1:8">
      <c r="B12" s="42" t="s">
        <v>181</v>
      </c>
      <c r="C12" s="43" t="s">
        <v>382</v>
      </c>
      <c r="E12">
        <v>6</v>
      </c>
      <c r="F12" t="s">
        <v>479</v>
      </c>
      <c r="G12" t="s">
        <v>153</v>
      </c>
    </row>
    <row r="13" spans="1:8">
      <c r="B13" s="3"/>
      <c r="C13" s="3"/>
      <c r="E13">
        <v>7</v>
      </c>
      <c r="F13" t="s">
        <v>484</v>
      </c>
      <c r="G13" t="s">
        <v>153</v>
      </c>
    </row>
    <row r="14" spans="1:8">
      <c r="B14" s="42" t="s">
        <v>207</v>
      </c>
      <c r="C14" s="43" t="s">
        <v>177</v>
      </c>
      <c r="E14">
        <v>8</v>
      </c>
      <c r="F14" t="s">
        <v>585</v>
      </c>
      <c r="G14" t="s">
        <v>153</v>
      </c>
    </row>
    <row r="15" spans="1:8">
      <c r="B15" s="3"/>
      <c r="C15" s="3"/>
      <c r="E15" s="35">
        <v>9</v>
      </c>
      <c r="F15" s="35" t="s">
        <v>485</v>
      </c>
      <c r="G15" s="35" t="s">
        <v>169</v>
      </c>
      <c r="H15" s="35"/>
    </row>
    <row r="16" spans="1:8">
      <c r="B16" s="42" t="s">
        <v>182</v>
      </c>
      <c r="C16" s="43" t="s">
        <v>178</v>
      </c>
      <c r="E16">
        <v>10</v>
      </c>
      <c r="F16" t="s">
        <v>486</v>
      </c>
      <c r="G16" t="s">
        <v>169</v>
      </c>
    </row>
    <row r="17" spans="1:8">
      <c r="B17" s="3"/>
      <c r="C17" s="64"/>
      <c r="E17">
        <v>11</v>
      </c>
      <c r="F17" t="s">
        <v>487</v>
      </c>
      <c r="G17" t="s">
        <v>169</v>
      </c>
    </row>
    <row r="18" spans="1:8">
      <c r="B18" s="42" t="s">
        <v>183</v>
      </c>
      <c r="C18" s="44">
        <v>1</v>
      </c>
      <c r="E18">
        <v>12</v>
      </c>
      <c r="F18" t="s">
        <v>488</v>
      </c>
      <c r="G18" t="s">
        <v>169</v>
      </c>
    </row>
    <row r="19" spans="1:8">
      <c r="B19" s="3"/>
      <c r="C19" s="3"/>
      <c r="E19">
        <v>13</v>
      </c>
      <c r="F19" t="s">
        <v>489</v>
      </c>
      <c r="G19" t="s">
        <v>169</v>
      </c>
    </row>
    <row r="20" spans="1:8">
      <c r="B20" s="42" t="s">
        <v>184</v>
      </c>
      <c r="C20" s="43" t="s">
        <v>193</v>
      </c>
      <c r="E20">
        <v>14</v>
      </c>
      <c r="F20" t="s">
        <v>490</v>
      </c>
      <c r="G20" t="s">
        <v>169</v>
      </c>
    </row>
    <row r="21" spans="1:8">
      <c r="B21" s="3"/>
      <c r="C21" s="64"/>
      <c r="E21" s="30">
        <v>15</v>
      </c>
      <c r="F21" s="30" t="s">
        <v>491</v>
      </c>
      <c r="G21" s="30" t="s">
        <v>169</v>
      </c>
      <c r="H21" s="30"/>
    </row>
    <row r="22" spans="1:8">
      <c r="B22" s="42" t="s">
        <v>206</v>
      </c>
      <c r="C22" s="43" t="s">
        <v>202</v>
      </c>
      <c r="E22">
        <v>16</v>
      </c>
      <c r="F22" t="s">
        <v>492</v>
      </c>
      <c r="G22" t="s">
        <v>153</v>
      </c>
    </row>
    <row r="23" spans="1:8">
      <c r="B23" s="3"/>
      <c r="C23" s="3"/>
      <c r="E23">
        <v>17</v>
      </c>
      <c r="F23" t="s">
        <v>586</v>
      </c>
      <c r="G23" t="s">
        <v>153</v>
      </c>
    </row>
    <row r="24" spans="1:8">
      <c r="B24" s="3"/>
      <c r="C24" s="3"/>
      <c r="E24">
        <v>18</v>
      </c>
      <c r="F24" t="s">
        <v>508</v>
      </c>
      <c r="G24" t="s">
        <v>153</v>
      </c>
    </row>
    <row r="25" spans="1:8">
      <c r="B25" s="3"/>
      <c r="C25" s="3"/>
      <c r="E25">
        <v>19</v>
      </c>
      <c r="F25" t="s">
        <v>587</v>
      </c>
      <c r="G25" t="s">
        <v>153</v>
      </c>
    </row>
    <row r="26" spans="1:8">
      <c r="B26" s="3"/>
      <c r="C26" s="3"/>
      <c r="E26">
        <v>20</v>
      </c>
      <c r="F26" t="s">
        <v>494</v>
      </c>
      <c r="G26" t="s">
        <v>169</v>
      </c>
    </row>
    <row r="27" spans="1:8">
      <c r="B27" s="3"/>
      <c r="C27" s="3"/>
      <c r="E27">
        <v>21</v>
      </c>
      <c r="F27" t="s">
        <v>493</v>
      </c>
      <c r="G27" t="s">
        <v>169</v>
      </c>
    </row>
    <row r="28" spans="1:8">
      <c r="B28" s="3"/>
      <c r="C28" s="3"/>
      <c r="E28">
        <v>22</v>
      </c>
      <c r="F28" t="s">
        <v>509</v>
      </c>
      <c r="G28" t="s">
        <v>169</v>
      </c>
    </row>
    <row r="29" spans="1:8" s="3" customFormat="1" hidden="1">
      <c r="A29" s="63"/>
      <c r="D29" s="63"/>
    </row>
    <row r="30" spans="1:8" s="3" customFormat="1">
      <c r="A30" s="63"/>
      <c r="D30" s="63"/>
    </row>
    <row r="31" spans="1:8" s="3" customFormat="1">
      <c r="A31" s="63"/>
      <c r="D31" s="63"/>
    </row>
    <row r="32" spans="1:8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7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185</v>
      </c>
      <c r="C59" s="3" t="s">
        <v>583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zoomScale="90" zoomScaleNormal="90" workbookViewId="0"/>
    <sheetView workbookViewId="1"/>
  </sheetViews>
  <sheetFormatPr baseColWidth="10" defaultColWidth="10.83203125" defaultRowHeight="13" customHeight="1"/>
  <cols>
    <col min="1" max="7" width="1.83203125" customWidth="1"/>
    <col min="8" max="8" width="3" customWidth="1"/>
    <col min="9" max="13" width="1.83203125" customWidth="1"/>
    <col min="14" max="14" width="2.6640625" customWidth="1"/>
    <col min="15" max="16" width="1.83203125" customWidth="1"/>
    <col min="17" max="25" width="1.83203125" style="3" customWidth="1"/>
    <col min="26" max="26" width="2.33203125" style="3" customWidth="1"/>
    <col min="27" max="31" width="1.83203125" style="3" customWidth="1"/>
    <col min="32" max="32" width="2.83203125" style="3" customWidth="1"/>
    <col min="33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37"/>
      <c r="B1" s="189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1 : MXV / US Portet</v>
      </c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0"/>
      <c r="X1" s="190"/>
      <c r="Y1" s="190"/>
      <c r="Z1" s="190"/>
      <c r="AA1" s="190"/>
      <c r="AB1" s="190"/>
      <c r="AC1" s="190"/>
      <c r="AD1" s="190"/>
      <c r="AE1" s="190"/>
      <c r="AF1" s="190"/>
      <c r="AG1" s="190"/>
      <c r="AH1" s="190"/>
      <c r="AI1" s="190"/>
      <c r="AJ1" s="190"/>
      <c r="AK1" s="190"/>
      <c r="AL1" s="190"/>
      <c r="AM1" s="190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7"/>
      <c r="BA1" s="137"/>
      <c r="BB1" s="137"/>
      <c r="BC1" s="137"/>
      <c r="BD1" s="137"/>
      <c r="BE1" s="137"/>
      <c r="BF1" s="137"/>
      <c r="BG1" s="137"/>
      <c r="BH1" s="137"/>
      <c r="BI1" s="137"/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7"/>
      <c r="CF1" s="137"/>
      <c r="CG1" s="137"/>
      <c r="CH1" s="137"/>
      <c r="CI1" s="137"/>
      <c r="CJ1" s="137"/>
    </row>
    <row r="2" spans="1:88" ht="10" customHeight="1" thickBot="1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AS2" s="137"/>
      <c r="AT2" s="137"/>
      <c r="AU2" s="137"/>
      <c r="AV2" s="137"/>
      <c r="AW2" s="137"/>
      <c r="AX2" s="137"/>
      <c r="AY2" s="137"/>
      <c r="AZ2" s="137"/>
      <c r="BA2" s="137"/>
      <c r="BB2" s="137"/>
      <c r="BC2" s="137"/>
      <c r="BD2" s="137"/>
      <c r="BE2" s="137"/>
      <c r="BF2" s="137"/>
      <c r="BG2" s="137"/>
      <c r="BH2" s="137"/>
      <c r="BI2" s="137"/>
      <c r="BJ2" s="137"/>
      <c r="BK2" s="137"/>
      <c r="BL2" s="137"/>
      <c r="BM2" s="137"/>
      <c r="BN2" s="137"/>
      <c r="BO2" s="137"/>
      <c r="BP2" s="137"/>
      <c r="BQ2" s="137"/>
      <c r="BR2" s="137"/>
      <c r="BS2" s="137"/>
      <c r="BT2" s="137"/>
      <c r="BU2" s="137"/>
      <c r="BV2" s="137"/>
      <c r="BW2" s="137"/>
      <c r="BX2" s="137"/>
      <c r="BY2" s="137"/>
      <c r="BZ2" s="137"/>
      <c r="CA2" s="137"/>
      <c r="CB2" s="137"/>
      <c r="CC2" s="137"/>
      <c r="CD2" s="137"/>
      <c r="CE2" s="137"/>
      <c r="CF2" s="137"/>
      <c r="CG2" s="137"/>
      <c r="CH2" s="137"/>
      <c r="CI2" s="137"/>
      <c r="CJ2" s="137"/>
    </row>
    <row r="3" spans="1:88" ht="10" customHeight="1">
      <c r="A3" s="137"/>
      <c r="B3" s="139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1"/>
      <c r="AN3" s="137"/>
      <c r="AO3" s="137"/>
      <c r="AP3" s="137"/>
      <c r="AQ3" s="137"/>
      <c r="AR3" s="137"/>
      <c r="AS3" s="137"/>
      <c r="AT3" s="137"/>
      <c r="AU3" s="137"/>
      <c r="AV3" s="137"/>
      <c r="AW3" s="137"/>
      <c r="AX3" s="137"/>
      <c r="AY3" s="137"/>
      <c r="AZ3" s="137"/>
      <c r="BA3" s="137"/>
      <c r="BB3" s="137"/>
      <c r="BC3" s="137"/>
      <c r="BD3" s="137"/>
      <c r="BE3" s="137"/>
      <c r="BF3" s="137"/>
      <c r="BG3" s="137"/>
      <c r="BH3" s="137"/>
      <c r="BI3" s="137"/>
      <c r="BJ3" s="137"/>
      <c r="BK3" s="137"/>
      <c r="BL3" s="137"/>
      <c r="BM3" s="137"/>
      <c r="BN3" s="137"/>
      <c r="BO3" s="137"/>
      <c r="BP3" s="137"/>
      <c r="BQ3" s="137"/>
      <c r="BR3" s="137"/>
      <c r="BS3" s="137"/>
      <c r="BT3" s="137"/>
      <c r="BU3" s="137"/>
      <c r="BV3" s="137"/>
      <c r="BW3" s="137"/>
      <c r="BX3" s="137"/>
      <c r="BY3" s="137"/>
      <c r="BZ3" s="137"/>
      <c r="CA3" s="137"/>
      <c r="CB3" s="137"/>
      <c r="CC3" s="137"/>
      <c r="CD3" s="137"/>
      <c r="CE3" s="137"/>
      <c r="CF3" s="137"/>
      <c r="CG3" s="137"/>
      <c r="CH3" s="137"/>
      <c r="CI3" s="137"/>
      <c r="CJ3" s="137"/>
    </row>
    <row r="4" spans="1:88" ht="42" customHeight="1">
      <c r="A4" s="137"/>
      <c r="B4" s="138"/>
      <c r="C4" s="185" t="s">
        <v>124</v>
      </c>
      <c r="D4" s="180"/>
      <c r="E4" s="180"/>
      <c r="F4" s="180"/>
      <c r="G4" s="180"/>
      <c r="H4" s="180"/>
      <c r="I4" s="137"/>
      <c r="J4" s="260" t="s">
        <v>39</v>
      </c>
      <c r="K4" s="261"/>
      <c r="L4" s="261"/>
      <c r="M4" s="261"/>
      <c r="N4" s="262"/>
      <c r="O4" s="137"/>
      <c r="P4" s="293" t="s">
        <v>55</v>
      </c>
      <c r="Q4" s="294"/>
      <c r="R4" s="294"/>
      <c r="S4" s="294"/>
      <c r="T4" s="295"/>
      <c r="U4" s="137"/>
      <c r="V4" s="137"/>
      <c r="W4" s="137"/>
      <c r="X4" s="137"/>
      <c r="Y4" s="137"/>
      <c r="Z4" s="137"/>
      <c r="AA4" s="137"/>
      <c r="AB4" s="293" t="s">
        <v>43</v>
      </c>
      <c r="AC4" s="294"/>
      <c r="AD4" s="294"/>
      <c r="AE4" s="294"/>
      <c r="AF4" s="295"/>
      <c r="AG4" s="137"/>
      <c r="AH4" s="263" t="s">
        <v>44</v>
      </c>
      <c r="AI4" s="264"/>
      <c r="AJ4" s="264"/>
      <c r="AK4" s="264"/>
      <c r="AL4" s="265"/>
      <c r="AM4" s="142"/>
      <c r="AN4" s="137"/>
      <c r="AO4" s="137"/>
      <c r="AP4" s="137"/>
      <c r="AQ4" s="137"/>
      <c r="AR4" s="137"/>
      <c r="AS4" s="137"/>
      <c r="AT4" s="137"/>
      <c r="AU4" s="137"/>
      <c r="AV4" s="137"/>
      <c r="AW4" s="137"/>
      <c r="AX4" s="137"/>
      <c r="AY4" s="137"/>
      <c r="AZ4" s="137"/>
      <c r="BA4" s="137"/>
      <c r="BB4" s="137"/>
      <c r="BC4" s="137"/>
      <c r="BD4" s="137"/>
      <c r="BE4" s="137"/>
      <c r="BF4" s="137"/>
      <c r="BG4" s="137"/>
      <c r="BH4" s="137"/>
      <c r="BI4" s="137"/>
      <c r="BJ4" s="137"/>
      <c r="BK4" s="137"/>
      <c r="BL4" s="137"/>
      <c r="BM4" s="137"/>
      <c r="BN4" s="137"/>
      <c r="BO4" s="137"/>
      <c r="BP4" s="137"/>
      <c r="BQ4" s="137"/>
      <c r="BR4" s="137"/>
      <c r="BS4" s="137"/>
      <c r="BT4" s="137"/>
      <c r="BU4" s="137"/>
      <c r="BV4" s="137"/>
      <c r="BW4" s="137"/>
      <c r="BX4" s="137"/>
      <c r="BY4" s="137"/>
      <c r="BZ4" s="137"/>
      <c r="CA4" s="137"/>
      <c r="CB4" s="137"/>
      <c r="CC4" s="137"/>
      <c r="CD4" s="137"/>
      <c r="CE4" s="137"/>
      <c r="CF4" s="137"/>
      <c r="CG4" s="137"/>
      <c r="CH4" s="137"/>
      <c r="CI4" s="137"/>
      <c r="CJ4" s="137"/>
    </row>
    <row r="5" spans="1:88" ht="10" customHeight="1" thickBot="1">
      <c r="A5" s="137"/>
      <c r="B5" s="143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5"/>
      <c r="AN5" s="137"/>
      <c r="AO5" s="137"/>
      <c r="AP5" s="137"/>
      <c r="AQ5" s="137"/>
      <c r="AR5" s="137"/>
      <c r="AS5" s="137"/>
      <c r="AT5" s="137"/>
      <c r="AU5" s="137"/>
      <c r="AV5" s="137"/>
      <c r="AW5" s="137"/>
      <c r="AX5" s="137"/>
      <c r="AY5" s="137"/>
      <c r="AZ5" s="137"/>
      <c r="BA5" s="137"/>
      <c r="BB5" s="137"/>
      <c r="BC5" s="137"/>
      <c r="BD5" s="137"/>
      <c r="BE5" s="137"/>
      <c r="BF5" s="137"/>
      <c r="BG5" s="137"/>
      <c r="BH5" s="137"/>
      <c r="BI5" s="137"/>
      <c r="BJ5" s="137"/>
      <c r="BK5" s="137"/>
      <c r="BL5" s="137"/>
      <c r="BM5" s="137"/>
      <c r="BN5" s="137"/>
      <c r="BO5" s="137"/>
      <c r="BP5" s="137"/>
      <c r="BQ5" s="137"/>
      <c r="BR5" s="137"/>
      <c r="BS5" s="137"/>
      <c r="BT5" s="137"/>
      <c r="BU5" s="137"/>
      <c r="BV5" s="137"/>
      <c r="BW5" s="137"/>
      <c r="BX5" s="137"/>
      <c r="BY5" s="137"/>
      <c r="BZ5" s="137"/>
      <c r="CA5" s="137"/>
      <c r="CB5" s="137"/>
      <c r="CC5" s="137"/>
      <c r="CD5" s="137"/>
      <c r="CE5" s="137"/>
      <c r="CF5" s="137"/>
      <c r="CG5" s="137"/>
      <c r="CH5" s="137"/>
      <c r="CI5" s="137"/>
      <c r="CJ5" s="137"/>
    </row>
    <row r="6" spans="1:88" ht="10" customHeight="1" thickBot="1">
      <c r="A6" s="137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137"/>
      <c r="AY6" s="137"/>
      <c r="AZ6" s="137"/>
      <c r="BA6" s="137"/>
      <c r="BB6" s="137"/>
      <c r="BC6" s="137"/>
      <c r="BD6" s="137"/>
      <c r="BE6" s="137"/>
      <c r="BF6" s="137"/>
      <c r="BG6" s="137"/>
      <c r="BH6" s="137"/>
      <c r="BI6" s="137"/>
      <c r="BJ6" s="137"/>
      <c r="BK6" s="137"/>
      <c r="BL6" s="137"/>
      <c r="BM6" s="137"/>
      <c r="BN6" s="137"/>
      <c r="BO6" s="137"/>
      <c r="BP6" s="137"/>
      <c r="BQ6" s="137"/>
      <c r="BR6" s="137"/>
      <c r="BS6" s="137"/>
      <c r="BT6" s="137"/>
      <c r="BU6" s="137"/>
      <c r="BV6" s="137"/>
      <c r="BW6" s="137"/>
      <c r="BX6" s="137"/>
      <c r="BY6" s="137"/>
      <c r="BZ6" s="137"/>
      <c r="CA6" s="137"/>
      <c r="CB6" s="137"/>
      <c r="CC6" s="137"/>
      <c r="CD6" s="137"/>
      <c r="CE6" s="137"/>
      <c r="CF6" s="137"/>
      <c r="CG6" s="137"/>
      <c r="CH6" s="137"/>
      <c r="CI6" s="137"/>
      <c r="CJ6" s="137"/>
    </row>
    <row r="7" spans="1:88" ht="10" customHeight="1">
      <c r="A7" s="137"/>
      <c r="B7" s="139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1"/>
      <c r="AN7" s="137"/>
      <c r="AO7" s="137"/>
      <c r="AP7" s="137"/>
      <c r="AQ7" s="137"/>
      <c r="AR7" s="137"/>
      <c r="AS7" s="137"/>
      <c r="AT7" s="137"/>
      <c r="AU7" s="137"/>
      <c r="AV7" s="137"/>
      <c r="AW7" s="137"/>
      <c r="AX7" s="137"/>
      <c r="AY7" s="137"/>
      <c r="AZ7" s="137"/>
      <c r="BA7" s="137"/>
      <c r="BB7" s="137"/>
      <c r="BC7" s="137"/>
      <c r="BD7" s="137"/>
      <c r="BE7" s="137"/>
      <c r="BF7" s="137"/>
      <c r="BG7" s="137"/>
      <c r="BH7" s="137"/>
      <c r="BI7" s="137"/>
      <c r="BJ7" s="137"/>
      <c r="BK7" s="137"/>
      <c r="BL7" s="137"/>
      <c r="BM7" s="137"/>
      <c r="BN7" s="137"/>
      <c r="BO7" s="137"/>
      <c r="BP7" s="137"/>
      <c r="BQ7" s="137"/>
      <c r="BR7" s="137"/>
      <c r="BS7" s="137"/>
      <c r="BT7" s="137"/>
      <c r="BU7" s="137"/>
      <c r="BV7" s="137"/>
      <c r="BW7" s="137"/>
      <c r="BX7" s="137"/>
      <c r="BY7" s="137"/>
      <c r="BZ7" s="137"/>
      <c r="CA7" s="137"/>
      <c r="CB7" s="137"/>
      <c r="CC7" s="137"/>
      <c r="CD7" s="137"/>
      <c r="CE7" s="137"/>
      <c r="CF7" s="137"/>
      <c r="CG7" s="137"/>
      <c r="CH7" s="137"/>
      <c r="CI7" s="137"/>
      <c r="CJ7" s="137"/>
    </row>
    <row r="8" spans="1:88" ht="26" customHeight="1">
      <c r="A8" s="137"/>
      <c r="B8" s="138"/>
      <c r="C8" s="181" t="s">
        <v>242</v>
      </c>
      <c r="D8" s="180"/>
      <c r="E8" s="180"/>
      <c r="F8" s="180"/>
      <c r="G8" s="180"/>
      <c r="H8" s="180"/>
      <c r="I8" s="137"/>
      <c r="J8" s="278"/>
      <c r="K8" s="279"/>
      <c r="L8" s="279"/>
      <c r="M8" s="279"/>
      <c r="N8" s="280"/>
      <c r="O8" s="137"/>
      <c r="P8" s="281"/>
      <c r="Q8" s="282"/>
      <c r="R8" s="282"/>
      <c r="S8" s="282"/>
      <c r="T8" s="283"/>
      <c r="U8" s="137"/>
      <c r="V8" s="284"/>
      <c r="W8" s="285"/>
      <c r="X8" s="285"/>
      <c r="Y8" s="285"/>
      <c r="Z8" s="286"/>
      <c r="AA8" s="137"/>
      <c r="AB8" s="287"/>
      <c r="AC8" s="288"/>
      <c r="AD8" s="288"/>
      <c r="AE8" s="288"/>
      <c r="AF8" s="289"/>
      <c r="AG8" s="137"/>
      <c r="AH8" s="272" t="s">
        <v>569</v>
      </c>
      <c r="AI8" s="273"/>
      <c r="AJ8" s="273"/>
      <c r="AK8" s="273"/>
      <c r="AL8" s="274"/>
      <c r="AM8" s="142"/>
      <c r="AN8" s="137"/>
      <c r="AO8" s="137"/>
      <c r="AP8" s="137"/>
      <c r="AQ8" s="137"/>
      <c r="AR8" s="137"/>
      <c r="AS8" s="137"/>
      <c r="AT8" s="137"/>
      <c r="AU8" s="137"/>
      <c r="AV8" s="137"/>
      <c r="AW8" s="137"/>
      <c r="AX8" s="137"/>
      <c r="AY8" s="137"/>
      <c r="AZ8" s="137"/>
      <c r="BA8" s="137"/>
      <c r="BB8" s="137"/>
      <c r="BC8" s="137"/>
      <c r="BD8" s="137"/>
      <c r="BE8" s="137"/>
      <c r="BF8" s="137"/>
      <c r="BG8" s="137"/>
      <c r="BH8" s="137"/>
      <c r="BI8" s="137"/>
      <c r="BJ8" s="137"/>
      <c r="BK8" s="137"/>
      <c r="BL8" s="137"/>
      <c r="BM8" s="137"/>
      <c r="BN8" s="137"/>
      <c r="BO8" s="137"/>
      <c r="BP8" s="137"/>
      <c r="BQ8" s="137"/>
      <c r="BR8" s="137"/>
      <c r="BS8" s="137"/>
      <c r="BT8" s="137"/>
      <c r="BU8" s="137"/>
      <c r="BV8" s="137"/>
      <c r="BW8" s="137"/>
      <c r="BX8" s="137"/>
      <c r="BY8" s="137"/>
      <c r="BZ8" s="137"/>
      <c r="CA8" s="137"/>
      <c r="CB8" s="137"/>
      <c r="CC8" s="137"/>
      <c r="CD8" s="137"/>
      <c r="CE8" s="137"/>
      <c r="CF8" s="137"/>
      <c r="CG8" s="137"/>
      <c r="CH8" s="137"/>
      <c r="CI8" s="137"/>
      <c r="CJ8" s="137"/>
    </row>
    <row r="9" spans="1:88" ht="10" customHeight="1" thickBot="1">
      <c r="A9" s="137"/>
      <c r="B9" s="143"/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5"/>
      <c r="AN9" s="137"/>
      <c r="AO9" s="137"/>
      <c r="AP9" s="137"/>
      <c r="AQ9" s="137"/>
      <c r="AR9" s="137"/>
      <c r="AS9" s="137"/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7"/>
      <c r="BE9" s="137"/>
      <c r="BF9" s="137"/>
      <c r="BG9" s="137"/>
      <c r="BH9" s="137"/>
      <c r="BI9" s="137"/>
      <c r="BJ9" s="137"/>
      <c r="BK9" s="137"/>
      <c r="BL9" s="137"/>
      <c r="BM9" s="137"/>
      <c r="BN9" s="137"/>
      <c r="BO9" s="137"/>
      <c r="BP9" s="137"/>
      <c r="BQ9" s="137"/>
      <c r="BR9" s="137"/>
      <c r="BS9" s="137"/>
      <c r="BT9" s="137"/>
      <c r="BU9" s="137"/>
      <c r="BV9" s="137"/>
      <c r="BW9" s="137"/>
      <c r="BX9" s="137"/>
      <c r="BY9" s="137"/>
      <c r="BZ9" s="137"/>
      <c r="CA9" s="137"/>
      <c r="CB9" s="137"/>
      <c r="CC9" s="137"/>
      <c r="CD9" s="137"/>
      <c r="CE9" s="137"/>
      <c r="CF9" s="137"/>
      <c r="CG9" s="137"/>
      <c r="CH9" s="137"/>
      <c r="CI9" s="137"/>
      <c r="CJ9" s="137"/>
    </row>
    <row r="10" spans="1:88" ht="10" customHeight="1" thickBot="1">
      <c r="A10" s="137"/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37"/>
      <c r="T10" s="137"/>
      <c r="U10" s="137"/>
      <c r="V10" s="137"/>
      <c r="W10" s="137"/>
      <c r="X10" s="137"/>
      <c r="Y10" s="137"/>
      <c r="Z10" s="137"/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37"/>
      <c r="AL10" s="137"/>
      <c r="AM10" s="137"/>
      <c r="AN10" s="137"/>
      <c r="AO10" s="137"/>
      <c r="AP10" s="137"/>
      <c r="AQ10" s="137"/>
      <c r="AR10" s="137"/>
      <c r="AS10" s="137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7"/>
      <c r="BE10" s="137"/>
      <c r="BF10" s="137"/>
      <c r="BG10" s="137"/>
      <c r="BH10" s="137"/>
      <c r="BI10" s="137"/>
      <c r="BJ10" s="137"/>
      <c r="BK10" s="137"/>
      <c r="BL10" s="137"/>
      <c r="BM10" s="137"/>
      <c r="BN10" s="137"/>
      <c r="BO10" s="137"/>
      <c r="BP10" s="137"/>
      <c r="BQ10" s="137"/>
      <c r="BR10" s="137"/>
      <c r="BS10" s="137"/>
      <c r="BT10" s="137"/>
      <c r="BU10" s="137"/>
      <c r="BV10" s="137"/>
      <c r="BW10" s="137"/>
      <c r="BX10" s="137"/>
      <c r="BY10" s="137"/>
      <c r="BZ10" s="137"/>
      <c r="CA10" s="137"/>
      <c r="CB10" s="137"/>
      <c r="CC10" s="137"/>
      <c r="CD10" s="137"/>
      <c r="CE10" s="137"/>
      <c r="CF10" s="137"/>
      <c r="CG10" s="137"/>
      <c r="CH10" s="137"/>
      <c r="CI10" s="137"/>
      <c r="CJ10" s="137"/>
    </row>
    <row r="11" spans="1:88" ht="10" customHeight="1">
      <c r="A11" s="137"/>
      <c r="B11" s="139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1"/>
      <c r="AN11" s="137"/>
      <c r="AO11" s="137"/>
      <c r="AP11" s="137"/>
      <c r="AQ11" s="137"/>
      <c r="AR11" s="137"/>
      <c r="AS11" s="137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7"/>
      <c r="BE11" s="137"/>
      <c r="BF11" s="137"/>
      <c r="BG11" s="137"/>
      <c r="BH11" s="137"/>
      <c r="BI11" s="137"/>
      <c r="BJ11" s="137"/>
      <c r="BK11" s="137"/>
      <c r="BL11" s="137"/>
      <c r="BM11" s="137"/>
      <c r="BN11" s="137"/>
      <c r="BO11" s="137"/>
      <c r="BP11" s="137"/>
      <c r="BQ11" s="137"/>
      <c r="BR11" s="137"/>
      <c r="BS11" s="137"/>
      <c r="BT11" s="137"/>
      <c r="BU11" s="137"/>
      <c r="BV11" s="137"/>
      <c r="BW11" s="137"/>
      <c r="BX11" s="137"/>
      <c r="BY11" s="137"/>
      <c r="BZ11" s="137"/>
      <c r="CA11" s="137"/>
      <c r="CB11" s="137"/>
      <c r="CC11" s="137"/>
      <c r="CD11" s="137"/>
      <c r="CE11" s="137"/>
      <c r="CF11" s="137"/>
      <c r="CG11" s="137"/>
      <c r="CH11" s="137"/>
      <c r="CI11" s="137"/>
      <c r="CJ11" s="137"/>
    </row>
    <row r="12" spans="1:88" ht="15" customHeight="1">
      <c r="A12" s="137"/>
      <c r="B12" s="138"/>
      <c r="C12" s="179" t="s">
        <v>19</v>
      </c>
      <c r="D12" s="180"/>
      <c r="E12" s="180"/>
      <c r="F12" s="180"/>
      <c r="G12" s="180"/>
      <c r="H12" s="180"/>
      <c r="I12" s="180"/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0"/>
      <c r="AG12" s="180"/>
      <c r="AH12" s="180"/>
      <c r="AI12" s="180"/>
      <c r="AJ12" s="180"/>
      <c r="AK12" s="180"/>
      <c r="AL12" s="180"/>
      <c r="AM12" s="142"/>
      <c r="AN12" s="137"/>
      <c r="AO12" s="137"/>
      <c r="AP12" s="137"/>
      <c r="AQ12" s="137"/>
      <c r="AR12" s="137"/>
      <c r="AS12" s="137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7"/>
      <c r="BE12" s="137"/>
      <c r="BF12" s="137"/>
      <c r="BG12" s="137"/>
      <c r="BH12" s="137"/>
      <c r="BI12" s="137"/>
      <c r="BJ12" s="137"/>
      <c r="BK12" s="137"/>
      <c r="BL12" s="137"/>
      <c r="BM12" s="137"/>
      <c r="BN12" s="137"/>
      <c r="BO12" s="137"/>
      <c r="BP12" s="137"/>
      <c r="BQ12" s="137"/>
      <c r="BR12" s="137"/>
      <c r="BS12" s="137"/>
      <c r="BT12" s="137"/>
      <c r="BU12" s="137"/>
      <c r="BV12" s="137"/>
      <c r="BW12" s="137"/>
      <c r="BX12" s="137"/>
      <c r="BY12" s="137"/>
      <c r="BZ12" s="137"/>
      <c r="CA12" s="137"/>
      <c r="CB12" s="137"/>
      <c r="CC12" s="137"/>
      <c r="CD12" s="137"/>
      <c r="CE12" s="137"/>
      <c r="CF12" s="137"/>
      <c r="CG12" s="137"/>
      <c r="CH12" s="137"/>
      <c r="CI12" s="137"/>
      <c r="CJ12" s="137"/>
    </row>
    <row r="13" spans="1:88" ht="13" customHeight="1">
      <c r="A13" s="137"/>
      <c r="B13" s="138"/>
      <c r="C13" s="137"/>
      <c r="D13" s="137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  <c r="AL13" s="137"/>
      <c r="AM13" s="142"/>
      <c r="AN13" s="137"/>
      <c r="AO13" s="137"/>
      <c r="AP13" s="137"/>
      <c r="AQ13" s="137"/>
      <c r="AR13" s="137"/>
      <c r="AS13" s="137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7"/>
      <c r="BE13" s="137"/>
      <c r="BF13" s="137"/>
      <c r="BG13" s="137"/>
      <c r="BH13" s="137"/>
      <c r="BI13" s="137"/>
      <c r="BJ13" s="137"/>
      <c r="BK13" s="137"/>
      <c r="BL13" s="137"/>
      <c r="BM13" s="137"/>
      <c r="BN13" s="137"/>
      <c r="BO13" s="137"/>
      <c r="BP13" s="137"/>
      <c r="BQ13" s="137"/>
      <c r="BR13" s="137"/>
      <c r="BS13" s="137"/>
      <c r="BT13" s="137"/>
      <c r="BU13" s="137"/>
      <c r="BV13" s="137"/>
      <c r="BW13" s="137"/>
      <c r="BX13" s="137"/>
      <c r="BY13" s="137"/>
      <c r="BZ13" s="137"/>
      <c r="CA13" s="137"/>
      <c r="CB13" s="137"/>
      <c r="CC13" s="137"/>
      <c r="CD13" s="137"/>
      <c r="CE13" s="137"/>
      <c r="CF13" s="137"/>
      <c r="CG13" s="137"/>
      <c r="CH13" s="137"/>
      <c r="CI13" s="137"/>
      <c r="CJ13" s="137"/>
    </row>
    <row r="14" spans="1:88" ht="42" customHeight="1">
      <c r="A14" s="137"/>
      <c r="B14" s="138"/>
      <c r="C14" s="181" t="s">
        <v>48</v>
      </c>
      <c r="D14" s="180"/>
      <c r="E14" s="180"/>
      <c r="F14" s="180"/>
      <c r="G14" s="180"/>
      <c r="H14" s="180"/>
      <c r="I14" s="137"/>
      <c r="J14" s="272" t="s">
        <v>33</v>
      </c>
      <c r="K14" s="273"/>
      <c r="L14" s="273"/>
      <c r="M14" s="273"/>
      <c r="N14" s="274"/>
      <c r="O14" s="137"/>
      <c r="P14" s="272" t="s">
        <v>34</v>
      </c>
      <c r="Q14" s="273"/>
      <c r="R14" s="273"/>
      <c r="S14" s="273"/>
      <c r="T14" s="274"/>
      <c r="U14" s="137"/>
      <c r="V14" s="272" t="s">
        <v>35</v>
      </c>
      <c r="W14" s="273"/>
      <c r="X14" s="273"/>
      <c r="Y14" s="273"/>
      <c r="Z14" s="274"/>
      <c r="AA14" s="137"/>
      <c r="AB14" s="272" t="s">
        <v>36</v>
      </c>
      <c r="AC14" s="273"/>
      <c r="AD14" s="273"/>
      <c r="AE14" s="273"/>
      <c r="AF14" s="274"/>
      <c r="AG14" s="137"/>
      <c r="AH14" s="293" t="s">
        <v>37</v>
      </c>
      <c r="AI14" s="294"/>
      <c r="AJ14" s="294"/>
      <c r="AK14" s="294"/>
      <c r="AL14" s="295"/>
      <c r="AM14" s="142"/>
      <c r="AN14" s="137"/>
      <c r="AO14" s="137"/>
      <c r="AP14" s="137"/>
      <c r="AQ14" s="137"/>
      <c r="AR14" s="137"/>
      <c r="AS14" s="137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7"/>
      <c r="BE14" s="137"/>
      <c r="BF14" s="137"/>
      <c r="BG14" s="137"/>
      <c r="BH14" s="137"/>
      <c r="BI14" s="137"/>
      <c r="BJ14" s="137"/>
      <c r="BK14" s="137"/>
      <c r="BL14" s="137"/>
      <c r="BM14" s="137"/>
      <c r="BN14" s="137"/>
      <c r="BO14" s="137"/>
      <c r="BP14" s="137"/>
      <c r="BQ14" s="137"/>
      <c r="BR14" s="137"/>
      <c r="BS14" s="137"/>
      <c r="BT14" s="137"/>
      <c r="BU14" s="137"/>
      <c r="BV14" s="137"/>
      <c r="BW14" s="137"/>
      <c r="BX14" s="137"/>
      <c r="BY14" s="137"/>
      <c r="BZ14" s="137"/>
      <c r="CA14" s="137"/>
      <c r="CB14" s="137"/>
      <c r="CC14" s="137"/>
      <c r="CD14" s="137"/>
      <c r="CE14" s="137"/>
      <c r="CF14" s="137"/>
      <c r="CG14" s="137"/>
      <c r="CH14" s="137"/>
      <c r="CI14" s="137"/>
      <c r="CJ14" s="137"/>
    </row>
    <row r="15" spans="1:88" ht="10" customHeight="1">
      <c r="A15" s="137"/>
      <c r="B15" s="138"/>
      <c r="C15" s="137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  <c r="U15" s="137"/>
      <c r="V15" s="137"/>
      <c r="W15" s="137"/>
      <c r="X15" s="137"/>
      <c r="Y15" s="137"/>
      <c r="Z15" s="137"/>
      <c r="AA15" s="137"/>
      <c r="AB15" s="137"/>
      <c r="AC15" s="137"/>
      <c r="AD15" s="137"/>
      <c r="AE15" s="137"/>
      <c r="AF15" s="137"/>
      <c r="AG15" s="137"/>
      <c r="AH15" s="137"/>
      <c r="AI15" s="137"/>
      <c r="AJ15" s="137"/>
      <c r="AK15" s="137"/>
      <c r="AL15" s="137"/>
      <c r="AM15" s="142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7"/>
      <c r="BE15" s="137"/>
      <c r="BF15" s="137"/>
      <c r="BG15" s="137"/>
      <c r="BH15" s="137"/>
      <c r="BI15" s="137"/>
      <c r="BJ15" s="137"/>
      <c r="BK15" s="137"/>
      <c r="BL15" s="137"/>
      <c r="BM15" s="137"/>
      <c r="BN15" s="137"/>
      <c r="BO15" s="137"/>
      <c r="BP15" s="137"/>
      <c r="BQ15" s="137"/>
      <c r="BR15" s="137"/>
      <c r="BS15" s="137"/>
      <c r="BT15" s="137"/>
      <c r="BU15" s="137"/>
      <c r="BV15" s="137"/>
      <c r="BW15" s="137"/>
      <c r="BX15" s="137"/>
      <c r="BY15" s="137"/>
      <c r="BZ15" s="137"/>
      <c r="CA15" s="137"/>
      <c r="CB15" s="137"/>
      <c r="CC15" s="137"/>
      <c r="CD15" s="137"/>
      <c r="CE15" s="137"/>
      <c r="CF15" s="137"/>
      <c r="CG15" s="137"/>
      <c r="CH15" s="137"/>
      <c r="CI15" s="137"/>
      <c r="CJ15" s="137"/>
    </row>
    <row r="16" spans="1:88" ht="42" customHeight="1">
      <c r="A16" s="137"/>
      <c r="B16" s="138"/>
      <c r="C16" s="181" t="s">
        <v>265</v>
      </c>
      <c r="D16" s="180"/>
      <c r="E16" s="180"/>
      <c r="F16" s="180"/>
      <c r="G16" s="180"/>
      <c r="H16" s="180"/>
      <c r="I16" s="137"/>
      <c r="J16" s="266" t="s">
        <v>22</v>
      </c>
      <c r="K16" s="267"/>
      <c r="L16" s="267"/>
      <c r="M16" s="267"/>
      <c r="N16" s="268"/>
      <c r="O16" s="137"/>
      <c r="P16" s="266" t="s">
        <v>20</v>
      </c>
      <c r="Q16" s="267"/>
      <c r="R16" s="267"/>
      <c r="S16" s="267"/>
      <c r="T16" s="268"/>
      <c r="U16" s="137"/>
      <c r="V16" s="266" t="s">
        <v>23</v>
      </c>
      <c r="W16" s="267"/>
      <c r="X16" s="267"/>
      <c r="Y16" s="267"/>
      <c r="Z16" s="268"/>
      <c r="AA16" s="137"/>
      <c r="AB16" s="266" t="s">
        <v>24</v>
      </c>
      <c r="AC16" s="267"/>
      <c r="AD16" s="267"/>
      <c r="AE16" s="267"/>
      <c r="AF16" s="268"/>
      <c r="AG16" s="137"/>
      <c r="AH16" s="266" t="s">
        <v>21</v>
      </c>
      <c r="AI16" s="267"/>
      <c r="AJ16" s="267"/>
      <c r="AK16" s="267"/>
      <c r="AL16" s="268"/>
      <c r="AM16" s="142"/>
      <c r="AN16" s="137"/>
      <c r="AO16" s="137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7"/>
      <c r="BF16" s="137"/>
      <c r="BG16" s="137"/>
      <c r="BH16" s="137"/>
      <c r="BI16" s="137"/>
      <c r="BJ16" s="137"/>
      <c r="BK16" s="137"/>
      <c r="BL16" s="137"/>
      <c r="BM16" s="137"/>
      <c r="BN16" s="137"/>
      <c r="BO16" s="137"/>
      <c r="BP16" s="137"/>
      <c r="BQ16" s="137"/>
      <c r="BR16" s="137"/>
      <c r="BS16" s="137"/>
      <c r="BT16" s="137"/>
      <c r="BU16" s="137"/>
      <c r="BV16" s="137"/>
      <c r="BW16" s="137"/>
      <c r="BX16" s="137"/>
      <c r="BY16" s="137"/>
      <c r="BZ16" s="137"/>
      <c r="CA16" s="137"/>
      <c r="CB16" s="137"/>
      <c r="CC16" s="137"/>
      <c r="CD16" s="137"/>
      <c r="CE16" s="137"/>
      <c r="CF16" s="137"/>
      <c r="CG16" s="137"/>
      <c r="CH16" s="137"/>
      <c r="CI16" s="137"/>
      <c r="CJ16" s="137"/>
    </row>
    <row r="17" spans="1:88" ht="10" customHeight="1">
      <c r="A17" s="137"/>
      <c r="B17" s="138"/>
      <c r="C17" s="137"/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  <c r="S17" s="137"/>
      <c r="T17" s="137"/>
      <c r="U17" s="137"/>
      <c r="V17" s="137"/>
      <c r="W17" s="137"/>
      <c r="X17" s="137"/>
      <c r="Y17" s="137"/>
      <c r="Z17" s="137"/>
      <c r="AA17" s="137"/>
      <c r="AB17" s="137"/>
      <c r="AC17" s="137"/>
      <c r="AD17" s="137"/>
      <c r="AE17" s="137"/>
      <c r="AF17" s="137"/>
      <c r="AG17" s="137"/>
      <c r="AH17" s="137"/>
      <c r="AI17" s="137"/>
      <c r="AJ17" s="137"/>
      <c r="AK17" s="137"/>
      <c r="AL17" s="137"/>
      <c r="AM17" s="142"/>
      <c r="AN17" s="137"/>
      <c r="AO17" s="137"/>
      <c r="AP17" s="137"/>
      <c r="AQ17" s="137"/>
      <c r="AR17" s="137"/>
      <c r="AS17" s="137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7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37"/>
      <c r="BP17" s="137"/>
      <c r="BQ17" s="137"/>
      <c r="BR17" s="137"/>
      <c r="BS17" s="137"/>
      <c r="BT17" s="137"/>
      <c r="BU17" s="137"/>
      <c r="BV17" s="137"/>
      <c r="BW17" s="137"/>
      <c r="BX17" s="137"/>
      <c r="BY17" s="137"/>
      <c r="BZ17" s="137"/>
      <c r="CA17" s="137"/>
      <c r="CB17" s="137"/>
      <c r="CC17" s="137"/>
      <c r="CD17" s="137"/>
      <c r="CE17" s="137"/>
      <c r="CF17" s="137"/>
      <c r="CG17" s="137"/>
      <c r="CH17" s="137"/>
      <c r="CI17" s="137"/>
      <c r="CJ17" s="137"/>
    </row>
    <row r="18" spans="1:88" ht="42" customHeight="1">
      <c r="A18" s="137"/>
      <c r="B18" s="138"/>
      <c r="C18" s="181" t="s">
        <v>221</v>
      </c>
      <c r="D18" s="180"/>
      <c r="E18" s="180"/>
      <c r="F18" s="180"/>
      <c r="G18" s="180"/>
      <c r="H18" s="180"/>
      <c r="I18" s="137"/>
      <c r="J18" s="266" t="s">
        <v>25</v>
      </c>
      <c r="K18" s="267"/>
      <c r="L18" s="267"/>
      <c r="M18" s="267"/>
      <c r="N18" s="268"/>
      <c r="O18" s="137"/>
      <c r="P18" s="266" t="s">
        <v>26</v>
      </c>
      <c r="Q18" s="267"/>
      <c r="R18" s="267"/>
      <c r="S18" s="267"/>
      <c r="T18" s="268"/>
      <c r="U18" s="137"/>
      <c r="V18" s="266" t="s">
        <v>45</v>
      </c>
      <c r="W18" s="267"/>
      <c r="X18" s="267"/>
      <c r="Y18" s="267"/>
      <c r="Z18" s="268"/>
      <c r="AA18" s="137"/>
      <c r="AB18" s="137"/>
      <c r="AC18" s="137"/>
      <c r="AD18" s="137"/>
      <c r="AE18" s="137"/>
      <c r="AF18" s="137"/>
      <c r="AG18" s="137"/>
      <c r="AH18" s="137"/>
      <c r="AI18" s="137"/>
      <c r="AJ18" s="137"/>
      <c r="AK18" s="137"/>
      <c r="AL18" s="137"/>
      <c r="AM18" s="142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7"/>
      <c r="BE18" s="137"/>
      <c r="BF18" s="137"/>
      <c r="BG18" s="137"/>
      <c r="BH18" s="137"/>
      <c r="BI18" s="137"/>
      <c r="BJ18" s="137"/>
      <c r="BK18" s="137"/>
      <c r="BL18" s="137"/>
      <c r="BM18" s="137"/>
      <c r="BN18" s="137"/>
      <c r="BO18" s="137"/>
      <c r="BP18" s="137"/>
      <c r="BQ18" s="137"/>
      <c r="BR18" s="137"/>
      <c r="BS18" s="137"/>
      <c r="BT18" s="137"/>
      <c r="BU18" s="137"/>
      <c r="BV18" s="137"/>
      <c r="BW18" s="137"/>
      <c r="BX18" s="137"/>
      <c r="BY18" s="137"/>
      <c r="BZ18" s="137"/>
      <c r="CA18" s="137"/>
      <c r="CB18" s="137"/>
      <c r="CC18" s="137"/>
      <c r="CD18" s="137"/>
      <c r="CE18" s="137"/>
      <c r="CF18" s="137"/>
      <c r="CG18" s="137"/>
      <c r="CH18" s="137"/>
      <c r="CI18" s="137"/>
      <c r="CJ18" s="137"/>
    </row>
    <row r="19" spans="1:88" s="3" customFormat="1" ht="10" customHeight="1">
      <c r="A19" s="137"/>
      <c r="B19" s="138"/>
      <c r="C19" s="137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37"/>
      <c r="Q19" s="137"/>
      <c r="R19" s="137"/>
      <c r="S19" s="137"/>
      <c r="T19" s="137"/>
      <c r="U19" s="137"/>
      <c r="V19" s="137"/>
      <c r="W19" s="137"/>
      <c r="X19" s="137"/>
      <c r="Y19" s="137"/>
      <c r="Z19" s="137"/>
      <c r="AA19" s="137"/>
      <c r="AB19" s="137"/>
      <c r="AC19" s="137"/>
      <c r="AD19" s="137"/>
      <c r="AE19" s="137"/>
      <c r="AF19" s="137"/>
      <c r="AG19" s="137"/>
      <c r="AH19" s="137"/>
      <c r="AI19" s="137"/>
      <c r="AJ19" s="137"/>
      <c r="AK19" s="137"/>
      <c r="AL19" s="137"/>
      <c r="AM19" s="142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7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37"/>
      <c r="BP19" s="137"/>
      <c r="BQ19" s="137"/>
      <c r="BR19" s="137"/>
      <c r="BS19" s="137"/>
      <c r="BT19" s="137"/>
      <c r="BU19" s="137"/>
      <c r="BV19" s="137"/>
      <c r="BW19" s="137"/>
      <c r="BX19" s="137"/>
      <c r="BY19" s="137"/>
      <c r="BZ19" s="137"/>
      <c r="CA19" s="137"/>
      <c r="CB19" s="137"/>
      <c r="CC19" s="137"/>
      <c r="CD19" s="137"/>
      <c r="CE19" s="137"/>
      <c r="CF19" s="137"/>
      <c r="CG19" s="137"/>
      <c r="CH19" s="137"/>
      <c r="CI19" s="137"/>
      <c r="CJ19" s="137"/>
    </row>
    <row r="20" spans="1:88" ht="42" customHeight="1">
      <c r="A20" s="137"/>
      <c r="B20" s="138"/>
      <c r="C20" s="181" t="s">
        <v>222</v>
      </c>
      <c r="D20" s="180"/>
      <c r="E20" s="180"/>
      <c r="F20" s="180"/>
      <c r="G20" s="180"/>
      <c r="H20" s="180"/>
      <c r="I20" s="137"/>
      <c r="J20" s="266" t="s">
        <v>25</v>
      </c>
      <c r="K20" s="267"/>
      <c r="L20" s="267"/>
      <c r="M20" s="267"/>
      <c r="N20" s="268"/>
      <c r="O20" s="137"/>
      <c r="P20" s="266" t="s">
        <v>26</v>
      </c>
      <c r="Q20" s="267"/>
      <c r="R20" s="267"/>
      <c r="S20" s="267"/>
      <c r="T20" s="268"/>
      <c r="U20" s="137"/>
      <c r="V20" s="137"/>
      <c r="W20" s="137"/>
      <c r="X20" s="137"/>
      <c r="Y20" s="137"/>
      <c r="Z20" s="137"/>
      <c r="AA20" s="137"/>
      <c r="AB20" s="182" t="s">
        <v>510</v>
      </c>
      <c r="AC20" s="183"/>
      <c r="AD20" s="183"/>
      <c r="AE20" s="183"/>
      <c r="AF20" s="183"/>
      <c r="AG20" s="183"/>
      <c r="AH20" s="183"/>
      <c r="AI20" s="183"/>
      <c r="AJ20" s="183"/>
      <c r="AK20" s="183"/>
      <c r="AL20" s="184"/>
      <c r="AM20" s="142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37"/>
      <c r="BH20" s="137"/>
      <c r="BI20" s="137"/>
      <c r="BJ20" s="137"/>
      <c r="BK20" s="137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</row>
    <row r="21" spans="1:88" ht="10" customHeight="1">
      <c r="A21" s="137"/>
      <c r="B21" s="138"/>
      <c r="C21" s="137"/>
      <c r="D21" s="137"/>
      <c r="E21" s="137"/>
      <c r="F21" s="137"/>
      <c r="G21" s="137"/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  <c r="S21" s="137"/>
      <c r="T21" s="137"/>
      <c r="U21" s="137"/>
      <c r="V21" s="137"/>
      <c r="W21" s="137"/>
      <c r="X21" s="137"/>
      <c r="Y21" s="137"/>
      <c r="Z21" s="137"/>
      <c r="AA21" s="137"/>
      <c r="AB21" s="137"/>
      <c r="AC21" s="137"/>
      <c r="AD21" s="137"/>
      <c r="AE21" s="137"/>
      <c r="AF21" s="137"/>
      <c r="AG21" s="137"/>
      <c r="AH21" s="137"/>
      <c r="AI21" s="137"/>
      <c r="AJ21" s="137"/>
      <c r="AK21" s="137"/>
      <c r="AL21" s="137"/>
      <c r="AM21" s="142"/>
      <c r="AN21" s="137"/>
      <c r="AO21" s="137"/>
      <c r="AP21" s="137"/>
      <c r="AQ21" s="137"/>
      <c r="AR21" s="137"/>
      <c r="AS21" s="137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7"/>
      <c r="BE21" s="137"/>
      <c r="BF21" s="137"/>
      <c r="BG21" s="137"/>
      <c r="BH21" s="137"/>
      <c r="BI21" s="137"/>
      <c r="BJ21" s="137"/>
      <c r="BK21" s="137"/>
      <c r="BL21" s="137"/>
      <c r="BM21" s="137"/>
      <c r="BN21" s="137"/>
      <c r="BO21" s="137"/>
      <c r="BP21" s="137"/>
      <c r="BQ21" s="137"/>
      <c r="BR21" s="137"/>
      <c r="BS21" s="137"/>
      <c r="BT21" s="137"/>
      <c r="BU21" s="137"/>
      <c r="BV21" s="137"/>
      <c r="BW21" s="137"/>
      <c r="BX21" s="137"/>
      <c r="BY21" s="137"/>
      <c r="BZ21" s="137"/>
      <c r="CA21" s="137"/>
      <c r="CB21" s="137"/>
      <c r="CC21" s="137"/>
      <c r="CD21" s="137"/>
      <c r="CE21" s="137"/>
      <c r="CF21" s="137"/>
      <c r="CG21" s="137"/>
      <c r="CH21" s="137"/>
      <c r="CI21" s="137"/>
      <c r="CJ21" s="137"/>
    </row>
    <row r="22" spans="1:88" ht="42" customHeight="1">
      <c r="A22" s="137"/>
      <c r="B22" s="138"/>
      <c r="C22" s="181" t="s">
        <v>402</v>
      </c>
      <c r="D22" s="180"/>
      <c r="E22" s="180"/>
      <c r="F22" s="180"/>
      <c r="G22" s="180"/>
      <c r="H22" s="180"/>
      <c r="I22" s="137"/>
      <c r="J22" s="269" t="s">
        <v>243</v>
      </c>
      <c r="K22" s="270"/>
      <c r="L22" s="270"/>
      <c r="M22" s="270"/>
      <c r="N22" s="271"/>
      <c r="O22" s="137"/>
      <c r="P22" s="269" t="s">
        <v>400</v>
      </c>
      <c r="Q22" s="270"/>
      <c r="R22" s="270"/>
      <c r="S22" s="270"/>
      <c r="T22" s="271"/>
      <c r="U22" s="137"/>
      <c r="V22" s="269" t="s">
        <v>401</v>
      </c>
      <c r="W22" s="270"/>
      <c r="X22" s="270"/>
      <c r="Y22" s="270"/>
      <c r="Z22" s="271"/>
      <c r="AA22" s="137"/>
      <c r="AB22" s="137"/>
      <c r="AC22" s="137"/>
      <c r="AD22" s="137"/>
      <c r="AE22" s="137"/>
      <c r="AF22" s="137"/>
      <c r="AG22" s="137"/>
      <c r="AH22" s="137"/>
      <c r="AI22" s="137"/>
      <c r="AJ22" s="137"/>
      <c r="AK22" s="137"/>
      <c r="AL22" s="137"/>
      <c r="AM22" s="142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137"/>
      <c r="CD22" s="137"/>
      <c r="CE22" s="137"/>
      <c r="CF22" s="137"/>
      <c r="CG22" s="137"/>
      <c r="CH22" s="137"/>
      <c r="CI22" s="137"/>
      <c r="CJ22" s="137"/>
    </row>
    <row r="23" spans="1:88" ht="10" customHeight="1">
      <c r="A23" s="137"/>
      <c r="B23" s="138"/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137"/>
      <c r="Q23" s="137"/>
      <c r="R23" s="137"/>
      <c r="S23" s="137"/>
      <c r="T23" s="137"/>
      <c r="U23" s="137"/>
      <c r="V23" s="137"/>
      <c r="W23" s="137"/>
      <c r="X23" s="137"/>
      <c r="Y23" s="137"/>
      <c r="Z23" s="137"/>
      <c r="AA23" s="137"/>
      <c r="AB23" s="137"/>
      <c r="AC23" s="137"/>
      <c r="AD23" s="137"/>
      <c r="AE23" s="137"/>
      <c r="AF23" s="137"/>
      <c r="AG23" s="137"/>
      <c r="AH23" s="137"/>
      <c r="AI23" s="137"/>
      <c r="AJ23" s="137"/>
      <c r="AK23" s="137"/>
      <c r="AL23" s="137"/>
      <c r="AM23" s="142"/>
      <c r="AN23" s="137"/>
      <c r="AO23" s="137"/>
      <c r="AP23" s="137"/>
      <c r="AQ23" s="137"/>
      <c r="AR23" s="137"/>
      <c r="AS23" s="137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G23" s="137"/>
      <c r="CH23" s="137"/>
      <c r="CI23" s="137"/>
      <c r="CJ23" s="137"/>
    </row>
    <row r="24" spans="1:88" ht="42" customHeight="1">
      <c r="A24" s="137"/>
      <c r="B24" s="138"/>
      <c r="C24" s="181" t="s">
        <v>125</v>
      </c>
      <c r="D24" s="180"/>
      <c r="E24" s="180"/>
      <c r="F24" s="180"/>
      <c r="G24" s="180"/>
      <c r="H24" s="180"/>
      <c r="I24" s="137"/>
      <c r="J24" s="266" t="s">
        <v>126</v>
      </c>
      <c r="K24" s="267"/>
      <c r="L24" s="267"/>
      <c r="M24" s="267"/>
      <c r="N24" s="268"/>
      <c r="O24" s="137"/>
      <c r="P24" s="266" t="s">
        <v>127</v>
      </c>
      <c r="Q24" s="267"/>
      <c r="R24" s="267"/>
      <c r="S24" s="267"/>
      <c r="T24" s="268"/>
      <c r="U24" s="137"/>
      <c r="V24" s="266" t="s">
        <v>128</v>
      </c>
      <c r="W24" s="267"/>
      <c r="X24" s="267"/>
      <c r="Y24" s="267"/>
      <c r="Z24" s="268"/>
      <c r="AA24" s="137"/>
      <c r="AB24" s="266" t="s">
        <v>129</v>
      </c>
      <c r="AC24" s="267"/>
      <c r="AD24" s="267"/>
      <c r="AE24" s="267"/>
      <c r="AF24" s="268"/>
      <c r="AG24" s="137"/>
      <c r="AH24" s="266" t="s">
        <v>395</v>
      </c>
      <c r="AI24" s="267"/>
      <c r="AJ24" s="267"/>
      <c r="AK24" s="267"/>
      <c r="AL24" s="268"/>
      <c r="AM24" s="142"/>
      <c r="AN24" s="137"/>
      <c r="AO24" s="137"/>
      <c r="AP24" s="137"/>
      <c r="AQ24" s="137"/>
      <c r="AR24" s="137"/>
      <c r="AS24" s="137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37"/>
      <c r="BP24" s="137"/>
      <c r="BQ24" s="137"/>
      <c r="BR24" s="137"/>
      <c r="BS24" s="137"/>
      <c r="BT24" s="137"/>
      <c r="BU24" s="137"/>
      <c r="BV24" s="137"/>
      <c r="BW24" s="137"/>
      <c r="BX24" s="137"/>
      <c r="BY24" s="137"/>
      <c r="BZ24" s="137"/>
      <c r="CA24" s="137"/>
      <c r="CB24" s="137"/>
      <c r="CC24" s="137"/>
      <c r="CD24" s="137"/>
      <c r="CE24" s="137"/>
      <c r="CF24" s="137"/>
      <c r="CG24" s="137"/>
      <c r="CH24" s="137"/>
      <c r="CI24" s="137"/>
      <c r="CJ24" s="137"/>
    </row>
    <row r="25" spans="1:88" s="3" customFormat="1" ht="10" customHeight="1">
      <c r="A25" s="137"/>
      <c r="B25" s="138"/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42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  <c r="BM25" s="137"/>
      <c r="BN25" s="137"/>
      <c r="BO25" s="137"/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7"/>
      <c r="CC25" s="137"/>
      <c r="CD25" s="137"/>
      <c r="CE25" s="137"/>
      <c r="CF25" s="137"/>
      <c r="CG25" s="137"/>
      <c r="CH25" s="137"/>
      <c r="CI25" s="137"/>
      <c r="CJ25" s="137"/>
    </row>
    <row r="26" spans="1:88" ht="42" customHeight="1">
      <c r="A26" s="137"/>
      <c r="B26" s="138"/>
      <c r="C26" s="181" t="s">
        <v>125</v>
      </c>
      <c r="D26" s="180"/>
      <c r="E26" s="180"/>
      <c r="F26" s="180"/>
      <c r="G26" s="180"/>
      <c r="H26" s="180"/>
      <c r="I26" s="137"/>
      <c r="J26" s="266" t="s">
        <v>10</v>
      </c>
      <c r="K26" s="267"/>
      <c r="L26" s="267"/>
      <c r="M26" s="267"/>
      <c r="N26" s="268"/>
      <c r="O26" s="137"/>
      <c r="P26" s="266" t="s">
        <v>27</v>
      </c>
      <c r="Q26" s="267"/>
      <c r="R26" s="267"/>
      <c r="S26" s="267"/>
      <c r="T26" s="268"/>
      <c r="U26" s="137"/>
      <c r="V26" s="266" t="s">
        <v>218</v>
      </c>
      <c r="W26" s="267"/>
      <c r="X26" s="267"/>
      <c r="Y26" s="267"/>
      <c r="Z26" s="268"/>
      <c r="AA26" s="137"/>
      <c r="AB26" s="137"/>
      <c r="AC26" s="137"/>
      <c r="AD26" s="137"/>
      <c r="AE26" s="137"/>
      <c r="AF26" s="137"/>
      <c r="AG26" s="137"/>
      <c r="AH26" s="137"/>
      <c r="AI26" s="137"/>
      <c r="AJ26" s="137"/>
      <c r="AK26" s="137"/>
      <c r="AL26" s="137"/>
      <c r="AM26" s="142"/>
      <c r="AN26" s="137"/>
      <c r="AO26" s="137"/>
      <c r="AP26" s="137"/>
      <c r="AQ26" s="137"/>
      <c r="AR26" s="137"/>
      <c r="AS26" s="137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7"/>
      <c r="BE26" s="137"/>
      <c r="BF26" s="137"/>
      <c r="BG26" s="137"/>
      <c r="BH26" s="137"/>
      <c r="BI26" s="137"/>
      <c r="BJ26" s="137"/>
      <c r="BK26" s="137"/>
      <c r="BL26" s="137"/>
      <c r="BM26" s="137"/>
      <c r="BN26" s="137"/>
      <c r="BO26" s="137"/>
      <c r="BP26" s="137"/>
      <c r="BQ26" s="137"/>
      <c r="BR26" s="137"/>
      <c r="BS26" s="137"/>
      <c r="BT26" s="137"/>
      <c r="BU26" s="137"/>
      <c r="BV26" s="137"/>
      <c r="BW26" s="137"/>
      <c r="BX26" s="137"/>
      <c r="BY26" s="137"/>
      <c r="BZ26" s="137"/>
      <c r="CA26" s="137"/>
      <c r="CB26" s="137"/>
      <c r="CC26" s="137"/>
      <c r="CD26" s="137"/>
      <c r="CE26" s="137"/>
      <c r="CF26" s="137"/>
      <c r="CG26" s="137"/>
      <c r="CH26" s="137"/>
      <c r="CI26" s="137"/>
      <c r="CJ26" s="137"/>
    </row>
    <row r="27" spans="1:88" ht="10" customHeight="1">
      <c r="A27" s="137"/>
      <c r="B27" s="138"/>
      <c r="C27" s="137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  <c r="AC27" s="137"/>
      <c r="AD27" s="137"/>
      <c r="AE27" s="137"/>
      <c r="AF27" s="137"/>
      <c r="AG27" s="137"/>
      <c r="AH27" s="137"/>
      <c r="AI27" s="137"/>
      <c r="AJ27" s="137"/>
      <c r="AK27" s="137"/>
      <c r="AL27" s="137"/>
      <c r="AM27" s="142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7"/>
      <c r="BX27" s="137"/>
      <c r="BY27" s="137"/>
      <c r="BZ27" s="137"/>
      <c r="CA27" s="137"/>
      <c r="CB27" s="137"/>
      <c r="CC27" s="137"/>
      <c r="CD27" s="137"/>
      <c r="CE27" s="137"/>
      <c r="CF27" s="137"/>
      <c r="CG27" s="137"/>
      <c r="CH27" s="137"/>
      <c r="CI27" s="137"/>
      <c r="CJ27" s="137"/>
    </row>
    <row r="28" spans="1:88" ht="42" customHeight="1">
      <c r="A28" s="137"/>
      <c r="B28" s="138"/>
      <c r="C28" s="181" t="s">
        <v>65</v>
      </c>
      <c r="D28" s="180"/>
      <c r="E28" s="180"/>
      <c r="F28" s="180"/>
      <c r="G28" s="180"/>
      <c r="H28" s="180"/>
      <c r="I28" s="137"/>
      <c r="J28" s="275" t="s">
        <v>157</v>
      </c>
      <c r="K28" s="276"/>
      <c r="L28" s="276"/>
      <c r="M28" s="276"/>
      <c r="N28" s="277"/>
      <c r="O28" s="137"/>
      <c r="P28" s="275" t="s">
        <v>158</v>
      </c>
      <c r="Q28" s="276"/>
      <c r="R28" s="276"/>
      <c r="S28" s="276"/>
      <c r="T28" s="277"/>
      <c r="U28" s="137"/>
      <c r="V28" s="181" t="s">
        <v>503</v>
      </c>
      <c r="W28" s="180"/>
      <c r="X28" s="180"/>
      <c r="Y28" s="180"/>
      <c r="Z28" s="180"/>
      <c r="AA28" s="137"/>
      <c r="AB28" s="275" t="s">
        <v>157</v>
      </c>
      <c r="AC28" s="276"/>
      <c r="AD28" s="276"/>
      <c r="AE28" s="276"/>
      <c r="AF28" s="277"/>
      <c r="AG28" s="137"/>
      <c r="AH28" s="275" t="s">
        <v>158</v>
      </c>
      <c r="AI28" s="276"/>
      <c r="AJ28" s="276"/>
      <c r="AK28" s="276"/>
      <c r="AL28" s="277"/>
      <c r="AM28" s="142"/>
      <c r="AN28" s="137"/>
      <c r="AO28" s="137"/>
      <c r="AP28" s="137"/>
      <c r="AQ28" s="137"/>
      <c r="AR28" s="137"/>
      <c r="AS28" s="137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137"/>
      <c r="BM28" s="137"/>
      <c r="BN28" s="137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137"/>
      <c r="CB28" s="137"/>
      <c r="CC28" s="137"/>
      <c r="CD28" s="137"/>
      <c r="CE28" s="137"/>
      <c r="CF28" s="137"/>
      <c r="CG28" s="137"/>
      <c r="CH28" s="137"/>
      <c r="CI28" s="137"/>
      <c r="CJ28" s="137"/>
    </row>
    <row r="29" spans="1:88" ht="10" customHeight="1">
      <c r="A29" s="137"/>
      <c r="B29" s="138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37"/>
      <c r="W29" s="137"/>
      <c r="X29" s="137"/>
      <c r="Y29" s="137"/>
      <c r="Z29" s="137"/>
      <c r="AA29" s="137"/>
      <c r="AB29" s="137"/>
      <c r="AC29" s="137"/>
      <c r="AD29" s="137"/>
      <c r="AE29" s="137"/>
      <c r="AF29" s="137"/>
      <c r="AG29" s="137"/>
      <c r="AH29" s="137"/>
      <c r="AI29" s="137"/>
      <c r="AJ29" s="137"/>
      <c r="AK29" s="137"/>
      <c r="AL29" s="137"/>
      <c r="AM29" s="142"/>
      <c r="AN29" s="137"/>
      <c r="AO29" s="137"/>
      <c r="AP29" s="137"/>
      <c r="AQ29" s="137"/>
      <c r="AR29" s="137"/>
      <c r="AS29" s="137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7"/>
      <c r="BE29" s="137"/>
      <c r="BF29" s="137"/>
      <c r="BG29" s="137"/>
      <c r="BH29" s="137"/>
      <c r="BI29" s="137"/>
      <c r="BJ29" s="137"/>
      <c r="BK29" s="137"/>
      <c r="BL29" s="137"/>
      <c r="BM29" s="137"/>
      <c r="BN29" s="137"/>
      <c r="BO29" s="137"/>
      <c r="BP29" s="137"/>
      <c r="BQ29" s="137"/>
      <c r="BR29" s="137"/>
      <c r="BS29" s="137"/>
      <c r="BT29" s="137"/>
      <c r="BU29" s="137"/>
      <c r="BV29" s="137"/>
      <c r="BW29" s="137"/>
      <c r="BX29" s="137"/>
      <c r="BY29" s="137"/>
      <c r="BZ29" s="137"/>
      <c r="CA29" s="137"/>
      <c r="CB29" s="137"/>
      <c r="CC29" s="137"/>
      <c r="CD29" s="137"/>
      <c r="CE29" s="137"/>
      <c r="CF29" s="137"/>
      <c r="CG29" s="137"/>
      <c r="CH29" s="137"/>
      <c r="CI29" s="137"/>
      <c r="CJ29" s="137"/>
    </row>
    <row r="30" spans="1:88" ht="42" customHeight="1">
      <c r="A30" s="137"/>
      <c r="B30" s="138"/>
      <c r="C30" s="181" t="s">
        <v>38</v>
      </c>
      <c r="D30" s="180"/>
      <c r="E30" s="180"/>
      <c r="F30" s="180"/>
      <c r="G30" s="180"/>
      <c r="H30" s="180"/>
      <c r="I30" s="137"/>
      <c r="J30" s="269" t="s">
        <v>29</v>
      </c>
      <c r="K30" s="270"/>
      <c r="L30" s="270"/>
      <c r="M30" s="270"/>
      <c r="N30" s="271"/>
      <c r="O30" s="137"/>
      <c r="P30" s="269" t="s">
        <v>51</v>
      </c>
      <c r="Q30" s="270"/>
      <c r="R30" s="270"/>
      <c r="S30" s="270"/>
      <c r="T30" s="271"/>
      <c r="U30" s="137"/>
      <c r="V30" s="269" t="s">
        <v>141</v>
      </c>
      <c r="W30" s="270"/>
      <c r="X30" s="270"/>
      <c r="Y30" s="270"/>
      <c r="Z30" s="271"/>
      <c r="AA30" s="137"/>
      <c r="AB30" s="269" t="s">
        <v>30</v>
      </c>
      <c r="AC30" s="270"/>
      <c r="AD30" s="270"/>
      <c r="AE30" s="270"/>
      <c r="AF30" s="271"/>
      <c r="AG30" s="137"/>
      <c r="AH30" s="269" t="s">
        <v>31</v>
      </c>
      <c r="AI30" s="270"/>
      <c r="AJ30" s="270"/>
      <c r="AK30" s="270"/>
      <c r="AL30" s="271"/>
      <c r="AM30" s="142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</row>
    <row r="31" spans="1:88" ht="10" customHeight="1" thickBot="1">
      <c r="A31" s="137"/>
      <c r="B31" s="143"/>
      <c r="C31" s="144"/>
      <c r="D31" s="144"/>
      <c r="E31" s="144"/>
      <c r="F31" s="144"/>
      <c r="G31" s="144"/>
      <c r="H31" s="144"/>
      <c r="I31" s="144"/>
      <c r="J31" s="144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4"/>
      <c r="AB31" s="144"/>
      <c r="AC31" s="144"/>
      <c r="AD31" s="144"/>
      <c r="AE31" s="144"/>
      <c r="AF31" s="144"/>
      <c r="AG31" s="144"/>
      <c r="AH31" s="144"/>
      <c r="AI31" s="144"/>
      <c r="AJ31" s="144"/>
      <c r="AK31" s="144"/>
      <c r="AL31" s="144"/>
      <c r="AM31" s="145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37"/>
      <c r="BP31" s="137"/>
      <c r="BQ31" s="137"/>
      <c r="BR31" s="137"/>
      <c r="BS31" s="137"/>
      <c r="BT31" s="137"/>
      <c r="BU31" s="137"/>
      <c r="BV31" s="137"/>
      <c r="BW31" s="137"/>
      <c r="BX31" s="137"/>
      <c r="BY31" s="137"/>
      <c r="BZ31" s="137"/>
      <c r="CA31" s="137"/>
      <c r="CB31" s="137"/>
      <c r="CC31" s="137"/>
      <c r="CD31" s="137"/>
      <c r="CE31" s="137"/>
      <c r="CF31" s="137"/>
      <c r="CG31" s="137"/>
      <c r="CH31" s="137"/>
      <c r="CI31" s="137"/>
      <c r="CJ31" s="137"/>
    </row>
    <row r="32" spans="1:88" ht="10" customHeight="1" thickBot="1">
      <c r="A32" s="137"/>
      <c r="B32" s="137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  <c r="U32" s="137"/>
      <c r="V32" s="137"/>
      <c r="W32" s="137"/>
      <c r="X32" s="137"/>
      <c r="Y32" s="137"/>
      <c r="Z32" s="137"/>
      <c r="AA32" s="137"/>
      <c r="AB32" s="137"/>
      <c r="AC32" s="137"/>
      <c r="AD32" s="137"/>
      <c r="AE32" s="137"/>
      <c r="AF32" s="137"/>
      <c r="AG32" s="137"/>
      <c r="AH32" s="137"/>
      <c r="AI32" s="137"/>
      <c r="AJ32" s="137"/>
      <c r="AK32" s="137"/>
      <c r="AL32" s="137"/>
      <c r="AM32" s="137"/>
      <c r="AN32" s="137"/>
      <c r="AO32" s="137"/>
      <c r="AP32" s="137"/>
      <c r="AQ32" s="137"/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37"/>
      <c r="BP32" s="137"/>
      <c r="BQ32" s="137"/>
      <c r="BR32" s="137"/>
      <c r="BS32" s="137"/>
      <c r="BT32" s="137"/>
      <c r="BU32" s="137"/>
      <c r="BV32" s="137"/>
      <c r="BW32" s="137"/>
      <c r="BX32" s="137"/>
      <c r="BY32" s="137"/>
      <c r="BZ32" s="137"/>
      <c r="CA32" s="137"/>
      <c r="CB32" s="137"/>
      <c r="CC32" s="137"/>
      <c r="CD32" s="137"/>
      <c r="CE32" s="137"/>
      <c r="CF32" s="137"/>
      <c r="CG32" s="137"/>
      <c r="CH32" s="137"/>
      <c r="CI32" s="137"/>
      <c r="CJ32" s="137"/>
    </row>
    <row r="33" spans="1:88" ht="10" customHeight="1">
      <c r="A33" s="137"/>
      <c r="B33" s="139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1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/>
      <c r="BW33" s="137"/>
      <c r="BX33" s="137"/>
      <c r="BY33" s="137"/>
      <c r="BZ33" s="137"/>
      <c r="CA33" s="137"/>
      <c r="CB33" s="137"/>
      <c r="CC33" s="137"/>
      <c r="CD33" s="137"/>
      <c r="CE33" s="137"/>
      <c r="CF33" s="137"/>
      <c r="CG33" s="137"/>
      <c r="CH33" s="137"/>
      <c r="CI33" s="137"/>
      <c r="CJ33" s="137"/>
    </row>
    <row r="34" spans="1:88" ht="15" customHeight="1">
      <c r="A34" s="137"/>
      <c r="B34" s="138"/>
      <c r="C34" s="179" t="s">
        <v>18</v>
      </c>
      <c r="D34" s="180"/>
      <c r="E34" s="180"/>
      <c r="F34" s="180"/>
      <c r="G34" s="180"/>
      <c r="H34" s="180"/>
      <c r="I34" s="180"/>
      <c r="J34" s="180"/>
      <c r="K34" s="180"/>
      <c r="L34" s="180"/>
      <c r="M34" s="180"/>
      <c r="N34" s="180"/>
      <c r="O34" s="180"/>
      <c r="P34" s="180"/>
      <c r="Q34" s="180"/>
      <c r="R34" s="180"/>
      <c r="S34" s="180"/>
      <c r="T34" s="180"/>
      <c r="U34" s="180"/>
      <c r="V34" s="180"/>
      <c r="W34" s="180"/>
      <c r="X34" s="180"/>
      <c r="Y34" s="180"/>
      <c r="Z34" s="180"/>
      <c r="AA34" s="180"/>
      <c r="AB34" s="180"/>
      <c r="AC34" s="180"/>
      <c r="AD34" s="180"/>
      <c r="AE34" s="180"/>
      <c r="AF34" s="180"/>
      <c r="AG34" s="180"/>
      <c r="AH34" s="180"/>
      <c r="AI34" s="180"/>
      <c r="AJ34" s="180"/>
      <c r="AK34" s="180"/>
      <c r="AL34" s="180"/>
      <c r="AM34" s="142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37"/>
      <c r="BP34" s="137"/>
      <c r="BQ34" s="137"/>
      <c r="BR34" s="137"/>
      <c r="BS34" s="137"/>
      <c r="BT34" s="137"/>
      <c r="BU34" s="137"/>
      <c r="BV34" s="137"/>
      <c r="BW34" s="137"/>
      <c r="BX34" s="137"/>
      <c r="BY34" s="137"/>
      <c r="BZ34" s="137"/>
      <c r="CA34" s="137"/>
      <c r="CB34" s="137"/>
      <c r="CC34" s="137"/>
      <c r="CD34" s="137"/>
      <c r="CE34" s="137"/>
      <c r="CF34" s="137"/>
      <c r="CG34" s="137"/>
      <c r="CH34" s="137"/>
      <c r="CI34" s="137"/>
      <c r="CJ34" s="137"/>
    </row>
    <row r="35" spans="1:88" ht="13" customHeight="1">
      <c r="A35" s="137"/>
      <c r="B35" s="138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37"/>
      <c r="V35" s="137"/>
      <c r="W35" s="137"/>
      <c r="X35" s="137"/>
      <c r="Y35" s="137"/>
      <c r="Z35" s="137"/>
      <c r="AA35" s="137"/>
      <c r="AB35" s="137"/>
      <c r="AC35" s="137"/>
      <c r="AD35" s="137"/>
      <c r="AE35" s="137"/>
      <c r="AF35" s="137"/>
      <c r="AG35" s="137"/>
      <c r="AH35" s="137"/>
      <c r="AI35" s="137"/>
      <c r="AJ35" s="137"/>
      <c r="AK35" s="137"/>
      <c r="AL35" s="137"/>
      <c r="AM35" s="142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37"/>
      <c r="BP35" s="137"/>
      <c r="BQ35" s="137"/>
      <c r="BR35" s="137"/>
      <c r="BS35" s="137"/>
      <c r="BT35" s="137"/>
      <c r="BU35" s="137"/>
      <c r="BV35" s="137"/>
      <c r="BW35" s="137"/>
      <c r="BX35" s="137"/>
      <c r="BY35" s="137"/>
      <c r="BZ35" s="137"/>
      <c r="CA35" s="137"/>
      <c r="CB35" s="137"/>
      <c r="CC35" s="137"/>
      <c r="CD35" s="137"/>
      <c r="CE35" s="137"/>
      <c r="CF35" s="137"/>
      <c r="CG35" s="137"/>
      <c r="CH35" s="137"/>
      <c r="CI35" s="137"/>
      <c r="CJ35" s="137"/>
    </row>
    <row r="36" spans="1:88" ht="42" customHeight="1">
      <c r="A36" s="137"/>
      <c r="B36" s="138"/>
      <c r="C36" s="292" t="s">
        <v>629</v>
      </c>
      <c r="D36" s="290"/>
      <c r="E36" s="290"/>
      <c r="F36" s="290"/>
      <c r="G36" s="291"/>
      <c r="H36" s="137"/>
      <c r="I36" s="292" t="s">
        <v>630</v>
      </c>
      <c r="J36" s="290"/>
      <c r="K36" s="290"/>
      <c r="L36" s="290"/>
      <c r="M36" s="291"/>
      <c r="N36" s="137"/>
      <c r="O36" s="292" t="s">
        <v>631</v>
      </c>
      <c r="P36" s="290"/>
      <c r="Q36" s="290"/>
      <c r="R36" s="290"/>
      <c r="S36" s="291"/>
      <c r="T36" s="137"/>
      <c r="U36" s="137"/>
      <c r="V36" s="137"/>
      <c r="W36" s="292" t="s">
        <v>637</v>
      </c>
      <c r="X36" s="290"/>
      <c r="Y36" s="290"/>
      <c r="Z36" s="290"/>
      <c r="AA36" s="291"/>
      <c r="AB36" s="137"/>
      <c r="AC36" s="292" t="s">
        <v>638</v>
      </c>
      <c r="AD36" s="290"/>
      <c r="AE36" s="290"/>
      <c r="AF36" s="290"/>
      <c r="AG36" s="291"/>
      <c r="AH36" s="137"/>
      <c r="AI36" s="137"/>
      <c r="AJ36" s="137"/>
      <c r="AK36" s="137"/>
      <c r="AL36" s="137"/>
      <c r="AM36" s="142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37"/>
      <c r="BP36" s="137"/>
      <c r="BQ36" s="137"/>
      <c r="BR36" s="137"/>
      <c r="BS36" s="137"/>
      <c r="BT36" s="137"/>
      <c r="BU36" s="137"/>
      <c r="BV36" s="137"/>
      <c r="BW36" s="137"/>
      <c r="BX36" s="137"/>
      <c r="BY36" s="137"/>
      <c r="BZ36" s="137"/>
      <c r="CA36" s="137"/>
      <c r="CB36" s="137"/>
      <c r="CC36" s="137"/>
      <c r="CD36" s="137"/>
      <c r="CE36" s="137"/>
      <c r="CF36" s="137"/>
      <c r="CG36" s="137"/>
      <c r="CH36" s="137"/>
      <c r="CI36" s="137"/>
      <c r="CJ36" s="137"/>
    </row>
    <row r="37" spans="1:88" ht="10" customHeight="1">
      <c r="A37" s="137"/>
      <c r="B37" s="138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137"/>
      <c r="AC37" s="137"/>
      <c r="AD37" s="137"/>
      <c r="AE37" s="137"/>
      <c r="AF37" s="137"/>
      <c r="AG37" s="137"/>
      <c r="AH37" s="137"/>
      <c r="AI37" s="137"/>
      <c r="AJ37" s="137"/>
      <c r="AK37" s="137"/>
      <c r="AL37" s="137"/>
      <c r="AM37" s="142"/>
      <c r="AN37" s="137"/>
      <c r="AO37" s="137"/>
      <c r="AP37" s="137"/>
      <c r="AQ37" s="137"/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37"/>
      <c r="BH37" s="137"/>
      <c r="BI37" s="137"/>
      <c r="BJ37" s="137"/>
      <c r="BK37" s="137"/>
      <c r="BL37" s="137"/>
      <c r="BM37" s="137"/>
      <c r="BN37" s="137"/>
      <c r="BO37" s="137"/>
      <c r="BP37" s="137"/>
      <c r="BQ37" s="137"/>
      <c r="BR37" s="137"/>
      <c r="BS37" s="137"/>
      <c r="BT37" s="137"/>
      <c r="BU37" s="137"/>
      <c r="BV37" s="137"/>
      <c r="BW37" s="137"/>
      <c r="BX37" s="137"/>
      <c r="BY37" s="137"/>
      <c r="BZ37" s="137"/>
      <c r="CA37" s="137"/>
      <c r="CB37" s="137"/>
      <c r="CC37" s="137"/>
      <c r="CD37" s="137"/>
      <c r="CE37" s="137"/>
      <c r="CF37" s="137"/>
      <c r="CG37" s="137"/>
      <c r="CH37" s="137"/>
      <c r="CI37" s="137"/>
      <c r="CJ37" s="137"/>
    </row>
    <row r="38" spans="1:88" ht="42" customHeight="1">
      <c r="A38" s="137"/>
      <c r="B38" s="138"/>
      <c r="C38" s="137"/>
      <c r="D38" s="137"/>
      <c r="E38" s="137"/>
      <c r="F38" s="292" t="s">
        <v>632</v>
      </c>
      <c r="G38" s="290"/>
      <c r="H38" s="290"/>
      <c r="I38" s="290"/>
      <c r="J38" s="291"/>
      <c r="K38" s="137"/>
      <c r="L38" s="292" t="s">
        <v>633</v>
      </c>
      <c r="M38" s="290"/>
      <c r="N38" s="290"/>
      <c r="O38" s="290"/>
      <c r="P38" s="291"/>
      <c r="Q38" s="137"/>
      <c r="R38" s="137"/>
      <c r="S38" s="137"/>
      <c r="T38" s="137"/>
      <c r="U38" s="137"/>
      <c r="V38" s="137"/>
      <c r="W38" s="137"/>
      <c r="X38" s="137"/>
      <c r="Y38" s="292" t="s">
        <v>640</v>
      </c>
      <c r="Z38" s="290"/>
      <c r="AA38" s="290"/>
      <c r="AB38" s="290"/>
      <c r="AC38" s="291"/>
      <c r="AD38" s="137"/>
      <c r="AE38" s="292" t="s">
        <v>641</v>
      </c>
      <c r="AF38" s="290"/>
      <c r="AG38" s="290"/>
      <c r="AH38" s="290"/>
      <c r="AI38" s="291"/>
      <c r="AJ38" s="137"/>
      <c r="AK38" s="137"/>
      <c r="AL38" s="137"/>
      <c r="AM38" s="142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37"/>
      <c r="BP38" s="137"/>
      <c r="BQ38" s="137"/>
      <c r="BR38" s="137"/>
      <c r="BS38" s="137"/>
      <c r="BT38" s="137"/>
      <c r="BU38" s="137"/>
      <c r="BV38" s="137"/>
      <c r="BW38" s="137"/>
      <c r="BX38" s="137"/>
      <c r="BY38" s="137"/>
      <c r="BZ38" s="137"/>
      <c r="CA38" s="137"/>
      <c r="CB38" s="137"/>
      <c r="CC38" s="137"/>
      <c r="CD38" s="137"/>
      <c r="CE38" s="137"/>
      <c r="CF38" s="137"/>
      <c r="CG38" s="137"/>
      <c r="CH38" s="137"/>
      <c r="CI38" s="137"/>
      <c r="CJ38" s="137"/>
    </row>
    <row r="39" spans="1:88" ht="10" customHeight="1">
      <c r="A39" s="137"/>
      <c r="B39" s="138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  <c r="AM39" s="142"/>
      <c r="AN39" s="137"/>
      <c r="AO39" s="137"/>
      <c r="AP39" s="137"/>
      <c r="AQ39" s="137"/>
      <c r="AR39" s="137"/>
      <c r="AS39" s="137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7"/>
      <c r="BE39" s="137"/>
      <c r="BF39" s="137"/>
      <c r="BG39" s="137"/>
      <c r="BH39" s="137"/>
      <c r="BI39" s="137"/>
      <c r="BJ39" s="137"/>
      <c r="BK39" s="137"/>
      <c r="BL39" s="137"/>
      <c r="BM39" s="137"/>
      <c r="BN39" s="137"/>
      <c r="BO39" s="137"/>
      <c r="BP39" s="137"/>
      <c r="BQ39" s="137"/>
      <c r="BR39" s="137"/>
      <c r="BS39" s="137"/>
      <c r="BT39" s="137"/>
      <c r="BU39" s="137"/>
      <c r="BV39" s="137"/>
      <c r="BW39" s="137"/>
      <c r="BX39" s="137"/>
      <c r="BY39" s="137"/>
      <c r="BZ39" s="137"/>
      <c r="CA39" s="137"/>
      <c r="CB39" s="137"/>
      <c r="CC39" s="137"/>
      <c r="CD39" s="137"/>
      <c r="CE39" s="137"/>
      <c r="CF39" s="137"/>
      <c r="CG39" s="137"/>
      <c r="CH39" s="137"/>
      <c r="CI39" s="137"/>
      <c r="CJ39" s="137"/>
    </row>
    <row r="40" spans="1:88" ht="42" customHeight="1">
      <c r="A40" s="137"/>
      <c r="B40" s="138"/>
      <c r="C40" s="292" t="s">
        <v>634</v>
      </c>
      <c r="D40" s="290"/>
      <c r="E40" s="290"/>
      <c r="F40" s="290"/>
      <c r="G40" s="291"/>
      <c r="H40" s="137"/>
      <c r="I40" s="292" t="s">
        <v>636</v>
      </c>
      <c r="J40" s="290"/>
      <c r="K40" s="290"/>
      <c r="L40" s="290"/>
      <c r="M40" s="291"/>
      <c r="N40" s="137"/>
      <c r="O40" s="292" t="s">
        <v>635</v>
      </c>
      <c r="P40" s="290"/>
      <c r="Q40" s="290"/>
      <c r="R40" s="290"/>
      <c r="S40" s="291"/>
      <c r="T40" s="137"/>
      <c r="U40" s="137"/>
      <c r="V40" s="292" t="s">
        <v>639</v>
      </c>
      <c r="W40" s="290"/>
      <c r="X40" s="290"/>
      <c r="Y40" s="290"/>
      <c r="Z40" s="291"/>
      <c r="AA40" s="137"/>
      <c r="AB40" s="292" t="s">
        <v>643</v>
      </c>
      <c r="AC40" s="290"/>
      <c r="AD40" s="290"/>
      <c r="AE40" s="290"/>
      <c r="AF40" s="291"/>
      <c r="AG40" s="137"/>
      <c r="AH40" s="292" t="s">
        <v>642</v>
      </c>
      <c r="AI40" s="290"/>
      <c r="AJ40" s="290"/>
      <c r="AK40" s="290"/>
      <c r="AL40" s="291"/>
      <c r="AM40" s="142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37"/>
      <c r="BH40" s="137"/>
      <c r="BI40" s="137"/>
      <c r="BJ40" s="137"/>
      <c r="BK40" s="137"/>
      <c r="BL40" s="137"/>
      <c r="BM40" s="137"/>
      <c r="BN40" s="137"/>
      <c r="BO40" s="137"/>
      <c r="BP40" s="137"/>
      <c r="BQ40" s="137"/>
      <c r="BR40" s="137"/>
      <c r="BS40" s="137"/>
      <c r="BT40" s="137"/>
      <c r="BU40" s="137"/>
      <c r="BV40" s="137"/>
      <c r="BW40" s="137"/>
      <c r="BX40" s="137"/>
      <c r="BY40" s="137"/>
      <c r="BZ40" s="137"/>
      <c r="CA40" s="137"/>
      <c r="CB40" s="137"/>
      <c r="CC40" s="137"/>
      <c r="CD40" s="137"/>
      <c r="CE40" s="137"/>
      <c r="CF40" s="137"/>
      <c r="CG40" s="137"/>
      <c r="CH40" s="137"/>
      <c r="CI40" s="137"/>
      <c r="CJ40" s="137"/>
    </row>
    <row r="41" spans="1:88" ht="10" customHeight="1">
      <c r="A41" s="137"/>
      <c r="B41" s="138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  <c r="AG41" s="137"/>
      <c r="AH41" s="137"/>
      <c r="AI41" s="137"/>
      <c r="AJ41" s="137"/>
      <c r="AK41" s="137"/>
      <c r="AL41" s="137"/>
      <c r="AM41" s="142"/>
      <c r="AN41" s="137"/>
      <c r="AO41" s="137"/>
      <c r="AP41" s="137"/>
      <c r="AQ41" s="137"/>
      <c r="AR41" s="137"/>
      <c r="AS41" s="137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7"/>
      <c r="BE41" s="137"/>
      <c r="BF41" s="137"/>
      <c r="BG41" s="137"/>
      <c r="BH41" s="137"/>
      <c r="BI41" s="137"/>
      <c r="BJ41" s="137"/>
      <c r="BK41" s="137"/>
      <c r="BL41" s="137"/>
      <c r="BM41" s="137"/>
      <c r="BN41" s="137"/>
      <c r="BO41" s="137"/>
      <c r="BP41" s="137"/>
      <c r="BQ41" s="137"/>
      <c r="BR41" s="137"/>
      <c r="BS41" s="137"/>
      <c r="BT41" s="137"/>
      <c r="BU41" s="137"/>
      <c r="BV41" s="137"/>
      <c r="BW41" s="137"/>
      <c r="BX41" s="137"/>
      <c r="BY41" s="137"/>
      <c r="BZ41" s="137"/>
      <c r="CA41" s="137"/>
      <c r="CB41" s="137"/>
      <c r="CC41" s="137"/>
      <c r="CD41" s="137"/>
      <c r="CE41" s="137"/>
      <c r="CF41" s="137"/>
      <c r="CG41" s="137"/>
      <c r="CH41" s="137"/>
      <c r="CI41" s="137"/>
      <c r="CJ41" s="137"/>
    </row>
    <row r="42" spans="1:88" ht="42" customHeight="1">
      <c r="A42" s="137"/>
      <c r="B42" s="138"/>
      <c r="C42" s="137"/>
      <c r="D42" s="137"/>
      <c r="E42" s="137"/>
      <c r="F42" s="137"/>
      <c r="G42" s="137"/>
      <c r="H42" s="137"/>
      <c r="I42" s="197" t="s">
        <v>42</v>
      </c>
      <c r="J42" s="192"/>
      <c r="K42" s="192"/>
      <c r="L42" s="192"/>
      <c r="M42" s="193"/>
      <c r="N42" s="137"/>
      <c r="O42" s="197" t="s">
        <v>153</v>
      </c>
      <c r="P42" s="192"/>
      <c r="Q42" s="192"/>
      <c r="R42" s="192"/>
      <c r="S42" s="193"/>
      <c r="T42" s="137"/>
      <c r="U42" s="137"/>
      <c r="V42" s="197" t="s">
        <v>169</v>
      </c>
      <c r="W42" s="192"/>
      <c r="X42" s="192"/>
      <c r="Y42" s="192"/>
      <c r="Z42" s="193"/>
      <c r="AA42" s="137"/>
      <c r="AB42" s="197" t="s">
        <v>32</v>
      </c>
      <c r="AC42" s="192"/>
      <c r="AD42" s="192"/>
      <c r="AE42" s="192"/>
      <c r="AF42" s="193"/>
      <c r="AG42" s="137"/>
      <c r="AH42" s="137"/>
      <c r="AI42" s="137"/>
      <c r="AJ42" s="137"/>
      <c r="AK42" s="137"/>
      <c r="AL42" s="137"/>
      <c r="AM42" s="142"/>
      <c r="AN42" s="137"/>
      <c r="AO42" s="137"/>
      <c r="AP42" s="137"/>
      <c r="AQ42" s="137"/>
      <c r="AR42" s="137"/>
      <c r="AS42" s="137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37"/>
      <c r="BP42" s="137"/>
      <c r="BQ42" s="137"/>
      <c r="BR42" s="137"/>
      <c r="BS42" s="137"/>
      <c r="BT42" s="137"/>
      <c r="BU42" s="137"/>
      <c r="BV42" s="137"/>
      <c r="BW42" s="137"/>
      <c r="BX42" s="137"/>
      <c r="BY42" s="137"/>
      <c r="BZ42" s="137"/>
      <c r="CA42" s="137"/>
      <c r="CB42" s="137"/>
      <c r="CC42" s="137"/>
      <c r="CD42" s="137"/>
      <c r="CE42" s="137"/>
      <c r="CF42" s="137"/>
      <c r="CG42" s="137"/>
      <c r="CH42" s="137"/>
      <c r="CI42" s="137"/>
      <c r="CJ42" s="137"/>
    </row>
    <row r="43" spans="1:88" s="3" customFormat="1" ht="10" customHeight="1" thickBot="1">
      <c r="A43" s="137"/>
      <c r="B43" s="143"/>
      <c r="C43" s="144"/>
      <c r="D43" s="144"/>
      <c r="E43" s="144"/>
      <c r="F43" s="144"/>
      <c r="G43" s="144"/>
      <c r="H43" s="144"/>
      <c r="I43" s="144"/>
      <c r="J43" s="144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  <c r="AF43" s="144"/>
      <c r="AG43" s="144"/>
      <c r="AH43" s="144"/>
      <c r="AI43" s="144"/>
      <c r="AJ43" s="144"/>
      <c r="AK43" s="144"/>
      <c r="AL43" s="144"/>
      <c r="AM43" s="145"/>
      <c r="AN43" s="137"/>
      <c r="AO43" s="137"/>
      <c r="AP43" s="137"/>
      <c r="AQ43" s="137"/>
      <c r="AR43" s="137"/>
      <c r="AS43" s="137"/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7"/>
      <c r="BE43" s="137"/>
      <c r="BF43" s="137"/>
      <c r="BG43" s="137"/>
      <c r="BH43" s="137"/>
      <c r="BI43" s="137"/>
      <c r="BJ43" s="137"/>
      <c r="BK43" s="137"/>
      <c r="BL43" s="137"/>
      <c r="BM43" s="137"/>
      <c r="BN43" s="137"/>
      <c r="BO43" s="137"/>
      <c r="BP43" s="137"/>
      <c r="BQ43" s="137"/>
      <c r="BR43" s="137"/>
      <c r="BS43" s="137"/>
      <c r="BT43" s="137"/>
      <c r="BU43" s="137"/>
      <c r="BV43" s="137"/>
      <c r="BW43" s="137"/>
      <c r="BX43" s="137"/>
      <c r="BY43" s="137"/>
      <c r="BZ43" s="137"/>
      <c r="CA43" s="137"/>
      <c r="CB43" s="137"/>
      <c r="CC43" s="137"/>
      <c r="CD43" s="137"/>
      <c r="CE43" s="137"/>
      <c r="CF43" s="137"/>
      <c r="CG43" s="137"/>
      <c r="CH43" s="137"/>
      <c r="CI43" s="137"/>
      <c r="CJ43" s="137"/>
    </row>
    <row r="44" spans="1:88" ht="10" customHeight="1" thickBot="1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  <c r="AG44" s="137"/>
      <c r="AH44" s="137"/>
      <c r="AI44" s="137"/>
      <c r="AJ44" s="137"/>
      <c r="AK44" s="137"/>
      <c r="AL44" s="137"/>
      <c r="AM44" s="137"/>
      <c r="AN44" s="137"/>
      <c r="AO44" s="137"/>
      <c r="AP44" s="137"/>
      <c r="AQ44" s="137"/>
      <c r="AR44" s="137"/>
      <c r="AS44" s="137"/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7"/>
      <c r="BE44" s="137"/>
      <c r="BF44" s="137"/>
      <c r="BG44" s="137"/>
      <c r="BH44" s="137"/>
      <c r="BI44" s="137"/>
      <c r="BJ44" s="137"/>
      <c r="BK44" s="137"/>
      <c r="BL44" s="137"/>
      <c r="BM44" s="137"/>
      <c r="BN44" s="137"/>
      <c r="BO44" s="137"/>
      <c r="BP44" s="137"/>
      <c r="BQ44" s="137"/>
      <c r="BR44" s="137"/>
      <c r="BS44" s="137"/>
      <c r="BT44" s="137"/>
      <c r="BU44" s="137"/>
      <c r="BV44" s="137"/>
      <c r="BW44" s="137"/>
      <c r="BX44" s="137"/>
      <c r="BY44" s="137"/>
      <c r="BZ44" s="137"/>
      <c r="CA44" s="137"/>
      <c r="CB44" s="137"/>
      <c r="CC44" s="137"/>
      <c r="CD44" s="137"/>
      <c r="CE44" s="137"/>
      <c r="CF44" s="137"/>
      <c r="CG44" s="137"/>
      <c r="CH44" s="137"/>
      <c r="CI44" s="137"/>
      <c r="CJ44" s="137"/>
    </row>
    <row r="45" spans="1:88" ht="10" customHeight="1">
      <c r="A45" s="137"/>
      <c r="B45" s="139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1"/>
      <c r="AN45" s="137"/>
      <c r="AO45" s="137"/>
      <c r="AP45" s="137"/>
      <c r="AQ45" s="137"/>
      <c r="AR45" s="137"/>
      <c r="AS45" s="137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7"/>
      <c r="BE45" s="137"/>
      <c r="BF45" s="137"/>
      <c r="BG45" s="137"/>
      <c r="BH45" s="137"/>
      <c r="BI45" s="137"/>
      <c r="BJ45" s="137"/>
      <c r="BK45" s="137"/>
      <c r="BL45" s="137"/>
      <c r="BM45" s="137"/>
      <c r="BN45" s="137"/>
      <c r="BO45" s="137"/>
      <c r="BP45" s="137"/>
      <c r="BQ45" s="137"/>
      <c r="BR45" s="137"/>
      <c r="BS45" s="137"/>
      <c r="BT45" s="137"/>
      <c r="BU45" s="137"/>
      <c r="BV45" s="137"/>
      <c r="BW45" s="137"/>
      <c r="BX45" s="137"/>
      <c r="BY45" s="137"/>
      <c r="BZ45" s="137"/>
      <c r="CA45" s="137"/>
      <c r="CB45" s="137"/>
      <c r="CC45" s="137"/>
      <c r="CD45" s="137"/>
      <c r="CE45" s="137"/>
      <c r="CF45" s="137"/>
      <c r="CG45" s="137"/>
      <c r="CH45" s="137"/>
      <c r="CI45" s="137"/>
      <c r="CJ45" s="137"/>
    </row>
    <row r="46" spans="1:88" ht="15" customHeight="1">
      <c r="A46" s="137"/>
      <c r="B46" s="138"/>
      <c r="C46" s="179" t="s">
        <v>40</v>
      </c>
      <c r="D46" s="180"/>
      <c r="E46" s="180"/>
      <c r="F46" s="180"/>
      <c r="G46" s="180"/>
      <c r="H46" s="180"/>
      <c r="I46" s="180"/>
      <c r="J46" s="180"/>
      <c r="K46" s="180"/>
      <c r="L46" s="180"/>
      <c r="M46" s="180"/>
      <c r="N46" s="180"/>
      <c r="O46" s="180"/>
      <c r="P46" s="180"/>
      <c r="Q46" s="180"/>
      <c r="R46" s="180"/>
      <c r="S46" s="180"/>
      <c r="T46" s="180"/>
      <c r="U46" s="180"/>
      <c r="V46" s="180"/>
      <c r="W46" s="180"/>
      <c r="X46" s="180"/>
      <c r="Y46" s="180"/>
      <c r="Z46" s="180"/>
      <c r="AA46" s="180"/>
      <c r="AB46" s="180"/>
      <c r="AC46" s="180"/>
      <c r="AD46" s="180"/>
      <c r="AE46" s="180"/>
      <c r="AF46" s="180"/>
      <c r="AG46" s="180"/>
      <c r="AH46" s="180"/>
      <c r="AI46" s="180"/>
      <c r="AJ46" s="180"/>
      <c r="AK46" s="180"/>
      <c r="AL46" s="180"/>
      <c r="AM46" s="142"/>
      <c r="AN46" s="137"/>
      <c r="AO46" s="137"/>
      <c r="AP46" s="137"/>
      <c r="AQ46" s="137"/>
      <c r="AR46" s="137"/>
      <c r="AS46" s="137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7"/>
      <c r="BE46" s="137"/>
      <c r="BF46" s="137"/>
      <c r="BG46" s="137"/>
      <c r="BH46" s="137"/>
      <c r="BI46" s="137"/>
      <c r="BJ46" s="137"/>
      <c r="BK46" s="137"/>
      <c r="BL46" s="137"/>
      <c r="BM46" s="137"/>
      <c r="BN46" s="137"/>
      <c r="BO46" s="137"/>
      <c r="BP46" s="137"/>
      <c r="BQ46" s="137"/>
      <c r="BR46" s="137"/>
      <c r="BS46" s="137"/>
      <c r="BT46" s="137"/>
      <c r="BU46" s="137"/>
      <c r="BV46" s="137"/>
      <c r="BW46" s="137"/>
      <c r="BX46" s="137"/>
      <c r="BY46" s="137"/>
      <c r="BZ46" s="137"/>
      <c r="CA46" s="137"/>
      <c r="CB46" s="137"/>
      <c r="CC46" s="137"/>
      <c r="CD46" s="137"/>
      <c r="CE46" s="137"/>
      <c r="CF46" s="137"/>
      <c r="CG46" s="137"/>
      <c r="CH46" s="137"/>
      <c r="CI46" s="137"/>
      <c r="CJ46" s="137"/>
    </row>
    <row r="47" spans="1:88" ht="11" customHeight="1">
      <c r="A47" s="137"/>
      <c r="B47" s="138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  <c r="AC47" s="137"/>
      <c r="AD47" s="137"/>
      <c r="AE47" s="137"/>
      <c r="AF47" s="137"/>
      <c r="AG47" s="137"/>
      <c r="AH47" s="137"/>
      <c r="AI47" s="137"/>
      <c r="AJ47" s="137"/>
      <c r="AK47" s="137"/>
      <c r="AL47" s="137"/>
      <c r="AM47" s="142"/>
      <c r="AN47" s="137"/>
      <c r="AO47" s="137"/>
      <c r="AP47" s="137"/>
      <c r="AQ47" s="137"/>
      <c r="AR47" s="137"/>
      <c r="AS47" s="137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7"/>
      <c r="BE47" s="137"/>
      <c r="BF47" s="137"/>
      <c r="BG47" s="137"/>
      <c r="BH47" s="137"/>
      <c r="BI47" s="137"/>
      <c r="BJ47" s="137"/>
      <c r="BK47" s="137"/>
      <c r="BL47" s="137"/>
      <c r="BM47" s="137"/>
      <c r="BN47" s="137"/>
      <c r="BO47" s="137"/>
      <c r="BP47" s="137"/>
      <c r="BQ47" s="137"/>
      <c r="BR47" s="137"/>
      <c r="BS47" s="137"/>
      <c r="BT47" s="137"/>
      <c r="BU47" s="137"/>
      <c r="BV47" s="137"/>
      <c r="BW47" s="137"/>
      <c r="BX47" s="137"/>
      <c r="BY47" s="137"/>
      <c r="BZ47" s="137"/>
      <c r="CA47" s="137"/>
      <c r="CB47" s="137"/>
      <c r="CC47" s="137"/>
      <c r="CD47" s="137"/>
      <c r="CE47" s="137"/>
      <c r="CF47" s="137"/>
      <c r="CG47" s="137"/>
      <c r="CH47" s="137"/>
      <c r="CI47" s="137"/>
      <c r="CJ47" s="137"/>
    </row>
    <row r="48" spans="1:88" ht="15" customHeight="1">
      <c r="A48" s="137"/>
      <c r="B48" s="138"/>
      <c r="C48" s="185" t="s">
        <v>41</v>
      </c>
      <c r="D48" s="180"/>
      <c r="E48" s="180"/>
      <c r="F48" s="180"/>
      <c r="G48" s="180"/>
      <c r="H48" s="180"/>
      <c r="I48" s="180"/>
      <c r="J48" s="180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42"/>
      <c r="AN48" s="137"/>
      <c r="AO48" s="137"/>
      <c r="AP48" s="137"/>
      <c r="AQ48" s="137"/>
      <c r="AR48" s="137"/>
      <c r="AS48" s="137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7"/>
      <c r="BE48" s="137"/>
      <c r="BF48" s="137"/>
      <c r="BG48" s="137"/>
      <c r="BH48" s="137"/>
      <c r="BI48" s="137"/>
      <c r="BJ48" s="137"/>
      <c r="BK48" s="137"/>
      <c r="BL48" s="137"/>
      <c r="BM48" s="137"/>
      <c r="BN48" s="137"/>
      <c r="BO48" s="137"/>
      <c r="BP48" s="137"/>
      <c r="BQ48" s="137"/>
      <c r="BR48" s="137"/>
      <c r="BS48" s="137"/>
      <c r="BT48" s="137"/>
      <c r="BU48" s="137"/>
      <c r="BV48" s="137"/>
      <c r="BW48" s="137"/>
      <c r="BX48" s="137"/>
      <c r="BY48" s="137"/>
      <c r="BZ48" s="137"/>
      <c r="CA48" s="137"/>
      <c r="CB48" s="137"/>
      <c r="CC48" s="137"/>
      <c r="CD48" s="137"/>
      <c r="CE48" s="137"/>
      <c r="CF48" s="137"/>
      <c r="CG48" s="137"/>
      <c r="CH48" s="137"/>
      <c r="CI48" s="137"/>
      <c r="CJ48" s="137"/>
    </row>
    <row r="49" spans="1:88" ht="6" customHeight="1">
      <c r="A49" s="137"/>
      <c r="B49" s="138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  <c r="AM49" s="142"/>
      <c r="AN49" s="137"/>
      <c r="AO49" s="137"/>
      <c r="AP49" s="137"/>
      <c r="AQ49" s="137"/>
      <c r="AR49" s="137"/>
      <c r="AS49" s="137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7"/>
      <c r="BE49" s="137"/>
      <c r="BF49" s="137"/>
      <c r="BG49" s="137"/>
      <c r="BH49" s="137"/>
      <c r="BI49" s="137"/>
      <c r="BJ49" s="137"/>
      <c r="BK49" s="137"/>
      <c r="BL49" s="137"/>
      <c r="BM49" s="137"/>
      <c r="BN49" s="137"/>
      <c r="BO49" s="137"/>
      <c r="BP49" s="137"/>
      <c r="BQ49" s="137"/>
      <c r="BR49" s="137"/>
      <c r="BS49" s="137"/>
      <c r="BT49" s="137"/>
      <c r="BU49" s="137"/>
      <c r="BV49" s="137"/>
      <c r="BW49" s="137"/>
      <c r="BX49" s="137"/>
      <c r="BY49" s="137"/>
      <c r="BZ49" s="137"/>
      <c r="CA49" s="137"/>
      <c r="CB49" s="137"/>
      <c r="CC49" s="137"/>
      <c r="CD49" s="137"/>
      <c r="CE49" s="137"/>
      <c r="CF49" s="137"/>
      <c r="CG49" s="137"/>
      <c r="CH49" s="137"/>
      <c r="CI49" s="137"/>
      <c r="CJ49" s="137"/>
    </row>
    <row r="50" spans="1:88" ht="42" customHeight="1">
      <c r="A50" s="137"/>
      <c r="B50" s="138"/>
      <c r="C50" s="191">
        <v>2.5881475694444447E-2</v>
      </c>
      <c r="D50" s="192"/>
      <c r="E50" s="192"/>
      <c r="F50" s="192"/>
      <c r="G50" s="192"/>
      <c r="H50" s="192"/>
      <c r="I50" s="192"/>
      <c r="J50" s="192"/>
      <c r="K50" s="192"/>
      <c r="L50" s="192"/>
      <c r="M50" s="192"/>
      <c r="N50" s="193"/>
      <c r="O50" s="137"/>
      <c r="P50" s="194" t="s">
        <v>12</v>
      </c>
      <c r="Q50" s="195"/>
      <c r="R50" s="195"/>
      <c r="S50" s="195"/>
      <c r="T50" s="196"/>
      <c r="U50" s="137"/>
      <c r="V50" s="194" t="s">
        <v>11</v>
      </c>
      <c r="W50" s="195"/>
      <c r="X50" s="195"/>
      <c r="Y50" s="195"/>
      <c r="Z50" s="196"/>
      <c r="AA50" s="137"/>
      <c r="AB50" s="194" t="s">
        <v>118</v>
      </c>
      <c r="AC50" s="195"/>
      <c r="AD50" s="195"/>
      <c r="AE50" s="195"/>
      <c r="AF50" s="196"/>
      <c r="AG50" s="137"/>
      <c r="AH50" s="186" t="s">
        <v>13</v>
      </c>
      <c r="AI50" s="187"/>
      <c r="AJ50" s="187"/>
      <c r="AK50" s="187"/>
      <c r="AL50" s="188"/>
      <c r="AM50" s="142"/>
      <c r="AN50" s="137"/>
      <c r="AO50" s="137"/>
      <c r="AP50" s="137"/>
      <c r="AQ50" s="137"/>
      <c r="AR50" s="137"/>
      <c r="AS50" s="137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7"/>
      <c r="BE50" s="137"/>
      <c r="BF50" s="137"/>
      <c r="BG50" s="137"/>
      <c r="BH50" s="137"/>
      <c r="BI50" s="137"/>
      <c r="BJ50" s="137"/>
      <c r="BK50" s="137"/>
      <c r="BL50" s="137"/>
      <c r="BM50" s="137"/>
      <c r="BN50" s="137"/>
      <c r="BO50" s="137"/>
      <c r="BP50" s="137"/>
      <c r="BQ50" s="137"/>
      <c r="BR50" s="137"/>
      <c r="BS50" s="137"/>
      <c r="BT50" s="137"/>
      <c r="BU50" s="137"/>
      <c r="BV50" s="137"/>
      <c r="BW50" s="137"/>
      <c r="BX50" s="137"/>
      <c r="BY50" s="137"/>
      <c r="BZ50" s="137"/>
      <c r="CA50" s="137"/>
      <c r="CB50" s="137"/>
      <c r="CC50" s="137"/>
      <c r="CD50" s="137"/>
      <c r="CE50" s="137"/>
      <c r="CF50" s="137"/>
      <c r="CG50" s="137"/>
      <c r="CH50" s="137"/>
      <c r="CI50" s="137"/>
      <c r="CJ50" s="137"/>
    </row>
    <row r="51" spans="1:88" ht="93" customHeight="1">
      <c r="A51" s="137"/>
      <c r="B51" s="138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  <c r="AM51" s="142"/>
      <c r="AN51" s="137"/>
      <c r="AO51" s="137"/>
      <c r="AP51" s="137"/>
      <c r="AQ51" s="137"/>
      <c r="AR51" s="137"/>
      <c r="AS51" s="137"/>
      <c r="AT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7"/>
      <c r="BE51" s="137"/>
      <c r="BF51" s="137"/>
      <c r="BG51" s="137"/>
      <c r="BH51" s="137"/>
      <c r="BI51" s="137"/>
      <c r="BJ51" s="137"/>
      <c r="BK51" s="137"/>
      <c r="BL51" s="137"/>
      <c r="BM51" s="137"/>
      <c r="BN51" s="137"/>
      <c r="BO51" s="137"/>
      <c r="BP51" s="137"/>
      <c r="BQ51" s="137"/>
      <c r="BR51" s="137"/>
      <c r="BS51" s="137"/>
      <c r="BT51" s="137"/>
      <c r="BU51" s="137"/>
      <c r="BV51" s="137"/>
      <c r="BW51" s="137"/>
      <c r="BX51" s="137"/>
      <c r="BY51" s="137"/>
      <c r="BZ51" s="137"/>
      <c r="CA51" s="137"/>
      <c r="CB51" s="137"/>
      <c r="CC51" s="137"/>
      <c r="CD51" s="137"/>
      <c r="CE51" s="137"/>
      <c r="CF51" s="137"/>
      <c r="CG51" s="137"/>
      <c r="CH51" s="137"/>
      <c r="CI51" s="137"/>
      <c r="CJ51" s="137"/>
    </row>
    <row r="52" spans="1:88" ht="15" customHeight="1" thickBot="1">
      <c r="A52" s="137"/>
      <c r="B52" s="143"/>
      <c r="C52" s="144"/>
      <c r="D52" s="144"/>
      <c r="E52" s="144"/>
      <c r="F52" s="144"/>
      <c r="G52" s="144"/>
      <c r="H52" s="144"/>
      <c r="I52" s="144"/>
      <c r="J52" s="144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4"/>
      <c r="AB52" s="144"/>
      <c r="AC52" s="144"/>
      <c r="AD52" s="144"/>
      <c r="AE52" s="144"/>
      <c r="AF52" s="144"/>
      <c r="AG52" s="144"/>
      <c r="AH52" s="144"/>
      <c r="AI52" s="144"/>
      <c r="AJ52" s="144"/>
      <c r="AK52" s="144"/>
      <c r="AL52" s="144"/>
      <c r="AM52" s="145"/>
      <c r="AN52" s="137"/>
      <c r="AO52" s="137"/>
      <c r="AP52" s="137"/>
      <c r="AQ52" s="137"/>
      <c r="AR52" s="137"/>
      <c r="AS52" s="137"/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7"/>
      <c r="BE52" s="137"/>
      <c r="BF52" s="137"/>
      <c r="BG52" s="137"/>
      <c r="BH52" s="137"/>
      <c r="BI52" s="137"/>
      <c r="BJ52" s="137"/>
      <c r="BK52" s="137"/>
      <c r="BL52" s="137"/>
      <c r="BM52" s="137"/>
      <c r="BN52" s="137"/>
      <c r="BO52" s="137"/>
      <c r="BP52" s="137"/>
      <c r="BQ52" s="137"/>
      <c r="BR52" s="137"/>
      <c r="BS52" s="137"/>
      <c r="BT52" s="137"/>
      <c r="BU52" s="137"/>
      <c r="BV52" s="137"/>
      <c r="BW52" s="137"/>
      <c r="BX52" s="137"/>
      <c r="BY52" s="137"/>
      <c r="BZ52" s="137"/>
      <c r="CA52" s="137"/>
      <c r="CB52" s="137"/>
      <c r="CC52" s="137"/>
      <c r="CD52" s="137"/>
      <c r="CE52" s="137"/>
      <c r="CF52" s="137"/>
      <c r="CG52" s="137"/>
      <c r="CH52" s="137"/>
      <c r="CI52" s="137"/>
      <c r="CJ52" s="137"/>
    </row>
    <row r="53" spans="1:88" s="3" customFormat="1" ht="15" customHeight="1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7"/>
      <c r="BE53" s="137"/>
      <c r="BF53" s="137"/>
      <c r="BG53" s="137"/>
      <c r="BH53" s="137"/>
      <c r="BI53" s="137"/>
      <c r="BJ53" s="137"/>
      <c r="BK53" s="137"/>
      <c r="BL53" s="137"/>
      <c r="BM53" s="137"/>
      <c r="BN53" s="137"/>
      <c r="BO53" s="137"/>
      <c r="BP53" s="137"/>
      <c r="BQ53" s="137"/>
      <c r="BR53" s="137"/>
      <c r="BS53" s="137"/>
      <c r="BT53" s="137"/>
      <c r="BU53" s="137"/>
      <c r="BV53" s="137"/>
      <c r="BW53" s="137"/>
      <c r="BX53" s="137"/>
      <c r="BY53" s="137"/>
      <c r="BZ53" s="137"/>
      <c r="CA53" s="137"/>
      <c r="CB53" s="137"/>
      <c r="CC53" s="137"/>
      <c r="CD53" s="137"/>
      <c r="CE53" s="137"/>
      <c r="CF53" s="137"/>
      <c r="CG53" s="137"/>
      <c r="CH53" s="137"/>
      <c r="CI53" s="137"/>
      <c r="CJ53" s="137"/>
    </row>
    <row r="54" spans="1:88" s="3" customFormat="1" ht="13" customHeight="1">
      <c r="A54" s="137"/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  <c r="U54" s="137"/>
      <c r="V54" s="137"/>
      <c r="W54" s="137"/>
      <c r="X54" s="137"/>
      <c r="Y54" s="137"/>
      <c r="Z54" s="137"/>
      <c r="AA54" s="137"/>
      <c r="AB54" s="137"/>
      <c r="AC54" s="137"/>
      <c r="AD54" s="137"/>
      <c r="AE54" s="137"/>
      <c r="AF54" s="137"/>
      <c r="AG54" s="137"/>
      <c r="AH54" s="137"/>
      <c r="AI54" s="137"/>
      <c r="AJ54" s="137"/>
      <c r="AK54" s="137"/>
      <c r="AL54" s="137"/>
      <c r="AM54" s="137"/>
      <c r="AN54" s="137"/>
      <c r="AO54" s="137"/>
      <c r="AP54" s="137"/>
      <c r="AQ54" s="137"/>
      <c r="AR54" s="137"/>
      <c r="AS54" s="137"/>
      <c r="AT54" s="137"/>
      <c r="AU54" s="137"/>
      <c r="AV54" s="137"/>
      <c r="AW54" s="137"/>
      <c r="AX54" s="137"/>
      <c r="AY54" s="137"/>
      <c r="AZ54" s="137"/>
      <c r="BA54" s="137"/>
      <c r="BB54" s="137"/>
      <c r="BC54" s="137"/>
      <c r="BD54" s="137"/>
      <c r="BE54" s="137"/>
      <c r="BF54" s="137"/>
      <c r="BG54" s="137"/>
      <c r="BH54" s="137"/>
      <c r="BI54" s="137"/>
      <c r="BJ54" s="137"/>
      <c r="BK54" s="137"/>
      <c r="BL54" s="137"/>
      <c r="BM54" s="137"/>
      <c r="BN54" s="137"/>
      <c r="BO54" s="137"/>
      <c r="BP54" s="137"/>
      <c r="BQ54" s="137"/>
      <c r="BR54" s="137"/>
      <c r="BS54" s="137"/>
      <c r="BT54" s="137"/>
      <c r="BU54" s="137"/>
      <c r="BV54" s="137"/>
      <c r="BW54" s="137"/>
      <c r="BX54" s="137"/>
      <c r="BY54" s="137"/>
      <c r="BZ54" s="137"/>
      <c r="CA54" s="137"/>
      <c r="CB54" s="137"/>
      <c r="CC54" s="137"/>
      <c r="CD54" s="137"/>
      <c r="CE54" s="137"/>
      <c r="CF54" s="137"/>
      <c r="CG54" s="137"/>
      <c r="CH54" s="137"/>
      <c r="CI54" s="137"/>
      <c r="CJ54" s="137"/>
    </row>
    <row r="55" spans="1:88" s="3" customFormat="1" ht="13" customHeight="1">
      <c r="A55" s="137"/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7"/>
      <c r="AP55" s="137"/>
      <c r="AQ55" s="137"/>
      <c r="AR55" s="137"/>
      <c r="AS55" s="137"/>
      <c r="AT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37"/>
      <c r="BE55" s="137"/>
      <c r="BF55" s="137"/>
      <c r="BG55" s="137"/>
      <c r="BH55" s="137"/>
      <c r="BI55" s="137"/>
      <c r="BJ55" s="137"/>
      <c r="BK55" s="137"/>
      <c r="BL55" s="137"/>
      <c r="BM55" s="137"/>
      <c r="BN55" s="137"/>
      <c r="BO55" s="137"/>
      <c r="BP55" s="137"/>
      <c r="BQ55" s="137"/>
      <c r="BR55" s="137"/>
      <c r="BS55" s="137"/>
      <c r="BT55" s="137"/>
      <c r="BU55" s="137"/>
      <c r="BV55" s="137"/>
      <c r="BW55" s="137"/>
      <c r="BX55" s="137"/>
      <c r="BY55" s="137"/>
      <c r="BZ55" s="137"/>
      <c r="CA55" s="137"/>
      <c r="CB55" s="137"/>
      <c r="CC55" s="137"/>
      <c r="CD55" s="137"/>
      <c r="CE55" s="137"/>
      <c r="CF55" s="137"/>
      <c r="CG55" s="137"/>
      <c r="CH55" s="137"/>
      <c r="CI55" s="137"/>
      <c r="CJ55" s="137"/>
    </row>
    <row r="56" spans="1:88" s="3" customFormat="1" ht="13" customHeight="1">
      <c r="A56" s="137"/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  <c r="BE56" s="137"/>
      <c r="BF56" s="137"/>
      <c r="BG56" s="137"/>
      <c r="BH56" s="137"/>
      <c r="BI56" s="137"/>
      <c r="BJ56" s="137"/>
      <c r="BK56" s="137"/>
      <c r="BL56" s="137"/>
      <c r="BM56" s="137"/>
      <c r="BN56" s="137"/>
      <c r="BO56" s="137"/>
      <c r="BP56" s="137"/>
      <c r="BQ56" s="137"/>
      <c r="BR56" s="137"/>
      <c r="BS56" s="137"/>
      <c r="BT56" s="137"/>
      <c r="BU56" s="137"/>
      <c r="BV56" s="137"/>
      <c r="BW56" s="137"/>
      <c r="BX56" s="137"/>
      <c r="BY56" s="137"/>
      <c r="BZ56" s="137"/>
      <c r="CA56" s="137"/>
      <c r="CB56" s="137"/>
      <c r="CC56" s="137"/>
      <c r="CD56" s="137"/>
      <c r="CE56" s="137"/>
      <c r="CF56" s="137"/>
      <c r="CG56" s="137"/>
      <c r="CH56" s="137"/>
      <c r="CI56" s="137"/>
      <c r="CJ56" s="137"/>
    </row>
    <row r="57" spans="1:88" s="3" customFormat="1" ht="13" customHeight="1">
      <c r="A57" s="137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  <c r="BF57" s="137"/>
      <c r="BG57" s="137"/>
      <c r="BH57" s="137"/>
      <c r="BI57" s="137"/>
      <c r="BJ57" s="137"/>
      <c r="BK57" s="137"/>
      <c r="BL57" s="137"/>
      <c r="BM57" s="137"/>
      <c r="BN57" s="137"/>
      <c r="BO57" s="137"/>
      <c r="BP57" s="137"/>
      <c r="BQ57" s="137"/>
      <c r="BR57" s="137"/>
      <c r="BS57" s="137"/>
      <c r="BT57" s="137"/>
      <c r="BU57" s="137"/>
      <c r="BV57" s="137"/>
      <c r="BW57" s="137"/>
      <c r="BX57" s="137"/>
      <c r="BY57" s="137"/>
      <c r="BZ57" s="137"/>
      <c r="CA57" s="137"/>
      <c r="CB57" s="137"/>
      <c r="CC57" s="137"/>
      <c r="CD57" s="137"/>
      <c r="CE57" s="137"/>
      <c r="CF57" s="137"/>
      <c r="CG57" s="137"/>
      <c r="CH57" s="137"/>
      <c r="CI57" s="137"/>
      <c r="CJ57" s="137"/>
    </row>
    <row r="58" spans="1:88" s="3" customFormat="1" ht="13" customHeight="1">
      <c r="A58" s="137"/>
      <c r="B58" s="137"/>
      <c r="C58" s="137"/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  <c r="AH58" s="137"/>
      <c r="AI58" s="137"/>
      <c r="AJ58" s="137"/>
      <c r="AK58" s="137"/>
      <c r="AL58" s="137"/>
      <c r="AM58" s="137"/>
      <c r="AN58" s="137"/>
      <c r="AO58" s="137"/>
      <c r="AP58" s="137"/>
      <c r="AQ58" s="137"/>
      <c r="AR58" s="137"/>
      <c r="AS58" s="137"/>
      <c r="AT58" s="137"/>
      <c r="AU58" s="137"/>
      <c r="AV58" s="137"/>
      <c r="AW58" s="137"/>
      <c r="AX58" s="137"/>
      <c r="AY58" s="137"/>
      <c r="AZ58" s="137"/>
      <c r="BA58" s="137"/>
      <c r="BB58" s="137"/>
      <c r="BC58" s="137"/>
      <c r="BD58" s="137"/>
      <c r="BE58" s="137"/>
      <c r="BF58" s="137"/>
      <c r="BG58" s="137"/>
      <c r="BH58" s="137"/>
      <c r="BI58" s="137"/>
      <c r="BJ58" s="137"/>
      <c r="BK58" s="137"/>
      <c r="BL58" s="137"/>
      <c r="BM58" s="137"/>
      <c r="BN58" s="137"/>
      <c r="BO58" s="137"/>
      <c r="BP58" s="137"/>
      <c r="BQ58" s="137"/>
      <c r="BR58" s="137"/>
      <c r="BS58" s="137"/>
      <c r="BT58" s="137"/>
      <c r="BU58" s="137"/>
      <c r="BV58" s="137"/>
      <c r="BW58" s="137"/>
      <c r="BX58" s="137"/>
      <c r="BY58" s="137"/>
      <c r="BZ58" s="137"/>
      <c r="CA58" s="137"/>
      <c r="CB58" s="137"/>
      <c r="CC58" s="137"/>
      <c r="CD58" s="137"/>
      <c r="CE58" s="137"/>
      <c r="CF58" s="137"/>
      <c r="CG58" s="137"/>
      <c r="CH58" s="137"/>
      <c r="CI58" s="137"/>
      <c r="CJ58" s="137"/>
    </row>
    <row r="59" spans="1:88" s="3" customFormat="1" ht="13" customHeight="1">
      <c r="A59" s="137"/>
      <c r="B59" s="137"/>
      <c r="C59" s="137"/>
      <c r="D59" s="137"/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7"/>
      <c r="BE59" s="137"/>
      <c r="BF59" s="137"/>
      <c r="BG59" s="137"/>
      <c r="BH59" s="137"/>
      <c r="BI59" s="137"/>
      <c r="BJ59" s="137"/>
      <c r="BK59" s="137"/>
      <c r="BL59" s="137"/>
      <c r="BM59" s="137"/>
      <c r="BN59" s="137"/>
      <c r="BO59" s="137"/>
      <c r="BP59" s="137"/>
      <c r="BQ59" s="137"/>
      <c r="BR59" s="137"/>
      <c r="BS59" s="137"/>
      <c r="BT59" s="137"/>
      <c r="BU59" s="137"/>
      <c r="BV59" s="137"/>
      <c r="BW59" s="137"/>
      <c r="BX59" s="137"/>
      <c r="BY59" s="137"/>
      <c r="BZ59" s="137"/>
      <c r="CA59" s="137"/>
      <c r="CB59" s="137"/>
      <c r="CC59" s="137"/>
      <c r="CD59" s="137"/>
      <c r="CE59" s="137"/>
      <c r="CF59" s="137"/>
      <c r="CG59" s="137"/>
      <c r="CH59" s="137"/>
      <c r="CI59" s="137"/>
      <c r="CJ59" s="137"/>
    </row>
    <row r="60" spans="1:88" s="3" customFormat="1" ht="13" customHeight="1">
      <c r="A60" s="137"/>
      <c r="B60" s="137"/>
      <c r="C60" s="137"/>
      <c r="D60" s="137"/>
      <c r="E60" s="137"/>
      <c r="F60" s="137"/>
      <c r="G60" s="137"/>
      <c r="H60" s="137"/>
      <c r="I60" s="137"/>
      <c r="J60" s="137"/>
      <c r="K60" s="137"/>
      <c r="L60" s="137"/>
      <c r="M60" s="137"/>
      <c r="N60" s="137"/>
      <c r="O60" s="137"/>
      <c r="P60" s="137"/>
      <c r="Q60" s="137"/>
      <c r="R60" s="137"/>
      <c r="S60" s="137"/>
      <c r="T60" s="137"/>
      <c r="U60" s="137"/>
      <c r="V60" s="137"/>
      <c r="W60" s="137"/>
      <c r="X60" s="137"/>
      <c r="Y60" s="137"/>
      <c r="Z60" s="137"/>
      <c r="AA60" s="137"/>
      <c r="AB60" s="137"/>
      <c r="AC60" s="137"/>
      <c r="AD60" s="137"/>
      <c r="AE60" s="137"/>
      <c r="AF60" s="137"/>
      <c r="AG60" s="137"/>
      <c r="AH60" s="137"/>
      <c r="AI60" s="137"/>
      <c r="AJ60" s="137"/>
      <c r="AK60" s="137"/>
      <c r="AL60" s="137"/>
      <c r="AM60" s="137"/>
      <c r="AN60" s="137"/>
      <c r="AO60" s="137"/>
      <c r="AP60" s="137"/>
      <c r="AQ60" s="137"/>
      <c r="AR60" s="137"/>
      <c r="AS60" s="137"/>
      <c r="AT60" s="137"/>
      <c r="AU60" s="137"/>
      <c r="AV60" s="137"/>
      <c r="AW60" s="137"/>
      <c r="AX60" s="137"/>
      <c r="AY60" s="137"/>
      <c r="AZ60" s="137"/>
      <c r="BA60" s="137"/>
      <c r="BB60" s="137"/>
      <c r="BC60" s="137"/>
      <c r="BD60" s="137"/>
      <c r="BE60" s="137"/>
      <c r="BF60" s="137"/>
      <c r="BG60" s="137"/>
      <c r="BH60" s="137"/>
      <c r="BI60" s="137"/>
      <c r="BJ60" s="137"/>
      <c r="BK60" s="137"/>
      <c r="BL60" s="137"/>
      <c r="BM60" s="137"/>
      <c r="BN60" s="137"/>
      <c r="BO60" s="137"/>
      <c r="BP60" s="137"/>
      <c r="BQ60" s="137"/>
      <c r="BR60" s="137"/>
      <c r="BS60" s="137"/>
      <c r="BT60" s="137"/>
      <c r="BU60" s="137"/>
      <c r="BV60" s="137"/>
      <c r="BW60" s="137"/>
      <c r="BX60" s="137"/>
      <c r="BY60" s="137"/>
      <c r="BZ60" s="137"/>
      <c r="CA60" s="137"/>
      <c r="CB60" s="137"/>
      <c r="CC60" s="137"/>
      <c r="CD60" s="137"/>
      <c r="CE60" s="137"/>
      <c r="CF60" s="137"/>
      <c r="CG60" s="137"/>
      <c r="CH60" s="137"/>
      <c r="CI60" s="137"/>
      <c r="CJ60" s="137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86">
    <mergeCell ref="AH50:AL50"/>
    <mergeCell ref="B1:AM1"/>
    <mergeCell ref="C48:J48"/>
    <mergeCell ref="C50:N50"/>
    <mergeCell ref="P50:T50"/>
    <mergeCell ref="V50:Z50"/>
    <mergeCell ref="AB50:AF50"/>
    <mergeCell ref="I42:M42"/>
    <mergeCell ref="O42:S42"/>
    <mergeCell ref="V42:Z42"/>
    <mergeCell ref="AB42:AF42"/>
    <mergeCell ref="C46:AL46"/>
    <mergeCell ref="C40:G40"/>
    <mergeCell ref="O40:S40"/>
    <mergeCell ref="I40:M40"/>
    <mergeCell ref="W36:AA36"/>
    <mergeCell ref="AC36:AG36"/>
    <mergeCell ref="V40:Z40"/>
    <mergeCell ref="Y38:AC38"/>
    <mergeCell ref="AE38:AI38"/>
    <mergeCell ref="AH40:AL40"/>
    <mergeCell ref="AB40:AF40"/>
    <mergeCell ref="C36:G36"/>
    <mergeCell ref="I36:M36"/>
    <mergeCell ref="O36:S36"/>
    <mergeCell ref="F38:J38"/>
    <mergeCell ref="L38:P38"/>
    <mergeCell ref="AH8:AL8"/>
    <mergeCell ref="C30:H30"/>
    <mergeCell ref="J30:N30"/>
    <mergeCell ref="P30:T30"/>
    <mergeCell ref="C34:AL34"/>
    <mergeCell ref="C8:H8"/>
    <mergeCell ref="J8:N8"/>
    <mergeCell ref="P8:T8"/>
    <mergeCell ref="V8:Z8"/>
    <mergeCell ref="AB8:AF8"/>
    <mergeCell ref="V30:Z30"/>
    <mergeCell ref="AB30:AF30"/>
    <mergeCell ref="AB24:AF24"/>
    <mergeCell ref="AH24:AL24"/>
    <mergeCell ref="C26:H26"/>
    <mergeCell ref="J26:N26"/>
    <mergeCell ref="C4:H4"/>
    <mergeCell ref="J4:N4"/>
    <mergeCell ref="P4:T4"/>
    <mergeCell ref="AB4:AF4"/>
    <mergeCell ref="AH4:AL4"/>
    <mergeCell ref="P26:T26"/>
    <mergeCell ref="V26:Z26"/>
    <mergeCell ref="AH30:AL30"/>
    <mergeCell ref="C22:H22"/>
    <mergeCell ref="J22:N22"/>
    <mergeCell ref="P22:T22"/>
    <mergeCell ref="V22:Z22"/>
    <mergeCell ref="C24:H24"/>
    <mergeCell ref="J24:N24"/>
    <mergeCell ref="P24:T24"/>
    <mergeCell ref="V24:Z24"/>
    <mergeCell ref="AB14:AF14"/>
    <mergeCell ref="AB16:AF16"/>
    <mergeCell ref="AH16:AL16"/>
    <mergeCell ref="C20:H20"/>
    <mergeCell ref="J20:N20"/>
    <mergeCell ref="P20:T20"/>
    <mergeCell ref="C18:H18"/>
    <mergeCell ref="J18:N18"/>
    <mergeCell ref="P18:T18"/>
    <mergeCell ref="V18:Z18"/>
    <mergeCell ref="AB20:AL20"/>
    <mergeCell ref="C12:AL12"/>
    <mergeCell ref="C28:H28"/>
    <mergeCell ref="J28:N28"/>
    <mergeCell ref="P28:T28"/>
    <mergeCell ref="V28:Z28"/>
    <mergeCell ref="AB28:AF28"/>
    <mergeCell ref="AH28:AL28"/>
    <mergeCell ref="AH14:AL14"/>
    <mergeCell ref="C16:H16"/>
    <mergeCell ref="J16:N16"/>
    <mergeCell ref="P16:T16"/>
    <mergeCell ref="V16:Z16"/>
    <mergeCell ref="C14:H14"/>
    <mergeCell ref="J14:N14"/>
    <mergeCell ref="P14:T14"/>
    <mergeCell ref="V14:Z14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05"/>
  <sheetViews>
    <sheetView topLeftCell="A14" workbookViewId="0">
      <selection activeCell="A59" sqref="A59:XFD59"/>
    </sheetView>
    <sheetView tabSelected="1" workbookViewId="1">
      <selection activeCell="A5" sqref="A2:XFD5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214</v>
      </c>
      <c r="B1" t="s">
        <v>7</v>
      </c>
      <c r="C1" t="s">
        <v>14</v>
      </c>
      <c r="D1" t="s">
        <v>166</v>
      </c>
      <c r="E1" t="s">
        <v>15</v>
      </c>
      <c r="F1" t="s">
        <v>211</v>
      </c>
      <c r="G1" t="s">
        <v>143</v>
      </c>
      <c r="H1" t="s">
        <v>16</v>
      </c>
      <c r="I1" t="s">
        <v>17</v>
      </c>
      <c r="J1" t="s">
        <v>195</v>
      </c>
      <c r="K1" t="s">
        <v>196</v>
      </c>
      <c r="L1" t="s">
        <v>197</v>
      </c>
      <c r="M1" t="s">
        <v>55</v>
      </c>
      <c r="N1" t="s">
        <v>198</v>
      </c>
      <c r="O1" t="s">
        <v>199</v>
      </c>
      <c r="P1" t="s">
        <v>209</v>
      </c>
      <c r="Q1" t="s">
        <v>212</v>
      </c>
    </row>
    <row r="2" spans="1:17" s="3" customFormat="1">
      <c r="A2" s="82">
        <v>2.5817773275462964E-2</v>
      </c>
      <c r="B2" t="s">
        <v>46</v>
      </c>
      <c r="C2"/>
      <c r="D2"/>
      <c r="E2" t="s">
        <v>37</v>
      </c>
      <c r="F2"/>
      <c r="G2" t="s">
        <v>113</v>
      </c>
      <c r="H2"/>
      <c r="I2" s="167">
        <v>46312.799745370372</v>
      </c>
      <c r="J2" t="s">
        <v>583</v>
      </c>
      <c r="K2" t="s">
        <v>387</v>
      </c>
      <c r="L2" s="166">
        <v>46284</v>
      </c>
      <c r="M2" t="s">
        <v>382</v>
      </c>
      <c r="N2" t="s">
        <v>177</v>
      </c>
      <c r="O2" t="s">
        <v>178</v>
      </c>
      <c r="P2">
        <v>1</v>
      </c>
      <c r="Q2" t="s">
        <v>193</v>
      </c>
    </row>
    <row r="3" spans="1:17" s="3" customFormat="1">
      <c r="A3" s="82">
        <v>2.5817773275462964E-2</v>
      </c>
      <c r="B3" t="s">
        <v>46</v>
      </c>
      <c r="C3" t="s">
        <v>491</v>
      </c>
      <c r="D3"/>
      <c r="E3" t="s">
        <v>132</v>
      </c>
      <c r="F3"/>
      <c r="G3" t="s">
        <v>47</v>
      </c>
      <c r="H3"/>
      <c r="I3" s="167">
        <v>46312.799699074072</v>
      </c>
      <c r="J3" t="s">
        <v>583</v>
      </c>
      <c r="K3" t="s">
        <v>387</v>
      </c>
      <c r="L3" s="166">
        <v>46284</v>
      </c>
      <c r="M3" t="s">
        <v>382</v>
      </c>
      <c r="N3" t="s">
        <v>177</v>
      </c>
      <c r="O3" t="s">
        <v>178</v>
      </c>
      <c r="P3">
        <v>1</v>
      </c>
      <c r="Q3" t="s">
        <v>193</v>
      </c>
    </row>
    <row r="4" spans="1:17" s="3" customFormat="1">
      <c r="A4" s="82">
        <v>2.5749688715277781E-2</v>
      </c>
      <c r="B4" t="s">
        <v>46</v>
      </c>
      <c r="C4" t="s">
        <v>491</v>
      </c>
      <c r="D4"/>
      <c r="E4" t="s">
        <v>135</v>
      </c>
      <c r="F4"/>
      <c r="G4" t="s">
        <v>47</v>
      </c>
      <c r="H4"/>
      <c r="I4" s="167">
        <v>46312.79965277778</v>
      </c>
      <c r="J4" t="s">
        <v>583</v>
      </c>
      <c r="K4" t="s">
        <v>387</v>
      </c>
      <c r="L4" s="166">
        <v>46284</v>
      </c>
      <c r="M4" t="s">
        <v>382</v>
      </c>
      <c r="N4" t="s">
        <v>177</v>
      </c>
      <c r="O4" t="s">
        <v>178</v>
      </c>
      <c r="P4">
        <v>1</v>
      </c>
      <c r="Q4" t="s">
        <v>193</v>
      </c>
    </row>
    <row r="5" spans="1:17" s="3" customFormat="1">
      <c r="A5" s="82">
        <v>2.5645505983796297E-2</v>
      </c>
      <c r="B5" t="s">
        <v>46</v>
      </c>
      <c r="C5"/>
      <c r="D5"/>
      <c r="E5" t="s">
        <v>230</v>
      </c>
      <c r="F5"/>
      <c r="G5" t="s">
        <v>113</v>
      </c>
      <c r="H5"/>
      <c r="I5" s="167">
        <v>46312.799467592595</v>
      </c>
      <c r="J5" t="s">
        <v>583</v>
      </c>
      <c r="K5" t="s">
        <v>387</v>
      </c>
      <c r="L5" s="166">
        <v>46284</v>
      </c>
      <c r="M5" t="s">
        <v>382</v>
      </c>
      <c r="N5" t="s">
        <v>177</v>
      </c>
      <c r="O5" t="s">
        <v>178</v>
      </c>
      <c r="P5">
        <v>1</v>
      </c>
      <c r="Q5" t="s">
        <v>193</v>
      </c>
    </row>
    <row r="6" spans="1:17" s="3" customFormat="1">
      <c r="A6" s="82">
        <v>2.5612228263888887E-2</v>
      </c>
      <c r="B6" t="s">
        <v>46</v>
      </c>
      <c r="C6"/>
      <c r="D6"/>
      <c r="E6" t="s">
        <v>54</v>
      </c>
      <c r="F6"/>
      <c r="G6" t="s">
        <v>113</v>
      </c>
      <c r="H6"/>
      <c r="I6" s="167">
        <v>46312.799108796295</v>
      </c>
      <c r="J6" t="s">
        <v>583</v>
      </c>
      <c r="K6" t="s">
        <v>387</v>
      </c>
      <c r="L6" s="166">
        <v>46284</v>
      </c>
      <c r="M6" t="s">
        <v>382</v>
      </c>
      <c r="N6" t="s">
        <v>177</v>
      </c>
      <c r="O6" t="s">
        <v>178</v>
      </c>
      <c r="P6">
        <v>1</v>
      </c>
      <c r="Q6" t="s">
        <v>193</v>
      </c>
    </row>
    <row r="7" spans="1:17" s="3" customFormat="1">
      <c r="A7" s="82">
        <v>2.520602513888889E-2</v>
      </c>
      <c r="B7" t="s">
        <v>46</v>
      </c>
      <c r="C7"/>
      <c r="D7"/>
      <c r="E7" t="s">
        <v>37</v>
      </c>
      <c r="F7"/>
      <c r="G7" t="s">
        <v>113</v>
      </c>
      <c r="H7"/>
      <c r="I7" s="167">
        <v>46312.799027777779</v>
      </c>
      <c r="J7" t="s">
        <v>583</v>
      </c>
      <c r="K7" t="s">
        <v>387</v>
      </c>
      <c r="L7" s="166">
        <v>46284</v>
      </c>
      <c r="M7" t="s">
        <v>382</v>
      </c>
      <c r="N7" t="s">
        <v>177</v>
      </c>
      <c r="O7" t="s">
        <v>178</v>
      </c>
      <c r="P7">
        <v>1</v>
      </c>
      <c r="Q7" t="s">
        <v>193</v>
      </c>
    </row>
    <row r="8" spans="1:17" s="3" customFormat="1">
      <c r="A8" s="82">
        <v>2.5303638946759261E-2</v>
      </c>
      <c r="B8" t="s">
        <v>46</v>
      </c>
      <c r="C8" t="s">
        <v>489</v>
      </c>
      <c r="D8"/>
      <c r="E8" t="s">
        <v>545</v>
      </c>
      <c r="F8"/>
      <c r="G8" t="s">
        <v>113</v>
      </c>
      <c r="H8"/>
      <c r="I8" s="167">
        <v>46312.798773148148</v>
      </c>
      <c r="J8" t="s">
        <v>583</v>
      </c>
      <c r="K8" t="s">
        <v>387</v>
      </c>
      <c r="L8" s="166">
        <v>46284</v>
      </c>
      <c r="M8" t="s">
        <v>382</v>
      </c>
      <c r="N8" t="s">
        <v>177</v>
      </c>
      <c r="O8" t="s">
        <v>178</v>
      </c>
      <c r="P8">
        <v>1</v>
      </c>
      <c r="Q8" t="s">
        <v>193</v>
      </c>
    </row>
    <row r="9" spans="1:17" s="3" customFormat="1">
      <c r="A9" s="82">
        <v>2.5303638946759261E-2</v>
      </c>
      <c r="B9" t="s">
        <v>46</v>
      </c>
      <c r="C9"/>
      <c r="D9"/>
      <c r="E9" t="s">
        <v>547</v>
      </c>
      <c r="F9"/>
      <c r="G9" t="s">
        <v>113</v>
      </c>
      <c r="H9"/>
      <c r="I9" s="167">
        <v>46312.798773148148</v>
      </c>
      <c r="J9" t="s">
        <v>583</v>
      </c>
      <c r="K9" t="s">
        <v>387</v>
      </c>
      <c r="L9" s="166">
        <v>46284</v>
      </c>
      <c r="M9" t="s">
        <v>382</v>
      </c>
      <c r="N9" t="s">
        <v>177</v>
      </c>
      <c r="O9" t="s">
        <v>178</v>
      </c>
      <c r="P9">
        <v>1</v>
      </c>
      <c r="Q9" t="s">
        <v>193</v>
      </c>
    </row>
    <row r="10" spans="1:17" s="3" customFormat="1">
      <c r="A10" s="82">
        <v>2.5244187164351853E-2</v>
      </c>
      <c r="B10" t="s">
        <v>46</v>
      </c>
      <c r="C10" t="s">
        <v>481</v>
      </c>
      <c r="D10"/>
      <c r="E10" t="s">
        <v>61</v>
      </c>
      <c r="F10"/>
      <c r="G10" t="s">
        <v>47</v>
      </c>
      <c r="H10"/>
      <c r="I10" s="167">
        <v>46312.798530092594</v>
      </c>
      <c r="J10" t="s">
        <v>583</v>
      </c>
      <c r="K10" t="s">
        <v>387</v>
      </c>
      <c r="L10" s="166">
        <v>46284</v>
      </c>
      <c r="M10" t="s">
        <v>382</v>
      </c>
      <c r="N10" t="s">
        <v>177</v>
      </c>
      <c r="O10" t="s">
        <v>178</v>
      </c>
      <c r="P10">
        <v>1</v>
      </c>
      <c r="Q10" t="s">
        <v>193</v>
      </c>
    </row>
    <row r="11" spans="1:17" s="3" customFormat="1">
      <c r="A11" s="82">
        <v>2.5137189259259261E-2</v>
      </c>
      <c r="B11" t="s">
        <v>46</v>
      </c>
      <c r="C11"/>
      <c r="D11"/>
      <c r="E11" t="s">
        <v>53</v>
      </c>
      <c r="F11"/>
      <c r="G11" t="s">
        <v>47</v>
      </c>
      <c r="H11"/>
      <c r="I11" s="167">
        <v>46312.798159722224</v>
      </c>
      <c r="J11" t="s">
        <v>583</v>
      </c>
      <c r="K11" t="s">
        <v>387</v>
      </c>
      <c r="L11" s="166">
        <v>46284</v>
      </c>
      <c r="M11" t="s">
        <v>382</v>
      </c>
      <c r="N11" t="s">
        <v>177</v>
      </c>
      <c r="O11" t="s">
        <v>178</v>
      </c>
      <c r="P11">
        <v>1</v>
      </c>
      <c r="Q11" t="s">
        <v>193</v>
      </c>
    </row>
    <row r="12" spans="1:17" s="3" customFormat="1">
      <c r="A12" s="82">
        <v>2.4830038171296295E-2</v>
      </c>
      <c r="B12" t="s">
        <v>46</v>
      </c>
      <c r="C12"/>
      <c r="D12"/>
      <c r="E12" t="s">
        <v>37</v>
      </c>
      <c r="F12"/>
      <c r="G12" t="s">
        <v>113</v>
      </c>
      <c r="H12"/>
      <c r="I12" s="167">
        <v>46312.797997685186</v>
      </c>
      <c r="J12" t="s">
        <v>583</v>
      </c>
      <c r="K12" t="s">
        <v>387</v>
      </c>
      <c r="L12" s="166">
        <v>46284</v>
      </c>
      <c r="M12" t="s">
        <v>382</v>
      </c>
      <c r="N12" t="s">
        <v>177</v>
      </c>
      <c r="O12" t="s">
        <v>178</v>
      </c>
      <c r="P12">
        <v>1</v>
      </c>
      <c r="Q12" t="s">
        <v>193</v>
      </c>
    </row>
    <row r="13" spans="1:17" s="3" customFormat="1">
      <c r="A13" s="82">
        <v>2.474081755787037E-2</v>
      </c>
      <c r="B13" t="s">
        <v>46</v>
      </c>
      <c r="C13"/>
      <c r="D13"/>
      <c r="E13" t="s">
        <v>133</v>
      </c>
      <c r="F13"/>
      <c r="G13" t="s">
        <v>113</v>
      </c>
      <c r="H13"/>
      <c r="I13" s="167">
        <v>46312.797905092593</v>
      </c>
      <c r="J13" t="s">
        <v>583</v>
      </c>
      <c r="K13" t="s">
        <v>387</v>
      </c>
      <c r="L13" s="166">
        <v>46284</v>
      </c>
      <c r="M13" t="s">
        <v>382</v>
      </c>
      <c r="N13" t="s">
        <v>177</v>
      </c>
      <c r="O13" t="s">
        <v>178</v>
      </c>
      <c r="P13">
        <v>1</v>
      </c>
      <c r="Q13" t="s">
        <v>193</v>
      </c>
    </row>
    <row r="14" spans="1:17" s="3" customFormat="1">
      <c r="A14" s="82">
        <v>2.472374533564815E-2</v>
      </c>
      <c r="B14" t="s">
        <v>46</v>
      </c>
      <c r="C14"/>
      <c r="D14"/>
      <c r="E14" t="s">
        <v>137</v>
      </c>
      <c r="F14"/>
      <c r="G14" t="s">
        <v>113</v>
      </c>
      <c r="H14"/>
      <c r="I14" s="167">
        <v>46312.797858796293</v>
      </c>
      <c r="J14" t="s">
        <v>583</v>
      </c>
      <c r="K14" t="s">
        <v>387</v>
      </c>
      <c r="L14" s="166">
        <v>46284</v>
      </c>
      <c r="M14" t="s">
        <v>382</v>
      </c>
      <c r="N14" t="s">
        <v>177</v>
      </c>
      <c r="O14" t="s">
        <v>178</v>
      </c>
      <c r="P14">
        <v>1</v>
      </c>
      <c r="Q14" t="s">
        <v>193</v>
      </c>
    </row>
    <row r="15" spans="1:17" s="3" customFormat="1">
      <c r="A15" s="82">
        <v>2.4701527928240739E-2</v>
      </c>
      <c r="B15" t="s">
        <v>46</v>
      </c>
      <c r="C15" t="s">
        <v>491</v>
      </c>
      <c r="D15"/>
      <c r="E15" t="s">
        <v>133</v>
      </c>
      <c r="F15"/>
      <c r="G15" t="s">
        <v>47</v>
      </c>
      <c r="H15"/>
      <c r="I15" s="167">
        <v>46312.797662037039</v>
      </c>
      <c r="J15" t="s">
        <v>583</v>
      </c>
      <c r="K15" t="s">
        <v>387</v>
      </c>
      <c r="L15" s="166">
        <v>46284</v>
      </c>
      <c r="M15" t="s">
        <v>382</v>
      </c>
      <c r="N15" t="s">
        <v>177</v>
      </c>
      <c r="O15" t="s">
        <v>178</v>
      </c>
      <c r="P15">
        <v>1</v>
      </c>
      <c r="Q15" t="s">
        <v>193</v>
      </c>
    </row>
    <row r="16" spans="1:17" s="3" customFormat="1">
      <c r="A16" s="82">
        <v>2.4538560671296294E-2</v>
      </c>
      <c r="B16" t="s">
        <v>46</v>
      </c>
      <c r="C16" t="s">
        <v>585</v>
      </c>
      <c r="D16"/>
      <c r="E16" t="s">
        <v>406</v>
      </c>
      <c r="F16"/>
      <c r="G16" t="s">
        <v>47</v>
      </c>
      <c r="H16"/>
      <c r="I16" s="167">
        <v>46312.797418981485</v>
      </c>
      <c r="J16" t="s">
        <v>583</v>
      </c>
      <c r="K16" t="s">
        <v>387</v>
      </c>
      <c r="L16" s="166">
        <v>46284</v>
      </c>
      <c r="M16" t="s">
        <v>382</v>
      </c>
      <c r="N16" t="s">
        <v>177</v>
      </c>
      <c r="O16" t="s">
        <v>178</v>
      </c>
      <c r="P16">
        <v>1</v>
      </c>
      <c r="Q16" t="s">
        <v>193</v>
      </c>
    </row>
    <row r="17" spans="1:17" s="3" customFormat="1">
      <c r="A17" s="82">
        <v>2.4515401608796294E-2</v>
      </c>
      <c r="B17" t="s">
        <v>46</v>
      </c>
      <c r="C17" t="s">
        <v>585</v>
      </c>
      <c r="D17"/>
      <c r="E17" t="s">
        <v>135</v>
      </c>
      <c r="F17"/>
      <c r="G17" t="s">
        <v>47</v>
      </c>
      <c r="H17"/>
      <c r="I17" s="167">
        <v>46312.797314814816</v>
      </c>
      <c r="J17" t="s">
        <v>583</v>
      </c>
      <c r="K17" t="s">
        <v>387</v>
      </c>
      <c r="L17" s="166">
        <v>46284</v>
      </c>
      <c r="M17" t="s">
        <v>382</v>
      </c>
      <c r="N17" t="s">
        <v>177</v>
      </c>
      <c r="O17" t="s">
        <v>178</v>
      </c>
      <c r="P17">
        <v>1</v>
      </c>
      <c r="Q17" t="s">
        <v>193</v>
      </c>
    </row>
    <row r="18" spans="1:17" s="3" customFormat="1">
      <c r="A18" s="82">
        <v>2.4470735543981478E-2</v>
      </c>
      <c r="B18" t="s">
        <v>46</v>
      </c>
      <c r="C18"/>
      <c r="D18"/>
      <c r="E18" t="s">
        <v>49</v>
      </c>
      <c r="F18"/>
      <c r="G18" t="s">
        <v>113</v>
      </c>
      <c r="H18"/>
      <c r="I18" s="167">
        <v>46312.797233796293</v>
      </c>
      <c r="J18" t="s">
        <v>583</v>
      </c>
      <c r="K18" t="s">
        <v>387</v>
      </c>
      <c r="L18" s="166">
        <v>46284</v>
      </c>
      <c r="M18" t="s">
        <v>382</v>
      </c>
      <c r="N18" t="s">
        <v>177</v>
      </c>
      <c r="O18" t="s">
        <v>178</v>
      </c>
      <c r="P18">
        <v>1</v>
      </c>
      <c r="Q18" t="s">
        <v>193</v>
      </c>
    </row>
    <row r="19" spans="1:17" s="3" customFormat="1">
      <c r="A19" s="82">
        <v>2.3298825208333332E-2</v>
      </c>
      <c r="B19" t="s">
        <v>46</v>
      </c>
      <c r="C19"/>
      <c r="D19"/>
      <c r="E19" t="s">
        <v>37</v>
      </c>
      <c r="F19"/>
      <c r="G19" t="s">
        <v>113</v>
      </c>
      <c r="H19"/>
      <c r="I19" s="167">
        <v>46312.796863425923</v>
      </c>
      <c r="J19" t="s">
        <v>583</v>
      </c>
      <c r="K19" t="s">
        <v>387</v>
      </c>
      <c r="L19" s="166">
        <v>46284</v>
      </c>
      <c r="M19" t="s">
        <v>382</v>
      </c>
      <c r="N19" t="s">
        <v>177</v>
      </c>
      <c r="O19" t="s">
        <v>178</v>
      </c>
      <c r="P19">
        <v>1</v>
      </c>
      <c r="Q19" t="s">
        <v>193</v>
      </c>
    </row>
    <row r="20" spans="1:17" s="3" customFormat="1">
      <c r="A20" s="82">
        <v>2.3298825208333332E-2</v>
      </c>
      <c r="B20" t="s">
        <v>46</v>
      </c>
      <c r="C20" t="s">
        <v>488</v>
      </c>
      <c r="D20"/>
      <c r="E20" t="s">
        <v>52</v>
      </c>
      <c r="F20"/>
      <c r="G20" t="s">
        <v>47</v>
      </c>
      <c r="H20"/>
      <c r="I20" s="167">
        <v>46312.796863425923</v>
      </c>
      <c r="J20" t="s">
        <v>583</v>
      </c>
      <c r="K20" t="s">
        <v>387</v>
      </c>
      <c r="L20" s="166">
        <v>46284</v>
      </c>
      <c r="M20" t="s">
        <v>382</v>
      </c>
      <c r="N20" t="s">
        <v>177</v>
      </c>
      <c r="O20" t="s">
        <v>178</v>
      </c>
      <c r="P20">
        <v>1</v>
      </c>
      <c r="Q20" t="s">
        <v>193</v>
      </c>
    </row>
    <row r="21" spans="1:17" s="3" customFormat="1">
      <c r="A21" s="82">
        <v>2.3203611909722224E-2</v>
      </c>
      <c r="B21" t="s">
        <v>46</v>
      </c>
      <c r="C21" t="s">
        <v>482</v>
      </c>
      <c r="D21"/>
      <c r="E21" t="s">
        <v>406</v>
      </c>
      <c r="F21"/>
      <c r="G21" t="s">
        <v>47</v>
      </c>
      <c r="H21"/>
      <c r="I21" s="167">
        <v>46312.796724537038</v>
      </c>
      <c r="J21" t="s">
        <v>583</v>
      </c>
      <c r="K21" t="s">
        <v>387</v>
      </c>
      <c r="L21" s="166">
        <v>46284</v>
      </c>
      <c r="M21" t="s">
        <v>382</v>
      </c>
      <c r="N21" t="s">
        <v>177</v>
      </c>
      <c r="O21" t="s">
        <v>178</v>
      </c>
      <c r="P21">
        <v>1</v>
      </c>
      <c r="Q21" t="s">
        <v>193</v>
      </c>
    </row>
    <row r="22" spans="1:17" s="3" customFormat="1">
      <c r="A22" s="82">
        <v>2.3148644039351851E-2</v>
      </c>
      <c r="B22" t="s">
        <v>46</v>
      </c>
      <c r="C22" t="s">
        <v>484</v>
      </c>
      <c r="D22"/>
      <c r="E22" t="s">
        <v>406</v>
      </c>
      <c r="F22"/>
      <c r="G22" t="s">
        <v>47</v>
      </c>
      <c r="H22"/>
      <c r="I22" s="167">
        <v>46312.796516203707</v>
      </c>
      <c r="J22" t="s">
        <v>583</v>
      </c>
      <c r="K22" t="s">
        <v>387</v>
      </c>
      <c r="L22" s="166">
        <v>46284</v>
      </c>
      <c r="M22" t="s">
        <v>382</v>
      </c>
      <c r="N22" t="s">
        <v>177</v>
      </c>
      <c r="O22" t="s">
        <v>178</v>
      </c>
      <c r="P22">
        <v>1</v>
      </c>
      <c r="Q22" t="s">
        <v>193</v>
      </c>
    </row>
    <row r="23" spans="1:17" s="3" customFormat="1">
      <c r="A23" s="82">
        <v>2.3065376666666665E-2</v>
      </c>
      <c r="B23" t="s">
        <v>46</v>
      </c>
      <c r="C23" t="s">
        <v>481</v>
      </c>
      <c r="D23"/>
      <c r="E23" t="s">
        <v>406</v>
      </c>
      <c r="F23"/>
      <c r="G23" t="s">
        <v>47</v>
      </c>
      <c r="H23"/>
      <c r="I23" s="167">
        <v>46312.796423611115</v>
      </c>
      <c r="J23" t="s">
        <v>583</v>
      </c>
      <c r="K23" t="s">
        <v>387</v>
      </c>
      <c r="L23" s="166">
        <v>46284</v>
      </c>
      <c r="M23" t="s">
        <v>382</v>
      </c>
      <c r="N23" t="s">
        <v>177</v>
      </c>
      <c r="O23" t="s">
        <v>178</v>
      </c>
      <c r="P23">
        <v>1</v>
      </c>
      <c r="Q23" t="s">
        <v>193</v>
      </c>
    </row>
    <row r="24" spans="1:17" s="3" customFormat="1">
      <c r="A24" s="82">
        <v>2.2973246018518516E-2</v>
      </c>
      <c r="B24" t="s">
        <v>46</v>
      </c>
      <c r="C24" t="s">
        <v>584</v>
      </c>
      <c r="D24"/>
      <c r="E24" t="s">
        <v>406</v>
      </c>
      <c r="F24"/>
      <c r="G24" t="s">
        <v>47</v>
      </c>
      <c r="H24"/>
      <c r="I24" s="167">
        <v>46312.796238425923</v>
      </c>
      <c r="J24" t="s">
        <v>583</v>
      </c>
      <c r="K24" t="s">
        <v>387</v>
      </c>
      <c r="L24" s="166">
        <v>46284</v>
      </c>
      <c r="M24" t="s">
        <v>382</v>
      </c>
      <c r="N24" t="s">
        <v>177</v>
      </c>
      <c r="O24" t="s">
        <v>178</v>
      </c>
      <c r="P24">
        <v>1</v>
      </c>
      <c r="Q24" t="s">
        <v>193</v>
      </c>
    </row>
    <row r="25" spans="1:17" s="3" customFormat="1">
      <c r="A25" s="82">
        <v>2.2874532685185186E-2</v>
      </c>
      <c r="B25" t="s">
        <v>46</v>
      </c>
      <c r="C25" t="s">
        <v>585</v>
      </c>
      <c r="D25"/>
      <c r="E25" t="s">
        <v>406</v>
      </c>
      <c r="F25"/>
      <c r="G25" t="s">
        <v>47</v>
      </c>
      <c r="H25"/>
      <c r="I25" s="167">
        <v>46312.796087962961</v>
      </c>
      <c r="J25" t="s">
        <v>583</v>
      </c>
      <c r="K25" t="s">
        <v>387</v>
      </c>
      <c r="L25" s="166">
        <v>46284</v>
      </c>
      <c r="M25" t="s">
        <v>382</v>
      </c>
      <c r="N25" t="s">
        <v>177</v>
      </c>
      <c r="O25" t="s">
        <v>178</v>
      </c>
      <c r="P25">
        <v>1</v>
      </c>
      <c r="Q25" t="s">
        <v>193</v>
      </c>
    </row>
    <row r="26" spans="1:17" s="3" customFormat="1">
      <c r="A26" s="82">
        <v>2.2750877407407406E-2</v>
      </c>
      <c r="B26" t="s">
        <v>46</v>
      </c>
      <c r="C26"/>
      <c r="D26"/>
      <c r="E26" t="s">
        <v>50</v>
      </c>
      <c r="F26"/>
      <c r="G26" t="s">
        <v>47</v>
      </c>
      <c r="H26"/>
      <c r="I26" s="167">
        <v>46312.795925925922</v>
      </c>
      <c r="J26" t="s">
        <v>583</v>
      </c>
      <c r="K26" t="s">
        <v>387</v>
      </c>
      <c r="L26" s="166">
        <v>46284</v>
      </c>
      <c r="M26" t="s">
        <v>382</v>
      </c>
      <c r="N26" t="s">
        <v>177</v>
      </c>
      <c r="O26" t="s">
        <v>178</v>
      </c>
      <c r="P26">
        <v>1</v>
      </c>
      <c r="Q26" t="s">
        <v>193</v>
      </c>
    </row>
    <row r="27" spans="1:17" s="3" customFormat="1">
      <c r="A27" s="82">
        <v>2.236083644675926E-2</v>
      </c>
      <c r="B27" t="s">
        <v>46</v>
      </c>
      <c r="C27"/>
      <c r="D27"/>
      <c r="E27" t="s">
        <v>160</v>
      </c>
      <c r="F27" t="s">
        <v>606</v>
      </c>
      <c r="G27" t="s">
        <v>47</v>
      </c>
      <c r="H27"/>
      <c r="I27" s="167">
        <v>46312.795486111114</v>
      </c>
      <c r="J27" t="s">
        <v>583</v>
      </c>
      <c r="K27" t="s">
        <v>387</v>
      </c>
      <c r="L27" s="166">
        <v>46284</v>
      </c>
      <c r="M27" t="s">
        <v>382</v>
      </c>
      <c r="N27" t="s">
        <v>177</v>
      </c>
      <c r="O27" t="s">
        <v>178</v>
      </c>
      <c r="P27">
        <v>1</v>
      </c>
      <c r="Q27" t="s">
        <v>193</v>
      </c>
    </row>
    <row r="28" spans="1:17" s="3" customFormat="1">
      <c r="A28" s="82">
        <v>2.2184348958333332E-2</v>
      </c>
      <c r="B28" t="s">
        <v>46</v>
      </c>
      <c r="C28"/>
      <c r="D28"/>
      <c r="E28" t="s">
        <v>37</v>
      </c>
      <c r="F28"/>
      <c r="G28" t="s">
        <v>113</v>
      </c>
      <c r="H28"/>
      <c r="I28" s="167">
        <v>46312.795266203706</v>
      </c>
      <c r="J28" t="s">
        <v>583</v>
      </c>
      <c r="K28" t="s">
        <v>387</v>
      </c>
      <c r="L28" s="166">
        <v>46284</v>
      </c>
      <c r="M28" t="s">
        <v>382</v>
      </c>
      <c r="N28" t="s">
        <v>177</v>
      </c>
      <c r="O28" t="s">
        <v>178</v>
      </c>
      <c r="P28">
        <v>1</v>
      </c>
      <c r="Q28" t="s">
        <v>193</v>
      </c>
    </row>
    <row r="29" spans="1:17" s="3" customFormat="1">
      <c r="A29" s="82">
        <v>2.2135017835648148E-2</v>
      </c>
      <c r="B29" t="s">
        <v>46</v>
      </c>
      <c r="C29" t="s">
        <v>487</v>
      </c>
      <c r="D29"/>
      <c r="E29" t="s">
        <v>132</v>
      </c>
      <c r="F29"/>
      <c r="G29" t="s">
        <v>47</v>
      </c>
      <c r="H29"/>
      <c r="I29" s="167">
        <v>46312.795138888891</v>
      </c>
      <c r="J29" t="s">
        <v>583</v>
      </c>
      <c r="K29" t="s">
        <v>387</v>
      </c>
      <c r="L29" s="166">
        <v>46284</v>
      </c>
      <c r="M29" t="s">
        <v>382</v>
      </c>
      <c r="N29" t="s">
        <v>177</v>
      </c>
      <c r="O29" t="s">
        <v>178</v>
      </c>
      <c r="P29">
        <v>1</v>
      </c>
      <c r="Q29" t="s">
        <v>193</v>
      </c>
    </row>
    <row r="30" spans="1:17" s="3" customFormat="1">
      <c r="A30" s="82">
        <v>2.2094535856481481E-2</v>
      </c>
      <c r="B30" t="s">
        <v>46</v>
      </c>
      <c r="C30" t="s">
        <v>584</v>
      </c>
      <c r="D30"/>
      <c r="E30" t="s">
        <v>406</v>
      </c>
      <c r="F30"/>
      <c r="G30" t="s">
        <v>47</v>
      </c>
      <c r="H30"/>
      <c r="I30" s="167">
        <v>46312.794999999998</v>
      </c>
      <c r="J30" t="s">
        <v>583</v>
      </c>
      <c r="K30" t="s">
        <v>387</v>
      </c>
      <c r="L30" s="166">
        <v>46284</v>
      </c>
      <c r="M30" t="s">
        <v>382</v>
      </c>
      <c r="N30" t="s">
        <v>177</v>
      </c>
      <c r="O30" t="s">
        <v>178</v>
      </c>
      <c r="P30">
        <v>1</v>
      </c>
      <c r="Q30" t="s">
        <v>193</v>
      </c>
    </row>
    <row r="31" spans="1:17" s="3" customFormat="1">
      <c r="A31" s="82">
        <v>2.1988934421296295E-2</v>
      </c>
      <c r="B31" t="s">
        <v>46</v>
      </c>
      <c r="C31" t="s">
        <v>491</v>
      </c>
      <c r="D31"/>
      <c r="E31" t="s">
        <v>406</v>
      </c>
      <c r="F31"/>
      <c r="G31" t="s">
        <v>47</v>
      </c>
      <c r="H31"/>
      <c r="I31" s="167">
        <v>46312.794768518521</v>
      </c>
      <c r="J31" t="s">
        <v>583</v>
      </c>
      <c r="K31" t="s">
        <v>387</v>
      </c>
      <c r="L31" s="166">
        <v>46284</v>
      </c>
      <c r="M31" t="s">
        <v>382</v>
      </c>
      <c r="N31" t="s">
        <v>177</v>
      </c>
      <c r="O31" t="s">
        <v>178</v>
      </c>
      <c r="P31">
        <v>1</v>
      </c>
      <c r="Q31" t="s">
        <v>193</v>
      </c>
    </row>
    <row r="32" spans="1:17" s="3" customFormat="1">
      <c r="A32" s="82">
        <v>2.1929532222222221E-2</v>
      </c>
      <c r="B32" t="s">
        <v>46</v>
      </c>
      <c r="C32" t="s">
        <v>481</v>
      </c>
      <c r="D32"/>
      <c r="E32" t="s">
        <v>406</v>
      </c>
      <c r="F32"/>
      <c r="G32" t="s">
        <v>47</v>
      </c>
      <c r="H32"/>
      <c r="I32" s="167">
        <v>46312.794583333336</v>
      </c>
      <c r="J32" t="s">
        <v>583</v>
      </c>
      <c r="K32" t="s">
        <v>387</v>
      </c>
      <c r="L32" s="166">
        <v>46284</v>
      </c>
      <c r="M32" t="s">
        <v>382</v>
      </c>
      <c r="N32" t="s">
        <v>177</v>
      </c>
      <c r="O32" t="s">
        <v>178</v>
      </c>
      <c r="P32">
        <v>1</v>
      </c>
      <c r="Q32" t="s">
        <v>193</v>
      </c>
    </row>
    <row r="33" spans="1:17" s="3" customFormat="1">
      <c r="A33" s="82">
        <v>2.18192725E-2</v>
      </c>
      <c r="B33" t="s">
        <v>46</v>
      </c>
      <c r="C33" t="s">
        <v>488</v>
      </c>
      <c r="D33"/>
      <c r="E33" t="s">
        <v>406</v>
      </c>
      <c r="F33"/>
      <c r="G33" t="s">
        <v>47</v>
      </c>
      <c r="H33"/>
      <c r="I33" s="167">
        <v>46312.794374999998</v>
      </c>
      <c r="J33" t="s">
        <v>583</v>
      </c>
      <c r="K33" t="s">
        <v>387</v>
      </c>
      <c r="L33" s="166">
        <v>46284</v>
      </c>
      <c r="M33" t="s">
        <v>382</v>
      </c>
      <c r="N33" t="s">
        <v>177</v>
      </c>
      <c r="O33" t="s">
        <v>178</v>
      </c>
      <c r="P33">
        <v>1</v>
      </c>
      <c r="Q33" t="s">
        <v>193</v>
      </c>
    </row>
    <row r="34" spans="1:17" s="3" customFormat="1">
      <c r="A34" s="82">
        <v>2.1703371851851852E-2</v>
      </c>
      <c r="B34" t="s">
        <v>46</v>
      </c>
      <c r="C34" t="s">
        <v>484</v>
      </c>
      <c r="D34"/>
      <c r="E34" t="s">
        <v>405</v>
      </c>
      <c r="F34"/>
      <c r="G34" t="s">
        <v>47</v>
      </c>
      <c r="H34"/>
      <c r="I34" s="167">
        <v>46312.794166666667</v>
      </c>
      <c r="J34" t="s">
        <v>583</v>
      </c>
      <c r="K34" t="s">
        <v>387</v>
      </c>
      <c r="L34" s="166">
        <v>46284</v>
      </c>
      <c r="M34" t="s">
        <v>382</v>
      </c>
      <c r="N34" t="s">
        <v>177</v>
      </c>
      <c r="O34" t="s">
        <v>178</v>
      </c>
      <c r="P34">
        <v>1</v>
      </c>
      <c r="Q34" t="s">
        <v>193</v>
      </c>
    </row>
    <row r="35" spans="1:17" s="3" customFormat="1">
      <c r="A35" s="82">
        <v>2.1616661377314814E-2</v>
      </c>
      <c r="B35" t="s">
        <v>46</v>
      </c>
      <c r="C35" t="s">
        <v>584</v>
      </c>
      <c r="D35"/>
      <c r="E35" t="s">
        <v>406</v>
      </c>
      <c r="F35"/>
      <c r="G35" t="s">
        <v>47</v>
      </c>
      <c r="H35"/>
      <c r="I35" s="167">
        <v>46312.793958333335</v>
      </c>
      <c r="J35" t="s">
        <v>583</v>
      </c>
      <c r="K35" t="s">
        <v>387</v>
      </c>
      <c r="L35" s="166">
        <v>46284</v>
      </c>
      <c r="M35" t="s">
        <v>382</v>
      </c>
      <c r="N35" t="s">
        <v>177</v>
      </c>
      <c r="O35" t="s">
        <v>178</v>
      </c>
      <c r="P35">
        <v>1</v>
      </c>
      <c r="Q35" t="s">
        <v>193</v>
      </c>
    </row>
    <row r="36" spans="1:17" s="3" customFormat="1">
      <c r="A36" s="82">
        <v>2.1578453518518521E-2</v>
      </c>
      <c r="B36" t="s">
        <v>46</v>
      </c>
      <c r="C36"/>
      <c r="D36"/>
      <c r="E36" t="s">
        <v>50</v>
      </c>
      <c r="F36"/>
      <c r="G36" t="s">
        <v>47</v>
      </c>
      <c r="H36"/>
      <c r="I36" s="167">
        <v>46312.793888888889</v>
      </c>
      <c r="J36" t="s">
        <v>583</v>
      </c>
      <c r="K36" t="s">
        <v>387</v>
      </c>
      <c r="L36" s="166">
        <v>46284</v>
      </c>
      <c r="M36" t="s">
        <v>382</v>
      </c>
      <c r="N36" t="s">
        <v>177</v>
      </c>
      <c r="O36" t="s">
        <v>178</v>
      </c>
      <c r="P36">
        <v>1</v>
      </c>
      <c r="Q36" t="s">
        <v>193</v>
      </c>
    </row>
    <row r="37" spans="1:17" s="3" customFormat="1">
      <c r="A37" s="82">
        <v>2.1470841041666668E-2</v>
      </c>
      <c r="B37" t="s">
        <v>46</v>
      </c>
      <c r="C37"/>
      <c r="D37"/>
      <c r="E37" t="s">
        <v>37</v>
      </c>
      <c r="F37"/>
      <c r="G37" t="s">
        <v>47</v>
      </c>
      <c r="H37"/>
      <c r="I37" s="167">
        <v>46312.793773148151</v>
      </c>
      <c r="J37" t="s">
        <v>583</v>
      </c>
      <c r="K37" t="s">
        <v>387</v>
      </c>
      <c r="L37" s="166">
        <v>46284</v>
      </c>
      <c r="M37" t="s">
        <v>382</v>
      </c>
      <c r="N37" t="s">
        <v>177</v>
      </c>
      <c r="O37" t="s">
        <v>178</v>
      </c>
      <c r="P37">
        <v>1</v>
      </c>
      <c r="Q37" t="s">
        <v>193</v>
      </c>
    </row>
    <row r="38" spans="1:17" s="3" customFormat="1">
      <c r="A38" s="82">
        <v>2.1365979548611112E-2</v>
      </c>
      <c r="B38" t="s">
        <v>46</v>
      </c>
      <c r="C38"/>
      <c r="D38"/>
      <c r="E38" t="s">
        <v>220</v>
      </c>
      <c r="F38"/>
      <c r="G38" t="s">
        <v>113</v>
      </c>
      <c r="H38"/>
      <c r="I38" s="167">
        <v>46312.793680555558</v>
      </c>
      <c r="J38" t="s">
        <v>583</v>
      </c>
      <c r="K38" t="s">
        <v>387</v>
      </c>
      <c r="L38" s="166">
        <v>46284</v>
      </c>
      <c r="M38" t="s">
        <v>382</v>
      </c>
      <c r="N38" t="s">
        <v>177</v>
      </c>
      <c r="O38" t="s">
        <v>178</v>
      </c>
      <c r="P38">
        <v>1</v>
      </c>
      <c r="Q38" t="s">
        <v>193</v>
      </c>
    </row>
    <row r="39" spans="1:17" s="3" customFormat="1">
      <c r="A39" s="82">
        <v>2.1279981898148146E-2</v>
      </c>
      <c r="B39" t="s">
        <v>46</v>
      </c>
      <c r="C39"/>
      <c r="D39"/>
      <c r="E39" t="s">
        <v>53</v>
      </c>
      <c r="F39"/>
      <c r="G39" t="s">
        <v>113</v>
      </c>
      <c r="H39"/>
      <c r="I39" s="167">
        <v>46312.79314814815</v>
      </c>
      <c r="J39" t="s">
        <v>583</v>
      </c>
      <c r="K39" t="s">
        <v>387</v>
      </c>
      <c r="L39" s="166">
        <v>46284</v>
      </c>
      <c r="M39" t="s">
        <v>382</v>
      </c>
      <c r="N39" t="s">
        <v>177</v>
      </c>
      <c r="O39" t="s">
        <v>178</v>
      </c>
      <c r="P39">
        <v>1</v>
      </c>
      <c r="Q39" t="s">
        <v>193</v>
      </c>
    </row>
    <row r="40" spans="1:17" s="3" customFormat="1">
      <c r="A40" s="82">
        <v>2.0714324270833334E-2</v>
      </c>
      <c r="B40" t="s">
        <v>46</v>
      </c>
      <c r="C40"/>
      <c r="D40"/>
      <c r="E40" t="s">
        <v>37</v>
      </c>
      <c r="F40"/>
      <c r="G40" t="s">
        <v>113</v>
      </c>
      <c r="H40"/>
      <c r="I40" s="167">
        <v>46312.79283564815</v>
      </c>
      <c r="J40" t="s">
        <v>583</v>
      </c>
      <c r="K40" t="s">
        <v>387</v>
      </c>
      <c r="L40" s="166">
        <v>46284</v>
      </c>
      <c r="M40" t="s">
        <v>382</v>
      </c>
      <c r="N40" t="s">
        <v>177</v>
      </c>
      <c r="O40" t="s">
        <v>178</v>
      </c>
      <c r="P40">
        <v>1</v>
      </c>
      <c r="Q40" t="s">
        <v>193</v>
      </c>
    </row>
    <row r="41" spans="1:17" s="3" customFormat="1">
      <c r="A41" s="82">
        <v>2.0714324270833334E-2</v>
      </c>
      <c r="B41" t="s">
        <v>46</v>
      </c>
      <c r="C41" t="s">
        <v>479</v>
      </c>
      <c r="D41" t="s">
        <v>153</v>
      </c>
      <c r="E41" t="s">
        <v>161</v>
      </c>
      <c r="F41" t="s">
        <v>601</v>
      </c>
      <c r="G41" t="s">
        <v>113</v>
      </c>
      <c r="H41"/>
      <c r="I41" s="167">
        <v>46312.79283564815</v>
      </c>
      <c r="J41" t="s">
        <v>583</v>
      </c>
      <c r="K41" t="s">
        <v>387</v>
      </c>
      <c r="L41" s="166">
        <v>46284</v>
      </c>
      <c r="M41" t="s">
        <v>382</v>
      </c>
      <c r="N41" t="s">
        <v>177</v>
      </c>
      <c r="O41" t="s">
        <v>178</v>
      </c>
      <c r="P41">
        <v>1</v>
      </c>
      <c r="Q41" t="s">
        <v>193</v>
      </c>
    </row>
    <row r="42" spans="1:17" s="3" customFormat="1">
      <c r="A42" s="82">
        <v>2.0633939560185183E-2</v>
      </c>
      <c r="B42" t="s">
        <v>46</v>
      </c>
      <c r="C42" t="s">
        <v>484</v>
      </c>
      <c r="D42"/>
      <c r="E42" t="s">
        <v>60</v>
      </c>
      <c r="F42"/>
      <c r="G42" t="s">
        <v>47</v>
      </c>
      <c r="H42"/>
      <c r="I42" s="167">
        <v>46312.792187500003</v>
      </c>
      <c r="J42" t="s">
        <v>583</v>
      </c>
      <c r="K42" t="s">
        <v>387</v>
      </c>
      <c r="L42" s="166">
        <v>46284</v>
      </c>
      <c r="M42" t="s">
        <v>382</v>
      </c>
      <c r="N42" t="s">
        <v>177</v>
      </c>
      <c r="O42" t="s">
        <v>178</v>
      </c>
      <c r="P42">
        <v>1</v>
      </c>
      <c r="Q42" t="s">
        <v>193</v>
      </c>
    </row>
    <row r="43" spans="1:17" s="3" customFormat="1">
      <c r="A43" s="82">
        <v>2.0576015810185186E-2</v>
      </c>
      <c r="B43" t="s">
        <v>46</v>
      </c>
      <c r="C43"/>
      <c r="D43"/>
      <c r="E43" t="s">
        <v>53</v>
      </c>
      <c r="F43"/>
      <c r="G43" t="s">
        <v>47</v>
      </c>
      <c r="H43"/>
      <c r="I43" s="167">
        <v>46312.79184027778</v>
      </c>
      <c r="J43" t="s">
        <v>583</v>
      </c>
      <c r="K43" t="s">
        <v>387</v>
      </c>
      <c r="L43" s="166">
        <v>46284</v>
      </c>
      <c r="M43" t="s">
        <v>382</v>
      </c>
      <c r="N43" t="s">
        <v>177</v>
      </c>
      <c r="O43" t="s">
        <v>178</v>
      </c>
      <c r="P43">
        <v>1</v>
      </c>
      <c r="Q43" t="s">
        <v>193</v>
      </c>
    </row>
    <row r="44" spans="1:17" s="3" customFormat="1">
      <c r="A44" s="82">
        <v>2.0099739386574073E-2</v>
      </c>
      <c r="B44" t="s">
        <v>46</v>
      </c>
      <c r="C44"/>
      <c r="D44"/>
      <c r="E44" t="s">
        <v>160</v>
      </c>
      <c r="F44" t="s">
        <v>156</v>
      </c>
      <c r="G44" t="s">
        <v>47</v>
      </c>
      <c r="H44"/>
      <c r="I44" s="167">
        <v>46312.79173611111</v>
      </c>
      <c r="J44" t="s">
        <v>583</v>
      </c>
      <c r="K44" t="s">
        <v>387</v>
      </c>
      <c r="L44" s="166">
        <v>46284</v>
      </c>
      <c r="M44" t="s">
        <v>382</v>
      </c>
      <c r="N44" t="s">
        <v>177</v>
      </c>
      <c r="O44" t="s">
        <v>178</v>
      </c>
      <c r="P44">
        <v>1</v>
      </c>
      <c r="Q44" t="s">
        <v>193</v>
      </c>
    </row>
    <row r="45" spans="1:17" s="3" customFormat="1">
      <c r="A45" s="82">
        <v>2.0035115671296296E-2</v>
      </c>
      <c r="B45" t="s">
        <v>46</v>
      </c>
      <c r="C45"/>
      <c r="D45"/>
      <c r="E45" t="s">
        <v>37</v>
      </c>
      <c r="F45"/>
      <c r="G45" t="s">
        <v>113</v>
      </c>
      <c r="H45"/>
      <c r="I45" s="167">
        <v>46312.791631944441</v>
      </c>
      <c r="J45" t="s">
        <v>583</v>
      </c>
      <c r="K45" t="s">
        <v>387</v>
      </c>
      <c r="L45" s="166">
        <v>46284</v>
      </c>
      <c r="M45" t="s">
        <v>382</v>
      </c>
      <c r="N45" t="s">
        <v>177</v>
      </c>
      <c r="O45" t="s">
        <v>178</v>
      </c>
      <c r="P45">
        <v>1</v>
      </c>
      <c r="Q45" t="s">
        <v>193</v>
      </c>
    </row>
    <row r="46" spans="1:17" s="3" customFormat="1">
      <c r="A46" s="82">
        <v>1.9975808460648146E-2</v>
      </c>
      <c r="B46" t="s">
        <v>46</v>
      </c>
      <c r="C46" t="s">
        <v>482</v>
      </c>
      <c r="D46"/>
      <c r="E46" t="s">
        <v>132</v>
      </c>
      <c r="F46"/>
      <c r="G46" t="s">
        <v>47</v>
      </c>
      <c r="H46"/>
      <c r="I46" s="167">
        <v>46312.791585648149</v>
      </c>
      <c r="J46" t="s">
        <v>583</v>
      </c>
      <c r="K46" t="s">
        <v>387</v>
      </c>
      <c r="L46" s="166">
        <v>46284</v>
      </c>
      <c r="M46" t="s">
        <v>382</v>
      </c>
      <c r="N46" t="s">
        <v>177</v>
      </c>
      <c r="O46" t="s">
        <v>178</v>
      </c>
      <c r="P46">
        <v>1</v>
      </c>
      <c r="Q46" t="s">
        <v>193</v>
      </c>
    </row>
    <row r="47" spans="1:17" s="3" customFormat="1">
      <c r="A47" s="82">
        <v>1.9895955995370373E-2</v>
      </c>
      <c r="B47" t="s">
        <v>46</v>
      </c>
      <c r="C47" t="s">
        <v>484</v>
      </c>
      <c r="D47"/>
      <c r="E47" t="s">
        <v>406</v>
      </c>
      <c r="F47"/>
      <c r="G47" t="s">
        <v>47</v>
      </c>
      <c r="H47"/>
      <c r="I47" s="167">
        <v>46312.791296296295</v>
      </c>
      <c r="J47" t="s">
        <v>583</v>
      </c>
      <c r="K47" t="s">
        <v>387</v>
      </c>
      <c r="L47" s="166">
        <v>46284</v>
      </c>
      <c r="M47" t="s">
        <v>382</v>
      </c>
      <c r="N47" t="s">
        <v>177</v>
      </c>
      <c r="O47" t="s">
        <v>178</v>
      </c>
      <c r="P47">
        <v>1</v>
      </c>
      <c r="Q47" t="s">
        <v>193</v>
      </c>
    </row>
    <row r="48" spans="1:17" s="3" customFormat="1">
      <c r="A48" s="82">
        <v>1.9832458657407407E-2</v>
      </c>
      <c r="B48" t="s">
        <v>46</v>
      </c>
      <c r="C48" t="s">
        <v>483</v>
      </c>
      <c r="D48"/>
      <c r="E48" t="s">
        <v>405</v>
      </c>
      <c r="F48"/>
      <c r="G48" t="s">
        <v>47</v>
      </c>
      <c r="H48"/>
      <c r="I48" s="167">
        <v>46312.791122685187</v>
      </c>
      <c r="J48" t="s">
        <v>583</v>
      </c>
      <c r="K48" t="s">
        <v>387</v>
      </c>
      <c r="L48" s="166">
        <v>46284</v>
      </c>
      <c r="M48" t="s">
        <v>382</v>
      </c>
      <c r="N48" t="s">
        <v>177</v>
      </c>
      <c r="O48" t="s">
        <v>178</v>
      </c>
      <c r="P48">
        <v>1</v>
      </c>
      <c r="Q48" t="s">
        <v>193</v>
      </c>
    </row>
    <row r="49" spans="1:17" s="3" customFormat="1">
      <c r="A49" s="82">
        <v>1.9803281608796297E-2</v>
      </c>
      <c r="B49" t="s">
        <v>46</v>
      </c>
      <c r="C49"/>
      <c r="D49"/>
      <c r="E49" t="s">
        <v>132</v>
      </c>
      <c r="F49"/>
      <c r="G49" t="s">
        <v>113</v>
      </c>
      <c r="H49"/>
      <c r="I49" s="167">
        <v>46312.790995370371</v>
      </c>
      <c r="J49" t="s">
        <v>583</v>
      </c>
      <c r="K49" t="s">
        <v>387</v>
      </c>
      <c r="L49" s="166">
        <v>46284</v>
      </c>
      <c r="M49" t="s">
        <v>382</v>
      </c>
      <c r="N49" t="s">
        <v>177</v>
      </c>
      <c r="O49" t="s">
        <v>178</v>
      </c>
      <c r="P49">
        <v>1</v>
      </c>
      <c r="Q49" t="s">
        <v>193</v>
      </c>
    </row>
    <row r="50" spans="1:17" s="3" customFormat="1">
      <c r="A50" s="82">
        <v>1.9803281608796297E-2</v>
      </c>
      <c r="B50" t="s">
        <v>46</v>
      </c>
      <c r="C50"/>
      <c r="D50"/>
      <c r="E50" t="s">
        <v>137</v>
      </c>
      <c r="F50"/>
      <c r="G50" t="s">
        <v>113</v>
      </c>
      <c r="H50"/>
      <c r="I50" s="167">
        <v>46312.790972222225</v>
      </c>
      <c r="J50" t="s">
        <v>583</v>
      </c>
      <c r="K50" t="s">
        <v>387</v>
      </c>
      <c r="L50" s="166">
        <v>46284</v>
      </c>
      <c r="M50" t="s">
        <v>382</v>
      </c>
      <c r="N50" t="s">
        <v>177</v>
      </c>
      <c r="O50" t="s">
        <v>178</v>
      </c>
      <c r="P50">
        <v>1</v>
      </c>
      <c r="Q50" t="s">
        <v>193</v>
      </c>
    </row>
    <row r="51" spans="1:17" s="3" customFormat="1">
      <c r="A51" s="82">
        <v>1.9704740879629631E-2</v>
      </c>
      <c r="B51" t="s">
        <v>46</v>
      </c>
      <c r="C51"/>
      <c r="D51"/>
      <c r="E51" t="s">
        <v>49</v>
      </c>
      <c r="F51"/>
      <c r="G51" t="s">
        <v>47</v>
      </c>
      <c r="H51"/>
      <c r="I51" s="167">
        <v>46312.790821759256</v>
      </c>
      <c r="J51" t="s">
        <v>583</v>
      </c>
      <c r="K51" t="s">
        <v>387</v>
      </c>
      <c r="L51" s="166">
        <v>46284</v>
      </c>
      <c r="M51" t="s">
        <v>382</v>
      </c>
      <c r="N51" t="s">
        <v>177</v>
      </c>
      <c r="O51" t="s">
        <v>178</v>
      </c>
      <c r="P51">
        <v>1</v>
      </c>
      <c r="Q51" t="s">
        <v>193</v>
      </c>
    </row>
    <row r="52" spans="1:17" s="3" customFormat="1">
      <c r="A52" s="82">
        <v>1.9470786805555553E-2</v>
      </c>
      <c r="B52" t="s">
        <v>46</v>
      </c>
      <c r="C52"/>
      <c r="D52"/>
      <c r="E52" t="s">
        <v>65</v>
      </c>
      <c r="F52"/>
      <c r="G52" t="s">
        <v>113</v>
      </c>
      <c r="H52"/>
      <c r="I52" s="167">
        <v>46312.790636574071</v>
      </c>
      <c r="J52" t="s">
        <v>583</v>
      </c>
      <c r="K52" t="s">
        <v>387</v>
      </c>
      <c r="L52" s="166">
        <v>46284</v>
      </c>
      <c r="M52" t="s">
        <v>382</v>
      </c>
      <c r="N52" t="s">
        <v>177</v>
      </c>
      <c r="O52" t="s">
        <v>178</v>
      </c>
      <c r="P52">
        <v>1</v>
      </c>
      <c r="Q52" t="s">
        <v>193</v>
      </c>
    </row>
    <row r="53" spans="1:17" s="3" customFormat="1">
      <c r="A53" s="82">
        <v>1.8730258356481479E-2</v>
      </c>
      <c r="B53" t="s">
        <v>46</v>
      </c>
      <c r="C53" t="s">
        <v>489</v>
      </c>
      <c r="D53"/>
      <c r="E53" t="s">
        <v>261</v>
      </c>
      <c r="F53"/>
      <c r="G53" t="s">
        <v>113</v>
      </c>
      <c r="H53"/>
      <c r="I53" s="167">
        <v>46312.790300925924</v>
      </c>
      <c r="J53" t="s">
        <v>583</v>
      </c>
      <c r="K53" t="s">
        <v>387</v>
      </c>
      <c r="L53" s="166">
        <v>46284</v>
      </c>
      <c r="M53" t="s">
        <v>382</v>
      </c>
      <c r="N53" t="s">
        <v>177</v>
      </c>
      <c r="O53" t="s">
        <v>178</v>
      </c>
      <c r="P53">
        <v>1</v>
      </c>
      <c r="Q53" t="s">
        <v>193</v>
      </c>
    </row>
    <row r="54" spans="1:17" s="3" customFormat="1">
      <c r="A54" s="82">
        <v>1.8510237337962962E-2</v>
      </c>
      <c r="B54" t="s">
        <v>46</v>
      </c>
      <c r="C54"/>
      <c r="D54"/>
      <c r="E54" t="s">
        <v>37</v>
      </c>
      <c r="F54"/>
      <c r="G54" t="s">
        <v>113</v>
      </c>
      <c r="H54"/>
      <c r="I54" s="167">
        <v>46312.789907407408</v>
      </c>
      <c r="J54" t="s">
        <v>583</v>
      </c>
      <c r="K54" t="s">
        <v>387</v>
      </c>
      <c r="L54" s="166">
        <v>46284</v>
      </c>
      <c r="M54" t="s">
        <v>382</v>
      </c>
      <c r="N54" t="s">
        <v>177</v>
      </c>
      <c r="O54" t="s">
        <v>178</v>
      </c>
      <c r="P54">
        <v>1</v>
      </c>
      <c r="Q54" t="s">
        <v>193</v>
      </c>
    </row>
    <row r="55" spans="1:17" s="3" customFormat="1">
      <c r="A55" s="82">
        <v>1.8510237337962962E-2</v>
      </c>
      <c r="B55" t="s">
        <v>46</v>
      </c>
      <c r="C55" t="s">
        <v>489</v>
      </c>
      <c r="D55" t="s">
        <v>169</v>
      </c>
      <c r="E55" t="s">
        <v>161</v>
      </c>
      <c r="F55" t="s">
        <v>606</v>
      </c>
      <c r="G55" t="s">
        <v>113</v>
      </c>
      <c r="H55"/>
      <c r="I55" s="167">
        <v>46312.789907407408</v>
      </c>
      <c r="J55" t="s">
        <v>583</v>
      </c>
      <c r="K55" t="s">
        <v>387</v>
      </c>
      <c r="L55" s="166">
        <v>46284</v>
      </c>
      <c r="M55" t="s">
        <v>382</v>
      </c>
      <c r="N55" t="s">
        <v>177</v>
      </c>
      <c r="O55" t="s">
        <v>178</v>
      </c>
      <c r="P55">
        <v>1</v>
      </c>
      <c r="Q55" t="s">
        <v>193</v>
      </c>
    </row>
    <row r="56" spans="1:17" s="3" customFormat="1">
      <c r="A56" s="82">
        <v>1.8412806192129632E-2</v>
      </c>
      <c r="B56" t="s">
        <v>46</v>
      </c>
      <c r="C56" t="s">
        <v>488</v>
      </c>
      <c r="D56"/>
      <c r="E56" t="s">
        <v>57</v>
      </c>
      <c r="F56"/>
      <c r="G56" t="s">
        <v>113</v>
      </c>
      <c r="H56"/>
      <c r="I56" s="167">
        <v>46312.789375</v>
      </c>
      <c r="J56" t="s">
        <v>583</v>
      </c>
      <c r="K56" t="s">
        <v>387</v>
      </c>
      <c r="L56" s="166">
        <v>46284</v>
      </c>
      <c r="M56" t="s">
        <v>382</v>
      </c>
      <c r="N56" t="s">
        <v>177</v>
      </c>
      <c r="O56" t="s">
        <v>178</v>
      </c>
      <c r="P56">
        <v>1</v>
      </c>
      <c r="Q56" t="s">
        <v>193</v>
      </c>
    </row>
    <row r="57" spans="1:17" s="3" customFormat="1">
      <c r="A57" s="82">
        <v>1.8295502581018516E-2</v>
      </c>
      <c r="B57" t="s">
        <v>46</v>
      </c>
      <c r="C57" t="s">
        <v>486</v>
      </c>
      <c r="D57"/>
      <c r="E57" t="s">
        <v>57</v>
      </c>
      <c r="F57"/>
      <c r="G57" t="s">
        <v>113</v>
      </c>
      <c r="H57"/>
      <c r="I57" s="167">
        <v>46312.789027777777</v>
      </c>
      <c r="J57" t="s">
        <v>583</v>
      </c>
      <c r="K57" t="s">
        <v>387</v>
      </c>
      <c r="L57" s="166">
        <v>46284</v>
      </c>
      <c r="M57" t="s">
        <v>382</v>
      </c>
      <c r="N57" t="s">
        <v>177</v>
      </c>
      <c r="O57" t="s">
        <v>178</v>
      </c>
      <c r="P57">
        <v>1</v>
      </c>
      <c r="Q57" t="s">
        <v>193</v>
      </c>
    </row>
    <row r="58" spans="1:17" s="3" customFormat="1">
      <c r="A58" s="82">
        <v>1.8219606585648147E-2</v>
      </c>
      <c r="B58" t="s">
        <v>46</v>
      </c>
      <c r="C58" t="s">
        <v>483</v>
      </c>
      <c r="D58"/>
      <c r="E58" t="s">
        <v>8</v>
      </c>
      <c r="F58"/>
      <c r="G58" t="s">
        <v>113</v>
      </c>
      <c r="H58"/>
      <c r="I58" s="167">
        <v>46312.788634259261</v>
      </c>
      <c r="J58" t="s">
        <v>583</v>
      </c>
      <c r="K58" t="s">
        <v>387</v>
      </c>
      <c r="L58" s="166">
        <v>46284</v>
      </c>
      <c r="M58" t="s">
        <v>382</v>
      </c>
      <c r="N58" t="s">
        <v>177</v>
      </c>
      <c r="O58" t="s">
        <v>178</v>
      </c>
      <c r="P58">
        <v>1</v>
      </c>
      <c r="Q58" t="s">
        <v>193</v>
      </c>
    </row>
    <row r="59" spans="1:17" s="3" customFormat="1">
      <c r="A59" s="82">
        <v>1.8219606585648147E-2</v>
      </c>
      <c r="B59" t="s">
        <v>46</v>
      </c>
      <c r="C59" t="s">
        <v>584</v>
      </c>
      <c r="D59"/>
      <c r="E59" t="s">
        <v>8</v>
      </c>
      <c r="F59"/>
      <c r="G59" t="s">
        <v>113</v>
      </c>
      <c r="H59"/>
      <c r="I59" s="167">
        <v>46312.788622685184</v>
      </c>
      <c r="J59" t="s">
        <v>583</v>
      </c>
      <c r="K59" t="s">
        <v>387</v>
      </c>
      <c r="L59" s="166">
        <v>46284</v>
      </c>
      <c r="M59" t="s">
        <v>382</v>
      </c>
      <c r="N59" t="s">
        <v>177</v>
      </c>
      <c r="O59" t="s">
        <v>178</v>
      </c>
      <c r="P59">
        <v>1</v>
      </c>
      <c r="Q59" t="s">
        <v>193</v>
      </c>
    </row>
    <row r="60" spans="1:17" s="3" customFormat="1">
      <c r="A60" s="82">
        <v>1.8083350324074075E-2</v>
      </c>
      <c r="B60" t="s">
        <v>46</v>
      </c>
      <c r="C60" t="s">
        <v>584</v>
      </c>
      <c r="D60"/>
      <c r="E60" t="s">
        <v>57</v>
      </c>
      <c r="F60"/>
      <c r="G60" t="s">
        <v>113</v>
      </c>
      <c r="H60"/>
      <c r="I60" s="167">
        <v>46312.787905092591</v>
      </c>
      <c r="J60" t="s">
        <v>583</v>
      </c>
      <c r="K60" t="s">
        <v>387</v>
      </c>
      <c r="L60" s="166">
        <v>46284</v>
      </c>
      <c r="M60" t="s">
        <v>382</v>
      </c>
      <c r="N60" t="s">
        <v>177</v>
      </c>
      <c r="O60" t="s">
        <v>178</v>
      </c>
      <c r="P60">
        <v>1</v>
      </c>
      <c r="Q60" t="s">
        <v>193</v>
      </c>
    </row>
    <row r="61" spans="1:17" s="3" customFormat="1">
      <c r="A61" s="82">
        <v>1.8042760914351853E-2</v>
      </c>
      <c r="B61" t="s">
        <v>46</v>
      </c>
      <c r="C61"/>
      <c r="D61"/>
      <c r="E61" t="s">
        <v>62</v>
      </c>
      <c r="F61"/>
      <c r="G61" t="s">
        <v>113</v>
      </c>
      <c r="H61"/>
      <c r="I61" s="167">
        <v>46312.787662037037</v>
      </c>
      <c r="J61" t="s">
        <v>583</v>
      </c>
      <c r="K61" t="s">
        <v>387</v>
      </c>
      <c r="L61" s="166">
        <v>46284</v>
      </c>
      <c r="M61" t="s">
        <v>382</v>
      </c>
      <c r="N61" t="s">
        <v>177</v>
      </c>
      <c r="O61" t="s">
        <v>178</v>
      </c>
      <c r="P61">
        <v>1</v>
      </c>
      <c r="Q61" t="s">
        <v>193</v>
      </c>
    </row>
    <row r="62" spans="1:17" s="3" customFormat="1">
      <c r="A62" s="82">
        <v>1.7978235185185185E-2</v>
      </c>
      <c r="B62" t="s">
        <v>46</v>
      </c>
      <c r="C62"/>
      <c r="D62"/>
      <c r="E62" t="s">
        <v>53</v>
      </c>
      <c r="F62"/>
      <c r="G62" t="s">
        <v>113</v>
      </c>
      <c r="H62"/>
      <c r="I62" s="167">
        <v>46312.787430555552</v>
      </c>
      <c r="J62" t="s">
        <v>583</v>
      </c>
      <c r="K62" t="s">
        <v>387</v>
      </c>
      <c r="L62" s="166">
        <v>46284</v>
      </c>
      <c r="M62" t="s">
        <v>382</v>
      </c>
      <c r="N62" t="s">
        <v>177</v>
      </c>
      <c r="O62" t="s">
        <v>178</v>
      </c>
      <c r="P62">
        <v>1</v>
      </c>
      <c r="Q62" t="s">
        <v>193</v>
      </c>
    </row>
    <row r="63" spans="1:17" s="3" customFormat="1">
      <c r="A63" s="82">
        <v>1.7499773425925926E-2</v>
      </c>
      <c r="B63" t="s">
        <v>46</v>
      </c>
      <c r="C63"/>
      <c r="D63"/>
      <c r="E63" t="s">
        <v>37</v>
      </c>
      <c r="F63"/>
      <c r="G63" t="s">
        <v>47</v>
      </c>
      <c r="H63"/>
      <c r="I63" s="167">
        <v>46312.78707175926</v>
      </c>
      <c r="J63" t="s">
        <v>583</v>
      </c>
      <c r="K63" t="s">
        <v>387</v>
      </c>
      <c r="L63" s="166">
        <v>46284</v>
      </c>
      <c r="M63" t="s">
        <v>382</v>
      </c>
      <c r="N63" t="s">
        <v>177</v>
      </c>
      <c r="O63" t="s">
        <v>178</v>
      </c>
      <c r="P63">
        <v>1</v>
      </c>
      <c r="Q63" t="s">
        <v>193</v>
      </c>
    </row>
    <row r="64" spans="1:17" s="3" customFormat="1">
      <c r="A64" s="82">
        <v>1.7472307731481479E-2</v>
      </c>
      <c r="B64" t="s">
        <v>46</v>
      </c>
      <c r="C64" t="s">
        <v>491</v>
      </c>
      <c r="D64"/>
      <c r="E64" t="s">
        <v>133</v>
      </c>
      <c r="F64"/>
      <c r="G64" t="s">
        <v>47</v>
      </c>
      <c r="H64"/>
      <c r="I64" s="167">
        <v>46312.786516203705</v>
      </c>
      <c r="J64" t="s">
        <v>583</v>
      </c>
      <c r="K64" t="s">
        <v>387</v>
      </c>
      <c r="L64" s="166">
        <v>46284</v>
      </c>
      <c r="M64" t="s">
        <v>382</v>
      </c>
      <c r="N64" t="s">
        <v>177</v>
      </c>
      <c r="O64" t="s">
        <v>178</v>
      </c>
      <c r="P64">
        <v>1</v>
      </c>
      <c r="Q64" t="s">
        <v>193</v>
      </c>
    </row>
    <row r="65" spans="1:17" s="3" customFormat="1">
      <c r="A65" s="82">
        <v>1.7443012650462966E-2</v>
      </c>
      <c r="B65" t="s">
        <v>46</v>
      </c>
      <c r="C65" t="s">
        <v>491</v>
      </c>
      <c r="D65"/>
      <c r="E65" t="s">
        <v>135</v>
      </c>
      <c r="F65"/>
      <c r="G65" t="s">
        <v>47</v>
      </c>
      <c r="H65"/>
      <c r="I65" s="167">
        <v>46312.786412037036</v>
      </c>
      <c r="J65" t="s">
        <v>583</v>
      </c>
      <c r="K65" t="s">
        <v>387</v>
      </c>
      <c r="L65" s="166">
        <v>46284</v>
      </c>
      <c r="M65" t="s">
        <v>382</v>
      </c>
      <c r="N65" t="s">
        <v>177</v>
      </c>
      <c r="O65" t="s">
        <v>178</v>
      </c>
      <c r="P65">
        <v>1</v>
      </c>
      <c r="Q65" t="s">
        <v>193</v>
      </c>
    </row>
    <row r="66" spans="1:17" s="3" customFormat="1">
      <c r="A66" s="82">
        <v>1.7395530405092594E-2</v>
      </c>
      <c r="B66" t="s">
        <v>46</v>
      </c>
      <c r="C66"/>
      <c r="D66"/>
      <c r="E66" t="s">
        <v>133</v>
      </c>
      <c r="F66"/>
      <c r="G66" t="s">
        <v>113</v>
      </c>
      <c r="H66"/>
      <c r="I66" s="167">
        <v>46312.786041666666</v>
      </c>
      <c r="J66" t="s">
        <v>583</v>
      </c>
      <c r="K66" t="s">
        <v>387</v>
      </c>
      <c r="L66" s="166">
        <v>46284</v>
      </c>
      <c r="M66" t="s">
        <v>382</v>
      </c>
      <c r="N66" t="s">
        <v>177</v>
      </c>
      <c r="O66" t="s">
        <v>178</v>
      </c>
      <c r="P66">
        <v>1</v>
      </c>
      <c r="Q66" t="s">
        <v>193</v>
      </c>
    </row>
    <row r="67" spans="1:17" s="3" customFormat="1">
      <c r="A67" s="82">
        <v>1.7367901284722223E-2</v>
      </c>
      <c r="B67" t="s">
        <v>46</v>
      </c>
      <c r="C67"/>
      <c r="D67"/>
      <c r="E67" t="s">
        <v>137</v>
      </c>
      <c r="F67"/>
      <c r="G67" t="s">
        <v>113</v>
      </c>
      <c r="H67"/>
      <c r="I67" s="167">
        <v>46312.786006944443</v>
      </c>
      <c r="J67" t="s">
        <v>583</v>
      </c>
      <c r="K67" t="s">
        <v>387</v>
      </c>
      <c r="L67" s="166">
        <v>46284</v>
      </c>
      <c r="M67" t="s">
        <v>382</v>
      </c>
      <c r="N67" t="s">
        <v>177</v>
      </c>
      <c r="O67" t="s">
        <v>178</v>
      </c>
      <c r="P67">
        <v>1</v>
      </c>
      <c r="Q67" t="s">
        <v>193</v>
      </c>
    </row>
    <row r="68" spans="1:17" s="3" customFormat="1">
      <c r="A68" s="82">
        <v>1.7321833680555555E-2</v>
      </c>
      <c r="B68" t="s">
        <v>46</v>
      </c>
      <c r="C68" t="s">
        <v>491</v>
      </c>
      <c r="D68"/>
      <c r="E68" t="s">
        <v>133</v>
      </c>
      <c r="F68"/>
      <c r="G68" t="s">
        <v>47</v>
      </c>
      <c r="H68"/>
      <c r="I68" s="167">
        <v>46312.785983796297</v>
      </c>
      <c r="J68" t="s">
        <v>583</v>
      </c>
      <c r="K68" t="s">
        <v>387</v>
      </c>
      <c r="L68" s="166">
        <v>46284</v>
      </c>
      <c r="M68" t="s">
        <v>382</v>
      </c>
      <c r="N68" t="s">
        <v>177</v>
      </c>
      <c r="O68" t="s">
        <v>178</v>
      </c>
      <c r="P68">
        <v>1</v>
      </c>
      <c r="Q68" t="s">
        <v>193</v>
      </c>
    </row>
    <row r="69" spans="1:17" s="3" customFormat="1">
      <c r="A69" s="82">
        <v>1.7260469479166665E-2</v>
      </c>
      <c r="B69" t="s">
        <v>46</v>
      </c>
      <c r="C69" t="s">
        <v>482</v>
      </c>
      <c r="D69"/>
      <c r="E69" t="s">
        <v>135</v>
      </c>
      <c r="F69"/>
      <c r="G69" t="s">
        <v>47</v>
      </c>
      <c r="H69"/>
      <c r="I69" s="167">
        <v>46312.785844907405</v>
      </c>
      <c r="J69" t="s">
        <v>583</v>
      </c>
      <c r="K69" t="s">
        <v>387</v>
      </c>
      <c r="L69" s="166">
        <v>46284</v>
      </c>
      <c r="M69" t="s">
        <v>382</v>
      </c>
      <c r="N69" t="s">
        <v>177</v>
      </c>
      <c r="O69" t="s">
        <v>178</v>
      </c>
      <c r="P69">
        <v>1</v>
      </c>
      <c r="Q69" t="s">
        <v>193</v>
      </c>
    </row>
    <row r="70" spans="1:17" s="3" customFormat="1">
      <c r="A70" s="82">
        <v>1.7169077708333334E-2</v>
      </c>
      <c r="B70" t="s">
        <v>46</v>
      </c>
      <c r="C70"/>
      <c r="D70"/>
      <c r="E70" t="s">
        <v>133</v>
      </c>
      <c r="F70"/>
      <c r="G70" t="s">
        <v>113</v>
      </c>
      <c r="H70"/>
      <c r="I70" s="167">
        <v>46312.785601851851</v>
      </c>
      <c r="J70" t="s">
        <v>583</v>
      </c>
      <c r="K70" t="s">
        <v>387</v>
      </c>
      <c r="L70" s="166">
        <v>46284</v>
      </c>
      <c r="M70" t="s">
        <v>382</v>
      </c>
      <c r="N70" t="s">
        <v>177</v>
      </c>
      <c r="O70" t="s">
        <v>178</v>
      </c>
      <c r="P70">
        <v>1</v>
      </c>
      <c r="Q70" t="s">
        <v>193</v>
      </c>
    </row>
    <row r="71" spans="1:17" s="3" customFormat="1">
      <c r="A71" s="82">
        <v>1.6996947395833333E-2</v>
      </c>
      <c r="B71" t="s">
        <v>46</v>
      </c>
      <c r="C71" t="s">
        <v>483</v>
      </c>
      <c r="D71"/>
      <c r="E71" t="s">
        <v>8</v>
      </c>
      <c r="F71"/>
      <c r="G71" t="s">
        <v>113</v>
      </c>
      <c r="H71"/>
      <c r="I71" s="167">
        <v>46312.785381944443</v>
      </c>
      <c r="J71" t="s">
        <v>583</v>
      </c>
      <c r="K71" t="s">
        <v>387</v>
      </c>
      <c r="L71" s="166">
        <v>46284</v>
      </c>
      <c r="M71" t="s">
        <v>382</v>
      </c>
      <c r="N71" t="s">
        <v>177</v>
      </c>
      <c r="O71" t="s">
        <v>178</v>
      </c>
      <c r="P71">
        <v>1</v>
      </c>
      <c r="Q71" t="s">
        <v>193</v>
      </c>
    </row>
    <row r="72" spans="1:17" s="3" customFormat="1">
      <c r="A72" s="82">
        <v>1.6938911215277779E-2</v>
      </c>
      <c r="B72" t="s">
        <v>46</v>
      </c>
      <c r="C72" t="s">
        <v>479</v>
      </c>
      <c r="D72"/>
      <c r="E72" t="s">
        <v>57</v>
      </c>
      <c r="F72"/>
      <c r="G72" t="s">
        <v>113</v>
      </c>
      <c r="H72"/>
      <c r="I72" s="167">
        <v>46312.785150462965</v>
      </c>
      <c r="J72" t="s">
        <v>583</v>
      </c>
      <c r="K72" t="s">
        <v>387</v>
      </c>
      <c r="L72" s="166">
        <v>46284</v>
      </c>
      <c r="M72" t="s">
        <v>382</v>
      </c>
      <c r="N72" t="s">
        <v>177</v>
      </c>
      <c r="O72" t="s">
        <v>178</v>
      </c>
      <c r="P72">
        <v>1</v>
      </c>
      <c r="Q72" t="s">
        <v>193</v>
      </c>
    </row>
    <row r="73" spans="1:17" s="3" customFormat="1">
      <c r="A73" s="82">
        <v>1.6938911215277779E-2</v>
      </c>
      <c r="B73" t="s">
        <v>46</v>
      </c>
      <c r="C73" t="s">
        <v>481</v>
      </c>
      <c r="D73"/>
      <c r="E73" t="s">
        <v>57</v>
      </c>
      <c r="F73"/>
      <c r="G73" t="s">
        <v>113</v>
      </c>
      <c r="H73"/>
      <c r="I73" s="167">
        <v>46312.785138888888</v>
      </c>
      <c r="J73" t="s">
        <v>583</v>
      </c>
      <c r="K73" t="s">
        <v>387</v>
      </c>
      <c r="L73" s="166">
        <v>46284</v>
      </c>
      <c r="M73" t="s">
        <v>382</v>
      </c>
      <c r="N73" t="s">
        <v>177</v>
      </c>
      <c r="O73" t="s">
        <v>178</v>
      </c>
      <c r="P73">
        <v>1</v>
      </c>
      <c r="Q73" t="s">
        <v>193</v>
      </c>
    </row>
    <row r="74" spans="1:17" s="3" customFormat="1">
      <c r="A74" s="82">
        <v>1.6935799513888888E-2</v>
      </c>
      <c r="B74" t="s">
        <v>46</v>
      </c>
      <c r="C74"/>
      <c r="D74"/>
      <c r="E74" t="s">
        <v>137</v>
      </c>
      <c r="F74"/>
      <c r="G74" t="s">
        <v>113</v>
      </c>
      <c r="H74"/>
      <c r="I74" s="167">
        <v>46312.78497685185</v>
      </c>
      <c r="J74" t="s">
        <v>583</v>
      </c>
      <c r="K74" t="s">
        <v>387</v>
      </c>
      <c r="L74" s="166">
        <v>46284</v>
      </c>
      <c r="M74" t="s">
        <v>382</v>
      </c>
      <c r="N74" t="s">
        <v>177</v>
      </c>
      <c r="O74" t="s">
        <v>178</v>
      </c>
      <c r="P74">
        <v>1</v>
      </c>
      <c r="Q74" t="s">
        <v>193</v>
      </c>
    </row>
    <row r="75" spans="1:17" s="3" customFormat="1">
      <c r="A75" s="82">
        <v>1.6885815347222222E-2</v>
      </c>
      <c r="B75" t="s">
        <v>46</v>
      </c>
      <c r="C75"/>
      <c r="D75"/>
      <c r="E75" t="s">
        <v>133</v>
      </c>
      <c r="F75"/>
      <c r="G75" t="s">
        <v>113</v>
      </c>
      <c r="H75"/>
      <c r="I75" s="167">
        <v>46312.784907407404</v>
      </c>
      <c r="J75" t="s">
        <v>583</v>
      </c>
      <c r="K75" t="s">
        <v>387</v>
      </c>
      <c r="L75" s="166">
        <v>46284</v>
      </c>
      <c r="M75" t="s">
        <v>382</v>
      </c>
      <c r="N75" t="s">
        <v>177</v>
      </c>
      <c r="O75" t="s">
        <v>178</v>
      </c>
      <c r="P75">
        <v>1</v>
      </c>
      <c r="Q75" t="s">
        <v>193</v>
      </c>
    </row>
    <row r="76" spans="1:17" s="3" customFormat="1">
      <c r="A76" s="82">
        <v>1.6750539166666665E-2</v>
      </c>
      <c r="B76" t="s">
        <v>46</v>
      </c>
      <c r="C76" t="s">
        <v>483</v>
      </c>
      <c r="D76"/>
      <c r="E76" t="s">
        <v>57</v>
      </c>
      <c r="F76"/>
      <c r="G76" t="s">
        <v>113</v>
      </c>
      <c r="H76"/>
      <c r="I76" s="167">
        <v>46312.784733796296</v>
      </c>
      <c r="J76" t="s">
        <v>583</v>
      </c>
      <c r="K76" t="s">
        <v>387</v>
      </c>
      <c r="L76" s="166">
        <v>46284</v>
      </c>
      <c r="M76" t="s">
        <v>382</v>
      </c>
      <c r="N76" t="s">
        <v>177</v>
      </c>
      <c r="O76" t="s">
        <v>178</v>
      </c>
      <c r="P76">
        <v>1</v>
      </c>
      <c r="Q76" t="s">
        <v>193</v>
      </c>
    </row>
    <row r="77" spans="1:17" s="3" customFormat="1">
      <c r="A77" s="82">
        <v>1.6721841840277779E-2</v>
      </c>
      <c r="B77" t="s">
        <v>46</v>
      </c>
      <c r="C77" t="s">
        <v>481</v>
      </c>
      <c r="D77"/>
      <c r="E77" t="s">
        <v>58</v>
      </c>
      <c r="F77"/>
      <c r="G77" t="s">
        <v>47</v>
      </c>
      <c r="H77"/>
      <c r="I77" s="167">
        <v>46312.784467592595</v>
      </c>
      <c r="J77" t="s">
        <v>583</v>
      </c>
      <c r="K77" t="s">
        <v>387</v>
      </c>
      <c r="L77" s="166">
        <v>46284</v>
      </c>
      <c r="M77" t="s">
        <v>382</v>
      </c>
      <c r="N77" t="s">
        <v>177</v>
      </c>
      <c r="O77" t="s">
        <v>178</v>
      </c>
      <c r="P77">
        <v>1</v>
      </c>
      <c r="Q77" t="s">
        <v>193</v>
      </c>
    </row>
    <row r="78" spans="1:17" s="3" customFormat="1">
      <c r="A78" s="82">
        <v>1.6665018217592593E-2</v>
      </c>
      <c r="B78" t="s">
        <v>46</v>
      </c>
      <c r="C78"/>
      <c r="D78"/>
      <c r="E78" t="s">
        <v>53</v>
      </c>
      <c r="F78"/>
      <c r="G78" t="s">
        <v>47</v>
      </c>
      <c r="H78"/>
      <c r="I78" s="167">
        <v>46312.783946759257</v>
      </c>
      <c r="J78" t="s">
        <v>583</v>
      </c>
      <c r="K78" t="s">
        <v>387</v>
      </c>
      <c r="L78" s="166">
        <v>46284</v>
      </c>
      <c r="M78" t="s">
        <v>382</v>
      </c>
      <c r="N78" t="s">
        <v>177</v>
      </c>
      <c r="O78" t="s">
        <v>178</v>
      </c>
      <c r="P78">
        <v>1</v>
      </c>
      <c r="Q78" t="s">
        <v>193</v>
      </c>
    </row>
    <row r="79" spans="1:17" s="3" customFormat="1">
      <c r="A79" s="82">
        <v>1.4959065138888891E-2</v>
      </c>
      <c r="B79" t="s">
        <v>46</v>
      </c>
      <c r="C79"/>
      <c r="D79"/>
      <c r="E79" t="s">
        <v>262</v>
      </c>
      <c r="F79"/>
      <c r="G79" t="s">
        <v>47</v>
      </c>
      <c r="H79"/>
      <c r="I79" s="167">
        <v>46312.783773148149</v>
      </c>
      <c r="J79" t="s">
        <v>583</v>
      </c>
      <c r="K79" t="s">
        <v>387</v>
      </c>
      <c r="L79" s="166">
        <v>46284</v>
      </c>
      <c r="M79" t="s">
        <v>382</v>
      </c>
      <c r="N79" t="s">
        <v>177</v>
      </c>
      <c r="O79" t="s">
        <v>178</v>
      </c>
      <c r="P79">
        <v>1</v>
      </c>
      <c r="Q79" t="s">
        <v>193</v>
      </c>
    </row>
    <row r="80" spans="1:17" s="3" customFormat="1">
      <c r="A80" s="82">
        <v>1.4959065138888891E-2</v>
      </c>
      <c r="B80" t="s">
        <v>46</v>
      </c>
      <c r="C80"/>
      <c r="D80"/>
      <c r="E80" t="s">
        <v>37</v>
      </c>
      <c r="F80"/>
      <c r="G80" t="s">
        <v>47</v>
      </c>
      <c r="H80"/>
      <c r="I80" s="167">
        <v>46312.783703703702</v>
      </c>
      <c r="J80" t="s">
        <v>583</v>
      </c>
      <c r="K80" t="s">
        <v>387</v>
      </c>
      <c r="L80" s="166">
        <v>46284</v>
      </c>
      <c r="M80" t="s">
        <v>382</v>
      </c>
      <c r="N80" t="s">
        <v>177</v>
      </c>
      <c r="O80" t="s">
        <v>178</v>
      </c>
      <c r="P80">
        <v>1</v>
      </c>
      <c r="Q80" t="s">
        <v>193</v>
      </c>
    </row>
    <row r="81" spans="1:17" s="3" customFormat="1">
      <c r="A81" s="82">
        <v>1.4959065138888891E-2</v>
      </c>
      <c r="B81" t="s">
        <v>46</v>
      </c>
      <c r="C81"/>
      <c r="D81"/>
      <c r="E81" t="s">
        <v>160</v>
      </c>
      <c r="F81" t="s">
        <v>156</v>
      </c>
      <c r="G81" t="s">
        <v>47</v>
      </c>
      <c r="H81"/>
      <c r="I81" s="167">
        <v>46312.783703703702</v>
      </c>
      <c r="J81" t="s">
        <v>583</v>
      </c>
      <c r="K81" t="s">
        <v>387</v>
      </c>
      <c r="L81" s="166">
        <v>46284</v>
      </c>
      <c r="M81" t="s">
        <v>382</v>
      </c>
      <c r="N81" t="s">
        <v>177</v>
      </c>
      <c r="O81" t="s">
        <v>178</v>
      </c>
      <c r="P81">
        <v>1</v>
      </c>
      <c r="Q81" t="s">
        <v>193</v>
      </c>
    </row>
    <row r="82" spans="1:17" s="3" customFormat="1">
      <c r="A82" s="82">
        <v>1.4917866851851853E-2</v>
      </c>
      <c r="B82" t="s">
        <v>46</v>
      </c>
      <c r="C82" t="s">
        <v>585</v>
      </c>
      <c r="D82"/>
      <c r="E82" t="s">
        <v>406</v>
      </c>
      <c r="F82"/>
      <c r="G82" t="s">
        <v>47</v>
      </c>
      <c r="H82"/>
      <c r="I82" s="167">
        <v>46312.782835648148</v>
      </c>
      <c r="J82" t="s">
        <v>583</v>
      </c>
      <c r="K82" t="s">
        <v>387</v>
      </c>
      <c r="L82" s="166">
        <v>46284</v>
      </c>
      <c r="M82" t="s">
        <v>382</v>
      </c>
      <c r="N82" t="s">
        <v>177</v>
      </c>
      <c r="O82" t="s">
        <v>178</v>
      </c>
      <c r="P82">
        <v>1</v>
      </c>
      <c r="Q82" t="s">
        <v>193</v>
      </c>
    </row>
    <row r="83" spans="1:17" s="3" customFormat="1">
      <c r="A83" s="82">
        <v>1.4871614479166666E-2</v>
      </c>
      <c r="B83" t="s">
        <v>46</v>
      </c>
      <c r="C83" t="s">
        <v>585</v>
      </c>
      <c r="D83"/>
      <c r="E83" t="s">
        <v>135</v>
      </c>
      <c r="F83"/>
      <c r="G83" t="s">
        <v>47</v>
      </c>
      <c r="H83"/>
      <c r="I83" s="167">
        <v>46312.782754629632</v>
      </c>
      <c r="J83" t="s">
        <v>583</v>
      </c>
      <c r="K83" t="s">
        <v>387</v>
      </c>
      <c r="L83" s="166">
        <v>46284</v>
      </c>
      <c r="M83" t="s">
        <v>382</v>
      </c>
      <c r="N83" t="s">
        <v>177</v>
      </c>
      <c r="O83" t="s">
        <v>178</v>
      </c>
      <c r="P83">
        <v>1</v>
      </c>
      <c r="Q83" t="s">
        <v>193</v>
      </c>
    </row>
    <row r="84" spans="1:17" s="3" customFormat="1">
      <c r="A84" s="82">
        <v>1.4821916261574076E-2</v>
      </c>
      <c r="B84" t="s">
        <v>46</v>
      </c>
      <c r="C84"/>
      <c r="D84"/>
      <c r="E84" t="s">
        <v>133</v>
      </c>
      <c r="F84"/>
      <c r="G84" t="s">
        <v>113</v>
      </c>
      <c r="H84"/>
      <c r="I84" s="167">
        <v>46312.782453703701</v>
      </c>
      <c r="J84" t="s">
        <v>583</v>
      </c>
      <c r="K84" t="s">
        <v>387</v>
      </c>
      <c r="L84" s="166">
        <v>46284</v>
      </c>
      <c r="M84" t="s">
        <v>382</v>
      </c>
      <c r="N84" t="s">
        <v>177</v>
      </c>
      <c r="O84" t="s">
        <v>178</v>
      </c>
      <c r="P84">
        <v>1</v>
      </c>
      <c r="Q84" t="s">
        <v>193</v>
      </c>
    </row>
    <row r="85" spans="1:17" s="3" customFormat="1">
      <c r="A85" s="82">
        <v>1.4748543796296297E-2</v>
      </c>
      <c r="B85" t="s">
        <v>46</v>
      </c>
      <c r="C85" t="s">
        <v>490</v>
      </c>
      <c r="D85"/>
      <c r="E85" t="s">
        <v>132</v>
      </c>
      <c r="F85"/>
      <c r="G85" t="s">
        <v>47</v>
      </c>
      <c r="H85"/>
      <c r="I85" s="167">
        <v>46312.782280092593</v>
      </c>
      <c r="J85" t="s">
        <v>583</v>
      </c>
      <c r="K85" t="s">
        <v>387</v>
      </c>
      <c r="L85" s="166">
        <v>46284</v>
      </c>
      <c r="M85" t="s">
        <v>382</v>
      </c>
      <c r="N85" t="s">
        <v>177</v>
      </c>
      <c r="O85" t="s">
        <v>178</v>
      </c>
      <c r="P85">
        <v>1</v>
      </c>
      <c r="Q85" t="s">
        <v>193</v>
      </c>
    </row>
    <row r="86" spans="1:17" s="3" customFormat="1">
      <c r="A86" s="82">
        <v>1.4737683680555556E-2</v>
      </c>
      <c r="B86" t="s">
        <v>46</v>
      </c>
      <c r="C86" t="s">
        <v>488</v>
      </c>
      <c r="D86"/>
      <c r="E86" t="s">
        <v>405</v>
      </c>
      <c r="F86"/>
      <c r="G86" t="s">
        <v>47</v>
      </c>
      <c r="H86"/>
      <c r="I86" s="167">
        <v>46312.782071759262</v>
      </c>
      <c r="J86" t="s">
        <v>583</v>
      </c>
      <c r="K86" t="s">
        <v>387</v>
      </c>
      <c r="L86" s="166">
        <v>46284</v>
      </c>
      <c r="M86" t="s">
        <v>382</v>
      </c>
      <c r="N86" t="s">
        <v>177</v>
      </c>
      <c r="O86" t="s">
        <v>178</v>
      </c>
      <c r="P86">
        <v>1</v>
      </c>
      <c r="Q86" t="s">
        <v>193</v>
      </c>
    </row>
    <row r="87" spans="1:17" s="3" customFormat="1">
      <c r="A87" s="82">
        <v>1.4692797349537037E-2</v>
      </c>
      <c r="B87" t="s">
        <v>46</v>
      </c>
      <c r="C87"/>
      <c r="D87"/>
      <c r="E87" t="s">
        <v>60</v>
      </c>
      <c r="F87"/>
      <c r="G87" t="s">
        <v>47</v>
      </c>
      <c r="H87"/>
      <c r="I87" s="167">
        <v>46312.781851851854</v>
      </c>
      <c r="J87" t="s">
        <v>583</v>
      </c>
      <c r="K87" t="s">
        <v>387</v>
      </c>
      <c r="L87" s="166">
        <v>46284</v>
      </c>
      <c r="M87" t="s">
        <v>382</v>
      </c>
      <c r="N87" t="s">
        <v>177</v>
      </c>
      <c r="O87" t="s">
        <v>178</v>
      </c>
      <c r="P87">
        <v>1</v>
      </c>
      <c r="Q87" t="s">
        <v>193</v>
      </c>
    </row>
    <row r="88" spans="1:17" s="3" customFormat="1">
      <c r="A88" s="82">
        <v>1.4630130625000001E-2</v>
      </c>
      <c r="B88" t="s">
        <v>46</v>
      </c>
      <c r="C88"/>
      <c r="D88"/>
      <c r="E88" t="s">
        <v>53</v>
      </c>
      <c r="F88"/>
      <c r="G88" t="s">
        <v>47</v>
      </c>
      <c r="H88"/>
      <c r="I88" s="167">
        <v>46312.781342592592</v>
      </c>
      <c r="J88" t="s">
        <v>583</v>
      </c>
      <c r="K88" t="s">
        <v>387</v>
      </c>
      <c r="L88" s="166">
        <v>46284</v>
      </c>
      <c r="M88" t="s">
        <v>382</v>
      </c>
      <c r="N88" t="s">
        <v>177</v>
      </c>
      <c r="O88" t="s">
        <v>178</v>
      </c>
      <c r="P88">
        <v>1</v>
      </c>
      <c r="Q88" t="s">
        <v>193</v>
      </c>
    </row>
    <row r="89" spans="1:17" s="3" customFormat="1">
      <c r="A89" s="82">
        <v>1.4380296539351852E-2</v>
      </c>
      <c r="B89" t="s">
        <v>46</v>
      </c>
      <c r="C89"/>
      <c r="D89"/>
      <c r="E89" t="s">
        <v>37</v>
      </c>
      <c r="F89"/>
      <c r="G89" t="s">
        <v>47</v>
      </c>
      <c r="H89"/>
      <c r="I89" s="167">
        <v>46312.781226851854</v>
      </c>
      <c r="J89" t="s">
        <v>583</v>
      </c>
      <c r="K89" t="s">
        <v>387</v>
      </c>
      <c r="L89" s="166">
        <v>46284</v>
      </c>
      <c r="M89" t="s">
        <v>382</v>
      </c>
      <c r="N89" t="s">
        <v>177</v>
      </c>
      <c r="O89" t="s">
        <v>178</v>
      </c>
      <c r="P89">
        <v>1</v>
      </c>
      <c r="Q89" t="s">
        <v>193</v>
      </c>
    </row>
    <row r="90" spans="1:17" s="3" customFormat="1">
      <c r="A90" s="82">
        <v>1.4225089895833334E-2</v>
      </c>
      <c r="B90" t="s">
        <v>46</v>
      </c>
      <c r="C90"/>
      <c r="D90"/>
      <c r="E90" t="s">
        <v>49</v>
      </c>
      <c r="F90"/>
      <c r="G90" t="s">
        <v>47</v>
      </c>
      <c r="H90"/>
      <c r="I90" s="167">
        <v>46312.780833333331</v>
      </c>
      <c r="J90" t="s">
        <v>583</v>
      </c>
      <c r="K90" t="s">
        <v>387</v>
      </c>
      <c r="L90" s="166">
        <v>46284</v>
      </c>
      <c r="M90" t="s">
        <v>382</v>
      </c>
      <c r="N90" t="s">
        <v>177</v>
      </c>
      <c r="O90" t="s">
        <v>178</v>
      </c>
      <c r="P90">
        <v>1</v>
      </c>
      <c r="Q90" t="s">
        <v>193</v>
      </c>
    </row>
    <row r="91" spans="1:17" s="3" customFormat="1">
      <c r="A91" s="82">
        <v>1.3893508321759259E-2</v>
      </c>
      <c r="B91" t="s">
        <v>46</v>
      </c>
      <c r="C91"/>
      <c r="D91"/>
      <c r="E91" t="s">
        <v>65</v>
      </c>
      <c r="F91"/>
      <c r="G91" t="s">
        <v>113</v>
      </c>
      <c r="H91"/>
      <c r="I91" s="167">
        <v>46312.78056712963</v>
      </c>
      <c r="J91" t="s">
        <v>583</v>
      </c>
      <c r="K91" t="s">
        <v>387</v>
      </c>
      <c r="L91" s="166">
        <v>46284</v>
      </c>
      <c r="M91" t="s">
        <v>382</v>
      </c>
      <c r="N91" t="s">
        <v>177</v>
      </c>
      <c r="O91" t="s">
        <v>178</v>
      </c>
      <c r="P91">
        <v>1</v>
      </c>
      <c r="Q91" t="s">
        <v>193</v>
      </c>
    </row>
    <row r="92" spans="1:17" s="3" customFormat="1">
      <c r="A92" s="82">
        <v>1.3221389953703703E-2</v>
      </c>
      <c r="B92" t="s">
        <v>46</v>
      </c>
      <c r="C92"/>
      <c r="D92"/>
      <c r="E92" t="s">
        <v>37</v>
      </c>
      <c r="F92"/>
      <c r="G92" t="s">
        <v>113</v>
      </c>
      <c r="H92"/>
      <c r="I92" s="167">
        <v>46312.780243055553</v>
      </c>
      <c r="J92" t="s">
        <v>583</v>
      </c>
      <c r="K92" t="s">
        <v>387</v>
      </c>
      <c r="L92" s="166">
        <v>46284</v>
      </c>
      <c r="M92" t="s">
        <v>382</v>
      </c>
      <c r="N92" t="s">
        <v>177</v>
      </c>
      <c r="O92" t="s">
        <v>178</v>
      </c>
      <c r="P92">
        <v>1</v>
      </c>
      <c r="Q92" t="s">
        <v>193</v>
      </c>
    </row>
    <row r="93" spans="1:17" s="3" customFormat="1">
      <c r="A93" s="82">
        <v>1.3221389953703703E-2</v>
      </c>
      <c r="B93" t="s">
        <v>46</v>
      </c>
      <c r="C93" t="s">
        <v>482</v>
      </c>
      <c r="D93" t="s">
        <v>153</v>
      </c>
      <c r="E93" t="s">
        <v>161</v>
      </c>
      <c r="F93" t="s">
        <v>609</v>
      </c>
      <c r="G93" t="s">
        <v>113</v>
      </c>
      <c r="H93"/>
      <c r="I93" s="167">
        <v>46312.780243055553</v>
      </c>
      <c r="J93" t="s">
        <v>583</v>
      </c>
      <c r="K93" t="s">
        <v>387</v>
      </c>
      <c r="L93" s="166">
        <v>46284</v>
      </c>
      <c r="M93" t="s">
        <v>382</v>
      </c>
      <c r="N93" t="s">
        <v>177</v>
      </c>
      <c r="O93" t="s">
        <v>178</v>
      </c>
      <c r="P93">
        <v>1</v>
      </c>
      <c r="Q93" t="s">
        <v>193</v>
      </c>
    </row>
    <row r="94" spans="1:17" s="3" customFormat="1">
      <c r="A94" s="82">
        <v>1.315673988425926E-2</v>
      </c>
      <c r="B94" t="s">
        <v>46</v>
      </c>
      <c r="C94" t="s">
        <v>491</v>
      </c>
      <c r="D94"/>
      <c r="E94" t="s">
        <v>135</v>
      </c>
      <c r="F94"/>
      <c r="G94" t="s">
        <v>47</v>
      </c>
      <c r="H94"/>
      <c r="I94" s="167">
        <v>46312.780023148145</v>
      </c>
      <c r="J94" t="s">
        <v>583</v>
      </c>
      <c r="K94" t="s">
        <v>387</v>
      </c>
      <c r="L94" s="166">
        <v>46284</v>
      </c>
      <c r="M94" t="s">
        <v>382</v>
      </c>
      <c r="N94" t="s">
        <v>177</v>
      </c>
      <c r="O94" t="s">
        <v>178</v>
      </c>
      <c r="P94">
        <v>1</v>
      </c>
      <c r="Q94" t="s">
        <v>193</v>
      </c>
    </row>
    <row r="95" spans="1:17" s="3" customFormat="1">
      <c r="A95" s="82">
        <v>1.3135241493055555E-2</v>
      </c>
      <c r="B95" t="s">
        <v>46</v>
      </c>
      <c r="C95"/>
      <c r="D95"/>
      <c r="E95" t="s">
        <v>133</v>
      </c>
      <c r="F95"/>
      <c r="G95" t="s">
        <v>113</v>
      </c>
      <c r="H95"/>
      <c r="I95" s="167">
        <v>46312.779988425929</v>
      </c>
      <c r="J95" t="s">
        <v>583</v>
      </c>
      <c r="K95" t="s">
        <v>387</v>
      </c>
      <c r="L95" s="166">
        <v>46284</v>
      </c>
      <c r="M95" t="s">
        <v>382</v>
      </c>
      <c r="N95" t="s">
        <v>177</v>
      </c>
      <c r="O95" t="s">
        <v>178</v>
      </c>
      <c r="P95">
        <v>1</v>
      </c>
      <c r="Q95" t="s">
        <v>193</v>
      </c>
    </row>
    <row r="96" spans="1:17" s="3" customFormat="1">
      <c r="A96" s="82">
        <v>1.2983003182870372E-2</v>
      </c>
      <c r="B96" t="s">
        <v>46</v>
      </c>
      <c r="C96" t="s">
        <v>482</v>
      </c>
      <c r="D96"/>
      <c r="E96" t="s">
        <v>82</v>
      </c>
      <c r="F96"/>
      <c r="G96" t="s">
        <v>113</v>
      </c>
      <c r="H96"/>
      <c r="I96" s="167">
        <v>46312.779641203706</v>
      </c>
      <c r="J96" t="s">
        <v>583</v>
      </c>
      <c r="K96" t="s">
        <v>387</v>
      </c>
      <c r="L96" s="166">
        <v>46284</v>
      </c>
      <c r="M96" t="s">
        <v>382</v>
      </c>
      <c r="N96" t="s">
        <v>177</v>
      </c>
      <c r="O96" t="s">
        <v>178</v>
      </c>
      <c r="P96">
        <v>1</v>
      </c>
      <c r="Q96" t="s">
        <v>193</v>
      </c>
    </row>
    <row r="97" spans="1:17" s="3" customFormat="1">
      <c r="A97" s="82">
        <v>1.2983003182870372E-2</v>
      </c>
      <c r="B97" t="s">
        <v>46</v>
      </c>
      <c r="C97" t="s">
        <v>481</v>
      </c>
      <c r="D97"/>
      <c r="E97" t="s">
        <v>82</v>
      </c>
      <c r="F97"/>
      <c r="G97" t="s">
        <v>113</v>
      </c>
      <c r="H97"/>
      <c r="I97" s="167">
        <v>46312.779629629629</v>
      </c>
      <c r="J97" t="s">
        <v>583</v>
      </c>
      <c r="K97" t="s">
        <v>387</v>
      </c>
      <c r="L97" s="166">
        <v>46284</v>
      </c>
      <c r="M97" t="s">
        <v>382</v>
      </c>
      <c r="N97" t="s">
        <v>177</v>
      </c>
      <c r="O97" t="s">
        <v>178</v>
      </c>
      <c r="P97">
        <v>1</v>
      </c>
      <c r="Q97" t="s">
        <v>193</v>
      </c>
    </row>
    <row r="98" spans="1:17" s="3" customFormat="1">
      <c r="A98" s="82">
        <v>1.2858346087962963E-2</v>
      </c>
      <c r="B98" t="s">
        <v>46</v>
      </c>
      <c r="C98" t="s">
        <v>479</v>
      </c>
      <c r="D98"/>
      <c r="E98" t="s">
        <v>57</v>
      </c>
      <c r="F98"/>
      <c r="G98" t="s">
        <v>113</v>
      </c>
      <c r="H98"/>
      <c r="I98" s="167">
        <v>46312.77753472222</v>
      </c>
      <c r="J98" t="s">
        <v>583</v>
      </c>
      <c r="K98" t="s">
        <v>387</v>
      </c>
      <c r="L98" s="166">
        <v>46284</v>
      </c>
      <c r="M98" t="s">
        <v>382</v>
      </c>
      <c r="N98" t="s">
        <v>177</v>
      </c>
      <c r="O98" t="s">
        <v>178</v>
      </c>
      <c r="P98">
        <v>1</v>
      </c>
      <c r="Q98" t="s">
        <v>193</v>
      </c>
    </row>
    <row r="99" spans="1:17" s="3" customFormat="1">
      <c r="A99" s="82">
        <v>1.2795721354166666E-2</v>
      </c>
      <c r="B99" t="s">
        <v>46</v>
      </c>
      <c r="C99" t="s">
        <v>32</v>
      </c>
      <c r="D99"/>
      <c r="E99" t="s">
        <v>9</v>
      </c>
      <c r="F99"/>
      <c r="G99" t="s">
        <v>113</v>
      </c>
      <c r="H99"/>
      <c r="I99" s="167">
        <v>46312.776782407411</v>
      </c>
      <c r="J99" t="s">
        <v>583</v>
      </c>
      <c r="K99" t="s">
        <v>387</v>
      </c>
      <c r="L99" s="166">
        <v>46284</v>
      </c>
      <c r="M99" t="s">
        <v>382</v>
      </c>
      <c r="N99" t="s">
        <v>177</v>
      </c>
      <c r="O99" t="s">
        <v>178</v>
      </c>
      <c r="P99">
        <v>1</v>
      </c>
      <c r="Q99" t="s">
        <v>193</v>
      </c>
    </row>
    <row r="100" spans="1:17" s="3" customFormat="1">
      <c r="A100" s="82">
        <v>1.2856228622685185E-2</v>
      </c>
      <c r="B100" t="s">
        <v>46</v>
      </c>
      <c r="C100" t="s">
        <v>487</v>
      </c>
      <c r="D100"/>
      <c r="E100" t="s">
        <v>57</v>
      </c>
      <c r="F100"/>
      <c r="G100" t="s">
        <v>113</v>
      </c>
      <c r="H100"/>
      <c r="I100" s="167">
        <v>46312.775960648149</v>
      </c>
      <c r="J100" t="s">
        <v>583</v>
      </c>
      <c r="K100" t="s">
        <v>387</v>
      </c>
      <c r="L100" s="166">
        <v>46284</v>
      </c>
      <c r="M100" t="s">
        <v>382</v>
      </c>
      <c r="N100" t="s">
        <v>177</v>
      </c>
      <c r="O100" t="s">
        <v>178</v>
      </c>
      <c r="P100">
        <v>1</v>
      </c>
      <c r="Q100" t="s">
        <v>193</v>
      </c>
    </row>
    <row r="101" spans="1:17" s="3" customFormat="1">
      <c r="A101" s="82">
        <v>1.2844823379629632E-2</v>
      </c>
      <c r="B101" t="s">
        <v>46</v>
      </c>
      <c r="C101" t="s">
        <v>485</v>
      </c>
      <c r="D101"/>
      <c r="E101" t="s">
        <v>57</v>
      </c>
      <c r="F101"/>
      <c r="G101" t="s">
        <v>113</v>
      </c>
      <c r="H101"/>
      <c r="I101" s="167">
        <v>46312.775891203702</v>
      </c>
      <c r="J101" t="s">
        <v>583</v>
      </c>
      <c r="K101" t="s">
        <v>387</v>
      </c>
      <c r="L101" s="166">
        <v>46284</v>
      </c>
      <c r="M101" t="s">
        <v>382</v>
      </c>
      <c r="N101" t="s">
        <v>177</v>
      </c>
      <c r="O101" t="s">
        <v>178</v>
      </c>
      <c r="P101">
        <v>1</v>
      </c>
      <c r="Q101" t="s">
        <v>193</v>
      </c>
    </row>
    <row r="102" spans="1:17" s="3" customFormat="1">
      <c r="A102" s="82">
        <v>1.2745955486111111E-2</v>
      </c>
      <c r="B102" t="s">
        <v>46</v>
      </c>
      <c r="C102"/>
      <c r="D102"/>
      <c r="E102" t="s">
        <v>62</v>
      </c>
      <c r="F102"/>
      <c r="G102" t="s">
        <v>113</v>
      </c>
      <c r="H102"/>
      <c r="I102" s="167">
        <v>46312.77547453704</v>
      </c>
      <c r="J102" t="s">
        <v>583</v>
      </c>
      <c r="K102" t="s">
        <v>387</v>
      </c>
      <c r="L102" s="166">
        <v>46284</v>
      </c>
      <c r="M102" t="s">
        <v>382</v>
      </c>
      <c r="N102" t="s">
        <v>177</v>
      </c>
      <c r="O102" t="s">
        <v>178</v>
      </c>
      <c r="P102">
        <v>1</v>
      </c>
      <c r="Q102" t="s">
        <v>193</v>
      </c>
    </row>
    <row r="103" spans="1:17" s="3" customFormat="1">
      <c r="A103" s="82">
        <v>1.2728924594907405E-2</v>
      </c>
      <c r="B103" t="s">
        <v>46</v>
      </c>
      <c r="C103"/>
      <c r="D103"/>
      <c r="E103" t="s">
        <v>53</v>
      </c>
      <c r="F103"/>
      <c r="G103" t="s">
        <v>113</v>
      </c>
      <c r="H103"/>
      <c r="I103" s="167">
        <v>46312.774814814817</v>
      </c>
      <c r="J103" t="s">
        <v>583</v>
      </c>
      <c r="K103" t="s">
        <v>387</v>
      </c>
      <c r="L103" s="166">
        <v>46284</v>
      </c>
      <c r="M103" t="s">
        <v>382</v>
      </c>
      <c r="N103" t="s">
        <v>177</v>
      </c>
      <c r="O103" t="s">
        <v>178</v>
      </c>
      <c r="P103">
        <v>1</v>
      </c>
      <c r="Q103" t="s">
        <v>193</v>
      </c>
    </row>
    <row r="104" spans="1:17" s="3" customFormat="1">
      <c r="A104" s="82">
        <v>1.2414262395833334E-2</v>
      </c>
      <c r="B104" t="s">
        <v>46</v>
      </c>
      <c r="C104"/>
      <c r="D104"/>
      <c r="E104" t="s">
        <v>37</v>
      </c>
      <c r="F104"/>
      <c r="G104" t="s">
        <v>47</v>
      </c>
      <c r="H104"/>
      <c r="I104" s="167">
        <v>46312.774687500001</v>
      </c>
      <c r="J104" t="s">
        <v>583</v>
      </c>
      <c r="K104" t="s">
        <v>387</v>
      </c>
      <c r="L104" s="166">
        <v>46284</v>
      </c>
      <c r="M104" t="s">
        <v>382</v>
      </c>
      <c r="N104" t="s">
        <v>177</v>
      </c>
      <c r="O104" t="s">
        <v>178</v>
      </c>
      <c r="P104">
        <v>1</v>
      </c>
      <c r="Q104" t="s">
        <v>193</v>
      </c>
    </row>
    <row r="105" spans="1:17" s="3" customFormat="1">
      <c r="A105" s="82">
        <v>1.23405478125E-2</v>
      </c>
      <c r="B105" t="s">
        <v>46</v>
      </c>
      <c r="C105" t="s">
        <v>491</v>
      </c>
      <c r="D105"/>
      <c r="E105" t="s">
        <v>133</v>
      </c>
      <c r="F105"/>
      <c r="G105" t="s">
        <v>47</v>
      </c>
      <c r="H105"/>
      <c r="I105" s="167">
        <v>46312.774525462963</v>
      </c>
      <c r="J105" t="s">
        <v>583</v>
      </c>
      <c r="K105" t="s">
        <v>387</v>
      </c>
      <c r="L105" s="166">
        <v>46284</v>
      </c>
      <c r="M105" t="s">
        <v>382</v>
      </c>
      <c r="N105" t="s">
        <v>177</v>
      </c>
      <c r="O105" t="s">
        <v>178</v>
      </c>
      <c r="P105">
        <v>1</v>
      </c>
      <c r="Q105" t="s">
        <v>193</v>
      </c>
    </row>
    <row r="106" spans="1:17" s="3" customFormat="1">
      <c r="A106" s="82">
        <v>1.2306353240740741E-2</v>
      </c>
      <c r="B106" t="s">
        <v>46</v>
      </c>
      <c r="C106" t="s">
        <v>487</v>
      </c>
      <c r="D106"/>
      <c r="E106" t="s">
        <v>135</v>
      </c>
      <c r="F106"/>
      <c r="G106" t="s">
        <v>47</v>
      </c>
      <c r="H106"/>
      <c r="I106" s="167">
        <v>46312.77375</v>
      </c>
      <c r="J106" t="s">
        <v>583</v>
      </c>
      <c r="K106" t="s">
        <v>387</v>
      </c>
      <c r="L106" s="166">
        <v>46284</v>
      </c>
      <c r="M106" t="s">
        <v>382</v>
      </c>
      <c r="N106" t="s">
        <v>177</v>
      </c>
      <c r="O106" t="s">
        <v>178</v>
      </c>
      <c r="P106">
        <v>1</v>
      </c>
      <c r="Q106" t="s">
        <v>193</v>
      </c>
    </row>
    <row r="107" spans="1:17" s="3" customFormat="1">
      <c r="A107" s="82">
        <v>1.2271514293981482E-2</v>
      </c>
      <c r="B107" t="s">
        <v>46</v>
      </c>
      <c r="C107"/>
      <c r="D107"/>
      <c r="E107" t="s">
        <v>49</v>
      </c>
      <c r="F107"/>
      <c r="G107" t="s">
        <v>113</v>
      </c>
      <c r="H107"/>
      <c r="I107" s="167">
        <v>46312.773680555554</v>
      </c>
      <c r="J107" t="s">
        <v>583</v>
      </c>
      <c r="K107" t="s">
        <v>387</v>
      </c>
      <c r="L107" s="166">
        <v>46284</v>
      </c>
      <c r="M107" t="s">
        <v>382</v>
      </c>
      <c r="N107" t="s">
        <v>177</v>
      </c>
      <c r="O107" t="s">
        <v>178</v>
      </c>
      <c r="P107">
        <v>1</v>
      </c>
      <c r="Q107" t="s">
        <v>193</v>
      </c>
    </row>
    <row r="108" spans="1:17" s="3" customFormat="1">
      <c r="A108" s="82">
        <v>1.1968793171296297E-2</v>
      </c>
      <c r="B108" t="s">
        <v>46</v>
      </c>
      <c r="C108" t="s">
        <v>486</v>
      </c>
      <c r="D108"/>
      <c r="E108" t="s">
        <v>64</v>
      </c>
      <c r="F108"/>
      <c r="G108" t="s">
        <v>47</v>
      </c>
      <c r="H108"/>
      <c r="I108" s="167">
        <v>46312.7733912037</v>
      </c>
      <c r="J108" t="s">
        <v>583</v>
      </c>
      <c r="K108" t="s">
        <v>387</v>
      </c>
      <c r="L108" s="166">
        <v>46284</v>
      </c>
      <c r="M108" t="s">
        <v>382</v>
      </c>
      <c r="N108" t="s">
        <v>177</v>
      </c>
      <c r="O108" t="s">
        <v>178</v>
      </c>
      <c r="P108">
        <v>1</v>
      </c>
      <c r="Q108" t="s">
        <v>193</v>
      </c>
    </row>
    <row r="109" spans="1:17" s="3" customFormat="1">
      <c r="A109" s="82">
        <v>1.1172173645833334E-2</v>
      </c>
      <c r="B109" t="s">
        <v>46</v>
      </c>
      <c r="C109"/>
      <c r="D109"/>
      <c r="E109" t="s">
        <v>37</v>
      </c>
      <c r="F109"/>
      <c r="G109" t="s">
        <v>113</v>
      </c>
      <c r="H109"/>
      <c r="I109" s="167">
        <v>46312.773229166669</v>
      </c>
      <c r="J109" t="s">
        <v>583</v>
      </c>
      <c r="K109" t="s">
        <v>387</v>
      </c>
      <c r="L109" s="166">
        <v>46284</v>
      </c>
      <c r="M109" t="s">
        <v>382</v>
      </c>
      <c r="N109" t="s">
        <v>177</v>
      </c>
      <c r="O109" t="s">
        <v>178</v>
      </c>
      <c r="P109">
        <v>1</v>
      </c>
      <c r="Q109" t="s">
        <v>193</v>
      </c>
    </row>
    <row r="110" spans="1:17" s="3" customFormat="1">
      <c r="A110" s="82">
        <v>1.1172173645833334E-2</v>
      </c>
      <c r="B110" t="s">
        <v>46</v>
      </c>
      <c r="C110" t="s">
        <v>488</v>
      </c>
      <c r="D110"/>
      <c r="E110" t="s">
        <v>52</v>
      </c>
      <c r="F110"/>
      <c r="G110" t="s">
        <v>47</v>
      </c>
      <c r="H110"/>
      <c r="I110" s="167">
        <v>46312.773217592592</v>
      </c>
      <c r="J110" t="s">
        <v>583</v>
      </c>
      <c r="K110" t="s">
        <v>387</v>
      </c>
      <c r="L110" s="166">
        <v>46284</v>
      </c>
      <c r="M110" t="s">
        <v>382</v>
      </c>
      <c r="N110" t="s">
        <v>177</v>
      </c>
      <c r="O110" t="s">
        <v>178</v>
      </c>
      <c r="P110">
        <v>1</v>
      </c>
      <c r="Q110" t="s">
        <v>193</v>
      </c>
    </row>
    <row r="111" spans="1:17" s="3" customFormat="1">
      <c r="A111" s="82">
        <v>1.1123022731481481E-2</v>
      </c>
      <c r="B111" t="s">
        <v>46</v>
      </c>
      <c r="C111" t="s">
        <v>488</v>
      </c>
      <c r="D111"/>
      <c r="E111" t="s">
        <v>248</v>
      </c>
      <c r="F111"/>
      <c r="G111" t="s">
        <v>47</v>
      </c>
      <c r="H111"/>
      <c r="I111" s="167">
        <v>46312.773136574076</v>
      </c>
      <c r="J111" t="s">
        <v>583</v>
      </c>
      <c r="K111" t="s">
        <v>387</v>
      </c>
      <c r="L111" s="166">
        <v>46284</v>
      </c>
      <c r="M111" t="s">
        <v>382</v>
      </c>
      <c r="N111" t="s">
        <v>177</v>
      </c>
      <c r="O111" t="s">
        <v>178</v>
      </c>
      <c r="P111">
        <v>1</v>
      </c>
      <c r="Q111" t="s">
        <v>193</v>
      </c>
    </row>
    <row r="112" spans="1:17" s="3" customFormat="1">
      <c r="A112" s="82">
        <v>1.1055008368055556E-2</v>
      </c>
      <c r="B112" t="s">
        <v>46</v>
      </c>
      <c r="C112" t="s">
        <v>489</v>
      </c>
      <c r="D112"/>
      <c r="E112" t="s">
        <v>405</v>
      </c>
      <c r="F112"/>
      <c r="G112" t="s">
        <v>47</v>
      </c>
      <c r="H112"/>
      <c r="I112" s="167">
        <v>46312.772881944446</v>
      </c>
      <c r="J112" t="s">
        <v>583</v>
      </c>
      <c r="K112" t="s">
        <v>387</v>
      </c>
      <c r="L112" s="166">
        <v>46284</v>
      </c>
      <c r="M112" t="s">
        <v>382</v>
      </c>
      <c r="N112" t="s">
        <v>177</v>
      </c>
      <c r="O112" t="s">
        <v>178</v>
      </c>
      <c r="P112">
        <v>1</v>
      </c>
      <c r="Q112" t="s">
        <v>193</v>
      </c>
    </row>
    <row r="113" spans="1:17" s="3" customFormat="1">
      <c r="A113" s="82">
        <v>1.1050598564814815E-2</v>
      </c>
      <c r="B113" t="s">
        <v>46</v>
      </c>
      <c r="C113" t="s">
        <v>491</v>
      </c>
      <c r="D113"/>
      <c r="E113" t="s">
        <v>406</v>
      </c>
      <c r="F113"/>
      <c r="G113" t="s">
        <v>47</v>
      </c>
      <c r="H113"/>
      <c r="I113" s="167">
        <v>46312.772719907407</v>
      </c>
      <c r="J113" t="s">
        <v>583</v>
      </c>
      <c r="K113" t="s">
        <v>387</v>
      </c>
      <c r="L113" s="166">
        <v>46284</v>
      </c>
      <c r="M113" t="s">
        <v>382</v>
      </c>
      <c r="N113" t="s">
        <v>177</v>
      </c>
      <c r="O113" t="s">
        <v>178</v>
      </c>
      <c r="P113">
        <v>1</v>
      </c>
      <c r="Q113" t="s">
        <v>193</v>
      </c>
    </row>
    <row r="114" spans="1:17" s="3" customFormat="1">
      <c r="A114" s="82">
        <v>1.1040112638888889E-2</v>
      </c>
      <c r="B114" t="s">
        <v>46</v>
      </c>
      <c r="C114" t="s">
        <v>490</v>
      </c>
      <c r="D114"/>
      <c r="E114" t="s">
        <v>406</v>
      </c>
      <c r="F114"/>
      <c r="G114" t="s">
        <v>47</v>
      </c>
      <c r="H114"/>
      <c r="I114" s="167">
        <v>46312.772361111114</v>
      </c>
      <c r="J114" t="s">
        <v>583</v>
      </c>
      <c r="K114" t="s">
        <v>387</v>
      </c>
      <c r="L114" s="166">
        <v>46284</v>
      </c>
      <c r="M114" t="s">
        <v>382</v>
      </c>
      <c r="N114" t="s">
        <v>177</v>
      </c>
      <c r="O114" t="s">
        <v>178</v>
      </c>
      <c r="P114">
        <v>1</v>
      </c>
      <c r="Q114" t="s">
        <v>193</v>
      </c>
    </row>
    <row r="115" spans="1:17" s="3" customFormat="1">
      <c r="A115" s="82">
        <v>1.09437665625E-2</v>
      </c>
      <c r="B115" t="s">
        <v>46</v>
      </c>
      <c r="C115"/>
      <c r="D115"/>
      <c r="E115" t="s">
        <v>224</v>
      </c>
      <c r="F115"/>
      <c r="G115" t="s">
        <v>47</v>
      </c>
      <c r="H115"/>
      <c r="I115" s="167">
        <v>46312.772187499999</v>
      </c>
      <c r="J115" t="s">
        <v>583</v>
      </c>
      <c r="K115" t="s">
        <v>387</v>
      </c>
      <c r="L115" s="166">
        <v>46284</v>
      </c>
      <c r="M115" t="s">
        <v>382</v>
      </c>
      <c r="N115" t="s">
        <v>177</v>
      </c>
      <c r="O115" t="s">
        <v>178</v>
      </c>
      <c r="P115">
        <v>1</v>
      </c>
      <c r="Q115" t="s">
        <v>193</v>
      </c>
    </row>
    <row r="116" spans="1:17" s="3" customFormat="1">
      <c r="A116" s="82">
        <v>1.0872174224537037E-2</v>
      </c>
      <c r="B116" t="s">
        <v>46</v>
      </c>
      <c r="C116"/>
      <c r="D116"/>
      <c r="E116" t="s">
        <v>54</v>
      </c>
      <c r="F116"/>
      <c r="G116" t="s">
        <v>47</v>
      </c>
      <c r="H116"/>
      <c r="I116" s="167">
        <v>46312.771990740737</v>
      </c>
      <c r="J116" t="s">
        <v>583</v>
      </c>
      <c r="K116" t="s">
        <v>387</v>
      </c>
      <c r="L116" s="166">
        <v>46284</v>
      </c>
      <c r="M116" t="s">
        <v>382</v>
      </c>
      <c r="N116" t="s">
        <v>177</v>
      </c>
      <c r="O116" t="s">
        <v>178</v>
      </c>
      <c r="P116">
        <v>1</v>
      </c>
      <c r="Q116" t="s">
        <v>193</v>
      </c>
    </row>
    <row r="117" spans="1:17" s="3" customFormat="1">
      <c r="A117" s="82">
        <v>1.0845382152777777E-2</v>
      </c>
      <c r="B117" t="s">
        <v>46</v>
      </c>
      <c r="C117"/>
      <c r="D117"/>
      <c r="E117" t="s">
        <v>54</v>
      </c>
      <c r="F117"/>
      <c r="G117" t="s">
        <v>47</v>
      </c>
      <c r="H117"/>
      <c r="I117" s="167">
        <v>46312.771724537037</v>
      </c>
      <c r="J117" t="s">
        <v>583</v>
      </c>
      <c r="K117" t="s">
        <v>387</v>
      </c>
      <c r="L117" s="166">
        <v>46284</v>
      </c>
      <c r="M117" t="s">
        <v>382</v>
      </c>
      <c r="N117" t="s">
        <v>177</v>
      </c>
      <c r="O117" t="s">
        <v>178</v>
      </c>
      <c r="P117">
        <v>1</v>
      </c>
      <c r="Q117" t="s">
        <v>193</v>
      </c>
    </row>
    <row r="118" spans="1:17" s="3" customFormat="1">
      <c r="A118" s="82">
        <v>1.0616757824074074E-2</v>
      </c>
      <c r="B118" t="s">
        <v>46</v>
      </c>
      <c r="C118"/>
      <c r="D118"/>
      <c r="E118" t="s">
        <v>37</v>
      </c>
      <c r="F118"/>
      <c r="G118" t="s">
        <v>47</v>
      </c>
      <c r="H118"/>
      <c r="I118" s="167">
        <v>46312.771539351852</v>
      </c>
      <c r="J118" t="s">
        <v>583</v>
      </c>
      <c r="K118" t="s">
        <v>387</v>
      </c>
      <c r="L118" s="166">
        <v>46284</v>
      </c>
      <c r="M118" t="s">
        <v>382</v>
      </c>
      <c r="N118" t="s">
        <v>177</v>
      </c>
      <c r="O118" t="s">
        <v>178</v>
      </c>
      <c r="P118">
        <v>1</v>
      </c>
      <c r="Q118" t="s">
        <v>193</v>
      </c>
    </row>
    <row r="119" spans="1:17" s="3" customFormat="1">
      <c r="A119" s="82">
        <v>1.0576848657407408E-2</v>
      </c>
      <c r="B119" t="s">
        <v>46</v>
      </c>
      <c r="C119"/>
      <c r="D119"/>
      <c r="E119" t="s">
        <v>132</v>
      </c>
      <c r="F119"/>
      <c r="G119" t="s">
        <v>113</v>
      </c>
      <c r="H119"/>
      <c r="I119" s="167">
        <v>46312.771504629629</v>
      </c>
      <c r="J119" t="s">
        <v>583</v>
      </c>
      <c r="K119" t="s">
        <v>387</v>
      </c>
      <c r="L119" s="166">
        <v>46284</v>
      </c>
      <c r="M119" t="s">
        <v>382</v>
      </c>
      <c r="N119" t="s">
        <v>177</v>
      </c>
      <c r="O119" t="s">
        <v>178</v>
      </c>
      <c r="P119">
        <v>1</v>
      </c>
      <c r="Q119" t="s">
        <v>193</v>
      </c>
    </row>
    <row r="120" spans="1:17" s="3" customFormat="1">
      <c r="A120" s="82">
        <v>1.0525596793981481E-2</v>
      </c>
      <c r="B120" t="s">
        <v>46</v>
      </c>
      <c r="C120"/>
      <c r="D120"/>
      <c r="E120" t="s">
        <v>62</v>
      </c>
      <c r="F120"/>
      <c r="G120" t="s">
        <v>113</v>
      </c>
      <c r="H120"/>
      <c r="I120" s="167">
        <v>46312.77144675926</v>
      </c>
      <c r="J120" t="s">
        <v>583</v>
      </c>
      <c r="K120" t="s">
        <v>387</v>
      </c>
      <c r="L120" s="166">
        <v>46284</v>
      </c>
      <c r="M120" t="s">
        <v>382</v>
      </c>
      <c r="N120" t="s">
        <v>177</v>
      </c>
      <c r="O120" t="s">
        <v>178</v>
      </c>
      <c r="P120">
        <v>1</v>
      </c>
      <c r="Q120" t="s">
        <v>193</v>
      </c>
    </row>
    <row r="121" spans="1:17" s="3" customFormat="1">
      <c r="A121" s="82">
        <v>1.0451259351851851E-2</v>
      </c>
      <c r="B121" t="s">
        <v>46</v>
      </c>
      <c r="C121"/>
      <c r="D121"/>
      <c r="E121" t="s">
        <v>53</v>
      </c>
      <c r="F121"/>
      <c r="G121" t="s">
        <v>113</v>
      </c>
      <c r="H121"/>
      <c r="I121" s="167">
        <v>46312.770972222221</v>
      </c>
      <c r="J121" t="s">
        <v>583</v>
      </c>
      <c r="K121" t="s">
        <v>387</v>
      </c>
      <c r="L121" s="166">
        <v>46284</v>
      </c>
      <c r="M121" t="s">
        <v>382</v>
      </c>
      <c r="N121" t="s">
        <v>177</v>
      </c>
      <c r="O121" t="s">
        <v>178</v>
      </c>
      <c r="P121">
        <v>1</v>
      </c>
      <c r="Q121" t="s">
        <v>193</v>
      </c>
    </row>
    <row r="122" spans="1:17" s="3" customFormat="1">
      <c r="A122" s="82">
        <v>9.5754309606481472E-3</v>
      </c>
      <c r="B122" t="s">
        <v>46</v>
      </c>
      <c r="C122"/>
      <c r="D122"/>
      <c r="E122" t="s">
        <v>37</v>
      </c>
      <c r="F122"/>
      <c r="G122" t="s">
        <v>113</v>
      </c>
      <c r="H122"/>
      <c r="I122" s="167">
        <v>46312.729259259257</v>
      </c>
      <c r="J122" t="s">
        <v>583</v>
      </c>
      <c r="K122" t="s">
        <v>387</v>
      </c>
      <c r="L122" s="166">
        <v>46284</v>
      </c>
      <c r="M122" t="s">
        <v>382</v>
      </c>
      <c r="N122" t="s">
        <v>177</v>
      </c>
      <c r="O122" t="s">
        <v>178</v>
      </c>
      <c r="P122">
        <v>1</v>
      </c>
      <c r="Q122" t="s">
        <v>193</v>
      </c>
    </row>
    <row r="123" spans="1:17" s="3" customFormat="1">
      <c r="A123" s="82">
        <v>9.5754309606481472E-3</v>
      </c>
      <c r="B123" t="s">
        <v>46</v>
      </c>
      <c r="C123" t="s">
        <v>491</v>
      </c>
      <c r="D123" t="s">
        <v>169</v>
      </c>
      <c r="E123" t="s">
        <v>161</v>
      </c>
      <c r="F123" t="s">
        <v>610</v>
      </c>
      <c r="G123" t="s">
        <v>113</v>
      </c>
      <c r="H123"/>
      <c r="I123" s="167">
        <v>46312.729259259257</v>
      </c>
      <c r="J123" t="s">
        <v>583</v>
      </c>
      <c r="K123" t="s">
        <v>387</v>
      </c>
      <c r="L123" s="166">
        <v>46284</v>
      </c>
      <c r="M123" t="s">
        <v>382</v>
      </c>
      <c r="N123" t="s">
        <v>177</v>
      </c>
      <c r="O123" t="s">
        <v>178</v>
      </c>
      <c r="P123">
        <v>1</v>
      </c>
      <c r="Q123" t="s">
        <v>193</v>
      </c>
    </row>
    <row r="124" spans="1:17" s="3" customFormat="1">
      <c r="A124" s="82">
        <v>9.5568962500000004E-3</v>
      </c>
      <c r="B124" t="s">
        <v>46</v>
      </c>
      <c r="C124" t="s">
        <v>585</v>
      </c>
      <c r="D124"/>
      <c r="E124" t="s">
        <v>57</v>
      </c>
      <c r="F124"/>
      <c r="G124" t="s">
        <v>113</v>
      </c>
      <c r="H124"/>
      <c r="I124" s="167">
        <v>46312.729050925926</v>
      </c>
      <c r="J124" t="s">
        <v>583</v>
      </c>
      <c r="K124" t="s">
        <v>387</v>
      </c>
      <c r="L124" s="166">
        <v>46284</v>
      </c>
      <c r="M124" t="s">
        <v>382</v>
      </c>
      <c r="N124" t="s">
        <v>177</v>
      </c>
      <c r="O124" t="s">
        <v>178</v>
      </c>
      <c r="P124">
        <v>1</v>
      </c>
      <c r="Q124" t="s">
        <v>193</v>
      </c>
    </row>
    <row r="125" spans="1:17" s="3" customFormat="1">
      <c r="A125" s="82">
        <v>9.5574845833333328E-3</v>
      </c>
      <c r="B125" t="s">
        <v>46</v>
      </c>
      <c r="C125" t="s">
        <v>483</v>
      </c>
      <c r="D125"/>
      <c r="E125" t="s">
        <v>9</v>
      </c>
      <c r="F125"/>
      <c r="G125" t="s">
        <v>113</v>
      </c>
      <c r="H125"/>
      <c r="I125" s="167">
        <v>46312.727453703701</v>
      </c>
      <c r="J125" t="s">
        <v>583</v>
      </c>
      <c r="K125" t="s">
        <v>387</v>
      </c>
      <c r="L125" s="166">
        <v>46284</v>
      </c>
      <c r="M125" t="s">
        <v>382</v>
      </c>
      <c r="N125" t="s">
        <v>177</v>
      </c>
      <c r="O125" t="s">
        <v>178</v>
      </c>
      <c r="P125">
        <v>1</v>
      </c>
      <c r="Q125" t="s">
        <v>193</v>
      </c>
    </row>
    <row r="126" spans="1:17" s="3" customFormat="1">
      <c r="A126" s="82">
        <v>9.5470046412037043E-3</v>
      </c>
      <c r="B126" t="s">
        <v>46</v>
      </c>
      <c r="C126" t="s">
        <v>479</v>
      </c>
      <c r="D126"/>
      <c r="E126" t="s">
        <v>57</v>
      </c>
      <c r="F126"/>
      <c r="G126" t="s">
        <v>113</v>
      </c>
      <c r="H126"/>
      <c r="I126" s="167">
        <v>46312.727037037039</v>
      </c>
      <c r="J126" t="s">
        <v>583</v>
      </c>
      <c r="K126" t="s">
        <v>387</v>
      </c>
      <c r="L126" s="166">
        <v>46284</v>
      </c>
      <c r="M126" t="s">
        <v>382</v>
      </c>
      <c r="N126" t="s">
        <v>177</v>
      </c>
      <c r="O126" t="s">
        <v>178</v>
      </c>
      <c r="P126">
        <v>1</v>
      </c>
      <c r="Q126" t="s">
        <v>193</v>
      </c>
    </row>
    <row r="127" spans="1:17" s="3" customFormat="1">
      <c r="A127" s="82">
        <v>9.4759365740740738E-3</v>
      </c>
      <c r="B127" t="s">
        <v>46</v>
      </c>
      <c r="C127" t="s">
        <v>482</v>
      </c>
      <c r="D127"/>
      <c r="E127" t="s">
        <v>84</v>
      </c>
      <c r="F127"/>
      <c r="G127" t="s">
        <v>113</v>
      </c>
      <c r="H127"/>
      <c r="I127" s="167">
        <v>46312.726747685185</v>
      </c>
      <c r="J127" t="s">
        <v>583</v>
      </c>
      <c r="K127" t="s">
        <v>387</v>
      </c>
      <c r="L127" s="166">
        <v>46284</v>
      </c>
      <c r="M127" t="s">
        <v>382</v>
      </c>
      <c r="N127" t="s">
        <v>177</v>
      </c>
      <c r="O127" t="s">
        <v>178</v>
      </c>
      <c r="P127">
        <v>1</v>
      </c>
      <c r="Q127" t="s">
        <v>193</v>
      </c>
    </row>
    <row r="128" spans="1:17" s="3" customFormat="1">
      <c r="A128" s="82">
        <v>9.3991859953703703E-3</v>
      </c>
      <c r="B128" t="s">
        <v>46</v>
      </c>
      <c r="C128" t="s">
        <v>491</v>
      </c>
      <c r="D128"/>
      <c r="E128" t="s">
        <v>84</v>
      </c>
      <c r="F128"/>
      <c r="G128" t="s">
        <v>113</v>
      </c>
      <c r="H128"/>
      <c r="I128" s="167">
        <v>46312.726238425923</v>
      </c>
      <c r="J128" t="s">
        <v>583</v>
      </c>
      <c r="K128" t="s">
        <v>387</v>
      </c>
      <c r="L128" s="166">
        <v>46284</v>
      </c>
      <c r="M128" t="s">
        <v>382</v>
      </c>
      <c r="N128" t="s">
        <v>177</v>
      </c>
      <c r="O128" t="s">
        <v>178</v>
      </c>
      <c r="P128">
        <v>1</v>
      </c>
      <c r="Q128" t="s">
        <v>193</v>
      </c>
    </row>
    <row r="129" spans="1:17" s="3" customFormat="1">
      <c r="A129" s="82">
        <v>9.3793438310185179E-3</v>
      </c>
      <c r="B129" t="s">
        <v>46</v>
      </c>
      <c r="C129" t="s">
        <v>487</v>
      </c>
      <c r="D129"/>
      <c r="E129" t="s">
        <v>57</v>
      </c>
      <c r="F129"/>
      <c r="G129" t="s">
        <v>113</v>
      </c>
      <c r="H129"/>
      <c r="I129" s="167">
        <v>46312.72452546296</v>
      </c>
      <c r="J129" t="s">
        <v>583</v>
      </c>
      <c r="K129" t="s">
        <v>387</v>
      </c>
      <c r="L129" s="166">
        <v>46284</v>
      </c>
      <c r="M129" t="s">
        <v>382</v>
      </c>
      <c r="N129" t="s">
        <v>177</v>
      </c>
      <c r="O129" t="s">
        <v>178</v>
      </c>
      <c r="P129">
        <v>1</v>
      </c>
      <c r="Q129" t="s">
        <v>193</v>
      </c>
    </row>
    <row r="130" spans="1:17" s="3" customFormat="1">
      <c r="A130" s="82">
        <v>9.3271702199074075E-3</v>
      </c>
      <c r="B130" t="s">
        <v>46</v>
      </c>
      <c r="C130"/>
      <c r="D130"/>
      <c r="E130" t="s">
        <v>137</v>
      </c>
      <c r="F130"/>
      <c r="G130" t="s">
        <v>113</v>
      </c>
      <c r="H130"/>
      <c r="I130" s="167">
        <v>46312.724409722221</v>
      </c>
      <c r="J130" t="s">
        <v>583</v>
      </c>
      <c r="K130" t="s">
        <v>387</v>
      </c>
      <c r="L130" s="166">
        <v>46284</v>
      </c>
      <c r="M130" t="s">
        <v>382</v>
      </c>
      <c r="N130" t="s">
        <v>177</v>
      </c>
      <c r="O130" t="s">
        <v>178</v>
      </c>
      <c r="P130">
        <v>1</v>
      </c>
      <c r="Q130" t="s">
        <v>193</v>
      </c>
    </row>
    <row r="131" spans="1:17" s="3" customFormat="1">
      <c r="A131" s="82">
        <v>9.2824891435185179E-3</v>
      </c>
      <c r="B131" t="s">
        <v>46</v>
      </c>
      <c r="C131" t="s">
        <v>491</v>
      </c>
      <c r="D131"/>
      <c r="E131" t="s">
        <v>133</v>
      </c>
      <c r="F131"/>
      <c r="G131" t="s">
        <v>47</v>
      </c>
      <c r="H131"/>
      <c r="I131" s="167">
        <v>46312.724236111113</v>
      </c>
      <c r="J131" t="s">
        <v>583</v>
      </c>
      <c r="K131" t="s">
        <v>387</v>
      </c>
      <c r="L131" s="166">
        <v>46284</v>
      </c>
      <c r="M131" t="s">
        <v>382</v>
      </c>
      <c r="N131" t="s">
        <v>177</v>
      </c>
      <c r="O131" t="s">
        <v>178</v>
      </c>
      <c r="P131">
        <v>1</v>
      </c>
      <c r="Q131" t="s">
        <v>193</v>
      </c>
    </row>
    <row r="132" spans="1:17" s="3" customFormat="1">
      <c r="A132" s="82">
        <v>9.236021145833332E-3</v>
      </c>
      <c r="B132" t="s">
        <v>46</v>
      </c>
      <c r="C132" t="s">
        <v>487</v>
      </c>
      <c r="D132"/>
      <c r="E132" t="s">
        <v>135</v>
      </c>
      <c r="F132"/>
      <c r="G132" t="s">
        <v>47</v>
      </c>
      <c r="H132"/>
      <c r="I132" s="167">
        <v>46312.723645833335</v>
      </c>
      <c r="J132" t="s">
        <v>583</v>
      </c>
      <c r="K132" t="s">
        <v>387</v>
      </c>
      <c r="L132" s="166">
        <v>46284</v>
      </c>
      <c r="M132" t="s">
        <v>382</v>
      </c>
      <c r="N132" t="s">
        <v>177</v>
      </c>
      <c r="O132" t="s">
        <v>178</v>
      </c>
      <c r="P132">
        <v>1</v>
      </c>
      <c r="Q132" t="s">
        <v>193</v>
      </c>
    </row>
    <row r="133" spans="1:17" s="3" customFormat="1">
      <c r="A133" s="82">
        <v>9.1787213425925922E-3</v>
      </c>
      <c r="B133" t="s">
        <v>46</v>
      </c>
      <c r="C133"/>
      <c r="D133"/>
      <c r="E133" t="s">
        <v>49</v>
      </c>
      <c r="F133"/>
      <c r="G133" t="s">
        <v>113</v>
      </c>
      <c r="H133"/>
      <c r="I133" s="167">
        <v>46312.723564814813</v>
      </c>
      <c r="J133" t="s">
        <v>583</v>
      </c>
      <c r="K133" t="s">
        <v>387</v>
      </c>
      <c r="L133" s="166">
        <v>46284</v>
      </c>
      <c r="M133" t="s">
        <v>382</v>
      </c>
      <c r="N133" t="s">
        <v>177</v>
      </c>
      <c r="O133" t="s">
        <v>178</v>
      </c>
      <c r="P133">
        <v>1</v>
      </c>
      <c r="Q133" t="s">
        <v>193</v>
      </c>
    </row>
    <row r="134" spans="1:17" s="3" customFormat="1">
      <c r="A134" s="82">
        <v>9.0037336111111112E-3</v>
      </c>
      <c r="B134" t="s">
        <v>46</v>
      </c>
      <c r="C134" t="s">
        <v>486</v>
      </c>
      <c r="D134"/>
      <c r="E134" t="s">
        <v>65</v>
      </c>
      <c r="F134"/>
      <c r="G134" t="s">
        <v>47</v>
      </c>
      <c r="H134"/>
      <c r="I134" s="167">
        <v>46312.713125000002</v>
      </c>
      <c r="J134" t="s">
        <v>583</v>
      </c>
      <c r="K134" t="s">
        <v>387</v>
      </c>
      <c r="L134" s="166">
        <v>46284</v>
      </c>
      <c r="M134" t="s">
        <v>382</v>
      </c>
      <c r="N134" t="s">
        <v>177</v>
      </c>
      <c r="O134" t="s">
        <v>178</v>
      </c>
      <c r="P134">
        <v>1</v>
      </c>
      <c r="Q134" t="s">
        <v>193</v>
      </c>
    </row>
    <row r="135" spans="1:17" s="3" customFormat="1">
      <c r="A135" s="82">
        <v>8.1960781828703706E-3</v>
      </c>
      <c r="B135" t="s">
        <v>46</v>
      </c>
      <c r="C135"/>
      <c r="D135"/>
      <c r="E135" t="s">
        <v>160</v>
      </c>
      <c r="F135" t="s">
        <v>156</v>
      </c>
      <c r="G135" t="s">
        <v>47</v>
      </c>
      <c r="H135"/>
      <c r="I135" s="167">
        <v>46312.712291666663</v>
      </c>
      <c r="J135" t="s">
        <v>583</v>
      </c>
      <c r="K135" t="s">
        <v>387</v>
      </c>
      <c r="L135" s="166">
        <v>46284</v>
      </c>
      <c r="M135" t="s">
        <v>382</v>
      </c>
      <c r="N135" t="s">
        <v>177</v>
      </c>
      <c r="O135" t="s">
        <v>178</v>
      </c>
      <c r="P135">
        <v>1</v>
      </c>
      <c r="Q135" t="s">
        <v>193</v>
      </c>
    </row>
    <row r="136" spans="1:17" s="3" customFormat="1">
      <c r="A136" s="82">
        <v>8.1166852546296301E-3</v>
      </c>
      <c r="B136" t="s">
        <v>46</v>
      </c>
      <c r="C136"/>
      <c r="D136"/>
      <c r="E136" t="s">
        <v>37</v>
      </c>
      <c r="F136"/>
      <c r="G136" t="s">
        <v>47</v>
      </c>
      <c r="H136"/>
      <c r="I136" s="167">
        <v>46312.712152777778</v>
      </c>
      <c r="J136" t="s">
        <v>583</v>
      </c>
      <c r="K136" t="s">
        <v>387</v>
      </c>
      <c r="L136" s="166">
        <v>46284</v>
      </c>
      <c r="M136" t="s">
        <v>382</v>
      </c>
      <c r="N136" t="s">
        <v>177</v>
      </c>
      <c r="O136" t="s">
        <v>178</v>
      </c>
      <c r="P136">
        <v>1</v>
      </c>
      <c r="Q136" t="s">
        <v>193</v>
      </c>
    </row>
    <row r="137" spans="1:17" s="3" customFormat="1">
      <c r="A137" s="82">
        <v>7.9009012731481483E-3</v>
      </c>
      <c r="B137" t="s">
        <v>46</v>
      </c>
      <c r="C137" t="s">
        <v>479</v>
      </c>
      <c r="D137"/>
      <c r="E137" t="s">
        <v>406</v>
      </c>
      <c r="F137"/>
      <c r="G137" t="s">
        <v>47</v>
      </c>
      <c r="H137"/>
      <c r="I137" s="167">
        <v>46312.711886574078</v>
      </c>
      <c r="J137" t="s">
        <v>583</v>
      </c>
      <c r="K137" t="s">
        <v>387</v>
      </c>
      <c r="L137" s="166">
        <v>46284</v>
      </c>
      <c r="M137" t="s">
        <v>382</v>
      </c>
      <c r="N137" t="s">
        <v>177</v>
      </c>
      <c r="O137" t="s">
        <v>178</v>
      </c>
      <c r="P137">
        <v>1</v>
      </c>
      <c r="Q137" t="s">
        <v>193</v>
      </c>
    </row>
    <row r="138" spans="1:17" s="3" customFormat="1">
      <c r="A138" s="82">
        <v>7.8720020370370378E-3</v>
      </c>
      <c r="B138" t="s">
        <v>46</v>
      </c>
      <c r="C138" t="s">
        <v>585</v>
      </c>
      <c r="D138"/>
      <c r="E138" t="s">
        <v>406</v>
      </c>
      <c r="F138"/>
      <c r="G138" t="s">
        <v>47</v>
      </c>
      <c r="H138"/>
      <c r="I138" s="167">
        <v>46312.711724537039</v>
      </c>
      <c r="J138" t="s">
        <v>583</v>
      </c>
      <c r="K138" t="s">
        <v>387</v>
      </c>
      <c r="L138" s="166">
        <v>46284</v>
      </c>
      <c r="M138" t="s">
        <v>382</v>
      </c>
      <c r="N138" t="s">
        <v>177</v>
      </c>
      <c r="O138" t="s">
        <v>178</v>
      </c>
      <c r="P138">
        <v>1</v>
      </c>
      <c r="Q138" t="s">
        <v>193</v>
      </c>
    </row>
    <row r="139" spans="1:17" s="3" customFormat="1">
      <c r="A139" s="82">
        <v>7.8372792476851857E-3</v>
      </c>
      <c r="B139" t="s">
        <v>46</v>
      </c>
      <c r="C139" t="s">
        <v>484</v>
      </c>
      <c r="D139"/>
      <c r="E139" t="s">
        <v>248</v>
      </c>
      <c r="F139"/>
      <c r="G139" t="s">
        <v>47</v>
      </c>
      <c r="H139"/>
      <c r="I139" s="167">
        <v>46312.711539351854</v>
      </c>
      <c r="J139" t="s">
        <v>583</v>
      </c>
      <c r="K139" t="s">
        <v>387</v>
      </c>
      <c r="L139" s="166">
        <v>46284</v>
      </c>
      <c r="M139" t="s">
        <v>382</v>
      </c>
      <c r="N139" t="s">
        <v>177</v>
      </c>
      <c r="O139" t="s">
        <v>178</v>
      </c>
      <c r="P139">
        <v>1</v>
      </c>
      <c r="Q139" t="s">
        <v>193</v>
      </c>
    </row>
    <row r="140" spans="1:17" s="3" customFormat="1">
      <c r="A140" s="82">
        <v>7.7677921759259257E-3</v>
      </c>
      <c r="B140" t="s">
        <v>46</v>
      </c>
      <c r="C140" t="s">
        <v>483</v>
      </c>
      <c r="D140"/>
      <c r="E140" t="s">
        <v>405</v>
      </c>
      <c r="F140"/>
      <c r="G140" t="s">
        <v>47</v>
      </c>
      <c r="H140"/>
      <c r="I140" s="167">
        <v>46312.711388888885</v>
      </c>
      <c r="J140" t="s">
        <v>583</v>
      </c>
      <c r="K140" t="s">
        <v>387</v>
      </c>
      <c r="L140" s="166">
        <v>46284</v>
      </c>
      <c r="M140" t="s">
        <v>382</v>
      </c>
      <c r="N140" t="s">
        <v>177</v>
      </c>
      <c r="O140" t="s">
        <v>178</v>
      </c>
      <c r="P140">
        <v>1</v>
      </c>
      <c r="Q140" t="s">
        <v>193</v>
      </c>
    </row>
    <row r="141" spans="1:17" s="3" customFormat="1">
      <c r="A141" s="82">
        <v>7.6809776388888891E-3</v>
      </c>
      <c r="B141" t="s">
        <v>46</v>
      </c>
      <c r="C141" t="s">
        <v>486</v>
      </c>
      <c r="D141"/>
      <c r="E141" t="s">
        <v>405</v>
      </c>
      <c r="F141"/>
      <c r="G141" t="s">
        <v>47</v>
      </c>
      <c r="H141"/>
      <c r="I141" s="167">
        <v>46312.711238425924</v>
      </c>
      <c r="J141" t="s">
        <v>583</v>
      </c>
      <c r="K141" t="s">
        <v>387</v>
      </c>
      <c r="L141" s="166">
        <v>46284</v>
      </c>
      <c r="M141" t="s">
        <v>382</v>
      </c>
      <c r="N141" t="s">
        <v>177</v>
      </c>
      <c r="O141" t="s">
        <v>178</v>
      </c>
      <c r="P141">
        <v>1</v>
      </c>
      <c r="Q141" t="s">
        <v>193</v>
      </c>
    </row>
    <row r="142" spans="1:17" s="3" customFormat="1">
      <c r="A142" s="82">
        <v>7.6114859722222223E-3</v>
      </c>
      <c r="B142" t="s">
        <v>46</v>
      </c>
      <c r="C142" t="s">
        <v>488</v>
      </c>
      <c r="D142"/>
      <c r="E142" t="s">
        <v>405</v>
      </c>
      <c r="F142"/>
      <c r="G142" t="s">
        <v>47</v>
      </c>
      <c r="H142"/>
      <c r="I142" s="167">
        <v>46312.711122685185</v>
      </c>
      <c r="J142" t="s">
        <v>583</v>
      </c>
      <c r="K142" t="s">
        <v>387</v>
      </c>
      <c r="L142" s="166">
        <v>46284</v>
      </c>
      <c r="M142" t="s">
        <v>382</v>
      </c>
      <c r="N142" t="s">
        <v>177</v>
      </c>
      <c r="O142" t="s">
        <v>178</v>
      </c>
      <c r="P142">
        <v>1</v>
      </c>
      <c r="Q142" t="s">
        <v>193</v>
      </c>
    </row>
    <row r="143" spans="1:17" s="3" customFormat="1">
      <c r="A143" s="82">
        <v>7.5419165046296298E-3</v>
      </c>
      <c r="B143" t="s">
        <v>46</v>
      </c>
      <c r="C143" t="s">
        <v>485</v>
      </c>
      <c r="D143"/>
      <c r="E143" t="s">
        <v>135</v>
      </c>
      <c r="F143"/>
      <c r="G143" t="s">
        <v>47</v>
      </c>
      <c r="H143"/>
      <c r="I143" s="167">
        <v>46312.710972222223</v>
      </c>
      <c r="J143" t="s">
        <v>583</v>
      </c>
      <c r="K143" t="s">
        <v>387</v>
      </c>
      <c r="L143" s="166">
        <v>46284</v>
      </c>
      <c r="M143" t="s">
        <v>382</v>
      </c>
      <c r="N143" t="s">
        <v>177</v>
      </c>
      <c r="O143" t="s">
        <v>178</v>
      </c>
      <c r="P143">
        <v>1</v>
      </c>
      <c r="Q143" t="s">
        <v>193</v>
      </c>
    </row>
    <row r="144" spans="1:17" s="3" customFormat="1">
      <c r="A144" s="82">
        <v>7.503146562500001E-3</v>
      </c>
      <c r="B144" t="s">
        <v>46</v>
      </c>
      <c r="C144"/>
      <c r="D144"/>
      <c r="E144" t="s">
        <v>133</v>
      </c>
      <c r="F144"/>
      <c r="G144" t="s">
        <v>113</v>
      </c>
      <c r="H144"/>
      <c r="I144" s="167">
        <v>46312.7108912037</v>
      </c>
      <c r="J144" t="s">
        <v>583</v>
      </c>
      <c r="K144" t="s">
        <v>387</v>
      </c>
      <c r="L144" s="166">
        <v>46284</v>
      </c>
      <c r="M144" t="s">
        <v>382</v>
      </c>
      <c r="N144" t="s">
        <v>177</v>
      </c>
      <c r="O144" t="s">
        <v>178</v>
      </c>
      <c r="P144">
        <v>1</v>
      </c>
      <c r="Q144" t="s">
        <v>193</v>
      </c>
    </row>
    <row r="145" spans="1:17" s="3" customFormat="1">
      <c r="A145" s="82">
        <v>7.4741239236111113E-3</v>
      </c>
      <c r="B145" t="s">
        <v>46</v>
      </c>
      <c r="C145"/>
      <c r="D145"/>
      <c r="E145" t="s">
        <v>50</v>
      </c>
      <c r="F145"/>
      <c r="G145" t="s">
        <v>113</v>
      </c>
      <c r="H145"/>
      <c r="I145" s="167">
        <v>46312.710798611108</v>
      </c>
      <c r="J145" t="s">
        <v>583</v>
      </c>
      <c r="K145" t="s">
        <v>387</v>
      </c>
      <c r="L145" s="166">
        <v>46284</v>
      </c>
      <c r="M145" t="s">
        <v>382</v>
      </c>
      <c r="N145" t="s">
        <v>177</v>
      </c>
      <c r="O145" t="s">
        <v>178</v>
      </c>
      <c r="P145">
        <v>1</v>
      </c>
      <c r="Q145" t="s">
        <v>193</v>
      </c>
    </row>
    <row r="146" spans="1:17" s="3" customFormat="1">
      <c r="A146" s="82">
        <v>6.6829088541666666E-3</v>
      </c>
      <c r="B146" t="s">
        <v>46</v>
      </c>
      <c r="C146"/>
      <c r="D146"/>
      <c r="E146" t="s">
        <v>37</v>
      </c>
      <c r="F146"/>
      <c r="G146" t="s">
        <v>47</v>
      </c>
      <c r="H146"/>
      <c r="I146" s="167">
        <v>46312.710358796299</v>
      </c>
      <c r="J146" t="s">
        <v>583</v>
      </c>
      <c r="K146" t="s">
        <v>387</v>
      </c>
      <c r="L146" s="166">
        <v>46284</v>
      </c>
      <c r="M146" t="s">
        <v>382</v>
      </c>
      <c r="N146" t="s">
        <v>177</v>
      </c>
      <c r="O146" t="s">
        <v>178</v>
      </c>
      <c r="P146">
        <v>1</v>
      </c>
      <c r="Q146" t="s">
        <v>193</v>
      </c>
    </row>
    <row r="147" spans="1:17" s="3" customFormat="1">
      <c r="A147" s="82">
        <v>6.6829088541666666E-3</v>
      </c>
      <c r="B147" t="s">
        <v>46</v>
      </c>
      <c r="C147"/>
      <c r="D147"/>
      <c r="E147" t="s">
        <v>160</v>
      </c>
      <c r="F147" t="s">
        <v>592</v>
      </c>
      <c r="G147" t="s">
        <v>47</v>
      </c>
      <c r="H147"/>
      <c r="I147" s="167">
        <v>46312.710358796299</v>
      </c>
      <c r="J147" t="s">
        <v>583</v>
      </c>
      <c r="K147" t="s">
        <v>387</v>
      </c>
      <c r="L147" s="166">
        <v>46284</v>
      </c>
      <c r="M147" t="s">
        <v>382</v>
      </c>
      <c r="N147" t="s">
        <v>177</v>
      </c>
      <c r="O147" t="s">
        <v>178</v>
      </c>
      <c r="P147">
        <v>1</v>
      </c>
      <c r="Q147" t="s">
        <v>193</v>
      </c>
    </row>
    <row r="148" spans="1:17" s="3" customFormat="1">
      <c r="A148" s="82">
        <v>6.6687720601851857E-3</v>
      </c>
      <c r="B148" t="s">
        <v>46</v>
      </c>
      <c r="C148" t="s">
        <v>486</v>
      </c>
      <c r="D148"/>
      <c r="E148" t="s">
        <v>133</v>
      </c>
      <c r="F148"/>
      <c r="G148" t="s">
        <v>47</v>
      </c>
      <c r="H148" t="s">
        <v>620</v>
      </c>
      <c r="I148" s="167">
        <v>46312.70989583333</v>
      </c>
      <c r="J148" t="s">
        <v>583</v>
      </c>
      <c r="K148" t="s">
        <v>387</v>
      </c>
      <c r="L148" s="166">
        <v>46284</v>
      </c>
      <c r="M148" t="s">
        <v>382</v>
      </c>
      <c r="N148" t="s">
        <v>177</v>
      </c>
      <c r="O148" t="s">
        <v>178</v>
      </c>
      <c r="P148">
        <v>1</v>
      </c>
      <c r="Q148" t="s">
        <v>193</v>
      </c>
    </row>
    <row r="149" spans="1:17" s="3" customFormat="1">
      <c r="A149" s="82">
        <v>6.4849628587962966E-3</v>
      </c>
      <c r="B149" t="s">
        <v>46</v>
      </c>
      <c r="C149" t="s">
        <v>479</v>
      </c>
      <c r="D149"/>
      <c r="E149" t="s">
        <v>60</v>
      </c>
      <c r="F149"/>
      <c r="G149" t="s">
        <v>47</v>
      </c>
      <c r="H149"/>
      <c r="I149" s="167">
        <v>46312.709548611114</v>
      </c>
      <c r="J149" t="s">
        <v>583</v>
      </c>
      <c r="K149" t="s">
        <v>387</v>
      </c>
      <c r="L149" s="166">
        <v>46284</v>
      </c>
      <c r="M149" t="s">
        <v>382</v>
      </c>
      <c r="N149" t="s">
        <v>177</v>
      </c>
      <c r="O149" t="s">
        <v>178</v>
      </c>
      <c r="P149">
        <v>1</v>
      </c>
      <c r="Q149" t="s">
        <v>193</v>
      </c>
    </row>
    <row r="150" spans="1:17" s="3" customFormat="1">
      <c r="A150" s="82">
        <v>6.4133500578703699E-3</v>
      </c>
      <c r="B150" t="s">
        <v>46</v>
      </c>
      <c r="C150"/>
      <c r="D150"/>
      <c r="E150" t="s">
        <v>53</v>
      </c>
      <c r="F150"/>
      <c r="G150" t="s">
        <v>47</v>
      </c>
      <c r="H150"/>
      <c r="I150" s="167">
        <v>46312.709062499998</v>
      </c>
      <c r="J150" t="s">
        <v>583</v>
      </c>
      <c r="K150" t="s">
        <v>387</v>
      </c>
      <c r="L150" s="166">
        <v>46284</v>
      </c>
      <c r="M150" t="s">
        <v>382</v>
      </c>
      <c r="N150" t="s">
        <v>177</v>
      </c>
      <c r="O150" t="s">
        <v>178</v>
      </c>
      <c r="P150">
        <v>1</v>
      </c>
      <c r="Q150" t="s">
        <v>193</v>
      </c>
    </row>
    <row r="151" spans="1:17" s="3" customFormat="1">
      <c r="A151" s="82">
        <v>5.9850806944444441E-3</v>
      </c>
      <c r="B151" t="s">
        <v>46</v>
      </c>
      <c r="C151"/>
      <c r="D151"/>
      <c r="E151" t="s">
        <v>37</v>
      </c>
      <c r="F151"/>
      <c r="G151" t="s">
        <v>47</v>
      </c>
      <c r="H151"/>
      <c r="I151" s="167">
        <v>46312.708831018521</v>
      </c>
      <c r="J151" t="s">
        <v>583</v>
      </c>
      <c r="K151" t="s">
        <v>387</v>
      </c>
      <c r="L151" s="166">
        <v>46284</v>
      </c>
      <c r="M151" t="s">
        <v>382</v>
      </c>
      <c r="N151" t="s">
        <v>177</v>
      </c>
      <c r="O151" t="s">
        <v>178</v>
      </c>
      <c r="P151">
        <v>1</v>
      </c>
      <c r="Q151" t="s">
        <v>193</v>
      </c>
    </row>
    <row r="152" spans="1:17" s="3" customFormat="1">
      <c r="A152" s="82">
        <v>5.9850806944444441E-3</v>
      </c>
      <c r="B152" t="s">
        <v>46</v>
      </c>
      <c r="C152"/>
      <c r="D152"/>
      <c r="E152" t="s">
        <v>160</v>
      </c>
      <c r="F152" t="s">
        <v>610</v>
      </c>
      <c r="G152" t="s">
        <v>47</v>
      </c>
      <c r="H152"/>
      <c r="I152" s="167">
        <v>46312.708831018521</v>
      </c>
      <c r="J152" t="s">
        <v>583</v>
      </c>
      <c r="K152" t="s">
        <v>387</v>
      </c>
      <c r="L152" s="166">
        <v>46284</v>
      </c>
      <c r="M152" t="s">
        <v>382</v>
      </c>
      <c r="N152" t="s">
        <v>177</v>
      </c>
      <c r="O152" t="s">
        <v>178</v>
      </c>
      <c r="P152">
        <v>1</v>
      </c>
      <c r="Q152" t="s">
        <v>193</v>
      </c>
    </row>
    <row r="153" spans="1:17" s="3" customFormat="1">
      <c r="A153" s="82">
        <v>5.8635469444444444E-3</v>
      </c>
      <c r="B153" t="s">
        <v>46</v>
      </c>
      <c r="C153" t="s">
        <v>485</v>
      </c>
      <c r="D153"/>
      <c r="E153" t="s">
        <v>405</v>
      </c>
      <c r="F153"/>
      <c r="G153" t="s">
        <v>47</v>
      </c>
      <c r="H153"/>
      <c r="I153" s="167">
        <v>46312.70857638889</v>
      </c>
      <c r="J153" t="s">
        <v>583</v>
      </c>
      <c r="K153" t="s">
        <v>387</v>
      </c>
      <c r="L153" s="166">
        <v>46284</v>
      </c>
      <c r="M153" t="s">
        <v>382</v>
      </c>
      <c r="N153" t="s">
        <v>177</v>
      </c>
      <c r="O153" t="s">
        <v>178</v>
      </c>
      <c r="P153">
        <v>1</v>
      </c>
      <c r="Q153" t="s">
        <v>193</v>
      </c>
    </row>
    <row r="154" spans="1:17" s="3" customFormat="1">
      <c r="A154" s="82">
        <v>5.828413900462963E-3</v>
      </c>
      <c r="B154" t="s">
        <v>46</v>
      </c>
      <c r="C154" t="s">
        <v>485</v>
      </c>
      <c r="D154"/>
      <c r="E154" t="s">
        <v>135</v>
      </c>
      <c r="F154"/>
      <c r="G154" t="s">
        <v>47</v>
      </c>
      <c r="H154"/>
      <c r="I154" s="167">
        <v>46312.708425925928</v>
      </c>
      <c r="J154" t="s">
        <v>583</v>
      </c>
      <c r="K154" t="s">
        <v>387</v>
      </c>
      <c r="L154" s="166">
        <v>46284</v>
      </c>
      <c r="M154" t="s">
        <v>382</v>
      </c>
      <c r="N154" t="s">
        <v>177</v>
      </c>
      <c r="O154" t="s">
        <v>178</v>
      </c>
      <c r="P154">
        <v>1</v>
      </c>
      <c r="Q154" t="s">
        <v>193</v>
      </c>
    </row>
    <row r="155" spans="1:17" s="3" customFormat="1">
      <c r="A155" s="82">
        <v>5.7877758564814814E-3</v>
      </c>
      <c r="B155" t="s">
        <v>46</v>
      </c>
      <c r="C155"/>
      <c r="D155"/>
      <c r="E155" t="s">
        <v>133</v>
      </c>
      <c r="F155"/>
      <c r="G155" t="s">
        <v>113</v>
      </c>
      <c r="H155"/>
      <c r="I155" s="167">
        <v>46312.708310185182</v>
      </c>
      <c r="J155" t="s">
        <v>583</v>
      </c>
      <c r="K155" t="s">
        <v>387</v>
      </c>
      <c r="L155" s="166">
        <v>46284</v>
      </c>
      <c r="M155" t="s">
        <v>382</v>
      </c>
      <c r="N155" t="s">
        <v>177</v>
      </c>
      <c r="O155" t="s">
        <v>178</v>
      </c>
      <c r="P155">
        <v>1</v>
      </c>
      <c r="Q155" t="s">
        <v>193</v>
      </c>
    </row>
    <row r="156" spans="1:17" s="3" customFormat="1">
      <c r="A156" s="82">
        <v>5.6549377777777776E-3</v>
      </c>
      <c r="B156" t="s">
        <v>46</v>
      </c>
      <c r="C156" t="s">
        <v>480</v>
      </c>
      <c r="D156"/>
      <c r="E156" t="s">
        <v>57</v>
      </c>
      <c r="F156"/>
      <c r="G156" t="s">
        <v>113</v>
      </c>
      <c r="H156"/>
      <c r="I156" s="167">
        <v>46312.708136574074</v>
      </c>
      <c r="J156" t="s">
        <v>583</v>
      </c>
      <c r="K156" t="s">
        <v>387</v>
      </c>
      <c r="L156" s="166">
        <v>46284</v>
      </c>
      <c r="M156" t="s">
        <v>382</v>
      </c>
      <c r="N156" t="s">
        <v>177</v>
      </c>
      <c r="O156" t="s">
        <v>178</v>
      </c>
      <c r="P156">
        <v>1</v>
      </c>
      <c r="Q156" t="s">
        <v>193</v>
      </c>
    </row>
    <row r="157" spans="1:17" s="3" customFormat="1">
      <c r="A157" s="82">
        <v>5.6302039930555556E-3</v>
      </c>
      <c r="B157" t="s">
        <v>46</v>
      </c>
      <c r="C157"/>
      <c r="D157"/>
      <c r="E157" t="s">
        <v>137</v>
      </c>
      <c r="F157"/>
      <c r="G157" t="s">
        <v>113</v>
      </c>
      <c r="H157"/>
      <c r="I157" s="167">
        <v>46312.707997685182</v>
      </c>
      <c r="J157" t="s">
        <v>583</v>
      </c>
      <c r="K157" t="s">
        <v>387</v>
      </c>
      <c r="L157" s="166">
        <v>46284</v>
      </c>
      <c r="M157" t="s">
        <v>382</v>
      </c>
      <c r="N157" t="s">
        <v>177</v>
      </c>
      <c r="O157" t="s">
        <v>178</v>
      </c>
      <c r="P157">
        <v>1</v>
      </c>
      <c r="Q157" t="s">
        <v>193</v>
      </c>
    </row>
    <row r="158" spans="1:17" s="3" customFormat="1">
      <c r="A158" s="82">
        <v>5.5866750578703701E-3</v>
      </c>
      <c r="B158" t="s">
        <v>46</v>
      </c>
      <c r="C158"/>
      <c r="D158"/>
      <c r="E158" t="s">
        <v>49</v>
      </c>
      <c r="F158"/>
      <c r="G158" t="s">
        <v>47</v>
      </c>
      <c r="H158"/>
      <c r="I158" s="167">
        <v>46312.707916666666</v>
      </c>
      <c r="J158" t="s">
        <v>583</v>
      </c>
      <c r="K158" t="s">
        <v>387</v>
      </c>
      <c r="L158" s="166">
        <v>46284</v>
      </c>
      <c r="M158" t="s">
        <v>382</v>
      </c>
      <c r="N158" t="s">
        <v>177</v>
      </c>
      <c r="O158" t="s">
        <v>178</v>
      </c>
      <c r="P158">
        <v>1</v>
      </c>
      <c r="Q158" t="s">
        <v>193</v>
      </c>
    </row>
    <row r="159" spans="1:17" s="3" customFormat="1">
      <c r="A159" s="82">
        <v>5.3228857407407407E-3</v>
      </c>
      <c r="B159" t="s">
        <v>46</v>
      </c>
      <c r="C159"/>
      <c r="D159"/>
      <c r="E159" t="s">
        <v>64</v>
      </c>
      <c r="F159"/>
      <c r="G159" t="s">
        <v>113</v>
      </c>
      <c r="H159"/>
      <c r="I159" s="167">
        <v>46312.707766203705</v>
      </c>
      <c r="J159" t="s">
        <v>583</v>
      </c>
      <c r="K159" t="s">
        <v>387</v>
      </c>
      <c r="L159" s="166">
        <v>46284</v>
      </c>
      <c r="M159" t="s">
        <v>382</v>
      </c>
      <c r="N159" t="s">
        <v>177</v>
      </c>
      <c r="O159" t="s">
        <v>178</v>
      </c>
      <c r="P159">
        <v>1</v>
      </c>
      <c r="Q159" t="s">
        <v>193</v>
      </c>
    </row>
    <row r="160" spans="1:17" s="3" customFormat="1">
      <c r="A160" s="82">
        <v>4.9085971643518522E-3</v>
      </c>
      <c r="B160" t="s">
        <v>46</v>
      </c>
      <c r="C160"/>
      <c r="D160"/>
      <c r="E160" t="s">
        <v>37</v>
      </c>
      <c r="F160"/>
      <c r="G160" t="s">
        <v>47</v>
      </c>
      <c r="H160"/>
      <c r="I160" s="167">
        <v>46312.707557870373</v>
      </c>
      <c r="J160" t="s">
        <v>583</v>
      </c>
      <c r="K160" t="s">
        <v>387</v>
      </c>
      <c r="L160" s="166">
        <v>46284</v>
      </c>
      <c r="M160" t="s">
        <v>382</v>
      </c>
      <c r="N160" t="s">
        <v>177</v>
      </c>
      <c r="O160" t="s">
        <v>178</v>
      </c>
      <c r="P160">
        <v>1</v>
      </c>
      <c r="Q160" t="s">
        <v>193</v>
      </c>
    </row>
    <row r="161" spans="1:17" s="3" customFormat="1">
      <c r="A161" s="82">
        <v>4.9085971643518522E-3</v>
      </c>
      <c r="B161" t="s">
        <v>46</v>
      </c>
      <c r="C161"/>
      <c r="D161"/>
      <c r="E161" t="s">
        <v>52</v>
      </c>
      <c r="F161"/>
      <c r="G161" t="s">
        <v>113</v>
      </c>
      <c r="H161"/>
      <c r="I161" s="167">
        <v>46312.707557870373</v>
      </c>
      <c r="J161" t="s">
        <v>583</v>
      </c>
      <c r="K161" t="s">
        <v>387</v>
      </c>
      <c r="L161" s="166">
        <v>46284</v>
      </c>
      <c r="M161" t="s">
        <v>382</v>
      </c>
      <c r="N161" t="s">
        <v>177</v>
      </c>
      <c r="O161" t="s">
        <v>178</v>
      </c>
      <c r="P161">
        <v>1</v>
      </c>
      <c r="Q161" t="s">
        <v>193</v>
      </c>
    </row>
    <row r="162" spans="1:17" s="3" customFormat="1">
      <c r="A162" s="82">
        <v>4.7695692013888886E-3</v>
      </c>
      <c r="B162" t="s">
        <v>46</v>
      </c>
      <c r="C162" t="s">
        <v>486</v>
      </c>
      <c r="D162"/>
      <c r="E162" t="s">
        <v>84</v>
      </c>
      <c r="F162"/>
      <c r="G162" t="s">
        <v>113</v>
      </c>
      <c r="H162"/>
      <c r="I162" s="167">
        <v>46312.707372685189</v>
      </c>
      <c r="J162" t="s">
        <v>583</v>
      </c>
      <c r="K162" t="s">
        <v>387</v>
      </c>
      <c r="L162" s="166">
        <v>46284</v>
      </c>
      <c r="M162" t="s">
        <v>382</v>
      </c>
      <c r="N162" t="s">
        <v>177</v>
      </c>
      <c r="O162" t="s">
        <v>178</v>
      </c>
      <c r="P162">
        <v>1</v>
      </c>
      <c r="Q162" t="s">
        <v>193</v>
      </c>
    </row>
    <row r="163" spans="1:17" s="3" customFormat="1">
      <c r="A163" s="82">
        <v>4.7679610763888894E-3</v>
      </c>
      <c r="B163" t="s">
        <v>46</v>
      </c>
      <c r="C163" t="s">
        <v>484</v>
      </c>
      <c r="D163"/>
      <c r="E163" t="s">
        <v>57</v>
      </c>
      <c r="F163"/>
      <c r="G163" t="s">
        <v>113</v>
      </c>
      <c r="H163"/>
      <c r="I163" s="167">
        <v>46312.70721064815</v>
      </c>
      <c r="J163" t="s">
        <v>583</v>
      </c>
      <c r="K163" t="s">
        <v>387</v>
      </c>
      <c r="L163" s="166">
        <v>46284</v>
      </c>
      <c r="M163" t="s">
        <v>382</v>
      </c>
      <c r="N163" t="s">
        <v>177</v>
      </c>
      <c r="O163" t="s">
        <v>178</v>
      </c>
      <c r="P163">
        <v>1</v>
      </c>
      <c r="Q163" t="s">
        <v>193</v>
      </c>
    </row>
    <row r="164" spans="1:17" s="3" customFormat="1">
      <c r="A164" s="82">
        <v>4.7141670370370375E-3</v>
      </c>
      <c r="B164" t="s">
        <v>46</v>
      </c>
      <c r="C164" t="s">
        <v>584</v>
      </c>
      <c r="D164"/>
      <c r="E164" t="s">
        <v>57</v>
      </c>
      <c r="F164"/>
      <c r="G164" t="s">
        <v>113</v>
      </c>
      <c r="H164"/>
      <c r="I164" s="167">
        <v>46312.706261574072</v>
      </c>
      <c r="J164" t="s">
        <v>583</v>
      </c>
      <c r="K164" t="s">
        <v>387</v>
      </c>
      <c r="L164" s="166">
        <v>46284</v>
      </c>
      <c r="M164" t="s">
        <v>382</v>
      </c>
      <c r="N164" t="s">
        <v>177</v>
      </c>
      <c r="O164" t="s">
        <v>178</v>
      </c>
      <c r="P164">
        <v>1</v>
      </c>
      <c r="Q164" t="s">
        <v>193</v>
      </c>
    </row>
    <row r="165" spans="1:17" s="3" customFormat="1">
      <c r="A165" s="82">
        <v>4.637059282407408E-3</v>
      </c>
      <c r="B165" t="s">
        <v>46</v>
      </c>
      <c r="C165" t="s">
        <v>490</v>
      </c>
      <c r="D165"/>
      <c r="E165" t="s">
        <v>57</v>
      </c>
      <c r="F165"/>
      <c r="G165" t="s">
        <v>113</v>
      </c>
      <c r="H165"/>
      <c r="I165" s="167">
        <v>46312.70590277778</v>
      </c>
      <c r="J165" t="s">
        <v>583</v>
      </c>
      <c r="K165" t="s">
        <v>387</v>
      </c>
      <c r="L165" s="166">
        <v>46284</v>
      </c>
      <c r="M165" t="s">
        <v>382</v>
      </c>
      <c r="N165" t="s">
        <v>177</v>
      </c>
      <c r="O165" t="s">
        <v>178</v>
      </c>
      <c r="P165">
        <v>1</v>
      </c>
      <c r="Q165" t="s">
        <v>193</v>
      </c>
    </row>
    <row r="166" spans="1:17" s="3" customFormat="1">
      <c r="A166" s="82">
        <v>4.6065616087962958E-3</v>
      </c>
      <c r="B166" t="s">
        <v>46</v>
      </c>
      <c r="C166" t="s">
        <v>486</v>
      </c>
      <c r="D166"/>
      <c r="E166" t="s">
        <v>57</v>
      </c>
      <c r="F166"/>
      <c r="G166" t="s">
        <v>113</v>
      </c>
      <c r="H166"/>
      <c r="I166" s="167">
        <v>46312.705763888887</v>
      </c>
      <c r="J166" t="s">
        <v>583</v>
      </c>
      <c r="K166" t="s">
        <v>387</v>
      </c>
      <c r="L166" s="166">
        <v>46284</v>
      </c>
      <c r="M166" t="s">
        <v>382</v>
      </c>
      <c r="N166" t="s">
        <v>177</v>
      </c>
      <c r="O166" t="s">
        <v>178</v>
      </c>
      <c r="P166">
        <v>1</v>
      </c>
      <c r="Q166" t="s">
        <v>193</v>
      </c>
    </row>
    <row r="167" spans="1:17" s="3" customFormat="1">
      <c r="A167" s="82">
        <v>4.5949074074074078E-3</v>
      </c>
      <c r="B167" t="s">
        <v>46</v>
      </c>
      <c r="C167" t="s">
        <v>479</v>
      </c>
      <c r="D167"/>
      <c r="E167" t="s">
        <v>57</v>
      </c>
      <c r="F167"/>
      <c r="G167" t="s">
        <v>113</v>
      </c>
      <c r="H167"/>
      <c r="I167" s="167">
        <v>46312.705763888887</v>
      </c>
      <c r="J167" t="s">
        <v>583</v>
      </c>
      <c r="K167" t="s">
        <v>387</v>
      </c>
      <c r="L167" s="166">
        <v>46284</v>
      </c>
      <c r="M167" t="s">
        <v>382</v>
      </c>
      <c r="N167" t="s">
        <v>177</v>
      </c>
      <c r="O167" t="s">
        <v>178</v>
      </c>
      <c r="P167">
        <v>1</v>
      </c>
      <c r="Q167" t="s">
        <v>193</v>
      </c>
    </row>
    <row r="168" spans="1:17" s="3" customFormat="1">
      <c r="A168" s="82">
        <v>4.581877604166667E-3</v>
      </c>
      <c r="B168" t="s">
        <v>46</v>
      </c>
      <c r="C168"/>
      <c r="D168"/>
      <c r="E168" t="s">
        <v>230</v>
      </c>
      <c r="F168"/>
      <c r="G168" t="s">
        <v>113</v>
      </c>
      <c r="H168"/>
      <c r="I168" s="167">
        <v>46312.705462962964</v>
      </c>
      <c r="J168" t="s">
        <v>583</v>
      </c>
      <c r="K168" t="s">
        <v>387</v>
      </c>
      <c r="L168" s="166">
        <v>46284</v>
      </c>
      <c r="M168" t="s">
        <v>382</v>
      </c>
      <c r="N168" t="s">
        <v>177</v>
      </c>
      <c r="O168" t="s">
        <v>178</v>
      </c>
      <c r="P168">
        <v>1</v>
      </c>
      <c r="Q168" t="s">
        <v>193</v>
      </c>
    </row>
    <row r="169" spans="1:17" s="3" customFormat="1">
      <c r="A169" s="82">
        <v>4.5422593287037039E-3</v>
      </c>
      <c r="B169" t="s">
        <v>46</v>
      </c>
      <c r="C169"/>
      <c r="D169"/>
      <c r="E169" t="s">
        <v>54</v>
      </c>
      <c r="F169"/>
      <c r="G169" t="s">
        <v>113</v>
      </c>
      <c r="H169"/>
      <c r="I169" s="167">
        <v>46312.705208333333</v>
      </c>
      <c r="J169" t="s">
        <v>583</v>
      </c>
      <c r="K169" t="s">
        <v>387</v>
      </c>
      <c r="L169" s="166">
        <v>46284</v>
      </c>
      <c r="M169" t="s">
        <v>382</v>
      </c>
      <c r="N169" t="s">
        <v>177</v>
      </c>
      <c r="O169" t="s">
        <v>178</v>
      </c>
      <c r="P169">
        <v>1</v>
      </c>
      <c r="Q169" t="s">
        <v>193</v>
      </c>
    </row>
    <row r="170" spans="1:17" s="3" customFormat="1">
      <c r="A170" s="82">
        <v>4.1202717592592596E-3</v>
      </c>
      <c r="B170" t="s">
        <v>46</v>
      </c>
      <c r="C170"/>
      <c r="D170"/>
      <c r="E170" t="s">
        <v>37</v>
      </c>
      <c r="F170"/>
      <c r="G170" t="s">
        <v>47</v>
      </c>
      <c r="H170"/>
      <c r="I170" s="167">
        <v>46312.704930555556</v>
      </c>
      <c r="J170" t="s">
        <v>583</v>
      </c>
      <c r="K170" t="s">
        <v>387</v>
      </c>
      <c r="L170" s="166">
        <v>46284</v>
      </c>
      <c r="M170" t="s">
        <v>382</v>
      </c>
      <c r="N170" t="s">
        <v>177</v>
      </c>
      <c r="O170" t="s">
        <v>178</v>
      </c>
      <c r="P170">
        <v>1</v>
      </c>
      <c r="Q170" t="s">
        <v>193</v>
      </c>
    </row>
    <row r="171" spans="1:17" s="3" customFormat="1">
      <c r="A171" s="82">
        <v>4.0310406250000002E-3</v>
      </c>
      <c r="B171" t="s">
        <v>46</v>
      </c>
      <c r="C171"/>
      <c r="D171"/>
      <c r="E171" t="s">
        <v>49</v>
      </c>
      <c r="F171"/>
      <c r="G171" t="s">
        <v>47</v>
      </c>
      <c r="H171"/>
      <c r="I171" s="167">
        <v>46312.704837962963</v>
      </c>
      <c r="J171" t="s">
        <v>583</v>
      </c>
      <c r="K171" t="s">
        <v>387</v>
      </c>
      <c r="L171" s="166">
        <v>46284</v>
      </c>
      <c r="M171" t="s">
        <v>382</v>
      </c>
      <c r="N171" t="s">
        <v>177</v>
      </c>
      <c r="O171" t="s">
        <v>178</v>
      </c>
      <c r="P171">
        <v>1</v>
      </c>
      <c r="Q171" t="s">
        <v>193</v>
      </c>
    </row>
    <row r="172" spans="1:17" s="3" customFormat="1">
      <c r="A172" s="82">
        <v>3.7532553356481478E-3</v>
      </c>
      <c r="B172" t="s">
        <v>46</v>
      </c>
      <c r="C172"/>
      <c r="D172"/>
      <c r="E172" t="s">
        <v>37</v>
      </c>
      <c r="F172"/>
      <c r="G172" t="s">
        <v>113</v>
      </c>
      <c r="H172"/>
      <c r="I172" s="167">
        <v>46312.704560185186</v>
      </c>
      <c r="J172" t="s">
        <v>583</v>
      </c>
      <c r="K172" t="s">
        <v>387</v>
      </c>
      <c r="L172" s="166">
        <v>46284</v>
      </c>
      <c r="M172" t="s">
        <v>382</v>
      </c>
      <c r="N172" t="s">
        <v>177</v>
      </c>
      <c r="O172" t="s">
        <v>178</v>
      </c>
      <c r="P172">
        <v>1</v>
      </c>
      <c r="Q172" t="s">
        <v>193</v>
      </c>
    </row>
    <row r="173" spans="1:17" s="3" customFormat="1">
      <c r="A173" s="82">
        <v>3.6259232754629628E-3</v>
      </c>
      <c r="B173" t="s">
        <v>46</v>
      </c>
      <c r="C173"/>
      <c r="D173"/>
      <c r="E173" t="s">
        <v>133</v>
      </c>
      <c r="F173"/>
      <c r="G173" t="s">
        <v>113</v>
      </c>
      <c r="H173"/>
      <c r="I173" s="167">
        <v>46312.704432870371</v>
      </c>
      <c r="J173" t="s">
        <v>583</v>
      </c>
      <c r="K173" t="s">
        <v>387</v>
      </c>
      <c r="L173" s="166">
        <v>46284</v>
      </c>
      <c r="M173" t="s">
        <v>382</v>
      </c>
      <c r="N173" t="s">
        <v>177</v>
      </c>
      <c r="O173" t="s">
        <v>178</v>
      </c>
      <c r="P173">
        <v>1</v>
      </c>
      <c r="Q173" t="s">
        <v>193</v>
      </c>
    </row>
    <row r="174" spans="1:17" s="3" customFormat="1">
      <c r="A174" s="82">
        <v>3.5853391550925927E-3</v>
      </c>
      <c r="B174" t="s">
        <v>46</v>
      </c>
      <c r="C174"/>
      <c r="D174"/>
      <c r="E174" t="s">
        <v>137</v>
      </c>
      <c r="F174"/>
      <c r="G174" t="s">
        <v>113</v>
      </c>
      <c r="H174"/>
      <c r="I174" s="167">
        <v>46312.704351851855</v>
      </c>
      <c r="J174" t="s">
        <v>583</v>
      </c>
      <c r="K174" t="s">
        <v>387</v>
      </c>
      <c r="L174" s="166">
        <v>46284</v>
      </c>
      <c r="M174" t="s">
        <v>382</v>
      </c>
      <c r="N174" t="s">
        <v>177</v>
      </c>
      <c r="O174" t="s">
        <v>178</v>
      </c>
      <c r="P174">
        <v>1</v>
      </c>
      <c r="Q174" t="s">
        <v>193</v>
      </c>
    </row>
    <row r="175" spans="1:17" s="3" customFormat="1">
      <c r="A175" s="82">
        <v>3.5369115162037037E-3</v>
      </c>
      <c r="B175" t="s">
        <v>46</v>
      </c>
      <c r="C175" t="s">
        <v>32</v>
      </c>
      <c r="D175"/>
      <c r="E175" t="s">
        <v>133</v>
      </c>
      <c r="F175"/>
      <c r="G175" t="s">
        <v>47</v>
      </c>
      <c r="H175"/>
      <c r="I175" s="167">
        <v>46312.704317129632</v>
      </c>
      <c r="J175" t="s">
        <v>583</v>
      </c>
      <c r="K175" t="s">
        <v>387</v>
      </c>
      <c r="L175" s="166">
        <v>46284</v>
      </c>
      <c r="M175" t="s">
        <v>382</v>
      </c>
      <c r="N175" t="s">
        <v>177</v>
      </c>
      <c r="O175" t="s">
        <v>178</v>
      </c>
      <c r="P175">
        <v>1</v>
      </c>
      <c r="Q175" t="s">
        <v>193</v>
      </c>
    </row>
    <row r="176" spans="1:17" s="3" customFormat="1">
      <c r="A176" s="82">
        <v>3.5217587731481482E-3</v>
      </c>
      <c r="B176" t="s">
        <v>46</v>
      </c>
      <c r="C176" t="s">
        <v>491</v>
      </c>
      <c r="D176"/>
      <c r="E176" t="s">
        <v>135</v>
      </c>
      <c r="F176"/>
      <c r="G176" t="s">
        <v>47</v>
      </c>
      <c r="H176"/>
      <c r="I176" s="167">
        <v>46312.704201388886</v>
      </c>
      <c r="J176" t="s">
        <v>583</v>
      </c>
      <c r="K176" t="s">
        <v>387</v>
      </c>
      <c r="L176" s="166">
        <v>46284</v>
      </c>
      <c r="M176" t="s">
        <v>382</v>
      </c>
      <c r="N176" t="s">
        <v>177</v>
      </c>
      <c r="O176" t="s">
        <v>178</v>
      </c>
      <c r="P176">
        <v>1</v>
      </c>
      <c r="Q176" t="s">
        <v>193</v>
      </c>
    </row>
    <row r="177" spans="1:17" s="3" customFormat="1">
      <c r="A177" s="82">
        <v>3.4810242592592591E-3</v>
      </c>
      <c r="B177" t="s">
        <v>46</v>
      </c>
      <c r="C177"/>
      <c r="D177"/>
      <c r="E177" t="s">
        <v>133</v>
      </c>
      <c r="F177"/>
      <c r="G177" t="s">
        <v>113</v>
      </c>
      <c r="H177"/>
      <c r="I177" s="167">
        <v>46312.704074074078</v>
      </c>
      <c r="J177" t="s">
        <v>583</v>
      </c>
      <c r="K177" t="s">
        <v>387</v>
      </c>
      <c r="L177" s="166">
        <v>46284</v>
      </c>
      <c r="M177" t="s">
        <v>382</v>
      </c>
      <c r="N177" t="s">
        <v>177</v>
      </c>
      <c r="O177" t="s">
        <v>178</v>
      </c>
      <c r="P177">
        <v>1</v>
      </c>
      <c r="Q177" t="s">
        <v>193</v>
      </c>
    </row>
    <row r="178" spans="1:17" s="3" customFormat="1">
      <c r="A178" s="82">
        <v>3.4390283449074075E-3</v>
      </c>
      <c r="B178" t="s">
        <v>46</v>
      </c>
      <c r="C178"/>
      <c r="D178"/>
      <c r="E178" t="s">
        <v>137</v>
      </c>
      <c r="F178"/>
      <c r="G178" t="s">
        <v>113</v>
      </c>
      <c r="H178"/>
      <c r="I178" s="167">
        <v>46312.703900462962</v>
      </c>
      <c r="J178" t="s">
        <v>583</v>
      </c>
      <c r="K178" t="s">
        <v>387</v>
      </c>
      <c r="L178" s="166">
        <v>46284</v>
      </c>
      <c r="M178" t="s">
        <v>382</v>
      </c>
      <c r="N178" t="s">
        <v>177</v>
      </c>
      <c r="O178" t="s">
        <v>178</v>
      </c>
      <c r="P178">
        <v>1</v>
      </c>
      <c r="Q178" t="s">
        <v>193</v>
      </c>
    </row>
    <row r="179" spans="1:17" s="3" customFormat="1">
      <c r="A179" s="82">
        <v>3.3888796759259255E-3</v>
      </c>
      <c r="B179" t="s">
        <v>46</v>
      </c>
      <c r="C179" t="s">
        <v>486</v>
      </c>
      <c r="D179"/>
      <c r="E179" t="s">
        <v>133</v>
      </c>
      <c r="F179"/>
      <c r="G179" t="s">
        <v>47</v>
      </c>
      <c r="H179"/>
      <c r="I179" s="167">
        <v>46312.703680555554</v>
      </c>
      <c r="J179" t="s">
        <v>583</v>
      </c>
      <c r="K179" t="s">
        <v>387</v>
      </c>
      <c r="L179" s="166">
        <v>46284</v>
      </c>
      <c r="M179" t="s">
        <v>382</v>
      </c>
      <c r="N179" t="s">
        <v>177</v>
      </c>
      <c r="O179" t="s">
        <v>178</v>
      </c>
      <c r="P179">
        <v>1</v>
      </c>
      <c r="Q179" t="s">
        <v>193</v>
      </c>
    </row>
    <row r="180" spans="1:17" s="3" customFormat="1">
      <c r="A180" s="82">
        <v>3.2788590625000003E-3</v>
      </c>
      <c r="B180" t="s">
        <v>46</v>
      </c>
      <c r="C180" t="s">
        <v>491</v>
      </c>
      <c r="D180"/>
      <c r="E180" t="s">
        <v>406</v>
      </c>
      <c r="F180"/>
      <c r="G180" t="s">
        <v>47</v>
      </c>
      <c r="H180"/>
      <c r="I180" s="167">
        <v>46312.703240740739</v>
      </c>
      <c r="J180" t="s">
        <v>583</v>
      </c>
      <c r="K180" t="s">
        <v>387</v>
      </c>
      <c r="L180" s="166">
        <v>46284</v>
      </c>
      <c r="M180" t="s">
        <v>382</v>
      </c>
      <c r="N180" t="s">
        <v>177</v>
      </c>
      <c r="O180" t="s">
        <v>178</v>
      </c>
      <c r="P180">
        <v>1</v>
      </c>
      <c r="Q180" t="s">
        <v>193</v>
      </c>
    </row>
    <row r="181" spans="1:17" s="3" customFormat="1">
      <c r="A181" s="82">
        <v>3.2314391550925929E-3</v>
      </c>
      <c r="B181" t="s">
        <v>46</v>
      </c>
      <c r="C181" t="s">
        <v>491</v>
      </c>
      <c r="D181"/>
      <c r="E181" t="s">
        <v>135</v>
      </c>
      <c r="F181"/>
      <c r="G181" t="s">
        <v>47</v>
      </c>
      <c r="H181"/>
      <c r="I181" s="167">
        <v>46312.7030787037</v>
      </c>
      <c r="J181" t="s">
        <v>583</v>
      </c>
      <c r="K181" t="s">
        <v>387</v>
      </c>
      <c r="L181" s="166">
        <v>46284</v>
      </c>
      <c r="M181" t="s">
        <v>382</v>
      </c>
      <c r="N181" t="s">
        <v>177</v>
      </c>
      <c r="O181" t="s">
        <v>178</v>
      </c>
      <c r="P181">
        <v>1</v>
      </c>
      <c r="Q181" t="s">
        <v>193</v>
      </c>
    </row>
    <row r="182" spans="1:17" s="3" customFormat="1">
      <c r="A182" s="82">
        <v>3.1997463657407405E-3</v>
      </c>
      <c r="B182" t="s">
        <v>46</v>
      </c>
      <c r="C182"/>
      <c r="D182"/>
      <c r="E182" t="s">
        <v>133</v>
      </c>
      <c r="F182"/>
      <c r="G182" t="s">
        <v>113</v>
      </c>
      <c r="H182"/>
      <c r="I182" s="167">
        <v>46312.702233796299</v>
      </c>
      <c r="J182" t="s">
        <v>583</v>
      </c>
      <c r="K182" t="s">
        <v>387</v>
      </c>
      <c r="L182" s="166">
        <v>46284</v>
      </c>
      <c r="M182" t="s">
        <v>382</v>
      </c>
      <c r="N182" t="s">
        <v>177</v>
      </c>
      <c r="O182" t="s">
        <v>178</v>
      </c>
      <c r="P182">
        <v>1</v>
      </c>
      <c r="Q182" t="s">
        <v>193</v>
      </c>
    </row>
    <row r="183" spans="1:17" s="3" customFormat="1">
      <c r="A183" s="82">
        <v>3.1663652546296299E-3</v>
      </c>
      <c r="B183" t="s">
        <v>46</v>
      </c>
      <c r="C183"/>
      <c r="D183"/>
      <c r="E183" t="s">
        <v>62</v>
      </c>
      <c r="F183"/>
      <c r="G183" t="s">
        <v>113</v>
      </c>
      <c r="H183"/>
      <c r="I183" s="167">
        <v>46312.702118055553</v>
      </c>
      <c r="J183" t="s">
        <v>583</v>
      </c>
      <c r="K183" t="s">
        <v>387</v>
      </c>
      <c r="L183" s="166">
        <v>46284</v>
      </c>
      <c r="M183" t="s">
        <v>382</v>
      </c>
      <c r="N183" t="s">
        <v>177</v>
      </c>
      <c r="O183" t="s">
        <v>178</v>
      </c>
      <c r="P183">
        <v>1</v>
      </c>
      <c r="Q183" t="s">
        <v>193</v>
      </c>
    </row>
    <row r="184" spans="1:17" s="3" customFormat="1">
      <c r="A184" s="82">
        <v>3.1209875925925926E-3</v>
      </c>
      <c r="B184" t="s">
        <v>46</v>
      </c>
      <c r="C184"/>
      <c r="D184"/>
      <c r="E184" t="s">
        <v>53</v>
      </c>
      <c r="F184"/>
      <c r="G184" t="s">
        <v>113</v>
      </c>
      <c r="H184"/>
      <c r="I184" s="167">
        <v>46312.701851851853</v>
      </c>
      <c r="J184" t="s">
        <v>583</v>
      </c>
      <c r="K184" t="s">
        <v>387</v>
      </c>
      <c r="L184" s="166">
        <v>46284</v>
      </c>
      <c r="M184" t="s">
        <v>382</v>
      </c>
      <c r="N184" t="s">
        <v>177</v>
      </c>
      <c r="O184" t="s">
        <v>178</v>
      </c>
      <c r="P184">
        <v>1</v>
      </c>
      <c r="Q184" t="s">
        <v>193</v>
      </c>
    </row>
    <row r="185" spans="1:17" s="3" customFormat="1">
      <c r="A185" s="82">
        <v>2.6870750810185184E-3</v>
      </c>
      <c r="B185" t="s">
        <v>46</v>
      </c>
      <c r="C185"/>
      <c r="D185"/>
      <c r="E185" t="s">
        <v>37</v>
      </c>
      <c r="F185"/>
      <c r="G185" t="s">
        <v>113</v>
      </c>
      <c r="H185"/>
      <c r="I185" s="167">
        <v>46312.70140046296</v>
      </c>
      <c r="J185" t="s">
        <v>583</v>
      </c>
      <c r="K185" t="s">
        <v>387</v>
      </c>
      <c r="L185" s="166">
        <v>46284</v>
      </c>
      <c r="M185" t="s">
        <v>382</v>
      </c>
      <c r="N185" t="s">
        <v>177</v>
      </c>
      <c r="O185" t="s">
        <v>178</v>
      </c>
      <c r="P185">
        <v>1</v>
      </c>
      <c r="Q185" t="s">
        <v>193</v>
      </c>
    </row>
    <row r="186" spans="1:17" s="3" customFormat="1">
      <c r="A186" s="82">
        <v>2.6870750810185184E-3</v>
      </c>
      <c r="B186" t="s">
        <v>46</v>
      </c>
      <c r="C186" t="s">
        <v>484</v>
      </c>
      <c r="D186" t="s">
        <v>153</v>
      </c>
      <c r="E186" t="s">
        <v>161</v>
      </c>
      <c r="F186" t="s">
        <v>167</v>
      </c>
      <c r="G186" t="s">
        <v>113</v>
      </c>
      <c r="H186"/>
      <c r="I186" s="167">
        <v>46312.70140046296</v>
      </c>
      <c r="J186" t="s">
        <v>583</v>
      </c>
      <c r="K186" t="s">
        <v>387</v>
      </c>
      <c r="L186" s="166">
        <v>46284</v>
      </c>
      <c r="M186" t="s">
        <v>382</v>
      </c>
      <c r="N186" t="s">
        <v>177</v>
      </c>
      <c r="O186" t="s">
        <v>178</v>
      </c>
      <c r="P186">
        <v>1</v>
      </c>
      <c r="Q186" t="s">
        <v>193</v>
      </c>
    </row>
    <row r="187" spans="1:17" s="3" customFormat="1">
      <c r="A187" s="82">
        <v>2.6136201504629629E-3</v>
      </c>
      <c r="B187" t="s">
        <v>46</v>
      </c>
      <c r="C187" t="s">
        <v>484</v>
      </c>
      <c r="D187"/>
      <c r="E187" t="s">
        <v>60</v>
      </c>
      <c r="F187"/>
      <c r="G187" t="s">
        <v>47</v>
      </c>
      <c r="H187"/>
      <c r="I187" s="167">
        <v>46312.700833333336</v>
      </c>
      <c r="J187" t="s">
        <v>583</v>
      </c>
      <c r="K187" t="s">
        <v>387</v>
      </c>
      <c r="L187" s="166">
        <v>46284</v>
      </c>
      <c r="M187" t="s">
        <v>382</v>
      </c>
      <c r="N187" t="s">
        <v>177</v>
      </c>
      <c r="O187" t="s">
        <v>178</v>
      </c>
      <c r="P187">
        <v>1</v>
      </c>
      <c r="Q187" t="s">
        <v>193</v>
      </c>
    </row>
    <row r="188" spans="1:17" s="3" customFormat="1">
      <c r="A188" s="82">
        <v>2.527207673611111E-3</v>
      </c>
      <c r="B188" t="s">
        <v>46</v>
      </c>
      <c r="C188"/>
      <c r="D188"/>
      <c r="E188" t="s">
        <v>53</v>
      </c>
      <c r="F188"/>
      <c r="G188" t="s">
        <v>47</v>
      </c>
      <c r="H188"/>
      <c r="I188" s="167">
        <v>46312.700439814813</v>
      </c>
      <c r="J188" t="s">
        <v>583</v>
      </c>
      <c r="K188" t="s">
        <v>387</v>
      </c>
      <c r="L188" s="166">
        <v>46284</v>
      </c>
      <c r="M188" t="s">
        <v>382</v>
      </c>
      <c r="N188" t="s">
        <v>177</v>
      </c>
      <c r="O188" t="s">
        <v>178</v>
      </c>
      <c r="P188">
        <v>1</v>
      </c>
      <c r="Q188" t="s">
        <v>193</v>
      </c>
    </row>
    <row r="189" spans="1:17" s="3" customFormat="1">
      <c r="A189" s="82">
        <v>2.0876326157407408E-3</v>
      </c>
      <c r="B189" t="s">
        <v>46</v>
      </c>
      <c r="C189"/>
      <c r="D189"/>
      <c r="E189" t="s">
        <v>160</v>
      </c>
      <c r="F189" t="s">
        <v>610</v>
      </c>
      <c r="G189" t="s">
        <v>47</v>
      </c>
      <c r="H189"/>
      <c r="I189" s="167">
        <v>46312.70003472222</v>
      </c>
      <c r="J189" t="s">
        <v>583</v>
      </c>
      <c r="K189" t="s">
        <v>387</v>
      </c>
      <c r="L189" s="166">
        <v>46284</v>
      </c>
      <c r="M189" t="s">
        <v>382</v>
      </c>
      <c r="N189" t="s">
        <v>177</v>
      </c>
      <c r="O189" t="s">
        <v>178</v>
      </c>
      <c r="P189">
        <v>1</v>
      </c>
      <c r="Q189" t="s">
        <v>193</v>
      </c>
    </row>
    <row r="190" spans="1:17" s="3" customFormat="1">
      <c r="A190" s="82">
        <v>1.9615642939814814E-3</v>
      </c>
      <c r="B190" t="s">
        <v>46</v>
      </c>
      <c r="C190"/>
      <c r="D190"/>
      <c r="E190" t="s">
        <v>37</v>
      </c>
      <c r="F190"/>
      <c r="G190" t="s">
        <v>47</v>
      </c>
      <c r="H190"/>
      <c r="I190" s="167">
        <v>46312.699699074074</v>
      </c>
      <c r="J190" t="s">
        <v>583</v>
      </c>
      <c r="K190" t="s">
        <v>387</v>
      </c>
      <c r="L190" s="166">
        <v>46284</v>
      </c>
      <c r="M190" t="s">
        <v>382</v>
      </c>
      <c r="N190" t="s">
        <v>177</v>
      </c>
      <c r="O190" t="s">
        <v>178</v>
      </c>
      <c r="P190">
        <v>1</v>
      </c>
      <c r="Q190" t="s">
        <v>193</v>
      </c>
    </row>
    <row r="191" spans="1:17" s="3" customFormat="1">
      <c r="A191" s="82">
        <v>1.9214522337962963E-3</v>
      </c>
      <c r="B191" t="s">
        <v>46</v>
      </c>
      <c r="C191" t="s">
        <v>584</v>
      </c>
      <c r="D191"/>
      <c r="E191" t="s">
        <v>406</v>
      </c>
      <c r="F191"/>
      <c r="G191" t="s">
        <v>47</v>
      </c>
      <c r="H191"/>
      <c r="I191" s="167">
        <v>46312.699583333335</v>
      </c>
      <c r="J191" t="s">
        <v>583</v>
      </c>
      <c r="K191" t="s">
        <v>387</v>
      </c>
      <c r="L191" s="166">
        <v>46284</v>
      </c>
      <c r="M191" t="s">
        <v>382</v>
      </c>
      <c r="N191" t="s">
        <v>177</v>
      </c>
      <c r="O191" t="s">
        <v>178</v>
      </c>
      <c r="P191">
        <v>1</v>
      </c>
      <c r="Q191" t="s">
        <v>193</v>
      </c>
    </row>
    <row r="192" spans="1:17" s="3" customFormat="1">
      <c r="A192" s="82">
        <v>1.8107196643518519E-3</v>
      </c>
      <c r="B192" t="s">
        <v>46</v>
      </c>
      <c r="C192" t="s">
        <v>480</v>
      </c>
      <c r="D192"/>
      <c r="E192" t="s">
        <v>405</v>
      </c>
      <c r="F192"/>
      <c r="G192" t="s">
        <v>47</v>
      </c>
      <c r="H192"/>
      <c r="I192" s="167">
        <v>46312.699004629627</v>
      </c>
      <c r="J192" t="s">
        <v>583</v>
      </c>
      <c r="K192" t="s">
        <v>387</v>
      </c>
      <c r="L192" s="166">
        <v>46284</v>
      </c>
      <c r="M192" t="s">
        <v>382</v>
      </c>
      <c r="N192" t="s">
        <v>177</v>
      </c>
      <c r="O192" t="s">
        <v>178</v>
      </c>
      <c r="P192">
        <v>1</v>
      </c>
      <c r="Q192" t="s">
        <v>193</v>
      </c>
    </row>
    <row r="193" spans="1:17" s="3" customFormat="1">
      <c r="A193" s="82">
        <v>1.6470830324074074E-3</v>
      </c>
      <c r="B193" t="s">
        <v>46</v>
      </c>
      <c r="C193" t="s">
        <v>585</v>
      </c>
      <c r="D193"/>
      <c r="E193" t="s">
        <v>135</v>
      </c>
      <c r="F193"/>
      <c r="G193" t="s">
        <v>47</v>
      </c>
      <c r="H193"/>
      <c r="I193" s="167">
        <v>46312.698796296296</v>
      </c>
      <c r="J193" t="s">
        <v>583</v>
      </c>
      <c r="K193" t="s">
        <v>387</v>
      </c>
      <c r="L193" s="166">
        <v>46284</v>
      </c>
      <c r="M193" t="s">
        <v>382</v>
      </c>
      <c r="N193" t="s">
        <v>177</v>
      </c>
      <c r="O193" t="s">
        <v>178</v>
      </c>
      <c r="P193">
        <v>1</v>
      </c>
      <c r="Q193" t="s">
        <v>193</v>
      </c>
    </row>
    <row r="194" spans="1:17" s="3" customFormat="1">
      <c r="A194" s="82">
        <v>1.6043664583333334E-3</v>
      </c>
      <c r="B194" t="s">
        <v>46</v>
      </c>
      <c r="C194"/>
      <c r="D194"/>
      <c r="E194" t="s">
        <v>49</v>
      </c>
      <c r="F194"/>
      <c r="G194" t="s">
        <v>113</v>
      </c>
      <c r="H194"/>
      <c r="I194" s="167">
        <v>46312.697766203702</v>
      </c>
      <c r="J194" t="s">
        <v>583</v>
      </c>
      <c r="K194" t="s">
        <v>387</v>
      </c>
      <c r="L194" s="166">
        <v>46284</v>
      </c>
      <c r="M194" t="s">
        <v>382</v>
      </c>
      <c r="N194" t="s">
        <v>177</v>
      </c>
      <c r="O194" t="s">
        <v>178</v>
      </c>
      <c r="P194">
        <v>1</v>
      </c>
      <c r="Q194" t="s">
        <v>193</v>
      </c>
    </row>
    <row r="195" spans="1:17" s="3" customFormat="1"/>
    <row r="196" spans="1:17" s="3" customFormat="1"/>
    <row r="197" spans="1:17" s="3" customFormat="1"/>
    <row r="198" spans="1:17" s="3" customFormat="1"/>
    <row r="199" spans="1:17" s="3" customFormat="1"/>
    <row r="200" spans="1:17" s="3" customFormat="1"/>
    <row r="201" spans="1:17" s="3" customFormat="1"/>
    <row r="202" spans="1:17" s="3" customFormat="1"/>
    <row r="203" spans="1:17" s="3" customFormat="1"/>
    <row r="204" spans="1:17" s="3" customFormat="1"/>
    <row r="205" spans="1:17" s="3" customFormat="1"/>
    <row r="206" spans="1:17" s="3" customFormat="1"/>
    <row r="207" spans="1:17" s="3" customFormat="1"/>
    <row r="208" spans="1:17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pans="1:17" s="3" customFormat="1"/>
    <row r="274" spans="1:17" s="3" customFormat="1"/>
    <row r="275" spans="1:17" s="3" customFormat="1"/>
    <row r="276" spans="1:17" s="3" customFormat="1"/>
    <row r="277" spans="1:17" s="3" customFormat="1"/>
    <row r="278" spans="1:17" s="3" customFormat="1"/>
    <row r="279" spans="1:17" s="3" customFormat="1"/>
    <row r="280" spans="1:17" s="3" customFormat="1"/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</sheetData>
  <dataValidations count="6">
    <dataValidation type="list" allowBlank="1" showErrorMessage="1" sqref="B2:B194" xr:uid="{D28366AE-ED57-ED48-9BBA-FD635F1646D0}">
      <formula1>LISTE_MT_JOURNAL</formula1>
    </dataValidation>
    <dataValidation type="list" allowBlank="1" showErrorMessage="1" sqref="E2:E194" xr:uid="{8E6DEF73-73BB-CA45-9CFB-4973E21B543A}">
      <formula1>LISTE_ACTIONS_JOURNAL</formula1>
    </dataValidation>
    <dataValidation type="list" allowBlank="1" showErrorMessage="1" sqref="G2:G194" xr:uid="{08733A1B-18CB-0F46-A548-49457E9FB9D2}">
      <formula1>LISTE_EQUIPES_JOURNAL</formula1>
    </dataValidation>
    <dataValidation type="list" allowBlank="1" showErrorMessage="1" sqref="F2:F194" xr:uid="{67E66ACB-27C1-2943-85BE-D4E30F12F0C2}">
      <formula1>LISTE_MOTIFS_PENALITE</formula1>
    </dataValidation>
    <dataValidation type="list" allowBlank="1" showErrorMessage="1" sqref="C2:C10" xr:uid="{FBF6992C-5B4B-9342-96AF-5E4CF10B0473}">
      <formula1>LISTE_JOUEURS_JOURNAL</formula1>
    </dataValidation>
    <dataValidation type="list" allowBlank="1" showInputMessage="1" showErrorMessage="1" sqref="D2:D194" xr:uid="{EACE573C-BE71-034E-97F4-7AC7A7772AA6}">
      <formula1>LISTE_GROUPES_FAUTIFS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CA91FA4-2FA5-7247-95FB-B34363C0F4EA}">
          <x14:formula1>
            <xm:f>Paramètres!$AA$1:$AA$24</xm:f>
          </x14:formula1>
          <xm:sqref>C11:C194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6"/>
  <sheetViews>
    <sheetView topLeftCell="A19" workbookViewId="0">
      <selection activeCell="E39" sqref="E39"/>
    </sheetView>
    <sheetView workbookViewId="1"/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30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A1 : MXV / US Portet Première</v>
      </c>
      <c r="C3" s="231"/>
      <c r="D3" s="231"/>
      <c r="E3" s="231"/>
      <c r="F3" s="231"/>
      <c r="G3" s="231"/>
      <c r="H3" s="231"/>
      <c r="I3" s="231"/>
      <c r="J3" s="231"/>
      <c r="K3" s="231"/>
      <c r="L3" s="231"/>
      <c r="M3" s="231"/>
      <c r="N3" s="231"/>
      <c r="O3" s="231"/>
      <c r="P3" s="231"/>
      <c r="Q3" s="231"/>
      <c r="R3" s="231"/>
      <c r="S3" s="231"/>
      <c r="T3" s="232"/>
    </row>
    <row r="4" spans="2:37" s="3" customFormat="1" ht="20" customHeight="1">
      <c r="B4" s="233"/>
      <c r="C4" s="234"/>
      <c r="D4" s="234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4"/>
      <c r="R4" s="234"/>
      <c r="S4" s="234"/>
      <c r="T4" s="235"/>
    </row>
    <row r="5" spans="2:37" s="3" customFormat="1"/>
    <row r="6" spans="2:37" ht="14" customHeight="1">
      <c r="B6" s="226" t="s">
        <v>14</v>
      </c>
      <c r="C6" s="200" t="str">
        <f>ACT_PL_NORMAL</f>
        <v>Plaquage normal</v>
      </c>
      <c r="D6" s="198"/>
      <c r="E6" s="200" t="str">
        <f>ACT_PL_OFF</f>
        <v>Plaquage offensif</v>
      </c>
      <c r="F6" s="198"/>
      <c r="G6" s="200" t="str">
        <f>ACT_PL_RATE</f>
        <v>Plaquage raté</v>
      </c>
      <c r="H6" s="198"/>
      <c r="I6" s="200" t="str">
        <f>ACT_PL_A2</f>
        <v>Plaquage à 2</v>
      </c>
      <c r="J6" s="212"/>
      <c r="K6" s="212" t="str">
        <f>ACT_PL_HAUT</f>
        <v>Plaquage haut</v>
      </c>
      <c r="L6" s="198"/>
      <c r="M6" s="212" t="s">
        <v>10</v>
      </c>
      <c r="N6" s="198"/>
      <c r="O6" s="212" t="str">
        <f>ACT_FRANCHISSEMENT</f>
        <v>Franchissement</v>
      </c>
      <c r="P6" s="198"/>
      <c r="Q6" s="212" t="str">
        <f>ACT_AVANCEE</f>
        <v>Avancée au contact</v>
      </c>
      <c r="R6" s="198"/>
      <c r="S6" s="212" t="str">
        <f>ACT_ATT_NULLE</f>
        <v>Recul ou sans progression</v>
      </c>
      <c r="T6" s="198"/>
      <c r="U6" s="201" t="s">
        <v>231</v>
      </c>
      <c r="V6" s="202"/>
      <c r="W6" s="202"/>
      <c r="X6" s="202"/>
      <c r="Y6" s="202"/>
      <c r="Z6" s="203"/>
      <c r="AF6"/>
      <c r="AG6"/>
    </row>
    <row r="7" spans="2:37" ht="13" customHeight="1">
      <c r="B7" s="227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3">
        <f>IF(COUNTIFS(JournalActions[Joueur],$B8,JournalActions[Action],$C$6,JournalActions[Mi-temps],C$7)=0,"",COUNTIFS(JournalActions[Joueur],$B8,JournalActions[Action],$C$6,JournalActions[Mi-temps],C$7))</f>
        <v>1</v>
      </c>
      <c r="D8" s="34" t="str">
        <f>IF(COUNTIFS(JournalActions[Joueur],$B8,JournalActions[Action],$C$6,JournalActions[Mi-temps],D$7)=0,"",COUNTIFS(JournalActions[Joueur],$B8,JournalActions[Action],$C$6,JournalActions[Mi-temps],D$7))</f>
        <v/>
      </c>
      <c r="E8" s="33">
        <f>IF(COUNTIFS(JournalActions[Joueur],$B8,JournalActions[Action],$E$6,JournalActions[Mi-temps],E$7)=0,"",COUNTIFS(JournalActions[Joueur],$B8,JournalActions[Action],$E$6,JournalActions[Mi-temps],E$7))</f>
        <v>2</v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>
        <f>IF(COUNTIFS(JournalActions[Joueur],$B8,JournalActions[Action],$G$6,JournalActions[Mi-temps],G$7)=0,"",COUNTIFS(JournalActions[Joueur],$B8,JournalActions[Action],$G$6,JournalActions[Mi-temps],G$7))</f>
        <v>1</v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IF(COUNTIFS(JournalActions[Joueur],$B8,JournalActions[Action],ACT_GRATTAGE_NS,JournalActions[Mi-temps],M$7)=0,"",COUNTIFS(JournalActions[Joueur],$B8,JournalActions[Action],ACT_GRATTAGE_NS,JournalActions[Mi-temps],M$7))</f>
        <v/>
      </c>
      <c r="N8" s="34" t="str">
        <f>IF(COUNTIFS(JournalActions[Joueur],$B8,JournalActions[Action],ACT_GRATTAGE_NS,JournalActions[Mi-temps],N$7)=0,"",COUNTIFS(JournalActions[Joueur],$B8,JournalActions[Action],ACT_GRATTAGE_NS,JournalActions[Mi-temps],N$7))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>
        <f>IF(COUNTIFS(JournalActions[Joueur],$B8,JournalActions[Action],$Q$6,JournalActions[Mi-temps],Q$7)=0,"",COUNTIFS(JournalActions[Joueur],$B8,JournalActions[Action],$Q$6,JournalActions[Mi-temps],Q$7))</f>
        <v>2</v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ABADIE Quentin</v>
      </c>
      <c r="C9" s="28">
        <f>IF(COUNTIFS(JournalActions[Joueur],$B9,JournalActions[Action],$C$6,JournalActions[Mi-temps],C$7)=0,"",COUNTIFS(JournalActions[Joueur],$B9,JournalActions[Action],$C$6,JournalActions[Mi-temps],C$7))</f>
        <v>1</v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IF(COUNTIFS(JournalActions[Joueur],$B9,JournalActions[Action],ACT_GRATTAGE_NS,JournalActions[Mi-temps],M$7)=0,"",COUNTIFS(JournalActions[Joueur],$B9,JournalActions[Action],ACT_GRATTAGE_NS,JournalActions[Mi-temps],M$7))</f>
        <v/>
      </c>
      <c r="N9" s="29" t="str">
        <f>IF(COUNTIFS(JournalActions[Joueur],$B9,JournalActions[Action],ACT_GRATTAGE_NS,JournalActions[Mi-temps],N$7)=0,"",COUNTIFS(JournalActions[Joueur],$B9,JournalActions[Action],ACT_GRATTAGE_NS,JournalActions[Mi-temps],N$7))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>
        <f>IF(COUNTIFS(JournalActions[Joueur],$B9,JournalActions[Action],$Q$6,JournalActions[Mi-temps],Q$7)=0,"",COUNTIFS(JournalActions[Joueur],$B9,JournalActions[Action],$Q$6,JournalActions[Mi-temps],Q$7))</f>
        <v>1</v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ABADIE Thomas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IF(COUNTIFS(JournalActions[Joueur],$B10,JournalActions[Action],ACT_GRATTAGE_NS,JournalActions[Mi-temps],M$7)=0,"",COUNTIFS(JournalActions[Joueur],$B10,JournalActions[Action],ACT_GRATTAGE_NS,JournalActions[Mi-temps],M$7))</f>
        <v/>
      </c>
      <c r="N10" s="29" t="str">
        <f>IF(COUNTIFS(JournalActions[Joueur],$B10,JournalActions[Action],ACT_GRATTAGE_NS,JournalActions[Mi-temps],N$7)=0,"",COUNTIFS(JournalActions[Joueur],$B10,JournalActions[Action],ACT_GRATTAGE_NS,JournalActions[Mi-temps],N$7))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BARATGIN Julian</v>
      </c>
      <c r="C11" s="28">
        <f>IF(COUNTIFS(JournalActions[Joueur],$B11,JournalActions[Action],$C$6,JournalActions[Mi-temps],C$7)=0,"",COUNTIFS(JournalActions[Joueur],$B11,JournalActions[Action],$C$6,JournalActions[Mi-temps],C$7))</f>
        <v>1</v>
      </c>
      <c r="D11" s="29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IF(COUNTIFS(JournalActions[Joueur],$B11,JournalActions[Action],ACT_GRATTAGE_NS,JournalActions[Mi-temps],M$7)=0,"",COUNTIFS(JournalActions[Joueur],$B11,JournalActions[Action],ACT_GRATTAGE_NS,JournalActions[Mi-temps],M$7))</f>
        <v/>
      </c>
      <c r="N11" s="29" t="str">
        <f>IF(COUNTIFS(JournalActions[Joueur],$B11,JournalActions[Action],ACT_GRATTAGE_NS,JournalActions[Mi-temps],N$7)=0,"",COUNTIFS(JournalActions[Joueur],$B11,JournalActions[Action],ACT_GRATTAGE_NS,JournalActions[Mi-temps],N$7))</f>
        <v/>
      </c>
      <c r="O11" s="28">
        <f>IF(COUNTIFS(JournalActions[Joueur],$B11,JournalActions[Action],$O$6,JournalActions[Mi-temps],O$7)=0,"",COUNTIFS(JournalActions[Joueur],$B11,JournalActions[Action],$O$6,JournalActions[Mi-temps],O$7))</f>
        <v>1</v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>
        <f>IF(COUNTIFS(JournalActions[Joueur],$B11,JournalActions[Action],$Q$6,JournalActions[Mi-temps],Q$7)=0,"",COUNTIFS(JournalActions[Joueur],$B11,JournalActions[Action],$Q$6,JournalActions[Mi-temps],Q$7))</f>
        <v>1</v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>
        <f>IF(COUNTIFS(JournalActions[Joueur],$B11,JournalActions[Action],$S$6,JournalActions[Mi-temps],S$7)=0,"",COUNTIFS(JournalActions[Joueur],$B11,JournalActions[Action],$S$6,JournalActions[Mi-temps],S$7))</f>
        <v>2</v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BAUP Bastien</v>
      </c>
      <c r="C12" s="28" t="str">
        <f>IF(COUNTIFS(JournalActions[Joueur],$B12,JournalActions[Action],$C$6,JournalActions[Mi-temps],C$7)=0,"",COUNTIFS(JournalActions[Joueur],$B12,JournalActions[Action],$C$6,JournalActions[Mi-temps],C$7))</f>
        <v/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>
        <f>IF(COUNTIFS(JournalActions[Joueur],$B12,JournalActions[Action],$I$6,JournalActions[Mi-temps],I$7)=0,"",COUNTIFS(JournalActions[Joueur],$B12,JournalActions[Action],$I$6,JournalActions[Mi-temps],I$7))</f>
        <v>1</v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>
        <f>IF(COUNTIFS(JournalActions[Joueur],$B12,JournalActions[Action],$K$6,JournalActions[Mi-temps],K$7)=0,"",COUNTIFS(JournalActions[Joueur],$B12,JournalActions[Action],$K$6,JournalActions[Mi-temps],K$7))</f>
        <v>1</v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IF(COUNTIFS(JournalActions[Joueur],$B12,JournalActions[Action],ACT_GRATTAGE_NS,JournalActions[Mi-temps],M$7)=0,"",COUNTIFS(JournalActions[Joueur],$B12,JournalActions[Action],ACT_GRATTAGE_NS,JournalActions[Mi-temps],M$7))</f>
        <v/>
      </c>
      <c r="N12" s="29" t="str">
        <f>IF(COUNTIFS(JournalActions[Joueur],$B12,JournalActions[Action],ACT_GRATTAGE_NS,JournalActions[Mi-temps],N$7)=0,"",COUNTIFS(JournalActions[Joueur],$B12,JournalActions[Action],ACT_GRATTAGE_NS,JournalActions[Mi-temps],N$7))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>
        <f>IF(COUNTIFS(JournalActions[Joueur],$B12,JournalActions[Action],$S$6,JournalActions[Mi-temps],S$7)=0,"",COUNTIFS(JournalActions[Joueur],$B12,JournalActions[Action],$S$6,JournalActions[Mi-temps],S$7))</f>
        <v>1</v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BAYLE Jean</v>
      </c>
      <c r="C13" s="28">
        <f>IF(COUNTIFS(JournalActions[Joueur],$B13,JournalActions[Action],$C$6,JournalActions[Mi-temps],C$7)=0,"",COUNTIFS(JournalActions[Joueur],$B13,JournalActions[Action],$C$6,JournalActions[Mi-temps],C$7))</f>
        <v>1</v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IF(COUNTIFS(JournalActions[Joueur],$B13,JournalActions[Action],ACT_GRATTAGE_NS,JournalActions[Mi-temps],M$7)=0,"",COUNTIFS(JournalActions[Joueur],$B13,JournalActions[Action],ACT_GRATTAGE_NS,JournalActions[Mi-temps],M$7))</f>
        <v/>
      </c>
      <c r="N13" s="29" t="str">
        <f>IF(COUNTIFS(JournalActions[Joueur],$B13,JournalActions[Action],ACT_GRATTAGE_NS,JournalActions[Mi-temps],N$7)=0,"",COUNTIFS(JournalActions[Joueur],$B13,JournalActions[Action],ACT_GRATTAGE_NS,JournalActions[Mi-temps],N$7))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>
        <f>IF(COUNTIFS(JournalActions[Joueur],$B13,JournalActions[Action],$S$6,JournalActions[Mi-temps],S$7)=0,"",COUNTIFS(JournalActions[Joueur],$B13,JournalActions[Action],$S$6,JournalActions[Mi-temps],S$7))</f>
        <v>4</v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BOURREC Anthony</v>
      </c>
      <c r="C14" s="28">
        <f>IF(COUNTIFS(JournalActions[Joueur],$B14,JournalActions[Action],$C$6,JournalActions[Mi-temps],C$7)=0,"",COUNTIFS(JournalActions[Joueur],$B14,JournalActions[Action],$C$6,JournalActions[Mi-temps],C$7))</f>
        <v>2</v>
      </c>
      <c r="D14" s="29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IF(COUNTIFS(JournalActions[Joueur],$B14,JournalActions[Action],ACT_GRATTAGE_NS,JournalActions[Mi-temps],M$7)=0,"",COUNTIFS(JournalActions[Joueur],$B14,JournalActions[Action],ACT_GRATTAGE_NS,JournalActions[Mi-temps],M$7))</f>
        <v/>
      </c>
      <c r="N14" s="29" t="str">
        <f>IF(COUNTIFS(JournalActions[Joueur],$B14,JournalActions[Action],ACT_GRATTAGE_NS,JournalActions[Mi-temps],N$7)=0,"",COUNTIFS(JournalActions[Joueur],$B14,JournalActions[Action],ACT_GRATTAGE_NS,JournalActions[Mi-temps],N$7))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CESCA Sacha</v>
      </c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IF(COUNTIFS(JournalActions[Joueur],$B15,JournalActions[Action],ACT_GRATTAGE_NS,JournalActions[Mi-temps],M$7)=0,"",COUNTIFS(JournalActions[Joueur],$B15,JournalActions[Action],ACT_GRATTAGE_NS,JournalActions[Mi-temps],M$7))</f>
        <v/>
      </c>
      <c r="N15" s="29" t="str">
        <f>IF(COUNTIFS(JournalActions[Joueur],$B15,JournalActions[Action],ACT_GRATTAGE_NS,JournalActions[Mi-temps],N$7)=0,"",COUNTIFS(JournalActions[Joueur],$B15,JournalActions[Action],ACT_GRATTAGE_NS,JournalActions[Mi-temps],N$7))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COURREGES Romain</v>
      </c>
      <c r="C16" s="28">
        <f>IF(COUNTIFS(JournalActions[Joueur],$B16,JournalActions[Action],$C$6,JournalActions[Mi-temps],C$7)=0,"",COUNTIFS(JournalActions[Joueur],$B16,JournalActions[Action],$C$6,JournalActions[Mi-temps],C$7))</f>
        <v>2</v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>
        <f>IF(COUNTIFS(JournalActions[Joueur],$B16,JournalActions[Action],$K$6,JournalActions[Mi-temps],K$7)=0,"",COUNTIFS(JournalActions[Joueur],$B16,JournalActions[Action],$K$6,JournalActions[Mi-temps],K$7))</f>
        <v>1</v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IF(COUNTIFS(JournalActions[Joueur],$B16,JournalActions[Action],ACT_GRATTAGE_NS,JournalActions[Mi-temps],M$7)=0,"",COUNTIFS(JournalActions[Joueur],$B16,JournalActions[Action],ACT_GRATTAGE_NS,JournalActions[Mi-temps],M$7))</f>
        <v/>
      </c>
      <c r="N16" s="29" t="str">
        <f>IF(COUNTIFS(JournalActions[Joueur],$B16,JournalActions[Action],ACT_GRATTAGE_NS,JournalActions[Mi-temps],N$7)=0,"",COUNTIFS(JournalActions[Joueur],$B16,JournalActions[Action],ACT_GRATTAGE_NS,JournalActions[Mi-temps],N$7))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>
        <f>IF(COUNTIFS(JournalActions[Joueur],$B16,JournalActions[Action],$Q$6,JournalActions[Mi-temps],Q$7)=0,"",COUNTIFS(JournalActions[Joueur],$B16,JournalActions[Action],$Q$6,JournalActions[Mi-temps],Q$7))</f>
        <v>1</v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DALLA ROSA Jonah</v>
      </c>
      <c r="C17" s="28">
        <f>IF(COUNTIFS(JournalActions[Joueur],$B17,JournalActions[Action],$C$6,JournalActions[Mi-temps],C$7)=0,"",COUNTIFS(JournalActions[Joueur],$B17,JournalActions[Action],$C$6,JournalActions[Mi-temps],C$7))</f>
        <v>1</v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>
        <f>IF(COUNTIFS(JournalActions[Joueur],$B17,JournalActions[Action],$I$6,JournalActions[Mi-temps],I$7)=0,"",COUNTIFS(JournalActions[Joueur],$B17,JournalActions[Action],$I$6,JournalActions[Mi-temps],I$7))</f>
        <v>1</v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IF(COUNTIFS(JournalActions[Joueur],$B17,JournalActions[Action],ACT_GRATTAGE_NS,JournalActions[Mi-temps],M$7)=0,"",COUNTIFS(JournalActions[Joueur],$B17,JournalActions[Action],ACT_GRATTAGE_NS,JournalActions[Mi-temps],M$7))</f>
        <v/>
      </c>
      <c r="N17" s="29" t="str">
        <f>IF(COUNTIFS(JournalActions[Joueur],$B17,JournalActions[Action],ACT_GRATTAGE_NS,JournalActions[Mi-temps],N$7)=0,"",COUNTIFS(JournalActions[Joueur],$B17,JournalActions[Action],ACT_GRATTAGE_NS,JournalActions[Mi-temps],N$7))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>
        <f>IF(COUNTIFS(JournalActions[Joueur],$B17,JournalActions[Action],$S$6,JournalActions[Mi-temps],S$7)=0,"",COUNTIFS(JournalActions[Joueur],$B17,JournalActions[Action],$S$6,JournalActions[Mi-temps],S$7))</f>
        <v>2</v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GABRELLE Neot</v>
      </c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IF(COUNTIFS(JournalActions[Joueur],$B18,JournalActions[Action],ACT_GRATTAGE_NS,JournalActions[Mi-temps],M$7)=0,"",COUNTIFS(JournalActions[Joueur],$B18,JournalActions[Action],ACT_GRATTAGE_NS,JournalActions[Mi-temps],M$7))</f>
        <v/>
      </c>
      <c r="N18" s="29" t="str">
        <f>IF(COUNTIFS(JournalActions[Joueur],$B18,JournalActions[Action],ACT_GRATTAGE_NS,JournalActions[Mi-temps],N$7)=0,"",COUNTIFS(JournalActions[Joueur],$B18,JournalActions[Action],ACT_GRATTAGE_NS,JournalActions[Mi-temps],N$7))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JOUNAUX Joris</v>
      </c>
      <c r="C19" s="28">
        <f>IF(COUNTIFS(JournalActions[Joueur],$B19,JournalActions[Action],$C$6,JournalActions[Mi-temps],C$7)=0,"",COUNTIFS(JournalActions[Joueur],$B19,JournalActions[Action],$C$6,JournalActions[Mi-temps],C$7))</f>
        <v>1</v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IF(COUNTIFS(JournalActions[Joueur],$B19,JournalActions[Action],ACT_GRATTAGE_NS,JournalActions[Mi-temps],M$7)=0,"",COUNTIFS(JournalActions[Joueur],$B19,JournalActions[Action],ACT_GRATTAGE_NS,JournalActions[Mi-temps],M$7))</f>
        <v/>
      </c>
      <c r="N19" s="29" t="str">
        <f>IF(COUNTIFS(JournalActions[Joueur],$B19,JournalActions[Action],ACT_GRATTAGE_NS,JournalActions[Mi-temps],N$7)=0,"",COUNTIFS(JournalActions[Joueur],$B19,JournalActions[Action],ACT_GRATTAGE_NS,JournalActions[Mi-temps],N$7))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>
        <f>IF(COUNTIFS(JournalActions[Joueur],$B19,JournalActions[Action],$S$6,JournalActions[Mi-temps],S$7)=0,"",COUNTIFS(JournalActions[Joueur],$B19,JournalActions[Action],$S$6,JournalActions[Mi-temps],S$7))</f>
        <v>1</v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KAPFER Bastien</v>
      </c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IF(COUNTIFS(JournalActions[Joueur],$B20,JournalActions[Action],ACT_GRATTAGE_NS,JournalActions[Mi-temps],M$7)=0,"",COUNTIFS(JournalActions[Joueur],$B20,JournalActions[Action],ACT_GRATTAGE_NS,JournalActions[Mi-temps],M$7))</f>
        <v/>
      </c>
      <c r="N20" s="29" t="str">
        <f>IF(COUNTIFS(JournalActions[Joueur],$B20,JournalActions[Action],ACT_GRATTAGE_NS,JournalActions[Mi-temps],N$7)=0,"",COUNTIFS(JournalActions[Joueur],$B20,JournalActions[Action],ACT_GRATTAGE_NS,JournalActions[Mi-temps],N$7))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>
        <f>IF(COUNTIFS(JournalActions[Joueur],$B20,JournalActions[Action],$Q$6,JournalActions[Mi-temps],Q$7)=0,"",COUNTIFS(JournalActions[Joueur],$B20,JournalActions[Action],$Q$6,JournalActions[Mi-temps],Q$7))</f>
        <v>1</v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LAUDET Jean Baptiste</v>
      </c>
      <c r="C21" s="28">
        <f>IF(COUNTIFS(JournalActions[Joueur],$B21,JournalActions[Action],$C$6,JournalActions[Mi-temps],C$7)=0,"",COUNTIFS(JournalActions[Joueur],$B21,JournalActions[Action],$C$6,JournalActions[Mi-temps],C$7))</f>
        <v>1</v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IF(COUNTIFS(JournalActions[Joueur],$B21,JournalActions[Action],ACT_GRATTAGE_NS,JournalActions[Mi-temps],M$7)=0,"",COUNTIFS(JournalActions[Joueur],$B21,JournalActions[Action],ACT_GRATTAGE_NS,JournalActions[Mi-temps],M$7))</f>
        <v/>
      </c>
      <c r="N21" s="29" t="str">
        <f>IF(COUNTIFS(JournalActions[Joueur],$B21,JournalActions[Action],ACT_GRATTAGE_NS,JournalActions[Mi-temps],N$7)=0,"",COUNTIFS(JournalActions[Joueur],$B21,JournalActions[Action],ACT_GRATTAGE_NS,JournalActions[Mi-temps],N$7))</f>
        <v/>
      </c>
      <c r="O21" s="28">
        <f>IF(COUNTIFS(JournalActions[Joueur],$B21,JournalActions[Action],$O$6,JournalActions[Mi-temps],O$7)=0,"",COUNTIFS(JournalActions[Joueur],$B21,JournalActions[Action],$O$6,JournalActions[Mi-temps],O$7))</f>
        <v>1</v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>
        <f>IF(COUNTIFS(JournalActions[Joueur],$B21,JournalActions[Action],$Q$6,JournalActions[Mi-temps],Q$7)=0,"",COUNTIFS(JournalActions[Joueur],$B21,JournalActions[Action],$Q$6,JournalActions[Mi-temps],Q$7))</f>
        <v>2</v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>
        <f>IF(COUNTIFS(JournalActions[Joueur],$B21,JournalActions[Action],$S$6,JournalActions[Mi-temps],S$7)=0,"",COUNTIFS(JournalActions[Joueur],$B21,JournalActions[Action],$S$6,JournalActions[Mi-temps],S$7))</f>
        <v>1</v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LOUREIRO LABAZUY Antonio</v>
      </c>
      <c r="C22" s="28">
        <f>IF(COUNTIFS(JournalActions[Joueur],$B22,JournalActions[Action],$C$6,JournalActions[Mi-temps],C$7)=0,"",COUNTIFS(JournalActions[Joueur],$B22,JournalActions[Action],$C$6,JournalActions[Mi-temps],C$7))</f>
        <v>4</v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IF(COUNTIFS(JournalActions[Joueur],$B22,JournalActions[Action],ACT_GRATTAGE_NS,JournalActions[Mi-temps],M$7)=0,"",COUNTIFS(JournalActions[Joueur],$B22,JournalActions[Action],ACT_GRATTAGE_NS,JournalActions[Mi-temps],M$7))</f>
        <v/>
      </c>
      <c r="N22" s="29" t="str">
        <f>IF(COUNTIFS(JournalActions[Joueur],$B22,JournalActions[Action],ACT_GRATTAGE_NS,JournalActions[Mi-temps],N$7)=0,"",COUNTIFS(JournalActions[Joueur],$B22,JournalActions[Action],ACT_GRATTAGE_NS,JournalActions[Mi-temps],N$7))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>
        <f>IF(COUNTIFS(JournalActions[Joueur],$B22,JournalActions[Action],$S$6,JournalActions[Mi-temps],S$7)=0,"",COUNTIFS(JournalActions[Joueur],$B22,JournalActions[Action],$S$6,JournalActions[Mi-temps],S$7))</f>
        <v>1</v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MICHELIN Paul</v>
      </c>
      <c r="C23" s="28">
        <f>IF(COUNTIFS(JournalActions[Joueur],$B23,JournalActions[Action],$C$6,JournalActions[Mi-temps],C$7)=0,"",COUNTIFS(JournalActions[Joueur],$B23,JournalActions[Action],$C$6,JournalActions[Mi-temps],C$7))</f>
        <v>2</v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>
        <f>IF(COUNTIFS(JournalActions[Joueur],$B23,JournalActions[Action],$E$6,JournalActions[Mi-temps],E$7)=0,"",COUNTIFS(JournalActions[Joueur],$B23,JournalActions[Action],$E$6,JournalActions[Mi-temps],E$7))</f>
        <v>1</v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IF(COUNTIFS(JournalActions[Joueur],$B23,JournalActions[Action],ACT_GRATTAGE_NS,JournalActions[Mi-temps],M$7)=0,"",COUNTIFS(JournalActions[Joueur],$B23,JournalActions[Action],ACT_GRATTAGE_NS,JournalActions[Mi-temps],M$7))</f>
        <v/>
      </c>
      <c r="N23" s="29" t="str">
        <f>IF(COUNTIFS(JournalActions[Joueur],$B23,JournalActions[Action],ACT_GRATTAGE_NS,JournalActions[Mi-temps],N$7)=0,"",COUNTIFS(JournalActions[Joueur],$B23,JournalActions[Action],ACT_GRATTAGE_NS,JournalActions[Mi-temps],N$7))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>
        <f>IF(COUNTIFS(JournalActions[Joueur],$B23,JournalActions[Action],$S$6,JournalActions[Mi-temps],S$7)=0,"",COUNTIFS(JournalActions[Joueur],$B23,JournalActions[Action],$S$6,JournalActions[Mi-temps],S$7))</f>
        <v>4</v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MOUDENS Alexis</v>
      </c>
      <c r="C24" s="28">
        <f>IF(COUNTIFS(JournalActions[Joueur],$B24,JournalActions[Action],$C$6,JournalActions[Mi-temps],C$7)=0,"",COUNTIFS(JournalActions[Joueur],$B24,JournalActions[Action],$C$6,JournalActions[Mi-temps],C$7))</f>
        <v>1</v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IF(COUNTIFS(JournalActions[Joueur],$B24,JournalActions[Action],ACT_GRATTAGE_NS,JournalActions[Mi-temps],M$7)=0,"",COUNTIFS(JournalActions[Joueur],$B24,JournalActions[Action],ACT_GRATTAGE_NS,JournalActions[Mi-temps],M$7))</f>
        <v/>
      </c>
      <c r="N24" s="29" t="str">
        <f>IF(COUNTIFS(JournalActions[Joueur],$B24,JournalActions[Action],ACT_GRATTAGE_NS,JournalActions[Mi-temps],N$7)=0,"",COUNTIFS(JournalActions[Joueur],$B24,JournalActions[Action],ACT_GRATTAGE_NS,JournalActions[Mi-temps],N$7))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>
        <f>IF(COUNTIFS(JournalActions[Joueur],$B24,JournalActions[Action],$Q$6,JournalActions[Mi-temps],Q$7)=0,"",COUNTIFS(JournalActions[Joueur],$B24,JournalActions[Action],$Q$6,JournalActions[Mi-temps],Q$7))</f>
        <v>1</v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MULLIER Victor</v>
      </c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IF(COUNTIFS(JournalActions[Joueur],$B25,JournalActions[Action],ACT_GRATTAGE_NS,JournalActions[Mi-temps],M$7)=0,"",COUNTIFS(JournalActions[Joueur],$B25,JournalActions[Action],ACT_GRATTAGE_NS,JournalActions[Mi-temps],M$7))</f>
        <v/>
      </c>
      <c r="N25" s="29" t="str">
        <f>IF(COUNTIFS(JournalActions[Joueur],$B25,JournalActions[Action],ACT_GRATTAGE_NS,JournalActions[Mi-temps],N$7)=0,"",COUNTIFS(JournalActions[Joueur],$B25,JournalActions[Action],ACT_GRATTAGE_NS,JournalActions[Mi-temps],N$7))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RICHIARDONNE Gregory</v>
      </c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IF(COUNTIFS(JournalActions[Joueur],$B26,JournalActions[Action],ACT_GRATTAGE_NS,JournalActions[Mi-temps],M$7)=0,"",COUNTIFS(JournalActions[Joueur],$B26,JournalActions[Action],ACT_GRATTAGE_NS,JournalActions[Mi-temps],M$7))</f>
        <v/>
      </c>
      <c r="N26" s="29" t="str">
        <f>IF(COUNTIFS(JournalActions[Joueur],$B26,JournalActions[Action],ACT_GRATTAGE_NS,JournalActions[Mi-temps],N$7)=0,"",COUNTIFS(JournalActions[Joueur],$B26,JournalActions[Action],ACT_GRATTAGE_NS,JournalActions[Mi-temps],N$7))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ROUSSEL Mathis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IF(COUNTIFS(JournalActions[Joueur],$B27,JournalActions[Action],ACT_GRATTAGE_NS,JournalActions[Mi-temps],M$7)=0,"",COUNTIFS(JournalActions[Joueur],$B27,JournalActions[Action],ACT_GRATTAGE_NS,JournalActions[Mi-temps],M$7))</f>
        <v/>
      </c>
      <c r="N27" s="29" t="str">
        <f>IF(COUNTIFS(JournalActions[Joueur],$B27,JournalActions[Action],ACT_GRATTAGE_NS,JournalActions[Mi-temps],N$7)=0,"",COUNTIFS(JournalActions[Joueur],$B27,JournalActions[Action],ACT_GRATTAGE_NS,JournalActions[Mi-temps],N$7))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 t="str">
        <v>SALLES Fabien</v>
      </c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>
        <f>IF(COUNTIFS(JournalActions[Joueur],$B28,JournalActions[Action],$K$6,JournalActions[Mi-temps],K$7)=0,"",COUNTIFS(JournalActions[Joueur],$B28,JournalActions[Action],$K$6,JournalActions[Mi-temps],K$7))</f>
        <v>1</v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IF(COUNTIFS(JournalActions[Joueur],$B28,JournalActions[Action],ACT_GRATTAGE_NS,JournalActions[Mi-temps],M$7)=0,"",COUNTIFS(JournalActions[Joueur],$B28,JournalActions[Action],ACT_GRATTAGE_NS,JournalActions[Mi-temps],M$7))</f>
        <v/>
      </c>
      <c r="N28" s="29" t="str">
        <f>IF(COUNTIFS(JournalActions[Joueur],$B28,JournalActions[Action],ACT_GRATTAGE_NS,JournalActions[Mi-temps],N$7)=0,"",COUNTIFS(JournalActions[Joueur],$B28,JournalActions[Action],ACT_GRATTAGE_NS,JournalActions[Mi-temps],N$7))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>
        <f>IF(COUNTIFS(JournalActions[Joueur],$B28,JournalActions[Action],$S$6,JournalActions[Mi-temps],S$7)=0,"",COUNTIFS(JournalActions[Joueur],$B28,JournalActions[Action],$S$6,JournalActions[Mi-temps],S$7))</f>
        <v>3</v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 t="str">
        <v>SOUVILLE Quentin</v>
      </c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IF(COUNTIFS(JournalActions[Joueur],$B29,JournalActions[Action],ACT_GRATTAGE_NS,JournalActions[Mi-temps],M$7)=0,"",COUNTIFS(JournalActions[Joueur],$B29,JournalActions[Action],ACT_GRATTAGE_NS,JournalActions[Mi-temps],M$7))</f>
        <v/>
      </c>
      <c r="N29" s="29" t="str">
        <f>IF(COUNTIFS(JournalActions[Joueur],$B29,JournalActions[Action],ACT_GRATTAGE_NS,JournalActions[Mi-temps],N$7)=0,"",COUNTIFS(JournalActions[Joueur],$B29,JournalActions[Action],ACT_GRATTAGE_NS,JournalActions[Mi-temps],N$7))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IF(COUNTIFS(JournalActions[Joueur],$B30,JournalActions[Action],ACT_GRATTAGE_NS,JournalActions[Mi-temps],M$7)=0,"",COUNTIFS(JournalActions[Joueur],$B30,JournalActions[Action],ACT_GRATTAGE_NS,JournalActions[Mi-temps],M$7))</f>
        <v/>
      </c>
      <c r="N30" s="29" t="str">
        <f>IF(COUNTIFS(JournalActions[Joueur],$B30,JournalActions[Action],ACT_GRATTAGE_NS,JournalActions[Mi-temps],N$7)=0,"",COUNTIFS(JournalActions[Joueur],$B30,JournalActions[Action],ACT_GRATTAGE_NS,JournalActions[Mi-temps],N$7))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 t="str">
        <f>IF(COUNTIFS(JournalActions[Joueur],$B31,JournalActions[Action],$C$6,JournalActions[Mi-temps],D$7)=0,"",COUNTIFS(JournalActions[Joueur],$B31,JournalActions[Action],$C$6,JournalActions[Mi-temps],D$7))</f>
        <v/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>
        <f>IF(COUNTIFS(JournalActions[Joueur],$B31,JournalActions[Action],$G$6,JournalActions[Mi-temps],G$7)=0,"",COUNTIFS(JournalActions[Joueur],$B31,JournalActions[Action],$G$6,JournalActions[Mi-temps],G$7))</f>
        <v>1</v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IF(COUNTIFS(JournalActions[Joueur],$B31,JournalActions[Action],ACT_GRATTAGE_NS,JournalActions[Mi-temps],M$7)=0,"",COUNTIFS(JournalActions[Joueur],$B31,JournalActions[Action],ACT_GRATTAGE_NS,JournalActions[Mi-temps],M$7))</f>
        <v/>
      </c>
      <c r="N31" s="31" t="str">
        <f>IF(COUNTIFS(JournalActions[Joueur],$B31,JournalActions[Action],ACT_GRATTAGE_NS,JournalActions[Mi-temps],N$7)=0,"",COUNTIFS(JournalActions[Joueur],$B31,JournalActions[Action],ACT_GRATTAGE_NS,JournalActions[Mi-temps],N$7))</f>
        <v/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 t="str">
        <f>IF(COUNTIFS(JournalActions[Joueur],$B31,JournalActions[Action],$Q$6,JournalActions[Mi-temps],R$7)=0,"",COUNTIFS(JournalActions[Joueur],$B31,JournalActions[Action],$Q$6,JournalActions[Mi-temps],R$7))</f>
        <v/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2" t="s">
        <v>176</v>
      </c>
      <c r="C32" s="53">
        <f>SUM(C8:C31)</f>
        <v>18</v>
      </c>
      <c r="D32" s="54">
        <f t="shared" ref="D32:Z32" si="0">SUM(D8:D31)</f>
        <v>0</v>
      </c>
      <c r="E32" s="53">
        <f t="shared" si="0"/>
        <v>3</v>
      </c>
      <c r="F32" s="54">
        <f t="shared" si="0"/>
        <v>0</v>
      </c>
      <c r="G32" s="53">
        <f t="shared" si="0"/>
        <v>2</v>
      </c>
      <c r="H32" s="54">
        <f t="shared" si="0"/>
        <v>0</v>
      </c>
      <c r="I32" s="53">
        <f t="shared" si="0"/>
        <v>2</v>
      </c>
      <c r="J32" s="54">
        <f t="shared" si="0"/>
        <v>0</v>
      </c>
      <c r="K32" s="53">
        <f t="shared" si="0"/>
        <v>3</v>
      </c>
      <c r="L32" s="54">
        <f t="shared" si="0"/>
        <v>0</v>
      </c>
      <c r="M32" s="53">
        <f t="shared" si="0"/>
        <v>0</v>
      </c>
      <c r="N32" s="54">
        <f t="shared" si="0"/>
        <v>0</v>
      </c>
      <c r="O32" s="53">
        <f t="shared" ref="O32:P32" si="1">SUM(O8:O31)</f>
        <v>2</v>
      </c>
      <c r="P32" s="54">
        <f t="shared" si="1"/>
        <v>0</v>
      </c>
      <c r="Q32" s="53">
        <f t="shared" ref="Q32:T32" si="2">SUM(Q8:Q31)</f>
        <v>9</v>
      </c>
      <c r="R32" s="54">
        <f t="shared" si="2"/>
        <v>0</v>
      </c>
      <c r="S32" s="53">
        <f t="shared" si="2"/>
        <v>19</v>
      </c>
      <c r="T32" s="54">
        <f t="shared" si="2"/>
        <v>0</v>
      </c>
      <c r="U32" s="204">
        <f t="shared" si="0"/>
        <v>0</v>
      </c>
      <c r="V32" s="204">
        <f t="shared" si="0"/>
        <v>0</v>
      </c>
      <c r="W32" s="204">
        <f t="shared" si="0"/>
        <v>0</v>
      </c>
      <c r="X32" s="204">
        <f t="shared" si="0"/>
        <v>0</v>
      </c>
      <c r="Y32" s="204">
        <f t="shared" si="0"/>
        <v>0</v>
      </c>
      <c r="Z32" s="204">
        <f t="shared" si="0"/>
        <v>0</v>
      </c>
    </row>
    <row r="33" spans="2:33" s="41" customFormat="1" ht="25" customHeight="1">
      <c r="B33" s="55" t="s">
        <v>175</v>
      </c>
      <c r="C33" s="208">
        <f>C32+D32</f>
        <v>18</v>
      </c>
      <c r="D33" s="209"/>
      <c r="E33" s="210">
        <f t="shared" ref="E33" si="3">E32+F32</f>
        <v>3</v>
      </c>
      <c r="F33" s="210"/>
      <c r="G33" s="208">
        <f t="shared" ref="G33" si="4">G32+H32</f>
        <v>2</v>
      </c>
      <c r="H33" s="209"/>
      <c r="I33" s="208">
        <f>I32+J32</f>
        <v>2</v>
      </c>
      <c r="J33" s="209"/>
      <c r="K33" s="208">
        <f t="shared" ref="K33" si="5">K32+L32</f>
        <v>3</v>
      </c>
      <c r="L33" s="209"/>
      <c r="M33" s="210">
        <f t="shared" ref="M33" si="6">M32+N32</f>
        <v>0</v>
      </c>
      <c r="N33" s="209"/>
      <c r="O33" s="210">
        <f t="shared" ref="O33" si="7">O32+P32</f>
        <v>2</v>
      </c>
      <c r="P33" s="209"/>
      <c r="Q33" s="210">
        <f t="shared" ref="Q33" si="8">Q32+R32</f>
        <v>9</v>
      </c>
      <c r="R33" s="209"/>
      <c r="S33" s="210">
        <f t="shared" ref="S33" si="9">S32+T32</f>
        <v>19</v>
      </c>
      <c r="T33" s="209"/>
      <c r="U33" s="205"/>
      <c r="V33" s="205"/>
      <c r="W33" s="205"/>
      <c r="X33" s="205"/>
      <c r="Y33" s="205"/>
      <c r="Z33" s="205"/>
    </row>
    <row r="34" spans="2:33" s="3" customFormat="1"/>
    <row r="35" spans="2:33" s="3" customFormat="1"/>
    <row r="36" spans="2:33" ht="14">
      <c r="B36" s="56" t="s">
        <v>145</v>
      </c>
      <c r="C36" s="56" t="s">
        <v>210</v>
      </c>
      <c r="D36" s="107" t="s">
        <v>144</v>
      </c>
      <c r="E36" s="57" t="s">
        <v>473</v>
      </c>
      <c r="F36" s="3"/>
      <c r="G36" s="56" t="s">
        <v>582</v>
      </c>
      <c r="H36" s="149" t="s">
        <v>46</v>
      </c>
      <c r="I36" s="48" t="s">
        <v>44</v>
      </c>
      <c r="J36" s="3"/>
      <c r="K36" s="3"/>
      <c r="L36" s="200" t="s">
        <v>28</v>
      </c>
      <c r="M36" s="200" t="s">
        <v>147</v>
      </c>
      <c r="N36" s="212"/>
      <c r="O36" s="198"/>
      <c r="P36" s="198" t="s">
        <v>171</v>
      </c>
      <c r="Q36" s="3"/>
      <c r="R36" s="3"/>
      <c r="S36" s="3"/>
      <c r="T36" s="3"/>
      <c r="AE36"/>
      <c r="AF36"/>
      <c r="AG36"/>
    </row>
    <row r="37" spans="2:33" ht="14">
      <c r="B37" s="36" t="s">
        <v>142</v>
      </c>
      <c r="C37" s="36">
        <f>COUNTIFS(JournalActions[Action],ACT_TO_NS_G,JournalActions[Mi-temps],"MT1")</f>
        <v>4</v>
      </c>
      <c r="D37" s="105">
        <f>COUNTIFS(JournalActions[Action],ACT_TO_NS_P,JournalActions[Mi-temps],"MT1")</f>
        <v>1</v>
      </c>
      <c r="E37" s="37">
        <f>COUNTIFS(JournalActions[Action],ACT_TO_NS_PAS_DROIT,JournalActions[Mi-temps],"MT1")</f>
        <v>1</v>
      </c>
      <c r="F37" s="3"/>
      <c r="G37" s="36" t="s">
        <v>147</v>
      </c>
      <c r="H37" s="163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15</v>
      </c>
      <c r="I37" s="164">
        <f>5*COUNTIFS(JournalActions[Action],ACT_PTS_ESSAI,JournalActions[Possession],"Nous",JournalActions[Mi-temps],"MT2")
+2*COUNTIFS(JournalActions[Action],ACT_PTS_TRANSFO,JournalActions[Possession],"Nous",JournalActions[Mi-temps],"MT2")
+3*COUNTIFS(JournalActions[Action],ACT_PTS_PENALITE,JournalActions[Possession],"Nous",JournalActions[Mi-temps],"MT2")
+3*COUNTIFS(JournalActions[Action],ACT_PTS_DROP,JournalActions[Possession],"Nous",JournalActions[Mi-temps],"MT2")
+7*COUNTIFS(JournalActions[Action],ACT_PTS_ESSAI_PEN,JournalActions[Possession],"Nous",JournalActions[Mi-temps],"MT2")</f>
        <v>0</v>
      </c>
      <c r="J37" s="3"/>
      <c r="K37" s="3"/>
      <c r="L37" s="211"/>
      <c r="M37" s="70" t="s">
        <v>153</v>
      </c>
      <c r="N37" s="66" t="s">
        <v>170</v>
      </c>
      <c r="O37" s="71" t="s">
        <v>32</v>
      </c>
      <c r="P37" s="199"/>
      <c r="Q37" s="3"/>
      <c r="R37" s="3"/>
      <c r="S37" s="3"/>
      <c r="T37" s="3"/>
      <c r="AE37"/>
      <c r="AF37"/>
      <c r="AG37"/>
    </row>
    <row r="38" spans="2:33">
      <c r="B38" s="11" t="s">
        <v>172</v>
      </c>
      <c r="C38" s="11">
        <f>COUNTIFS(JournalActions[Action],ACT_TO_ADV_PERDUE,JournalActions[Mi-temps],"MT1")</f>
        <v>4</v>
      </c>
      <c r="D38" s="106">
        <f>COUNTIFS(JournalActions[Action],ACT_TO_ADV_VOLEE,JournalActions[Mi-temps],"MT1")</f>
        <v>0</v>
      </c>
      <c r="E38" s="12">
        <f>COUNTIFS(JournalActions[Action],ACT_TO_ADV_PAS_DROIT,JournalActions[Mi-temps],"MT1")</f>
        <v>1</v>
      </c>
      <c r="F38" s="3"/>
      <c r="G38" s="11" t="s">
        <v>148</v>
      </c>
      <c r="H38" s="1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13</v>
      </c>
      <c r="I38" s="12">
        <f>5*COUNTIFS(JournalActions[Action],ACT_PTS_ESSAI,JournalActions[Possession],"Adv",JournalActions[Mi-temps],"MT2")
+2*COUNTIFS(JournalActions[Action],ACT_PTS_TRANSFO,JournalActions[Possession],"Adv",JournalActions[Mi-temps],"MT2")
+3*COUNTIFS(JournalActions[Action],ACT_PTS_PENALITE,JournalActions[Possession],"Adv",JournalActions[Mi-temps],"MT2")
+3*COUNTIFS(JournalActions[Action],ACT_PTS_DROP,JournalActions[Possession],"Adv",JournalActions[Mi-temps],"MT2")
+7*COUNTIFS(JournalActions[Action],ACT_PTS_ESSAI_PEN,JournalActions[Possession],"Adv",JournalActions[Mi-temps],"MT2")</f>
        <v>0</v>
      </c>
      <c r="J38" s="3"/>
      <c r="K38" s="3"/>
      <c r="L38" s="33" t="s">
        <v>46</v>
      </c>
      <c r="M38" s="68">
        <f>COUNTIFS(JournalActions[Action],ACT_PEN_CONTRE_NOUS,JournalActions[Mi-temps],"MT1",JournalActions[Groupe fautif],"Avant*")</f>
        <v>3</v>
      </c>
      <c r="N38" s="29">
        <f>COUNTIFS(JournalActions[Action],ACT_PEN_CONTRE_NOUS,JournalActions[Mi-temps],"MT1",JournalActions[Groupe fautif],"Trois-quarts*")</f>
        <v>2</v>
      </c>
      <c r="O38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P38" s="34">
        <f>COUNTIFS(JournalActions[Action],ACT_PEN_CONTRE_ADV,JournalActions[Mi-temps],"MT1")</f>
        <v>7</v>
      </c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3"/>
      <c r="K39" s="3"/>
      <c r="L39" s="11" t="s">
        <v>44</v>
      </c>
      <c r="M39" s="62">
        <f>COUNTIFS(JournalActions[Action],ACT_PEN_CONTRE_NOUS,JournalActions[Mi-temps],"MT2",JournalActions[Groupe fautif],"Avant")</f>
        <v>0</v>
      </c>
      <c r="N39" s="12">
        <f>COUNTIFS(JournalActions[Action],ACT_PEN_CONTRE_NOUS,JournalActions[Mi-temps],"MT2",JournalActions[Groupe fautif],"Trois-quarts*")</f>
        <v>0</v>
      </c>
      <c r="O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39" s="12">
        <f>COUNTIFS(JournalActions[Action],ACT_PEN_CONTRE_ADV,JournalActions[Mi-temps],"MT2")</f>
        <v>0</v>
      </c>
      <c r="Q39" s="3"/>
      <c r="R39" s="3"/>
      <c r="S39" s="3"/>
      <c r="T39" s="3"/>
      <c r="AE39"/>
      <c r="AF39"/>
      <c r="AG39"/>
    </row>
    <row r="40" spans="2:33" ht="14">
      <c r="B40" s="56" t="s">
        <v>146</v>
      </c>
      <c r="C40" s="56" t="s">
        <v>210</v>
      </c>
      <c r="D40" s="107" t="s">
        <v>144</v>
      </c>
      <c r="E40" s="57" t="s">
        <v>473</v>
      </c>
      <c r="F40" s="3"/>
      <c r="G40" s="200" t="s">
        <v>149</v>
      </c>
      <c r="H40" s="198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142</v>
      </c>
      <c r="C41" s="36">
        <f>COUNTIFS(JournalActions[Action],ACT_TO_NS_G,JournalActions[Mi-temps],"MT2")</f>
        <v>0</v>
      </c>
      <c r="D41" s="105">
        <f>COUNTIFS(JournalActions[Action],ACT_TO_NS_P,JournalActions[Mi-temps],"MT2")</f>
        <v>0</v>
      </c>
      <c r="E41" s="37">
        <f>COUNTIFS(JournalActions[Action],ACT_TO_NS_PAS_DROIT,JournalActions[Mi-temps],"MT2")</f>
        <v>0</v>
      </c>
      <c r="F41" s="3"/>
      <c r="G41" s="36" t="s">
        <v>147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15</v>
      </c>
      <c r="I41" s="3"/>
      <c r="J41" s="3"/>
      <c r="K41" s="3"/>
      <c r="L41" s="58" t="s">
        <v>0</v>
      </c>
      <c r="M41" s="59"/>
      <c r="N41" s="60" t="s">
        <v>147</v>
      </c>
      <c r="O41" s="48" t="s">
        <v>171</v>
      </c>
      <c r="P41" s="3"/>
      <c r="Q41" s="3"/>
      <c r="R41" s="3"/>
      <c r="S41" s="3"/>
      <c r="T41" s="3"/>
    </row>
    <row r="42" spans="2:33">
      <c r="B42" s="11" t="s">
        <v>172</v>
      </c>
      <c r="C42" s="11">
        <f>COUNTIFS(JournalActions[Action],ACT_TO_ADV_PERDUE,JournalActions[Mi-temps],"MT2")</f>
        <v>0</v>
      </c>
      <c r="D42" s="106">
        <f>COUNTIFS(JournalActions[Action],ACT_TO_ADV_VOLEE,JournalActions[Mi-temps],"MT2")</f>
        <v>0</v>
      </c>
      <c r="E42" s="12">
        <f>COUNTIFS(JournalActions[Action],ACT_TO_ADV_PAS_DROIT,JournalActions[Mi-temps],"MT2")</f>
        <v>0</v>
      </c>
      <c r="F42" s="3"/>
      <c r="G42" s="11" t="s">
        <v>148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13</v>
      </c>
      <c r="I42" s="3"/>
      <c r="J42" s="3"/>
      <c r="K42" s="3"/>
      <c r="L42" s="206" t="s">
        <v>1</v>
      </c>
      <c r="M42" s="207"/>
      <c r="N42" s="38">
        <f>COUNTIFS(JournalActions[Action],ACT_PEN_CONTRE_NOUS,JournalActions[Motif penalite],"Maul*")</f>
        <v>0</v>
      </c>
      <c r="O42" s="38">
        <f>COUNTIFS(JournalActions[Action],ACT_PEN_CONTRE_ADV,JournalActions[Motif penalite],"Maul*")</f>
        <v>1</v>
      </c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3"/>
      <c r="K43" s="3"/>
      <c r="L43" s="215" t="s">
        <v>2</v>
      </c>
      <c r="M43" s="216"/>
      <c r="N43" s="13">
        <f>COUNTIFS(JournalActions[Action],ACT_PEN_CONTRE_NOUS,JournalActions[Motif penalite],"Ruck*")</f>
        <v>2</v>
      </c>
      <c r="O43" s="13">
        <f>COUNTIFS(JournalActions[Action],ACT_PEN_CONTRE_ADV,JournalActions[Motif penalite],"Ruck*")</f>
        <v>1</v>
      </c>
      <c r="P43" s="3"/>
      <c r="Q43" s="3"/>
      <c r="R43" s="3"/>
      <c r="S43" s="3"/>
      <c r="T43" s="3"/>
    </row>
    <row r="44" spans="2:33" ht="14">
      <c r="B44" s="56" t="s">
        <v>232</v>
      </c>
      <c r="C44" s="56" t="s">
        <v>210</v>
      </c>
      <c r="D44" s="57" t="s">
        <v>144</v>
      </c>
      <c r="E44" s="3"/>
      <c r="F44" s="3"/>
      <c r="G44" s="149" t="s">
        <v>556</v>
      </c>
      <c r="H44" s="153" t="s">
        <v>47</v>
      </c>
      <c r="I44" s="148" t="s">
        <v>557</v>
      </c>
      <c r="J44" s="155" t="s">
        <v>236</v>
      </c>
      <c r="K44" s="3"/>
      <c r="L44" s="206" t="s">
        <v>3</v>
      </c>
      <c r="M44" s="207"/>
      <c r="N44" s="38">
        <f>COUNTIFS(JournalActions[Action],ACT_PEN_CONTRE_NOUS,JournalActions[Motif penalite],"Hors-jeu")</f>
        <v>0</v>
      </c>
      <c r="O44" s="38">
        <f>COUNTIFS(JournalActions[Action],ACT_PEN_CONTRE_ADV,JournalActions[Motif penalite],"Hors-jeu")</f>
        <v>3</v>
      </c>
      <c r="P44" s="3"/>
      <c r="Q44" s="3"/>
      <c r="R44" s="3"/>
      <c r="S44" s="3"/>
      <c r="T44" s="3"/>
    </row>
    <row r="45" spans="2:33">
      <c r="B45" s="36" t="s">
        <v>142</v>
      </c>
      <c r="C45" s="36">
        <f>COUNTIFS(JournalActions[Action],ACT_ME_NS_G,JournalActions[Mi-temps],"MT1")</f>
        <v>1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150">
        <v>0</v>
      </c>
      <c r="I45" s="77">
        <v>0</v>
      </c>
      <c r="J45" s="77">
        <v>8.7376084374999989E-3</v>
      </c>
      <c r="K45" s="3"/>
      <c r="L45" s="215" t="s">
        <v>4</v>
      </c>
      <c r="M45" s="216"/>
      <c r="N45" s="13">
        <f>COUNTIFS(JournalActions[Action],ACT_PEN_CONTRE_NOUS,JournalActions[Motif penalite],"Plaquage - à 2")</f>
        <v>1</v>
      </c>
      <c r="O45" s="13">
        <f>COUNTIFS(JournalActions[Action],ACT_PEN_CONTRE_ADV,JournalActions[Motif penalite],"Plaquage - à 2")</f>
        <v>0</v>
      </c>
      <c r="P45" s="3"/>
      <c r="Q45" s="3"/>
      <c r="R45" s="3"/>
      <c r="S45" s="3"/>
      <c r="T45" s="3"/>
    </row>
    <row r="46" spans="2:33">
      <c r="B46" s="11" t="s">
        <v>172</v>
      </c>
      <c r="C46" s="11">
        <f>COUNTIFS(JournalActions[Action],ACT_ME_ADV_P,JournalActions[Mi-temps],"MT1")</f>
        <v>2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151">
        <v>0</v>
      </c>
      <c r="I46" s="78">
        <v>0</v>
      </c>
      <c r="J46" s="78">
        <v>0</v>
      </c>
      <c r="K46" s="3"/>
      <c r="L46" s="206" t="s">
        <v>5</v>
      </c>
      <c r="M46" s="207"/>
      <c r="N46" s="38">
        <f>COUNTIFS(JournalActions[Action],ACT_PEN_CONTRE_NOUS,JournalActions[Motif penalite],"Plaquage - haut")</f>
        <v>1</v>
      </c>
      <c r="O46" s="38">
        <f>COUNTIFS(JournalActions[Action],ACT_PEN_CONTRE_ADV,JournalActions[Motif penalite],"Plaquage - haut")</f>
        <v>2</v>
      </c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154" t="s">
        <v>236</v>
      </c>
      <c r="H47" s="152">
        <v>0</v>
      </c>
      <c r="I47" s="79">
        <v>0</v>
      </c>
      <c r="J47" s="79">
        <v>8.7376084374999989E-3</v>
      </c>
      <c r="K47" s="3"/>
      <c r="L47" s="215" t="s">
        <v>167</v>
      </c>
      <c r="M47" s="216"/>
      <c r="N47" s="13">
        <f>COUNTIF(JournalActions[Action],ACT_PEN_CONTRE_NOUS)-SUM(N42:N46)</f>
        <v>1</v>
      </c>
      <c r="O47" s="13">
        <f>COUNTIF(JournalActions[Action],ACT_PEN_CONTRE_ADV)-SUM(O42:O46)</f>
        <v>0</v>
      </c>
      <c r="P47" s="3"/>
      <c r="Q47" s="3"/>
      <c r="R47" s="3"/>
      <c r="S47" s="3"/>
      <c r="T47" s="3"/>
    </row>
    <row r="48" spans="2:33" ht="14">
      <c r="B48" s="56" t="s">
        <v>233</v>
      </c>
      <c r="C48" s="56" t="s">
        <v>210</v>
      </c>
      <c r="D48" s="57" t="s">
        <v>144</v>
      </c>
      <c r="E48" s="3"/>
      <c r="F48" s="3"/>
      <c r="G48" s="3"/>
      <c r="H48" s="3"/>
      <c r="I48" s="3"/>
      <c r="J48" s="3"/>
      <c r="K48" s="3"/>
      <c r="L48" s="40" t="s">
        <v>6</v>
      </c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142</v>
      </c>
      <c r="C49" s="36">
        <f>COUNTIFS(JournalActions[Action],ACT_ME_NS_G,JournalActions[Mi-temps],"MT2")</f>
        <v>0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J49" s="3"/>
      <c r="K49" s="3"/>
      <c r="L49" s="3"/>
      <c r="M49" s="39"/>
      <c r="N49" s="3"/>
      <c r="O49" s="3"/>
      <c r="P49" s="3"/>
      <c r="Q49" s="3"/>
      <c r="R49" s="3"/>
      <c r="S49" s="3"/>
      <c r="T49" s="3"/>
    </row>
    <row r="50" spans="2:20">
      <c r="B50" s="11" t="s">
        <v>172</v>
      </c>
      <c r="C50" s="11">
        <f>COUNTIFS(JournalActions[Action],ACT_ME_ADV_P,JournalActions[Mi-temps],"MT2")</f>
        <v>0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30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A1 : MXV / US Portet Première - Touches et possession</v>
      </c>
      <c r="C56" s="231"/>
      <c r="D56" s="231"/>
      <c r="E56" s="231"/>
      <c r="F56" s="231"/>
      <c r="G56" s="231"/>
      <c r="H56" s="231"/>
      <c r="I56" s="231"/>
      <c r="J56" s="231"/>
      <c r="K56" s="232"/>
      <c r="L56" s="124"/>
      <c r="M56" s="124"/>
      <c r="N56" s="124"/>
      <c r="O56" s="124"/>
      <c r="P56" s="124"/>
      <c r="Q56" s="124"/>
      <c r="R56" s="124"/>
      <c r="S56" s="124"/>
      <c r="T56" s="124"/>
    </row>
    <row r="57" spans="2:20" s="3" customFormat="1" ht="13" customHeight="1">
      <c r="B57" s="233"/>
      <c r="C57" s="234"/>
      <c r="D57" s="234"/>
      <c r="E57" s="234"/>
      <c r="F57" s="234"/>
      <c r="G57" s="234"/>
      <c r="H57" s="234"/>
      <c r="I57" s="234"/>
      <c r="J57" s="234"/>
      <c r="K57" s="235"/>
      <c r="L57" s="124"/>
      <c r="M57" s="124"/>
      <c r="N57" s="124"/>
      <c r="O57" s="124"/>
      <c r="P57" s="124"/>
      <c r="Q57" s="124"/>
      <c r="R57" s="124"/>
      <c r="S57" s="124"/>
      <c r="T57" s="124"/>
    </row>
    <row r="58" spans="2:20" s="3" customFormat="1" ht="14" thickBot="1"/>
    <row r="59" spans="2:20" s="3" customFormat="1">
      <c r="B59" s="217" t="s">
        <v>234</v>
      </c>
      <c r="C59" s="218"/>
      <c r="D59" s="218"/>
      <c r="E59" s="218"/>
      <c r="F59" s="218"/>
      <c r="G59" s="218"/>
      <c r="H59" s="218"/>
      <c r="I59" s="218"/>
      <c r="J59" s="218"/>
      <c r="K59" s="219"/>
    </row>
    <row r="60" spans="2:20" s="3" customFormat="1">
      <c r="B60" s="220"/>
      <c r="C60" s="221"/>
      <c r="D60" s="221"/>
      <c r="E60" s="221"/>
      <c r="F60" s="221"/>
      <c r="G60" s="221"/>
      <c r="H60" s="221"/>
      <c r="I60" s="221"/>
      <c r="J60" s="221"/>
      <c r="K60" s="222"/>
    </row>
    <row r="61" spans="2:20" s="3" customFormat="1" ht="14" thickBot="1">
      <c r="B61" s="223"/>
      <c r="C61" s="224"/>
      <c r="D61" s="224"/>
      <c r="E61" s="224"/>
      <c r="F61" s="224"/>
      <c r="G61" s="224"/>
      <c r="H61" s="224"/>
      <c r="I61" s="224"/>
      <c r="J61" s="224"/>
      <c r="K61" s="225"/>
    </row>
    <row r="62" spans="2:20" s="3" customFormat="1"/>
    <row r="63" spans="2:20" s="3" customFormat="1" ht="14">
      <c r="B63" s="226" t="s">
        <v>14</v>
      </c>
      <c r="C63" s="200" t="str">
        <f>ACT_TO_NS_G</f>
        <v>Touche à nous conservée</v>
      </c>
      <c r="D63" s="198"/>
      <c r="E63" s="200" t="str">
        <f>ACT_TO_ADV_VOLEE</f>
        <v>Touche à eux volée</v>
      </c>
      <c r="F63" s="198"/>
      <c r="H63" s="228" t="str">
        <f>ACT_TO_NS_P</f>
        <v>Touche à nous perdue</v>
      </c>
      <c r="I63" s="229"/>
      <c r="J63" s="228" t="str">
        <f>ACT_TO_NS_PAS_DROIT</f>
        <v>Touche à nous pas droite</v>
      </c>
      <c r="K63" s="229"/>
    </row>
    <row r="64" spans="2:20" s="3" customFormat="1" ht="14">
      <c r="B64" s="227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:B86">IFERROR(_xlfn._xlws.SORT(_xlfn._xlws.FILTER(COMPO[Nom du joueur],(COMPO[Nom du joueur]&lt;&gt;"")*(COMPO[Nom du joueur]&lt;&gt;"Collectif")*(COMPO[Nom du joueur]&lt;&gt;"?"))),"")</f>
        <v>ABADIE Emeric</v>
      </c>
      <c r="C65" s="28" t="str">
        <f>IF(COUNTIFS(JournalActions[Joueur],$B65,JournalActions[Action],$C$63,JournalActions[Mi-temps],C$64)=0,"",COUNTIFS(JournalActions[Joueur],$B65,JournalActions[Action],$C$63,JournalActions[Mi-temps],C$64))</f>
        <v/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 t="str">
        <v>ABADIE Quentin</v>
      </c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 t="str">
        <v>ABADIE Thomas</v>
      </c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 t="str">
        <v>BARATGIN Julian</v>
      </c>
      <c r="C68" s="28">
        <f>IF(COUNTIFS(JournalActions[Joueur],$B68,JournalActions[Action],$C$63,JournalActions[Mi-temps],C$64)=0,"",COUNTIFS(JournalActions[Joueur],$B68,JournalActions[Action],$C$63,JournalActions[Mi-temps],C$64))</f>
        <v>2</v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 t="str">
        <v>BAUP Bastien</v>
      </c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 t="str">
        <f>IF(COUNTIFS(JournalActions[Joueur],$B69,JournalActions[Action],$E$63,JournalActions[Mi-temps],E$64)=0,"",COUNTIFS(JournalActions[Joueur],$B69,JournalActions[Action],$E$63,JournalActions[Mi-temps],E$64))</f>
        <v/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 t="str">
        <v>BAYLE Jean</v>
      </c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 t="str">
        <v>BOURREC Anthony</v>
      </c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 t="str">
        <v>CESCA Sacha</v>
      </c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 t="str">
        <v>COURREGES Romain</v>
      </c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28" t="str">
        <v>DALLA ROSA Jonah</v>
      </c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>
        <f>IF(COUNTIFS(JournalActions[Joueur],$B74,JournalActions[Action],$H$63,JournalActions[Mi-temps],H$64)=0,"",COUNTIFS(JournalActions[Joueur],$B74,JournalActions[Action],$H$63,JournalActions[Mi-temps],H$64))</f>
        <v>1</v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>
        <f>IF(COUNTIFS(JournalActions[Joueur],$B74,JournalActions[Action],$J$63,JournalActions[Mi-temps],J$64)=0,"",COUNTIFS(JournalActions[Joueur],$B74,JournalActions[Action],$J$63,JournalActions[Mi-temps],J$64))</f>
        <v>1</v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 t="str">
        <v>GABRELLE Neot</v>
      </c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 t="str">
        <v>JOUNAUX Joris</v>
      </c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 t="str">
        <v>KAPFER Bastien</v>
      </c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 t="str">
        <v>LAUDET Jean Baptiste</v>
      </c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 t="str">
        <f>IF(COUNTIFS(JournalActions[Joueur],$B78,JournalActions[Action],$H$63,JournalActions[Mi-temps],H$64)=0,"",COUNTIFS(JournalActions[Joueur],$B78,JournalActions[Action],$H$63,JournalActions[Mi-temps],H$64))</f>
        <v/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 t="str">
        <f>IF(COUNTIFS(JournalActions[Joueur],$B78,JournalActions[Action],$J$63,JournalActions[Mi-temps],J$64)=0,"",COUNTIFS(JournalActions[Joueur],$B78,JournalActions[Action],$J$63,JournalActions[Mi-temps],J$64))</f>
        <v/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 t="str">
        <v>LOUREIRO LABAZUY Antonio</v>
      </c>
      <c r="C79" s="28">
        <f>IF(COUNTIFS(JournalActions[Joueur],$B79,JournalActions[Action],$C$63,JournalActions[Mi-temps],C$64)=0,"",COUNTIFS(JournalActions[Joueur],$B79,JournalActions[Action],$C$63,JournalActions[Mi-temps],C$64))</f>
        <v>1</v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 t="str">
        <v>MICHELIN Paul</v>
      </c>
      <c r="C80" s="28" t="str">
        <f>IF(COUNTIFS(JournalActions[Joueur],$B80,JournalActions[Action],$C$63,JournalActions[Mi-temps],C$64)=0,"",COUNTIFS(JournalActions[Joueur],$B80,JournalActions[Action],$C$63,JournalActions[Mi-temps],C$64))</f>
        <v/>
      </c>
      <c r="D80" s="29" t="str">
        <f>IF(COUNTIFS(JournalActions[Joueur],$B80,JournalActions[Action],$C$63,JournalActions[Mi-temps],D$64)=0,"",COUNTIFS(JournalActions[Joueur],$B80,JournalActions[Action],$C$63,JournalActions[Mi-temps],D$64))</f>
        <v/>
      </c>
      <c r="E80" s="28" t="str">
        <f>IF(COUNTIFS(JournalActions[Joueur],$B80,JournalActions[Action],$E$63,JournalActions[Mi-temps],E$64)=0,"",COUNTIFS(JournalActions[Joueur],$B80,JournalActions[Action],$E$63,JournalActions[Mi-temps],E$64))</f>
        <v/>
      </c>
      <c r="F80" s="29" t="str">
        <f>IF(COUNTIFS(JournalActions[Joueur],$B80,JournalActions[Action],$E$63,JournalActions[Mi-temps],F$64)=0,"",COUNTIFS(JournalActions[Joueur],$B80,JournalActions[Action],$E$63,JournalActions[Mi-temps],F$64))</f>
        <v/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 t="str">
        <f>IF(COUNTIFS(JournalActions[Joueur],$B80,JournalActions[Action],$H$63,JournalActions[Mi-temps],I$64)=0,"",COUNTIFS(JournalActions[Joueur],$B80,JournalActions[Action],$H$63,JournalActions[Mi-temps],I$64))</f>
        <v/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 t="str">
        <v>MOUDENS Alexis</v>
      </c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 t="str">
        <v>MULLIER Victor</v>
      </c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 t="str">
        <f>IF(COUNTIFS(JournalActions[Joueur],$B82,JournalActions[Action],$J$63,JournalActions[Mi-temps],J$64)=0,"",COUNTIFS(JournalActions[Joueur],$B82,JournalActions[Action],$J$63,JournalActions[Mi-temps],J$64))</f>
        <v/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 t="str">
        <v>RICHIARDONNE Gregory</v>
      </c>
      <c r="C83" s="28" t="str">
        <f>IF(COUNTIFS(JournalActions[Joueur],$B83,JournalActions[Action],$C$63,JournalActions[Mi-temps],C$64)=0,"",COUNTIFS(JournalActions[Joueur],$B83,JournalActions[Action],$C$63,JournalActions[Mi-temps],C$64))</f>
        <v/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 t="str">
        <f>IF(COUNTIFS(JournalActions[Joueur],$B83,JournalActions[Action],$E$63,JournalActions[Mi-temps],E$64)=0,"",COUNTIFS(JournalActions[Joueur],$B83,JournalActions[Action],$E$63,JournalActions[Mi-temps],E$64))</f>
        <v/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 t="str">
        <v>ROUSSEL Mathis</v>
      </c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 t="str">
        <v>SALLES Fabien</v>
      </c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 t="str">
        <v>SOUVILLE Quentin</v>
      </c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0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176</v>
      </c>
      <c r="C89" s="53">
        <f>SUM(C65:C88)</f>
        <v>3</v>
      </c>
      <c r="D89" s="54">
        <f t="shared" ref="D89" si="10">SUM(D65:D88)</f>
        <v>0</v>
      </c>
      <c r="E89" s="53">
        <f>SUM(E65:E88)</f>
        <v>0</v>
      </c>
      <c r="F89" s="54">
        <f t="shared" ref="F89" si="11">SUM(F65:F88)</f>
        <v>0</v>
      </c>
      <c r="H89" s="74">
        <f>SUM(H65:H88)</f>
        <v>1</v>
      </c>
      <c r="I89" s="75">
        <f>SUM(I65:I88)</f>
        <v>0</v>
      </c>
      <c r="J89" s="74">
        <f>SUM(J65:J88)</f>
        <v>1</v>
      </c>
      <c r="K89" s="75">
        <f t="shared" ref="K89" si="12">SUM(K65:K88)</f>
        <v>0</v>
      </c>
    </row>
    <row r="90" spans="2:11" s="3" customFormat="1" ht="16">
      <c r="B90" s="55" t="s">
        <v>175</v>
      </c>
      <c r="C90" s="208">
        <f>C89+D89</f>
        <v>3</v>
      </c>
      <c r="D90" s="209"/>
      <c r="E90" s="208">
        <f>E89+F89</f>
        <v>0</v>
      </c>
      <c r="F90" s="209"/>
      <c r="H90" s="213">
        <f>H89+I89</f>
        <v>1</v>
      </c>
      <c r="I90" s="214"/>
      <c r="J90" s="213">
        <f>J89+K89</f>
        <v>1</v>
      </c>
      <c r="K90" s="214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25" t="s">
        <v>389</v>
      </c>
      <c r="C94" s="126" t="s">
        <v>47</v>
      </c>
      <c r="D94" s="127" t="s">
        <v>113</v>
      </c>
      <c r="F94" s="238" t="s">
        <v>390</v>
      </c>
      <c r="G94" s="239"/>
      <c r="H94" s="126" t="s">
        <v>46</v>
      </c>
      <c r="I94" s="126" t="s">
        <v>44</v>
      </c>
      <c r="J94" s="133" t="s">
        <v>236</v>
      </c>
    </row>
    <row r="95" spans="2:11" s="3" customFormat="1" ht="16">
      <c r="B95" s="128" t="s">
        <v>237</v>
      </c>
      <c r="C95" s="81">
        <v>0</v>
      </c>
      <c r="D95" s="129">
        <v>0</v>
      </c>
      <c r="F95" s="236" t="s">
        <v>237</v>
      </c>
      <c r="G95" s="237"/>
      <c r="H95" s="81">
        <v>0</v>
      </c>
      <c r="I95" s="81">
        <v>0</v>
      </c>
      <c r="J95" s="134">
        <v>0</v>
      </c>
    </row>
    <row r="96" spans="2:11" s="3" customFormat="1" ht="16">
      <c r="B96" s="128" t="s">
        <v>238</v>
      </c>
      <c r="C96" s="81">
        <v>0</v>
      </c>
      <c r="D96" s="129">
        <v>0</v>
      </c>
      <c r="F96" s="236" t="s">
        <v>238</v>
      </c>
      <c r="G96" s="237"/>
      <c r="H96" s="81">
        <v>0</v>
      </c>
      <c r="I96" s="81">
        <v>0</v>
      </c>
      <c r="J96" s="134">
        <v>0</v>
      </c>
    </row>
    <row r="97" spans="2:10" s="3" customFormat="1" ht="16">
      <c r="B97" s="128" t="s">
        <v>239</v>
      </c>
      <c r="C97" s="81">
        <v>0</v>
      </c>
      <c r="D97" s="129">
        <v>0</v>
      </c>
      <c r="F97" s="236" t="s">
        <v>239</v>
      </c>
      <c r="G97" s="237"/>
      <c r="H97" s="81">
        <v>0</v>
      </c>
      <c r="I97" s="81">
        <v>0</v>
      </c>
      <c r="J97" s="134">
        <v>0</v>
      </c>
    </row>
    <row r="98" spans="2:10" s="3" customFormat="1" ht="16">
      <c r="B98" s="128" t="s">
        <v>240</v>
      </c>
      <c r="C98" s="81">
        <v>0</v>
      </c>
      <c r="D98" s="129">
        <v>0</v>
      </c>
      <c r="F98" s="236" t="s">
        <v>240</v>
      </c>
      <c r="G98" s="237"/>
      <c r="H98" s="81">
        <v>0</v>
      </c>
      <c r="I98" s="81">
        <v>0</v>
      </c>
      <c r="J98" s="134">
        <v>0</v>
      </c>
    </row>
    <row r="99" spans="2:10" s="3" customFormat="1" ht="17" thickBot="1">
      <c r="B99" s="130" t="s">
        <v>241</v>
      </c>
      <c r="C99" s="131">
        <v>0</v>
      </c>
      <c r="D99" s="132">
        <v>0</v>
      </c>
      <c r="F99" s="236" t="s">
        <v>391</v>
      </c>
      <c r="G99" s="237"/>
      <c r="H99" s="81">
        <v>0</v>
      </c>
      <c r="I99" s="81">
        <v>0</v>
      </c>
      <c r="J99" s="134">
        <v>0</v>
      </c>
    </row>
    <row r="100" spans="2:10" s="3" customFormat="1" ht="16">
      <c r="F100" s="236" t="s">
        <v>392</v>
      </c>
      <c r="G100" s="237"/>
      <c r="H100" s="81">
        <v>0</v>
      </c>
      <c r="I100" s="81">
        <v>0</v>
      </c>
      <c r="J100" s="134">
        <v>0</v>
      </c>
    </row>
    <row r="101" spans="2:10" s="3" customFormat="1" ht="16">
      <c r="F101" s="236" t="s">
        <v>393</v>
      </c>
      <c r="G101" s="237"/>
      <c r="H101" s="81">
        <v>0</v>
      </c>
      <c r="I101" s="81">
        <v>0</v>
      </c>
      <c r="J101" s="134">
        <v>0</v>
      </c>
    </row>
    <row r="102" spans="2:10" s="3" customFormat="1" ht="17" thickBot="1">
      <c r="F102" s="240" t="s">
        <v>394</v>
      </c>
      <c r="G102" s="241"/>
      <c r="H102" s="131">
        <v>0</v>
      </c>
      <c r="I102" s="131">
        <v>0</v>
      </c>
      <c r="J102" s="135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7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F102:G102"/>
    <mergeCell ref="F97:G97"/>
    <mergeCell ref="F98:G98"/>
    <mergeCell ref="F99:G99"/>
    <mergeCell ref="F100:G100"/>
    <mergeCell ref="F101:G101"/>
    <mergeCell ref="F95:G95"/>
    <mergeCell ref="F96:G96"/>
    <mergeCell ref="C90:D90"/>
    <mergeCell ref="E90:F90"/>
    <mergeCell ref="H90:I90"/>
    <mergeCell ref="F94:G94"/>
    <mergeCell ref="J90:K90"/>
    <mergeCell ref="L43:M43"/>
    <mergeCell ref="L44:M44"/>
    <mergeCell ref="L45:M45"/>
    <mergeCell ref="L46:M46"/>
    <mergeCell ref="L47:M47"/>
    <mergeCell ref="B59:K61"/>
    <mergeCell ref="B63:B64"/>
    <mergeCell ref="C63:D63"/>
    <mergeCell ref="E63:F63"/>
    <mergeCell ref="H63:I63"/>
    <mergeCell ref="J63:K63"/>
    <mergeCell ref="B56:K57"/>
    <mergeCell ref="L42:M42"/>
    <mergeCell ref="C33:D33"/>
    <mergeCell ref="E33:F33"/>
    <mergeCell ref="G33:H33"/>
    <mergeCell ref="I33:J33"/>
    <mergeCell ref="K33:L33"/>
    <mergeCell ref="L36:L37"/>
    <mergeCell ref="M36:O36"/>
    <mergeCell ref="M33:N33"/>
    <mergeCell ref="P36:P37"/>
    <mergeCell ref="G40:H40"/>
    <mergeCell ref="U6:Z6"/>
    <mergeCell ref="U32:U33"/>
    <mergeCell ref="V32:V33"/>
    <mergeCell ref="W32:W33"/>
    <mergeCell ref="X32:X33"/>
    <mergeCell ref="Y32:Y33"/>
    <mergeCell ref="Z32:Z33"/>
  </mergeCells>
  <conditionalFormatting sqref="L38:P38 B8:Z31">
    <cfRule type="expression" dxfId="15" priority="6" stopIfTrue="1">
      <formula>ISEVEN(ROW())</formula>
    </cfRule>
  </conditionalFormatting>
  <conditionalFormatting sqref="B65:B88">
    <cfRule type="expression" dxfId="14" priority="5" stopIfTrue="1">
      <formula>ISEVEN(ROW())</formula>
    </cfRule>
  </conditionalFormatting>
  <conditionalFormatting sqref="C65:D88">
    <cfRule type="expression" dxfId="13" priority="4" stopIfTrue="1">
      <formula>ISEVEN(ROW())</formula>
    </cfRule>
  </conditionalFormatting>
  <conditionalFormatting sqref="H65:I88">
    <cfRule type="expression" dxfId="12" priority="3" stopIfTrue="1">
      <formula>ISEVEN(ROW())</formula>
    </cfRule>
  </conditionalFormatting>
  <conditionalFormatting sqref="J65:K88">
    <cfRule type="expression" dxfId="11" priority="2" stopIfTrue="1">
      <formula>ISEVEN(ROW())</formula>
    </cfRule>
  </conditionalFormatting>
  <conditionalFormatting sqref="E65:F88">
    <cfRule type="expression" dxfId="10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50"/>
  <sheetViews>
    <sheetView workbookViewId="0">
      <selection activeCell="D13" sqref="D13"/>
    </sheetView>
    <sheetView workbookViewId="1"/>
  </sheetViews>
  <sheetFormatPr baseColWidth="10" defaultRowHeight="13"/>
  <cols>
    <col min="1" max="4" width="12.83203125" customWidth="1"/>
    <col min="5" max="5" width="17.6640625" customWidth="1"/>
    <col min="6" max="9" width="12.83203125" customWidth="1"/>
    <col min="10" max="10" width="31" bestFit="1" customWidth="1"/>
    <col min="11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98" t="s">
        <v>444</v>
      </c>
      <c r="W1" t="s">
        <v>412</v>
      </c>
      <c r="X1" t="s">
        <v>415</v>
      </c>
      <c r="Y1" t="s">
        <v>419</v>
      </c>
      <c r="Z1" t="s">
        <v>420</v>
      </c>
      <c r="AA1" t="s">
        <v>426</v>
      </c>
      <c r="AB1" t="s">
        <v>429</v>
      </c>
      <c r="AC1" t="s">
        <v>438</v>
      </c>
      <c r="AD1" t="s">
        <v>440</v>
      </c>
      <c r="AE1" t="s">
        <v>460</v>
      </c>
      <c r="AF1" t="s">
        <v>469</v>
      </c>
    </row>
    <row r="2" spans="1:32">
      <c r="A2" t="s">
        <v>445</v>
      </c>
      <c r="B2" t="s">
        <v>7</v>
      </c>
      <c r="C2" t="s">
        <v>446</v>
      </c>
      <c r="D2" t="s">
        <v>447</v>
      </c>
      <c r="E2" t="s">
        <v>448</v>
      </c>
      <c r="F2" t="s">
        <v>449</v>
      </c>
      <c r="G2" t="s">
        <v>450</v>
      </c>
      <c r="H2" t="s">
        <v>451</v>
      </c>
      <c r="I2" t="s">
        <v>452</v>
      </c>
      <c r="J2" t="s">
        <v>453</v>
      </c>
      <c r="W2" t="s">
        <v>413</v>
      </c>
      <c r="X2" t="s">
        <v>416</v>
      </c>
      <c r="Y2" t="s">
        <v>416</v>
      </c>
      <c r="Z2" t="s">
        <v>421</v>
      </c>
      <c r="AA2" t="s">
        <v>427</v>
      </c>
      <c r="AB2" t="s">
        <v>430</v>
      </c>
      <c r="AC2">
        <v>2</v>
      </c>
      <c r="AD2" t="s">
        <v>441</v>
      </c>
      <c r="AE2" t="s">
        <v>461</v>
      </c>
      <c r="AF2" t="s">
        <v>470</v>
      </c>
    </row>
    <row r="3" spans="1:32">
      <c r="A3" s="82">
        <v>2.6136201504629629E-3</v>
      </c>
      <c r="B3" t="s">
        <v>46</v>
      </c>
      <c r="C3" t="s">
        <v>413</v>
      </c>
      <c r="D3" t="s">
        <v>416</v>
      </c>
      <c r="E3" t="s">
        <v>484</v>
      </c>
      <c r="F3" t="s">
        <v>422</v>
      </c>
      <c r="G3" t="s">
        <v>428</v>
      </c>
      <c r="H3" t="s">
        <v>616</v>
      </c>
      <c r="I3" t="s">
        <v>439</v>
      </c>
      <c r="W3" t="s">
        <v>414</v>
      </c>
      <c r="X3" t="s">
        <v>417</v>
      </c>
      <c r="Y3" t="s">
        <v>417</v>
      </c>
      <c r="Z3" t="s">
        <v>422</v>
      </c>
      <c r="AA3" t="s">
        <v>428</v>
      </c>
      <c r="AB3" t="s">
        <v>431</v>
      </c>
      <c r="AC3">
        <v>3</v>
      </c>
      <c r="AD3" t="s">
        <v>442</v>
      </c>
      <c r="AE3" s="99" t="s">
        <v>170</v>
      </c>
      <c r="AF3" t="s">
        <v>471</v>
      </c>
    </row>
    <row r="4" spans="1:32">
      <c r="A4" s="82">
        <v>3.1663652546296299E-3</v>
      </c>
      <c r="B4" t="s">
        <v>46</v>
      </c>
      <c r="C4" t="s">
        <v>414</v>
      </c>
      <c r="D4" t="s">
        <v>417</v>
      </c>
      <c r="F4" t="s">
        <v>424</v>
      </c>
      <c r="G4" t="s">
        <v>428</v>
      </c>
      <c r="H4" t="s">
        <v>435</v>
      </c>
      <c r="I4" t="s">
        <v>439</v>
      </c>
      <c r="X4" t="s">
        <v>418</v>
      </c>
      <c r="Z4" t="s">
        <v>423</v>
      </c>
      <c r="AB4" t="s">
        <v>432</v>
      </c>
      <c r="AC4">
        <v>4</v>
      </c>
      <c r="AD4" t="s">
        <v>443</v>
      </c>
      <c r="AE4" t="s">
        <v>462</v>
      </c>
    </row>
    <row r="5" spans="1:32">
      <c r="A5" s="82">
        <v>6.4849628587962966E-3</v>
      </c>
      <c r="B5" t="s">
        <v>46</v>
      </c>
      <c r="C5" t="s">
        <v>413</v>
      </c>
      <c r="D5" t="s">
        <v>416</v>
      </c>
      <c r="E5" t="s">
        <v>479</v>
      </c>
      <c r="F5" t="s">
        <v>425</v>
      </c>
      <c r="G5" t="s">
        <v>427</v>
      </c>
      <c r="H5" t="s">
        <v>619</v>
      </c>
      <c r="I5" t="s">
        <v>439</v>
      </c>
      <c r="Z5" t="s">
        <v>424</v>
      </c>
      <c r="AB5" t="s">
        <v>433</v>
      </c>
      <c r="AC5">
        <v>5</v>
      </c>
    </row>
    <row r="6" spans="1:32">
      <c r="A6" s="82">
        <v>1.0506375972222223E-2</v>
      </c>
      <c r="B6" t="s">
        <v>46</v>
      </c>
      <c r="C6" t="s">
        <v>414</v>
      </c>
      <c r="D6" t="s">
        <v>418</v>
      </c>
      <c r="Z6" t="s">
        <v>425</v>
      </c>
      <c r="AB6" t="s">
        <v>434</v>
      </c>
      <c r="AC6">
        <v>6</v>
      </c>
    </row>
    <row r="7" spans="1:32">
      <c r="A7" s="82">
        <v>1.0525596793981481E-2</v>
      </c>
      <c r="B7" t="s">
        <v>46</v>
      </c>
      <c r="C7" t="s">
        <v>414</v>
      </c>
      <c r="D7" t="s">
        <v>417</v>
      </c>
      <c r="F7" t="s">
        <v>421</v>
      </c>
      <c r="G7" t="s">
        <v>428</v>
      </c>
      <c r="H7" t="s">
        <v>433</v>
      </c>
      <c r="I7" t="s">
        <v>439</v>
      </c>
      <c r="AB7" t="s">
        <v>435</v>
      </c>
      <c r="AC7" t="s">
        <v>439</v>
      </c>
    </row>
    <row r="8" spans="1:32">
      <c r="A8" s="82">
        <v>1.2745955486111111E-2</v>
      </c>
      <c r="B8" t="s">
        <v>46</v>
      </c>
      <c r="C8" t="s">
        <v>414</v>
      </c>
      <c r="D8" t="s">
        <v>417</v>
      </c>
      <c r="F8" t="s">
        <v>424</v>
      </c>
      <c r="G8" t="s">
        <v>427</v>
      </c>
      <c r="H8" t="s">
        <v>435</v>
      </c>
      <c r="I8" t="s">
        <v>439</v>
      </c>
      <c r="AB8" t="s">
        <v>436</v>
      </c>
    </row>
    <row r="9" spans="1:32">
      <c r="A9" s="82">
        <v>1.4692797349537037E-2</v>
      </c>
      <c r="B9" t="s">
        <v>46</v>
      </c>
      <c r="C9" t="s">
        <v>413</v>
      </c>
      <c r="D9" t="s">
        <v>416</v>
      </c>
      <c r="F9" t="s">
        <v>425</v>
      </c>
      <c r="G9" t="s">
        <v>428</v>
      </c>
      <c r="H9" t="s">
        <v>437</v>
      </c>
      <c r="I9" t="s">
        <v>439</v>
      </c>
      <c r="AB9" t="s">
        <v>437</v>
      </c>
    </row>
    <row r="10" spans="1:32">
      <c r="A10" s="82">
        <v>1.6721841840277779E-2</v>
      </c>
      <c r="B10" t="s">
        <v>46</v>
      </c>
      <c r="C10" t="s">
        <v>413</v>
      </c>
      <c r="D10" t="s">
        <v>417</v>
      </c>
      <c r="E10" t="s">
        <v>481</v>
      </c>
      <c r="F10" t="s">
        <v>425</v>
      </c>
      <c r="G10" t="s">
        <v>428</v>
      </c>
      <c r="H10" t="s">
        <v>437</v>
      </c>
      <c r="I10" t="s">
        <v>439</v>
      </c>
    </row>
    <row r="11" spans="1:32">
      <c r="A11" s="82">
        <v>1.8042760914351853E-2</v>
      </c>
      <c r="B11" t="s">
        <v>46</v>
      </c>
      <c r="C11" t="s">
        <v>414</v>
      </c>
      <c r="D11" t="s">
        <v>417</v>
      </c>
      <c r="F11" t="s">
        <v>422</v>
      </c>
      <c r="G11" t="s">
        <v>427</v>
      </c>
      <c r="H11" t="s">
        <v>433</v>
      </c>
      <c r="I11" t="s">
        <v>439</v>
      </c>
    </row>
    <row r="12" spans="1:32">
      <c r="A12" s="82">
        <v>2.0633939560185183E-2</v>
      </c>
      <c r="B12" t="s">
        <v>46</v>
      </c>
      <c r="C12" t="s">
        <v>413</v>
      </c>
      <c r="D12" t="s">
        <v>416</v>
      </c>
      <c r="E12" t="s">
        <v>484</v>
      </c>
      <c r="F12" t="s">
        <v>423</v>
      </c>
      <c r="H12" t="s">
        <v>616</v>
      </c>
      <c r="I12" t="s">
        <v>439</v>
      </c>
      <c r="J12" t="s">
        <v>622</v>
      </c>
    </row>
    <row r="13" spans="1:32">
      <c r="A13" s="82">
        <v>2.1365979548611112E-2</v>
      </c>
      <c r="B13" t="s">
        <v>46</v>
      </c>
      <c r="C13" t="s">
        <v>414</v>
      </c>
      <c r="D13" t="s">
        <v>418</v>
      </c>
    </row>
    <row r="14" spans="1:32">
      <c r="A14" s="82">
        <v>2.5244187164351853E-2</v>
      </c>
      <c r="B14" t="s">
        <v>46</v>
      </c>
      <c r="C14" t="s">
        <v>413</v>
      </c>
      <c r="D14" t="s">
        <v>418</v>
      </c>
      <c r="E14" t="s">
        <v>481</v>
      </c>
      <c r="F14" t="s">
        <v>424</v>
      </c>
      <c r="H14" t="s">
        <v>436</v>
      </c>
      <c r="I14" t="s">
        <v>439</v>
      </c>
    </row>
    <row r="15" spans="1:32">
      <c r="A15" s="82"/>
    </row>
    <row r="16" spans="1:32">
      <c r="A16" s="110" t="s">
        <v>221</v>
      </c>
      <c r="B16" s="111" t="s">
        <v>210</v>
      </c>
      <c r="C16" s="111" t="s">
        <v>144</v>
      </c>
      <c r="D16" s="111" t="s">
        <v>473</v>
      </c>
    </row>
    <row r="17" spans="1:4">
      <c r="A17" s="112" t="s">
        <v>142</v>
      </c>
      <c r="B17" s="113">
        <f>COUNTIFS(DetailTouches[Lance pour],"N",DetailTouches[Issue],"G")</f>
        <v>4</v>
      </c>
      <c r="C17" s="113">
        <f>COUNTIFS(DetailTouches[Lance pour],"N",DetailTouches[Issue],"P")</f>
        <v>1</v>
      </c>
      <c r="D17" s="113">
        <f>COUNTIFS(DetailTouches[Lance pour],"N",DetailTouches[Issue],"ND")</f>
        <v>1</v>
      </c>
    </row>
    <row r="18" spans="1:4">
      <c r="A18" s="108" t="s">
        <v>172</v>
      </c>
      <c r="B18" s="109">
        <f>COUNTIFS(DetailTouches[Lance pour],"E",DetailTouches[Issue],"P")</f>
        <v>4</v>
      </c>
      <c r="C18" s="109">
        <f>COUNTIFS(DetailTouches[Lance pour],"E",DetailTouches[Issue],"G")</f>
        <v>0</v>
      </c>
      <c r="D18" s="109">
        <f>COUNTIFS(DetailTouches[Lance pour],"E",DetailTouches[Issue],"ND")</f>
        <v>2</v>
      </c>
    </row>
    <row r="39" spans="1:10" ht="18">
      <c r="A39" s="98" t="s">
        <v>454</v>
      </c>
    </row>
    <row r="40" spans="1:10">
      <c r="A40" t="s">
        <v>445</v>
      </c>
      <c r="B40" t="s">
        <v>7</v>
      </c>
      <c r="C40" t="s">
        <v>472</v>
      </c>
      <c r="D40" t="s">
        <v>447</v>
      </c>
      <c r="E40" t="s">
        <v>455</v>
      </c>
      <c r="F40" t="s">
        <v>456</v>
      </c>
      <c r="G40" t="s">
        <v>457</v>
      </c>
      <c r="H40" t="s">
        <v>458</v>
      </c>
      <c r="I40" t="s">
        <v>459</v>
      </c>
      <c r="J40" t="s">
        <v>453</v>
      </c>
    </row>
    <row r="41" spans="1:10">
      <c r="A41" s="82">
        <v>4.581877604166667E-3</v>
      </c>
      <c r="B41" t="s">
        <v>46</v>
      </c>
      <c r="C41" t="s">
        <v>414</v>
      </c>
      <c r="D41" t="s">
        <v>417</v>
      </c>
      <c r="E41" t="s">
        <v>430</v>
      </c>
      <c r="F41" t="s">
        <v>441</v>
      </c>
      <c r="G41" s="96" t="s">
        <v>618</v>
      </c>
      <c r="H41" s="96"/>
      <c r="I41" s="96"/>
    </row>
    <row r="42" spans="1:10">
      <c r="A42" s="82">
        <v>1.09437665625E-2</v>
      </c>
      <c r="B42" t="s">
        <v>46</v>
      </c>
      <c r="C42" t="s">
        <v>413</v>
      </c>
      <c r="D42" t="s">
        <v>416</v>
      </c>
      <c r="E42" t="s">
        <v>433</v>
      </c>
      <c r="F42" t="s">
        <v>443</v>
      </c>
      <c r="G42" s="96"/>
      <c r="H42" s="96" t="s">
        <v>618</v>
      </c>
      <c r="I42" s="96"/>
    </row>
    <row r="43" spans="1:10">
      <c r="A43" s="82">
        <v>2.5645505983796297E-2</v>
      </c>
      <c r="B43" t="s">
        <v>46</v>
      </c>
      <c r="C43" t="s">
        <v>414</v>
      </c>
      <c r="D43" t="s">
        <v>417</v>
      </c>
      <c r="E43" t="s">
        <v>436</v>
      </c>
      <c r="F43" t="s">
        <v>443</v>
      </c>
      <c r="G43" s="96"/>
      <c r="H43" s="96"/>
      <c r="I43" s="96" t="s">
        <v>618</v>
      </c>
    </row>
    <row r="44" spans="1:10">
      <c r="A44" s="82"/>
      <c r="G44" s="96"/>
      <c r="H44" s="96"/>
      <c r="I44" s="96"/>
    </row>
    <row r="45" spans="1:10">
      <c r="A45" s="114" t="s">
        <v>474</v>
      </c>
      <c r="B45" s="115" t="s">
        <v>210</v>
      </c>
      <c r="C45" s="115" t="s">
        <v>144</v>
      </c>
      <c r="G45" s="96"/>
      <c r="H45" s="96"/>
      <c r="I45" s="96"/>
    </row>
    <row r="46" spans="1:10">
      <c r="A46" s="116" t="s">
        <v>142</v>
      </c>
      <c r="B46" s="117">
        <f>COUNTIFS(DetailMelees[Introduction pour],"N",DetailMelees[Issue],"G")</f>
        <v>1</v>
      </c>
      <c r="C46" s="117">
        <f>COUNTIFS(DetailMelees[Introduction pour],"N",DetailMelees[Issue],"P")</f>
        <v>0</v>
      </c>
      <c r="G46" s="96"/>
      <c r="H46" s="96"/>
      <c r="I46" s="96"/>
    </row>
    <row r="47" spans="1:10">
      <c r="A47" s="108" t="s">
        <v>172</v>
      </c>
      <c r="B47" s="109">
        <f>COUNTIFS(DetailMelees[Introduction pour],"E",DetailMelees[Issue],"P")</f>
        <v>2</v>
      </c>
      <c r="C47" s="109">
        <f>COUNTIFS(DetailMelees[Introduction pour],"E",DetailMelees[Issue],"G")</f>
        <v>0</v>
      </c>
      <c r="G47" s="96"/>
      <c r="H47" s="96"/>
      <c r="I47" s="96"/>
    </row>
    <row r="48" spans="1:10">
      <c r="G48" s="96"/>
      <c r="H48" s="96"/>
      <c r="I48" s="96"/>
    </row>
    <row r="49" spans="1:9">
      <c r="A49" s="242" t="s">
        <v>512</v>
      </c>
      <c r="B49" s="242"/>
      <c r="G49" s="96"/>
      <c r="H49" s="96"/>
      <c r="I49" s="96"/>
    </row>
    <row r="50" spans="1:9">
      <c r="A50" s="242"/>
      <c r="B50" s="242"/>
      <c r="G50" s="96"/>
      <c r="H50" s="96"/>
      <c r="I50" s="96"/>
    </row>
  </sheetData>
  <mergeCells count="1">
    <mergeCell ref="A49:B50"/>
  </mergeCells>
  <conditionalFormatting sqref="D3:D14">
    <cfRule type="expression" dxfId="9" priority="1" stopIfTrue="1">
      <formula>($C3&amp;$D3)="NP"</formula>
    </cfRule>
    <cfRule type="expression" dxfId="8" priority="2" stopIfTrue="1">
      <formula>($C3&amp;$D3)="EG"</formula>
    </cfRule>
  </conditionalFormatting>
  <conditionalFormatting sqref="G3:G14">
    <cfRule type="expression" dxfId="7" priority="3" stopIfTrue="1">
      <formula>$G3="F"</formula>
    </cfRule>
    <cfRule type="expression" dxfId="6" priority="4" stopIfTrue="1">
      <formula>$G3="C"</formula>
    </cfRule>
  </conditionalFormatting>
  <conditionalFormatting sqref="A3:J14">
    <cfRule type="expression" dxfId="5" priority="5" stopIfTrue="1">
      <formula>$C3="N"</formula>
    </cfRule>
    <cfRule type="expression" dxfId="4" priority="6" stopIfTrue="1">
      <formula>$C3&lt;&gt;""</formula>
    </cfRule>
  </conditionalFormatting>
  <conditionalFormatting sqref="D41:D43">
    <cfRule type="expression" dxfId="3" priority="7" stopIfTrue="1">
      <formula>($C41&amp;$D41)="NP"</formula>
    </cfRule>
    <cfRule type="expression" dxfId="2" priority="8" stopIfTrue="1">
      <formula>($C41&amp;$D41)="EG"</formula>
    </cfRule>
  </conditionalFormatting>
  <conditionalFormatting sqref="A41:J43">
    <cfRule type="expression" dxfId="1" priority="9" stopIfTrue="1">
      <formula>$C41="N"</formula>
    </cfRule>
    <cfRule type="expression" dxfId="0" priority="10" stopIfTrue="1">
      <formula>$C41&lt;&gt;""</formula>
    </cfRule>
  </conditionalFormatting>
  <dataValidations count="2">
    <dataValidation type="list" allowBlank="1" showInputMessage="1" showErrorMessage="1" sqref="E50" xr:uid="{64A4C253-AEB6-0746-8088-408393901E28}">
      <formula1>$AB$2:$AB$9</formula1>
    </dataValidation>
    <dataValidation type="list" allowBlank="1" showInputMessage="1" showErrorMessage="1" sqref="F50" xr:uid="{5677D023-EFE8-D448-B8D6-30965607D817}">
      <formula1>$AD$2:$AD$4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M52" workbookViewId="0">
      <selection activeCell="Q65" sqref="Q65"/>
    </sheetView>
    <sheetView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31.33203125" customWidth="1"/>
    <col min="27" max="27" width="0" hidden="1" customWidth="1"/>
  </cols>
  <sheetData>
    <row r="1" spans="1:27" ht="30" customHeight="1">
      <c r="A1" t="s">
        <v>66</v>
      </c>
      <c r="C1" s="15" t="s">
        <v>187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AA1" t="s">
        <v>483</v>
      </c>
    </row>
    <row r="2" spans="1:27" ht="30" customHeight="1">
      <c r="C2" s="19" t="s">
        <v>177</v>
      </c>
      <c r="D2" s="19"/>
      <c r="F2" s="17" t="s">
        <v>100</v>
      </c>
      <c r="G2" s="10"/>
      <c r="I2" s="18" t="s">
        <v>47</v>
      </c>
      <c r="K2" s="165" t="s">
        <v>480</v>
      </c>
      <c r="N2" t="s">
        <v>153</v>
      </c>
      <c r="Q2" s="18" t="s">
        <v>78</v>
      </c>
      <c r="R2" s="18" t="s">
        <v>8</v>
      </c>
      <c r="AA2" t="s">
        <v>480</v>
      </c>
    </row>
    <row r="3" spans="1:27" ht="30" customHeight="1">
      <c r="C3" s="19" t="s">
        <v>186</v>
      </c>
      <c r="D3" s="19"/>
      <c r="F3" s="20" t="s">
        <v>101</v>
      </c>
      <c r="G3" s="4"/>
      <c r="I3" s="25" t="s">
        <v>113</v>
      </c>
      <c r="K3" s="165" t="s">
        <v>481</v>
      </c>
      <c r="N3" t="s">
        <v>169</v>
      </c>
      <c r="Q3" s="21" t="s">
        <v>79</v>
      </c>
      <c r="R3" s="21" t="s">
        <v>57</v>
      </c>
      <c r="AA3" t="s">
        <v>494</v>
      </c>
    </row>
    <row r="4" spans="1:27" ht="30" customHeight="1">
      <c r="C4" s="19" t="s">
        <v>188</v>
      </c>
      <c r="D4" s="19"/>
      <c r="F4" s="17" t="s">
        <v>102</v>
      </c>
      <c r="G4" s="5"/>
      <c r="K4" s="165" t="s">
        <v>482</v>
      </c>
      <c r="Q4" s="18" t="s">
        <v>80</v>
      </c>
      <c r="R4" s="18" t="s">
        <v>9</v>
      </c>
      <c r="AA4" t="s">
        <v>484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65" t="s">
        <v>483</v>
      </c>
      <c r="Q5" s="21" t="s">
        <v>81</v>
      </c>
      <c r="R5" s="21" t="s">
        <v>82</v>
      </c>
      <c r="AA5" t="s">
        <v>482</v>
      </c>
    </row>
    <row r="6" spans="1:27" ht="30" customHeight="1">
      <c r="C6" s="19" t="s">
        <v>189</v>
      </c>
      <c r="D6" s="19"/>
      <c r="F6" s="17" t="s">
        <v>105</v>
      </c>
      <c r="G6" s="7"/>
      <c r="I6" s="18" t="s">
        <v>46</v>
      </c>
      <c r="K6" s="165" t="s">
        <v>584</v>
      </c>
      <c r="Q6" s="18" t="s">
        <v>83</v>
      </c>
      <c r="R6" s="18" t="s">
        <v>84</v>
      </c>
      <c r="AA6" t="s">
        <v>585</v>
      </c>
    </row>
    <row r="7" spans="1:27" ht="30" customHeight="1">
      <c r="C7" s="19" t="s">
        <v>178</v>
      </c>
      <c r="D7" s="19"/>
      <c r="F7" s="20" t="s">
        <v>104</v>
      </c>
      <c r="G7" s="14"/>
      <c r="I7" s="25" t="s">
        <v>44</v>
      </c>
      <c r="K7" s="165" t="s">
        <v>479</v>
      </c>
      <c r="Q7" s="21" t="s">
        <v>85</v>
      </c>
      <c r="R7" s="21" t="s">
        <v>60</v>
      </c>
      <c r="AA7" t="s">
        <v>487</v>
      </c>
    </row>
    <row r="8" spans="1:27" ht="30" customHeight="1">
      <c r="C8" s="19" t="s">
        <v>190</v>
      </c>
      <c r="D8" s="19"/>
      <c r="F8" s="17" t="s">
        <v>106</v>
      </c>
      <c r="G8" s="2"/>
      <c r="K8" s="165" t="s">
        <v>484</v>
      </c>
      <c r="Q8" s="18" t="s">
        <v>86</v>
      </c>
      <c r="R8" s="18" t="s">
        <v>58</v>
      </c>
      <c r="AA8" t="s">
        <v>493</v>
      </c>
    </row>
    <row r="9" spans="1:27" s="15" customFormat="1" ht="30" customHeight="1">
      <c r="C9" s="19" t="s">
        <v>191</v>
      </c>
      <c r="D9" s="19"/>
      <c r="F9" s="20" t="s">
        <v>107</v>
      </c>
      <c r="G9" s="8"/>
      <c r="K9" s="165" t="s">
        <v>585</v>
      </c>
      <c r="Q9" s="21" t="s">
        <v>87</v>
      </c>
      <c r="R9" s="21" t="s">
        <v>61</v>
      </c>
      <c r="AA9" s="15" t="s">
        <v>486</v>
      </c>
    </row>
    <row r="10" spans="1:27" ht="30" customHeight="1">
      <c r="C10" s="19" t="s">
        <v>388</v>
      </c>
      <c r="D10" s="19"/>
      <c r="F10" s="17" t="s">
        <v>108</v>
      </c>
      <c r="G10" s="119"/>
      <c r="I10" s="45" t="s">
        <v>213</v>
      </c>
      <c r="K10" s="165" t="s">
        <v>485</v>
      </c>
      <c r="Q10" s="18" t="s">
        <v>88</v>
      </c>
      <c r="R10" s="18" t="s">
        <v>59</v>
      </c>
      <c r="AA10" t="s">
        <v>481</v>
      </c>
    </row>
    <row r="11" spans="1:27" s="15" customFormat="1" ht="30" customHeight="1">
      <c r="D11" s="19"/>
      <c r="F11" s="20" t="s">
        <v>244</v>
      </c>
      <c r="G11" s="83"/>
      <c r="K11" s="165" t="s">
        <v>486</v>
      </c>
      <c r="Q11" s="21" t="s">
        <v>89</v>
      </c>
      <c r="R11" s="21" t="s">
        <v>62</v>
      </c>
      <c r="AA11" s="15" t="s">
        <v>586</v>
      </c>
    </row>
    <row r="12" spans="1:27" ht="30" customHeight="1">
      <c r="C12" s="19" t="s">
        <v>192</v>
      </c>
      <c r="D12" s="19"/>
      <c r="F12" s="17" t="s">
        <v>245</v>
      </c>
      <c r="G12" s="84"/>
      <c r="K12" s="165" t="s">
        <v>487</v>
      </c>
      <c r="Q12" s="21" t="s">
        <v>219</v>
      </c>
      <c r="R12" s="21" t="s">
        <v>220</v>
      </c>
      <c r="AA12" t="s">
        <v>490</v>
      </c>
    </row>
    <row r="13" spans="1:27" s="15" customFormat="1" ht="30" customHeight="1">
      <c r="C13" s="19" t="s">
        <v>179</v>
      </c>
      <c r="D13" s="19"/>
      <c r="F13" s="20" t="s">
        <v>246</v>
      </c>
      <c r="G13" s="120"/>
      <c r="K13" s="165" t="s">
        <v>488</v>
      </c>
      <c r="Q13" s="20" t="s">
        <v>174</v>
      </c>
      <c r="R13" s="65" t="s">
        <v>160</v>
      </c>
      <c r="AA13" s="15" t="s">
        <v>489</v>
      </c>
    </row>
    <row r="14" spans="1:27" ht="30" customHeight="1">
      <c r="C14" s="19" t="s">
        <v>193</v>
      </c>
      <c r="D14" s="19"/>
      <c r="F14" s="20"/>
      <c r="G14" s="15"/>
      <c r="I14" s="16" t="s">
        <v>123</v>
      </c>
      <c r="K14" s="165" t="s">
        <v>489</v>
      </c>
      <c r="Q14" s="20" t="s">
        <v>173</v>
      </c>
      <c r="R14" s="65" t="s">
        <v>161</v>
      </c>
      <c r="AA14" t="s">
        <v>488</v>
      </c>
    </row>
    <row r="15" spans="1:27" s="15" customFormat="1" ht="30" customHeight="1">
      <c r="C15" s="19" t="s">
        <v>194</v>
      </c>
      <c r="D15" s="19"/>
      <c r="F15" s="17" t="s">
        <v>109</v>
      </c>
      <c r="G15" s="9"/>
      <c r="I15" s="15" t="s">
        <v>119</v>
      </c>
      <c r="K15" s="165" t="s">
        <v>490</v>
      </c>
      <c r="Q15" s="20" t="s">
        <v>90</v>
      </c>
      <c r="R15" s="65" t="s">
        <v>52</v>
      </c>
      <c r="AA15" s="15" t="s">
        <v>479</v>
      </c>
    </row>
    <row r="16" spans="1:27" ht="30" customHeight="1">
      <c r="C16" s="19"/>
      <c r="D16" s="19"/>
      <c r="I16" s="15" t="s">
        <v>120</v>
      </c>
      <c r="K16" s="165" t="s">
        <v>491</v>
      </c>
      <c r="Q16" s="20" t="s">
        <v>91</v>
      </c>
      <c r="R16" s="65" t="s">
        <v>63</v>
      </c>
      <c r="AA16" t="s">
        <v>584</v>
      </c>
    </row>
    <row r="17" spans="3:27" s="15" customFormat="1" ht="30" customHeight="1">
      <c r="C17" s="19" t="s">
        <v>201</v>
      </c>
      <c r="D17" s="19"/>
      <c r="F17" s="15" t="s">
        <v>477</v>
      </c>
      <c r="G17" s="147"/>
      <c r="I17" s="15" t="s">
        <v>121</v>
      </c>
      <c r="K17" s="165" t="s">
        <v>492</v>
      </c>
      <c r="Q17" s="20" t="s">
        <v>92</v>
      </c>
      <c r="R17" s="65" t="s">
        <v>64</v>
      </c>
      <c r="AA17" s="15" t="s">
        <v>485</v>
      </c>
    </row>
    <row r="18" spans="3:27" ht="30" customHeight="1">
      <c r="C18" s="19" t="s">
        <v>202</v>
      </c>
      <c r="D18" s="19"/>
      <c r="F18" s="15" t="s">
        <v>478</v>
      </c>
      <c r="G18" s="146"/>
      <c r="I18" s="15" t="s">
        <v>122</v>
      </c>
      <c r="K18" s="165" t="s">
        <v>586</v>
      </c>
      <c r="Q18" s="20" t="s">
        <v>93</v>
      </c>
      <c r="R18" s="65" t="s">
        <v>65</v>
      </c>
      <c r="AA18" t="s">
        <v>508</v>
      </c>
    </row>
    <row r="19" spans="3:27" ht="30" customHeight="1">
      <c r="C19" s="19" t="s">
        <v>203</v>
      </c>
      <c r="D19" s="19"/>
      <c r="F19" s="15"/>
      <c r="I19" s="15" t="s">
        <v>215</v>
      </c>
      <c r="K19" s="165" t="s">
        <v>508</v>
      </c>
      <c r="Q19" s="20" t="s">
        <v>94</v>
      </c>
      <c r="R19" s="65" t="s">
        <v>56</v>
      </c>
      <c r="AA19" t="s">
        <v>492</v>
      </c>
    </row>
    <row r="20" spans="3:27" ht="30" customHeight="1">
      <c r="C20" s="19" t="s">
        <v>204</v>
      </c>
      <c r="D20" s="19"/>
      <c r="I20" s="15" t="s">
        <v>216</v>
      </c>
      <c r="K20" s="165" t="s">
        <v>587</v>
      </c>
      <c r="Q20" s="20" t="s">
        <v>95</v>
      </c>
      <c r="R20" s="65" t="s">
        <v>53</v>
      </c>
      <c r="AA20" t="s">
        <v>587</v>
      </c>
    </row>
    <row r="21" spans="3:27" ht="30" customHeight="1">
      <c r="C21" s="19" t="s">
        <v>205</v>
      </c>
      <c r="D21" s="19"/>
      <c r="K21" s="165" t="s">
        <v>494</v>
      </c>
      <c r="Q21" s="20" t="s">
        <v>96</v>
      </c>
      <c r="R21" s="65" t="s">
        <v>54</v>
      </c>
      <c r="AA21" t="s">
        <v>491</v>
      </c>
    </row>
    <row r="22" spans="3:27" ht="30" customHeight="1">
      <c r="C22" s="19"/>
      <c r="D22" s="19"/>
      <c r="K22" s="165" t="s">
        <v>493</v>
      </c>
      <c r="Q22" s="20" t="s">
        <v>97</v>
      </c>
      <c r="R22" s="65" t="s">
        <v>49</v>
      </c>
      <c r="AA22" t="s">
        <v>509</v>
      </c>
    </row>
    <row r="23" spans="3:27" ht="30" customHeight="1">
      <c r="C23" s="19"/>
      <c r="D23" s="19"/>
      <c r="K23" s="165" t="s">
        <v>509</v>
      </c>
      <c r="Q23" s="20" t="s">
        <v>98</v>
      </c>
      <c r="R23" s="65" t="s">
        <v>50</v>
      </c>
      <c r="AA23" t="s">
        <v>42</v>
      </c>
    </row>
    <row r="24" spans="3:27" ht="30" customHeight="1">
      <c r="C24" s="19"/>
      <c r="D24" s="19"/>
      <c r="K24" s="165" t="s">
        <v>42</v>
      </c>
      <c r="Q24" s="20" t="s">
        <v>99</v>
      </c>
      <c r="R24" s="65" t="s">
        <v>37</v>
      </c>
      <c r="AA24" t="s">
        <v>32</v>
      </c>
    </row>
    <row r="25" spans="3:27" ht="30" customHeight="1">
      <c r="K25" s="165" t="s">
        <v>32</v>
      </c>
      <c r="Q25" s="20" t="s">
        <v>130</v>
      </c>
      <c r="R25" s="65" t="s">
        <v>132</v>
      </c>
    </row>
    <row r="26" spans="3:27" ht="30" customHeight="1">
      <c r="Q26" s="20" t="s">
        <v>131</v>
      </c>
      <c r="R26" s="65" t="s">
        <v>133</v>
      </c>
    </row>
    <row r="27" spans="3:27" ht="30" customHeight="1">
      <c r="K27" s="16" t="s">
        <v>408</v>
      </c>
      <c r="Q27" s="20" t="s">
        <v>134</v>
      </c>
      <c r="R27" s="65" t="s">
        <v>135</v>
      </c>
    </row>
    <row r="28" spans="3:27" ht="30" customHeight="1">
      <c r="K28" t="s">
        <v>409</v>
      </c>
      <c r="Q28" s="20" t="s">
        <v>136</v>
      </c>
      <c r="R28" s="65" t="s">
        <v>137</v>
      </c>
    </row>
    <row r="29" spans="3:27" ht="30" customHeight="1">
      <c r="K29" t="s">
        <v>410</v>
      </c>
      <c r="Q29" s="20" t="s">
        <v>138</v>
      </c>
      <c r="R29" s="65" t="s">
        <v>10</v>
      </c>
    </row>
    <row r="30" spans="3:27" ht="30" customHeight="1">
      <c r="Q30" s="20" t="s">
        <v>139</v>
      </c>
      <c r="R30" s="65" t="s">
        <v>140</v>
      </c>
    </row>
    <row r="31" spans="3:27" ht="30" customHeight="1">
      <c r="Q31" s="20" t="s">
        <v>159</v>
      </c>
      <c r="R31" s="65" t="s">
        <v>154</v>
      </c>
    </row>
    <row r="32" spans="3:27" ht="30" customHeight="1">
      <c r="Q32" s="20" t="s">
        <v>162</v>
      </c>
      <c r="R32" s="65" t="s">
        <v>155</v>
      </c>
    </row>
    <row r="33" spans="17:18" ht="30" customHeight="1">
      <c r="Q33" s="20" t="s">
        <v>163</v>
      </c>
      <c r="R33" s="65" t="s">
        <v>156</v>
      </c>
    </row>
    <row r="34" spans="17:18" ht="30" customHeight="1">
      <c r="Q34" s="20" t="s">
        <v>164</v>
      </c>
      <c r="R34" s="65" t="s">
        <v>82</v>
      </c>
    </row>
    <row r="35" spans="17:18" ht="30" customHeight="1">
      <c r="Q35" s="20" t="s">
        <v>165</v>
      </c>
      <c r="R35" s="65" t="s">
        <v>84</v>
      </c>
    </row>
    <row r="36" spans="17:18" ht="30" customHeight="1">
      <c r="Q36" s="20" t="s">
        <v>168</v>
      </c>
      <c r="R36" s="65" t="s">
        <v>32</v>
      </c>
    </row>
    <row r="37" spans="17:18" ht="30" customHeight="1">
      <c r="Q37" s="25" t="s">
        <v>217</v>
      </c>
      <c r="R37" s="25" t="s">
        <v>218</v>
      </c>
    </row>
    <row r="38" spans="17:18" ht="30" customHeight="1">
      <c r="Q38" s="21" t="s">
        <v>223</v>
      </c>
      <c r="R38" s="21" t="s">
        <v>224</v>
      </c>
    </row>
    <row r="39" spans="17:18" ht="30" customHeight="1">
      <c r="Q39" s="21" t="s">
        <v>225</v>
      </c>
      <c r="R39" s="21" t="s">
        <v>226</v>
      </c>
    </row>
    <row r="40" spans="17:18" ht="30" customHeight="1">
      <c r="Q40" s="21" t="s">
        <v>227</v>
      </c>
      <c r="R40" s="21" t="s">
        <v>228</v>
      </c>
    </row>
    <row r="41" spans="17:18" ht="30" customHeight="1">
      <c r="Q41" s="25" t="s">
        <v>229</v>
      </c>
      <c r="R41" s="25" t="s">
        <v>230</v>
      </c>
    </row>
    <row r="42" spans="17:18" ht="30" customHeight="1">
      <c r="Q42" s="25" t="s">
        <v>247</v>
      </c>
      <c r="R42" s="25" t="s">
        <v>248</v>
      </c>
    </row>
    <row r="43" spans="17:18" ht="30" customHeight="1">
      <c r="Q43" s="25" t="s">
        <v>249</v>
      </c>
      <c r="R43" s="25" t="s">
        <v>250</v>
      </c>
    </row>
    <row r="44" spans="17:18" ht="30" customHeight="1">
      <c r="Q44" s="25" t="s">
        <v>251</v>
      </c>
      <c r="R44" s="25" t="s">
        <v>252</v>
      </c>
    </row>
    <row r="45" spans="17:18" ht="30" customHeight="1">
      <c r="Q45" s="25" t="s">
        <v>253</v>
      </c>
      <c r="R45" s="25" t="s">
        <v>259</v>
      </c>
    </row>
    <row r="46" spans="17:18" ht="30" customHeight="1">
      <c r="Q46" s="25" t="s">
        <v>254</v>
      </c>
      <c r="R46" s="25" t="s">
        <v>260</v>
      </c>
    </row>
    <row r="47" spans="17:18" ht="30" customHeight="1">
      <c r="Q47" s="25" t="s">
        <v>255</v>
      </c>
      <c r="R47" s="25" t="s">
        <v>261</v>
      </c>
    </row>
    <row r="48" spans="17:18" ht="30" customHeight="1">
      <c r="Q48" s="25" t="s">
        <v>256</v>
      </c>
      <c r="R48" s="25" t="s">
        <v>262</v>
      </c>
    </row>
    <row r="49" spans="17:18" ht="30" customHeight="1">
      <c r="Q49" s="25" t="s">
        <v>257</v>
      </c>
      <c r="R49" s="25" t="s">
        <v>263</v>
      </c>
    </row>
    <row r="50" spans="17:18" ht="30" customHeight="1">
      <c r="Q50" s="25" t="s">
        <v>258</v>
      </c>
      <c r="R50" s="25" t="s">
        <v>264</v>
      </c>
    </row>
    <row r="51" spans="17:18" ht="30" customHeight="1">
      <c r="Q51" s="21" t="s">
        <v>396</v>
      </c>
      <c r="R51" s="21" t="s">
        <v>399</v>
      </c>
    </row>
    <row r="52" spans="17:18" ht="30" customHeight="1">
      <c r="Q52" s="25" t="s">
        <v>397</v>
      </c>
      <c r="R52" s="25" t="s">
        <v>398</v>
      </c>
    </row>
    <row r="53" spans="17:18" ht="30" customHeight="1">
      <c r="Q53" s="25" t="s">
        <v>403</v>
      </c>
      <c r="R53" s="25" t="s">
        <v>406</v>
      </c>
    </row>
    <row r="54" spans="17:18" ht="30" customHeight="1">
      <c r="Q54" s="25" t="s">
        <v>404</v>
      </c>
      <c r="R54" s="25" t="s">
        <v>405</v>
      </c>
    </row>
    <row r="55" spans="17:18" ht="30" customHeight="1">
      <c r="Q55" s="161" t="s">
        <v>499</v>
      </c>
      <c r="R55" s="161" t="s">
        <v>501</v>
      </c>
    </row>
    <row r="56" spans="17:18" ht="30" customHeight="1">
      <c r="Q56" s="162" t="s">
        <v>500</v>
      </c>
      <c r="R56" s="162" t="s">
        <v>502</v>
      </c>
    </row>
    <row r="57" spans="17:18" ht="30" customHeight="1">
      <c r="Q57" s="21" t="s">
        <v>536</v>
      </c>
      <c r="R57" s="21" t="s">
        <v>537</v>
      </c>
    </row>
    <row r="58" spans="17:18" ht="30" customHeight="1">
      <c r="Q58" s="21" t="s">
        <v>538</v>
      </c>
      <c r="R58" s="21" t="s">
        <v>539</v>
      </c>
    </row>
    <row r="59" spans="17:18" ht="30" customHeight="1">
      <c r="Q59" s="21" t="s">
        <v>540</v>
      </c>
      <c r="R59" s="21" t="s">
        <v>541</v>
      </c>
    </row>
    <row r="60" spans="17:18" ht="30" customHeight="1">
      <c r="Q60" s="21" t="s">
        <v>542</v>
      </c>
      <c r="R60" s="21" t="s">
        <v>543</v>
      </c>
    </row>
    <row r="61" spans="17:18" ht="30" customHeight="1">
      <c r="Q61" s="21" t="s">
        <v>544</v>
      </c>
      <c r="R61" s="21" t="s">
        <v>545</v>
      </c>
    </row>
    <row r="62" spans="17:18" ht="30" customHeight="1">
      <c r="Q62" s="21" t="s">
        <v>546</v>
      </c>
      <c r="R62" s="21" t="s">
        <v>547</v>
      </c>
    </row>
    <row r="63" spans="17:18" ht="30" customHeight="1">
      <c r="Q63" s="21" t="s">
        <v>548</v>
      </c>
      <c r="R63" s="21" t="s">
        <v>549</v>
      </c>
    </row>
    <row r="64" spans="17:18" ht="30" customHeight="1">
      <c r="Q64" s="25" t="s">
        <v>550</v>
      </c>
      <c r="R64" s="25" t="s">
        <v>551</v>
      </c>
    </row>
    <row r="65" spans="17:18" ht="30" customHeight="1">
      <c r="Q65" s="25" t="s">
        <v>570</v>
      </c>
      <c r="R65" s="25" t="s">
        <v>571</v>
      </c>
    </row>
    <row r="66" spans="17:18" ht="30" customHeight="1">
      <c r="Q66" s="25" t="s">
        <v>572</v>
      </c>
      <c r="R66" s="25" t="s">
        <v>573</v>
      </c>
    </row>
    <row r="67" spans="17:18" ht="30" customHeight="1">
      <c r="Q67" s="25" t="s">
        <v>574</v>
      </c>
      <c r="R67" s="25" t="s">
        <v>575</v>
      </c>
    </row>
    <row r="68" spans="17:18" ht="30" customHeight="1">
      <c r="Q68" s="25" t="s">
        <v>576</v>
      </c>
      <c r="R68" s="25" t="s">
        <v>577</v>
      </c>
    </row>
    <row r="69" spans="17:18" ht="30" customHeight="1">
      <c r="Q69" s="25" t="s">
        <v>578</v>
      </c>
      <c r="R69" s="25" t="s">
        <v>579</v>
      </c>
    </row>
    <row r="70" spans="17:18" ht="30" customHeight="1">
      <c r="Q70" s="25" t="s">
        <v>580</v>
      </c>
      <c r="R70" s="25" t="s">
        <v>581</v>
      </c>
    </row>
    <row r="71" spans="17:18" ht="30" customHeight="1"/>
    <row r="72" spans="17:18" ht="30" customHeight="1"/>
    <row r="73" spans="17:18" ht="30" customHeight="1"/>
    <row r="74" spans="17:18" ht="30" customHeight="1"/>
    <row r="75" spans="17:18" ht="30" customHeight="1"/>
    <row r="76" spans="17:18" ht="30" customHeight="1"/>
    <row r="77" spans="17:18" ht="30" customHeight="1"/>
    <row r="78" spans="17:18" ht="30" customHeight="1"/>
    <row r="79" spans="17:18" ht="30" customHeight="1"/>
    <row r="80" spans="17:18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  <sheetView workbookViewId="1"/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43" t="s">
        <v>76</v>
      </c>
      <c r="D5" s="243"/>
      <c r="E5" s="243"/>
      <c r="F5" s="243"/>
      <c r="G5" s="243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74</v>
      </c>
      <c r="D9" s="95"/>
      <c r="G9" s="90"/>
    </row>
    <row r="10" spans="3:7">
      <c r="C10" s="91"/>
      <c r="G10" s="90"/>
    </row>
    <row r="11" spans="3:7">
      <c r="C11" s="91" t="s">
        <v>75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AD26"/>
  <sheetViews>
    <sheetView workbookViewId="0">
      <selection activeCell="F23" sqref="F23:I23"/>
    </sheetView>
    <sheetView workbookViewId="1"/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30" ht="21">
      <c r="B2" s="100" t="s">
        <v>463</v>
      </c>
      <c r="AD2" s="101" t="s">
        <v>424</v>
      </c>
    </row>
    <row r="4" spans="2:30" ht="20" customHeight="1">
      <c r="B4" s="102" t="s">
        <v>445</v>
      </c>
      <c r="C4" s="251" t="s">
        <v>624</v>
      </c>
      <c r="D4" s="252"/>
      <c r="E4" s="246" t="s">
        <v>11</v>
      </c>
      <c r="F4" s="246"/>
      <c r="G4" s="246"/>
      <c r="AD4" s="101" t="s">
        <v>436</v>
      </c>
    </row>
    <row r="5" spans="2:30" ht="20" customHeight="1">
      <c r="B5" s="102" t="s">
        <v>7</v>
      </c>
      <c r="C5" s="252" t="s">
        <v>46</v>
      </c>
      <c r="D5" s="252"/>
      <c r="AD5" s="101" t="s">
        <v>439</v>
      </c>
    </row>
    <row r="6" spans="2:30" ht="20" customHeight="1">
      <c r="B6" s="102" t="s">
        <v>446</v>
      </c>
      <c r="C6" s="252" t="s">
        <v>47</v>
      </c>
      <c r="D6" s="252"/>
    </row>
    <row r="7" spans="2:30" ht="20" customHeight="1">
      <c r="B7" s="102" t="s">
        <v>447</v>
      </c>
      <c r="C7" s="252" t="s">
        <v>621</v>
      </c>
      <c r="D7" s="252"/>
    </row>
    <row r="8" spans="2:30" ht="8" customHeight="1"/>
    <row r="9" spans="2:30" ht="20" customHeight="1">
      <c r="B9" s="156" t="s">
        <v>448</v>
      </c>
      <c r="C9" s="247" t="s">
        <v>481</v>
      </c>
      <c r="D9" s="247"/>
      <c r="E9" s="247"/>
      <c r="F9" s="247"/>
    </row>
    <row r="10" spans="2:30" ht="8" customHeight="1"/>
    <row r="11" spans="2:30" ht="20" customHeight="1">
      <c r="B11" s="156" t="s">
        <v>452</v>
      </c>
      <c r="C11" s="248">
        <v>2</v>
      </c>
      <c r="D11" s="248"/>
      <c r="E11" s="248">
        <v>3</v>
      </c>
      <c r="F11" s="248"/>
      <c r="G11" s="248">
        <v>4</v>
      </c>
      <c r="H11" s="248"/>
      <c r="I11" s="248">
        <v>5</v>
      </c>
      <c r="J11" s="248"/>
      <c r="K11" s="248">
        <v>6</v>
      </c>
      <c r="L11" s="248"/>
      <c r="M11" s="249" t="s">
        <v>439</v>
      </c>
      <c r="N11" s="249"/>
    </row>
    <row r="12" spans="2:30" ht="8" customHeight="1"/>
    <row r="13" spans="2:30" ht="20" customHeight="1">
      <c r="B13" s="156" t="s">
        <v>464</v>
      </c>
      <c r="C13" s="248" t="s">
        <v>421</v>
      </c>
      <c r="D13" s="248"/>
      <c r="E13" s="248" t="s">
        <v>422</v>
      </c>
      <c r="F13" s="248"/>
      <c r="G13" s="248" t="s">
        <v>423</v>
      </c>
      <c r="H13" s="248"/>
      <c r="I13" s="249" t="s">
        <v>424</v>
      </c>
      <c r="J13" s="249"/>
      <c r="K13" s="248" t="s">
        <v>425</v>
      </c>
      <c r="L13" s="248"/>
    </row>
    <row r="14" spans="2:30" ht="8" customHeight="1"/>
    <row r="15" spans="2:30" ht="20" customHeight="1">
      <c r="B15" s="156" t="s">
        <v>450</v>
      </c>
      <c r="C15" s="248" t="s">
        <v>470</v>
      </c>
      <c r="D15" s="248"/>
      <c r="E15" s="248" t="s">
        <v>471</v>
      </c>
      <c r="F15" s="248"/>
    </row>
    <row r="16" spans="2:30" ht="8" customHeight="1"/>
    <row r="17" spans="2:14" ht="20" customHeight="1">
      <c r="B17" s="160" t="s">
        <v>559</v>
      </c>
      <c r="C17" s="250" t="s">
        <v>565</v>
      </c>
      <c r="D17" s="250"/>
      <c r="E17" s="250"/>
      <c r="F17" s="250"/>
      <c r="G17" s="250"/>
      <c r="I17" s="250" t="s">
        <v>566</v>
      </c>
      <c r="J17" s="250"/>
      <c r="K17" s="250"/>
      <c r="L17" s="250"/>
      <c r="M17" s="250"/>
    </row>
    <row r="18" spans="2:14" ht="20" customHeight="1">
      <c r="C18" s="157" t="s">
        <v>560</v>
      </c>
      <c r="D18" s="157" t="s">
        <v>561</v>
      </c>
      <c r="E18" s="157" t="s">
        <v>562</v>
      </c>
      <c r="F18" s="157" t="s">
        <v>563</v>
      </c>
      <c r="G18" s="157" t="s">
        <v>564</v>
      </c>
      <c r="H18" s="157" t="s">
        <v>435</v>
      </c>
      <c r="I18" s="157" t="s">
        <v>564</v>
      </c>
      <c r="J18" s="157" t="s">
        <v>563</v>
      </c>
      <c r="K18" s="157" t="s">
        <v>562</v>
      </c>
      <c r="L18" s="157" t="s">
        <v>561</v>
      </c>
      <c r="M18" s="157" t="s">
        <v>560</v>
      </c>
    </row>
    <row r="19" spans="2:14" ht="20" customHeight="1">
      <c r="B19" s="156" t="s">
        <v>568</v>
      </c>
      <c r="C19" s="158"/>
      <c r="D19" s="159"/>
      <c r="E19" s="159"/>
      <c r="F19" s="159"/>
      <c r="G19" s="159"/>
      <c r="H19" s="159"/>
      <c r="I19" s="168"/>
      <c r="J19" s="159"/>
      <c r="K19" s="159"/>
      <c r="L19" s="159"/>
      <c r="M19" s="158"/>
    </row>
    <row r="20" spans="2:14" ht="8" customHeight="1"/>
    <row r="21" spans="2:14" ht="20" customHeight="1">
      <c r="B21" s="156" t="s">
        <v>453</v>
      </c>
      <c r="C21" s="244"/>
      <c r="D21" s="244"/>
      <c r="E21" s="244"/>
      <c r="F21" s="244"/>
      <c r="G21" s="244"/>
      <c r="H21" s="244"/>
      <c r="I21" s="244"/>
      <c r="J21" s="244"/>
      <c r="K21" s="244"/>
      <c r="L21" s="244"/>
      <c r="M21" s="244"/>
      <c r="N21" s="244"/>
    </row>
    <row r="22" spans="2:14" ht="8" customHeight="1"/>
    <row r="23" spans="2:14" ht="26" customHeight="1">
      <c r="C23" s="245" t="s">
        <v>466</v>
      </c>
      <c r="D23" s="245"/>
      <c r="F23" s="246" t="s">
        <v>476</v>
      </c>
      <c r="G23" s="246"/>
      <c r="H23" s="246"/>
      <c r="I23" s="246"/>
    </row>
    <row r="24" spans="2:14" ht="26" customHeight="1"/>
    <row r="25" spans="2:14" ht="8" customHeight="1"/>
    <row r="26" spans="2:14" ht="26" customHeight="1"/>
  </sheetData>
  <mergeCells count="24">
    <mergeCell ref="K13:L13"/>
    <mergeCell ref="C15:D15"/>
    <mergeCell ref="E15:F15"/>
    <mergeCell ref="C4:D4"/>
    <mergeCell ref="C5:D5"/>
    <mergeCell ref="C6:D6"/>
    <mergeCell ref="C7:D7"/>
    <mergeCell ref="E4:G4"/>
    <mergeCell ref="C21:N21"/>
    <mergeCell ref="C23:D23"/>
    <mergeCell ref="F23:I23"/>
    <mergeCell ref="C9:F9"/>
    <mergeCell ref="C11:D11"/>
    <mergeCell ref="E11:F11"/>
    <mergeCell ref="G11:H11"/>
    <mergeCell ref="I11:J11"/>
    <mergeCell ref="K11:L11"/>
    <mergeCell ref="C13:D13"/>
    <mergeCell ref="E13:F13"/>
    <mergeCell ref="M11:N11"/>
    <mergeCell ref="C17:G17"/>
    <mergeCell ref="I17:M17"/>
    <mergeCell ref="G13:H13"/>
    <mergeCell ref="I13:J1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4D617E-A8DD-FB46-A0A4-E956852BC56D}">
          <x14:formula1>
            <xm:f>Paramètres!$AA$1:$AA$24</xm:f>
          </x14:formula1>
          <xm:sqref>C9:F9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AD22"/>
  <sheetViews>
    <sheetView workbookViewId="0">
      <selection activeCell="F19" sqref="F19:I19"/>
    </sheetView>
    <sheetView workbookViewId="1"/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30" ht="21">
      <c r="B2" s="100" t="s">
        <v>467</v>
      </c>
      <c r="AD2" s="101" t="s">
        <v>436</v>
      </c>
    </row>
    <row r="3" spans="2:30">
      <c r="AD3" s="101" t="s">
        <v>443</v>
      </c>
    </row>
    <row r="4" spans="2:30" ht="20" customHeight="1">
      <c r="B4" s="102" t="s">
        <v>445</v>
      </c>
      <c r="C4" s="251" t="s">
        <v>628</v>
      </c>
      <c r="D4" s="252"/>
      <c r="E4" s="246" t="s">
        <v>11</v>
      </c>
      <c r="F4" s="246"/>
      <c r="G4" s="246"/>
      <c r="AD4" s="101" t="s">
        <v>462</v>
      </c>
    </row>
    <row r="5" spans="2:30" ht="20" customHeight="1">
      <c r="B5" s="102" t="s">
        <v>7</v>
      </c>
      <c r="C5" s="252" t="s">
        <v>46</v>
      </c>
      <c r="D5" s="252"/>
    </row>
    <row r="6" spans="2:30" ht="20" customHeight="1">
      <c r="B6" s="102" t="s">
        <v>472</v>
      </c>
      <c r="C6" s="252" t="s">
        <v>55</v>
      </c>
      <c r="D6" s="252"/>
    </row>
    <row r="7" spans="2:30" ht="20" customHeight="1">
      <c r="B7" s="102" t="s">
        <v>447</v>
      </c>
      <c r="C7" s="252" t="s">
        <v>617</v>
      </c>
      <c r="D7" s="252"/>
    </row>
    <row r="8" spans="2:30" ht="8" customHeight="1"/>
    <row r="9" spans="2:30" ht="20" customHeight="1">
      <c r="B9" s="160" t="s">
        <v>567</v>
      </c>
      <c r="C9" s="250" t="s">
        <v>565</v>
      </c>
      <c r="D9" s="250"/>
      <c r="E9" s="250"/>
      <c r="F9" s="250"/>
      <c r="G9" s="250"/>
      <c r="I9" s="250" t="s">
        <v>566</v>
      </c>
      <c r="J9" s="250"/>
      <c r="K9" s="250"/>
      <c r="L9" s="250"/>
      <c r="M9" s="250"/>
    </row>
    <row r="10" spans="2:30" ht="20" customHeight="1">
      <c r="C10" s="157" t="s">
        <v>560</v>
      </c>
      <c r="D10" s="157" t="s">
        <v>561</v>
      </c>
      <c r="E10" s="157" t="s">
        <v>562</v>
      </c>
      <c r="F10" s="157" t="s">
        <v>563</v>
      </c>
      <c r="G10" s="157" t="s">
        <v>564</v>
      </c>
      <c r="H10" s="157" t="s">
        <v>435</v>
      </c>
      <c r="I10" s="157" t="s">
        <v>564</v>
      </c>
      <c r="J10" s="157" t="s">
        <v>563</v>
      </c>
      <c r="K10" s="157" t="s">
        <v>562</v>
      </c>
      <c r="L10" s="157" t="s">
        <v>561</v>
      </c>
      <c r="M10" s="157" t="s">
        <v>560</v>
      </c>
    </row>
    <row r="11" spans="2:30" ht="20" customHeight="1">
      <c r="B11" s="156" t="s">
        <v>441</v>
      </c>
      <c r="C11" s="158"/>
      <c r="D11" s="159"/>
      <c r="E11" s="159"/>
      <c r="F11" s="159"/>
      <c r="G11" s="159"/>
      <c r="H11" s="159"/>
      <c r="I11" s="159"/>
      <c r="J11" s="159"/>
      <c r="K11" s="159"/>
      <c r="L11" s="159"/>
      <c r="M11" s="158"/>
    </row>
    <row r="12" spans="2:30" ht="20" customHeight="1">
      <c r="B12" s="156" t="s">
        <v>442</v>
      </c>
      <c r="C12" s="158"/>
      <c r="D12" s="159"/>
      <c r="E12" s="159"/>
      <c r="F12" s="159"/>
      <c r="G12" s="159"/>
      <c r="H12" s="159"/>
      <c r="I12" s="159"/>
      <c r="J12" s="159"/>
      <c r="K12" s="159"/>
      <c r="L12" s="159"/>
      <c r="M12" s="158"/>
    </row>
    <row r="13" spans="2:30" ht="20" customHeight="1">
      <c r="B13" s="156" t="s">
        <v>443</v>
      </c>
      <c r="C13" s="158"/>
      <c r="D13" s="159"/>
      <c r="E13" s="159"/>
      <c r="F13" s="159"/>
      <c r="G13" s="159"/>
      <c r="H13" s="159"/>
      <c r="I13" s="168"/>
      <c r="J13" s="159"/>
      <c r="K13" s="159"/>
      <c r="L13" s="159"/>
      <c r="M13" s="158"/>
    </row>
    <row r="14" spans="2:30" ht="8" customHeight="1"/>
    <row r="15" spans="2:30" ht="20" customHeight="1">
      <c r="B15" s="156" t="s">
        <v>468</v>
      </c>
      <c r="C15" s="248" t="s">
        <v>461</v>
      </c>
      <c r="D15" s="248"/>
      <c r="E15" s="248" t="s">
        <v>170</v>
      </c>
      <c r="F15" s="248"/>
      <c r="G15" s="249" t="s">
        <v>462</v>
      </c>
      <c r="H15" s="249"/>
    </row>
    <row r="16" spans="2:30" ht="8" customHeight="1"/>
    <row r="17" spans="2:14" ht="20" customHeight="1">
      <c r="B17" s="156" t="s">
        <v>453</v>
      </c>
      <c r="C17" s="244"/>
      <c r="D17" s="244"/>
      <c r="E17" s="244"/>
      <c r="F17" s="244"/>
      <c r="G17" s="244"/>
      <c r="H17" s="244"/>
      <c r="I17" s="244"/>
      <c r="J17" s="244"/>
      <c r="K17" s="244"/>
      <c r="L17" s="244"/>
      <c r="M17" s="244"/>
      <c r="N17" s="244"/>
    </row>
    <row r="18" spans="2:14" ht="8" customHeight="1"/>
    <row r="19" spans="2:14" ht="26" customHeight="1">
      <c r="C19" s="245" t="s">
        <v>466</v>
      </c>
      <c r="D19" s="245"/>
      <c r="F19" s="246" t="s">
        <v>476</v>
      </c>
      <c r="G19" s="246"/>
      <c r="H19" s="246"/>
      <c r="I19" s="246"/>
    </row>
    <row r="20" spans="2:14" ht="26" customHeight="1"/>
    <row r="21" spans="2:14" ht="8" customHeight="1"/>
    <row r="22" spans="2:14" ht="26" customHeight="1"/>
  </sheetData>
  <mergeCells count="13">
    <mergeCell ref="C17:N17"/>
    <mergeCell ref="C19:D19"/>
    <mergeCell ref="F19:I19"/>
    <mergeCell ref="C4:D4"/>
    <mergeCell ref="C5:D5"/>
    <mergeCell ref="C6:D6"/>
    <mergeCell ref="C7:D7"/>
    <mergeCell ref="E4:G4"/>
    <mergeCell ref="C9:G9"/>
    <mergeCell ref="I9:M9"/>
    <mergeCell ref="C15:D15"/>
    <mergeCell ref="E15:F15"/>
    <mergeCell ref="G15:H1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E32" sqref="E32:H32"/>
    </sheetView>
    <sheetView workbookViewId="1"/>
  </sheetViews>
  <sheetFormatPr baseColWidth="10" defaultRowHeight="14"/>
  <cols>
    <col min="1" max="1" width="2.83203125" style="101" customWidth="1"/>
    <col min="2" max="3" width="14.83203125" style="101" customWidth="1"/>
    <col min="4" max="4" width="4.33203125" style="101" customWidth="1"/>
    <col min="5" max="6" width="14.83203125" style="101" customWidth="1"/>
    <col min="7" max="7" width="4.83203125" style="101" customWidth="1"/>
    <col min="8" max="9" width="14.83203125" style="101" customWidth="1"/>
    <col min="10" max="10" width="4.83203125" style="101" customWidth="1"/>
    <col min="11" max="21" width="5.1640625" style="101" customWidth="1"/>
    <col min="22" max="16384" width="10.83203125" style="101"/>
  </cols>
  <sheetData>
    <row r="2" spans="2:21" ht="21">
      <c r="B2" s="100" t="s">
        <v>588</v>
      </c>
    </row>
    <row r="4" spans="2:21" ht="14" customHeight="1">
      <c r="B4" s="102" t="s">
        <v>445</v>
      </c>
      <c r="C4" s="251" t="s">
        <v>623</v>
      </c>
      <c r="D4" s="252"/>
      <c r="E4" s="246" t="s">
        <v>11</v>
      </c>
      <c r="F4" s="246"/>
      <c r="K4" s="256"/>
      <c r="L4" s="256"/>
      <c r="M4" s="256"/>
      <c r="N4" s="256"/>
      <c r="O4" s="256"/>
      <c r="P4" s="256"/>
      <c r="Q4" s="256"/>
      <c r="R4" s="256"/>
      <c r="S4" s="256"/>
      <c r="T4" s="256"/>
      <c r="U4" s="256"/>
    </row>
    <row r="5" spans="2:21" ht="15" customHeight="1">
      <c r="B5" s="102" t="s">
        <v>7</v>
      </c>
      <c r="C5" s="252" t="s">
        <v>46</v>
      </c>
      <c r="D5" s="252"/>
      <c r="K5" s="256"/>
      <c r="L5" s="256"/>
      <c r="M5" s="256"/>
      <c r="N5" s="256"/>
      <c r="O5" s="256"/>
      <c r="P5" s="256"/>
      <c r="Q5" s="256"/>
      <c r="R5" s="256"/>
      <c r="S5" s="256"/>
      <c r="T5" s="256"/>
      <c r="U5" s="256"/>
    </row>
    <row r="6" spans="2:21">
      <c r="B6" s="102" t="s">
        <v>475</v>
      </c>
      <c r="C6" s="252" t="s">
        <v>55</v>
      </c>
      <c r="D6" s="252"/>
    </row>
    <row r="7" spans="2:21" ht="32" customHeight="1">
      <c r="K7" s="253"/>
      <c r="L7" s="254"/>
      <c r="M7" s="254"/>
      <c r="O7" s="253"/>
      <c r="P7" s="254"/>
      <c r="Q7" s="254"/>
      <c r="S7" s="253"/>
      <c r="T7" s="254"/>
      <c r="U7" s="254"/>
    </row>
    <row r="8" spans="2:21" ht="10" customHeight="1"/>
    <row r="9" spans="2:21" ht="32" customHeight="1">
      <c r="B9" s="248" t="s">
        <v>589</v>
      </c>
      <c r="C9" s="248"/>
      <c r="E9" s="248" t="s">
        <v>597</v>
      </c>
      <c r="F9" s="248"/>
      <c r="H9" s="248" t="s">
        <v>608</v>
      </c>
      <c r="I9" s="248"/>
      <c r="M9" s="253"/>
      <c r="N9" s="254"/>
      <c r="O9" s="254"/>
      <c r="Q9" s="253"/>
      <c r="R9" s="254"/>
      <c r="S9" s="254"/>
    </row>
    <row r="10" spans="2:21" ht="10" customHeight="1"/>
    <row r="11" spans="2:21" ht="32" customHeight="1">
      <c r="B11" s="248" t="s">
        <v>590</v>
      </c>
      <c r="C11" s="248"/>
      <c r="E11" s="248" t="s">
        <v>598</v>
      </c>
      <c r="F11" s="248"/>
      <c r="H11" s="248" t="s">
        <v>609</v>
      </c>
      <c r="I11" s="248"/>
      <c r="K11" s="253"/>
      <c r="L11" s="254"/>
      <c r="M11" s="254"/>
      <c r="O11" s="253"/>
      <c r="P11" s="254"/>
      <c r="Q11" s="254"/>
      <c r="S11" s="253"/>
      <c r="T11" s="254"/>
      <c r="U11" s="254"/>
    </row>
    <row r="12" spans="2:21" ht="10" customHeight="1"/>
    <row r="13" spans="2:21" ht="32" customHeight="1">
      <c r="B13" s="248" t="s">
        <v>591</v>
      </c>
      <c r="C13" s="248"/>
      <c r="E13" s="248" t="s">
        <v>599</v>
      </c>
      <c r="F13" s="248"/>
      <c r="H13" s="248" t="s">
        <v>610</v>
      </c>
      <c r="I13" s="248"/>
      <c r="M13" s="253"/>
      <c r="N13" s="254"/>
      <c r="O13" s="254"/>
    </row>
    <row r="14" spans="2:21" ht="10" customHeight="1"/>
    <row r="15" spans="2:21" ht="32" customHeight="1">
      <c r="B15" s="248" t="s">
        <v>592</v>
      </c>
      <c r="C15" s="248"/>
      <c r="E15" s="248" t="s">
        <v>600</v>
      </c>
      <c r="F15" s="248"/>
      <c r="H15" s="248" t="s">
        <v>611</v>
      </c>
      <c r="I15" s="248"/>
      <c r="P15" s="253"/>
      <c r="Q15" s="254"/>
      <c r="R15" s="254"/>
    </row>
    <row r="16" spans="2:21" ht="10" customHeight="1"/>
    <row r="17" spans="2:21" ht="32" customHeight="1">
      <c r="B17" s="248" t="s">
        <v>593</v>
      </c>
      <c r="C17" s="248"/>
      <c r="E17" s="248" t="s">
        <v>601</v>
      </c>
      <c r="F17" s="257"/>
      <c r="H17" s="248" t="s">
        <v>612</v>
      </c>
      <c r="I17" s="248"/>
      <c r="M17" s="253"/>
      <c r="N17" s="254"/>
      <c r="O17" s="254"/>
      <c r="Q17" s="253"/>
      <c r="R17" s="255"/>
      <c r="S17" s="255"/>
    </row>
    <row r="18" spans="2:21" ht="10" customHeight="1"/>
    <row r="19" spans="2:21" ht="32" customHeight="1">
      <c r="E19" s="248" t="s">
        <v>602</v>
      </c>
      <c r="F19" s="248"/>
      <c r="H19" s="248" t="s">
        <v>613</v>
      </c>
      <c r="I19" s="248"/>
      <c r="K19" s="253"/>
      <c r="L19" s="254"/>
      <c r="M19" s="254"/>
      <c r="O19" s="253"/>
      <c r="P19" s="254"/>
      <c r="Q19" s="254"/>
      <c r="S19" s="253"/>
      <c r="T19" s="254"/>
      <c r="U19" s="254"/>
    </row>
    <row r="20" spans="2:21" ht="10" customHeight="1"/>
    <row r="21" spans="2:21" ht="25" customHeight="1">
      <c r="B21" s="248" t="s">
        <v>594</v>
      </c>
      <c r="C21" s="248"/>
      <c r="E21" s="248" t="s">
        <v>603</v>
      </c>
      <c r="F21" s="248"/>
      <c r="H21" s="248" t="s">
        <v>614</v>
      </c>
      <c r="I21" s="248"/>
      <c r="K21" s="253"/>
      <c r="L21" s="254"/>
      <c r="M21" s="254"/>
      <c r="S21" s="253"/>
      <c r="T21" s="254"/>
      <c r="U21" s="254"/>
    </row>
    <row r="22" spans="2:21" ht="10" customHeight="1"/>
    <row r="23" spans="2:21" ht="25" customHeight="1">
      <c r="B23" s="248" t="s">
        <v>595</v>
      </c>
      <c r="C23" s="248"/>
      <c r="E23" s="248" t="s">
        <v>604</v>
      </c>
      <c r="F23" s="248"/>
      <c r="H23" s="248" t="s">
        <v>511</v>
      </c>
      <c r="I23" s="248"/>
      <c r="K23" s="253"/>
      <c r="L23" s="253"/>
      <c r="M23" s="253"/>
      <c r="S23" s="253"/>
      <c r="T23" s="253"/>
      <c r="U23" s="253"/>
    </row>
    <row r="24" spans="2:21" ht="10" customHeight="1"/>
    <row r="25" spans="2:21" ht="25" customHeight="1">
      <c r="B25" s="248" t="s">
        <v>596</v>
      </c>
      <c r="C25" s="248"/>
      <c r="E25" s="248" t="s">
        <v>605</v>
      </c>
      <c r="F25" s="248"/>
      <c r="H25" s="248" t="s">
        <v>156</v>
      </c>
      <c r="I25" s="248"/>
    </row>
    <row r="26" spans="2:21" ht="10" customHeight="1"/>
    <row r="27" spans="2:21" ht="25" customHeight="1">
      <c r="B27" s="248" t="s">
        <v>167</v>
      </c>
      <c r="C27" s="248"/>
      <c r="E27" s="249" t="s">
        <v>606</v>
      </c>
      <c r="F27" s="248"/>
      <c r="H27" s="248" t="s">
        <v>615</v>
      </c>
      <c r="I27" s="248"/>
    </row>
    <row r="28" spans="2:21" ht="10" customHeight="1"/>
    <row r="29" spans="2:21" ht="25" customHeight="1">
      <c r="B29" s="248" t="s">
        <v>32</v>
      </c>
      <c r="C29" s="248"/>
      <c r="E29" s="248" t="s">
        <v>607</v>
      </c>
      <c r="F29" s="248"/>
      <c r="H29" s="248" t="s">
        <v>558</v>
      </c>
      <c r="I29" s="248"/>
    </row>
    <row r="30" spans="2:21" ht="10" customHeight="1"/>
    <row r="31" spans="2:21" ht="9" customHeight="1"/>
    <row r="32" spans="2:21" ht="26" customHeight="1">
      <c r="B32" s="245" t="s">
        <v>466</v>
      </c>
      <c r="C32" s="245"/>
      <c r="D32" s="121"/>
      <c r="E32" s="246" t="s">
        <v>476</v>
      </c>
      <c r="F32" s="246"/>
      <c r="G32" s="246"/>
      <c r="H32" s="246"/>
      <c r="I32" s="121"/>
    </row>
  </sheetData>
  <mergeCells count="58">
    <mergeCell ref="H19:I19"/>
    <mergeCell ref="H21:I21"/>
    <mergeCell ref="H23:I23"/>
    <mergeCell ref="H25:I25"/>
    <mergeCell ref="B21:C21"/>
    <mergeCell ref="B23:C23"/>
    <mergeCell ref="B25:C25"/>
    <mergeCell ref="E23:F23"/>
    <mergeCell ref="E25:F25"/>
    <mergeCell ref="S23:U23"/>
    <mergeCell ref="K23:M23"/>
    <mergeCell ref="E4:F4"/>
    <mergeCell ref="E21:F21"/>
    <mergeCell ref="C4:D4"/>
    <mergeCell ref="C5:D5"/>
    <mergeCell ref="C6:D6"/>
    <mergeCell ref="B9:C9"/>
    <mergeCell ref="B17:C17"/>
    <mergeCell ref="B15:C15"/>
    <mergeCell ref="B13:C13"/>
    <mergeCell ref="B11:C11"/>
    <mergeCell ref="E19:F19"/>
    <mergeCell ref="H17:I17"/>
    <mergeCell ref="H11:I11"/>
    <mergeCell ref="E17:F17"/>
    <mergeCell ref="H27:I27"/>
    <mergeCell ref="H29:I29"/>
    <mergeCell ref="B32:C32"/>
    <mergeCell ref="E32:H32"/>
    <mergeCell ref="B27:C27"/>
    <mergeCell ref="B29:C29"/>
    <mergeCell ref="E27:F27"/>
    <mergeCell ref="E29:F29"/>
    <mergeCell ref="E13:F13"/>
    <mergeCell ref="E9:F9"/>
    <mergeCell ref="H9:I9"/>
    <mergeCell ref="K4:U5"/>
    <mergeCell ref="E15:F15"/>
    <mergeCell ref="H15:I15"/>
    <mergeCell ref="E11:F11"/>
    <mergeCell ref="H13:I13"/>
    <mergeCell ref="K7:M7"/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  <mergeCell ref="O7:Q7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14" sqref="D14"/>
    </sheetView>
    <sheetView workbookViewId="1"/>
  </sheetViews>
  <sheetFormatPr baseColWidth="10" defaultRowHeight="14"/>
  <cols>
    <col min="1" max="1" width="2.83203125" style="101" customWidth="1"/>
    <col min="2" max="2" width="26.83203125" style="101" customWidth="1"/>
    <col min="3" max="3" width="3.83203125" style="101" customWidth="1"/>
    <col min="4" max="4" width="26.83203125" style="101" customWidth="1"/>
    <col min="5" max="5" width="16.83203125" style="101" customWidth="1"/>
    <col min="6" max="9" width="10.83203125" style="101"/>
    <col min="10" max="13" width="0" style="101" hidden="1" customWidth="1"/>
    <col min="14" max="16384" width="10.83203125" style="101"/>
  </cols>
  <sheetData>
    <row r="1" spans="2:12">
      <c r="J1" s="101" t="s">
        <v>514</v>
      </c>
      <c r="L1" s="101" t="s">
        <v>529</v>
      </c>
    </row>
    <row r="2" spans="2:12" ht="21">
      <c r="B2" s="100" t="s">
        <v>495</v>
      </c>
      <c r="J2" s="101" t="s">
        <v>515</v>
      </c>
      <c r="L2" s="101" t="s">
        <v>530</v>
      </c>
    </row>
    <row r="3" spans="2:12">
      <c r="J3" s="101" t="s">
        <v>516</v>
      </c>
      <c r="L3" s="101" t="s">
        <v>531</v>
      </c>
    </row>
    <row r="4" spans="2:12">
      <c r="B4" s="102" t="s">
        <v>445</v>
      </c>
      <c r="D4" s="136" t="s">
        <v>513</v>
      </c>
      <c r="E4" s="104" t="s">
        <v>11</v>
      </c>
      <c r="J4" s="101" t="s">
        <v>517</v>
      </c>
      <c r="L4" s="101" t="s">
        <v>532</v>
      </c>
    </row>
    <row r="5" spans="2:12">
      <c r="B5" s="118" t="s">
        <v>498</v>
      </c>
      <c r="D5" s="122">
        <v>22</v>
      </c>
      <c r="J5" s="101" t="s">
        <v>518</v>
      </c>
      <c r="L5" s="101" t="s">
        <v>533</v>
      </c>
    </row>
    <row r="6" spans="2:12">
      <c r="J6" s="101" t="s">
        <v>519</v>
      </c>
      <c r="L6" s="101" t="s">
        <v>534</v>
      </c>
    </row>
    <row r="7" spans="2:12">
      <c r="B7" s="118" t="s">
        <v>496</v>
      </c>
      <c r="D7" s="118" t="s">
        <v>497</v>
      </c>
      <c r="J7" s="101" t="s">
        <v>520</v>
      </c>
      <c r="L7" s="101" t="s">
        <v>535</v>
      </c>
    </row>
    <row r="8" spans="2:12">
      <c r="B8" s="123" t="s">
        <v>514</v>
      </c>
      <c r="D8" s="123" t="s">
        <v>529</v>
      </c>
      <c r="J8" s="101" t="s">
        <v>521</v>
      </c>
    </row>
    <row r="9" spans="2:12">
      <c r="B9" s="123"/>
      <c r="D9" s="123"/>
      <c r="J9" s="101" t="s">
        <v>522</v>
      </c>
    </row>
    <row r="10" spans="2:12">
      <c r="B10" s="123"/>
      <c r="D10" s="123"/>
      <c r="J10" s="101" t="s">
        <v>523</v>
      </c>
    </row>
    <row r="11" spans="2:12">
      <c r="B11" s="123"/>
      <c r="D11" s="123"/>
      <c r="J11" s="101" t="s">
        <v>524</v>
      </c>
    </row>
    <row r="12" spans="2:12">
      <c r="B12" s="123"/>
      <c r="D12" s="123"/>
      <c r="J12" s="101" t="s">
        <v>525</v>
      </c>
    </row>
    <row r="13" spans="2:12">
      <c r="J13" s="101" t="s">
        <v>526</v>
      </c>
    </row>
    <row r="14" spans="2:12" ht="26" customHeight="1">
      <c r="B14" s="103" t="s">
        <v>466</v>
      </c>
      <c r="C14" s="121"/>
      <c r="D14" s="104" t="s">
        <v>465</v>
      </c>
      <c r="J14" s="101" t="s">
        <v>527</v>
      </c>
    </row>
    <row r="15" spans="2:12">
      <c r="J15" s="101" t="s">
        <v>528</v>
      </c>
    </row>
  </sheetData>
  <dataValidations count="2">
    <dataValidation type="list" allowBlank="1" showInputMessage="1" showErrorMessage="1" sqref="B10 B11 B8 B9 B12" xr:uid="{F7A6CCAA-80A4-8343-8967-F77A880E48F6}">
      <formula1>$J$1:$J$15</formula1>
    </dataValidation>
    <dataValidation type="list" allowBlank="1" showInputMessage="1" showErrorMessage="1" sqref="D10 D11 D8 D9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  <sheetView workbookViewId="1"/>
  </sheetViews>
  <sheetFormatPr baseColWidth="10" defaultRowHeight="14"/>
  <cols>
    <col min="1" max="1" width="10.83203125" style="101"/>
    <col min="2" max="2" width="20.83203125" style="101" customWidth="1"/>
    <col min="3" max="5" width="12.83203125" style="101" customWidth="1"/>
    <col min="6" max="6" width="3.83203125" style="101" customWidth="1"/>
    <col min="7" max="8" width="12.83203125" style="101" customWidth="1"/>
    <col min="9" max="16384" width="10.83203125" style="101"/>
  </cols>
  <sheetData>
    <row r="2" spans="2:8" ht="21">
      <c r="B2" s="100" t="s">
        <v>552</v>
      </c>
    </row>
    <row r="4" spans="2:8">
      <c r="B4" s="102" t="s">
        <v>553</v>
      </c>
      <c r="C4" s="251" t="s">
        <v>625</v>
      </c>
      <c r="D4" s="252"/>
      <c r="G4" s="246" t="s">
        <v>11</v>
      </c>
      <c r="H4" s="246"/>
    </row>
    <row r="5" spans="2:8">
      <c r="B5" s="102" t="s">
        <v>7</v>
      </c>
      <c r="C5" s="252" t="s">
        <v>46</v>
      </c>
      <c r="D5" s="252"/>
    </row>
    <row r="7" spans="2:8" ht="22" customHeight="1">
      <c r="B7" s="259" t="s">
        <v>554</v>
      </c>
      <c r="C7" s="259"/>
      <c r="D7" s="259"/>
      <c r="E7" s="259"/>
      <c r="F7" s="259"/>
      <c r="G7" s="259"/>
      <c r="H7" s="259"/>
    </row>
    <row r="9" spans="2:8" ht="22" customHeight="1">
      <c r="B9" s="249" t="s">
        <v>626</v>
      </c>
      <c r="C9" s="249"/>
      <c r="D9" s="249"/>
      <c r="E9" s="249"/>
      <c r="F9" s="249"/>
      <c r="G9" s="249"/>
      <c r="H9" s="249"/>
    </row>
    <row r="10" spans="2:8" ht="8" customHeight="1"/>
    <row r="11" spans="2:8" ht="22" customHeight="1">
      <c r="B11" s="249" t="s">
        <v>627</v>
      </c>
      <c r="C11" s="249"/>
      <c r="D11" s="249"/>
      <c r="E11" s="249"/>
      <c r="F11" s="249"/>
      <c r="G11" s="249"/>
      <c r="H11" s="249"/>
    </row>
    <row r="12" spans="2:8" ht="8" customHeight="1"/>
    <row r="13" spans="2:8" ht="22" customHeight="1">
      <c r="B13" s="258"/>
      <c r="C13" s="258"/>
      <c r="D13" s="258"/>
      <c r="E13" s="258"/>
      <c r="F13" s="258"/>
      <c r="G13" s="258"/>
      <c r="H13" s="258"/>
    </row>
    <row r="14" spans="2:8" ht="8" customHeight="1"/>
    <row r="15" spans="2:8" ht="22" customHeight="1">
      <c r="B15" s="258"/>
      <c r="C15" s="258"/>
      <c r="D15" s="258"/>
      <c r="E15" s="258"/>
      <c r="F15" s="258"/>
      <c r="G15" s="258"/>
      <c r="H15" s="258"/>
    </row>
    <row r="16" spans="2:8" ht="8" customHeight="1"/>
    <row r="17" spans="2:8" ht="22" customHeight="1">
      <c r="B17" s="258"/>
      <c r="C17" s="258"/>
      <c r="D17" s="258"/>
      <c r="E17" s="258"/>
      <c r="F17" s="258"/>
      <c r="G17" s="258"/>
      <c r="H17" s="258"/>
    </row>
    <row r="18" spans="2:8" ht="8" customHeight="1"/>
    <row r="19" spans="2:8" ht="22" customHeight="1">
      <c r="B19" s="258"/>
      <c r="C19" s="258"/>
      <c r="D19" s="258"/>
      <c r="E19" s="258"/>
      <c r="F19" s="258"/>
      <c r="G19" s="258"/>
      <c r="H19" s="258"/>
    </row>
    <row r="20" spans="2:8" ht="8" customHeight="1"/>
    <row r="21" spans="2:8" ht="22" customHeight="1">
      <c r="B21" s="258"/>
      <c r="C21" s="258"/>
      <c r="D21" s="258"/>
      <c r="E21" s="258"/>
      <c r="F21" s="258"/>
      <c r="G21" s="258"/>
      <c r="H21" s="258"/>
    </row>
    <row r="22" spans="2:8" ht="8" customHeight="1"/>
    <row r="23" spans="2:8" ht="22" customHeight="1">
      <c r="B23" s="258"/>
      <c r="C23" s="258"/>
      <c r="D23" s="258"/>
      <c r="E23" s="258"/>
      <c r="F23" s="258"/>
      <c r="G23" s="258"/>
      <c r="H23" s="258"/>
    </row>
    <row r="24" spans="2:8" ht="8" customHeight="1"/>
    <row r="25" spans="2:8" ht="22" customHeight="1">
      <c r="B25" s="258"/>
      <c r="C25" s="258"/>
      <c r="D25" s="258"/>
      <c r="E25" s="258"/>
      <c r="F25" s="258"/>
      <c r="G25" s="258"/>
      <c r="H25" s="258"/>
    </row>
    <row r="26" spans="2:8" ht="8" customHeight="1"/>
    <row r="27" spans="2:8" ht="22" customHeight="1">
      <c r="B27" s="258"/>
      <c r="C27" s="258"/>
      <c r="D27" s="258"/>
      <c r="E27" s="258"/>
      <c r="F27" s="258"/>
      <c r="G27" s="258"/>
      <c r="H27" s="258"/>
    </row>
    <row r="28" spans="2:8" ht="8" customHeight="1"/>
    <row r="29" spans="2:8" ht="26" customHeight="1">
      <c r="B29" s="245" t="s">
        <v>466</v>
      </c>
      <c r="C29" s="245"/>
      <c r="D29" s="121"/>
      <c r="E29" s="246" t="s">
        <v>476</v>
      </c>
      <c r="F29" s="246"/>
      <c r="G29" s="246"/>
      <c r="H29" s="246"/>
    </row>
  </sheetData>
  <mergeCells count="16">
    <mergeCell ref="B11:H11"/>
    <mergeCell ref="C4:D4"/>
    <mergeCell ref="C5:D5"/>
    <mergeCell ref="G4:H4"/>
    <mergeCell ref="B7:H7"/>
    <mergeCell ref="B9:H9"/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267</vt:i4>
      </vt:variant>
    </vt:vector>
  </HeadingPairs>
  <TitlesOfParts>
    <vt:vector size="280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ACT_ARRACHAGE</vt:lpstr>
      <vt:lpstr>ACT_ARRACHAGE_ADV</vt:lpstr>
      <vt:lpstr>ACT_ARRACHAGE_NS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ACT_CONTRE_RUCK_ADV</vt:lpstr>
      <vt:lpstr>ACT_CONTRE_RUCK_NS</vt:lpstr>
      <vt:lpstr>ACT_EN_AVANT</vt:lpstr>
      <vt:lpstr>ACT_FRANCHISSEMENT</vt:lpstr>
      <vt:lpstr>'Stats match'!ACT_GRATTAGE</vt:lpstr>
      <vt:lpstr>ACT_GRATTAGE</vt:lpstr>
      <vt:lpstr>ACT_GRATTAGE_ADV</vt:lpstr>
      <vt:lpstr>ACT_GRATTAGE_NS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BTN_JO_AVANT</vt:lpstr>
      <vt:lpstr>BTN_JO_COLLECTIF</vt:lpstr>
      <vt:lpstr>BTN_JO_NON_IDENTIFIE</vt:lpstr>
      <vt:lpstr>BTN_JO_TROIS_QUARTS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2026-10-17T17:53:16Z</dcterms:modified>
</cp:coreProperties>
</file>