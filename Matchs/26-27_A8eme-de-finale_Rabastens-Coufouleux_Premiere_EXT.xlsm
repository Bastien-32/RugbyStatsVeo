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Matchs/"/>
    </mc:Choice>
  </mc:AlternateContent>
  <xr:revisionPtr revIDLastSave="0" documentId="13_ncr:1_{E1C2CC61-787F-3B4E-BB60-24A2F3C7B062}" xr6:coauthVersionLast="47" xr6:coauthVersionMax="47" xr10:uidLastSave="{00000000-0000-0000-0000-000000000000}"/>
  <bookViews>
    <workbookView xWindow="16820" yWindow="660" windowWidth="16660" windowHeight="20340" activeTab="4" xr2:uid="{FAD8BE10-EFE1-6242-899B-77A5C17BE3FB}"/>
  </bookViews>
  <sheets>
    <sheet name="Compo" sheetId="7" r:id="rId1"/>
    <sheet name="Saisie vidéo" sheetId="2" r:id="rId2"/>
    <sheet name="Journal actions" sheetId="10" r:id="rId3"/>
    <sheet name="Paramètres" sheetId="6" r:id="rId4"/>
    <sheet name="Stats match" sheetId="11" r:id="rId5"/>
    <sheet name="Listes" sheetId="3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ONTRE_RUCK">Paramètres!$R$30</definedName>
    <definedName name="ACT_EN_AVANT">Paramètres!$R$25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E_G">'Saisie vidéo'!$F$14</definedName>
    <definedName name="BTN_ME_P">'Saisie vidéo'!$H$14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G">'Saisie vidéo'!$F$12</definedName>
    <definedName name="BTN_TO_P">'Saisie vidéo'!$H$12</definedName>
    <definedName name="BTN_TO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1" l="1" a="1"/>
  <c r="B8" i="11" s="1"/>
  <c r="B62" i="11" l="1" a="1"/>
  <c r="B62" i="11" s="1"/>
  <c r="E84" i="11" l="1"/>
  <c r="F84" i="11"/>
  <c r="E85" i="11"/>
  <c r="F85" i="11"/>
  <c r="E63" i="11"/>
  <c r="F63" i="11"/>
  <c r="E64" i="11"/>
  <c r="F64" i="11"/>
  <c r="E65" i="11"/>
  <c r="F65" i="11"/>
  <c r="E66" i="11"/>
  <c r="F66" i="11"/>
  <c r="E67" i="11"/>
  <c r="F67" i="11"/>
  <c r="E68" i="11"/>
  <c r="F68" i="11"/>
  <c r="E69" i="11"/>
  <c r="F69" i="11"/>
  <c r="E70" i="11"/>
  <c r="F70" i="11"/>
  <c r="E71" i="11"/>
  <c r="F71" i="11"/>
  <c r="E72" i="11"/>
  <c r="F72" i="11"/>
  <c r="E73" i="11"/>
  <c r="F73" i="11"/>
  <c r="E74" i="11"/>
  <c r="F74" i="11"/>
  <c r="E75" i="11"/>
  <c r="F75" i="11"/>
  <c r="E76" i="11"/>
  <c r="F76" i="11"/>
  <c r="E77" i="11"/>
  <c r="F77" i="11"/>
  <c r="E78" i="11"/>
  <c r="F78" i="11"/>
  <c r="E79" i="11"/>
  <c r="F79" i="11"/>
  <c r="E80" i="11"/>
  <c r="F80" i="11"/>
  <c r="E81" i="11"/>
  <c r="F81" i="11"/>
  <c r="E82" i="11"/>
  <c r="F82" i="11"/>
  <c r="E83" i="11"/>
  <c r="F83" i="11"/>
  <c r="F62" i="11"/>
  <c r="E62" i="11"/>
  <c r="E60" i="11"/>
  <c r="C60" i="11"/>
  <c r="C62" i="11" s="1"/>
  <c r="C64" i="11"/>
  <c r="D64" i="11"/>
  <c r="C65" i="11"/>
  <c r="D65" i="11"/>
  <c r="C66" i="11"/>
  <c r="D66" i="11"/>
  <c r="C67" i="11"/>
  <c r="D67" i="11"/>
  <c r="C70" i="11"/>
  <c r="D70" i="11"/>
  <c r="C71" i="11"/>
  <c r="D71" i="11"/>
  <c r="C72" i="11"/>
  <c r="D72" i="11"/>
  <c r="C73" i="11"/>
  <c r="D73" i="11"/>
  <c r="D75" i="11"/>
  <c r="C76" i="11"/>
  <c r="D76" i="11"/>
  <c r="C77" i="11"/>
  <c r="D77" i="11"/>
  <c r="C78" i="11"/>
  <c r="D78" i="11"/>
  <c r="C79" i="11"/>
  <c r="D79" i="11"/>
  <c r="C80" i="11"/>
  <c r="D80" i="11"/>
  <c r="C81" i="11"/>
  <c r="D81" i="11"/>
  <c r="C82" i="11"/>
  <c r="D82" i="11"/>
  <c r="C83" i="11"/>
  <c r="D83" i="11"/>
  <c r="C84" i="11"/>
  <c r="D84" i="11"/>
  <c r="C85" i="11"/>
  <c r="D85" i="11"/>
  <c r="J63" i="11"/>
  <c r="K63" i="11"/>
  <c r="J64" i="11"/>
  <c r="K64" i="11"/>
  <c r="J65" i="11"/>
  <c r="K65" i="11"/>
  <c r="J66" i="11"/>
  <c r="K66" i="11"/>
  <c r="J67" i="11"/>
  <c r="K67" i="11"/>
  <c r="J68" i="11"/>
  <c r="K68" i="11"/>
  <c r="J69" i="11"/>
  <c r="K69" i="11"/>
  <c r="J70" i="11"/>
  <c r="K70" i="11"/>
  <c r="J71" i="11"/>
  <c r="K71" i="11"/>
  <c r="J72" i="11"/>
  <c r="K72" i="11"/>
  <c r="J73" i="11"/>
  <c r="K73" i="11"/>
  <c r="J74" i="11"/>
  <c r="K74" i="11"/>
  <c r="J75" i="11"/>
  <c r="K75" i="11"/>
  <c r="J76" i="11"/>
  <c r="K76" i="11"/>
  <c r="J77" i="11"/>
  <c r="K77" i="11"/>
  <c r="J78" i="11"/>
  <c r="K78" i="11"/>
  <c r="J79" i="11"/>
  <c r="K79" i="11"/>
  <c r="J80" i="11"/>
  <c r="K80" i="11"/>
  <c r="J81" i="11"/>
  <c r="K81" i="11"/>
  <c r="J82" i="11"/>
  <c r="K82" i="11"/>
  <c r="J83" i="11"/>
  <c r="K83" i="11"/>
  <c r="J84" i="11"/>
  <c r="K84" i="11"/>
  <c r="J85" i="11"/>
  <c r="K85" i="11"/>
  <c r="K62" i="11"/>
  <c r="J62" i="11"/>
  <c r="J60" i="11"/>
  <c r="H63" i="11"/>
  <c r="I63" i="11"/>
  <c r="H64" i="11"/>
  <c r="I64" i="11"/>
  <c r="H65" i="11"/>
  <c r="I65" i="11"/>
  <c r="H66" i="11"/>
  <c r="I66" i="11"/>
  <c r="H67" i="11"/>
  <c r="I67" i="11"/>
  <c r="H68" i="11"/>
  <c r="I68" i="11"/>
  <c r="H69" i="11"/>
  <c r="I69" i="11"/>
  <c r="H70" i="11"/>
  <c r="I70" i="11"/>
  <c r="H71" i="11"/>
  <c r="I71" i="11"/>
  <c r="H72" i="11"/>
  <c r="I72" i="11"/>
  <c r="H73" i="11"/>
  <c r="I73" i="11"/>
  <c r="H74" i="11"/>
  <c r="I74" i="11"/>
  <c r="H75" i="11"/>
  <c r="I75" i="11"/>
  <c r="H76" i="11"/>
  <c r="I76" i="11"/>
  <c r="H77" i="11"/>
  <c r="I77" i="11"/>
  <c r="H78" i="11"/>
  <c r="I78" i="11"/>
  <c r="H79" i="11"/>
  <c r="I79" i="11"/>
  <c r="H80" i="11"/>
  <c r="I80" i="11"/>
  <c r="H81" i="11"/>
  <c r="I81" i="11"/>
  <c r="H82" i="11"/>
  <c r="I82" i="11"/>
  <c r="H83" i="11"/>
  <c r="I83" i="11"/>
  <c r="H84" i="11"/>
  <c r="I84" i="11"/>
  <c r="H85" i="11"/>
  <c r="I85" i="11"/>
  <c r="I62" i="11"/>
  <c r="H62" i="11"/>
  <c r="H60" i="11"/>
  <c r="O30" i="11"/>
  <c r="P30" i="11"/>
  <c r="Q30" i="11"/>
  <c r="R30" i="11"/>
  <c r="S30" i="11"/>
  <c r="T30" i="11"/>
  <c r="P31" i="11"/>
  <c r="Q31" i="11"/>
  <c r="R31" i="11"/>
  <c r="S31" i="11"/>
  <c r="T31" i="11"/>
  <c r="T7" i="11"/>
  <c r="S7" i="11"/>
  <c r="R7" i="11"/>
  <c r="Q7" i="11"/>
  <c r="P7" i="11"/>
  <c r="O7" i="11"/>
  <c r="O31" i="11" s="1"/>
  <c r="L39" i="11"/>
  <c r="L38" i="11"/>
  <c r="K38" i="11"/>
  <c r="M39" i="11"/>
  <c r="M38" i="11"/>
  <c r="E50" i="11"/>
  <c r="D50" i="11"/>
  <c r="E49" i="11"/>
  <c r="D49" i="11"/>
  <c r="E46" i="11"/>
  <c r="D46" i="11"/>
  <c r="E45" i="11"/>
  <c r="D45" i="11"/>
  <c r="E42" i="11"/>
  <c r="E38" i="11"/>
  <c r="D31" i="3"/>
  <c r="E31" i="3"/>
  <c r="D30" i="3"/>
  <c r="E30" i="3"/>
  <c r="D29" i="3"/>
  <c r="E29" i="3"/>
  <c r="D28" i="3"/>
  <c r="E28" i="3"/>
  <c r="D27" i="3"/>
  <c r="E27" i="3"/>
  <c r="B3" i="11"/>
  <c r="D26" i="3"/>
  <c r="E26" i="3"/>
  <c r="D25" i="3"/>
  <c r="E25" i="3"/>
  <c r="C1" i="2"/>
  <c r="M6" i="11"/>
  <c r="N30" i="11" s="1"/>
  <c r="M47" i="11"/>
  <c r="M46" i="11"/>
  <c r="M45" i="11"/>
  <c r="M44" i="11"/>
  <c r="M43" i="11"/>
  <c r="M42" i="11"/>
  <c r="L47" i="11"/>
  <c r="L46" i="11"/>
  <c r="L45" i="11"/>
  <c r="L44" i="11"/>
  <c r="L43" i="11"/>
  <c r="L42" i="11"/>
  <c r="N39" i="11"/>
  <c r="K39" i="11"/>
  <c r="N38" i="11"/>
  <c r="D42" i="11"/>
  <c r="D41" i="11"/>
  <c r="D38" i="11"/>
  <c r="D37" i="11"/>
  <c r="E41" i="11"/>
  <c r="E37" i="11"/>
  <c r="H42" i="11"/>
  <c r="H38" i="11"/>
  <c r="H41" i="11"/>
  <c r="H37" i="11"/>
  <c r="K6" i="11"/>
  <c r="K30" i="11" s="1"/>
  <c r="I6" i="11"/>
  <c r="I30" i="11" s="1"/>
  <c r="G6" i="11"/>
  <c r="G31" i="11" s="1"/>
  <c r="E6" i="11"/>
  <c r="E30" i="11" s="1"/>
  <c r="C6" i="11"/>
  <c r="C30" i="11" s="1"/>
  <c r="O9" i="1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F86" i="11" l="1"/>
  <c r="E86" i="11"/>
  <c r="E87" i="11" s="1"/>
  <c r="D69" i="11"/>
  <c r="D63" i="11"/>
  <c r="C75" i="11"/>
  <c r="C69" i="11"/>
  <c r="C63" i="11"/>
  <c r="D74" i="11"/>
  <c r="D68" i="11"/>
  <c r="D62" i="11"/>
  <c r="C74" i="11"/>
  <c r="C68" i="11"/>
  <c r="K86" i="11"/>
  <c r="J86" i="11"/>
  <c r="I86" i="11"/>
  <c r="H86" i="11"/>
  <c r="H87" i="11" s="1"/>
  <c r="T28" i="11"/>
  <c r="T26" i="11"/>
  <c r="T24" i="11"/>
  <c r="T22" i="11"/>
  <c r="T20" i="11"/>
  <c r="T18" i="11"/>
  <c r="T16" i="11"/>
  <c r="T14" i="11"/>
  <c r="T12" i="11"/>
  <c r="T10" i="11"/>
  <c r="S28" i="11"/>
  <c r="S26" i="11"/>
  <c r="S24" i="11"/>
  <c r="S22" i="11"/>
  <c r="S20" i="11"/>
  <c r="S18" i="11"/>
  <c r="S16" i="11"/>
  <c r="S14" i="11"/>
  <c r="S12" i="11"/>
  <c r="S10" i="11"/>
  <c r="R28" i="11"/>
  <c r="R26" i="11"/>
  <c r="R24" i="11"/>
  <c r="R22" i="11"/>
  <c r="R20" i="11"/>
  <c r="R18" i="11"/>
  <c r="R16" i="11"/>
  <c r="R14" i="11"/>
  <c r="R12" i="11"/>
  <c r="R10" i="11"/>
  <c r="Q10" i="11"/>
  <c r="P28" i="11"/>
  <c r="P26" i="11"/>
  <c r="P24" i="11"/>
  <c r="P22" i="11"/>
  <c r="P20" i="11"/>
  <c r="P18" i="11"/>
  <c r="P16" i="11"/>
  <c r="P14" i="11"/>
  <c r="P12" i="11"/>
  <c r="P10" i="11"/>
  <c r="O10" i="11"/>
  <c r="T29" i="11"/>
  <c r="T27" i="11"/>
  <c r="T25" i="11"/>
  <c r="T23" i="11"/>
  <c r="T21" i="11"/>
  <c r="T19" i="11"/>
  <c r="T17" i="11"/>
  <c r="T15" i="11"/>
  <c r="T13" i="11"/>
  <c r="T11" i="11"/>
  <c r="T9" i="11"/>
  <c r="Q28" i="11"/>
  <c r="Q26" i="11"/>
  <c r="Q24" i="11"/>
  <c r="Q22" i="11"/>
  <c r="Q20" i="11"/>
  <c r="Q18" i="11"/>
  <c r="Q16" i="11"/>
  <c r="Q14" i="11"/>
  <c r="Q12" i="11"/>
  <c r="O28" i="11"/>
  <c r="O26" i="11"/>
  <c r="O24" i="11"/>
  <c r="O22" i="11"/>
  <c r="O20" i="11"/>
  <c r="O18" i="11"/>
  <c r="O16" i="11"/>
  <c r="O14" i="11"/>
  <c r="O12" i="11"/>
  <c r="S29" i="11"/>
  <c r="S27" i="11"/>
  <c r="S25" i="11"/>
  <c r="S23" i="11"/>
  <c r="S21" i="11"/>
  <c r="S19" i="11"/>
  <c r="S17" i="11"/>
  <c r="S15" i="11"/>
  <c r="S13" i="11"/>
  <c r="S11" i="11"/>
  <c r="S9" i="11"/>
  <c r="R29" i="11"/>
  <c r="R27" i="11"/>
  <c r="R25" i="11"/>
  <c r="R23" i="11"/>
  <c r="R21" i="11"/>
  <c r="R19" i="11"/>
  <c r="R17" i="11"/>
  <c r="R15" i="11"/>
  <c r="R13" i="11"/>
  <c r="R11" i="11"/>
  <c r="R9" i="11"/>
  <c r="Q29" i="11"/>
  <c r="Q27" i="11"/>
  <c r="Q25" i="11"/>
  <c r="Q23" i="11"/>
  <c r="Q21" i="11"/>
  <c r="Q19" i="11"/>
  <c r="Q17" i="11"/>
  <c r="Q15" i="11"/>
  <c r="Q13" i="11"/>
  <c r="Q11" i="11"/>
  <c r="Q9" i="11"/>
  <c r="P29" i="11"/>
  <c r="P27" i="11"/>
  <c r="P25" i="11"/>
  <c r="P23" i="11"/>
  <c r="P21" i="11"/>
  <c r="P19" i="11"/>
  <c r="P17" i="11"/>
  <c r="P15" i="11"/>
  <c r="P13" i="11"/>
  <c r="P11" i="11"/>
  <c r="P9" i="11"/>
  <c r="O29" i="11"/>
  <c r="O27" i="11"/>
  <c r="O25" i="11"/>
  <c r="O23" i="11"/>
  <c r="O21" i="11"/>
  <c r="O19" i="11"/>
  <c r="O17" i="11"/>
  <c r="O15" i="11"/>
  <c r="O13" i="11"/>
  <c r="O11" i="11"/>
  <c r="M31" i="11"/>
  <c r="M30" i="11"/>
  <c r="L31" i="11"/>
  <c r="L30" i="11"/>
  <c r="K31" i="11"/>
  <c r="J31" i="11"/>
  <c r="J30" i="11"/>
  <c r="I31" i="11"/>
  <c r="H31" i="11"/>
  <c r="H30" i="11"/>
  <c r="G30" i="11"/>
  <c r="F31" i="11"/>
  <c r="F30" i="11"/>
  <c r="E31" i="11"/>
  <c r="D31" i="11"/>
  <c r="D30" i="11"/>
  <c r="C31" i="11"/>
  <c r="N31" i="11"/>
  <c r="N28" i="11"/>
  <c r="N25" i="11"/>
  <c r="N19" i="11"/>
  <c r="N15" i="11"/>
  <c r="N12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I9" i="11"/>
  <c r="H9" i="11"/>
  <c r="G9" i="11"/>
  <c r="N27" i="11"/>
  <c r="N23" i="11"/>
  <c r="N21" i="11"/>
  <c r="N18" i="11"/>
  <c r="N14" i="11"/>
  <c r="N11" i="11"/>
  <c r="J27" i="11"/>
  <c r="J24" i="11"/>
  <c r="J21" i="11"/>
  <c r="J17" i="11"/>
  <c r="J14" i="11"/>
  <c r="J10" i="11"/>
  <c r="I29" i="11"/>
  <c r="I26" i="11"/>
  <c r="I24" i="11"/>
  <c r="I22" i="11"/>
  <c r="I18" i="11"/>
  <c r="I13" i="11"/>
  <c r="I10" i="11"/>
  <c r="H27" i="11"/>
  <c r="H24" i="11"/>
  <c r="H23" i="11"/>
  <c r="H21" i="11"/>
  <c r="H20" i="11"/>
  <c r="H18" i="11"/>
  <c r="H16" i="11"/>
  <c r="H14" i="11"/>
  <c r="H13" i="11"/>
  <c r="H10" i="11"/>
  <c r="G28" i="11"/>
  <c r="G25" i="11"/>
  <c r="G21" i="11"/>
  <c r="G18" i="11"/>
  <c r="G15" i="11"/>
  <c r="G11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N26" i="11"/>
  <c r="N22" i="11"/>
  <c r="N16" i="11"/>
  <c r="N10" i="11"/>
  <c r="J28" i="11"/>
  <c r="J25" i="11"/>
  <c r="J22" i="11"/>
  <c r="J18" i="11"/>
  <c r="J15" i="11"/>
  <c r="J12" i="11"/>
  <c r="J9" i="11"/>
  <c r="I28" i="11"/>
  <c r="I25" i="11"/>
  <c r="I21" i="11"/>
  <c r="I19" i="11"/>
  <c r="I16" i="11"/>
  <c r="I14" i="11"/>
  <c r="I12" i="11"/>
  <c r="H28" i="11"/>
  <c r="H25" i="11"/>
  <c r="H19" i="11"/>
  <c r="H11" i="11"/>
  <c r="G29" i="11"/>
  <c r="G26" i="11"/>
  <c r="G22" i="11"/>
  <c r="G19" i="11"/>
  <c r="G16" i="11"/>
  <c r="G13" i="11"/>
  <c r="G12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N29" i="11"/>
  <c r="N24" i="11"/>
  <c r="N20" i="11"/>
  <c r="N17" i="11"/>
  <c r="N13" i="11"/>
  <c r="N9" i="11"/>
  <c r="J29" i="11"/>
  <c r="J26" i="11"/>
  <c r="J23" i="11"/>
  <c r="J20" i="11"/>
  <c r="J19" i="11"/>
  <c r="J16" i="11"/>
  <c r="J13" i="11"/>
  <c r="J11" i="11"/>
  <c r="I27" i="11"/>
  <c r="I23" i="11"/>
  <c r="I20" i="11"/>
  <c r="I17" i="11"/>
  <c r="I15" i="11"/>
  <c r="I11" i="11"/>
  <c r="H29" i="11"/>
  <c r="H26" i="11"/>
  <c r="H22" i="11"/>
  <c r="H17" i="11"/>
  <c r="H15" i="11"/>
  <c r="H12" i="11"/>
  <c r="G27" i="11"/>
  <c r="G24" i="11"/>
  <c r="G23" i="11"/>
  <c r="G20" i="11"/>
  <c r="G17" i="11"/>
  <c r="G14" i="11"/>
  <c r="G1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D86" i="11" l="1"/>
  <c r="C86" i="11"/>
  <c r="C87" i="11" s="1"/>
  <c r="J87" i="11"/>
  <c r="R8" i="11" l="1"/>
  <c r="R32" i="11" s="1"/>
  <c r="T8" i="11"/>
  <c r="T32" i="11" s="1"/>
  <c r="S8" i="11"/>
  <c r="S32" i="11" s="1"/>
  <c r="Q8" i="11"/>
  <c r="Q32" i="11" s="1"/>
  <c r="P8" i="11"/>
  <c r="P32" i="11" s="1"/>
  <c r="O8" i="11"/>
  <c r="O32" i="11" s="1"/>
  <c r="M8" i="11"/>
  <c r="M32" i="11" s="1"/>
  <c r="N8" i="11"/>
  <c r="N32" i="11" s="1"/>
  <c r="H8" i="11"/>
  <c r="H32" i="11" s="1"/>
  <c r="L8" i="11"/>
  <c r="L32" i="11" s="1"/>
  <c r="D8" i="11"/>
  <c r="D32" i="11" s="1"/>
  <c r="C8" i="11"/>
  <c r="C32" i="11" s="1"/>
  <c r="J8" i="11"/>
  <c r="J32" i="11" s="1"/>
  <c r="I8" i="11"/>
  <c r="I32" i="11" s="1"/>
  <c r="G8" i="11"/>
  <c r="G32" i="11" s="1"/>
  <c r="F8" i="11"/>
  <c r="F32" i="11" s="1"/>
  <c r="E8" i="11"/>
  <c r="E32" i="11" s="1"/>
  <c r="K8" i="11"/>
  <c r="K32" i="11" s="1"/>
  <c r="G33" i="11" l="1"/>
  <c r="M33" i="11"/>
  <c r="I33" i="11"/>
  <c r="K33" i="11"/>
  <c r="E33" i="11"/>
  <c r="C33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<sst xmlns="http://schemas.openxmlformats.org/spreadsheetml/2006/main" count="5717" uniqueCount="411">
  <si>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</si>
  <si>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</si>
  <si>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</si>
  <si>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</si>
  <si>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</si>
  <si>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</si>
  <si>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</si>
  <si>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</si>
  <si>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</si>
  <si>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</si>
  <si>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</si>
  <si>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</si>
  <si>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</si>
  <si>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</si>
  <si>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</si>
  <si>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</si>
  <si>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</si>
  <si>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</si>
  <si>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</si>
  <si>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</si>
  <si>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</si>
  <si>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</si>
  <si>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</si>
  <si>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</si>
  <si>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</si>
  <si>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</si>
  <si>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</si>
  <si>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</si>
  <si>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</si>
  <si>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</si>
  <si>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</si>
  <si>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</si>
  <si>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</si>
  <si>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</si>
  <si>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</si>
  <si>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</si>
  <si>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</si>
  <si>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</si>
  <si>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</si>
  <si>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</si>
  <si>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</si>
  <si>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</si>
  <si>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</si>
  <si>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</si>
  <si>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</si>
  <si>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</si>
  <si>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</si>
  <si>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</si>
  <si>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</si>
  <si>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</si>
  <si>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</si>
  <si>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</si>
  <si>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</si>
  <si>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</si>
  <si>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</si>
  <si>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</si>
  <si>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</si>
  <si>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</si>
  <si>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</si>
  <si>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</si>
  <si>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</si>
  <si>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</si>
  <si>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</si>
  <si>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</si>
  <si>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</si>
  <si>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</si>
  <si>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</si>
  <si>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</si>
  <si>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</si>
  <si>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</si>
  <si>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</si>
  <si>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</si>
  <si>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</si>
  <si>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</si>
  <si>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</si>
  <si>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</si>
  <si>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</si>
  <si>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</si>
  <si>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</si>
  <si>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</si>
  <si>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</si>
  <si>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</si>
  <si>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</si>
  <si>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</si>
  <si>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</si>
  <si>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</si>
  <si>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</si>
  <si>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</si>
  <si>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</si>
  <si>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</si>
  <si>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</si>
  <si>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</si>
  <si>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</si>
  <si>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</si>
  <si>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</si>
  <si>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</si>
  <si>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</si>
  <si>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</si>
  <si>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</si>
  <si>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</si>
  <si>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</si>
  <si>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</si>
  <si>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</si>
  <si>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</si>
  <si>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</si>
  <si>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</si>
  <si>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</si>
  <si>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</si>
  <si>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</si>
  <si>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</si>
  <si>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</si>
  <si>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</si>
  <si>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</si>
  <si>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</si>
  <si>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</si>
  <si>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</si>
  <si>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</si>
  <si>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</si>
  <si>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</si>
  <si>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</si>
  <si>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</si>
  <si>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</si>
  <si>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</si>
  <si>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</si>
  <si>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</si>
  <si>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</si>
  <si>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</si>
  <si>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</si>
  <si>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</si>
  <si>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</si>
  <si>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</si>
  <si>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</si>
  <si>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</si>
  <si>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</si>
  <si>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</si>
  <si>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</si>
  <si>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</si>
  <si>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</si>
  <si>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</si>
  <si>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</si>
  <si>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</si>
  <si>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</si>
  <si>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</si>
  <si>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</si>
  <si>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</si>
  <si>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</si>
  <si>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</si>
  <si>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</si>
  <si>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</si>
  <si>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</si>
  <si>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</si>
  <si>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</si>
  <si>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</si>
  <si>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</si>
  <si>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</si>
  <si>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</si>
  <si>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</si>
  <si>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</si>
  <si>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</si>
  <si>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</si>
  <si>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</si>
  <si>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</si>
  <si>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</si>
  <si>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</si>
  <si>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</si>
  <si>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</si>
  <si>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</si>
  <si>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</si>
  <si>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</si>
  <si>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</si>
  <si>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</si>
  <si>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</si>
  <si>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</si>
  <si>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</si>
  <si>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</si>
  <si>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</si>
  <si>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</si>
  <si>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</si>
  <si>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</si>
  <si>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</si>
  <si>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</si>
  <si>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</si>
  <si>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</si>
  <si>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</si>
  <si>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</si>
  <si>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</si>
  <si>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</si>
  <si>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</si>
  <si>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</si>
  <si>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</si>
  <si>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</si>
  <si>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</si>
  <si>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</si>
  <si>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</si>
  <si>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</si>
  <si>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</si>
  <si>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</si>
  <si>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</si>
  <si>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</si>
  <si>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</si>
  <si>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</si>
  <si>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</si>
  <si>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</si>
  <si>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</si>
  <si>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</si>
  <si>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</si>
  <si>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</si>
  <si>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</si>
  <si>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</si>
  <si>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</si>
  <si>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</si>
  <si>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</si>
  <si>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</si>
  <si>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</si>
  <si>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</si>
  <si>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</si>
  <si>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</si>
  <si>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</si>
  <si>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</si>
  <si>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</si>
  <si>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</si>
  <si>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</si>
  <si>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</si>
  <si>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</si>
  <si>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</si>
  <si>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</si>
  <si>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</si>
  <si>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</si>
  <si>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</si>
  <si>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</si>
  <si>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</si>
  <si>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</si>
  <si>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</si>
  <si>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</si>
  <si>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</si>
  <si>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</si>
  <si>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</si>
  <si>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</si>
  <si>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</si>
  <si>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</si>
  <si>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</si>
  <si>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</si>
  <si>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</si>
  <si>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</si>
  <si>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</si>
  <si>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</si>
  <si>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</si>
  <si>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</si>
  <si>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</si>
  <si>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</si>
  <si>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</si>
  <si>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</si>
  <si>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</si>
  <si>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</si>
  <si>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</si>
  <si>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</si>
  <si>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</si>
  <si>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</si>
  <si>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</si>
  <si>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</si>
  <si>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</si>
  <si>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</si>
  <si>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</si>
  <si>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</si>
  <si>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</si>
  <si>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</si>
  <si>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</si>
  <si>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</si>
  <si>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</si>
  <si>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</si>
  <si>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</si>
  <si>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</si>
  <si>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</si>
  <si>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</si>
  <si>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</si>
  <si>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</si>
  <si>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</si>
  <si>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</si>
  <si>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</si>
  <si>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</si>
  <si>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</si>
  <si>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</si>
  <si>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</si>
  <si>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</si>
  <si>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</si>
  <si>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</si>
  <si>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</si>
  <si>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</si>
  <si>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</si>
  <si>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</si>
  <si>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</si>
  <si>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</si>
  <si>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</si>
  <si>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</si>
  <si>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</si>
  <si>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</si>
  <si>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</si>
  <si>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</si>
  <si>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</si>
  <si>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</si>
  <si>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</si>
  <si>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</si>
  <si>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</si>
  <si>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</si>
  <si>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</si>
  <si>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</si>
  <si>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</si>
  <si>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</si>
  <si>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</si>
  <si>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</si>
  <si>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</si>
  <si>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</si>
  <si>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</si>
  <si>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</si>
  <si>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</si>
  <si>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</si>
  <si>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</si>
  <si>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</si>
  <si>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</si>
  <si>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</si>
  <si>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</si>
  <si>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</si>
  <si>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</si>
  <si>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</si>
  <si>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</si>
  <si>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</si>
  <si>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</si>
  <si>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</si>
  <si>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</si>
  <si>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</si>
  <si>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</si>
  <si>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</si>
  <si>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</si>
  <si>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</si>
  <si>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</si>
  <si>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</si>
  <si>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</si>
  <si>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</si>
  <si>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</si>
  <si>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</si>
  <si>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</si>
  <si>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</si>
  <si>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</si>
  <si>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</si>
  <si>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</si>
  <si>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</si>
  <si>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</si>
  <si>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Rabastens-Coufouleux</t>
  </si>
  <si>
    <t>8eme de finale</t>
  </si>
  <si>
    <t>26-27_A8eme de finale_Rabastens-Coufouleux_Première_EXT</t>
  </si>
  <si>
    <r>
      <t xml:space="preserve">1
</t>
    </r>
    <r>
      <rPr>
        <sz val="9"/>
        <color theme="1"/>
        <rFont val="Arial"/>
        <family val="2"/>
      </rPr>
      <t>DALLA ROSA</t>
    </r>
  </si>
  <si>
    <r>
      <t xml:space="preserve">2
</t>
    </r>
    <r>
      <rPr>
        <sz val="9"/>
        <color theme="1"/>
        <rFont val="Arial"/>
        <family val="2"/>
      </rPr>
      <t>DASTUGUE</t>
    </r>
  </si>
  <si>
    <t>Martin</t>
  </si>
  <si>
    <t>MULLIER</t>
  </si>
  <si>
    <t>Julian</t>
  </si>
  <si>
    <t>Maxime</t>
  </si>
  <si>
    <t>Gregory</t>
  </si>
  <si>
    <t>RICHIARDONNE</t>
  </si>
  <si>
    <t>Mathis</t>
  </si>
  <si>
    <t>Antonio</t>
  </si>
  <si>
    <t>LOUREIRO LABAZUY</t>
  </si>
  <si>
    <t>Alexis</t>
  </si>
  <si>
    <t>MOUDENS</t>
  </si>
  <si>
    <t>MULLIER Martin</t>
  </si>
  <si>
    <r>
      <t xml:space="preserve">3
</t>
    </r>
    <r>
      <rPr>
        <sz val="9"/>
        <color theme="1"/>
        <rFont val="Arial"/>
        <family val="2"/>
      </rPr>
      <t>MULLIER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</si>
  <si>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</si>
  <si>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5
</t>
    </r>
    <r>
      <rPr>
        <sz val="9"/>
        <color theme="1"/>
        <rFont val="Arial"/>
        <family val="2"/>
      </rPr>
      <t>MICHELIN</t>
    </r>
  </si>
  <si>
    <t>BARATGIN Julian</t>
  </si>
  <si>
    <t>PIQUEMIL Maxime</t>
  </si>
  <si>
    <r>
      <t xml:space="preserve">6
</t>
    </r>
    <r>
      <rPr>
        <sz val="9"/>
        <color theme="1"/>
        <rFont val="Arial"/>
        <family val="2"/>
      </rPr>
      <t>BARATGIN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</si>
  <si>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</si>
  <si>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</si>
  <si>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</si>
  <si>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</si>
  <si>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</si>
  <si>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</si>
  <si>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</si>
  <si>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</si>
  <si>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</si>
  <si>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t>RICHIARDONNE Gregory</t>
  </si>
  <si>
    <r>
      <t xml:space="preserve">16
</t>
    </r>
    <r>
      <rPr>
        <sz val="9"/>
        <color theme="1"/>
        <rFont val="Arial"/>
        <family val="2"/>
      </rPr>
      <t>RICHIARDONNE</t>
    </r>
  </si>
  <si>
    <r>
      <t xml:space="preserve">17
</t>
    </r>
    <r>
      <rPr>
        <sz val="9"/>
        <color theme="1"/>
        <rFont val="Arial"/>
        <family val="2"/>
      </rPr>
      <t>BAUP</t>
    </r>
  </si>
  <si>
    <t>Romain</t>
  </si>
  <si>
    <t>BOUTELOUP</t>
  </si>
  <si>
    <t>BOUTELOUP Romain</t>
  </si>
  <si>
    <r>
      <t xml:space="preserve">18
</t>
    </r>
    <r>
      <rPr>
        <sz val="9"/>
        <color theme="1"/>
        <rFont val="Arial"/>
        <family val="2"/>
      </rPr>
      <t>BOUTELOUP</t>
    </r>
  </si>
  <si>
    <t>ROUSSEL Mathis</t>
  </si>
  <si>
    <r>
      <t xml:space="preserve">19
</t>
    </r>
    <r>
      <rPr>
        <sz val="9"/>
        <color theme="1"/>
        <rFont val="Arial"/>
        <family val="2"/>
      </rPr>
      <t>ROUSSEL</t>
    </r>
  </si>
  <si>
    <t>LOUREIRO LABAZUY Antonio</t>
  </si>
  <si>
    <r>
      <t xml:space="preserve">20
</t>
    </r>
    <r>
      <rPr>
        <sz val="9"/>
        <color theme="1"/>
        <rFont val="Arial"/>
        <family val="2"/>
      </rPr>
      <t>LOUREIRO LABAZUY</t>
    </r>
  </si>
  <si>
    <t>MOUDENS Alexis</t>
  </si>
  <si>
    <r>
      <t xml:space="preserve">21
</t>
    </r>
    <r>
      <rPr>
        <sz val="9"/>
        <color theme="1"/>
        <rFont val="Arial"/>
        <family val="2"/>
      </rPr>
      <t>MOUDENS</t>
    </r>
  </si>
  <si>
    <r>
      <t xml:space="preserve">22
</t>
    </r>
    <r>
      <rPr>
        <sz val="9"/>
        <color theme="1"/>
        <rFont val="Arial"/>
        <family val="2"/>
      </rPr>
      <t>JOUNAUX</t>
    </r>
  </si>
  <si>
    <t>Arrachage</t>
  </si>
  <si>
    <t>ACT_ARRACHAGE</t>
  </si>
  <si>
    <t>ACT_TO_ADV_PAS_DROIT</t>
  </si>
  <si>
    <t>Touche à eux pas droite</t>
  </si>
  <si>
    <t>Mêlée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</si>
  <si>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</si>
  <si>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</si>
  <si>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</si>
  <si>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</si>
  <si>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</si>
  <si>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</si>
  <si>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</si>
  <si>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</si>
  <si>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Touche</t>
  </si>
  <si>
    <t>Mêlées MT1</t>
  </si>
  <si>
    <t>Mêlées  MT2</t>
  </si>
  <si>
    <t>Penalités</t>
  </si>
  <si>
    <t>Stats touches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</si>
</sst>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7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sz val="9"/>
      <color theme="1"/>
      <name val="Arial"/>
      <family val="2"/>
    </font>
    <font>
      <b/>
      <sz val="20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</fills>
  <borders count="5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09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14" fontId="0" fillId="0" borderId="0" xfId="0" applyNumberFormat="1"/>
    <xf numFmtId="22" fontId="0" fillId="0" borderId="0" xfId="0" applyNumberFormat="1"/>
    <xf numFmtId="0" fontId="26" fillId="0" borderId="15" xfId="0" applyFont="1" applyBorder="1" applyAlignment="1">
      <alignment horizontal="left" vertical="center" wrapText="1"/>
    </xf>
    <xf numFmtId="0" fontId="26" fillId="0" borderId="50" xfId="0" applyFont="1" applyBorder="1" applyAlignment="1">
      <alignment horizontal="left" vertical="center" wrapText="1"/>
    </xf>
    <xf numFmtId="0" fontId="27" fillId="24" borderId="25" xfId="0" applyFont="1" applyFill="1" applyBorder="1" applyAlignment="1">
      <alignment horizontal="center" vertical="center"/>
    </xf>
    <xf numFmtId="0" fontId="0" fillId="0" borderId="12" xfId="0" applyBorder="1"/>
    <xf numFmtId="0" fontId="27" fillId="24" borderId="21" xfId="0" applyFont="1" applyFill="1" applyBorder="1" applyAlignment="1">
      <alignment horizontal="center" vertical="center"/>
    </xf>
    <xf numFmtId="0" fontId="27" fillId="24" borderId="23" xfId="0" applyFont="1" applyFill="1" applyBorder="1" applyAlignment="1">
      <alignment horizontal="center" vertical="center"/>
    </xf>
    <xf numFmtId="0" fontId="0" fillId="0" borderId="25" xfId="0" applyBorder="1"/>
    <xf numFmtId="0" fontId="27" fillId="13" borderId="25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7" fillId="28" borderId="23" xfId="0" applyFont="1" applyFill="1" applyBorder="1" applyAlignment="1">
      <alignment horizontal="center" vertical="center"/>
    </xf>
    <xf numFmtId="0" fontId="29" fillId="28" borderId="38" xfId="0" applyFont="1" applyFill="1" applyBorder="1" applyAlignment="1">
      <alignment horizontal="center" vertical="center"/>
    </xf>
    <xf numFmtId="0" fontId="29" fillId="28" borderId="18" xfId="0" applyFont="1" applyFill="1" applyBorder="1" applyAlignment="1">
      <alignment horizontal="center" vertical="center"/>
    </xf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27" fillId="28" borderId="16" xfId="0" applyFont="1" applyFill="1" applyBorder="1" applyAlignment="1">
      <alignment horizontal="center" vertical="center"/>
    </xf>
    <xf numFmtId="0" fontId="27" fillId="28" borderId="18" xfId="0" applyFont="1" applyFill="1" applyBorder="1" applyAlignment="1">
      <alignment horizontal="center" vertical="center"/>
    </xf>
    <xf numFmtId="0" fontId="31" fillId="28" borderId="39" xfId="0" applyFont="1" applyFill="1" applyBorder="1" applyAlignment="1">
      <alignment horizontal="center" vertical="center"/>
    </xf>
    <xf numFmtId="0" fontId="31" fillId="28" borderId="40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31" fillId="24" borderId="39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36" fillId="17" borderId="42" xfId="0" applyFont="1" applyFill="1" applyBorder="1" applyAlignment="1">
      <alignment horizontal="center" vertical="center"/>
    </xf>
    <xf numFmtId="0" fontId="36" fillId="17" borderId="43" xfId="0" applyFont="1" applyFill="1" applyBorder="1" applyAlignment="1">
      <alignment horizontal="center" vertical="center"/>
    </xf>
    <xf numFmtId="0" fontId="36" fillId="17" borderId="44" xfId="0" applyFont="1" applyFill="1" applyBorder="1" applyAlignment="1">
      <alignment horizontal="center" vertical="center"/>
    </xf>
    <xf numFmtId="0" fontId="36" fillId="17" borderId="45" xfId="0" applyFont="1" applyFill="1" applyBorder="1" applyAlignment="1">
      <alignment horizontal="center" vertical="center"/>
    </xf>
    <xf numFmtId="0" fontId="36" fillId="17" borderId="0" xfId="0" applyFont="1" applyFill="1" applyAlignment="1">
      <alignment horizontal="center" vertical="center"/>
    </xf>
    <xf numFmtId="0" fontId="36" fillId="17" borderId="46" xfId="0" applyFont="1" applyFill="1" applyBorder="1" applyAlignment="1">
      <alignment horizontal="center" vertical="center"/>
    </xf>
    <xf numFmtId="0" fontId="36" fillId="17" borderId="47" xfId="0" applyFont="1" applyFill="1" applyBorder="1" applyAlignment="1">
      <alignment horizontal="center" vertical="center"/>
    </xf>
    <xf numFmtId="0" fontId="36" fillId="17" borderId="48" xfId="0" applyFont="1" applyFill="1" applyBorder="1" applyAlignment="1">
      <alignment horizontal="center" vertical="center"/>
    </xf>
    <xf numFmtId="0" fontId="36" fillId="17" borderId="4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1" fillId="24" borderId="41" xfId="0" applyFont="1" applyFill="1" applyBorder="1" applyAlignment="1">
      <alignment horizontal="center" vertical="center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  <xf numFmtId="0" fontId="27" fillId="24" borderId="17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2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0" formatCode="General"/>
    </dxf>
    <dxf>
      <numFmt numFmtId="0" formatCode="General"/>
    </dxf>
    <dxf>
      <numFmt numFmtId="19" formatCode="dd/mm/yyyy"/>
    </dxf>
    <dxf>
      <numFmt numFmtId="27" formatCode="dd/mm/yyyy\ h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300"/>
      <color rgb="FF4DA72E"/>
      <color rgb="FF3C8224"/>
      <color rgb="FF54E8DD"/>
      <color rgb="FF0FDF27"/>
      <color rgb="FF00F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11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97" totalsRowShown="0">
  <autoFilter ref="A1:Q497" xr:uid="{274E98FB-BCE1-0347-AD79-C8025C407DEC}">
    <filterColumn colId="4">
      <filters>
        <filter val="Pénalité contre nous"/>
      </filters>
    </filterColumn>
  </autoFilter>
  <tableColumns count="17">
    <tableColumn id="1" xr3:uid="{1C6F1113-17EB-A449-86BF-30B1CE9CAC0A}" name="temps video" dataDxfId="10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9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41" totalsRowShown="0" headerRowDxfId="41" dataDxfId="39" headerRowBorderDxfId="40" tableBorderDxfId="38" totalsRowBorderDxfId="37">
  <autoFilter ref="Q1:R41" xr:uid="{6D1F5F0A-5FD5-AC4E-A195-33A78A5E0E58}"/>
  <tableColumns count="2">
    <tableColumn id="1" xr3:uid="{8A0D5429-5616-B849-BD27-167A576FE99E}" name="Nom de cellule à créer" dataDxfId="36"/>
    <tableColumn id="2" xr3:uid="{19545507-672A-9F40-8818-E4C9060AA52B}" name="Libellé" data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4" headerRowBorderDxfId="33" tableBorderDxfId="32" totalsRowBorderDxfId="31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0" headerRowBorderDxfId="29" tableBorderDxfId="28" totalsRowBorderDxfId="27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6" dataDxfId="25">
  <autoFilter ref="I14:I20" xr:uid="{CC940AF9-E81A-F746-8EAD-392809C3CFBE}"/>
  <tableColumns count="1">
    <tableColumn id="1" xr3:uid="{816CA1DF-3681-2948-A622-26353E2B9A97}" name="LISTE_LECTEUR_VIDEO" data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3" dataDxfId="22">
  <autoFilter ref="C1:C4" xr:uid="{61FC7709-08E5-D048-A38B-441B18CF5D35}"/>
  <tableColumns count="1">
    <tableColumn id="1" xr3:uid="{C41B523D-40DA-AF48-A2C2-015B04960B0A}" name="LIEU_MATCH" dataDxfId="2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20" dataDxfId="19">
  <autoFilter ref="C6:C9" xr:uid="{86EA01CF-5567-6445-9906-AD2B60CA0A8A}"/>
  <tableColumns count="1">
    <tableColumn id="1" xr3:uid="{B57F8324-6F25-7B40-9B20-1BFDF9708631}" name="PHASE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7" dataDxfId="16">
  <autoFilter ref="C11:C14" xr:uid="{DAA9B017-78F0-D447-B788-CF8333AEAC38}"/>
  <tableColumns count="1">
    <tableColumn id="1" xr3:uid="{C5E86C3D-762A-054E-B864-5A67DBB9A8CA}" name="RESULTAT" dataDxfId="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14" dataDxfId="13">
  <autoFilter ref="C16:C20" xr:uid="{F661D9E2-619C-DA44-92C5-8A09E8E281AC}"/>
  <tableColumns count="1">
    <tableColumn id="1" xr3:uid="{ADD3AF05-089E-D149-9728-7C2A6F62FA22}" name="EQUIPE_NIV" dataDxfId="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7">
      <calculatedColumnFormula>LstEffectif[[#This Row],[prenom]] &amp; " " &amp; LstEffectif[[#This Row],[nom]]</calculatedColumnFormula>
    </tableColumn>
    <tableColumn id="5" xr3:uid="{EB017694-E6D2-7440-91BF-61113926AB7D}" name="NOM Prénom" dataDxfId="6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C137"/>
  <sheetViews>
    <sheetView workbookViewId="0">
      <selection activeCell="Y13" sqref="Y13"/>
    </sheetView>
  </sheetViews>
  <sheetFormatPr baseColWidth="10" defaultRowHeight="13"/>
  <cols>
    <col min="1" max="1" width="8.33203125" style="137" bestFit="1" customWidth="1"/>
    <col min="2" max="2" width="17.83203125" customWidth="1"/>
    <col min="3" max="3" width="24.83203125" customWidth="1"/>
    <col min="4" max="4" width="14.1640625" style="137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25" width="10.83203125" style="29"/>
    <col min="26" max="26" width="19.1640625" style="29" customWidth="1"/>
    <col min="27" max="27" width="10.83203125" style="29" customWidth="1"/>
    <col min="28" max="419" width="10.83203125" style="29"/>
  </cols>
  <sheetData>
    <row r="1" spans="1:27" s="29" customFormat="1" ht="14" thickBot="1">
      <c r="A1" s="137"/>
      <c r="D1" s="137"/>
      <c r="Z1" s="29" t="s">
        <v>207</v>
      </c>
      <c r="AA1" s="29" t="s">
        <v>207</v>
      </c>
    </row>
    <row r="2" spans="1:27" ht="19" customHeight="1">
      <c r="B2" s="153" t="s">
        <v>326</v>
      </c>
      <c r="C2" s="153"/>
      <c r="E2" s="154" t="s">
        <v>327</v>
      </c>
      <c r="F2" s="155"/>
      <c r="G2" s="155"/>
      <c r="H2" s="156"/>
      <c r="Z2" s="29" t="s">
        <v>213</v>
      </c>
      <c r="AA2" s="29" t="s">
        <v>213</v>
      </c>
    </row>
    <row r="3" spans="1:27" ht="19" customHeight="1">
      <c r="B3" s="153"/>
      <c r="C3" s="153"/>
      <c r="E3" s="157"/>
      <c r="F3" s="158"/>
      <c r="G3" s="158"/>
      <c r="H3" s="159"/>
      <c r="Z3" s="29" t="s">
        <v>222</v>
      </c>
      <c r="AA3" s="29" t="s">
        <v>367</v>
      </c>
    </row>
    <row r="4" spans="1:27" ht="19" customHeight="1" thickBot="1">
      <c r="B4" s="153"/>
      <c r="C4" s="153"/>
      <c r="E4" s="160"/>
      <c r="F4" s="161"/>
      <c r="G4" s="161"/>
      <c r="H4" s="162"/>
      <c r="Z4" s="29" t="s">
        <v>223</v>
      </c>
      <c r="AA4" s="29" t="s">
        <v>220</v>
      </c>
    </row>
    <row r="5" spans="1:27" s="29" customFormat="1">
      <c r="A5" s="137"/>
      <c r="D5" s="137"/>
      <c r="Z5" s="29" t="s">
        <v>220</v>
      </c>
      <c r="AA5" s="29" t="s">
        <v>214</v>
      </c>
    </row>
    <row r="6" spans="1:27">
      <c r="B6" s="106" t="s">
        <v>297</v>
      </c>
      <c r="C6" s="107" t="s">
        <v>296</v>
      </c>
      <c r="E6" t="s">
        <v>137</v>
      </c>
      <c r="F6" t="s">
        <v>138</v>
      </c>
      <c r="G6" t="s">
        <v>264</v>
      </c>
      <c r="H6" t="s">
        <v>263</v>
      </c>
      <c r="Z6" s="29" t="s">
        <v>208</v>
      </c>
      <c r="AA6" s="29" t="s">
        <v>384</v>
      </c>
    </row>
    <row r="7" spans="1:27">
      <c r="B7" s="29"/>
      <c r="C7" s="29"/>
      <c r="E7">
        <v>1</v>
      </c>
      <c r="F7" t="s">
        <v>204</v>
      </c>
      <c r="G7" t="s">
        <v>266</v>
      </c>
      <c r="Z7" s="29" t="s">
        <v>214</v>
      </c>
      <c r="AA7" s="29" t="s">
        <v>204</v>
      </c>
    </row>
    <row r="8" spans="1:27">
      <c r="B8" s="106" t="s">
        <v>335</v>
      </c>
      <c r="C8" s="107">
        <v>46173</v>
      </c>
      <c r="E8">
        <v>2</v>
      </c>
      <c r="F8" t="s">
        <v>205</v>
      </c>
      <c r="G8" t="s">
        <v>266</v>
      </c>
      <c r="Z8" s="29" t="s">
        <v>224</v>
      </c>
      <c r="AA8" s="29" t="s">
        <v>205</v>
      </c>
    </row>
    <row r="9" spans="1:27">
      <c r="B9" s="29"/>
      <c r="C9" s="29"/>
      <c r="E9">
        <v>3</v>
      </c>
      <c r="F9" t="s">
        <v>363</v>
      </c>
      <c r="G9" t="s">
        <v>266</v>
      </c>
      <c r="Z9" s="29" t="s">
        <v>204</v>
      </c>
      <c r="AA9" s="29" t="s">
        <v>215</v>
      </c>
    </row>
    <row r="10" spans="1:27">
      <c r="B10" s="106" t="s">
        <v>298</v>
      </c>
      <c r="C10" s="107" t="s">
        <v>347</v>
      </c>
      <c r="E10">
        <v>4</v>
      </c>
      <c r="F10" t="s">
        <v>207</v>
      </c>
      <c r="G10" t="s">
        <v>266</v>
      </c>
      <c r="Z10" s="29" t="s">
        <v>205</v>
      </c>
      <c r="AA10" s="29" t="s">
        <v>225</v>
      </c>
    </row>
    <row r="11" spans="1:27">
      <c r="B11" s="29"/>
      <c r="C11" s="29"/>
      <c r="E11">
        <v>5</v>
      </c>
      <c r="F11" t="s">
        <v>206</v>
      </c>
      <c r="G11" t="s">
        <v>266</v>
      </c>
      <c r="Z11" s="29" t="s">
        <v>215</v>
      </c>
      <c r="AA11" s="29" t="s">
        <v>217</v>
      </c>
    </row>
    <row r="12" spans="1:27">
      <c r="B12" s="106" t="s">
        <v>334</v>
      </c>
      <c r="C12" s="107" t="s">
        <v>313</v>
      </c>
      <c r="E12">
        <v>6</v>
      </c>
      <c r="F12" t="s">
        <v>367</v>
      </c>
      <c r="G12" t="s">
        <v>266</v>
      </c>
      <c r="Z12" s="29" t="s">
        <v>225</v>
      </c>
      <c r="AA12" s="29" t="s">
        <v>216</v>
      </c>
    </row>
    <row r="13" spans="1:27">
      <c r="B13" s="29"/>
      <c r="C13" s="29"/>
      <c r="E13">
        <v>7</v>
      </c>
      <c r="F13" t="s">
        <v>210</v>
      </c>
      <c r="G13" t="s">
        <v>266</v>
      </c>
      <c r="Z13" s="29" t="s">
        <v>217</v>
      </c>
      <c r="AA13" s="29" t="s">
        <v>388</v>
      </c>
    </row>
    <row r="14" spans="1:27">
      <c r="B14" s="106" t="s">
        <v>299</v>
      </c>
      <c r="C14" s="107" t="s">
        <v>294</v>
      </c>
      <c r="E14">
        <v>8</v>
      </c>
      <c r="F14" t="s">
        <v>368</v>
      </c>
      <c r="G14" t="s">
        <v>266</v>
      </c>
      <c r="Z14" s="29" t="s">
        <v>216</v>
      </c>
      <c r="AA14" s="29" t="s">
        <v>206</v>
      </c>
    </row>
    <row r="15" spans="1:27">
      <c r="B15" s="29"/>
      <c r="C15" s="138"/>
      <c r="E15" s="99">
        <v>9</v>
      </c>
      <c r="F15" s="99" t="s">
        <v>212</v>
      </c>
      <c r="G15" s="99" t="s">
        <v>284</v>
      </c>
      <c r="H15" s="99"/>
      <c r="Z15" s="29" t="s">
        <v>206</v>
      </c>
      <c r="AA15" s="29" t="s">
        <v>212</v>
      </c>
    </row>
    <row r="16" spans="1:27">
      <c r="B16" s="106" t="s">
        <v>300</v>
      </c>
      <c r="C16" s="108" t="s">
        <v>348</v>
      </c>
      <c r="E16">
        <v>10</v>
      </c>
      <c r="F16" t="s">
        <v>213</v>
      </c>
      <c r="G16" t="s">
        <v>284</v>
      </c>
      <c r="Z16" s="29" t="s">
        <v>212</v>
      </c>
      <c r="AA16" s="29" t="s">
        <v>390</v>
      </c>
    </row>
    <row r="17" spans="1:27">
      <c r="B17" s="29"/>
      <c r="C17" s="29"/>
      <c r="E17">
        <v>11</v>
      </c>
      <c r="F17" t="s">
        <v>214</v>
      </c>
      <c r="G17" t="s">
        <v>284</v>
      </c>
      <c r="Z17" s="29" t="s">
        <v>211</v>
      </c>
      <c r="AA17" s="29" t="s">
        <v>363</v>
      </c>
    </row>
    <row r="18" spans="1:27">
      <c r="B18" s="106" t="s">
        <v>301</v>
      </c>
      <c r="C18" s="107" t="s">
        <v>295</v>
      </c>
      <c r="E18">
        <v>12</v>
      </c>
      <c r="F18" t="s">
        <v>215</v>
      </c>
      <c r="G18" t="s">
        <v>284</v>
      </c>
      <c r="Z18" s="29" t="s">
        <v>219</v>
      </c>
      <c r="AA18" s="29" t="s">
        <v>368</v>
      </c>
    </row>
    <row r="19" spans="1:27">
      <c r="B19" s="29"/>
      <c r="C19" s="138"/>
      <c r="E19">
        <v>13</v>
      </c>
      <c r="F19" t="s">
        <v>216</v>
      </c>
      <c r="G19" t="s">
        <v>284</v>
      </c>
      <c r="Z19" s="29" t="s">
        <v>209</v>
      </c>
      <c r="AA19" s="29" t="s">
        <v>379</v>
      </c>
    </row>
    <row r="20" spans="1:27">
      <c r="B20" s="106" t="s">
        <v>333</v>
      </c>
      <c r="C20" s="107" t="s">
        <v>329</v>
      </c>
      <c r="E20">
        <v>14</v>
      </c>
      <c r="F20" t="s">
        <v>217</v>
      </c>
      <c r="G20" t="s">
        <v>284</v>
      </c>
      <c r="Z20" s="29" t="s">
        <v>210</v>
      </c>
      <c r="AA20" s="29" t="s">
        <v>386</v>
      </c>
    </row>
    <row r="21" spans="1:27">
      <c r="B21" s="29"/>
      <c r="C21" s="29"/>
      <c r="E21" s="94">
        <v>15</v>
      </c>
      <c r="F21" s="94" t="s">
        <v>218</v>
      </c>
      <c r="G21" s="94" t="s">
        <v>284</v>
      </c>
      <c r="H21" s="94"/>
      <c r="Z21" s="29" t="s">
        <v>218</v>
      </c>
      <c r="AA21" s="29" t="s">
        <v>210</v>
      </c>
    </row>
    <row r="22" spans="1:27">
      <c r="B22" s="29"/>
      <c r="C22" s="29"/>
      <c r="E22">
        <v>16</v>
      </c>
      <c r="F22" t="s">
        <v>379</v>
      </c>
      <c r="G22" t="s">
        <v>266</v>
      </c>
      <c r="Z22" s="29" t="s">
        <v>221</v>
      </c>
      <c r="AA22" s="29" t="s">
        <v>218</v>
      </c>
    </row>
    <row r="23" spans="1:27">
      <c r="B23" s="29"/>
      <c r="C23" s="29"/>
      <c r="E23">
        <v>17</v>
      </c>
      <c r="F23" t="s">
        <v>220</v>
      </c>
      <c r="G23" t="s">
        <v>266</v>
      </c>
      <c r="Z23" s="29" t="s">
        <v>93</v>
      </c>
      <c r="AA23" s="29" t="s">
        <v>93</v>
      </c>
    </row>
    <row r="24" spans="1:27">
      <c r="B24" s="29"/>
      <c r="C24" s="29"/>
      <c r="E24">
        <v>18</v>
      </c>
      <c r="F24" t="s">
        <v>384</v>
      </c>
      <c r="G24" t="s">
        <v>266</v>
      </c>
      <c r="Z24" s="29" t="s">
        <v>83</v>
      </c>
      <c r="AA24" s="29" t="s">
        <v>83</v>
      </c>
    </row>
    <row r="25" spans="1:27">
      <c r="B25" s="29"/>
      <c r="C25" s="29"/>
      <c r="E25">
        <v>19</v>
      </c>
      <c r="F25" t="s">
        <v>386</v>
      </c>
      <c r="G25" t="s">
        <v>266</v>
      </c>
    </row>
    <row r="26" spans="1:27">
      <c r="B26" s="29"/>
      <c r="C26" s="29"/>
      <c r="E26">
        <v>20</v>
      </c>
      <c r="F26" t="s">
        <v>388</v>
      </c>
      <c r="G26" t="s">
        <v>284</v>
      </c>
    </row>
    <row r="27" spans="1:27">
      <c r="B27" s="29"/>
      <c r="C27" s="29"/>
      <c r="E27">
        <v>21</v>
      </c>
      <c r="F27" t="s">
        <v>390</v>
      </c>
      <c r="G27" t="s">
        <v>284</v>
      </c>
    </row>
    <row r="28" spans="1:27">
      <c r="B28" s="29"/>
      <c r="C28" s="29"/>
      <c r="E28">
        <v>22</v>
      </c>
      <c r="F28" t="s">
        <v>225</v>
      </c>
      <c r="G28" t="s">
        <v>284</v>
      </c>
    </row>
    <row r="29" spans="1:27" s="29" customFormat="1">
      <c r="A29" s="137"/>
      <c r="D29" s="137"/>
    </row>
    <row r="30" spans="1:27" s="29" customFormat="1">
      <c r="A30" s="137"/>
      <c r="D30" s="137"/>
    </row>
    <row r="31" spans="1:27" s="29" customFormat="1">
      <c r="A31" s="137"/>
      <c r="D31" s="137"/>
    </row>
    <row r="32" spans="1:27" s="29" customFormat="1">
      <c r="A32" s="137"/>
      <c r="D32" s="137"/>
    </row>
    <row r="33" spans="1:4" s="29" customFormat="1">
      <c r="A33" s="137"/>
      <c r="D33" s="137"/>
    </row>
    <row r="34" spans="1:4" s="29" customFormat="1">
      <c r="A34" s="137"/>
      <c r="D34" s="137"/>
    </row>
    <row r="35" spans="1:4" s="29" customFormat="1">
      <c r="A35" s="137"/>
      <c r="D35" s="137"/>
    </row>
    <row r="36" spans="1:4" s="29" customFormat="1">
      <c r="A36" s="137"/>
      <c r="D36" s="137"/>
    </row>
    <row r="37" spans="1:4" s="29" customFormat="1">
      <c r="A37" s="137"/>
      <c r="D37" s="137"/>
    </row>
    <row r="38" spans="1:4" s="29" customFormat="1">
      <c r="A38" s="137"/>
      <c r="D38" s="137"/>
    </row>
    <row r="39" spans="1:4" s="29" customFormat="1">
      <c r="A39" s="137"/>
      <c r="D39" s="137"/>
    </row>
    <row r="40" spans="1:4" s="29" customFormat="1">
      <c r="A40" s="137"/>
      <c r="D40" s="137"/>
    </row>
    <row r="41" spans="1:4" s="29" customFormat="1">
      <c r="A41" s="137"/>
      <c r="D41" s="137"/>
    </row>
    <row r="42" spans="1:4" s="29" customFormat="1">
      <c r="A42" s="137"/>
      <c r="D42" s="137"/>
    </row>
    <row r="43" spans="1:4" s="29" customFormat="1">
      <c r="A43" s="137"/>
      <c r="D43" s="137"/>
    </row>
    <row r="44" spans="1:4" s="29" customFormat="1">
      <c r="A44" s="137"/>
      <c r="D44" s="137"/>
    </row>
    <row r="45" spans="1:4" s="29" customFormat="1">
      <c r="A45" s="137"/>
      <c r="D45" s="137"/>
    </row>
    <row r="46" spans="1:4" s="29" customFormat="1">
      <c r="A46" s="137"/>
      <c r="D46" s="137"/>
    </row>
    <row r="47" spans="1:4" s="29" customFormat="1">
      <c r="A47" s="137"/>
      <c r="D47" s="137"/>
    </row>
    <row r="48" spans="1:4" s="29" customFormat="1">
      <c r="A48" s="137"/>
      <c r="D48" s="137"/>
    </row>
    <row r="49" spans="1:4" s="29" customFormat="1">
      <c r="A49" s="137"/>
      <c r="D49" s="137"/>
    </row>
    <row r="50" spans="1:4" s="29" customFormat="1">
      <c r="A50" s="137"/>
      <c r="D50" s="137"/>
    </row>
    <row r="51" spans="1:4" s="29" customFormat="1">
      <c r="A51" s="137"/>
      <c r="D51" s="137"/>
    </row>
    <row r="52" spans="1:4" s="29" customFormat="1">
      <c r="A52" s="137"/>
      <c r="D52" s="137"/>
    </row>
    <row r="53" spans="1:4" s="29" customFormat="1">
      <c r="A53" s="137"/>
      <c r="D53" s="137"/>
    </row>
    <row r="54" spans="1:4" s="29" customFormat="1">
      <c r="A54" s="137"/>
      <c r="D54" s="137"/>
    </row>
    <row r="55" spans="1:4" s="29" customFormat="1">
      <c r="A55" s="137"/>
      <c r="D55" s="137"/>
    </row>
    <row r="56" spans="1:4" s="29" customFormat="1">
      <c r="A56" s="137"/>
      <c r="D56" s="137"/>
    </row>
    <row r="57" spans="1:4" s="29" customFormat="1">
      <c r="A57" s="137"/>
      <c r="D57" s="137"/>
    </row>
    <row r="58" spans="1:4" s="29" customFormat="1">
      <c r="A58" s="137"/>
      <c r="D58" s="137"/>
    </row>
    <row r="59" spans="1:4" s="29" customFormat="1" hidden="1">
      <c r="A59" s="137"/>
      <c r="B59" s="29" t="s">
        <v>302</v>
      </c>
      <c r="C59" s="29" t="s">
        <v>349</v>
      </c>
      <c r="D59" s="137"/>
    </row>
    <row r="60" spans="1:4" s="29" customFormat="1">
      <c r="A60" s="137"/>
      <c r="D60" s="137"/>
    </row>
    <row r="61" spans="1:4" s="29" customFormat="1">
      <c r="A61" s="137"/>
      <c r="D61" s="137"/>
    </row>
    <row r="62" spans="1:4" s="29" customFormat="1">
      <c r="A62" s="137"/>
      <c r="D62" s="137"/>
    </row>
    <row r="63" spans="1:4" s="29" customFormat="1">
      <c r="A63" s="137"/>
      <c r="D63" s="137"/>
    </row>
    <row r="64" spans="1:4" s="29" customFormat="1">
      <c r="A64" s="137"/>
      <c r="D64" s="137"/>
    </row>
    <row r="65" spans="1:4" s="29" customFormat="1">
      <c r="A65" s="137"/>
      <c r="D65" s="137"/>
    </row>
    <row r="66" spans="1:4" s="29" customFormat="1">
      <c r="A66" s="137"/>
      <c r="D66" s="137"/>
    </row>
    <row r="67" spans="1:4" s="29" customFormat="1">
      <c r="A67" s="137"/>
      <c r="D67" s="137"/>
    </row>
    <row r="68" spans="1:4" s="29" customFormat="1">
      <c r="A68" s="137"/>
      <c r="D68" s="137"/>
    </row>
    <row r="69" spans="1:4" s="29" customFormat="1">
      <c r="A69" s="137"/>
      <c r="D69" s="137"/>
    </row>
    <row r="70" spans="1:4" s="29" customFormat="1">
      <c r="A70" s="137"/>
      <c r="D70" s="137"/>
    </row>
    <row r="71" spans="1:4" s="29" customFormat="1">
      <c r="A71" s="137"/>
      <c r="D71" s="137"/>
    </row>
    <row r="72" spans="1:4" s="29" customFormat="1">
      <c r="A72" s="137"/>
      <c r="D72" s="137"/>
    </row>
    <row r="73" spans="1:4" s="29" customFormat="1">
      <c r="A73" s="137"/>
      <c r="D73" s="137"/>
    </row>
    <row r="74" spans="1:4" s="29" customFormat="1">
      <c r="A74" s="137"/>
      <c r="D74" s="137"/>
    </row>
    <row r="75" spans="1:4" s="29" customFormat="1">
      <c r="A75" s="137"/>
      <c r="D75" s="137"/>
    </row>
    <row r="76" spans="1:4" s="29" customFormat="1">
      <c r="A76" s="137"/>
      <c r="D76" s="137"/>
    </row>
    <row r="77" spans="1:4" s="29" customFormat="1">
      <c r="A77" s="137"/>
      <c r="D77" s="137"/>
    </row>
    <row r="78" spans="1:4" s="29" customFormat="1">
      <c r="A78" s="137"/>
      <c r="D78" s="137"/>
    </row>
    <row r="79" spans="1:4" s="29" customFormat="1">
      <c r="A79" s="137"/>
      <c r="D79" s="137"/>
    </row>
    <row r="80" spans="1:4" s="29" customFormat="1">
      <c r="A80" s="137"/>
      <c r="D80" s="137"/>
    </row>
    <row r="81" spans="1:4" s="29" customFormat="1">
      <c r="A81" s="137"/>
      <c r="D81" s="137"/>
    </row>
    <row r="82" spans="1:4" s="29" customFormat="1">
      <c r="A82" s="137"/>
      <c r="D82" s="137"/>
    </row>
    <row r="83" spans="1:4" s="29" customFormat="1">
      <c r="A83" s="137"/>
      <c r="D83" s="137"/>
    </row>
    <row r="84" spans="1:4" s="29" customFormat="1">
      <c r="A84" s="137"/>
      <c r="D84" s="137"/>
    </row>
    <row r="85" spans="1:4" s="29" customFormat="1">
      <c r="A85" s="137"/>
      <c r="D85" s="137"/>
    </row>
    <row r="86" spans="1:4" s="29" customFormat="1">
      <c r="A86" s="137"/>
      <c r="D86" s="137"/>
    </row>
    <row r="87" spans="1:4" s="29" customFormat="1">
      <c r="A87" s="137"/>
      <c r="D87" s="137"/>
    </row>
    <row r="88" spans="1:4" s="29" customFormat="1">
      <c r="A88" s="137"/>
      <c r="D88" s="137"/>
    </row>
    <row r="89" spans="1:4" s="29" customFormat="1">
      <c r="A89" s="137"/>
      <c r="D89" s="137"/>
    </row>
    <row r="90" spans="1:4" s="29" customFormat="1">
      <c r="A90" s="137"/>
      <c r="D90" s="137"/>
    </row>
    <row r="91" spans="1:4" s="29" customFormat="1">
      <c r="A91" s="137"/>
      <c r="D91" s="137"/>
    </row>
    <row r="92" spans="1:4" s="29" customFormat="1">
      <c r="A92" s="137"/>
      <c r="D92" s="137"/>
    </row>
    <row r="93" spans="1:4" s="29" customFormat="1">
      <c r="A93" s="137"/>
      <c r="D93" s="137"/>
    </row>
    <row r="94" spans="1:4" s="29" customFormat="1">
      <c r="A94" s="137"/>
      <c r="D94" s="137"/>
    </row>
    <row r="95" spans="1:4" s="29" customFormat="1">
      <c r="A95" s="137"/>
      <c r="D95" s="137"/>
    </row>
    <row r="96" spans="1:4" s="29" customFormat="1">
      <c r="A96" s="137"/>
      <c r="D96" s="137"/>
    </row>
    <row r="97" spans="1:4" s="29" customFormat="1">
      <c r="A97" s="137"/>
      <c r="D97" s="137"/>
    </row>
    <row r="98" spans="1:4" s="29" customFormat="1">
      <c r="A98" s="137"/>
      <c r="D98" s="137"/>
    </row>
    <row r="99" spans="1:4" s="29" customFormat="1">
      <c r="A99" s="137"/>
      <c r="D99" s="137"/>
    </row>
    <row r="100" spans="1:4" s="29" customFormat="1">
      <c r="A100" s="137"/>
      <c r="D100" s="137"/>
    </row>
    <row r="101" spans="1:4" s="29" customFormat="1">
      <c r="A101" s="137"/>
      <c r="D101" s="137"/>
    </row>
    <row r="102" spans="1:4" s="29" customFormat="1">
      <c r="A102" s="137"/>
      <c r="D102" s="137"/>
    </row>
    <row r="103" spans="1:4" s="29" customFormat="1">
      <c r="A103" s="137"/>
      <c r="D103" s="137"/>
    </row>
    <row r="104" spans="1:4" s="29" customFormat="1">
      <c r="A104" s="137"/>
      <c r="D104" s="137"/>
    </row>
    <row r="105" spans="1:4" s="29" customFormat="1">
      <c r="A105" s="137"/>
      <c r="D105" s="137"/>
    </row>
    <row r="106" spans="1:4" s="29" customFormat="1">
      <c r="A106" s="137"/>
      <c r="D106" s="137"/>
    </row>
    <row r="107" spans="1:4" s="29" customFormat="1">
      <c r="A107" s="137"/>
      <c r="D107" s="137"/>
    </row>
    <row r="108" spans="1:4" s="29" customFormat="1">
      <c r="A108" s="137"/>
      <c r="D108" s="137"/>
    </row>
    <row r="109" spans="1:4" s="29" customFormat="1">
      <c r="A109" s="137"/>
      <c r="D109" s="137"/>
    </row>
    <row r="110" spans="1:4" s="29" customFormat="1">
      <c r="A110" s="137"/>
      <c r="D110" s="137"/>
    </row>
    <row r="111" spans="1:4" s="29" customFormat="1">
      <c r="A111" s="137"/>
      <c r="D111" s="137"/>
    </row>
    <row r="112" spans="1:4" s="29" customFormat="1">
      <c r="A112" s="137"/>
      <c r="D112" s="137"/>
    </row>
    <row r="113" spans="1:4" s="29" customFormat="1">
      <c r="A113" s="137"/>
      <c r="D113" s="137"/>
    </row>
    <row r="114" spans="1:4" s="29" customFormat="1">
      <c r="A114" s="137"/>
      <c r="D114" s="137"/>
    </row>
    <row r="115" spans="1:4" s="29" customFormat="1">
      <c r="A115" s="137"/>
      <c r="D115" s="137"/>
    </row>
    <row r="116" spans="1:4" s="29" customFormat="1">
      <c r="A116" s="137"/>
      <c r="D116" s="137"/>
    </row>
    <row r="117" spans="1:4" s="29" customFormat="1">
      <c r="A117" s="137"/>
      <c r="D117" s="137"/>
    </row>
    <row r="118" spans="1:4" s="29" customFormat="1">
      <c r="A118" s="137"/>
      <c r="D118" s="137"/>
    </row>
    <row r="119" spans="1:4" s="29" customFormat="1">
      <c r="A119" s="137"/>
      <c r="D119" s="137"/>
    </row>
    <row r="120" spans="1:4" s="29" customFormat="1">
      <c r="A120" s="137"/>
      <c r="D120" s="137"/>
    </row>
    <row r="121" spans="1:4" s="29" customFormat="1">
      <c r="A121" s="137"/>
      <c r="D121" s="137"/>
    </row>
    <row r="122" spans="1:4" s="29" customFormat="1">
      <c r="A122" s="137"/>
      <c r="D122" s="137"/>
    </row>
    <row r="123" spans="1:4" s="29" customFormat="1">
      <c r="A123" s="137"/>
      <c r="D123" s="137"/>
    </row>
    <row r="124" spans="1:4" s="29" customFormat="1">
      <c r="A124" s="137"/>
      <c r="D124" s="137"/>
    </row>
    <row r="125" spans="1:4" s="29" customFormat="1">
      <c r="A125" s="137"/>
      <c r="D125" s="137"/>
    </row>
    <row r="126" spans="1:4" s="29" customFormat="1">
      <c r="A126" s="137"/>
      <c r="D126" s="137"/>
    </row>
    <row r="127" spans="1:4" s="29" customFormat="1">
      <c r="A127" s="137"/>
      <c r="D127" s="137"/>
    </row>
    <row r="128" spans="1:4" s="29" customFormat="1">
      <c r="A128" s="137"/>
      <c r="D128" s="137"/>
    </row>
    <row r="129" spans="1:4" s="29" customFormat="1">
      <c r="A129" s="137"/>
      <c r="D129" s="137"/>
    </row>
    <row r="130" spans="1:4" s="29" customFormat="1">
      <c r="A130" s="137"/>
      <c r="D130" s="137"/>
    </row>
    <row r="131" spans="1:4" s="29" customFormat="1">
      <c r="A131" s="137"/>
      <c r="D131" s="137"/>
    </row>
    <row r="132" spans="1:4" s="29" customFormat="1">
      <c r="A132" s="137"/>
      <c r="D132" s="137"/>
    </row>
    <row r="133" spans="1:4" s="29" customFormat="1">
      <c r="A133" s="137"/>
      <c r="D133" s="137"/>
    </row>
    <row r="134" spans="1:4" s="29" customFormat="1">
      <c r="A134" s="137"/>
      <c r="D134" s="137"/>
    </row>
    <row r="135" spans="1:4" s="29" customFormat="1">
      <c r="A135" s="137"/>
      <c r="D135" s="137"/>
    </row>
    <row r="136" spans="1:4" s="29" customFormat="1">
      <c r="A136" s="137"/>
      <c r="D136" s="137"/>
    </row>
    <row r="137" spans="1:4" s="29" customFormat="1">
      <c r="A137" s="137"/>
      <c r="D137" s="137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zoomScale="80" zoomScaleNormal="80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/>
      <c r="C1" s="163" t="str">
        <f>"Match "&amp;IF('Compo'!C14="Aller","A",IF('Compo'!C14="Retour","R","PF"))&amp;'Compo'!C16&amp;IF('Compo'!C12="Extérieur"," : "&amp;'Compo'!C10&amp;" / MXV"," : MXV / "&amp;'Compo'!C10)</f>
        <v>Match A8eme de finale : MXV / Rabastens-Coufouleux</v>
      </c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29"/>
    </row>
    <row r="2" spans="1:16" ht="10" customHeight="1" thickBot="1">
      <c r="A2" s="29"/>
      <c r="B2" s="29"/>
      <c r="C2" s="69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69"/>
      <c r="P2" s="29"/>
    </row>
    <row r="3" spans="1:16" ht="10" customHeight="1" thickTop="1">
      <c r="A3" s="29"/>
      <c r="B3" s="29"/>
      <c r="C3" s="70"/>
      <c r="D3" s="61"/>
      <c r="E3" s="61"/>
      <c r="F3" s="62"/>
      <c r="G3" s="62"/>
      <c r="H3" s="62"/>
      <c r="I3" s="62"/>
      <c r="J3" s="62"/>
      <c r="K3" s="62"/>
      <c r="L3" s="62"/>
      <c r="M3" s="62"/>
      <c r="N3" s="62"/>
      <c r="O3" s="71"/>
      <c r="P3" s="29"/>
    </row>
    <row r="4" spans="1:16" ht="42" customHeight="1">
      <c r="A4" s="29"/>
      <c r="B4" s="29"/>
      <c r="C4" s="72"/>
      <c r="D4" s="170" t="s">
        <v>237</v>
      </c>
      <c r="E4" s="170"/>
      <c r="F4" s="39" t="s">
        <v>90</v>
      </c>
      <c r="G4" s="64"/>
      <c r="H4" s="39" t="s">
        <v>125</v>
      </c>
      <c r="I4" s="30"/>
      <c r="J4" s="69"/>
      <c r="K4" s="69"/>
      <c r="L4" s="32" t="s">
        <v>112</v>
      </c>
      <c r="M4" s="69"/>
      <c r="N4" s="32" t="s">
        <v>113</v>
      </c>
      <c r="O4" s="73"/>
      <c r="P4" s="29"/>
    </row>
    <row r="5" spans="1:16" ht="10" customHeight="1" thickBot="1">
      <c r="A5" s="29"/>
      <c r="B5" s="29"/>
      <c r="C5" s="74"/>
      <c r="D5" s="65"/>
      <c r="E5" s="65"/>
      <c r="F5" s="66"/>
      <c r="G5" s="66"/>
      <c r="H5" s="66"/>
      <c r="I5" s="66"/>
      <c r="J5" s="66"/>
      <c r="K5" s="66"/>
      <c r="L5" s="66"/>
      <c r="M5" s="66"/>
      <c r="N5" s="66"/>
      <c r="O5" s="75"/>
      <c r="P5" s="29"/>
    </row>
    <row r="6" spans="1:16" ht="10" customHeight="1" thickTop="1" thickBot="1">
      <c r="A6" s="29"/>
      <c r="B6" s="29"/>
      <c r="C6" s="76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6"/>
      <c r="P6" s="29"/>
    </row>
    <row r="7" spans="1:16" ht="10" customHeight="1" thickTop="1">
      <c r="A7" s="29"/>
      <c r="B7" s="29" t="s">
        <v>114</v>
      </c>
      <c r="C7" s="77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9"/>
      <c r="P7" s="29"/>
    </row>
    <row r="8" spans="1:16" ht="15" customHeight="1">
      <c r="A8" s="29"/>
      <c r="B8" s="29"/>
      <c r="C8" s="80"/>
      <c r="D8" s="164" t="s">
        <v>70</v>
      </c>
      <c r="E8" s="164"/>
      <c r="F8" s="165"/>
      <c r="G8" s="165"/>
      <c r="H8" s="165"/>
      <c r="I8" s="165"/>
      <c r="J8" s="165"/>
      <c r="K8" s="165"/>
      <c r="L8" s="165"/>
      <c r="M8" s="165"/>
      <c r="N8" s="165"/>
      <c r="O8" s="81"/>
      <c r="P8" s="29"/>
    </row>
    <row r="9" spans="1:16">
      <c r="A9" s="29"/>
      <c r="B9" s="29"/>
      <c r="C9" s="80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81"/>
      <c r="P9" s="29"/>
    </row>
    <row r="10" spans="1:16" ht="42" customHeight="1">
      <c r="A10" s="29"/>
      <c r="B10" s="29"/>
      <c r="C10" s="80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1"/>
      <c r="P10" s="29"/>
    </row>
    <row r="11" spans="1:16" ht="10" customHeight="1">
      <c r="A11" s="29"/>
      <c r="B11" s="29"/>
      <c r="C11" s="80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1"/>
      <c r="P11" s="29"/>
    </row>
    <row r="12" spans="1:16" ht="42" customHeight="1">
      <c r="A12" s="29"/>
      <c r="B12" s="29"/>
      <c r="C12" s="80"/>
      <c r="D12" s="26" t="s">
        <v>406</v>
      </c>
      <c r="E12" s="25"/>
      <c r="F12" s="33" t="s">
        <v>76</v>
      </c>
      <c r="G12" s="25"/>
      <c r="H12" s="33" t="s">
        <v>77</v>
      </c>
      <c r="I12" s="28"/>
      <c r="J12" s="33" t="s">
        <v>115</v>
      </c>
      <c r="K12" s="31"/>
      <c r="L12" s="69"/>
      <c r="M12" s="69"/>
      <c r="N12" s="69"/>
      <c r="O12" s="73"/>
      <c r="P12" s="29"/>
    </row>
    <row r="13" spans="1:16" ht="10" customHeight="1">
      <c r="A13" s="29"/>
      <c r="B13" s="29"/>
      <c r="C13" s="80"/>
      <c r="D13" s="24"/>
      <c r="E13" s="24"/>
      <c r="F13" s="24"/>
      <c r="G13" s="24"/>
      <c r="H13" s="24"/>
      <c r="I13" s="24"/>
      <c r="J13" s="24"/>
      <c r="K13" s="67"/>
      <c r="L13" s="67"/>
      <c r="M13" s="67"/>
      <c r="N13" s="67"/>
      <c r="O13" s="73"/>
      <c r="P13" s="29"/>
    </row>
    <row r="14" spans="1:16" ht="42" customHeight="1">
      <c r="A14" s="29"/>
      <c r="B14" s="29"/>
      <c r="C14" s="80"/>
      <c r="D14" s="26" t="s">
        <v>397</v>
      </c>
      <c r="E14" s="25"/>
      <c r="F14" s="33" t="s">
        <v>76</v>
      </c>
      <c r="G14" s="25"/>
      <c r="H14" s="33" t="s">
        <v>77</v>
      </c>
      <c r="I14" s="28"/>
      <c r="J14" s="63"/>
      <c r="K14" s="31"/>
      <c r="L14" s="69"/>
      <c r="M14" s="69"/>
      <c r="N14" s="69"/>
      <c r="O14" s="73"/>
      <c r="P14" s="29"/>
    </row>
    <row r="15" spans="1:16" s="29" customFormat="1" ht="10" customHeight="1">
      <c r="C15" s="72"/>
      <c r="D15" s="31"/>
      <c r="E15" s="31"/>
      <c r="F15" s="87"/>
      <c r="G15" s="31"/>
      <c r="H15" s="87"/>
      <c r="I15" s="31"/>
      <c r="J15" s="88"/>
      <c r="K15" s="31"/>
      <c r="L15" s="69"/>
      <c r="M15" s="69"/>
      <c r="N15" s="69"/>
      <c r="O15" s="73"/>
    </row>
    <row r="16" spans="1:16" ht="42" customHeight="1">
      <c r="A16" s="29"/>
      <c r="B16" s="29"/>
      <c r="C16" s="80"/>
      <c r="D16" s="89" t="s">
        <v>238</v>
      </c>
      <c r="E16" s="64"/>
      <c r="F16" s="33" t="s">
        <v>239</v>
      </c>
      <c r="G16" s="64"/>
      <c r="H16" s="33" t="s">
        <v>240</v>
      </c>
      <c r="I16" s="64"/>
      <c r="J16" s="33" t="s">
        <v>241</v>
      </c>
      <c r="K16" s="64"/>
      <c r="L16" s="33" t="s">
        <v>242</v>
      </c>
      <c r="M16" s="69"/>
      <c r="N16" s="69"/>
      <c r="O16" s="73"/>
      <c r="P16" s="29"/>
    </row>
    <row r="17" spans="1:18" ht="10" customHeight="1">
      <c r="A17" s="29"/>
      <c r="B17" s="29"/>
      <c r="C17" s="80"/>
      <c r="D17" s="24"/>
      <c r="E17" s="24"/>
      <c r="F17" s="24"/>
      <c r="G17" s="24"/>
      <c r="H17" s="24"/>
      <c r="I17" s="24"/>
      <c r="J17" s="24"/>
      <c r="K17" s="67"/>
      <c r="L17" s="67"/>
      <c r="M17" s="67"/>
      <c r="N17" s="67"/>
      <c r="O17" s="73"/>
      <c r="P17" s="29"/>
    </row>
    <row r="18" spans="1:18" ht="42" customHeight="1">
      <c r="A18" s="29"/>
      <c r="B18" s="29"/>
      <c r="C18" s="80"/>
      <c r="D18" s="89" t="s">
        <v>238</v>
      </c>
      <c r="E18" s="64"/>
      <c r="F18" s="33" t="s">
        <v>60</v>
      </c>
      <c r="G18" s="64"/>
      <c r="H18" s="33" t="s">
        <v>78</v>
      </c>
      <c r="I18" s="64"/>
      <c r="J18" s="33" t="s">
        <v>393</v>
      </c>
      <c r="K18" s="64"/>
      <c r="L18" s="69"/>
      <c r="M18" s="69"/>
      <c r="N18" s="69"/>
      <c r="O18" s="73"/>
      <c r="P18" s="29"/>
    </row>
    <row r="19" spans="1:18" ht="10" customHeight="1">
      <c r="A19" s="29"/>
      <c r="B19" s="29"/>
      <c r="C19" s="80"/>
      <c r="D19" s="24"/>
      <c r="E19" s="24"/>
      <c r="F19" s="24"/>
      <c r="G19" s="24"/>
      <c r="H19" s="24"/>
      <c r="I19" s="24"/>
      <c r="J19" s="24"/>
      <c r="K19" s="67"/>
      <c r="L19" s="67"/>
      <c r="M19" s="67"/>
      <c r="N19" s="67"/>
      <c r="O19" s="73"/>
      <c r="P19" s="29"/>
    </row>
    <row r="20" spans="1:18" ht="42" customHeight="1">
      <c r="A20" s="29"/>
      <c r="B20" s="29"/>
      <c r="C20" s="80"/>
      <c r="D20" s="89" t="s">
        <v>135</v>
      </c>
      <c r="E20" s="25"/>
      <c r="F20" s="34" t="s">
        <v>272</v>
      </c>
      <c r="G20" s="25"/>
      <c r="H20" s="34" t="s">
        <v>273</v>
      </c>
      <c r="I20" s="28"/>
      <c r="J20" s="64"/>
      <c r="K20" s="63"/>
      <c r="L20" s="64"/>
      <c r="M20" s="64"/>
      <c r="N20" s="63"/>
      <c r="O20" s="81"/>
      <c r="P20" s="29"/>
    </row>
    <row r="21" spans="1:18" s="29" customFormat="1" ht="10" customHeight="1">
      <c r="C21" s="72"/>
      <c r="D21" s="31"/>
      <c r="E21" s="31"/>
      <c r="F21" s="87"/>
      <c r="G21" s="31"/>
      <c r="H21" s="87"/>
      <c r="I21" s="31"/>
      <c r="J21" s="31"/>
      <c r="K21" s="88"/>
      <c r="L21" s="31"/>
      <c r="M21" s="31"/>
      <c r="N21" s="88"/>
      <c r="O21" s="73"/>
    </row>
    <row r="22" spans="1:18" ht="42" customHeight="1">
      <c r="A22" s="29"/>
      <c r="B22" s="29"/>
      <c r="C22" s="80"/>
      <c r="D22" s="89" t="s">
        <v>267</v>
      </c>
      <c r="E22" s="64"/>
      <c r="F22" s="34" t="s">
        <v>268</v>
      </c>
      <c r="G22" s="64"/>
      <c r="H22" s="34" t="s">
        <v>269</v>
      </c>
      <c r="I22" s="64"/>
      <c r="J22" s="34" t="s">
        <v>270</v>
      </c>
      <c r="K22" s="63"/>
      <c r="L22" s="34" t="s">
        <v>271</v>
      </c>
      <c r="M22" s="64"/>
      <c r="N22" s="34" t="s">
        <v>175</v>
      </c>
      <c r="O22" s="81"/>
      <c r="P22" s="29"/>
    </row>
    <row r="23" spans="1:18" ht="10" customHeight="1">
      <c r="A23" s="29"/>
      <c r="B23" s="29"/>
      <c r="C23" s="80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1"/>
      <c r="P23" s="29"/>
    </row>
    <row r="24" spans="1:18" ht="42" customHeight="1">
      <c r="A24" s="29"/>
      <c r="B24" s="29"/>
      <c r="C24" s="80"/>
      <c r="D24" s="26" t="s">
        <v>89</v>
      </c>
      <c r="E24" s="25"/>
      <c r="F24" s="52" t="s">
        <v>80</v>
      </c>
      <c r="G24" s="25"/>
      <c r="H24" s="52" t="s">
        <v>121</v>
      </c>
      <c r="I24" s="25"/>
      <c r="J24" s="52" t="s">
        <v>254</v>
      </c>
      <c r="K24" s="25"/>
      <c r="L24" s="52" t="s">
        <v>81</v>
      </c>
      <c r="M24" s="25"/>
      <c r="N24" s="52" t="s">
        <v>82</v>
      </c>
      <c r="O24" s="81"/>
      <c r="P24" s="29"/>
      <c r="R24" s="29" t="s">
        <v>136</v>
      </c>
    </row>
    <row r="25" spans="1:18" ht="10" customHeight="1">
      <c r="A25" s="29"/>
      <c r="B25" s="29"/>
      <c r="C25" s="80"/>
      <c r="D25" s="64"/>
      <c r="E25" s="64"/>
      <c r="F25" s="68"/>
      <c r="G25" s="64"/>
      <c r="H25" s="68"/>
      <c r="I25" s="64"/>
      <c r="J25" s="68"/>
      <c r="K25" s="64"/>
      <c r="L25" s="68"/>
      <c r="M25" s="64"/>
      <c r="N25" s="68"/>
      <c r="O25" s="81"/>
      <c r="P25" s="29"/>
    </row>
    <row r="26" spans="1:18" ht="42" customHeight="1">
      <c r="A26" s="29"/>
      <c r="B26" s="29"/>
      <c r="C26" s="80"/>
      <c r="D26" s="26" t="s">
        <v>118</v>
      </c>
      <c r="E26" s="25"/>
      <c r="F26" s="35" t="s">
        <v>84</v>
      </c>
      <c r="G26" s="25"/>
      <c r="H26" s="35" t="s">
        <v>85</v>
      </c>
      <c r="I26" s="25"/>
      <c r="J26" s="35" t="s">
        <v>86</v>
      </c>
      <c r="K26" s="25"/>
      <c r="L26" s="35" t="s">
        <v>87</v>
      </c>
      <c r="M26" s="28"/>
      <c r="N26" s="27" t="s">
        <v>88</v>
      </c>
      <c r="O26" s="81"/>
      <c r="P26" s="29"/>
    </row>
    <row r="27" spans="1:18" ht="10" customHeight="1" thickBot="1">
      <c r="A27" s="29"/>
      <c r="B27" s="29"/>
      <c r="C27" s="74"/>
      <c r="D27" s="65"/>
      <c r="E27" s="65"/>
      <c r="F27" s="66"/>
      <c r="G27" s="66"/>
      <c r="H27" s="66"/>
      <c r="I27" s="66"/>
      <c r="J27" s="66"/>
      <c r="K27" s="66"/>
      <c r="L27" s="66"/>
      <c r="M27" s="66"/>
      <c r="N27" s="66"/>
      <c r="O27" s="75"/>
      <c r="P27" s="29"/>
    </row>
    <row r="28" spans="1:18" ht="10" customHeight="1" thickTop="1" thickBot="1">
      <c r="A28" s="29"/>
      <c r="B28" s="29"/>
      <c r="C28" s="69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69"/>
      <c r="P28" s="29"/>
    </row>
    <row r="29" spans="1:18" ht="10" customHeight="1" thickTop="1">
      <c r="A29" s="29"/>
      <c r="B29" s="29"/>
      <c r="C29" s="70"/>
      <c r="D29" s="61"/>
      <c r="E29" s="61"/>
      <c r="F29" s="62"/>
      <c r="G29" s="62"/>
      <c r="H29" s="62"/>
      <c r="I29" s="62"/>
      <c r="J29" s="62"/>
      <c r="K29" s="62"/>
      <c r="L29" s="62"/>
      <c r="M29" s="62"/>
      <c r="N29" s="62"/>
      <c r="O29" s="71"/>
      <c r="P29" s="29"/>
    </row>
    <row r="30" spans="1:18" ht="15" customHeight="1">
      <c r="A30" s="29"/>
      <c r="B30" s="29"/>
      <c r="C30" s="109"/>
      <c r="D30" s="168" t="s">
        <v>68</v>
      </c>
      <c r="E30" s="168"/>
      <c r="F30" s="169"/>
      <c r="G30" s="169"/>
      <c r="H30" s="169"/>
      <c r="I30" s="169"/>
      <c r="J30" s="169"/>
      <c r="K30" s="169"/>
      <c r="L30" s="169"/>
      <c r="M30" s="169"/>
      <c r="N30" s="169"/>
      <c r="O30" s="110"/>
      <c r="P30" s="29"/>
    </row>
    <row r="31" spans="1:18" ht="13" customHeight="1">
      <c r="A31" s="29"/>
      <c r="B31" s="29"/>
      <c r="C31" s="109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110"/>
      <c r="P31" s="29"/>
    </row>
    <row r="32" spans="1:18" ht="42" customHeight="1">
      <c r="A32" s="29"/>
      <c r="B32" s="29"/>
      <c r="C32" s="109"/>
      <c r="D32" s="86" t="s">
        <v>350</v>
      </c>
      <c r="E32" s="85"/>
      <c r="F32" s="86" t="s">
        <v>351</v>
      </c>
      <c r="G32" s="85"/>
      <c r="H32" s="86" t="s">
        <v>364</v>
      </c>
      <c r="I32" s="85"/>
      <c r="J32" s="86" t="s">
        <v>365</v>
      </c>
      <c r="K32" s="85"/>
      <c r="L32" s="86" t="s">
        <v>366</v>
      </c>
      <c r="M32" s="85"/>
      <c r="N32" s="86" t="s">
        <v>369</v>
      </c>
      <c r="O32" s="110"/>
      <c r="P32" s="29"/>
    </row>
    <row r="33" spans="1:21" ht="10" customHeight="1">
      <c r="A33" s="29"/>
      <c r="B33" s="29"/>
      <c r="C33" s="109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110"/>
      <c r="P33" s="29"/>
    </row>
    <row r="34" spans="1:21" ht="42" customHeight="1">
      <c r="A34" s="29"/>
      <c r="B34" s="29"/>
      <c r="C34" s="109"/>
      <c r="D34" s="86" t="s">
        <v>370</v>
      </c>
      <c r="E34" s="85"/>
      <c r="F34" s="86" t="s">
        <v>371</v>
      </c>
      <c r="G34" s="85"/>
      <c r="H34" s="86" t="s">
        <v>372</v>
      </c>
      <c r="I34" s="85"/>
      <c r="J34" s="86" t="s">
        <v>373</v>
      </c>
      <c r="K34" s="85"/>
      <c r="L34" s="86" t="s">
        <v>374</v>
      </c>
      <c r="M34" s="85"/>
      <c r="N34" s="86" t="s">
        <v>375</v>
      </c>
      <c r="O34" s="110"/>
      <c r="P34" s="29"/>
    </row>
    <row r="35" spans="1:21" ht="10" customHeight="1">
      <c r="A35" s="29"/>
      <c r="B35" s="29"/>
      <c r="C35" s="109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110"/>
      <c r="P35" s="29"/>
    </row>
    <row r="36" spans="1:21" ht="42" customHeight="1">
      <c r="A36" s="29"/>
      <c r="B36" s="29"/>
      <c r="C36" s="109"/>
      <c r="D36" s="86" t="s">
        <v>376</v>
      </c>
      <c r="E36" s="85"/>
      <c r="F36" s="86" t="s">
        <v>377</v>
      </c>
      <c r="G36" s="85"/>
      <c r="H36" s="86" t="s">
        <v>378</v>
      </c>
      <c r="I36" s="85"/>
      <c r="J36" s="86" t="s">
        <v>380</v>
      </c>
      <c r="K36" s="85"/>
      <c r="L36" s="86" t="s">
        <v>381</v>
      </c>
      <c r="M36" s="85"/>
      <c r="N36" s="86" t="s">
        <v>385</v>
      </c>
      <c r="O36" s="110"/>
      <c r="P36" s="29"/>
      <c r="R36" s="30"/>
      <c r="S36" s="30"/>
    </row>
    <row r="37" spans="1:21" ht="10" customHeight="1">
      <c r="A37" s="29"/>
      <c r="B37" s="29"/>
      <c r="C37" s="109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110"/>
      <c r="P37" s="29"/>
      <c r="R37" s="30"/>
      <c r="S37" s="30"/>
    </row>
    <row r="38" spans="1:21" ht="42" customHeight="1">
      <c r="A38" s="29"/>
      <c r="B38" s="29"/>
      <c r="C38" s="109"/>
      <c r="D38" s="86" t="s">
        <v>387</v>
      </c>
      <c r="E38" s="85"/>
      <c r="F38" s="86" t="s">
        <v>389</v>
      </c>
      <c r="G38" s="85"/>
      <c r="H38" s="86" t="s">
        <v>391</v>
      </c>
      <c r="I38" s="85"/>
      <c r="J38" s="86" t="s">
        <v>392</v>
      </c>
      <c r="K38" s="85"/>
      <c r="L38" s="84" t="s">
        <v>93</v>
      </c>
      <c r="M38" s="85"/>
      <c r="N38" s="84" t="s">
        <v>83</v>
      </c>
      <c r="O38" s="110"/>
      <c r="P38" s="29"/>
    </row>
    <row r="39" spans="1:21" s="29" customFormat="1" ht="10" customHeight="1" thickBot="1">
      <c r="C39" s="111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3"/>
    </row>
    <row r="40" spans="1:21" ht="10" customHeight="1" thickTop="1" thickBot="1">
      <c r="A40" s="29"/>
      <c r="B40" s="29"/>
      <c r="C40" s="69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69"/>
      <c r="P40" s="29"/>
    </row>
    <row r="41" spans="1:21" ht="10" customHeight="1" thickTop="1">
      <c r="A41" s="29"/>
      <c r="B41" s="29"/>
      <c r="C41" s="70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71"/>
      <c r="P41" s="29"/>
      <c r="Q41" s="31"/>
      <c r="T41" s="30"/>
      <c r="U41" s="30"/>
    </row>
    <row r="42" spans="1:21" ht="15" customHeight="1">
      <c r="A42" s="29"/>
      <c r="B42" s="29"/>
      <c r="C42" s="72"/>
      <c r="D42" s="164" t="s">
        <v>91</v>
      </c>
      <c r="E42" s="164"/>
      <c r="F42" s="165"/>
      <c r="G42" s="165"/>
      <c r="H42" s="165"/>
      <c r="I42" s="165"/>
      <c r="J42" s="165"/>
      <c r="K42" s="165"/>
      <c r="L42" s="165"/>
      <c r="M42" s="165"/>
      <c r="N42" s="165"/>
      <c r="O42" s="115"/>
      <c r="P42" s="29"/>
      <c r="U42" s="30"/>
    </row>
    <row r="43" spans="1:21" ht="11" customHeight="1">
      <c r="A43" s="29"/>
      <c r="B43" s="29"/>
      <c r="C43" s="72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73"/>
      <c r="P43" s="29"/>
      <c r="U43" s="30"/>
    </row>
    <row r="44" spans="1:21" ht="14">
      <c r="A44" s="29"/>
      <c r="B44" s="29"/>
      <c r="C44" s="72"/>
      <c r="D44" s="116" t="s">
        <v>92</v>
      </c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73"/>
      <c r="P44" s="29"/>
      <c r="Q44" s="29" t="s">
        <v>136</v>
      </c>
      <c r="U44" s="30"/>
    </row>
    <row r="45" spans="1:21" ht="6" customHeight="1">
      <c r="A45" s="29"/>
      <c r="B45" s="29"/>
      <c r="C45" s="72"/>
      <c r="D45" s="69"/>
      <c r="E45" s="69"/>
      <c r="F45" s="69"/>
      <c r="G45" s="69"/>
      <c r="H45" s="69"/>
      <c r="I45" s="69"/>
      <c r="J45" s="69"/>
      <c r="K45" s="69"/>
      <c r="L45" s="117"/>
      <c r="M45" s="117"/>
      <c r="N45" s="69"/>
      <c r="O45" s="73"/>
      <c r="P45" s="29"/>
    </row>
    <row r="46" spans="1:21" ht="42" customHeight="1">
      <c r="A46" s="29"/>
      <c r="B46" s="29"/>
      <c r="C46" s="72"/>
      <c r="D46" s="166">
        <v>0</v>
      </c>
      <c r="E46" s="167"/>
      <c r="F46" s="167"/>
      <c r="G46" s="69"/>
      <c r="H46" s="40" t="s">
        <v>62</v>
      </c>
      <c r="J46" s="36" t="s">
        <v>61</v>
      </c>
      <c r="K46" s="69"/>
      <c r="L46" s="40" t="s">
        <v>231</v>
      </c>
      <c r="M46" s="117"/>
      <c r="N46" s="37" t="s">
        <v>63</v>
      </c>
      <c r="O46" s="73"/>
      <c r="P46" s="29"/>
    </row>
    <row r="47" spans="1:21" ht="93" customHeight="1" thickBot="1">
      <c r="A47" s="29"/>
      <c r="B47" s="29"/>
      <c r="C47" s="74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75"/>
      <c r="P47" s="29"/>
      <c r="R47" s="29" t="s">
        <v>136</v>
      </c>
    </row>
    <row r="48" spans="1:21" ht="14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114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1"/>
      <c r="M409" s="121"/>
    </row>
    <row r="410" spans="12:13" s="29" customFormat="1">
      <c r="L410" s="121"/>
      <c r="M410" s="121"/>
    </row>
    <row r="411" spans="12:13" s="29" customFormat="1">
      <c r="L411" s="121"/>
      <c r="M411" s="121"/>
    </row>
    <row r="412" spans="12:13" s="29" customFormat="1">
      <c r="L412" s="121"/>
      <c r="M412" s="121"/>
    </row>
    <row r="413" spans="12:13" s="29" customFormat="1">
      <c r="L413" s="121"/>
      <c r="M413" s="121"/>
    </row>
    <row r="414" spans="12:13" s="29" customFormat="1">
      <c r="L414" s="121"/>
      <c r="M414" s="121"/>
    </row>
    <row r="415" spans="12:13" s="29" customFormat="1">
      <c r="L415" s="121"/>
      <c r="M415" s="121"/>
    </row>
    <row r="416" spans="12:13" s="29" customFormat="1">
      <c r="L416" s="121"/>
      <c r="M416" s="121"/>
    </row>
    <row r="417" spans="12:29" s="29" customFormat="1">
      <c r="L417" s="121"/>
      <c r="M417" s="121"/>
    </row>
    <row r="418" spans="12:29" s="29" customFormat="1">
      <c r="L418" s="121"/>
      <c r="M418" s="121"/>
    </row>
    <row r="419" spans="12:29" s="29" customFormat="1">
      <c r="L419" s="121"/>
      <c r="M419" s="121"/>
    </row>
    <row r="420" spans="12:29" s="29" customFormat="1">
      <c r="L420" s="121"/>
      <c r="M420" s="121"/>
    </row>
    <row r="421" spans="12:29" s="29" customFormat="1">
      <c r="L421" s="121"/>
      <c r="M421" s="121"/>
    </row>
    <row r="422" spans="12:29" s="29" customFormat="1">
      <c r="L422" s="121"/>
      <c r="M422" s="121"/>
    </row>
    <row r="423" spans="12:29" s="29" customFormat="1">
      <c r="L423" s="121"/>
      <c r="M423" s="121"/>
    </row>
    <row r="424" spans="12:29" s="29" customFormat="1">
      <c r="L424" s="121"/>
      <c r="M424" s="121"/>
    </row>
    <row r="425" spans="12:29" s="29" customFormat="1">
      <c r="L425" s="121"/>
      <c r="M425" s="121"/>
    </row>
    <row r="426" spans="12:29" s="29" customFormat="1">
      <c r="L426" s="121"/>
      <c r="M426" s="121"/>
    </row>
    <row r="427" spans="12:29" s="29" customFormat="1">
      <c r="L427" s="121"/>
      <c r="M427" s="121"/>
      <c r="Y427" s="120"/>
      <c r="Z427" s="120"/>
      <c r="AA427" s="120"/>
      <c r="AC427" s="120"/>
    </row>
    <row r="428" spans="12:29" s="29" customFormat="1">
      <c r="L428" s="121"/>
      <c r="M428" s="121"/>
    </row>
    <row r="429" spans="12:29" s="29" customFormat="1">
      <c r="L429" s="121"/>
      <c r="M429" s="121"/>
    </row>
    <row r="430" spans="12:29" s="29" customFormat="1">
      <c r="L430" s="121"/>
      <c r="M430" s="121"/>
    </row>
    <row r="431" spans="12:29" s="29" customFormat="1">
      <c r="L431" s="121"/>
      <c r="M431" s="121"/>
    </row>
    <row r="432" spans="12:29" s="29" customFormat="1">
      <c r="L432" s="121"/>
      <c r="M432" s="121"/>
    </row>
    <row r="433" spans="12:13" s="29" customFormat="1">
      <c r="L433" s="121"/>
      <c r="M433" s="121"/>
    </row>
    <row r="434" spans="12:13" s="29" customFormat="1">
      <c r="L434" s="121"/>
      <c r="M434" s="121"/>
    </row>
    <row r="435" spans="12:13" s="29" customFormat="1">
      <c r="L435" s="121"/>
      <c r="M435" s="121"/>
    </row>
    <row r="436" spans="12:13" s="29" customFormat="1">
      <c r="L436" s="121"/>
      <c r="M436" s="121"/>
    </row>
    <row r="437" spans="12:13" s="29" customFormat="1">
      <c r="L437" s="121"/>
      <c r="M437" s="121"/>
    </row>
    <row r="438" spans="12:13" s="29" customFormat="1">
      <c r="L438" s="121"/>
      <c r="M438" s="121"/>
    </row>
    <row r="439" spans="12:13" s="29" customFormat="1">
      <c r="L439" s="121"/>
      <c r="M439" s="121"/>
    </row>
    <row r="440" spans="12:13" s="29" customFormat="1">
      <c r="L440" s="121"/>
      <c r="M440" s="121"/>
    </row>
    <row r="441" spans="12:13" s="29" customFormat="1">
      <c r="L441" s="121"/>
      <c r="M441" s="121"/>
    </row>
    <row r="442" spans="12:13" s="29" customFormat="1">
      <c r="L442" s="121"/>
      <c r="M442" s="121"/>
    </row>
    <row r="443" spans="12:13" s="29" customFormat="1">
      <c r="L443" s="121"/>
      <c r="M443" s="121"/>
    </row>
    <row r="444" spans="12:13" s="29" customFormat="1">
      <c r="L444" s="121"/>
      <c r="M444" s="121"/>
    </row>
    <row r="445" spans="12:13" s="29" customFormat="1">
      <c r="L445" s="121"/>
      <c r="M445" s="121"/>
    </row>
    <row r="446" spans="12:13" s="29" customFormat="1">
      <c r="L446" s="121"/>
      <c r="M446" s="121"/>
    </row>
    <row r="447" spans="12:13" s="29" customFormat="1">
      <c r="L447" s="121"/>
      <c r="M447" s="121"/>
    </row>
    <row r="448" spans="12:13" s="29" customFormat="1">
      <c r="L448" s="121"/>
      <c r="M448" s="121"/>
    </row>
    <row r="449" spans="12:13" s="29" customFormat="1">
      <c r="L449" s="121"/>
      <c r="M449" s="121"/>
    </row>
    <row r="450" spans="12:13" s="29" customFormat="1">
      <c r="L450" s="121"/>
      <c r="M450" s="121"/>
    </row>
    <row r="451" spans="12:13" s="29" customFormat="1">
      <c r="L451" s="121"/>
      <c r="M451" s="121"/>
    </row>
    <row r="452" spans="12:13" s="29" customFormat="1">
      <c r="L452" s="121"/>
      <c r="M452" s="121"/>
    </row>
    <row r="453" spans="12:13" s="29" customFormat="1">
      <c r="L453" s="121"/>
      <c r="M453" s="121"/>
    </row>
    <row r="454" spans="12:13" s="29" customFormat="1">
      <c r="L454" s="121"/>
      <c r="M454" s="121"/>
    </row>
    <row r="455" spans="12:13" s="29" customFormat="1">
      <c r="L455" s="121"/>
      <c r="M455" s="121"/>
    </row>
    <row r="456" spans="12:13" s="29" customFormat="1">
      <c r="L456" s="121"/>
      <c r="M456" s="121"/>
    </row>
    <row r="457" spans="12:13" s="29" customFormat="1">
      <c r="L457" s="121"/>
      <c r="M457" s="121"/>
    </row>
    <row r="458" spans="12:13" s="29" customFormat="1">
      <c r="L458" s="121"/>
      <c r="M458" s="121"/>
    </row>
    <row r="459" spans="12:13" s="29" customFormat="1">
      <c r="L459" s="121"/>
      <c r="M459" s="121"/>
    </row>
    <row r="460" spans="12:13" s="29" customFormat="1">
      <c r="L460" s="121"/>
      <c r="M460" s="121"/>
    </row>
    <row r="461" spans="12:13" s="29" customFormat="1">
      <c r="L461" s="121"/>
      <c r="M461" s="121"/>
    </row>
    <row r="462" spans="12:13" s="29" customFormat="1">
      <c r="L462" s="121"/>
      <c r="M462" s="121"/>
    </row>
    <row r="463" spans="12:13" s="29" customFormat="1">
      <c r="L463" s="121"/>
      <c r="M463" s="121"/>
    </row>
    <row r="464" spans="12:13" s="29" customFormat="1">
      <c r="L464" s="121"/>
      <c r="M464" s="121"/>
    </row>
    <row r="465" spans="12:13" s="29" customFormat="1">
      <c r="L465" s="121"/>
      <c r="M465" s="121"/>
    </row>
    <row r="466" spans="12:13" s="29" customFormat="1">
      <c r="L466" s="121"/>
      <c r="M466" s="121"/>
    </row>
    <row r="467" spans="12:13" s="29" customFormat="1">
      <c r="L467" s="121"/>
      <c r="M467" s="121"/>
    </row>
    <row r="468" spans="12:13" s="29" customFormat="1">
      <c r="L468" s="121"/>
      <c r="M468" s="121"/>
    </row>
    <row r="469" spans="12:13" s="29" customFormat="1">
      <c r="L469" s="121"/>
      <c r="M469" s="121"/>
    </row>
    <row r="470" spans="12:13" s="29" customFormat="1">
      <c r="L470" s="121"/>
      <c r="M470" s="121"/>
    </row>
    <row r="471" spans="12:13" s="29" customFormat="1">
      <c r="L471" s="121"/>
      <c r="M471" s="121"/>
    </row>
    <row r="472" spans="12:13" s="29" customFormat="1">
      <c r="L472" s="121"/>
      <c r="M472" s="121"/>
    </row>
    <row r="473" spans="12:13" s="29" customFormat="1">
      <c r="L473" s="121"/>
      <c r="M473" s="121"/>
    </row>
    <row r="474" spans="12:13" s="29" customFormat="1">
      <c r="L474" s="121"/>
      <c r="M474" s="121"/>
    </row>
    <row r="475" spans="12:13" s="29" customFormat="1">
      <c r="L475" s="121"/>
      <c r="M475" s="121"/>
    </row>
    <row r="476" spans="12:13" s="29" customFormat="1">
      <c r="L476" s="121"/>
      <c r="M476" s="121"/>
    </row>
    <row r="477" spans="12:13" s="29" customFormat="1">
      <c r="L477" s="121"/>
      <c r="M477" s="121"/>
    </row>
    <row r="478" spans="12:13" s="29" customFormat="1">
      <c r="L478" s="121"/>
      <c r="M478" s="121"/>
    </row>
    <row r="479" spans="12:13" s="29" customFormat="1">
      <c r="L479" s="121"/>
      <c r="M479" s="121"/>
    </row>
    <row r="480" spans="12:13" s="29" customFormat="1">
      <c r="L480" s="121"/>
      <c r="M480" s="121"/>
    </row>
    <row r="481" spans="12:13" s="29" customFormat="1">
      <c r="L481" s="121"/>
      <c r="M481" s="121"/>
    </row>
    <row r="482" spans="12:13" s="29" customFormat="1">
      <c r="L482" s="121"/>
      <c r="M482" s="121"/>
    </row>
    <row r="483" spans="12:13" s="29" customFormat="1">
      <c r="L483" s="121"/>
      <c r="M483" s="121"/>
    </row>
    <row r="484" spans="12:13" s="29" customFormat="1">
      <c r="L484" s="121"/>
      <c r="M484" s="121"/>
    </row>
    <row r="485" spans="12:13" s="29" customFormat="1">
      <c r="L485" s="121"/>
      <c r="M485" s="121"/>
    </row>
    <row r="486" spans="12:13" s="29" customFormat="1">
      <c r="L486" s="121"/>
      <c r="M486" s="121"/>
    </row>
    <row r="487" spans="12:13" s="29" customFormat="1">
      <c r="L487" s="121"/>
      <c r="M487" s="121"/>
    </row>
    <row r="488" spans="12:13" s="29" customFormat="1">
      <c r="L488" s="121"/>
      <c r="M488" s="121"/>
    </row>
    <row r="489" spans="12:13" s="29" customFormat="1">
      <c r="L489" s="121"/>
      <c r="M489" s="121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1724"/>
  <sheetViews>
    <sheetView workbookViewId="0">
      <selection activeCell="E507" sqref="E50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>
      <c r="A1" t="s">
        <v>341</v>
      </c>
      <c r="B1" t="s">
        <v>57</v>
      </c>
      <c r="C1" t="s">
        <v>64</v>
      </c>
      <c r="D1" t="s">
        <v>281</v>
      </c>
      <c r="E1" t="s">
        <v>65</v>
      </c>
      <c r="F1" t="s">
        <v>338</v>
      </c>
      <c r="G1" t="s">
        <v>256</v>
      </c>
      <c r="H1" t="s">
        <v>66</v>
      </c>
      <c r="I1" t="s">
        <v>67</v>
      </c>
      <c r="J1" t="s">
        <v>320</v>
      </c>
      <c r="K1" t="s">
        <v>321</v>
      </c>
      <c r="L1" t="s">
        <v>322</v>
      </c>
      <c r="M1" t="s">
        <v>125</v>
      </c>
      <c r="N1" t="s">
        <v>323</v>
      </c>
      <c r="O1" t="s">
        <v>324</v>
      </c>
      <c r="P1" t="s">
        <v>336</v>
      </c>
      <c r="Q1" t="s">
        <v>339</v>
      </c>
    </row>
    <row r="2" spans="1:17" s="29" customFormat="1" hidden="1">
      <c r="A2" s="41">
        <v>6.8732580486111111E-2</v>
      </c>
      <c r="B2" t="s">
        <v>113</v>
      </c>
      <c r="C2"/>
      <c r="D2"/>
      <c r="E2" t="s">
        <v>88</v>
      </c>
      <c r="F2"/>
      <c r="G2" t="s">
        <v>226</v>
      </c>
      <c r="H2"/>
      <c r="I2" s="140">
        <v>46238.637662037036</v>
      </c>
      <c r="J2" t="s">
        <v>349</v>
      </c>
      <c r="K2" t="s">
        <v>296</v>
      </c>
      <c r="L2" s="139">
        <v>46173</v>
      </c>
      <c r="M2" t="s">
        <v>347</v>
      </c>
      <c r="N2" t="s">
        <v>313</v>
      </c>
      <c r="O2" t="s">
        <v>294</v>
      </c>
      <c r="P2" t="s">
        <v>348</v>
      </c>
      <c r="Q2" t="s">
        <v>295</v>
      </c>
    </row>
    <row r="3" spans="1:17" s="29" customFormat="1" hidden="1">
      <c r="A3" s="41">
        <v>6.8667916655092587E-2</v>
      </c>
      <c r="B3" t="s">
        <v>113</v>
      </c>
      <c r="C3"/>
      <c r="D3"/>
      <c r="E3" t="s">
        <v>246</v>
      </c>
      <c r="F3"/>
      <c r="G3" t="s">
        <v>226</v>
      </c>
      <c r="H3"/>
      <c r="I3" s="140">
        <v>46238.63758101852</v>
      </c>
      <c r="J3" t="s">
        <v>349</v>
      </c>
      <c r="K3" t="s">
        <v>296</v>
      </c>
      <c r="L3" s="139">
        <v>46173</v>
      </c>
      <c r="M3" t="s">
        <v>347</v>
      </c>
      <c r="N3" t="s">
        <v>313</v>
      </c>
      <c r="O3" t="s">
        <v>294</v>
      </c>
      <c r="P3" t="s">
        <v>348</v>
      </c>
      <c r="Q3" t="s">
        <v>295</v>
      </c>
    </row>
    <row r="4" spans="1:17" s="29" customFormat="1" hidden="1">
      <c r="A4" s="41">
        <v>6.8586749432870367E-2</v>
      </c>
      <c r="B4" t="s">
        <v>113</v>
      </c>
      <c r="C4" t="s">
        <v>216</v>
      </c>
      <c r="D4"/>
      <c r="E4" t="s">
        <v>58</v>
      </c>
      <c r="F4"/>
      <c r="G4" t="s">
        <v>226</v>
      </c>
      <c r="H4"/>
      <c r="I4" s="140">
        <v>46238.637430555558</v>
      </c>
      <c r="J4" t="s">
        <v>349</v>
      </c>
      <c r="K4" t="s">
        <v>296</v>
      </c>
      <c r="L4" s="139">
        <v>46173</v>
      </c>
      <c r="M4" t="s">
        <v>347</v>
      </c>
      <c r="N4" t="s">
        <v>313</v>
      </c>
      <c r="O4" t="s">
        <v>294</v>
      </c>
      <c r="P4" t="s">
        <v>348</v>
      </c>
      <c r="Q4" t="s">
        <v>295</v>
      </c>
    </row>
    <row r="5" spans="1:17" s="29" customFormat="1" hidden="1">
      <c r="A5" s="41">
        <v>6.848829501157408E-2</v>
      </c>
      <c r="B5" t="s">
        <v>113</v>
      </c>
      <c r="C5" t="s">
        <v>213</v>
      </c>
      <c r="D5"/>
      <c r="E5" t="s">
        <v>58</v>
      </c>
      <c r="F5"/>
      <c r="G5" t="s">
        <v>226</v>
      </c>
      <c r="H5"/>
      <c r="I5" s="140">
        <v>46238.63726851852</v>
      </c>
      <c r="J5" t="s">
        <v>349</v>
      </c>
      <c r="K5" t="s">
        <v>296</v>
      </c>
      <c r="L5" s="139">
        <v>46173</v>
      </c>
      <c r="M5" t="s">
        <v>347</v>
      </c>
      <c r="N5" t="s">
        <v>313</v>
      </c>
      <c r="O5" t="s">
        <v>294</v>
      </c>
      <c r="P5" t="s">
        <v>348</v>
      </c>
      <c r="Q5" t="s">
        <v>295</v>
      </c>
    </row>
    <row r="6" spans="1:17" s="29" customFormat="1" hidden="1">
      <c r="A6" s="41">
        <v>6.8479140729166665E-2</v>
      </c>
      <c r="B6" t="s">
        <v>113</v>
      </c>
      <c r="C6"/>
      <c r="D6"/>
      <c r="E6" t="s">
        <v>250</v>
      </c>
      <c r="F6"/>
      <c r="G6" t="s">
        <v>226</v>
      </c>
      <c r="H6"/>
      <c r="I6" s="140">
        <v>46238.637002314812</v>
      </c>
      <c r="J6" t="s">
        <v>349</v>
      </c>
      <c r="K6" t="s">
        <v>296</v>
      </c>
      <c r="L6" s="139">
        <v>46173</v>
      </c>
      <c r="M6" t="s">
        <v>347</v>
      </c>
      <c r="N6" t="s">
        <v>313</v>
      </c>
      <c r="O6" t="s">
        <v>294</v>
      </c>
      <c r="P6" t="s">
        <v>348</v>
      </c>
      <c r="Q6" t="s">
        <v>295</v>
      </c>
    </row>
    <row r="7" spans="1:17" s="29" customFormat="1" hidden="1">
      <c r="A7" s="41">
        <v>6.8411501712962966E-2</v>
      </c>
      <c r="B7" t="s">
        <v>113</v>
      </c>
      <c r="C7"/>
      <c r="D7"/>
      <c r="E7" t="s">
        <v>119</v>
      </c>
      <c r="F7"/>
      <c r="G7" t="s">
        <v>226</v>
      </c>
      <c r="H7"/>
      <c r="I7" s="140">
        <v>46238.636944444443</v>
      </c>
      <c r="J7" t="s">
        <v>349</v>
      </c>
      <c r="K7" t="s">
        <v>296</v>
      </c>
      <c r="L7" s="139">
        <v>46173</v>
      </c>
      <c r="M7" t="s">
        <v>347</v>
      </c>
      <c r="N7" t="s">
        <v>313</v>
      </c>
      <c r="O7" t="s">
        <v>294</v>
      </c>
      <c r="P7" t="s">
        <v>348</v>
      </c>
      <c r="Q7" t="s">
        <v>295</v>
      </c>
    </row>
    <row r="8" spans="1:17" s="29" customFormat="1" hidden="1">
      <c r="A8" s="41">
        <v>6.8168771979166667E-2</v>
      </c>
      <c r="B8" t="s">
        <v>113</v>
      </c>
      <c r="C8"/>
      <c r="D8"/>
      <c r="E8" t="s">
        <v>135</v>
      </c>
      <c r="F8"/>
      <c r="G8" t="s">
        <v>226</v>
      </c>
      <c r="H8"/>
      <c r="I8" s="140">
        <v>46238.636608796296</v>
      </c>
      <c r="J8" t="s">
        <v>349</v>
      </c>
      <c r="K8" t="s">
        <v>296</v>
      </c>
      <c r="L8" s="139">
        <v>46173</v>
      </c>
      <c r="M8" t="s">
        <v>347</v>
      </c>
      <c r="N8" t="s">
        <v>313</v>
      </c>
      <c r="O8" t="s">
        <v>294</v>
      </c>
      <c r="P8" t="s">
        <v>348</v>
      </c>
      <c r="Q8" t="s">
        <v>295</v>
      </c>
    </row>
    <row r="9" spans="1:17" s="29" customFormat="1" hidden="1">
      <c r="A9" s="41">
        <v>6.7495336597222219E-2</v>
      </c>
      <c r="B9" t="s">
        <v>113</v>
      </c>
      <c r="C9"/>
      <c r="D9"/>
      <c r="E9" t="s">
        <v>88</v>
      </c>
      <c r="F9"/>
      <c r="G9" t="s">
        <v>226</v>
      </c>
      <c r="H9"/>
      <c r="I9" s="140">
        <v>46238.635925925926</v>
      </c>
      <c r="J9" t="s">
        <v>349</v>
      </c>
      <c r="K9" t="s">
        <v>296</v>
      </c>
      <c r="L9" s="139">
        <v>46173</v>
      </c>
      <c r="M9" t="s">
        <v>347</v>
      </c>
      <c r="N9" t="s">
        <v>313</v>
      </c>
      <c r="O9" t="s">
        <v>294</v>
      </c>
      <c r="P9" t="s">
        <v>348</v>
      </c>
      <c r="Q9" t="s">
        <v>295</v>
      </c>
    </row>
    <row r="10" spans="1:17" s="29" customFormat="1">
      <c r="A10" s="41">
        <v>6.7495336597222219E-2</v>
      </c>
      <c r="B10" t="s">
        <v>113</v>
      </c>
      <c r="C10" t="s">
        <v>83</v>
      </c>
      <c r="D10" t="s">
        <v>83</v>
      </c>
      <c r="E10" t="s">
        <v>276</v>
      </c>
      <c r="F10" t="s">
        <v>269</v>
      </c>
      <c r="G10" t="s">
        <v>226</v>
      </c>
      <c r="H10"/>
      <c r="I10" s="140">
        <v>46238.635914351849</v>
      </c>
      <c r="J10" t="s">
        <v>349</v>
      </c>
      <c r="K10" t="s">
        <v>296</v>
      </c>
      <c r="L10" s="139">
        <v>46173</v>
      </c>
      <c r="M10" t="s">
        <v>347</v>
      </c>
      <c r="N10" t="s">
        <v>313</v>
      </c>
      <c r="O10" t="s">
        <v>294</v>
      </c>
      <c r="P10" t="s">
        <v>348</v>
      </c>
      <c r="Q10" t="s">
        <v>295</v>
      </c>
    </row>
    <row r="11" spans="1:17" s="29" customFormat="1" hidden="1">
      <c r="A11" s="41">
        <v>6.7379545995370368E-2</v>
      </c>
      <c r="B11" t="s">
        <v>113</v>
      </c>
      <c r="C11" t="s">
        <v>83</v>
      </c>
      <c r="D11"/>
      <c r="E11" t="s">
        <v>127</v>
      </c>
      <c r="F11"/>
      <c r="G11" t="s">
        <v>226</v>
      </c>
      <c r="H11"/>
      <c r="I11" s="140">
        <v>46238.635706018518</v>
      </c>
      <c r="J11" t="s">
        <v>349</v>
      </c>
      <c r="K11" t="s">
        <v>296</v>
      </c>
      <c r="L11" s="139">
        <v>46173</v>
      </c>
      <c r="M11" t="s">
        <v>347</v>
      </c>
      <c r="N11" t="s">
        <v>313</v>
      </c>
      <c r="O11" t="s">
        <v>294</v>
      </c>
      <c r="P11" t="s">
        <v>348</v>
      </c>
      <c r="Q11" t="s">
        <v>295</v>
      </c>
    </row>
    <row r="12" spans="1:17" s="29" customFormat="1" hidden="1">
      <c r="A12" s="41">
        <v>6.7371704166666671E-2</v>
      </c>
      <c r="B12" t="s">
        <v>113</v>
      </c>
      <c r="C12" t="s">
        <v>206</v>
      </c>
      <c r="D12"/>
      <c r="E12" t="s">
        <v>59</v>
      </c>
      <c r="F12"/>
      <c r="G12" t="s">
        <v>226</v>
      </c>
      <c r="H12"/>
      <c r="I12" s="140">
        <v>46238.635138888887</v>
      </c>
      <c r="J12" t="s">
        <v>349</v>
      </c>
      <c r="K12" t="s">
        <v>296</v>
      </c>
      <c r="L12" s="139">
        <v>46173</v>
      </c>
      <c r="M12" t="s">
        <v>347</v>
      </c>
      <c r="N12" t="s">
        <v>313</v>
      </c>
      <c r="O12" t="s">
        <v>294</v>
      </c>
      <c r="P12" t="s">
        <v>348</v>
      </c>
      <c r="Q12" t="s">
        <v>295</v>
      </c>
    </row>
    <row r="13" spans="1:17" s="29" customFormat="1" hidden="1">
      <c r="A13" s="41">
        <v>6.7328072395833327E-2</v>
      </c>
      <c r="B13" t="s">
        <v>113</v>
      </c>
      <c r="C13" t="s">
        <v>379</v>
      </c>
      <c r="D13"/>
      <c r="E13" t="s">
        <v>127</v>
      </c>
      <c r="F13"/>
      <c r="G13" t="s">
        <v>226</v>
      </c>
      <c r="H13"/>
      <c r="I13" s="140">
        <v>46238.63490740741</v>
      </c>
      <c r="J13" t="s">
        <v>349</v>
      </c>
      <c r="K13" t="s">
        <v>296</v>
      </c>
      <c r="L13" s="139">
        <v>46173</v>
      </c>
      <c r="M13" t="s">
        <v>347</v>
      </c>
      <c r="N13" t="s">
        <v>313</v>
      </c>
      <c r="O13" t="s">
        <v>294</v>
      </c>
      <c r="P13" t="s">
        <v>348</v>
      </c>
      <c r="Q13" t="s">
        <v>295</v>
      </c>
    </row>
    <row r="14" spans="1:17" s="29" customFormat="1" hidden="1">
      <c r="A14" s="41">
        <v>6.7301901747685189E-2</v>
      </c>
      <c r="B14" t="s">
        <v>113</v>
      </c>
      <c r="C14" t="s">
        <v>367</v>
      </c>
      <c r="D14"/>
      <c r="E14" t="s">
        <v>127</v>
      </c>
      <c r="F14"/>
      <c r="G14" t="s">
        <v>226</v>
      </c>
      <c r="H14"/>
      <c r="I14" s="140">
        <v>46238.633692129632</v>
      </c>
      <c r="J14" t="s">
        <v>349</v>
      </c>
      <c r="K14" t="s">
        <v>296</v>
      </c>
      <c r="L14" s="139">
        <v>46173</v>
      </c>
      <c r="M14" t="s">
        <v>347</v>
      </c>
      <c r="N14" t="s">
        <v>313</v>
      </c>
      <c r="O14" t="s">
        <v>294</v>
      </c>
      <c r="P14" t="s">
        <v>348</v>
      </c>
      <c r="Q14" t="s">
        <v>295</v>
      </c>
    </row>
    <row r="15" spans="1:17" s="29" customFormat="1" hidden="1">
      <c r="A15" s="41">
        <v>6.7263353368055556E-2</v>
      </c>
      <c r="B15" t="s">
        <v>113</v>
      </c>
      <c r="C15"/>
      <c r="D15"/>
      <c r="E15" t="s">
        <v>405</v>
      </c>
      <c r="F15"/>
      <c r="G15" t="s">
        <v>226</v>
      </c>
      <c r="H15"/>
      <c r="I15" s="140">
        <v>46238.633506944447</v>
      </c>
      <c r="J15" t="s">
        <v>349</v>
      </c>
      <c r="K15" t="s">
        <v>296</v>
      </c>
      <c r="L15" s="139">
        <v>46173</v>
      </c>
      <c r="M15" t="s">
        <v>347</v>
      </c>
      <c r="N15" t="s">
        <v>313</v>
      </c>
      <c r="O15" t="s">
        <v>294</v>
      </c>
      <c r="P15" t="s">
        <v>348</v>
      </c>
      <c r="Q15" t="s">
        <v>295</v>
      </c>
    </row>
    <row r="16" spans="1:17" s="29" customFormat="1" hidden="1">
      <c r="A16" s="41">
        <v>6.7051197847222216E-2</v>
      </c>
      <c r="B16" t="s">
        <v>113</v>
      </c>
      <c r="C16"/>
      <c r="D16"/>
      <c r="E16" t="s">
        <v>124</v>
      </c>
      <c r="F16"/>
      <c r="G16" t="s">
        <v>226</v>
      </c>
      <c r="H16"/>
      <c r="I16" s="140">
        <v>46238.633298611108</v>
      </c>
      <c r="J16" t="s">
        <v>349</v>
      </c>
      <c r="K16" t="s">
        <v>296</v>
      </c>
      <c r="L16" s="139">
        <v>46173</v>
      </c>
      <c r="M16" t="s">
        <v>347</v>
      </c>
      <c r="N16" t="s">
        <v>313</v>
      </c>
      <c r="O16" t="s">
        <v>294</v>
      </c>
      <c r="P16" t="s">
        <v>348</v>
      </c>
      <c r="Q16" t="s">
        <v>295</v>
      </c>
    </row>
    <row r="17" spans="1:17" s="29" customFormat="1" hidden="1">
      <c r="A17" s="41">
        <v>6.6747897719907412E-2</v>
      </c>
      <c r="B17" t="s">
        <v>113</v>
      </c>
      <c r="C17"/>
      <c r="D17"/>
      <c r="E17" t="s">
        <v>88</v>
      </c>
      <c r="F17"/>
      <c r="G17" t="s">
        <v>226</v>
      </c>
      <c r="H17"/>
      <c r="I17" s="140">
        <v>46238.632974537039</v>
      </c>
      <c r="J17" t="s">
        <v>349</v>
      </c>
      <c r="K17" t="s">
        <v>296</v>
      </c>
      <c r="L17" s="139">
        <v>46173</v>
      </c>
      <c r="M17" t="s">
        <v>347</v>
      </c>
      <c r="N17" t="s">
        <v>313</v>
      </c>
      <c r="O17" t="s">
        <v>294</v>
      </c>
      <c r="P17" t="s">
        <v>348</v>
      </c>
      <c r="Q17" t="s">
        <v>295</v>
      </c>
    </row>
    <row r="18" spans="1:17" s="29" customFormat="1" hidden="1">
      <c r="A18" s="41">
        <v>6.6638004502314815E-2</v>
      </c>
      <c r="B18" t="s">
        <v>113</v>
      </c>
      <c r="C18" t="s">
        <v>216</v>
      </c>
      <c r="D18"/>
      <c r="E18" t="s">
        <v>245</v>
      </c>
      <c r="F18"/>
      <c r="G18" t="s">
        <v>117</v>
      </c>
      <c r="H18"/>
      <c r="I18" s="140">
        <v>46238.632615740738</v>
      </c>
      <c r="J18" t="s">
        <v>349</v>
      </c>
      <c r="K18" t="s">
        <v>296</v>
      </c>
      <c r="L18" s="139">
        <v>46173</v>
      </c>
      <c r="M18" t="s">
        <v>347</v>
      </c>
      <c r="N18" t="s">
        <v>313</v>
      </c>
      <c r="O18" t="s">
        <v>294</v>
      </c>
      <c r="P18" t="s">
        <v>348</v>
      </c>
      <c r="Q18" t="s">
        <v>295</v>
      </c>
    </row>
    <row r="19" spans="1:17" s="29" customFormat="1" hidden="1">
      <c r="A19" s="41">
        <v>6.6616211203703701E-2</v>
      </c>
      <c r="B19" t="s">
        <v>113</v>
      </c>
      <c r="C19"/>
      <c r="D19"/>
      <c r="E19" t="s">
        <v>127</v>
      </c>
      <c r="F19"/>
      <c r="G19" t="s">
        <v>117</v>
      </c>
      <c r="H19"/>
      <c r="I19" s="140">
        <v>46238.632372685184</v>
      </c>
      <c r="J19" t="s">
        <v>349</v>
      </c>
      <c r="K19" t="s">
        <v>296</v>
      </c>
      <c r="L19" s="139">
        <v>46173</v>
      </c>
      <c r="M19" t="s">
        <v>347</v>
      </c>
      <c r="N19" t="s">
        <v>313</v>
      </c>
      <c r="O19" t="s">
        <v>294</v>
      </c>
      <c r="P19" t="s">
        <v>348</v>
      </c>
      <c r="Q19" t="s">
        <v>295</v>
      </c>
    </row>
    <row r="20" spans="1:17" s="29" customFormat="1" hidden="1">
      <c r="A20" s="41">
        <v>6.6588570798611108E-2</v>
      </c>
      <c r="B20" t="s">
        <v>113</v>
      </c>
      <c r="C20"/>
      <c r="D20"/>
      <c r="E20" t="s">
        <v>127</v>
      </c>
      <c r="F20"/>
      <c r="G20" t="s">
        <v>117</v>
      </c>
      <c r="H20"/>
      <c r="I20" s="140">
        <v>46238.632337962961</v>
      </c>
      <c r="J20" t="s">
        <v>349</v>
      </c>
      <c r="K20" t="s">
        <v>296</v>
      </c>
      <c r="L20" s="139">
        <v>46173</v>
      </c>
      <c r="M20" t="s">
        <v>347</v>
      </c>
      <c r="N20" t="s">
        <v>313</v>
      </c>
      <c r="O20" t="s">
        <v>294</v>
      </c>
      <c r="P20" t="s">
        <v>348</v>
      </c>
      <c r="Q20" t="s">
        <v>295</v>
      </c>
    </row>
    <row r="21" spans="1:17" s="29" customFormat="1" hidden="1">
      <c r="A21" s="41">
        <v>6.6545803530092595E-2</v>
      </c>
      <c r="B21" t="s">
        <v>113</v>
      </c>
      <c r="C21"/>
      <c r="D21"/>
      <c r="E21" t="s">
        <v>399</v>
      </c>
      <c r="F21"/>
      <c r="G21" t="s">
        <v>117</v>
      </c>
      <c r="H21"/>
      <c r="I21" s="140">
        <v>46238.632291666669</v>
      </c>
      <c r="J21" t="s">
        <v>349</v>
      </c>
      <c r="K21" t="s">
        <v>296</v>
      </c>
      <c r="L21" s="139">
        <v>46173</v>
      </c>
      <c r="M21" t="s">
        <v>347</v>
      </c>
      <c r="N21" t="s">
        <v>313</v>
      </c>
      <c r="O21" t="s">
        <v>294</v>
      </c>
      <c r="P21" t="s">
        <v>348</v>
      </c>
      <c r="Q21" t="s">
        <v>295</v>
      </c>
    </row>
    <row r="22" spans="1:17" s="29" customFormat="1" hidden="1">
      <c r="A22" s="41">
        <v>6.639651469907408E-2</v>
      </c>
      <c r="B22" t="s">
        <v>113</v>
      </c>
      <c r="C22"/>
      <c r="D22"/>
      <c r="E22" t="s">
        <v>124</v>
      </c>
      <c r="F22"/>
      <c r="G22" t="s">
        <v>117</v>
      </c>
      <c r="H22"/>
      <c r="I22" s="140">
        <v>46238.632048611114</v>
      </c>
      <c r="J22" t="s">
        <v>349</v>
      </c>
      <c r="K22" t="s">
        <v>296</v>
      </c>
      <c r="L22" s="139">
        <v>46173</v>
      </c>
      <c r="M22" t="s">
        <v>347</v>
      </c>
      <c r="N22" t="s">
        <v>313</v>
      </c>
      <c r="O22" t="s">
        <v>294</v>
      </c>
      <c r="P22" t="s">
        <v>348</v>
      </c>
      <c r="Q22" t="s">
        <v>295</v>
      </c>
    </row>
    <row r="23" spans="1:17" s="29" customFormat="1" hidden="1">
      <c r="A23" s="41">
        <v>6.6163534872685184E-2</v>
      </c>
      <c r="B23" t="s">
        <v>113</v>
      </c>
      <c r="C23"/>
      <c r="D23"/>
      <c r="E23" t="s">
        <v>88</v>
      </c>
      <c r="F23"/>
      <c r="G23" t="s">
        <v>226</v>
      </c>
      <c r="H23"/>
      <c r="I23" s="140">
        <v>46238.631724537037</v>
      </c>
      <c r="J23" t="s">
        <v>349</v>
      </c>
      <c r="K23" t="s">
        <v>296</v>
      </c>
      <c r="L23" s="139">
        <v>46173</v>
      </c>
      <c r="M23" t="s">
        <v>347</v>
      </c>
      <c r="N23" t="s">
        <v>313</v>
      </c>
      <c r="O23" t="s">
        <v>294</v>
      </c>
      <c r="P23" t="s">
        <v>348</v>
      </c>
      <c r="Q23" t="s">
        <v>295</v>
      </c>
    </row>
    <row r="24" spans="1:17" s="29" customFormat="1" hidden="1">
      <c r="A24" s="41">
        <v>6.6092829826388894E-2</v>
      </c>
      <c r="B24" t="s">
        <v>113</v>
      </c>
      <c r="C24" t="s">
        <v>83</v>
      </c>
      <c r="D24"/>
      <c r="E24" t="s">
        <v>245</v>
      </c>
      <c r="F24"/>
      <c r="G24" t="s">
        <v>226</v>
      </c>
      <c r="H24"/>
      <c r="I24" s="140">
        <v>46238.631712962961</v>
      </c>
      <c r="J24" t="s">
        <v>349</v>
      </c>
      <c r="K24" t="s">
        <v>296</v>
      </c>
      <c r="L24" s="139">
        <v>46173</v>
      </c>
      <c r="M24" t="s">
        <v>347</v>
      </c>
      <c r="N24" t="s">
        <v>313</v>
      </c>
      <c r="O24" t="s">
        <v>294</v>
      </c>
      <c r="P24" t="s">
        <v>348</v>
      </c>
      <c r="Q24" t="s">
        <v>295</v>
      </c>
    </row>
    <row r="25" spans="1:17" s="29" customFormat="1" hidden="1">
      <c r="A25" s="41">
        <v>6.5976014988425924E-2</v>
      </c>
      <c r="B25" t="s">
        <v>113</v>
      </c>
      <c r="C25"/>
      <c r="D25"/>
      <c r="E25" t="s">
        <v>127</v>
      </c>
      <c r="F25"/>
      <c r="G25" t="s">
        <v>117</v>
      </c>
      <c r="H25"/>
      <c r="I25" s="140">
        <v>46238.631539351853</v>
      </c>
      <c r="J25" t="s">
        <v>349</v>
      </c>
      <c r="K25" t="s">
        <v>296</v>
      </c>
      <c r="L25" s="139">
        <v>46173</v>
      </c>
      <c r="M25" t="s">
        <v>347</v>
      </c>
      <c r="N25" t="s">
        <v>313</v>
      </c>
      <c r="O25" t="s">
        <v>294</v>
      </c>
      <c r="P25" t="s">
        <v>348</v>
      </c>
      <c r="Q25" t="s">
        <v>295</v>
      </c>
    </row>
    <row r="26" spans="1:17" s="29" customFormat="1" hidden="1">
      <c r="A26" s="41">
        <v>6.5920531053240736E-2</v>
      </c>
      <c r="B26" t="s">
        <v>113</v>
      </c>
      <c r="C26"/>
      <c r="D26"/>
      <c r="E26" t="s">
        <v>127</v>
      </c>
      <c r="F26"/>
      <c r="G26" t="s">
        <v>117</v>
      </c>
      <c r="H26"/>
      <c r="I26" s="140">
        <v>46238.631469907406</v>
      </c>
      <c r="J26" t="s">
        <v>349</v>
      </c>
      <c r="K26" t="s">
        <v>296</v>
      </c>
      <c r="L26" s="139">
        <v>46173</v>
      </c>
      <c r="M26" t="s">
        <v>347</v>
      </c>
      <c r="N26" t="s">
        <v>313</v>
      </c>
      <c r="O26" t="s">
        <v>294</v>
      </c>
      <c r="P26" t="s">
        <v>348</v>
      </c>
      <c r="Q26" t="s">
        <v>295</v>
      </c>
    </row>
    <row r="27" spans="1:17" s="29" customFormat="1" hidden="1">
      <c r="A27" s="41">
        <v>6.5868235567129632E-2</v>
      </c>
      <c r="B27" t="s">
        <v>113</v>
      </c>
      <c r="C27"/>
      <c r="D27"/>
      <c r="E27" t="s">
        <v>248</v>
      </c>
      <c r="F27"/>
      <c r="G27" t="s">
        <v>117</v>
      </c>
      <c r="H27"/>
      <c r="I27" s="140">
        <v>46238.63140046296</v>
      </c>
      <c r="J27" t="s">
        <v>349</v>
      </c>
      <c r="K27" t="s">
        <v>296</v>
      </c>
      <c r="L27" s="139">
        <v>46173</v>
      </c>
      <c r="M27" t="s">
        <v>347</v>
      </c>
      <c r="N27" t="s">
        <v>313</v>
      </c>
      <c r="O27" t="s">
        <v>294</v>
      </c>
      <c r="P27" t="s">
        <v>348</v>
      </c>
      <c r="Q27" t="s">
        <v>295</v>
      </c>
    </row>
    <row r="28" spans="1:17" s="29" customFormat="1" hidden="1">
      <c r="A28" s="41">
        <v>6.584027195601852E-2</v>
      </c>
      <c r="B28" t="s">
        <v>113</v>
      </c>
      <c r="C28"/>
      <c r="D28"/>
      <c r="E28" t="s">
        <v>246</v>
      </c>
      <c r="F28"/>
      <c r="G28" t="s">
        <v>226</v>
      </c>
      <c r="H28"/>
      <c r="I28" s="140">
        <v>46238.631365740737</v>
      </c>
      <c r="J28" t="s">
        <v>349</v>
      </c>
      <c r="K28" t="s">
        <v>296</v>
      </c>
      <c r="L28" s="139">
        <v>46173</v>
      </c>
      <c r="M28" t="s">
        <v>347</v>
      </c>
      <c r="N28" t="s">
        <v>313</v>
      </c>
      <c r="O28" t="s">
        <v>294</v>
      </c>
      <c r="P28" t="s">
        <v>348</v>
      </c>
      <c r="Q28" t="s">
        <v>295</v>
      </c>
    </row>
    <row r="29" spans="1:17" s="29" customFormat="1" hidden="1">
      <c r="A29" s="41">
        <v>6.577575282407408E-2</v>
      </c>
      <c r="B29" t="s">
        <v>113</v>
      </c>
      <c r="C29"/>
      <c r="D29"/>
      <c r="E29" t="s">
        <v>250</v>
      </c>
      <c r="F29"/>
      <c r="G29" t="s">
        <v>226</v>
      </c>
      <c r="H29"/>
      <c r="I29" s="140">
        <v>46238.631284722222</v>
      </c>
      <c r="J29" t="s">
        <v>349</v>
      </c>
      <c r="K29" t="s">
        <v>296</v>
      </c>
      <c r="L29" s="139">
        <v>46173</v>
      </c>
      <c r="M29" t="s">
        <v>347</v>
      </c>
      <c r="N29" t="s">
        <v>313</v>
      </c>
      <c r="O29" t="s">
        <v>294</v>
      </c>
      <c r="P29" t="s">
        <v>348</v>
      </c>
      <c r="Q29" t="s">
        <v>295</v>
      </c>
    </row>
    <row r="30" spans="1:17" s="29" customFormat="1" hidden="1">
      <c r="A30" s="41">
        <v>6.577575282407408E-2</v>
      </c>
      <c r="B30" t="s">
        <v>113</v>
      </c>
      <c r="C30"/>
      <c r="D30"/>
      <c r="E30" t="s">
        <v>246</v>
      </c>
      <c r="F30"/>
      <c r="G30" t="s">
        <v>117</v>
      </c>
      <c r="H30"/>
      <c r="I30" s="140">
        <v>46238.631273148145</v>
      </c>
      <c r="J30" t="s">
        <v>349</v>
      </c>
      <c r="K30" t="s">
        <v>296</v>
      </c>
      <c r="L30" s="139">
        <v>46173</v>
      </c>
      <c r="M30" t="s">
        <v>347</v>
      </c>
      <c r="N30" t="s">
        <v>313</v>
      </c>
      <c r="O30" t="s">
        <v>294</v>
      </c>
      <c r="P30" t="s">
        <v>348</v>
      </c>
      <c r="Q30" t="s">
        <v>295</v>
      </c>
    </row>
    <row r="31" spans="1:17" s="29" customFormat="1" hidden="1">
      <c r="A31" s="41">
        <v>6.4976055150462966E-2</v>
      </c>
      <c r="B31" t="s">
        <v>113</v>
      </c>
      <c r="C31"/>
      <c r="D31"/>
      <c r="E31" t="s">
        <v>88</v>
      </c>
      <c r="F31"/>
      <c r="G31" t="s">
        <v>117</v>
      </c>
      <c r="H31"/>
      <c r="I31" s="140">
        <v>46238.630358796298</v>
      </c>
      <c r="J31" t="s">
        <v>349</v>
      </c>
      <c r="K31" t="s">
        <v>296</v>
      </c>
      <c r="L31" s="139">
        <v>46173</v>
      </c>
      <c r="M31" t="s">
        <v>347</v>
      </c>
      <c r="N31" t="s">
        <v>313</v>
      </c>
      <c r="O31" t="s">
        <v>294</v>
      </c>
      <c r="P31" t="s">
        <v>348</v>
      </c>
      <c r="Q31" t="s">
        <v>295</v>
      </c>
    </row>
    <row r="32" spans="1:17" s="29" customFormat="1" hidden="1">
      <c r="A32" s="41">
        <v>6.4976055150462966E-2</v>
      </c>
      <c r="B32" t="s">
        <v>113</v>
      </c>
      <c r="C32"/>
      <c r="D32"/>
      <c r="E32" t="s">
        <v>275</v>
      </c>
      <c r="F32" t="s">
        <v>269</v>
      </c>
      <c r="G32" t="s">
        <v>117</v>
      </c>
      <c r="H32"/>
      <c r="I32" s="140">
        <v>46238.630347222221</v>
      </c>
      <c r="J32" t="s">
        <v>349</v>
      </c>
      <c r="K32" t="s">
        <v>296</v>
      </c>
      <c r="L32" s="139">
        <v>46173</v>
      </c>
      <c r="M32" t="s">
        <v>347</v>
      </c>
      <c r="N32" t="s">
        <v>313</v>
      </c>
      <c r="O32" t="s">
        <v>294</v>
      </c>
      <c r="P32" t="s">
        <v>348</v>
      </c>
      <c r="Q32" t="s">
        <v>295</v>
      </c>
    </row>
    <row r="33" spans="1:17" s="29" customFormat="1" hidden="1">
      <c r="A33" s="41">
        <v>6.4842962013888894E-2</v>
      </c>
      <c r="B33" t="s">
        <v>113</v>
      </c>
      <c r="C33" t="s">
        <v>210</v>
      </c>
      <c r="D33"/>
      <c r="E33" t="s">
        <v>58</v>
      </c>
      <c r="F33"/>
      <c r="G33" t="s">
        <v>226</v>
      </c>
      <c r="H33"/>
      <c r="I33" s="140">
        <v>46238.630127314813</v>
      </c>
      <c r="J33" t="s">
        <v>349</v>
      </c>
      <c r="K33" t="s">
        <v>296</v>
      </c>
      <c r="L33" s="139">
        <v>46173</v>
      </c>
      <c r="M33" t="s">
        <v>347</v>
      </c>
      <c r="N33" t="s">
        <v>313</v>
      </c>
      <c r="O33" t="s">
        <v>294</v>
      </c>
      <c r="P33" t="s">
        <v>348</v>
      </c>
      <c r="Q33" t="s">
        <v>295</v>
      </c>
    </row>
    <row r="34" spans="1:17" s="29" customFormat="1" hidden="1">
      <c r="A34" s="41">
        <v>6.4761878958333324E-2</v>
      </c>
      <c r="B34" t="s">
        <v>113</v>
      </c>
      <c r="C34" t="s">
        <v>83</v>
      </c>
      <c r="D34"/>
      <c r="E34" t="s">
        <v>127</v>
      </c>
      <c r="F34"/>
      <c r="G34" t="s">
        <v>226</v>
      </c>
      <c r="H34"/>
      <c r="I34" s="140">
        <v>46238.629942129628</v>
      </c>
      <c r="J34" t="s">
        <v>349</v>
      </c>
      <c r="K34" t="s">
        <v>296</v>
      </c>
      <c r="L34" s="139">
        <v>46173</v>
      </c>
      <c r="M34" t="s">
        <v>347</v>
      </c>
      <c r="N34" t="s">
        <v>313</v>
      </c>
      <c r="O34" t="s">
        <v>294</v>
      </c>
      <c r="P34" t="s">
        <v>348</v>
      </c>
      <c r="Q34" t="s">
        <v>295</v>
      </c>
    </row>
    <row r="35" spans="1:17" s="29" customFormat="1" hidden="1">
      <c r="A35" s="41">
        <v>6.4721415069444441E-2</v>
      </c>
      <c r="B35" t="s">
        <v>113</v>
      </c>
      <c r="C35" t="s">
        <v>206</v>
      </c>
      <c r="D35"/>
      <c r="E35" t="s">
        <v>127</v>
      </c>
      <c r="F35"/>
      <c r="G35" t="s">
        <v>226</v>
      </c>
      <c r="H35"/>
      <c r="I35" s="140">
        <v>46238.629872685182</v>
      </c>
      <c r="J35" t="s">
        <v>349</v>
      </c>
      <c r="K35" t="s">
        <v>296</v>
      </c>
      <c r="L35" s="139">
        <v>46173</v>
      </c>
      <c r="M35" t="s">
        <v>347</v>
      </c>
      <c r="N35" t="s">
        <v>313</v>
      </c>
      <c r="O35" t="s">
        <v>294</v>
      </c>
      <c r="P35" t="s">
        <v>348</v>
      </c>
      <c r="Q35" t="s">
        <v>295</v>
      </c>
    </row>
    <row r="36" spans="1:17" s="29" customFormat="1" hidden="1">
      <c r="A36" s="41">
        <v>6.4631132291666671E-2</v>
      </c>
      <c r="B36" t="s">
        <v>113</v>
      </c>
      <c r="C36" t="s">
        <v>207</v>
      </c>
      <c r="D36"/>
      <c r="E36" t="s">
        <v>127</v>
      </c>
      <c r="F36"/>
      <c r="G36" t="s">
        <v>226</v>
      </c>
      <c r="H36"/>
      <c r="I36" s="140">
        <v>46238.629733796297</v>
      </c>
      <c r="J36" t="s">
        <v>349</v>
      </c>
      <c r="K36" t="s">
        <v>296</v>
      </c>
      <c r="L36" s="139">
        <v>46173</v>
      </c>
      <c r="M36" t="s">
        <v>347</v>
      </c>
      <c r="N36" t="s">
        <v>313</v>
      </c>
      <c r="O36" t="s">
        <v>294</v>
      </c>
      <c r="P36" t="s">
        <v>348</v>
      </c>
      <c r="Q36" t="s">
        <v>295</v>
      </c>
    </row>
    <row r="37" spans="1:17" s="29" customFormat="1" hidden="1">
      <c r="A37" s="41">
        <v>6.4491369791666669E-2</v>
      </c>
      <c r="B37" t="s">
        <v>113</v>
      </c>
      <c r="C37" t="s">
        <v>216</v>
      </c>
      <c r="D37"/>
      <c r="E37" t="s">
        <v>127</v>
      </c>
      <c r="F37"/>
      <c r="G37" t="s">
        <v>226</v>
      </c>
      <c r="H37"/>
      <c r="I37" s="140">
        <v>46238.629467592589</v>
      </c>
      <c r="J37" t="s">
        <v>349</v>
      </c>
      <c r="K37" t="s">
        <v>296</v>
      </c>
      <c r="L37" s="139">
        <v>46173</v>
      </c>
      <c r="M37" t="s">
        <v>347</v>
      </c>
      <c r="N37" t="s">
        <v>313</v>
      </c>
      <c r="O37" t="s">
        <v>294</v>
      </c>
      <c r="P37" t="s">
        <v>348</v>
      </c>
      <c r="Q37" t="s">
        <v>295</v>
      </c>
    </row>
    <row r="38" spans="1:17" s="29" customFormat="1" hidden="1">
      <c r="A38" s="41">
        <v>6.44855617824074E-2</v>
      </c>
      <c r="B38" t="s">
        <v>113</v>
      </c>
      <c r="C38" t="s">
        <v>213</v>
      </c>
      <c r="D38"/>
      <c r="E38" t="s">
        <v>127</v>
      </c>
      <c r="F38"/>
      <c r="G38" t="s">
        <v>226</v>
      </c>
      <c r="H38"/>
      <c r="I38" s="140">
        <v>46238.629386574074</v>
      </c>
      <c r="J38" t="s">
        <v>349</v>
      </c>
      <c r="K38" t="s">
        <v>296</v>
      </c>
      <c r="L38" s="139">
        <v>46173</v>
      </c>
      <c r="M38" t="s">
        <v>347</v>
      </c>
      <c r="N38" t="s">
        <v>313</v>
      </c>
      <c r="O38" t="s">
        <v>294</v>
      </c>
      <c r="P38" t="s">
        <v>348</v>
      </c>
      <c r="Q38" t="s">
        <v>295</v>
      </c>
    </row>
    <row r="39" spans="1:17" s="29" customFormat="1" hidden="1">
      <c r="A39" s="41">
        <v>6.4364031030092597E-2</v>
      </c>
      <c r="B39" t="s">
        <v>113</v>
      </c>
      <c r="C39" t="s">
        <v>83</v>
      </c>
      <c r="D39"/>
      <c r="E39" t="s">
        <v>127</v>
      </c>
      <c r="F39"/>
      <c r="G39" t="s">
        <v>226</v>
      </c>
      <c r="H39"/>
      <c r="I39" s="140">
        <v>46238.629178240742</v>
      </c>
      <c r="J39" t="s">
        <v>349</v>
      </c>
      <c r="K39" t="s">
        <v>296</v>
      </c>
      <c r="L39" s="139">
        <v>46173</v>
      </c>
      <c r="M39" t="s">
        <v>347</v>
      </c>
      <c r="N39" t="s">
        <v>313</v>
      </c>
      <c r="O39" t="s">
        <v>294</v>
      </c>
      <c r="P39" t="s">
        <v>348</v>
      </c>
      <c r="Q39" t="s">
        <v>295</v>
      </c>
    </row>
    <row r="40" spans="1:17" s="29" customFormat="1" hidden="1">
      <c r="A40" s="41">
        <v>6.4364031030092597E-2</v>
      </c>
      <c r="B40" t="s">
        <v>113</v>
      </c>
      <c r="C40" t="s">
        <v>83</v>
      </c>
      <c r="D40"/>
      <c r="E40" t="s">
        <v>127</v>
      </c>
      <c r="F40"/>
      <c r="G40" t="s">
        <v>226</v>
      </c>
      <c r="H40"/>
      <c r="I40" s="140">
        <v>46238.629131944443</v>
      </c>
      <c r="J40" t="s">
        <v>349</v>
      </c>
      <c r="K40" t="s">
        <v>296</v>
      </c>
      <c r="L40" s="139">
        <v>46173</v>
      </c>
      <c r="M40" t="s">
        <v>347</v>
      </c>
      <c r="N40" t="s">
        <v>313</v>
      </c>
      <c r="O40" t="s">
        <v>294</v>
      </c>
      <c r="P40" t="s">
        <v>348</v>
      </c>
      <c r="Q40" t="s">
        <v>295</v>
      </c>
    </row>
    <row r="41" spans="1:17" s="29" customFormat="1" hidden="1">
      <c r="A41" s="41">
        <v>6.4259868136574069E-2</v>
      </c>
      <c r="B41" t="s">
        <v>113</v>
      </c>
      <c r="C41" t="s">
        <v>83</v>
      </c>
      <c r="D41"/>
      <c r="E41" t="s">
        <v>127</v>
      </c>
      <c r="F41"/>
      <c r="G41" t="s">
        <v>226</v>
      </c>
      <c r="H41"/>
      <c r="I41" s="140">
        <v>46238.628946759258</v>
      </c>
      <c r="J41" t="s">
        <v>349</v>
      </c>
      <c r="K41" t="s">
        <v>296</v>
      </c>
      <c r="L41" s="139">
        <v>46173</v>
      </c>
      <c r="M41" t="s">
        <v>347</v>
      </c>
      <c r="N41" t="s">
        <v>313</v>
      </c>
      <c r="O41" t="s">
        <v>294</v>
      </c>
      <c r="P41" t="s">
        <v>348</v>
      </c>
      <c r="Q41" t="s">
        <v>295</v>
      </c>
    </row>
    <row r="42" spans="1:17" s="29" customFormat="1" hidden="1">
      <c r="A42" s="41">
        <v>6.4209489004629625E-2</v>
      </c>
      <c r="B42" t="s">
        <v>113</v>
      </c>
      <c r="C42" t="s">
        <v>210</v>
      </c>
      <c r="D42"/>
      <c r="E42" t="s">
        <v>130</v>
      </c>
      <c r="F42"/>
      <c r="G42" t="s">
        <v>117</v>
      </c>
      <c r="H42"/>
      <c r="I42" s="140">
        <v>46238.628518518519</v>
      </c>
      <c r="J42" t="s">
        <v>349</v>
      </c>
      <c r="K42" t="s">
        <v>296</v>
      </c>
      <c r="L42" s="139">
        <v>46173</v>
      </c>
      <c r="M42" t="s">
        <v>347</v>
      </c>
      <c r="N42" t="s">
        <v>313</v>
      </c>
      <c r="O42" t="s">
        <v>294</v>
      </c>
      <c r="P42" t="s">
        <v>348</v>
      </c>
      <c r="Q42" t="s">
        <v>295</v>
      </c>
    </row>
    <row r="43" spans="1:17" s="29" customFormat="1" hidden="1">
      <c r="A43" s="41">
        <v>6.4059648032407407E-2</v>
      </c>
      <c r="B43" t="s">
        <v>113</v>
      </c>
      <c r="C43"/>
      <c r="D43"/>
      <c r="E43" t="s">
        <v>123</v>
      </c>
      <c r="F43"/>
      <c r="G43" t="s">
        <v>117</v>
      </c>
      <c r="H43"/>
      <c r="I43" s="140">
        <v>46238.628206018519</v>
      </c>
      <c r="J43" t="s">
        <v>349</v>
      </c>
      <c r="K43" t="s">
        <v>296</v>
      </c>
      <c r="L43" s="139">
        <v>46173</v>
      </c>
      <c r="M43" t="s">
        <v>347</v>
      </c>
      <c r="N43" t="s">
        <v>313</v>
      </c>
      <c r="O43" t="s">
        <v>294</v>
      </c>
      <c r="P43" t="s">
        <v>348</v>
      </c>
      <c r="Q43" t="s">
        <v>295</v>
      </c>
    </row>
    <row r="44" spans="1:17" s="29" customFormat="1" hidden="1">
      <c r="A44" s="41">
        <v>6.3786021006944443E-2</v>
      </c>
      <c r="B44" t="s">
        <v>113</v>
      </c>
      <c r="C44"/>
      <c r="D44"/>
      <c r="E44" t="s">
        <v>88</v>
      </c>
      <c r="F44"/>
      <c r="G44" t="s">
        <v>117</v>
      </c>
      <c r="H44"/>
      <c r="I44" s="140">
        <v>46238.627928240741</v>
      </c>
      <c r="J44" t="s">
        <v>349</v>
      </c>
      <c r="K44" t="s">
        <v>296</v>
      </c>
      <c r="L44" s="139">
        <v>46173</v>
      </c>
      <c r="M44" t="s">
        <v>347</v>
      </c>
      <c r="N44" t="s">
        <v>313</v>
      </c>
      <c r="O44" t="s">
        <v>294</v>
      </c>
      <c r="P44" t="s">
        <v>348</v>
      </c>
      <c r="Q44" t="s">
        <v>295</v>
      </c>
    </row>
    <row r="45" spans="1:17" s="29" customFormat="1" hidden="1">
      <c r="A45" s="41">
        <v>6.361382512731481E-2</v>
      </c>
      <c r="B45" t="s">
        <v>113</v>
      </c>
      <c r="C45"/>
      <c r="D45"/>
      <c r="E45" t="s">
        <v>275</v>
      </c>
      <c r="F45" t="s">
        <v>269</v>
      </c>
      <c r="G45" t="s">
        <v>117</v>
      </c>
      <c r="H45"/>
      <c r="I45" s="140">
        <v>46238.627800925926</v>
      </c>
      <c r="J45" t="s">
        <v>349</v>
      </c>
      <c r="K45" t="s">
        <v>296</v>
      </c>
      <c r="L45" s="139">
        <v>46173</v>
      </c>
      <c r="M45" t="s">
        <v>347</v>
      </c>
      <c r="N45" t="s">
        <v>313</v>
      </c>
      <c r="O45" t="s">
        <v>294</v>
      </c>
      <c r="P45" t="s">
        <v>348</v>
      </c>
      <c r="Q45" t="s">
        <v>295</v>
      </c>
    </row>
    <row r="46" spans="1:17" s="29" customFormat="1" hidden="1">
      <c r="A46" s="41">
        <v>6.361382512731481E-2</v>
      </c>
      <c r="B46" t="s">
        <v>113</v>
      </c>
      <c r="C46"/>
      <c r="D46"/>
      <c r="E46" t="s">
        <v>88</v>
      </c>
      <c r="F46"/>
      <c r="G46" t="s">
        <v>226</v>
      </c>
      <c r="H46"/>
      <c r="I46" s="140">
        <v>46238.62771990741</v>
      </c>
      <c r="J46" t="s">
        <v>349</v>
      </c>
      <c r="K46" t="s">
        <v>296</v>
      </c>
      <c r="L46" s="139">
        <v>46173</v>
      </c>
      <c r="M46" t="s">
        <v>347</v>
      </c>
      <c r="N46" t="s">
        <v>313</v>
      </c>
      <c r="O46" t="s">
        <v>294</v>
      </c>
      <c r="P46" t="s">
        <v>348</v>
      </c>
      <c r="Q46" t="s">
        <v>295</v>
      </c>
    </row>
    <row r="47" spans="1:17" s="29" customFormat="1" hidden="1">
      <c r="A47" s="41">
        <v>6.3568781840277783E-2</v>
      </c>
      <c r="B47" t="s">
        <v>113</v>
      </c>
      <c r="C47" t="s">
        <v>204</v>
      </c>
      <c r="D47"/>
      <c r="E47" t="s">
        <v>127</v>
      </c>
      <c r="F47"/>
      <c r="G47" t="s">
        <v>226</v>
      </c>
      <c r="H47"/>
      <c r="I47" s="140">
        <v>46238.627557870372</v>
      </c>
      <c r="J47" t="s">
        <v>349</v>
      </c>
      <c r="K47" t="s">
        <v>296</v>
      </c>
      <c r="L47" s="139">
        <v>46173</v>
      </c>
      <c r="M47" t="s">
        <v>347</v>
      </c>
      <c r="N47" t="s">
        <v>313</v>
      </c>
      <c r="O47" t="s">
        <v>294</v>
      </c>
      <c r="P47" t="s">
        <v>348</v>
      </c>
      <c r="Q47" t="s">
        <v>295</v>
      </c>
    </row>
    <row r="48" spans="1:17" s="29" customFormat="1" hidden="1">
      <c r="A48" s="41">
        <v>6.3523888506944445E-2</v>
      </c>
      <c r="B48" t="s">
        <v>113</v>
      </c>
      <c r="C48" t="s">
        <v>210</v>
      </c>
      <c r="D48"/>
      <c r="E48" t="s">
        <v>59</v>
      </c>
      <c r="F48"/>
      <c r="G48" t="s">
        <v>226</v>
      </c>
      <c r="H48"/>
      <c r="I48" s="140">
        <v>46238.627233796295</v>
      </c>
      <c r="J48" t="s">
        <v>349</v>
      </c>
      <c r="K48" t="s">
        <v>296</v>
      </c>
      <c r="L48" s="139">
        <v>46173</v>
      </c>
      <c r="M48" t="s">
        <v>347</v>
      </c>
      <c r="N48" t="s">
        <v>313</v>
      </c>
      <c r="O48" t="s">
        <v>294</v>
      </c>
      <c r="P48" t="s">
        <v>348</v>
      </c>
      <c r="Q48" t="s">
        <v>295</v>
      </c>
    </row>
    <row r="49" spans="1:17" s="29" customFormat="1" hidden="1">
      <c r="A49" s="41">
        <v>6.3476890000000008E-2</v>
      </c>
      <c r="B49" t="s">
        <v>113</v>
      </c>
      <c r="C49"/>
      <c r="D49"/>
      <c r="E49" t="s">
        <v>250</v>
      </c>
      <c r="F49"/>
      <c r="G49" t="s">
        <v>226</v>
      </c>
      <c r="H49"/>
      <c r="I49" s="140">
        <v>46238.626944444448</v>
      </c>
      <c r="J49" t="s">
        <v>349</v>
      </c>
      <c r="K49" t="s">
        <v>296</v>
      </c>
      <c r="L49" s="139">
        <v>46173</v>
      </c>
      <c r="M49" t="s">
        <v>347</v>
      </c>
      <c r="N49" t="s">
        <v>313</v>
      </c>
      <c r="O49" t="s">
        <v>294</v>
      </c>
      <c r="P49" t="s">
        <v>348</v>
      </c>
      <c r="Q49" t="s">
        <v>295</v>
      </c>
    </row>
    <row r="50" spans="1:17" s="29" customFormat="1" hidden="1">
      <c r="A50" s="41">
        <v>6.337848886574074E-2</v>
      </c>
      <c r="B50" t="s">
        <v>113</v>
      </c>
      <c r="C50"/>
      <c r="D50"/>
      <c r="E50" t="s">
        <v>119</v>
      </c>
      <c r="F50"/>
      <c r="G50" t="s">
        <v>117</v>
      </c>
      <c r="H50"/>
      <c r="I50" s="140">
        <v>46238.626851851855</v>
      </c>
      <c r="J50" t="s">
        <v>349</v>
      </c>
      <c r="K50" t="s">
        <v>296</v>
      </c>
      <c r="L50" s="139">
        <v>46173</v>
      </c>
      <c r="M50" t="s">
        <v>347</v>
      </c>
      <c r="N50" t="s">
        <v>313</v>
      </c>
      <c r="O50" t="s">
        <v>294</v>
      </c>
      <c r="P50" t="s">
        <v>348</v>
      </c>
      <c r="Q50" t="s">
        <v>295</v>
      </c>
    </row>
    <row r="51" spans="1:17" s="29" customFormat="1" hidden="1">
      <c r="A51" s="41">
        <v>6.3031123773148151E-2</v>
      </c>
      <c r="B51" t="s">
        <v>113</v>
      </c>
      <c r="C51"/>
      <c r="D51"/>
      <c r="E51" t="s">
        <v>88</v>
      </c>
      <c r="F51"/>
      <c r="G51" t="s">
        <v>117</v>
      </c>
      <c r="H51"/>
      <c r="I51" s="140">
        <v>46238.626504629632</v>
      </c>
      <c r="J51" t="s">
        <v>349</v>
      </c>
      <c r="K51" t="s">
        <v>296</v>
      </c>
      <c r="L51" s="139">
        <v>46173</v>
      </c>
      <c r="M51" t="s">
        <v>347</v>
      </c>
      <c r="N51" t="s">
        <v>313</v>
      </c>
      <c r="O51" t="s">
        <v>294</v>
      </c>
      <c r="P51" t="s">
        <v>348</v>
      </c>
      <c r="Q51" t="s">
        <v>295</v>
      </c>
    </row>
    <row r="52" spans="1:17" s="29" customFormat="1" hidden="1">
      <c r="A52" s="41">
        <v>6.2878193368055557E-2</v>
      </c>
      <c r="B52" t="s">
        <v>113</v>
      </c>
      <c r="C52" t="s">
        <v>83</v>
      </c>
      <c r="D52"/>
      <c r="E52" t="s">
        <v>134</v>
      </c>
      <c r="F52"/>
      <c r="G52" t="s">
        <v>117</v>
      </c>
      <c r="H52"/>
      <c r="I52" s="140">
        <v>46238.626493055555</v>
      </c>
      <c r="J52" t="s">
        <v>349</v>
      </c>
      <c r="K52" t="s">
        <v>296</v>
      </c>
      <c r="L52" s="139">
        <v>46173</v>
      </c>
      <c r="M52" t="s">
        <v>347</v>
      </c>
      <c r="N52" t="s">
        <v>313</v>
      </c>
      <c r="O52" t="s">
        <v>294</v>
      </c>
      <c r="P52" t="s">
        <v>348</v>
      </c>
      <c r="Q52" t="s">
        <v>295</v>
      </c>
    </row>
    <row r="53" spans="1:17" s="29" customFormat="1" hidden="1">
      <c r="A53" s="41">
        <v>6.2430212939814822E-2</v>
      </c>
      <c r="B53" t="s">
        <v>113</v>
      </c>
      <c r="C53"/>
      <c r="D53"/>
      <c r="E53" t="s">
        <v>88</v>
      </c>
      <c r="F53"/>
      <c r="G53" t="s">
        <v>117</v>
      </c>
      <c r="H53"/>
      <c r="I53" s="140">
        <v>46238.626238425924</v>
      </c>
      <c r="J53" t="s">
        <v>349</v>
      </c>
      <c r="K53" t="s">
        <v>296</v>
      </c>
      <c r="L53" s="139">
        <v>46173</v>
      </c>
      <c r="M53" t="s">
        <v>347</v>
      </c>
      <c r="N53" t="s">
        <v>313</v>
      </c>
      <c r="O53" t="s">
        <v>294</v>
      </c>
      <c r="P53" t="s">
        <v>348</v>
      </c>
      <c r="Q53" t="s">
        <v>295</v>
      </c>
    </row>
    <row r="54" spans="1:17" s="29" customFormat="1" hidden="1">
      <c r="A54" s="41">
        <v>6.2391533958333335E-2</v>
      </c>
      <c r="B54" t="s">
        <v>113</v>
      </c>
      <c r="C54" t="s">
        <v>215</v>
      </c>
      <c r="D54"/>
      <c r="E54" t="s">
        <v>122</v>
      </c>
      <c r="F54"/>
      <c r="G54" t="s">
        <v>117</v>
      </c>
      <c r="H54"/>
      <c r="I54" s="140">
        <v>46238.62605324074</v>
      </c>
      <c r="J54" t="s">
        <v>349</v>
      </c>
      <c r="K54" t="s">
        <v>296</v>
      </c>
      <c r="L54" s="139">
        <v>46173</v>
      </c>
      <c r="M54" t="s">
        <v>347</v>
      </c>
      <c r="N54" t="s">
        <v>313</v>
      </c>
      <c r="O54" t="s">
        <v>294</v>
      </c>
      <c r="P54" t="s">
        <v>348</v>
      </c>
      <c r="Q54" t="s">
        <v>295</v>
      </c>
    </row>
    <row r="55" spans="1:17" s="29" customFormat="1" hidden="1">
      <c r="A55" s="41">
        <v>6.2345186261574079E-2</v>
      </c>
      <c r="B55" t="s">
        <v>113</v>
      </c>
      <c r="C55"/>
      <c r="D55"/>
      <c r="E55" t="s">
        <v>59</v>
      </c>
      <c r="F55"/>
      <c r="G55" t="s">
        <v>117</v>
      </c>
      <c r="H55"/>
      <c r="I55" s="140">
        <v>46238.625601851854</v>
      </c>
      <c r="J55" t="s">
        <v>349</v>
      </c>
      <c r="K55" t="s">
        <v>296</v>
      </c>
      <c r="L55" s="139">
        <v>46173</v>
      </c>
      <c r="M55" t="s">
        <v>347</v>
      </c>
      <c r="N55" t="s">
        <v>313</v>
      </c>
      <c r="O55" t="s">
        <v>294</v>
      </c>
      <c r="P55" t="s">
        <v>348</v>
      </c>
      <c r="Q55" t="s">
        <v>295</v>
      </c>
    </row>
    <row r="56" spans="1:17" s="29" customFormat="1" hidden="1">
      <c r="A56" s="41">
        <v>6.2299308472222217E-2</v>
      </c>
      <c r="B56" t="s">
        <v>113</v>
      </c>
      <c r="C56"/>
      <c r="D56"/>
      <c r="E56" t="s">
        <v>246</v>
      </c>
      <c r="F56"/>
      <c r="G56" t="s">
        <v>226</v>
      </c>
      <c r="H56"/>
      <c r="I56" s="140">
        <v>46238.625289351854</v>
      </c>
      <c r="J56" t="s">
        <v>349</v>
      </c>
      <c r="K56" t="s">
        <v>296</v>
      </c>
      <c r="L56" s="139">
        <v>46173</v>
      </c>
      <c r="M56" t="s">
        <v>347</v>
      </c>
      <c r="N56" t="s">
        <v>313</v>
      </c>
      <c r="O56" t="s">
        <v>294</v>
      </c>
      <c r="P56" t="s">
        <v>348</v>
      </c>
      <c r="Q56" t="s">
        <v>295</v>
      </c>
    </row>
    <row r="57" spans="1:17" s="29" customFormat="1" hidden="1">
      <c r="A57" s="41">
        <v>6.2277185081018517E-2</v>
      </c>
      <c r="B57" t="s">
        <v>113</v>
      </c>
      <c r="C57"/>
      <c r="D57"/>
      <c r="E57" t="s">
        <v>405</v>
      </c>
      <c r="F57"/>
      <c r="G57" t="s">
        <v>226</v>
      </c>
      <c r="H57"/>
      <c r="I57" s="140">
        <v>46238.625231481485</v>
      </c>
      <c r="J57" t="s">
        <v>349</v>
      </c>
      <c r="K57" t="s">
        <v>296</v>
      </c>
      <c r="L57" s="139">
        <v>46173</v>
      </c>
      <c r="M57" t="s">
        <v>347</v>
      </c>
      <c r="N57" t="s">
        <v>313</v>
      </c>
      <c r="O57" t="s">
        <v>294</v>
      </c>
      <c r="P57" t="s">
        <v>348</v>
      </c>
      <c r="Q57" t="s">
        <v>295</v>
      </c>
    </row>
    <row r="58" spans="1:17" s="29" customFormat="1" hidden="1">
      <c r="A58" s="41">
        <v>6.1828387685185185E-2</v>
      </c>
      <c r="B58" t="s">
        <v>113</v>
      </c>
      <c r="C58"/>
      <c r="D58"/>
      <c r="E58" t="s">
        <v>124</v>
      </c>
      <c r="F58"/>
      <c r="G58" t="s">
        <v>226</v>
      </c>
      <c r="H58"/>
      <c r="I58" s="140">
        <v>46238.624780092592</v>
      </c>
      <c r="J58" t="s">
        <v>349</v>
      </c>
      <c r="K58" t="s">
        <v>296</v>
      </c>
      <c r="L58" s="139">
        <v>46173</v>
      </c>
      <c r="M58" t="s">
        <v>347</v>
      </c>
      <c r="N58" t="s">
        <v>313</v>
      </c>
      <c r="O58" t="s">
        <v>294</v>
      </c>
      <c r="P58" t="s">
        <v>348</v>
      </c>
      <c r="Q58" t="s">
        <v>295</v>
      </c>
    </row>
    <row r="59" spans="1:17" s="29" customFormat="1" hidden="1">
      <c r="A59" s="41">
        <v>6.1571255115740742E-2</v>
      </c>
      <c r="B59" t="s">
        <v>113</v>
      </c>
      <c r="C59"/>
      <c r="D59"/>
      <c r="E59" t="s">
        <v>88</v>
      </c>
      <c r="F59"/>
      <c r="G59" t="s">
        <v>226</v>
      </c>
      <c r="H59"/>
      <c r="I59" s="140">
        <v>46238.624502314815</v>
      </c>
      <c r="J59" t="s">
        <v>349</v>
      </c>
      <c r="K59" t="s">
        <v>296</v>
      </c>
      <c r="L59" s="139">
        <v>46173</v>
      </c>
      <c r="M59" t="s">
        <v>347</v>
      </c>
      <c r="N59" t="s">
        <v>313</v>
      </c>
      <c r="O59" t="s">
        <v>294</v>
      </c>
      <c r="P59" t="s">
        <v>348</v>
      </c>
      <c r="Q59" t="s">
        <v>295</v>
      </c>
    </row>
    <row r="60" spans="1:17" s="29" customFormat="1" hidden="1">
      <c r="A60" s="41">
        <v>6.1462032962962959E-2</v>
      </c>
      <c r="B60" t="s">
        <v>113</v>
      </c>
      <c r="C60" t="s">
        <v>83</v>
      </c>
      <c r="D60"/>
      <c r="E60" t="s">
        <v>245</v>
      </c>
      <c r="F60"/>
      <c r="G60" t="s">
        <v>117</v>
      </c>
      <c r="H60"/>
      <c r="I60" s="140">
        <v>46238.624108796299</v>
      </c>
      <c r="J60" t="s">
        <v>349</v>
      </c>
      <c r="K60" t="s">
        <v>296</v>
      </c>
      <c r="L60" s="139">
        <v>46173</v>
      </c>
      <c r="M60" t="s">
        <v>347</v>
      </c>
      <c r="N60" t="s">
        <v>313</v>
      </c>
      <c r="O60" t="s">
        <v>294</v>
      </c>
      <c r="P60" t="s">
        <v>348</v>
      </c>
      <c r="Q60" t="s">
        <v>295</v>
      </c>
    </row>
    <row r="61" spans="1:17" s="29" customFormat="1" hidden="1">
      <c r="A61" s="41">
        <v>6.1398913483796294E-2</v>
      </c>
      <c r="B61" t="s">
        <v>113</v>
      </c>
      <c r="C61"/>
      <c r="D61"/>
      <c r="E61" t="s">
        <v>127</v>
      </c>
      <c r="F61"/>
      <c r="G61" t="s">
        <v>117</v>
      </c>
      <c r="H61"/>
      <c r="I61" s="140">
        <v>46238.623935185184</v>
      </c>
      <c r="J61" t="s">
        <v>349</v>
      </c>
      <c r="K61" t="s">
        <v>296</v>
      </c>
      <c r="L61" s="139">
        <v>46173</v>
      </c>
      <c r="M61" t="s">
        <v>347</v>
      </c>
      <c r="N61" t="s">
        <v>313</v>
      </c>
      <c r="O61" t="s">
        <v>294</v>
      </c>
      <c r="P61" t="s">
        <v>348</v>
      </c>
      <c r="Q61" t="s">
        <v>295</v>
      </c>
    </row>
    <row r="62" spans="1:17" s="29" customFormat="1" hidden="1">
      <c r="A62" s="41">
        <v>6.13220777199074E-2</v>
      </c>
      <c r="B62" t="s">
        <v>113</v>
      </c>
      <c r="C62"/>
      <c r="D62"/>
      <c r="E62" t="s">
        <v>127</v>
      </c>
      <c r="F62"/>
      <c r="G62" t="s">
        <v>117</v>
      </c>
      <c r="H62"/>
      <c r="I62" s="140">
        <v>46238.623854166668</v>
      </c>
      <c r="J62" t="s">
        <v>349</v>
      </c>
      <c r="K62" t="s">
        <v>296</v>
      </c>
      <c r="L62" s="139">
        <v>46173</v>
      </c>
      <c r="M62" t="s">
        <v>347</v>
      </c>
      <c r="N62" t="s">
        <v>313</v>
      </c>
      <c r="O62" t="s">
        <v>294</v>
      </c>
      <c r="P62" t="s">
        <v>348</v>
      </c>
      <c r="Q62" t="s">
        <v>295</v>
      </c>
    </row>
    <row r="63" spans="1:17" s="29" customFormat="1" hidden="1">
      <c r="A63" s="41">
        <v>6.1254435127314821E-2</v>
      </c>
      <c r="B63" t="s">
        <v>113</v>
      </c>
      <c r="C63"/>
      <c r="D63"/>
      <c r="E63" t="s">
        <v>127</v>
      </c>
      <c r="F63"/>
      <c r="G63" t="s">
        <v>117</v>
      </c>
      <c r="H63"/>
      <c r="I63" s="140">
        <v>46238.623784722222</v>
      </c>
      <c r="J63" t="s">
        <v>349</v>
      </c>
      <c r="K63" t="s">
        <v>296</v>
      </c>
      <c r="L63" s="139">
        <v>46173</v>
      </c>
      <c r="M63" t="s">
        <v>347</v>
      </c>
      <c r="N63" t="s">
        <v>313</v>
      </c>
      <c r="O63" t="s">
        <v>294</v>
      </c>
      <c r="P63" t="s">
        <v>348</v>
      </c>
      <c r="Q63" t="s">
        <v>295</v>
      </c>
    </row>
    <row r="64" spans="1:17" s="29" customFormat="1" hidden="1">
      <c r="A64" s="41">
        <v>6.1180666932870373E-2</v>
      </c>
      <c r="B64" t="s">
        <v>113</v>
      </c>
      <c r="C64"/>
      <c r="D64"/>
      <c r="E64" t="s">
        <v>127</v>
      </c>
      <c r="F64"/>
      <c r="G64" t="s">
        <v>117</v>
      </c>
      <c r="H64"/>
      <c r="I64" s="140">
        <v>46238.623668981483</v>
      </c>
      <c r="J64" t="s">
        <v>349</v>
      </c>
      <c r="K64" t="s">
        <v>296</v>
      </c>
      <c r="L64" s="139">
        <v>46173</v>
      </c>
      <c r="M64" t="s">
        <v>347</v>
      </c>
      <c r="N64" t="s">
        <v>313</v>
      </c>
      <c r="O64" t="s">
        <v>294</v>
      </c>
      <c r="P64" t="s">
        <v>348</v>
      </c>
      <c r="Q64" t="s">
        <v>295</v>
      </c>
    </row>
    <row r="65" spans="1:17" s="29" customFormat="1" hidden="1">
      <c r="A65" s="41">
        <v>6.1101828865740733E-2</v>
      </c>
      <c r="B65" t="s">
        <v>113</v>
      </c>
      <c r="C65"/>
      <c r="D65"/>
      <c r="E65" t="s">
        <v>248</v>
      </c>
      <c r="F65"/>
      <c r="G65" t="s">
        <v>117</v>
      </c>
      <c r="H65"/>
      <c r="I65" s="140">
        <v>46238.623564814814</v>
      </c>
      <c r="J65" t="s">
        <v>349</v>
      </c>
      <c r="K65" t="s">
        <v>296</v>
      </c>
      <c r="L65" s="139">
        <v>46173</v>
      </c>
      <c r="M65" t="s">
        <v>347</v>
      </c>
      <c r="N65" t="s">
        <v>313</v>
      </c>
      <c r="O65" t="s">
        <v>294</v>
      </c>
      <c r="P65" t="s">
        <v>348</v>
      </c>
      <c r="Q65" t="s">
        <v>295</v>
      </c>
    </row>
    <row r="66" spans="1:17" s="29" customFormat="1" hidden="1">
      <c r="A66" s="41">
        <v>6.1064927326388893E-2</v>
      </c>
      <c r="B66" t="s">
        <v>113</v>
      </c>
      <c r="C66"/>
      <c r="D66"/>
      <c r="E66" t="s">
        <v>246</v>
      </c>
      <c r="F66"/>
      <c r="G66" t="s">
        <v>226</v>
      </c>
      <c r="H66"/>
      <c r="I66" s="140">
        <v>46238.623460648145</v>
      </c>
      <c r="J66" t="s">
        <v>349</v>
      </c>
      <c r="K66" t="s">
        <v>296</v>
      </c>
      <c r="L66" s="139">
        <v>46173</v>
      </c>
      <c r="M66" t="s">
        <v>347</v>
      </c>
      <c r="N66" t="s">
        <v>313</v>
      </c>
      <c r="O66" t="s">
        <v>294</v>
      </c>
      <c r="P66" t="s">
        <v>348</v>
      </c>
      <c r="Q66" t="s">
        <v>295</v>
      </c>
    </row>
    <row r="67" spans="1:17" s="29" customFormat="1" hidden="1">
      <c r="A67" s="41">
        <v>6.0989649629629633E-2</v>
      </c>
      <c r="B67" t="s">
        <v>113</v>
      </c>
      <c r="C67" t="s">
        <v>206</v>
      </c>
      <c r="D67"/>
      <c r="E67" t="s">
        <v>127</v>
      </c>
      <c r="F67"/>
      <c r="G67" t="s">
        <v>226</v>
      </c>
      <c r="H67"/>
      <c r="I67" s="140">
        <v>46238.623333333337</v>
      </c>
      <c r="J67" t="s">
        <v>349</v>
      </c>
      <c r="K67" t="s">
        <v>296</v>
      </c>
      <c r="L67" s="139">
        <v>46173</v>
      </c>
      <c r="M67" t="s">
        <v>347</v>
      </c>
      <c r="N67" t="s">
        <v>313</v>
      </c>
      <c r="O67" t="s">
        <v>294</v>
      </c>
      <c r="P67" t="s">
        <v>348</v>
      </c>
      <c r="Q67" t="s">
        <v>295</v>
      </c>
    </row>
    <row r="68" spans="1:17" s="29" customFormat="1" hidden="1">
      <c r="A68" s="41">
        <v>6.0898372754629629E-2</v>
      </c>
      <c r="B68" t="s">
        <v>113</v>
      </c>
      <c r="C68" t="s">
        <v>216</v>
      </c>
      <c r="D68"/>
      <c r="E68" t="s">
        <v>127</v>
      </c>
      <c r="F68"/>
      <c r="G68" t="s">
        <v>226</v>
      </c>
      <c r="H68"/>
      <c r="I68" s="140">
        <v>46238.623032407406</v>
      </c>
      <c r="J68" t="s">
        <v>349</v>
      </c>
      <c r="K68" t="s">
        <v>296</v>
      </c>
      <c r="L68" s="139">
        <v>46173</v>
      </c>
      <c r="M68" t="s">
        <v>347</v>
      </c>
      <c r="N68" t="s">
        <v>313</v>
      </c>
      <c r="O68" t="s">
        <v>294</v>
      </c>
      <c r="P68" t="s">
        <v>348</v>
      </c>
      <c r="Q68" t="s">
        <v>295</v>
      </c>
    </row>
    <row r="69" spans="1:17" s="29" customFormat="1" hidden="1">
      <c r="A69" s="41">
        <v>6.0846358275462961E-2</v>
      </c>
      <c r="B69" t="s">
        <v>113</v>
      </c>
      <c r="C69" t="s">
        <v>217</v>
      </c>
      <c r="D69"/>
      <c r="E69" t="s">
        <v>127</v>
      </c>
      <c r="F69"/>
      <c r="G69" t="s">
        <v>226</v>
      </c>
      <c r="H69"/>
      <c r="I69" s="140">
        <v>46238.622916666667</v>
      </c>
      <c r="J69" t="s">
        <v>349</v>
      </c>
      <c r="K69" t="s">
        <v>296</v>
      </c>
      <c r="L69" s="139">
        <v>46173</v>
      </c>
      <c r="M69" t="s">
        <v>347</v>
      </c>
      <c r="N69" t="s">
        <v>313</v>
      </c>
      <c r="O69" t="s">
        <v>294</v>
      </c>
      <c r="P69" t="s">
        <v>348</v>
      </c>
      <c r="Q69" t="s">
        <v>295</v>
      </c>
    </row>
    <row r="70" spans="1:17" s="29" customFormat="1" hidden="1">
      <c r="A70" s="41">
        <v>6.0829373194444446E-2</v>
      </c>
      <c r="B70" t="s">
        <v>113</v>
      </c>
      <c r="C70"/>
      <c r="D70"/>
      <c r="E70" t="s">
        <v>250</v>
      </c>
      <c r="F70"/>
      <c r="G70" t="s">
        <v>226</v>
      </c>
      <c r="H70"/>
      <c r="I70" s="140">
        <v>46238.622743055559</v>
      </c>
      <c r="J70" t="s">
        <v>349</v>
      </c>
      <c r="K70" t="s">
        <v>296</v>
      </c>
      <c r="L70" s="139">
        <v>46173</v>
      </c>
      <c r="M70" t="s">
        <v>347</v>
      </c>
      <c r="N70" t="s">
        <v>313</v>
      </c>
      <c r="O70" t="s">
        <v>294</v>
      </c>
      <c r="P70" t="s">
        <v>348</v>
      </c>
      <c r="Q70" t="s">
        <v>295</v>
      </c>
    </row>
    <row r="71" spans="1:17" s="29" customFormat="1" hidden="1">
      <c r="A71" s="41">
        <v>6.080629516203704E-2</v>
      </c>
      <c r="B71" t="s">
        <v>113</v>
      </c>
      <c r="C71"/>
      <c r="D71"/>
      <c r="E71" t="s">
        <v>246</v>
      </c>
      <c r="F71"/>
      <c r="G71" t="s">
        <v>117</v>
      </c>
      <c r="H71"/>
      <c r="I71" s="140">
        <v>46238.622708333336</v>
      </c>
      <c r="J71" t="s">
        <v>349</v>
      </c>
      <c r="K71" t="s">
        <v>296</v>
      </c>
      <c r="L71" s="139">
        <v>46173</v>
      </c>
      <c r="M71" t="s">
        <v>347</v>
      </c>
      <c r="N71" t="s">
        <v>313</v>
      </c>
      <c r="O71" t="s">
        <v>294</v>
      </c>
      <c r="P71" t="s">
        <v>348</v>
      </c>
      <c r="Q71" t="s">
        <v>295</v>
      </c>
    </row>
    <row r="72" spans="1:17" s="29" customFormat="1" hidden="1">
      <c r="A72" s="41">
        <v>6.0771655081018519E-2</v>
      </c>
      <c r="B72" t="s">
        <v>113</v>
      </c>
      <c r="C72"/>
      <c r="D72"/>
      <c r="E72" t="s">
        <v>127</v>
      </c>
      <c r="F72"/>
      <c r="G72" t="s">
        <v>117</v>
      </c>
      <c r="H72"/>
      <c r="I72" s="140">
        <v>46238.622615740744</v>
      </c>
      <c r="J72" t="s">
        <v>349</v>
      </c>
      <c r="K72" t="s">
        <v>296</v>
      </c>
      <c r="L72" s="139">
        <v>46173</v>
      </c>
      <c r="M72" t="s">
        <v>347</v>
      </c>
      <c r="N72" t="s">
        <v>313</v>
      </c>
      <c r="O72" t="s">
        <v>294</v>
      </c>
      <c r="P72" t="s">
        <v>348</v>
      </c>
      <c r="Q72" t="s">
        <v>295</v>
      </c>
    </row>
    <row r="73" spans="1:17" s="29" customFormat="1" hidden="1">
      <c r="A73" s="41">
        <v>6.0702209629629626E-2</v>
      </c>
      <c r="B73" t="s">
        <v>113</v>
      </c>
      <c r="C73"/>
      <c r="D73"/>
      <c r="E73" t="s">
        <v>245</v>
      </c>
      <c r="F73"/>
      <c r="G73" t="s">
        <v>226</v>
      </c>
      <c r="H73"/>
      <c r="I73" s="140">
        <v>46238.622499999998</v>
      </c>
      <c r="J73" t="s">
        <v>349</v>
      </c>
      <c r="K73" t="s">
        <v>296</v>
      </c>
      <c r="L73" s="139">
        <v>46173</v>
      </c>
      <c r="M73" t="s">
        <v>347</v>
      </c>
      <c r="N73" t="s">
        <v>313</v>
      </c>
      <c r="O73" t="s">
        <v>294</v>
      </c>
      <c r="P73" t="s">
        <v>348</v>
      </c>
      <c r="Q73" t="s">
        <v>295</v>
      </c>
    </row>
    <row r="74" spans="1:17" s="29" customFormat="1" hidden="1">
      <c r="A74" s="41">
        <v>6.0665308518518521E-2</v>
      </c>
      <c r="B74" t="s">
        <v>113</v>
      </c>
      <c r="C74"/>
      <c r="D74"/>
      <c r="E74" t="s">
        <v>405</v>
      </c>
      <c r="F74"/>
      <c r="G74" t="s">
        <v>226</v>
      </c>
      <c r="H74"/>
      <c r="I74" s="140">
        <v>46238.53943287037</v>
      </c>
      <c r="J74" t="s">
        <v>349</v>
      </c>
      <c r="K74" t="s">
        <v>296</v>
      </c>
      <c r="L74" s="139">
        <v>46173</v>
      </c>
      <c r="M74" t="s">
        <v>347</v>
      </c>
      <c r="N74" t="s">
        <v>313</v>
      </c>
      <c r="O74" t="s">
        <v>294</v>
      </c>
      <c r="P74" t="s">
        <v>348</v>
      </c>
      <c r="Q74" t="s">
        <v>295</v>
      </c>
    </row>
    <row r="75" spans="1:17" s="29" customFormat="1" hidden="1">
      <c r="A75" s="41">
        <v>6.033941209490741E-2</v>
      </c>
      <c r="B75" t="s">
        <v>113</v>
      </c>
      <c r="C75"/>
      <c r="D75"/>
      <c r="E75" t="s">
        <v>124</v>
      </c>
      <c r="F75"/>
      <c r="G75" t="s">
        <v>226</v>
      </c>
      <c r="H75"/>
      <c r="I75" s="140">
        <v>46238.532939814817</v>
      </c>
      <c r="J75" t="s">
        <v>349</v>
      </c>
      <c r="K75" t="s">
        <v>296</v>
      </c>
      <c r="L75" s="139">
        <v>46173</v>
      </c>
      <c r="M75" t="s">
        <v>347</v>
      </c>
      <c r="N75" t="s">
        <v>313</v>
      </c>
      <c r="O75" t="s">
        <v>294</v>
      </c>
      <c r="P75" t="s">
        <v>348</v>
      </c>
      <c r="Q75" t="s">
        <v>295</v>
      </c>
    </row>
    <row r="76" spans="1:17" s="29" customFormat="1" hidden="1">
      <c r="A76" s="41">
        <v>6.0111380879629632E-2</v>
      </c>
      <c r="B76" t="s">
        <v>113</v>
      </c>
      <c r="C76"/>
      <c r="D76"/>
      <c r="E76" t="s">
        <v>88</v>
      </c>
      <c r="F76"/>
      <c r="G76" t="s">
        <v>226</v>
      </c>
      <c r="H76"/>
      <c r="I76" s="140">
        <v>46238.532824074071</v>
      </c>
      <c r="J76" t="s">
        <v>349</v>
      </c>
      <c r="K76" t="s">
        <v>296</v>
      </c>
      <c r="L76" s="139">
        <v>46173</v>
      </c>
      <c r="M76" t="s">
        <v>347</v>
      </c>
      <c r="N76" t="s">
        <v>313</v>
      </c>
      <c r="O76" t="s">
        <v>294</v>
      </c>
      <c r="P76" t="s">
        <v>348</v>
      </c>
      <c r="Q76" t="s">
        <v>295</v>
      </c>
    </row>
    <row r="77" spans="1:17" s="29" customFormat="1" hidden="1">
      <c r="A77" s="41">
        <v>6.0074461087962966E-2</v>
      </c>
      <c r="B77" t="s">
        <v>113</v>
      </c>
      <c r="C77" t="s">
        <v>83</v>
      </c>
      <c r="D77"/>
      <c r="E77" t="s">
        <v>245</v>
      </c>
      <c r="F77"/>
      <c r="G77" t="s">
        <v>117</v>
      </c>
      <c r="H77"/>
      <c r="I77" s="140">
        <v>46238.532812500001</v>
      </c>
      <c r="J77" t="s">
        <v>349</v>
      </c>
      <c r="K77" t="s">
        <v>296</v>
      </c>
      <c r="L77" s="139">
        <v>46173</v>
      </c>
      <c r="M77" t="s">
        <v>347</v>
      </c>
      <c r="N77" t="s">
        <v>313</v>
      </c>
      <c r="O77" t="s">
        <v>294</v>
      </c>
      <c r="P77" t="s">
        <v>348</v>
      </c>
      <c r="Q77" t="s">
        <v>295</v>
      </c>
    </row>
    <row r="78" spans="1:17" s="29" customFormat="1" hidden="1">
      <c r="A78" s="41">
        <v>6.0031397418981482E-2</v>
      </c>
      <c r="B78" t="s">
        <v>113</v>
      </c>
      <c r="C78"/>
      <c r="D78"/>
      <c r="E78" t="s">
        <v>127</v>
      </c>
      <c r="F78"/>
      <c r="G78" t="s">
        <v>117</v>
      </c>
      <c r="H78"/>
      <c r="I78" s="140">
        <v>46238.532743055555</v>
      </c>
      <c r="J78" t="s">
        <v>349</v>
      </c>
      <c r="K78" t="s">
        <v>296</v>
      </c>
      <c r="L78" s="139">
        <v>46173</v>
      </c>
      <c r="M78" t="s">
        <v>347</v>
      </c>
      <c r="N78" t="s">
        <v>313</v>
      </c>
      <c r="O78" t="s">
        <v>294</v>
      </c>
      <c r="P78" t="s">
        <v>348</v>
      </c>
      <c r="Q78" t="s">
        <v>295</v>
      </c>
    </row>
    <row r="79" spans="1:17" s="29" customFormat="1" hidden="1">
      <c r="A79" s="41">
        <v>5.9954536863425924E-2</v>
      </c>
      <c r="B79" t="s">
        <v>113</v>
      </c>
      <c r="C79"/>
      <c r="D79"/>
      <c r="E79" t="s">
        <v>399</v>
      </c>
      <c r="F79"/>
      <c r="G79" t="s">
        <v>117</v>
      </c>
      <c r="H79"/>
      <c r="I79" s="140">
        <v>46238.532673611109</v>
      </c>
      <c r="J79" t="s">
        <v>349</v>
      </c>
      <c r="K79" t="s">
        <v>296</v>
      </c>
      <c r="L79" s="139">
        <v>46173</v>
      </c>
      <c r="M79" t="s">
        <v>347</v>
      </c>
      <c r="N79" t="s">
        <v>313</v>
      </c>
      <c r="O79" t="s">
        <v>294</v>
      </c>
      <c r="P79" t="s">
        <v>348</v>
      </c>
      <c r="Q79" t="s">
        <v>295</v>
      </c>
    </row>
    <row r="80" spans="1:17" s="29" customFormat="1" hidden="1">
      <c r="A80" s="41">
        <v>5.9911774652777784E-2</v>
      </c>
      <c r="B80" t="s">
        <v>113</v>
      </c>
      <c r="C80"/>
      <c r="D80"/>
      <c r="E80" t="s">
        <v>124</v>
      </c>
      <c r="F80"/>
      <c r="G80" t="s">
        <v>117</v>
      </c>
      <c r="H80"/>
      <c r="I80" s="140">
        <v>46238.532627314817</v>
      </c>
      <c r="J80" t="s">
        <v>349</v>
      </c>
      <c r="K80" t="s">
        <v>296</v>
      </c>
      <c r="L80" s="139">
        <v>46173</v>
      </c>
      <c r="M80" t="s">
        <v>347</v>
      </c>
      <c r="N80" t="s">
        <v>313</v>
      </c>
      <c r="O80" t="s">
        <v>294</v>
      </c>
      <c r="P80" t="s">
        <v>348</v>
      </c>
      <c r="Q80" t="s">
        <v>295</v>
      </c>
    </row>
    <row r="81" spans="1:17" s="29" customFormat="1" hidden="1">
      <c r="A81" s="41">
        <v>5.9604105335648146E-2</v>
      </c>
      <c r="B81" t="s">
        <v>113</v>
      </c>
      <c r="C81"/>
      <c r="D81"/>
      <c r="E81" t="s">
        <v>88</v>
      </c>
      <c r="F81"/>
      <c r="G81" t="s">
        <v>117</v>
      </c>
      <c r="H81"/>
      <c r="I81" s="140">
        <v>46238.532314814816</v>
      </c>
      <c r="J81" t="s">
        <v>349</v>
      </c>
      <c r="K81" t="s">
        <v>296</v>
      </c>
      <c r="L81" s="139">
        <v>46173</v>
      </c>
      <c r="M81" t="s">
        <v>347</v>
      </c>
      <c r="N81" t="s">
        <v>313</v>
      </c>
      <c r="O81" t="s">
        <v>294</v>
      </c>
      <c r="P81" t="s">
        <v>348</v>
      </c>
      <c r="Q81" t="s">
        <v>295</v>
      </c>
    </row>
    <row r="82" spans="1:17" s="29" customFormat="1" hidden="1">
      <c r="A82" s="41">
        <v>5.9573358506944445E-2</v>
      </c>
      <c r="B82" t="s">
        <v>113</v>
      </c>
      <c r="C82"/>
      <c r="D82"/>
      <c r="E82" t="s">
        <v>396</v>
      </c>
      <c r="F82"/>
      <c r="G82" t="s">
        <v>226</v>
      </c>
      <c r="H82"/>
      <c r="I82" s="140">
        <v>46238.53229166667</v>
      </c>
      <c r="J82" t="s">
        <v>349</v>
      </c>
      <c r="K82" t="s">
        <v>296</v>
      </c>
      <c r="L82" s="139">
        <v>46173</v>
      </c>
      <c r="M82" t="s">
        <v>347</v>
      </c>
      <c r="N82" t="s">
        <v>313</v>
      </c>
      <c r="O82" t="s">
        <v>294</v>
      </c>
      <c r="P82" t="s">
        <v>348</v>
      </c>
      <c r="Q82" t="s">
        <v>295</v>
      </c>
    </row>
    <row r="83" spans="1:17" s="29" customFormat="1" hidden="1">
      <c r="A83" s="41">
        <v>5.9487259907407407E-2</v>
      </c>
      <c r="B83" t="s">
        <v>113</v>
      </c>
      <c r="C83"/>
      <c r="D83"/>
      <c r="E83" t="s">
        <v>123</v>
      </c>
      <c r="F83"/>
      <c r="G83" t="s">
        <v>226</v>
      </c>
      <c r="H83"/>
      <c r="I83" s="140">
        <v>46238.532199074078</v>
      </c>
      <c r="J83" t="s">
        <v>349</v>
      </c>
      <c r="K83" t="s">
        <v>296</v>
      </c>
      <c r="L83" s="139">
        <v>46173</v>
      </c>
      <c r="M83" t="s">
        <v>347</v>
      </c>
      <c r="N83" t="s">
        <v>313</v>
      </c>
      <c r="O83" t="s">
        <v>294</v>
      </c>
      <c r="P83" t="s">
        <v>348</v>
      </c>
      <c r="Q83" t="s">
        <v>295</v>
      </c>
    </row>
    <row r="84" spans="1:17" s="29" customFormat="1" hidden="1">
      <c r="A84" s="41">
        <v>5.8995369525462957E-2</v>
      </c>
      <c r="B84" t="s">
        <v>113</v>
      </c>
      <c r="C84"/>
      <c r="D84"/>
      <c r="E84" t="s">
        <v>88</v>
      </c>
      <c r="F84"/>
      <c r="G84" t="s">
        <v>226</v>
      </c>
      <c r="H84"/>
      <c r="I84" s="140">
        <v>46238.531712962962</v>
      </c>
      <c r="J84" t="s">
        <v>349</v>
      </c>
      <c r="K84" t="s">
        <v>296</v>
      </c>
      <c r="L84" s="139">
        <v>46173</v>
      </c>
      <c r="M84" t="s">
        <v>347</v>
      </c>
      <c r="N84" t="s">
        <v>313</v>
      </c>
      <c r="O84" t="s">
        <v>294</v>
      </c>
      <c r="P84" t="s">
        <v>348</v>
      </c>
      <c r="Q84" t="s">
        <v>295</v>
      </c>
    </row>
    <row r="85" spans="1:17" s="29" customFormat="1">
      <c r="A85" s="41">
        <v>5.8951881064814818E-2</v>
      </c>
      <c r="B85" t="s">
        <v>113</v>
      </c>
      <c r="C85" t="s">
        <v>206</v>
      </c>
      <c r="D85" t="s">
        <v>266</v>
      </c>
      <c r="E85" t="s">
        <v>276</v>
      </c>
      <c r="F85" t="s">
        <v>269</v>
      </c>
      <c r="G85" t="s">
        <v>226</v>
      </c>
      <c r="H85"/>
      <c r="I85" s="140">
        <v>46238.531597222223</v>
      </c>
      <c r="J85" t="s">
        <v>349</v>
      </c>
      <c r="K85" t="s">
        <v>296</v>
      </c>
      <c r="L85" s="139">
        <v>46173</v>
      </c>
      <c r="M85" t="s">
        <v>347</v>
      </c>
      <c r="N85" t="s">
        <v>313</v>
      </c>
      <c r="O85" t="s">
        <v>294</v>
      </c>
      <c r="P85" t="s">
        <v>348</v>
      </c>
      <c r="Q85" t="s">
        <v>295</v>
      </c>
    </row>
    <row r="86" spans="1:17" s="29" customFormat="1" hidden="1">
      <c r="A86" s="41">
        <v>5.8951881064814818E-2</v>
      </c>
      <c r="B86" t="s">
        <v>113</v>
      </c>
      <c r="C86"/>
      <c r="D86"/>
      <c r="E86" t="s">
        <v>60</v>
      </c>
      <c r="F86"/>
      <c r="G86" t="s">
        <v>117</v>
      </c>
      <c r="H86"/>
      <c r="I86" s="140">
        <v>46238.531273148146</v>
      </c>
      <c r="J86" t="s">
        <v>349</v>
      </c>
      <c r="K86" t="s">
        <v>296</v>
      </c>
      <c r="L86" s="139">
        <v>46173</v>
      </c>
      <c r="M86" t="s">
        <v>347</v>
      </c>
      <c r="N86" t="s">
        <v>313</v>
      </c>
      <c r="O86" t="s">
        <v>294</v>
      </c>
      <c r="P86" t="s">
        <v>348</v>
      </c>
      <c r="Q86" t="s">
        <v>295</v>
      </c>
    </row>
    <row r="87" spans="1:17" s="29" customFormat="1" hidden="1">
      <c r="A87" s="41">
        <v>5.8904131840277776E-2</v>
      </c>
      <c r="B87" t="s">
        <v>113</v>
      </c>
      <c r="C87"/>
      <c r="D87"/>
      <c r="E87" t="s">
        <v>127</v>
      </c>
      <c r="F87"/>
      <c r="G87" t="s">
        <v>117</v>
      </c>
      <c r="H87"/>
      <c r="I87" s="140">
        <v>46238.531192129631</v>
      </c>
      <c r="J87" t="s">
        <v>349</v>
      </c>
      <c r="K87" t="s">
        <v>296</v>
      </c>
      <c r="L87" s="139">
        <v>46173</v>
      </c>
      <c r="M87" t="s">
        <v>347</v>
      </c>
      <c r="N87" t="s">
        <v>313</v>
      </c>
      <c r="O87" t="s">
        <v>294</v>
      </c>
      <c r="P87" t="s">
        <v>348</v>
      </c>
      <c r="Q87" t="s">
        <v>295</v>
      </c>
    </row>
    <row r="88" spans="1:17" s="29" customFormat="1" hidden="1">
      <c r="A88" s="41">
        <v>5.8811218449074068E-2</v>
      </c>
      <c r="B88" t="s">
        <v>113</v>
      </c>
      <c r="C88"/>
      <c r="D88"/>
      <c r="E88" t="s">
        <v>58</v>
      </c>
      <c r="F88"/>
      <c r="G88" t="s">
        <v>117</v>
      </c>
      <c r="H88"/>
      <c r="I88" s="140">
        <v>46238.530995370369</v>
      </c>
      <c r="J88" t="s">
        <v>349</v>
      </c>
      <c r="K88" t="s">
        <v>296</v>
      </c>
      <c r="L88" s="139">
        <v>46173</v>
      </c>
      <c r="M88" t="s">
        <v>347</v>
      </c>
      <c r="N88" t="s">
        <v>313</v>
      </c>
      <c r="O88" t="s">
        <v>294</v>
      </c>
      <c r="P88" t="s">
        <v>348</v>
      </c>
      <c r="Q88" t="s">
        <v>295</v>
      </c>
    </row>
    <row r="89" spans="1:17" s="29" customFormat="1" hidden="1">
      <c r="A89" s="41">
        <v>5.8749726550925925E-2</v>
      </c>
      <c r="B89" t="s">
        <v>113</v>
      </c>
      <c r="C89"/>
      <c r="D89"/>
      <c r="E89" t="s">
        <v>399</v>
      </c>
      <c r="F89"/>
      <c r="G89" t="s">
        <v>117</v>
      </c>
      <c r="H89"/>
      <c r="I89" s="140">
        <v>46238.530925925923</v>
      </c>
      <c r="J89" t="s">
        <v>349</v>
      </c>
      <c r="K89" t="s">
        <v>296</v>
      </c>
      <c r="L89" s="139">
        <v>46173</v>
      </c>
      <c r="M89" t="s">
        <v>347</v>
      </c>
      <c r="N89" t="s">
        <v>313</v>
      </c>
      <c r="O89" t="s">
        <v>294</v>
      </c>
      <c r="P89" t="s">
        <v>348</v>
      </c>
      <c r="Q89" t="s">
        <v>295</v>
      </c>
    </row>
    <row r="90" spans="1:17" s="29" customFormat="1" hidden="1">
      <c r="A90" s="41">
        <v>5.8616153402777774E-2</v>
      </c>
      <c r="B90" t="s">
        <v>113</v>
      </c>
      <c r="C90"/>
      <c r="D90"/>
      <c r="E90" t="s">
        <v>124</v>
      </c>
      <c r="F90"/>
      <c r="G90" t="s">
        <v>117</v>
      </c>
      <c r="H90"/>
      <c r="I90" s="140">
        <v>46238.530798611115</v>
      </c>
      <c r="J90" t="s">
        <v>349</v>
      </c>
      <c r="K90" t="s">
        <v>296</v>
      </c>
      <c r="L90" s="139">
        <v>46173</v>
      </c>
      <c r="M90" t="s">
        <v>347</v>
      </c>
      <c r="N90" t="s">
        <v>313</v>
      </c>
      <c r="O90" t="s">
        <v>294</v>
      </c>
      <c r="P90" t="s">
        <v>348</v>
      </c>
      <c r="Q90" t="s">
        <v>295</v>
      </c>
    </row>
    <row r="91" spans="1:17" s="29" customFormat="1" hidden="1">
      <c r="A91" s="41">
        <v>5.8371750960648144E-2</v>
      </c>
      <c r="B91" t="s">
        <v>113</v>
      </c>
      <c r="C91"/>
      <c r="D91"/>
      <c r="E91" t="s">
        <v>88</v>
      </c>
      <c r="F91"/>
      <c r="G91" t="s">
        <v>117</v>
      </c>
      <c r="H91"/>
      <c r="I91" s="140">
        <v>46238.530729166669</v>
      </c>
      <c r="J91" t="s">
        <v>349</v>
      </c>
      <c r="K91" t="s">
        <v>296</v>
      </c>
      <c r="L91" s="139">
        <v>46173</v>
      </c>
      <c r="M91" t="s">
        <v>347</v>
      </c>
      <c r="N91" t="s">
        <v>313</v>
      </c>
      <c r="O91" t="s">
        <v>294</v>
      </c>
      <c r="P91" t="s">
        <v>348</v>
      </c>
      <c r="Q91" t="s">
        <v>295</v>
      </c>
    </row>
    <row r="92" spans="1:17" s="29" customFormat="1" hidden="1">
      <c r="A92" s="41">
        <v>5.8337942199074073E-2</v>
      </c>
      <c r="B92" t="s">
        <v>113</v>
      </c>
      <c r="C92"/>
      <c r="D92"/>
      <c r="E92" t="s">
        <v>245</v>
      </c>
      <c r="F92"/>
      <c r="G92" t="s">
        <v>226</v>
      </c>
      <c r="H92"/>
      <c r="I92" s="140">
        <v>46238.530694444446</v>
      </c>
      <c r="J92" t="s">
        <v>349</v>
      </c>
      <c r="K92" t="s">
        <v>296</v>
      </c>
      <c r="L92" s="139">
        <v>46173</v>
      </c>
      <c r="M92" t="s">
        <v>347</v>
      </c>
      <c r="N92" t="s">
        <v>313</v>
      </c>
      <c r="O92" t="s">
        <v>294</v>
      </c>
      <c r="P92" t="s">
        <v>348</v>
      </c>
      <c r="Q92" t="s">
        <v>295</v>
      </c>
    </row>
    <row r="93" spans="1:17" s="29" customFormat="1" hidden="1">
      <c r="A93" s="41">
        <v>5.8288738009259253E-2</v>
      </c>
      <c r="B93" t="s">
        <v>113</v>
      </c>
      <c r="C93" t="s">
        <v>215</v>
      </c>
      <c r="D93"/>
      <c r="E93" t="s">
        <v>127</v>
      </c>
      <c r="F93"/>
      <c r="G93" t="s">
        <v>226</v>
      </c>
      <c r="H93"/>
      <c r="I93" s="140">
        <v>46238.530613425923</v>
      </c>
      <c r="J93" t="s">
        <v>349</v>
      </c>
      <c r="K93" t="s">
        <v>296</v>
      </c>
      <c r="L93" s="139">
        <v>46173</v>
      </c>
      <c r="M93" t="s">
        <v>347</v>
      </c>
      <c r="N93" t="s">
        <v>313</v>
      </c>
      <c r="O93" t="s">
        <v>294</v>
      </c>
      <c r="P93" t="s">
        <v>348</v>
      </c>
      <c r="Q93" t="s">
        <v>295</v>
      </c>
    </row>
    <row r="94" spans="1:17" s="29" customFormat="1" hidden="1">
      <c r="A94" s="41">
        <v>5.8809379120370368E-2</v>
      </c>
      <c r="B94" t="s">
        <v>113</v>
      </c>
      <c r="C94" t="s">
        <v>213</v>
      </c>
      <c r="D94"/>
      <c r="E94" t="s">
        <v>127</v>
      </c>
      <c r="F94"/>
      <c r="G94" t="s">
        <v>226</v>
      </c>
      <c r="H94"/>
      <c r="I94" s="140">
        <v>46238.530497685184</v>
      </c>
      <c r="J94" t="s">
        <v>349</v>
      </c>
      <c r="K94" t="s">
        <v>296</v>
      </c>
      <c r="L94" s="139">
        <v>46173</v>
      </c>
      <c r="M94" t="s">
        <v>347</v>
      </c>
      <c r="N94" t="s">
        <v>313</v>
      </c>
      <c r="O94" t="s">
        <v>294</v>
      </c>
      <c r="P94" t="s">
        <v>348</v>
      </c>
      <c r="Q94" t="s">
        <v>295</v>
      </c>
    </row>
    <row r="95" spans="1:17" s="29" customFormat="1" hidden="1">
      <c r="A95" s="41">
        <v>5.8753544768518524E-2</v>
      </c>
      <c r="B95" t="s">
        <v>113</v>
      </c>
      <c r="C95"/>
      <c r="D95"/>
      <c r="E95" t="s">
        <v>405</v>
      </c>
      <c r="F95"/>
      <c r="G95" t="s">
        <v>226</v>
      </c>
      <c r="H95"/>
      <c r="I95" s="140">
        <v>46238.528738425928</v>
      </c>
      <c r="J95" t="s">
        <v>349</v>
      </c>
      <c r="K95" t="s">
        <v>296</v>
      </c>
      <c r="L95" s="139">
        <v>46173</v>
      </c>
      <c r="M95" t="s">
        <v>347</v>
      </c>
      <c r="N95" t="s">
        <v>313</v>
      </c>
      <c r="O95" t="s">
        <v>294</v>
      </c>
      <c r="P95" t="s">
        <v>348</v>
      </c>
      <c r="Q95" t="s">
        <v>295</v>
      </c>
    </row>
    <row r="96" spans="1:17" s="29" customFormat="1" hidden="1">
      <c r="A96" s="41">
        <v>5.8375391527777779E-2</v>
      </c>
      <c r="B96" t="s">
        <v>113</v>
      </c>
      <c r="C96"/>
      <c r="D96"/>
      <c r="E96" t="s">
        <v>88</v>
      </c>
      <c r="F96"/>
      <c r="G96" t="s">
        <v>226</v>
      </c>
      <c r="H96"/>
      <c r="I96" s="140">
        <v>46238.528344907405</v>
      </c>
      <c r="J96" t="s">
        <v>349</v>
      </c>
      <c r="K96" t="s">
        <v>296</v>
      </c>
      <c r="L96" s="139">
        <v>46173</v>
      </c>
      <c r="M96" t="s">
        <v>347</v>
      </c>
      <c r="N96" t="s">
        <v>313</v>
      </c>
      <c r="O96" t="s">
        <v>294</v>
      </c>
      <c r="P96" t="s">
        <v>348</v>
      </c>
      <c r="Q96" t="s">
        <v>295</v>
      </c>
    </row>
    <row r="97" spans="1:17" s="29" customFormat="1" hidden="1">
      <c r="A97" s="41">
        <v>5.8375391527777779E-2</v>
      </c>
      <c r="B97" t="s">
        <v>113</v>
      </c>
      <c r="C97" t="s">
        <v>83</v>
      </c>
      <c r="D97"/>
      <c r="E97" t="s">
        <v>245</v>
      </c>
      <c r="F97"/>
      <c r="G97" t="s">
        <v>117</v>
      </c>
      <c r="H97"/>
      <c r="I97" s="140">
        <v>46238.528333333335</v>
      </c>
      <c r="J97" t="s">
        <v>349</v>
      </c>
      <c r="K97" t="s">
        <v>296</v>
      </c>
      <c r="L97" s="139">
        <v>46173</v>
      </c>
      <c r="M97" t="s">
        <v>347</v>
      </c>
      <c r="N97" t="s">
        <v>313</v>
      </c>
      <c r="O97" t="s">
        <v>294</v>
      </c>
      <c r="P97" t="s">
        <v>348</v>
      </c>
      <c r="Q97" t="s">
        <v>295</v>
      </c>
    </row>
    <row r="98" spans="1:17" s="29" customFormat="1" hidden="1">
      <c r="A98" s="41">
        <v>5.8282653495370366E-2</v>
      </c>
      <c r="B98" t="s">
        <v>113</v>
      </c>
      <c r="C98"/>
      <c r="D98"/>
      <c r="E98" t="s">
        <v>127</v>
      </c>
      <c r="F98"/>
      <c r="G98" t="s">
        <v>117</v>
      </c>
      <c r="H98"/>
      <c r="I98" s="140">
        <v>46238.528136574074</v>
      </c>
      <c r="J98" t="s">
        <v>349</v>
      </c>
      <c r="K98" t="s">
        <v>296</v>
      </c>
      <c r="L98" s="139">
        <v>46173</v>
      </c>
      <c r="M98" t="s">
        <v>347</v>
      </c>
      <c r="N98" t="s">
        <v>313</v>
      </c>
      <c r="O98" t="s">
        <v>294</v>
      </c>
      <c r="P98" t="s">
        <v>348</v>
      </c>
      <c r="Q98" t="s">
        <v>295</v>
      </c>
    </row>
    <row r="99" spans="1:17" s="29" customFormat="1" hidden="1">
      <c r="A99" s="41">
        <v>5.8245654201388886E-2</v>
      </c>
      <c r="B99" t="s">
        <v>113</v>
      </c>
      <c r="C99"/>
      <c r="D99"/>
      <c r="E99" t="s">
        <v>405</v>
      </c>
      <c r="F99"/>
      <c r="G99" t="s">
        <v>226</v>
      </c>
      <c r="H99"/>
      <c r="I99" s="140">
        <v>46238.527986111112</v>
      </c>
      <c r="J99" t="s">
        <v>349</v>
      </c>
      <c r="K99" t="s">
        <v>296</v>
      </c>
      <c r="L99" s="139">
        <v>46173</v>
      </c>
      <c r="M99" t="s">
        <v>347</v>
      </c>
      <c r="N99" t="s">
        <v>313</v>
      </c>
      <c r="O99" t="s">
        <v>294</v>
      </c>
      <c r="P99" t="s">
        <v>348</v>
      </c>
      <c r="Q99" t="s">
        <v>295</v>
      </c>
    </row>
    <row r="100" spans="1:17" s="29" customFormat="1" hidden="1">
      <c r="A100" s="41">
        <v>5.8098093599537035E-2</v>
      </c>
      <c r="B100" t="s">
        <v>113</v>
      </c>
      <c r="C100"/>
      <c r="D100"/>
      <c r="E100" t="s">
        <v>124</v>
      </c>
      <c r="F100"/>
      <c r="G100" t="s">
        <v>226</v>
      </c>
      <c r="H100"/>
      <c r="I100" s="140">
        <v>46238.52783564815</v>
      </c>
      <c r="J100" t="s">
        <v>349</v>
      </c>
      <c r="K100" t="s">
        <v>296</v>
      </c>
      <c r="L100" s="139">
        <v>46173</v>
      </c>
      <c r="M100" t="s">
        <v>347</v>
      </c>
      <c r="N100" t="s">
        <v>313</v>
      </c>
      <c r="O100" t="s">
        <v>294</v>
      </c>
      <c r="P100" t="s">
        <v>348</v>
      </c>
      <c r="Q100" t="s">
        <v>295</v>
      </c>
    </row>
    <row r="101" spans="1:17" s="29" customFormat="1" hidden="1">
      <c r="A101" s="41">
        <v>5.7670716817129632E-2</v>
      </c>
      <c r="B101" t="s">
        <v>113</v>
      </c>
      <c r="C101"/>
      <c r="D101"/>
      <c r="E101" t="s">
        <v>88</v>
      </c>
      <c r="F101"/>
      <c r="G101" t="s">
        <v>226</v>
      </c>
      <c r="H101"/>
      <c r="I101" s="140">
        <v>46238.527407407404</v>
      </c>
      <c r="J101" t="s">
        <v>349</v>
      </c>
      <c r="K101" t="s">
        <v>296</v>
      </c>
      <c r="L101" s="139">
        <v>46173</v>
      </c>
      <c r="M101" t="s">
        <v>347</v>
      </c>
      <c r="N101" t="s">
        <v>313</v>
      </c>
      <c r="O101" t="s">
        <v>294</v>
      </c>
      <c r="P101" t="s">
        <v>348</v>
      </c>
      <c r="Q101" t="s">
        <v>295</v>
      </c>
    </row>
    <row r="102" spans="1:17" s="29" customFormat="1" hidden="1">
      <c r="A102" s="41">
        <v>5.7643051342592594E-2</v>
      </c>
      <c r="B102" t="s">
        <v>113</v>
      </c>
      <c r="C102" t="s">
        <v>83</v>
      </c>
      <c r="D102"/>
      <c r="E102" t="s">
        <v>245</v>
      </c>
      <c r="F102"/>
      <c r="G102" t="s">
        <v>117</v>
      </c>
      <c r="H102"/>
      <c r="I102" s="140">
        <v>46238.527395833335</v>
      </c>
      <c r="J102" t="s">
        <v>349</v>
      </c>
      <c r="K102" t="s">
        <v>296</v>
      </c>
      <c r="L102" s="139">
        <v>46173</v>
      </c>
      <c r="M102" t="s">
        <v>347</v>
      </c>
      <c r="N102" t="s">
        <v>313</v>
      </c>
      <c r="O102" t="s">
        <v>294</v>
      </c>
      <c r="P102" t="s">
        <v>348</v>
      </c>
      <c r="Q102" t="s">
        <v>295</v>
      </c>
    </row>
    <row r="103" spans="1:17" s="29" customFormat="1" hidden="1">
      <c r="A103" s="41">
        <v>5.7455407766203705E-2</v>
      </c>
      <c r="B103" t="s">
        <v>113</v>
      </c>
      <c r="C103" t="s">
        <v>207</v>
      </c>
      <c r="D103"/>
      <c r="E103" t="s">
        <v>130</v>
      </c>
      <c r="F103"/>
      <c r="G103" t="s">
        <v>117</v>
      </c>
      <c r="H103"/>
      <c r="I103" s="140">
        <v>46238.52716435185</v>
      </c>
      <c r="J103" t="s">
        <v>349</v>
      </c>
      <c r="K103" t="s">
        <v>296</v>
      </c>
      <c r="L103" s="139">
        <v>46173</v>
      </c>
      <c r="M103" t="s">
        <v>347</v>
      </c>
      <c r="N103" t="s">
        <v>313</v>
      </c>
      <c r="O103" t="s">
        <v>294</v>
      </c>
      <c r="P103" t="s">
        <v>348</v>
      </c>
      <c r="Q103" t="s">
        <v>295</v>
      </c>
    </row>
    <row r="104" spans="1:17" s="29" customFormat="1" hidden="1">
      <c r="A104" s="41">
        <v>5.710790571759259E-2</v>
      </c>
      <c r="B104" t="s">
        <v>113</v>
      </c>
      <c r="C104"/>
      <c r="D104"/>
      <c r="E104" t="s">
        <v>123</v>
      </c>
      <c r="F104"/>
      <c r="G104" t="s">
        <v>117</v>
      </c>
      <c r="H104"/>
      <c r="I104" s="140">
        <v>46238.526655092595</v>
      </c>
      <c r="J104" t="s">
        <v>349</v>
      </c>
      <c r="K104" t="s">
        <v>296</v>
      </c>
      <c r="L104" s="139">
        <v>46173</v>
      </c>
      <c r="M104" t="s">
        <v>347</v>
      </c>
      <c r="N104" t="s">
        <v>313</v>
      </c>
      <c r="O104" t="s">
        <v>294</v>
      </c>
      <c r="P104" t="s">
        <v>348</v>
      </c>
      <c r="Q104" t="s">
        <v>295</v>
      </c>
    </row>
    <row r="105" spans="1:17" s="29" customFormat="1" hidden="1">
      <c r="A105" s="41">
        <v>5.674664787037037E-2</v>
      </c>
      <c r="B105" t="s">
        <v>113</v>
      </c>
      <c r="C105"/>
      <c r="D105"/>
      <c r="E105" t="s">
        <v>88</v>
      </c>
      <c r="F105"/>
      <c r="G105" t="s">
        <v>117</v>
      </c>
      <c r="H105"/>
      <c r="I105" s="140">
        <v>46238.526469907411</v>
      </c>
      <c r="J105" t="s">
        <v>349</v>
      </c>
      <c r="K105" t="s">
        <v>296</v>
      </c>
      <c r="L105" s="139">
        <v>46173</v>
      </c>
      <c r="M105" t="s">
        <v>347</v>
      </c>
      <c r="N105" t="s">
        <v>313</v>
      </c>
      <c r="O105" t="s">
        <v>294</v>
      </c>
      <c r="P105" t="s">
        <v>348</v>
      </c>
      <c r="Q105" t="s">
        <v>295</v>
      </c>
    </row>
    <row r="106" spans="1:17" s="29" customFormat="1" hidden="1">
      <c r="A106" s="41">
        <v>5.6555783217592595E-2</v>
      </c>
      <c r="B106" t="s">
        <v>113</v>
      </c>
      <c r="C106"/>
      <c r="D106"/>
      <c r="E106" t="s">
        <v>275</v>
      </c>
      <c r="F106" t="s">
        <v>83</v>
      </c>
      <c r="G106" t="s">
        <v>117</v>
      </c>
      <c r="H106"/>
      <c r="I106" s="140">
        <v>46238.526458333334</v>
      </c>
      <c r="J106" t="s">
        <v>349</v>
      </c>
      <c r="K106" t="s">
        <v>296</v>
      </c>
      <c r="L106" s="139">
        <v>46173</v>
      </c>
      <c r="M106" t="s">
        <v>347</v>
      </c>
      <c r="N106" t="s">
        <v>313</v>
      </c>
      <c r="O106" t="s">
        <v>294</v>
      </c>
      <c r="P106" t="s">
        <v>348</v>
      </c>
      <c r="Q106" t="s">
        <v>295</v>
      </c>
    </row>
    <row r="107" spans="1:17" s="29" customFormat="1" hidden="1">
      <c r="A107" s="41">
        <v>5.6503679988425932E-2</v>
      </c>
      <c r="B107" t="s">
        <v>113</v>
      </c>
      <c r="C107"/>
      <c r="D107"/>
      <c r="E107" t="s">
        <v>127</v>
      </c>
      <c r="F107"/>
      <c r="G107" t="s">
        <v>117</v>
      </c>
      <c r="H107"/>
      <c r="I107" s="140">
        <v>46238.526122685187</v>
      </c>
      <c r="J107" t="s">
        <v>349</v>
      </c>
      <c r="K107" t="s">
        <v>296</v>
      </c>
      <c r="L107" s="139">
        <v>46173</v>
      </c>
      <c r="M107" t="s">
        <v>347</v>
      </c>
      <c r="N107" t="s">
        <v>313</v>
      </c>
      <c r="O107" t="s">
        <v>294</v>
      </c>
      <c r="P107" t="s">
        <v>348</v>
      </c>
      <c r="Q107" t="s">
        <v>295</v>
      </c>
    </row>
    <row r="108" spans="1:17" s="29" customFormat="1" hidden="1">
      <c r="A108" s="41">
        <v>5.6440021956018521E-2</v>
      </c>
      <c r="B108" t="s">
        <v>113</v>
      </c>
      <c r="C108"/>
      <c r="D108"/>
      <c r="E108" t="s">
        <v>127</v>
      </c>
      <c r="F108"/>
      <c r="G108" t="s">
        <v>117</v>
      </c>
      <c r="H108"/>
      <c r="I108" s="140">
        <v>46238.526030092595</v>
      </c>
      <c r="J108" t="s">
        <v>349</v>
      </c>
      <c r="K108" t="s">
        <v>296</v>
      </c>
      <c r="L108" s="139">
        <v>46173</v>
      </c>
      <c r="M108" t="s">
        <v>347</v>
      </c>
      <c r="N108" t="s">
        <v>313</v>
      </c>
      <c r="O108" t="s">
        <v>294</v>
      </c>
      <c r="P108" t="s">
        <v>348</v>
      </c>
      <c r="Q108" t="s">
        <v>295</v>
      </c>
    </row>
    <row r="109" spans="1:17" s="29" customFormat="1" hidden="1">
      <c r="A109" s="41">
        <v>5.6300989027777776E-2</v>
      </c>
      <c r="B109" t="s">
        <v>113</v>
      </c>
      <c r="C109" t="s">
        <v>207</v>
      </c>
      <c r="D109"/>
      <c r="E109" t="s">
        <v>130</v>
      </c>
      <c r="F109"/>
      <c r="G109" t="s">
        <v>117</v>
      </c>
      <c r="H109"/>
      <c r="I109" s="140">
        <v>46238.525833333333</v>
      </c>
      <c r="J109" t="s">
        <v>349</v>
      </c>
      <c r="K109" t="s">
        <v>296</v>
      </c>
      <c r="L109" s="139">
        <v>46173</v>
      </c>
      <c r="M109" t="s">
        <v>347</v>
      </c>
      <c r="N109" t="s">
        <v>313</v>
      </c>
      <c r="O109" t="s">
        <v>294</v>
      </c>
      <c r="P109" t="s">
        <v>348</v>
      </c>
      <c r="Q109" t="s">
        <v>295</v>
      </c>
    </row>
    <row r="110" spans="1:17" s="29" customFormat="1" hidden="1">
      <c r="A110" s="41">
        <v>5.6095367615740736E-2</v>
      </c>
      <c r="B110" t="s">
        <v>113</v>
      </c>
      <c r="C110"/>
      <c r="D110"/>
      <c r="E110" t="s">
        <v>123</v>
      </c>
      <c r="F110"/>
      <c r="G110" t="s">
        <v>117</v>
      </c>
      <c r="H110"/>
      <c r="I110" s="140">
        <v>46238.525590277779</v>
      </c>
      <c r="J110" t="s">
        <v>349</v>
      </c>
      <c r="K110" t="s">
        <v>296</v>
      </c>
      <c r="L110" s="139">
        <v>46173</v>
      </c>
      <c r="M110" t="s">
        <v>347</v>
      </c>
      <c r="N110" t="s">
        <v>313</v>
      </c>
      <c r="O110" t="s">
        <v>294</v>
      </c>
      <c r="P110" t="s">
        <v>348</v>
      </c>
      <c r="Q110" t="s">
        <v>295</v>
      </c>
    </row>
    <row r="111" spans="1:17" s="29" customFormat="1" hidden="1">
      <c r="A111" s="41">
        <v>5.5902550266203707E-2</v>
      </c>
      <c r="B111" t="s">
        <v>113</v>
      </c>
      <c r="C111"/>
      <c r="D111"/>
      <c r="E111" t="s">
        <v>88</v>
      </c>
      <c r="F111"/>
      <c r="G111" t="s">
        <v>117</v>
      </c>
      <c r="H111"/>
      <c r="I111" s="140">
        <v>46238.525266203702</v>
      </c>
      <c r="J111" t="s">
        <v>349</v>
      </c>
      <c r="K111" t="s">
        <v>296</v>
      </c>
      <c r="L111" s="139">
        <v>46173</v>
      </c>
      <c r="M111" t="s">
        <v>347</v>
      </c>
      <c r="N111" t="s">
        <v>313</v>
      </c>
      <c r="O111" t="s">
        <v>294</v>
      </c>
      <c r="P111" t="s">
        <v>348</v>
      </c>
      <c r="Q111" t="s">
        <v>295</v>
      </c>
    </row>
    <row r="112" spans="1:17" s="29" customFormat="1" hidden="1">
      <c r="A112" s="41">
        <v>5.573470282407407E-2</v>
      </c>
      <c r="B112" t="s">
        <v>113</v>
      </c>
      <c r="C112"/>
      <c r="D112"/>
      <c r="E112" t="s">
        <v>275</v>
      </c>
      <c r="F112" t="s">
        <v>83</v>
      </c>
      <c r="G112" t="s">
        <v>117</v>
      </c>
      <c r="H112"/>
      <c r="I112" s="140">
        <v>46238.525127314817</v>
      </c>
      <c r="J112" t="s">
        <v>349</v>
      </c>
      <c r="K112" t="s">
        <v>296</v>
      </c>
      <c r="L112" s="139">
        <v>46173</v>
      </c>
      <c r="M112" t="s">
        <v>347</v>
      </c>
      <c r="N112" t="s">
        <v>313</v>
      </c>
      <c r="O112" t="s">
        <v>294</v>
      </c>
      <c r="P112" t="s">
        <v>348</v>
      </c>
      <c r="Q112" t="s">
        <v>295</v>
      </c>
    </row>
    <row r="113" spans="1:17" s="29" customFormat="1" hidden="1">
      <c r="A113" s="41">
        <v>5.5459139699074074E-2</v>
      </c>
      <c r="B113" t="s">
        <v>113</v>
      </c>
      <c r="C113"/>
      <c r="D113"/>
      <c r="E113" t="s">
        <v>88</v>
      </c>
      <c r="F113"/>
      <c r="G113" t="s">
        <v>226</v>
      </c>
      <c r="H113"/>
      <c r="I113" s="140">
        <v>46238.524710648147</v>
      </c>
      <c r="J113" t="s">
        <v>349</v>
      </c>
      <c r="K113" t="s">
        <v>296</v>
      </c>
      <c r="L113" s="139">
        <v>46173</v>
      </c>
      <c r="M113" t="s">
        <v>347</v>
      </c>
      <c r="N113" t="s">
        <v>313</v>
      </c>
      <c r="O113" t="s">
        <v>294</v>
      </c>
      <c r="P113" t="s">
        <v>348</v>
      </c>
      <c r="Q113" t="s">
        <v>295</v>
      </c>
    </row>
    <row r="114" spans="1:17" s="29" customFormat="1" hidden="1">
      <c r="A114" s="41">
        <v>5.5422253587962968E-2</v>
      </c>
      <c r="B114" t="s">
        <v>113</v>
      </c>
      <c r="C114"/>
      <c r="D114"/>
      <c r="E114" t="s">
        <v>250</v>
      </c>
      <c r="F114"/>
      <c r="G114" t="s">
        <v>226</v>
      </c>
      <c r="H114"/>
      <c r="I114" s="140">
        <v>46238.524664351855</v>
      </c>
      <c r="J114" t="s">
        <v>349</v>
      </c>
      <c r="K114" t="s">
        <v>296</v>
      </c>
      <c r="L114" s="139">
        <v>46173</v>
      </c>
      <c r="M114" t="s">
        <v>347</v>
      </c>
      <c r="N114" t="s">
        <v>313</v>
      </c>
      <c r="O114" t="s">
        <v>294</v>
      </c>
      <c r="P114" t="s">
        <v>348</v>
      </c>
      <c r="Q114" t="s">
        <v>295</v>
      </c>
    </row>
    <row r="115" spans="1:17" s="29" customFormat="1" hidden="1">
      <c r="A115" s="41">
        <v>5.5399138587962964E-2</v>
      </c>
      <c r="B115" t="s">
        <v>113</v>
      </c>
      <c r="C115"/>
      <c r="D115"/>
      <c r="E115" t="s">
        <v>246</v>
      </c>
      <c r="F115"/>
      <c r="G115" t="s">
        <v>117</v>
      </c>
      <c r="H115"/>
      <c r="I115" s="140">
        <v>46238.524606481478</v>
      </c>
      <c r="J115" t="s">
        <v>349</v>
      </c>
      <c r="K115" t="s">
        <v>296</v>
      </c>
      <c r="L115" s="139">
        <v>46173</v>
      </c>
      <c r="M115" t="s">
        <v>347</v>
      </c>
      <c r="N115" t="s">
        <v>313</v>
      </c>
      <c r="O115" t="s">
        <v>294</v>
      </c>
      <c r="P115" t="s">
        <v>348</v>
      </c>
      <c r="Q115" t="s">
        <v>295</v>
      </c>
    </row>
    <row r="116" spans="1:17" s="29" customFormat="1" hidden="1">
      <c r="A116" s="41">
        <v>5.5346920601851847E-2</v>
      </c>
      <c r="B116" t="s">
        <v>113</v>
      </c>
      <c r="C116"/>
      <c r="D116"/>
      <c r="E116" t="s">
        <v>245</v>
      </c>
      <c r="F116"/>
      <c r="G116" t="s">
        <v>226</v>
      </c>
      <c r="H116"/>
      <c r="I116" s="140">
        <v>46238.524502314816</v>
      </c>
      <c r="J116" t="s">
        <v>349</v>
      </c>
      <c r="K116" t="s">
        <v>296</v>
      </c>
      <c r="L116" s="139">
        <v>46173</v>
      </c>
      <c r="M116" t="s">
        <v>347</v>
      </c>
      <c r="N116" t="s">
        <v>313</v>
      </c>
      <c r="O116" t="s">
        <v>294</v>
      </c>
      <c r="P116" t="s">
        <v>348</v>
      </c>
      <c r="Q116" t="s">
        <v>295</v>
      </c>
    </row>
    <row r="117" spans="1:17" s="29" customFormat="1" hidden="1">
      <c r="A117" s="41">
        <v>5.5300516493055549E-2</v>
      </c>
      <c r="B117" t="s">
        <v>113</v>
      </c>
      <c r="C117" t="s">
        <v>205</v>
      </c>
      <c r="D117"/>
      <c r="E117" t="s">
        <v>127</v>
      </c>
      <c r="F117"/>
      <c r="G117" t="s">
        <v>226</v>
      </c>
      <c r="H117"/>
      <c r="I117" s="140">
        <v>46238.524375000001</v>
      </c>
      <c r="J117" t="s">
        <v>349</v>
      </c>
      <c r="K117" t="s">
        <v>296</v>
      </c>
      <c r="L117" s="139">
        <v>46173</v>
      </c>
      <c r="M117" t="s">
        <v>347</v>
      </c>
      <c r="N117" t="s">
        <v>313</v>
      </c>
      <c r="O117" t="s">
        <v>294</v>
      </c>
      <c r="P117" t="s">
        <v>348</v>
      </c>
      <c r="Q117" t="s">
        <v>295</v>
      </c>
    </row>
    <row r="118" spans="1:17" s="29" customFormat="1" hidden="1">
      <c r="A118" s="41">
        <v>5.5208307812500003E-2</v>
      </c>
      <c r="B118" t="s">
        <v>113</v>
      </c>
      <c r="C118" t="s">
        <v>390</v>
      </c>
      <c r="D118"/>
      <c r="E118" t="s">
        <v>127</v>
      </c>
      <c r="F118"/>
      <c r="G118" t="s">
        <v>226</v>
      </c>
      <c r="H118"/>
      <c r="I118" s="140">
        <v>46238.524027777778</v>
      </c>
      <c r="J118" t="s">
        <v>349</v>
      </c>
      <c r="K118" t="s">
        <v>296</v>
      </c>
      <c r="L118" s="139">
        <v>46173</v>
      </c>
      <c r="M118" t="s">
        <v>347</v>
      </c>
      <c r="N118" t="s">
        <v>313</v>
      </c>
      <c r="O118" t="s">
        <v>294</v>
      </c>
      <c r="P118" t="s">
        <v>348</v>
      </c>
      <c r="Q118" t="s">
        <v>295</v>
      </c>
    </row>
    <row r="119" spans="1:17" s="29" customFormat="1" hidden="1">
      <c r="A119" s="41">
        <v>5.5185561226851844E-2</v>
      </c>
      <c r="B119" t="s">
        <v>113</v>
      </c>
      <c r="C119" t="s">
        <v>213</v>
      </c>
      <c r="D119"/>
      <c r="E119" t="s">
        <v>59</v>
      </c>
      <c r="F119"/>
      <c r="G119" t="s">
        <v>226</v>
      </c>
      <c r="H119"/>
      <c r="I119" s="140">
        <v>46238.523784722223</v>
      </c>
      <c r="J119" t="s">
        <v>349</v>
      </c>
      <c r="K119" t="s">
        <v>296</v>
      </c>
      <c r="L119" s="139">
        <v>46173</v>
      </c>
      <c r="M119" t="s">
        <v>347</v>
      </c>
      <c r="N119" t="s">
        <v>313</v>
      </c>
      <c r="O119" t="s">
        <v>294</v>
      </c>
      <c r="P119" t="s">
        <v>348</v>
      </c>
      <c r="Q119" t="s">
        <v>295</v>
      </c>
    </row>
    <row r="120" spans="1:17" s="29" customFormat="1" hidden="1">
      <c r="A120" s="41">
        <v>5.4983027303240749E-2</v>
      </c>
      <c r="B120" t="s">
        <v>113</v>
      </c>
      <c r="C120"/>
      <c r="D120"/>
      <c r="E120" t="s">
        <v>132</v>
      </c>
      <c r="F120"/>
      <c r="G120" t="s">
        <v>226</v>
      </c>
      <c r="H120"/>
      <c r="I120" s="140">
        <v>46238.523506944446</v>
      </c>
      <c r="J120" t="s">
        <v>349</v>
      </c>
      <c r="K120" t="s">
        <v>296</v>
      </c>
      <c r="L120" s="139">
        <v>46173</v>
      </c>
      <c r="M120" t="s">
        <v>347</v>
      </c>
      <c r="N120" t="s">
        <v>313</v>
      </c>
      <c r="O120" t="s">
        <v>294</v>
      </c>
      <c r="P120" t="s">
        <v>348</v>
      </c>
      <c r="Q120" t="s">
        <v>295</v>
      </c>
    </row>
    <row r="121" spans="1:17" s="29" customFormat="1" hidden="1">
      <c r="A121" s="41">
        <v>5.4939844548611116E-2</v>
      </c>
      <c r="B121" t="s">
        <v>113</v>
      </c>
      <c r="C121"/>
      <c r="D121"/>
      <c r="E121" t="s">
        <v>123</v>
      </c>
      <c r="F121"/>
      <c r="G121" t="s">
        <v>226</v>
      </c>
      <c r="H121"/>
      <c r="I121" s="140">
        <v>46238.523425925923</v>
      </c>
      <c r="J121" t="s">
        <v>349</v>
      </c>
      <c r="K121" t="s">
        <v>296</v>
      </c>
      <c r="L121" s="139">
        <v>46173</v>
      </c>
      <c r="M121" t="s">
        <v>347</v>
      </c>
      <c r="N121" t="s">
        <v>313</v>
      </c>
      <c r="O121" t="s">
        <v>294</v>
      </c>
      <c r="P121" t="s">
        <v>348</v>
      </c>
      <c r="Q121" t="s">
        <v>295</v>
      </c>
    </row>
    <row r="122" spans="1:17" s="29" customFormat="1" hidden="1">
      <c r="A122" s="41">
        <v>5.4463314976851855E-2</v>
      </c>
      <c r="B122" t="s">
        <v>113</v>
      </c>
      <c r="C122"/>
      <c r="D122"/>
      <c r="E122" t="s">
        <v>88</v>
      </c>
      <c r="F122"/>
      <c r="G122" t="s">
        <v>117</v>
      </c>
      <c r="H122"/>
      <c r="I122" s="140">
        <v>46238.522939814815</v>
      </c>
      <c r="J122" t="s">
        <v>349</v>
      </c>
      <c r="K122" t="s">
        <v>296</v>
      </c>
      <c r="L122" s="139">
        <v>46173</v>
      </c>
      <c r="M122" t="s">
        <v>347</v>
      </c>
      <c r="N122" t="s">
        <v>313</v>
      </c>
      <c r="O122" t="s">
        <v>294</v>
      </c>
      <c r="P122" t="s">
        <v>348</v>
      </c>
      <c r="Q122" t="s">
        <v>295</v>
      </c>
    </row>
    <row r="123" spans="1:17" s="29" customFormat="1" hidden="1">
      <c r="A123" s="41">
        <v>5.4423360995370373E-2</v>
      </c>
      <c r="B123" t="s">
        <v>113</v>
      </c>
      <c r="C123"/>
      <c r="D123"/>
      <c r="E123" t="s">
        <v>246</v>
      </c>
      <c r="F123"/>
      <c r="G123" t="s">
        <v>117</v>
      </c>
      <c r="H123"/>
      <c r="I123" s="140">
        <v>46238.522905092592</v>
      </c>
      <c r="J123" t="s">
        <v>349</v>
      </c>
      <c r="K123" t="s">
        <v>296</v>
      </c>
      <c r="L123" s="139">
        <v>46173</v>
      </c>
      <c r="M123" t="s">
        <v>347</v>
      </c>
      <c r="N123" t="s">
        <v>313</v>
      </c>
      <c r="O123" t="s">
        <v>294</v>
      </c>
      <c r="P123" t="s">
        <v>348</v>
      </c>
      <c r="Q123" t="s">
        <v>295</v>
      </c>
    </row>
    <row r="124" spans="1:17" s="29" customFormat="1" hidden="1">
      <c r="A124" s="41">
        <v>5.4358749224537033E-2</v>
      </c>
      <c r="B124" t="s">
        <v>113</v>
      </c>
      <c r="C124"/>
      <c r="D124"/>
      <c r="E124" t="s">
        <v>127</v>
      </c>
      <c r="F124"/>
      <c r="G124" t="s">
        <v>117</v>
      </c>
      <c r="H124"/>
      <c r="I124" s="140">
        <v>46238.522835648146</v>
      </c>
      <c r="J124" t="s">
        <v>349</v>
      </c>
      <c r="K124" t="s">
        <v>296</v>
      </c>
      <c r="L124" s="139">
        <v>46173</v>
      </c>
      <c r="M124" t="s">
        <v>347</v>
      </c>
      <c r="N124" t="s">
        <v>313</v>
      </c>
      <c r="O124" t="s">
        <v>294</v>
      </c>
      <c r="P124" t="s">
        <v>348</v>
      </c>
      <c r="Q124" t="s">
        <v>295</v>
      </c>
    </row>
    <row r="125" spans="1:17" s="29" customFormat="1" hidden="1">
      <c r="A125" s="41">
        <v>5.4220443576388888E-2</v>
      </c>
      <c r="B125" t="s">
        <v>113</v>
      </c>
      <c r="C125"/>
      <c r="D125"/>
      <c r="E125" t="s">
        <v>127</v>
      </c>
      <c r="F125"/>
      <c r="G125" t="s">
        <v>117</v>
      </c>
      <c r="H125"/>
      <c r="I125" s="140">
        <v>46238.52270833333</v>
      </c>
      <c r="J125" t="s">
        <v>349</v>
      </c>
      <c r="K125" t="s">
        <v>296</v>
      </c>
      <c r="L125" s="139">
        <v>46173</v>
      </c>
      <c r="M125" t="s">
        <v>347</v>
      </c>
      <c r="N125" t="s">
        <v>313</v>
      </c>
      <c r="O125" t="s">
        <v>294</v>
      </c>
      <c r="P125" t="s">
        <v>348</v>
      </c>
      <c r="Q125" t="s">
        <v>295</v>
      </c>
    </row>
    <row r="126" spans="1:17" s="29" customFormat="1" hidden="1">
      <c r="A126" s="41">
        <v>5.4183513773148145E-2</v>
      </c>
      <c r="B126" t="s">
        <v>113</v>
      </c>
      <c r="C126"/>
      <c r="D126"/>
      <c r="E126" t="s">
        <v>248</v>
      </c>
      <c r="F126"/>
      <c r="G126" t="s">
        <v>117</v>
      </c>
      <c r="H126"/>
      <c r="I126" s="140">
        <v>46238.522662037038</v>
      </c>
      <c r="J126" t="s">
        <v>349</v>
      </c>
      <c r="K126" t="s">
        <v>296</v>
      </c>
      <c r="L126" s="139">
        <v>46173</v>
      </c>
      <c r="M126" t="s">
        <v>347</v>
      </c>
      <c r="N126" t="s">
        <v>313</v>
      </c>
      <c r="O126" t="s">
        <v>294</v>
      </c>
      <c r="P126" t="s">
        <v>348</v>
      </c>
      <c r="Q126" t="s">
        <v>295</v>
      </c>
    </row>
    <row r="127" spans="1:17" s="29" customFormat="1" hidden="1">
      <c r="A127" s="41">
        <v>5.4115912175925922E-2</v>
      </c>
      <c r="B127" t="s">
        <v>113</v>
      </c>
      <c r="C127"/>
      <c r="D127"/>
      <c r="E127" t="s">
        <v>246</v>
      </c>
      <c r="F127"/>
      <c r="G127" t="s">
        <v>117</v>
      </c>
      <c r="H127"/>
      <c r="I127" s="140">
        <v>46238.522604166668</v>
      </c>
      <c r="J127" t="s">
        <v>349</v>
      </c>
      <c r="K127" t="s">
        <v>296</v>
      </c>
      <c r="L127" s="139">
        <v>46173</v>
      </c>
      <c r="M127" t="s">
        <v>347</v>
      </c>
      <c r="N127" t="s">
        <v>313</v>
      </c>
      <c r="O127" t="s">
        <v>294</v>
      </c>
      <c r="P127" t="s">
        <v>348</v>
      </c>
      <c r="Q127" t="s">
        <v>295</v>
      </c>
    </row>
    <row r="128" spans="1:17" s="29" customFormat="1" hidden="1">
      <c r="A128" s="41">
        <v>5.4074252233796291E-2</v>
      </c>
      <c r="B128" t="s">
        <v>113</v>
      </c>
      <c r="C128"/>
      <c r="D128"/>
      <c r="E128" t="s">
        <v>405</v>
      </c>
      <c r="F128"/>
      <c r="G128" t="s">
        <v>226</v>
      </c>
      <c r="H128"/>
      <c r="I128" s="140">
        <v>46238.522557870368</v>
      </c>
      <c r="J128" t="s">
        <v>349</v>
      </c>
      <c r="K128" t="s">
        <v>296</v>
      </c>
      <c r="L128" s="139">
        <v>46173</v>
      </c>
      <c r="M128" t="s">
        <v>347</v>
      </c>
      <c r="N128" t="s">
        <v>313</v>
      </c>
      <c r="O128" t="s">
        <v>294</v>
      </c>
      <c r="P128" t="s">
        <v>348</v>
      </c>
      <c r="Q128" t="s">
        <v>295</v>
      </c>
    </row>
    <row r="129" spans="1:17" s="29" customFormat="1" hidden="1">
      <c r="A129" s="41">
        <v>5.3877498587962966E-2</v>
      </c>
      <c r="B129" t="s">
        <v>113</v>
      </c>
      <c r="C129"/>
      <c r="D129"/>
      <c r="E129" t="s">
        <v>124</v>
      </c>
      <c r="F129"/>
      <c r="G129" t="s">
        <v>226</v>
      </c>
      <c r="H129"/>
      <c r="I129" s="140">
        <v>46238.522361111114</v>
      </c>
      <c r="J129" t="s">
        <v>349</v>
      </c>
      <c r="K129" t="s">
        <v>296</v>
      </c>
      <c r="L129" s="139">
        <v>46173</v>
      </c>
      <c r="M129" t="s">
        <v>347</v>
      </c>
      <c r="N129" t="s">
        <v>313</v>
      </c>
      <c r="O129" t="s">
        <v>294</v>
      </c>
      <c r="P129" t="s">
        <v>348</v>
      </c>
      <c r="Q129" t="s">
        <v>295</v>
      </c>
    </row>
    <row r="130" spans="1:17" s="29" customFormat="1" hidden="1">
      <c r="A130" s="41">
        <v>5.3652981944444449E-2</v>
      </c>
      <c r="B130" t="s">
        <v>113</v>
      </c>
      <c r="C130"/>
      <c r="D130"/>
      <c r="E130" t="s">
        <v>88</v>
      </c>
      <c r="F130"/>
      <c r="G130" t="s">
        <v>226</v>
      </c>
      <c r="H130"/>
      <c r="I130" s="140">
        <v>46238.521898148145</v>
      </c>
      <c r="J130" t="s">
        <v>349</v>
      </c>
      <c r="K130" t="s">
        <v>296</v>
      </c>
      <c r="L130" s="139">
        <v>46173</v>
      </c>
      <c r="M130" t="s">
        <v>347</v>
      </c>
      <c r="N130" t="s">
        <v>313</v>
      </c>
      <c r="O130" t="s">
        <v>294</v>
      </c>
      <c r="P130" t="s">
        <v>348</v>
      </c>
      <c r="Q130" t="s">
        <v>295</v>
      </c>
    </row>
    <row r="131" spans="1:17" s="29" customFormat="1" hidden="1">
      <c r="A131" s="41">
        <v>5.3606888599537043E-2</v>
      </c>
      <c r="B131" t="s">
        <v>113</v>
      </c>
      <c r="C131" t="s">
        <v>205</v>
      </c>
      <c r="D131"/>
      <c r="E131" t="s">
        <v>245</v>
      </c>
      <c r="F131"/>
      <c r="G131" t="s">
        <v>117</v>
      </c>
      <c r="H131"/>
      <c r="I131" s="140">
        <v>46238.521886574075</v>
      </c>
      <c r="J131" t="s">
        <v>349</v>
      </c>
      <c r="K131" t="s">
        <v>296</v>
      </c>
      <c r="L131" s="139">
        <v>46173</v>
      </c>
      <c r="M131" t="s">
        <v>347</v>
      </c>
      <c r="N131" t="s">
        <v>313</v>
      </c>
      <c r="O131" t="s">
        <v>294</v>
      </c>
      <c r="P131" t="s">
        <v>348</v>
      </c>
      <c r="Q131" t="s">
        <v>295</v>
      </c>
    </row>
    <row r="132" spans="1:17" s="29" customFormat="1" hidden="1">
      <c r="A132" s="41">
        <v>5.3563841655092592E-2</v>
      </c>
      <c r="B132" t="s">
        <v>113</v>
      </c>
      <c r="C132"/>
      <c r="D132"/>
      <c r="E132" t="s">
        <v>127</v>
      </c>
      <c r="F132"/>
      <c r="G132" t="s">
        <v>117</v>
      </c>
      <c r="H132"/>
      <c r="I132" s="140">
        <v>46238.521805555552</v>
      </c>
      <c r="J132" t="s">
        <v>349</v>
      </c>
      <c r="K132" t="s">
        <v>296</v>
      </c>
      <c r="L132" s="139">
        <v>46173</v>
      </c>
      <c r="M132" t="s">
        <v>347</v>
      </c>
      <c r="N132" t="s">
        <v>313</v>
      </c>
      <c r="O132" t="s">
        <v>294</v>
      </c>
      <c r="P132" t="s">
        <v>348</v>
      </c>
      <c r="Q132" t="s">
        <v>295</v>
      </c>
    </row>
    <row r="133" spans="1:17" s="29" customFormat="1" hidden="1">
      <c r="A133" s="41">
        <v>5.3511586550925923E-2</v>
      </c>
      <c r="B133" t="s">
        <v>113</v>
      </c>
      <c r="C133"/>
      <c r="D133"/>
      <c r="E133" t="s">
        <v>127</v>
      </c>
      <c r="F133"/>
      <c r="G133" t="s">
        <v>117</v>
      </c>
      <c r="H133"/>
      <c r="I133" s="140">
        <v>46238.52175925926</v>
      </c>
      <c r="J133" t="s">
        <v>349</v>
      </c>
      <c r="K133" t="s">
        <v>296</v>
      </c>
      <c r="L133" s="139">
        <v>46173</v>
      </c>
      <c r="M133" t="s">
        <v>347</v>
      </c>
      <c r="N133" t="s">
        <v>313</v>
      </c>
      <c r="O133" t="s">
        <v>294</v>
      </c>
      <c r="P133" t="s">
        <v>348</v>
      </c>
      <c r="Q133" t="s">
        <v>295</v>
      </c>
    </row>
    <row r="134" spans="1:17" s="29" customFormat="1" hidden="1">
      <c r="A134" s="41">
        <v>5.3425466643518521E-2</v>
      </c>
      <c r="B134" t="s">
        <v>113</v>
      </c>
      <c r="C134"/>
      <c r="D134"/>
      <c r="E134" t="s">
        <v>127</v>
      </c>
      <c r="F134"/>
      <c r="G134" t="s">
        <v>117</v>
      </c>
      <c r="H134"/>
      <c r="I134" s="140">
        <v>46238.521678240744</v>
      </c>
      <c r="J134" t="s">
        <v>349</v>
      </c>
      <c r="K134" t="s">
        <v>296</v>
      </c>
      <c r="L134" s="139">
        <v>46173</v>
      </c>
      <c r="M134" t="s">
        <v>347</v>
      </c>
      <c r="N134" t="s">
        <v>313</v>
      </c>
      <c r="O134" t="s">
        <v>294</v>
      </c>
      <c r="P134" t="s">
        <v>348</v>
      </c>
      <c r="Q134" t="s">
        <v>295</v>
      </c>
    </row>
    <row r="135" spans="1:17" s="29" customFormat="1" hidden="1">
      <c r="A135" s="41">
        <v>5.334863222222222E-2</v>
      </c>
      <c r="B135" t="s">
        <v>113</v>
      </c>
      <c r="C135"/>
      <c r="D135"/>
      <c r="E135" t="s">
        <v>127</v>
      </c>
      <c r="F135"/>
      <c r="G135" t="s">
        <v>117</v>
      </c>
      <c r="H135"/>
      <c r="I135" s="140">
        <v>46238.521597222221</v>
      </c>
      <c r="J135" t="s">
        <v>349</v>
      </c>
      <c r="K135" t="s">
        <v>296</v>
      </c>
      <c r="L135" s="139">
        <v>46173</v>
      </c>
      <c r="M135" t="s">
        <v>347</v>
      </c>
      <c r="N135" t="s">
        <v>313</v>
      </c>
      <c r="O135" t="s">
        <v>294</v>
      </c>
      <c r="P135" t="s">
        <v>348</v>
      </c>
      <c r="Q135" t="s">
        <v>295</v>
      </c>
    </row>
    <row r="136" spans="1:17" s="29" customFormat="1" hidden="1">
      <c r="A136" s="41">
        <v>5.3281004930555549E-2</v>
      </c>
      <c r="B136" t="s">
        <v>113</v>
      </c>
      <c r="C136"/>
      <c r="D136"/>
      <c r="E136" t="s">
        <v>127</v>
      </c>
      <c r="F136"/>
      <c r="G136" t="s">
        <v>117</v>
      </c>
      <c r="H136"/>
      <c r="I136" s="140">
        <v>46238.521527777775</v>
      </c>
      <c r="J136" t="s">
        <v>349</v>
      </c>
      <c r="K136" t="s">
        <v>296</v>
      </c>
      <c r="L136" s="139">
        <v>46173</v>
      </c>
      <c r="M136" t="s">
        <v>347</v>
      </c>
      <c r="N136" t="s">
        <v>313</v>
      </c>
      <c r="O136" t="s">
        <v>294</v>
      </c>
      <c r="P136" t="s">
        <v>348</v>
      </c>
      <c r="Q136" t="s">
        <v>295</v>
      </c>
    </row>
    <row r="137" spans="1:17" s="29" customFormat="1" hidden="1">
      <c r="A137" s="41">
        <v>5.3182614641203697E-2</v>
      </c>
      <c r="B137" t="s">
        <v>113</v>
      </c>
      <c r="C137"/>
      <c r="D137"/>
      <c r="E137" t="s">
        <v>127</v>
      </c>
      <c r="F137"/>
      <c r="G137" t="s">
        <v>117</v>
      </c>
      <c r="H137"/>
      <c r="I137" s="140">
        <v>46238.521435185183</v>
      </c>
      <c r="J137" t="s">
        <v>349</v>
      </c>
      <c r="K137" t="s">
        <v>296</v>
      </c>
      <c r="L137" s="139">
        <v>46173</v>
      </c>
      <c r="M137" t="s">
        <v>347</v>
      </c>
      <c r="N137" t="s">
        <v>313</v>
      </c>
      <c r="O137" t="s">
        <v>294</v>
      </c>
      <c r="P137" t="s">
        <v>348</v>
      </c>
      <c r="Q137" t="s">
        <v>295</v>
      </c>
    </row>
    <row r="138" spans="1:17" s="29" customFormat="1" hidden="1">
      <c r="A138" s="41">
        <v>5.3145629282407403E-2</v>
      </c>
      <c r="B138" t="s">
        <v>113</v>
      </c>
      <c r="C138"/>
      <c r="D138"/>
      <c r="E138" t="s">
        <v>120</v>
      </c>
      <c r="F138"/>
      <c r="G138" t="s">
        <v>117</v>
      </c>
      <c r="H138"/>
      <c r="I138" s="140">
        <v>46238.521284722221</v>
      </c>
      <c r="J138" t="s">
        <v>349</v>
      </c>
      <c r="K138" t="s">
        <v>296</v>
      </c>
      <c r="L138" s="139">
        <v>46173</v>
      </c>
      <c r="M138" t="s">
        <v>347</v>
      </c>
      <c r="N138" t="s">
        <v>313</v>
      </c>
      <c r="O138" t="s">
        <v>294</v>
      </c>
      <c r="P138" t="s">
        <v>348</v>
      </c>
      <c r="Q138" t="s">
        <v>295</v>
      </c>
    </row>
    <row r="139" spans="1:17" s="29" customFormat="1" hidden="1">
      <c r="A139" s="41">
        <v>5.3076087314814807E-2</v>
      </c>
      <c r="B139" t="s">
        <v>113</v>
      </c>
      <c r="C139"/>
      <c r="D139"/>
      <c r="E139" t="s">
        <v>275</v>
      </c>
      <c r="F139" t="s">
        <v>269</v>
      </c>
      <c r="G139" t="s">
        <v>117</v>
      </c>
      <c r="H139"/>
      <c r="I139" s="140">
        <v>46238.521192129629</v>
      </c>
      <c r="J139" t="s">
        <v>349</v>
      </c>
      <c r="K139" t="s">
        <v>296</v>
      </c>
      <c r="L139" s="139">
        <v>46173</v>
      </c>
      <c r="M139" t="s">
        <v>347</v>
      </c>
      <c r="N139" t="s">
        <v>313</v>
      </c>
      <c r="O139" t="s">
        <v>294</v>
      </c>
      <c r="P139" t="s">
        <v>348</v>
      </c>
      <c r="Q139" t="s">
        <v>295</v>
      </c>
    </row>
    <row r="140" spans="1:17" s="29" customFormat="1" hidden="1">
      <c r="A140" s="41">
        <v>5.2989244155092596E-2</v>
      </c>
      <c r="B140" t="s">
        <v>113</v>
      </c>
      <c r="C140" t="s">
        <v>386</v>
      </c>
      <c r="D140"/>
      <c r="E140" t="s">
        <v>127</v>
      </c>
      <c r="F140"/>
      <c r="G140" t="s">
        <v>226</v>
      </c>
      <c r="H140"/>
      <c r="I140" s="140">
        <v>46238.520972222221</v>
      </c>
      <c r="J140" t="s">
        <v>349</v>
      </c>
      <c r="K140" t="s">
        <v>296</v>
      </c>
      <c r="L140" s="139">
        <v>46173</v>
      </c>
      <c r="M140" t="s">
        <v>347</v>
      </c>
      <c r="N140" t="s">
        <v>313</v>
      </c>
      <c r="O140" t="s">
        <v>294</v>
      </c>
      <c r="P140" t="s">
        <v>348</v>
      </c>
      <c r="Q140" t="s">
        <v>295</v>
      </c>
    </row>
    <row r="141" spans="1:17" s="29" customFormat="1" hidden="1">
      <c r="A141" s="41">
        <v>5.2908598402777784E-2</v>
      </c>
      <c r="B141" t="s">
        <v>113</v>
      </c>
      <c r="C141" t="s">
        <v>207</v>
      </c>
      <c r="D141"/>
      <c r="E141" t="s">
        <v>127</v>
      </c>
      <c r="F141"/>
      <c r="G141" t="s">
        <v>226</v>
      </c>
      <c r="H141"/>
      <c r="I141" s="140">
        <v>46238.520682870374</v>
      </c>
      <c r="J141" t="s">
        <v>349</v>
      </c>
      <c r="K141" t="s">
        <v>296</v>
      </c>
      <c r="L141" s="139">
        <v>46173</v>
      </c>
      <c r="M141" t="s">
        <v>347</v>
      </c>
      <c r="N141" t="s">
        <v>313</v>
      </c>
      <c r="O141" t="s">
        <v>294</v>
      </c>
      <c r="P141" t="s">
        <v>348</v>
      </c>
      <c r="Q141" t="s">
        <v>295</v>
      </c>
    </row>
    <row r="142" spans="1:17" s="29" customFormat="1" hidden="1">
      <c r="A142" s="41">
        <v>5.2836032268518525E-2</v>
      </c>
      <c r="B142" t="s">
        <v>113</v>
      </c>
      <c r="C142" t="s">
        <v>207</v>
      </c>
      <c r="D142"/>
      <c r="E142" t="s">
        <v>128</v>
      </c>
      <c r="F142"/>
      <c r="G142" t="s">
        <v>117</v>
      </c>
      <c r="H142"/>
      <c r="I142" s="140">
        <v>46238.52034722222</v>
      </c>
      <c r="J142" t="s">
        <v>349</v>
      </c>
      <c r="K142" t="s">
        <v>296</v>
      </c>
      <c r="L142" s="139">
        <v>46173</v>
      </c>
      <c r="M142" t="s">
        <v>347</v>
      </c>
      <c r="N142" t="s">
        <v>313</v>
      </c>
      <c r="O142" t="s">
        <v>294</v>
      </c>
      <c r="P142" t="s">
        <v>348</v>
      </c>
      <c r="Q142" t="s">
        <v>295</v>
      </c>
    </row>
    <row r="143" spans="1:17" s="29" customFormat="1" hidden="1">
      <c r="A143" s="41">
        <v>5.2662037037037035E-2</v>
      </c>
      <c r="B143" t="s">
        <v>113</v>
      </c>
      <c r="C143"/>
      <c r="D143"/>
      <c r="E143" t="s">
        <v>123</v>
      </c>
      <c r="F143"/>
      <c r="G143" t="s">
        <v>117</v>
      </c>
      <c r="H143"/>
      <c r="I143" s="140">
        <v>46238.519074074073</v>
      </c>
      <c r="J143" t="s">
        <v>349</v>
      </c>
      <c r="K143" t="s">
        <v>296</v>
      </c>
      <c r="L143" s="139">
        <v>46173</v>
      </c>
      <c r="M143" t="s">
        <v>347</v>
      </c>
      <c r="N143" t="s">
        <v>313</v>
      </c>
      <c r="O143" t="s">
        <v>294</v>
      </c>
      <c r="P143" t="s">
        <v>348</v>
      </c>
      <c r="Q143" t="s">
        <v>295</v>
      </c>
    </row>
    <row r="144" spans="1:17" s="29" customFormat="1" hidden="1">
      <c r="A144" s="41">
        <v>5.1971887037037034E-2</v>
      </c>
      <c r="B144" t="s">
        <v>113</v>
      </c>
      <c r="C144"/>
      <c r="D144"/>
      <c r="E144" t="s">
        <v>88</v>
      </c>
      <c r="F144"/>
      <c r="G144" t="s">
        <v>117</v>
      </c>
      <c r="H144"/>
      <c r="I144" s="140">
        <v>46238.518078703702</v>
      </c>
      <c r="J144" t="s">
        <v>349</v>
      </c>
      <c r="K144" t="s">
        <v>296</v>
      </c>
      <c r="L144" s="139">
        <v>46173</v>
      </c>
      <c r="M144" t="s">
        <v>347</v>
      </c>
      <c r="N144" t="s">
        <v>313</v>
      </c>
      <c r="O144" t="s">
        <v>294</v>
      </c>
      <c r="P144" t="s">
        <v>348</v>
      </c>
      <c r="Q144" t="s">
        <v>295</v>
      </c>
    </row>
    <row r="145" spans="1:17" s="29" customFormat="1" hidden="1">
      <c r="A145" s="41">
        <v>5.1772955370370369E-2</v>
      </c>
      <c r="B145" t="s">
        <v>113</v>
      </c>
      <c r="C145"/>
      <c r="D145"/>
      <c r="E145" t="s">
        <v>275</v>
      </c>
      <c r="F145" t="s">
        <v>269</v>
      </c>
      <c r="G145" t="s">
        <v>117</v>
      </c>
      <c r="H145"/>
      <c r="I145" s="140">
        <v>46238.517916666664</v>
      </c>
      <c r="J145" t="s">
        <v>349</v>
      </c>
      <c r="K145" t="s">
        <v>296</v>
      </c>
      <c r="L145" s="139">
        <v>46173</v>
      </c>
      <c r="M145" t="s">
        <v>347</v>
      </c>
      <c r="N145" t="s">
        <v>313</v>
      </c>
      <c r="O145" t="s">
        <v>294</v>
      </c>
      <c r="P145" t="s">
        <v>348</v>
      </c>
      <c r="Q145" t="s">
        <v>295</v>
      </c>
    </row>
    <row r="146" spans="1:17" s="29" customFormat="1" hidden="1">
      <c r="A146" s="41">
        <v>5.1732312824074068E-2</v>
      </c>
      <c r="B146" t="s">
        <v>113</v>
      </c>
      <c r="C146" t="s">
        <v>213</v>
      </c>
      <c r="D146"/>
      <c r="E146" t="s">
        <v>127</v>
      </c>
      <c r="F146"/>
      <c r="G146" t="s">
        <v>226</v>
      </c>
      <c r="H146"/>
      <c r="I146" s="140">
        <v>46238.51771990741</v>
      </c>
      <c r="J146" t="s">
        <v>349</v>
      </c>
      <c r="K146" t="s">
        <v>296</v>
      </c>
      <c r="L146" s="139">
        <v>46173</v>
      </c>
      <c r="M146" t="s">
        <v>347</v>
      </c>
      <c r="N146" t="s">
        <v>313</v>
      </c>
      <c r="O146" t="s">
        <v>294</v>
      </c>
      <c r="P146" t="s">
        <v>348</v>
      </c>
      <c r="Q146" t="s">
        <v>295</v>
      </c>
    </row>
    <row r="147" spans="1:17" s="29" customFormat="1" hidden="1">
      <c r="A147" s="41">
        <v>5.1695739375000001E-2</v>
      </c>
      <c r="B147" t="s">
        <v>113</v>
      </c>
      <c r="C147" t="s">
        <v>367</v>
      </c>
      <c r="D147"/>
      <c r="E147" t="s">
        <v>127</v>
      </c>
      <c r="F147"/>
      <c r="G147" t="s">
        <v>226</v>
      </c>
      <c r="H147"/>
      <c r="I147" s="140">
        <v>46238.516909722224</v>
      </c>
      <c r="J147" t="s">
        <v>349</v>
      </c>
      <c r="K147" t="s">
        <v>296</v>
      </c>
      <c r="L147" s="139">
        <v>46173</v>
      </c>
      <c r="M147" t="s">
        <v>347</v>
      </c>
      <c r="N147" t="s">
        <v>313</v>
      </c>
      <c r="O147" t="s">
        <v>294</v>
      </c>
      <c r="P147" t="s">
        <v>348</v>
      </c>
      <c r="Q147" t="s">
        <v>295</v>
      </c>
    </row>
    <row r="148" spans="1:17" s="29" customFormat="1" hidden="1">
      <c r="A148" s="41">
        <v>5.1650113229166662E-2</v>
      </c>
      <c r="B148" t="s">
        <v>113</v>
      </c>
      <c r="C148" t="s">
        <v>213</v>
      </c>
      <c r="D148"/>
      <c r="E148" t="s">
        <v>59</v>
      </c>
      <c r="F148"/>
      <c r="G148" t="s">
        <v>226</v>
      </c>
      <c r="H148"/>
      <c r="I148" s="140">
        <v>46238.516736111109</v>
      </c>
      <c r="J148" t="s">
        <v>349</v>
      </c>
      <c r="K148" t="s">
        <v>296</v>
      </c>
      <c r="L148" s="139">
        <v>46173</v>
      </c>
      <c r="M148" t="s">
        <v>347</v>
      </c>
      <c r="N148" t="s">
        <v>313</v>
      </c>
      <c r="O148" t="s">
        <v>294</v>
      </c>
      <c r="P148" t="s">
        <v>348</v>
      </c>
      <c r="Q148" t="s">
        <v>295</v>
      </c>
    </row>
    <row r="149" spans="1:17" s="29" customFormat="1" hidden="1">
      <c r="A149" s="41">
        <v>5.1307501539351853E-2</v>
      </c>
      <c r="B149"/>
      <c r="C149"/>
      <c r="D149"/>
      <c r="E149" t="s">
        <v>124</v>
      </c>
      <c r="F149"/>
      <c r="G149"/>
      <c r="H149"/>
      <c r="I149" s="140">
        <v>46238.515833333331</v>
      </c>
      <c r="J149" t="s">
        <v>349</v>
      </c>
      <c r="K149" t="s">
        <v>296</v>
      </c>
      <c r="L149" s="139">
        <v>46173</v>
      </c>
      <c r="M149" t="s">
        <v>347</v>
      </c>
      <c r="N149" t="s">
        <v>313</v>
      </c>
      <c r="O149" t="s">
        <v>294</v>
      </c>
      <c r="P149" t="s">
        <v>348</v>
      </c>
      <c r="Q149" t="s">
        <v>295</v>
      </c>
    </row>
    <row r="150" spans="1:17" s="29" customFormat="1" hidden="1">
      <c r="A150" s="41">
        <v>5.1128507094907405E-2</v>
      </c>
      <c r="B150" t="s">
        <v>113</v>
      </c>
      <c r="C150"/>
      <c r="D150"/>
      <c r="E150" t="s">
        <v>88</v>
      </c>
      <c r="F150"/>
      <c r="G150" t="s">
        <v>226</v>
      </c>
      <c r="H150"/>
      <c r="I150" s="140">
        <v>46238.512141203704</v>
      </c>
      <c r="J150" t="s">
        <v>349</v>
      </c>
      <c r="K150" t="s">
        <v>296</v>
      </c>
      <c r="L150" s="139">
        <v>46173</v>
      </c>
      <c r="M150" t="s">
        <v>347</v>
      </c>
      <c r="N150" t="s">
        <v>313</v>
      </c>
      <c r="O150" t="s">
        <v>294</v>
      </c>
      <c r="P150" t="s">
        <v>348</v>
      </c>
      <c r="Q150" t="s">
        <v>295</v>
      </c>
    </row>
    <row r="151" spans="1:17" s="29" customFormat="1" hidden="1">
      <c r="A151" s="41">
        <v>5.1088065405092586E-2</v>
      </c>
      <c r="B151" t="s">
        <v>113</v>
      </c>
      <c r="C151" t="s">
        <v>216</v>
      </c>
      <c r="D151"/>
      <c r="E151" t="s">
        <v>245</v>
      </c>
      <c r="F151"/>
      <c r="G151" t="s">
        <v>117</v>
      </c>
      <c r="H151"/>
      <c r="I151" s="140">
        <v>46238.512013888889</v>
      </c>
      <c r="J151" t="s">
        <v>349</v>
      </c>
      <c r="K151" t="s">
        <v>296</v>
      </c>
      <c r="L151" s="139">
        <v>46173</v>
      </c>
      <c r="M151" t="s">
        <v>347</v>
      </c>
      <c r="N151" t="s">
        <v>313</v>
      </c>
      <c r="O151" t="s">
        <v>294</v>
      </c>
      <c r="P151" t="s">
        <v>348</v>
      </c>
      <c r="Q151" t="s">
        <v>295</v>
      </c>
    </row>
    <row r="152" spans="1:17" s="29" customFormat="1" hidden="1">
      <c r="A152" s="41">
        <v>5.0991423240740741E-2</v>
      </c>
      <c r="B152" t="s">
        <v>113</v>
      </c>
      <c r="C152" t="s">
        <v>207</v>
      </c>
      <c r="D152"/>
      <c r="E152" t="s">
        <v>127</v>
      </c>
      <c r="F152"/>
      <c r="G152" t="s">
        <v>226</v>
      </c>
      <c r="H152"/>
      <c r="I152" s="140">
        <v>46238.506377314814</v>
      </c>
      <c r="J152" t="s">
        <v>349</v>
      </c>
      <c r="K152" t="s">
        <v>296</v>
      </c>
      <c r="L152" s="139">
        <v>46173</v>
      </c>
      <c r="M152" t="s">
        <v>347</v>
      </c>
      <c r="N152" t="s">
        <v>313</v>
      </c>
      <c r="O152" t="s">
        <v>294</v>
      </c>
      <c r="P152" t="s">
        <v>348</v>
      </c>
      <c r="Q152" t="s">
        <v>295</v>
      </c>
    </row>
    <row r="153" spans="1:17" s="29" customFormat="1" hidden="1">
      <c r="A153" s="41">
        <v>5.0966858819444447E-2</v>
      </c>
      <c r="B153" t="s">
        <v>113</v>
      </c>
      <c r="C153"/>
      <c r="D153"/>
      <c r="E153" t="s">
        <v>250</v>
      </c>
      <c r="F153"/>
      <c r="G153" t="s">
        <v>226</v>
      </c>
      <c r="H153"/>
      <c r="I153" s="140">
        <v>46238.506307870368</v>
      </c>
      <c r="J153" t="s">
        <v>349</v>
      </c>
      <c r="K153" t="s">
        <v>296</v>
      </c>
      <c r="L153" s="139">
        <v>46173</v>
      </c>
      <c r="M153" t="s">
        <v>347</v>
      </c>
      <c r="N153" t="s">
        <v>313</v>
      </c>
      <c r="O153" t="s">
        <v>294</v>
      </c>
      <c r="P153" t="s">
        <v>348</v>
      </c>
      <c r="Q153" t="s">
        <v>295</v>
      </c>
    </row>
    <row r="154" spans="1:17" s="29" customFormat="1" hidden="1">
      <c r="A154" s="41">
        <v>5.09268846875E-2</v>
      </c>
      <c r="B154" t="s">
        <v>113</v>
      </c>
      <c r="C154"/>
      <c r="D154"/>
      <c r="E154" t="s">
        <v>119</v>
      </c>
      <c r="F154"/>
      <c r="G154" t="s">
        <v>117</v>
      </c>
      <c r="H154"/>
      <c r="I154" s="140">
        <v>46238.506273148145</v>
      </c>
      <c r="J154" t="s">
        <v>349</v>
      </c>
      <c r="K154" t="s">
        <v>296</v>
      </c>
      <c r="L154" s="139">
        <v>46173</v>
      </c>
      <c r="M154" t="s">
        <v>347</v>
      </c>
      <c r="N154" t="s">
        <v>313</v>
      </c>
      <c r="O154" t="s">
        <v>294</v>
      </c>
      <c r="P154" t="s">
        <v>348</v>
      </c>
      <c r="Q154" t="s">
        <v>295</v>
      </c>
    </row>
    <row r="155" spans="1:17" s="29" customFormat="1" hidden="1">
      <c r="A155" s="41">
        <v>4.9691583935185184E-2</v>
      </c>
      <c r="B155" t="s">
        <v>113</v>
      </c>
      <c r="C155"/>
      <c r="D155"/>
      <c r="E155" t="s">
        <v>88</v>
      </c>
      <c r="F155"/>
      <c r="G155" t="s">
        <v>226</v>
      </c>
      <c r="H155"/>
      <c r="I155" s="140">
        <v>46238.505648148152</v>
      </c>
      <c r="J155" t="s">
        <v>349</v>
      </c>
      <c r="K155" t="s">
        <v>296</v>
      </c>
      <c r="L155" s="139">
        <v>46173</v>
      </c>
      <c r="M155" t="s">
        <v>347</v>
      </c>
      <c r="N155" t="s">
        <v>313</v>
      </c>
      <c r="O155" t="s">
        <v>294</v>
      </c>
      <c r="P155" t="s">
        <v>348</v>
      </c>
      <c r="Q155" t="s">
        <v>295</v>
      </c>
    </row>
    <row r="156" spans="1:17" s="29" customFormat="1" hidden="1">
      <c r="A156" s="41">
        <v>5.0287467210648147E-2</v>
      </c>
      <c r="B156" t="s">
        <v>113</v>
      </c>
      <c r="C156"/>
      <c r="D156"/>
      <c r="E156" t="s">
        <v>134</v>
      </c>
      <c r="F156"/>
      <c r="G156" t="s">
        <v>226</v>
      </c>
      <c r="H156"/>
      <c r="I156" s="140">
        <v>46238.505358796298</v>
      </c>
      <c r="J156" t="s">
        <v>349</v>
      </c>
      <c r="K156" t="s">
        <v>296</v>
      </c>
      <c r="L156" s="139">
        <v>46173</v>
      </c>
      <c r="M156" t="s">
        <v>347</v>
      </c>
      <c r="N156" t="s">
        <v>313</v>
      </c>
      <c r="O156" t="s">
        <v>294</v>
      </c>
      <c r="P156" t="s">
        <v>348</v>
      </c>
      <c r="Q156" t="s">
        <v>295</v>
      </c>
    </row>
    <row r="157" spans="1:17" s="29" customFormat="1" hidden="1">
      <c r="A157" s="41">
        <v>4.9628480567129631E-2</v>
      </c>
      <c r="B157" t="s">
        <v>113</v>
      </c>
      <c r="C157"/>
      <c r="D157"/>
      <c r="E157" t="s">
        <v>122</v>
      </c>
      <c r="F157"/>
      <c r="G157" t="s">
        <v>226</v>
      </c>
      <c r="H157"/>
      <c r="I157" s="140">
        <v>46238.50513888889</v>
      </c>
      <c r="J157" t="s">
        <v>349</v>
      </c>
      <c r="K157" t="s">
        <v>296</v>
      </c>
      <c r="L157" s="139">
        <v>46173</v>
      </c>
      <c r="M157" t="s">
        <v>347</v>
      </c>
      <c r="N157" t="s">
        <v>313</v>
      </c>
      <c r="O157" t="s">
        <v>294</v>
      </c>
      <c r="P157" t="s">
        <v>348</v>
      </c>
      <c r="Q157" t="s">
        <v>295</v>
      </c>
    </row>
    <row r="158" spans="1:17" s="29" customFormat="1" hidden="1">
      <c r="A158" s="41">
        <v>4.9587392847222217E-2</v>
      </c>
      <c r="B158" t="s">
        <v>113</v>
      </c>
      <c r="C158"/>
      <c r="D158"/>
      <c r="E158" t="s">
        <v>120</v>
      </c>
      <c r="F158"/>
      <c r="G158" t="s">
        <v>226</v>
      </c>
      <c r="H158"/>
      <c r="I158" s="140">
        <v>46238.505069444444</v>
      </c>
      <c r="J158" t="s">
        <v>349</v>
      </c>
      <c r="K158" t="s">
        <v>296</v>
      </c>
      <c r="L158" s="139">
        <v>46173</v>
      </c>
      <c r="M158" t="s">
        <v>347</v>
      </c>
      <c r="N158" t="s">
        <v>313</v>
      </c>
      <c r="O158" t="s">
        <v>294</v>
      </c>
      <c r="P158" t="s">
        <v>348</v>
      </c>
      <c r="Q158" t="s">
        <v>295</v>
      </c>
    </row>
    <row r="159" spans="1:17" s="29" customFormat="1">
      <c r="A159" s="41">
        <v>4.9548726539351856E-2</v>
      </c>
      <c r="B159" t="s">
        <v>113</v>
      </c>
      <c r="C159" t="s">
        <v>83</v>
      </c>
      <c r="D159" t="s">
        <v>83</v>
      </c>
      <c r="E159" t="s">
        <v>276</v>
      </c>
      <c r="F159" t="s">
        <v>83</v>
      </c>
      <c r="G159" t="s">
        <v>226</v>
      </c>
      <c r="H159"/>
      <c r="I159" s="140">
        <v>46238.505057870374</v>
      </c>
      <c r="J159" t="s">
        <v>349</v>
      </c>
      <c r="K159" t="s">
        <v>296</v>
      </c>
      <c r="L159" s="139">
        <v>46173</v>
      </c>
      <c r="M159" t="s">
        <v>347</v>
      </c>
      <c r="N159" t="s">
        <v>313</v>
      </c>
      <c r="O159" t="s">
        <v>294</v>
      </c>
      <c r="P159" t="s">
        <v>348</v>
      </c>
      <c r="Q159" t="s">
        <v>295</v>
      </c>
    </row>
    <row r="160" spans="1:17" s="29" customFormat="1" hidden="1">
      <c r="A160" s="41">
        <v>4.943804792824074E-2</v>
      </c>
      <c r="B160" t="s">
        <v>113</v>
      </c>
      <c r="C160"/>
      <c r="D160"/>
      <c r="E160" t="s">
        <v>88</v>
      </c>
      <c r="F160"/>
      <c r="G160" t="s">
        <v>226</v>
      </c>
      <c r="H160"/>
      <c r="I160" s="140">
        <v>46238.50476851852</v>
      </c>
      <c r="J160" t="s">
        <v>349</v>
      </c>
      <c r="K160" t="s">
        <v>296</v>
      </c>
      <c r="L160" s="139">
        <v>46173</v>
      </c>
      <c r="M160" t="s">
        <v>347</v>
      </c>
      <c r="N160" t="s">
        <v>313</v>
      </c>
      <c r="O160" t="s">
        <v>294</v>
      </c>
      <c r="P160" t="s">
        <v>348</v>
      </c>
      <c r="Q160" t="s">
        <v>295</v>
      </c>
    </row>
    <row r="161" spans="1:17" s="29" customFormat="1" hidden="1">
      <c r="A161" s="41">
        <v>4.9420514131944447E-2</v>
      </c>
      <c r="B161" t="s">
        <v>113</v>
      </c>
      <c r="C161" t="s">
        <v>83</v>
      </c>
      <c r="D161"/>
      <c r="E161" t="s">
        <v>127</v>
      </c>
      <c r="F161"/>
      <c r="G161" t="s">
        <v>226</v>
      </c>
      <c r="H161"/>
      <c r="I161" s="140">
        <v>46238.504687499997</v>
      </c>
      <c r="J161" t="s">
        <v>349</v>
      </c>
      <c r="K161" t="s">
        <v>296</v>
      </c>
      <c r="L161" s="139">
        <v>46173</v>
      </c>
      <c r="M161" t="s">
        <v>347</v>
      </c>
      <c r="N161" t="s">
        <v>313</v>
      </c>
      <c r="O161" t="s">
        <v>294</v>
      </c>
      <c r="P161" t="s">
        <v>348</v>
      </c>
      <c r="Q161" t="s">
        <v>295</v>
      </c>
    </row>
    <row r="162" spans="1:17" s="29" customFormat="1" hidden="1">
      <c r="A162" s="41">
        <v>4.9350909907407405E-2</v>
      </c>
      <c r="B162" t="s">
        <v>113</v>
      </c>
      <c r="C162" t="s">
        <v>83</v>
      </c>
      <c r="D162"/>
      <c r="E162" t="s">
        <v>127</v>
      </c>
      <c r="F162"/>
      <c r="G162" t="s">
        <v>226</v>
      </c>
      <c r="H162"/>
      <c r="I162" s="140">
        <v>46238.504560185182</v>
      </c>
      <c r="J162" t="s">
        <v>349</v>
      </c>
      <c r="K162" t="s">
        <v>296</v>
      </c>
      <c r="L162" s="139">
        <v>46173</v>
      </c>
      <c r="M162" t="s">
        <v>347</v>
      </c>
      <c r="N162" t="s">
        <v>313</v>
      </c>
      <c r="O162" t="s">
        <v>294</v>
      </c>
      <c r="P162" t="s">
        <v>348</v>
      </c>
      <c r="Q162" t="s">
        <v>295</v>
      </c>
    </row>
    <row r="163" spans="1:17" s="29" customFormat="1" hidden="1">
      <c r="A163" s="41">
        <v>4.9311040671296297E-2</v>
      </c>
      <c r="B163" t="s">
        <v>113</v>
      </c>
      <c r="C163" t="s">
        <v>216</v>
      </c>
      <c r="D163"/>
      <c r="E163" t="s">
        <v>127</v>
      </c>
      <c r="F163"/>
      <c r="G163" t="s">
        <v>226</v>
      </c>
      <c r="H163"/>
      <c r="I163" s="140">
        <v>46238.50440972222</v>
      </c>
      <c r="J163" t="s">
        <v>349</v>
      </c>
      <c r="K163" t="s">
        <v>296</v>
      </c>
      <c r="L163" s="139">
        <v>46173</v>
      </c>
      <c r="M163" t="s">
        <v>347</v>
      </c>
      <c r="N163" t="s">
        <v>313</v>
      </c>
      <c r="O163" t="s">
        <v>294</v>
      </c>
      <c r="P163" t="s">
        <v>348</v>
      </c>
      <c r="Q163" t="s">
        <v>295</v>
      </c>
    </row>
    <row r="164" spans="1:17" s="29" customFormat="1" hidden="1">
      <c r="A164" s="41">
        <v>4.9282252280092594E-2</v>
      </c>
      <c r="B164" t="s">
        <v>113</v>
      </c>
      <c r="C164" t="s">
        <v>214</v>
      </c>
      <c r="D164"/>
      <c r="E164" t="s">
        <v>59</v>
      </c>
      <c r="F164"/>
      <c r="G164" t="s">
        <v>226</v>
      </c>
      <c r="H164"/>
      <c r="I164" s="140">
        <v>46238.504201388889</v>
      </c>
      <c r="J164" t="s">
        <v>349</v>
      </c>
      <c r="K164" t="s">
        <v>296</v>
      </c>
      <c r="L164" s="139">
        <v>46173</v>
      </c>
      <c r="M164" t="s">
        <v>347</v>
      </c>
      <c r="N164" t="s">
        <v>313</v>
      </c>
      <c r="O164" t="s">
        <v>294</v>
      </c>
      <c r="P164" t="s">
        <v>348</v>
      </c>
      <c r="Q164" t="s">
        <v>295</v>
      </c>
    </row>
    <row r="165" spans="1:17" s="29" customFormat="1" hidden="1">
      <c r="A165" s="41">
        <v>4.9258966898148147E-2</v>
      </c>
      <c r="B165" t="s">
        <v>113</v>
      </c>
      <c r="C165" t="s">
        <v>83</v>
      </c>
      <c r="D165"/>
      <c r="E165" t="s">
        <v>59</v>
      </c>
      <c r="F165"/>
      <c r="G165" t="s">
        <v>226</v>
      </c>
      <c r="H165"/>
      <c r="I165" s="140">
        <v>46238.504108796296</v>
      </c>
      <c r="J165" t="s">
        <v>349</v>
      </c>
      <c r="K165" t="s">
        <v>296</v>
      </c>
      <c r="L165" s="139">
        <v>46173</v>
      </c>
      <c r="M165" t="s">
        <v>347</v>
      </c>
      <c r="N165" t="s">
        <v>313</v>
      </c>
      <c r="O165" t="s">
        <v>294</v>
      </c>
      <c r="P165" t="s">
        <v>348</v>
      </c>
      <c r="Q165" t="s">
        <v>295</v>
      </c>
    </row>
    <row r="166" spans="1:17" s="29" customFormat="1" hidden="1">
      <c r="A166" s="41">
        <v>4.9242033078703708E-2</v>
      </c>
      <c r="B166" t="s">
        <v>113</v>
      </c>
      <c r="C166" t="s">
        <v>83</v>
      </c>
      <c r="D166"/>
      <c r="E166" t="s">
        <v>59</v>
      </c>
      <c r="F166"/>
      <c r="G166" t="s">
        <v>226</v>
      </c>
      <c r="H166"/>
      <c r="I166" s="140">
        <v>46238.503865740742</v>
      </c>
      <c r="J166" t="s">
        <v>349</v>
      </c>
      <c r="K166" t="s">
        <v>296</v>
      </c>
      <c r="L166" s="139">
        <v>46173</v>
      </c>
      <c r="M166" t="s">
        <v>347</v>
      </c>
      <c r="N166" t="s">
        <v>313</v>
      </c>
      <c r="O166" t="s">
        <v>294</v>
      </c>
      <c r="P166" t="s">
        <v>348</v>
      </c>
      <c r="Q166" t="s">
        <v>295</v>
      </c>
    </row>
    <row r="167" spans="1:17" s="29" customFormat="1" hidden="1">
      <c r="A167" s="41">
        <v>4.9086789791666668E-2</v>
      </c>
      <c r="B167" t="s">
        <v>113</v>
      </c>
      <c r="C167"/>
      <c r="D167"/>
      <c r="E167" t="s">
        <v>60</v>
      </c>
      <c r="F167"/>
      <c r="G167" t="s">
        <v>117</v>
      </c>
      <c r="H167"/>
      <c r="I167" s="140">
        <v>46238.503576388888</v>
      </c>
      <c r="J167" t="s">
        <v>349</v>
      </c>
      <c r="K167" t="s">
        <v>296</v>
      </c>
      <c r="L167" s="139">
        <v>46173</v>
      </c>
      <c r="M167" t="s">
        <v>347</v>
      </c>
      <c r="N167" t="s">
        <v>313</v>
      </c>
      <c r="O167" t="s">
        <v>294</v>
      </c>
      <c r="P167" t="s">
        <v>348</v>
      </c>
      <c r="Q167" t="s">
        <v>295</v>
      </c>
    </row>
    <row r="168" spans="1:17" s="29" customFormat="1" hidden="1">
      <c r="A168" s="41">
        <v>4.9047381076388889E-2</v>
      </c>
      <c r="B168" t="s">
        <v>113</v>
      </c>
      <c r="C168" t="s">
        <v>83</v>
      </c>
      <c r="D168"/>
      <c r="E168" t="s">
        <v>127</v>
      </c>
      <c r="F168"/>
      <c r="G168" t="s">
        <v>226</v>
      </c>
      <c r="H168"/>
      <c r="I168" s="140">
        <v>46238.503495370373</v>
      </c>
      <c r="J168" t="s">
        <v>349</v>
      </c>
      <c r="K168" t="s">
        <v>296</v>
      </c>
      <c r="L168" s="139">
        <v>46173</v>
      </c>
      <c r="M168" t="s">
        <v>347</v>
      </c>
      <c r="N168" t="s">
        <v>313</v>
      </c>
      <c r="O168" t="s">
        <v>294</v>
      </c>
      <c r="P168" t="s">
        <v>348</v>
      </c>
      <c r="Q168" t="s">
        <v>295</v>
      </c>
    </row>
    <row r="169" spans="1:17" s="29" customFormat="1" hidden="1">
      <c r="A169" s="41">
        <v>4.9022774548611113E-2</v>
      </c>
      <c r="B169" t="s">
        <v>113</v>
      </c>
      <c r="C169"/>
      <c r="D169"/>
      <c r="E169" t="s">
        <v>399</v>
      </c>
      <c r="F169"/>
      <c r="G169" t="s">
        <v>117</v>
      </c>
      <c r="H169"/>
      <c r="I169" s="140">
        <v>46238.502743055556</v>
      </c>
      <c r="J169" t="s">
        <v>349</v>
      </c>
      <c r="K169" t="s">
        <v>296</v>
      </c>
      <c r="L169" s="139">
        <v>46173</v>
      </c>
      <c r="M169" t="s">
        <v>347</v>
      </c>
      <c r="N169" t="s">
        <v>313</v>
      </c>
      <c r="O169" t="s">
        <v>294</v>
      </c>
      <c r="P169" t="s">
        <v>348</v>
      </c>
      <c r="Q169" t="s">
        <v>295</v>
      </c>
    </row>
    <row r="170" spans="1:17" s="29" customFormat="1" hidden="1">
      <c r="A170" s="41">
        <v>4.8792213553240746E-2</v>
      </c>
      <c r="B170" t="s">
        <v>113</v>
      </c>
      <c r="C170"/>
      <c r="D170"/>
      <c r="E170" t="s">
        <v>124</v>
      </c>
      <c r="F170"/>
      <c r="G170" t="s">
        <v>117</v>
      </c>
      <c r="H170"/>
      <c r="I170" s="140">
        <v>46238.502511574072</v>
      </c>
      <c r="J170" t="s">
        <v>349</v>
      </c>
      <c r="K170" t="s">
        <v>296</v>
      </c>
      <c r="L170" s="139">
        <v>46173</v>
      </c>
      <c r="M170" t="s">
        <v>347</v>
      </c>
      <c r="N170" t="s">
        <v>313</v>
      </c>
      <c r="O170" t="s">
        <v>294</v>
      </c>
      <c r="P170" t="s">
        <v>348</v>
      </c>
      <c r="Q170" t="s">
        <v>295</v>
      </c>
    </row>
    <row r="171" spans="1:17" s="29" customFormat="1" hidden="1">
      <c r="A171" s="41">
        <v>4.8724520937500002E-2</v>
      </c>
      <c r="B171" t="s">
        <v>113</v>
      </c>
      <c r="C171"/>
      <c r="D171"/>
      <c r="E171" t="s">
        <v>245</v>
      </c>
      <c r="F171"/>
      <c r="G171" t="s">
        <v>117</v>
      </c>
      <c r="H171"/>
      <c r="I171" s="140">
        <v>46238.502442129633</v>
      </c>
      <c r="J171" t="s">
        <v>349</v>
      </c>
      <c r="K171" t="s">
        <v>296</v>
      </c>
      <c r="L171" s="139">
        <v>46173</v>
      </c>
      <c r="M171" t="s">
        <v>347</v>
      </c>
      <c r="N171" t="s">
        <v>313</v>
      </c>
      <c r="O171" t="s">
        <v>294</v>
      </c>
      <c r="P171" t="s">
        <v>348</v>
      </c>
      <c r="Q171" t="s">
        <v>295</v>
      </c>
    </row>
    <row r="172" spans="1:17" s="29" customFormat="1" hidden="1">
      <c r="A172" s="41">
        <v>4.8644641203703702E-2</v>
      </c>
      <c r="B172" t="s">
        <v>113</v>
      </c>
      <c r="C172"/>
      <c r="D172"/>
      <c r="E172" t="s">
        <v>88</v>
      </c>
      <c r="F172"/>
      <c r="G172" t="s">
        <v>117</v>
      </c>
      <c r="H172"/>
      <c r="I172" s="140">
        <v>46238.50236111111</v>
      </c>
      <c r="J172" t="s">
        <v>349</v>
      </c>
      <c r="K172" t="s">
        <v>296</v>
      </c>
      <c r="L172" s="139">
        <v>46173</v>
      </c>
      <c r="M172" t="s">
        <v>347</v>
      </c>
      <c r="N172" t="s">
        <v>313</v>
      </c>
      <c r="O172" t="s">
        <v>294</v>
      </c>
      <c r="P172" t="s">
        <v>348</v>
      </c>
      <c r="Q172" t="s">
        <v>295</v>
      </c>
    </row>
    <row r="173" spans="1:17" s="29" customFormat="1" hidden="1">
      <c r="A173" s="41">
        <v>4.8592361087962964E-2</v>
      </c>
      <c r="B173" t="s">
        <v>113</v>
      </c>
      <c r="C173" t="s">
        <v>83</v>
      </c>
      <c r="D173"/>
      <c r="E173" t="s">
        <v>129</v>
      </c>
      <c r="F173"/>
      <c r="G173" t="s">
        <v>226</v>
      </c>
      <c r="H173"/>
      <c r="I173" s="140">
        <v>46238.502349537041</v>
      </c>
      <c r="J173" t="s">
        <v>349</v>
      </c>
      <c r="K173" t="s">
        <v>296</v>
      </c>
      <c r="L173" s="139">
        <v>46173</v>
      </c>
      <c r="M173" t="s">
        <v>347</v>
      </c>
      <c r="N173" t="s">
        <v>313</v>
      </c>
      <c r="O173" t="s">
        <v>294</v>
      </c>
      <c r="P173" t="s">
        <v>348</v>
      </c>
      <c r="Q173" t="s">
        <v>295</v>
      </c>
    </row>
    <row r="174" spans="1:17" s="29" customFormat="1" hidden="1">
      <c r="A174" s="41">
        <v>4.8486834861111106E-2</v>
      </c>
      <c r="B174" t="s">
        <v>113</v>
      </c>
      <c r="C174"/>
      <c r="D174"/>
      <c r="E174" t="s">
        <v>123</v>
      </c>
      <c r="F174"/>
      <c r="G174" t="s">
        <v>226</v>
      </c>
      <c r="H174"/>
      <c r="I174" s="140">
        <v>46238.502025462964</v>
      </c>
      <c r="J174" t="s">
        <v>349</v>
      </c>
      <c r="K174" t="s">
        <v>296</v>
      </c>
      <c r="L174" s="139">
        <v>46173</v>
      </c>
      <c r="M174" t="s">
        <v>347</v>
      </c>
      <c r="N174" t="s">
        <v>313</v>
      </c>
      <c r="O174" t="s">
        <v>294</v>
      </c>
      <c r="P174" t="s">
        <v>348</v>
      </c>
      <c r="Q174" t="s">
        <v>295</v>
      </c>
    </row>
    <row r="175" spans="1:17" s="29" customFormat="1" hidden="1">
      <c r="A175" s="41">
        <v>4.7986965555555559E-2</v>
      </c>
      <c r="B175" t="s">
        <v>113</v>
      </c>
      <c r="C175"/>
      <c r="D175"/>
      <c r="E175" t="s">
        <v>88</v>
      </c>
      <c r="F175"/>
      <c r="G175" t="s">
        <v>117</v>
      </c>
      <c r="H175"/>
      <c r="I175" s="140">
        <v>46238.501585648148</v>
      </c>
      <c r="J175" t="s">
        <v>349</v>
      </c>
      <c r="K175" t="s">
        <v>296</v>
      </c>
      <c r="L175" s="139">
        <v>46173</v>
      </c>
      <c r="M175" t="s">
        <v>347</v>
      </c>
      <c r="N175" t="s">
        <v>313</v>
      </c>
      <c r="O175" t="s">
        <v>294</v>
      </c>
      <c r="P175" t="s">
        <v>348</v>
      </c>
      <c r="Q175" t="s">
        <v>295</v>
      </c>
    </row>
    <row r="176" spans="1:17" s="29" customFormat="1" hidden="1">
      <c r="A176" s="41">
        <v>4.7956238333333331E-2</v>
      </c>
      <c r="B176" t="s">
        <v>113</v>
      </c>
      <c r="C176"/>
      <c r="D176"/>
      <c r="E176" t="s">
        <v>246</v>
      </c>
      <c r="F176"/>
      <c r="G176" t="s">
        <v>117</v>
      </c>
      <c r="H176"/>
      <c r="I176" s="140">
        <v>46238.501550925925</v>
      </c>
      <c r="J176" t="s">
        <v>349</v>
      </c>
      <c r="K176" t="s">
        <v>296</v>
      </c>
      <c r="L176" s="139">
        <v>46173</v>
      </c>
      <c r="M176" t="s">
        <v>347</v>
      </c>
      <c r="N176" t="s">
        <v>313</v>
      </c>
      <c r="O176" t="s">
        <v>294</v>
      </c>
      <c r="P176" t="s">
        <v>348</v>
      </c>
      <c r="Q176" t="s">
        <v>295</v>
      </c>
    </row>
    <row r="177" spans="1:17" s="29" customFormat="1" hidden="1">
      <c r="A177" s="41">
        <v>4.7931640138888891E-2</v>
      </c>
      <c r="B177" t="s">
        <v>113</v>
      </c>
      <c r="C177"/>
      <c r="D177"/>
      <c r="E177" t="s">
        <v>248</v>
      </c>
      <c r="F177"/>
      <c r="G177" t="s">
        <v>117</v>
      </c>
      <c r="H177"/>
      <c r="I177" s="140">
        <v>46238.501527777778</v>
      </c>
      <c r="J177" t="s">
        <v>349</v>
      </c>
      <c r="K177" t="s">
        <v>296</v>
      </c>
      <c r="L177" s="139">
        <v>46173</v>
      </c>
      <c r="M177" t="s">
        <v>347</v>
      </c>
      <c r="N177" t="s">
        <v>313</v>
      </c>
      <c r="O177" t="s">
        <v>294</v>
      </c>
      <c r="P177" t="s">
        <v>348</v>
      </c>
      <c r="Q177" t="s">
        <v>295</v>
      </c>
    </row>
    <row r="178" spans="1:17" s="29" customFormat="1" hidden="1">
      <c r="A178" s="41">
        <v>4.7836327800925921E-2</v>
      </c>
      <c r="B178" t="s">
        <v>113</v>
      </c>
      <c r="C178"/>
      <c r="D178"/>
      <c r="E178" t="s">
        <v>246</v>
      </c>
      <c r="F178"/>
      <c r="G178" t="s">
        <v>226</v>
      </c>
      <c r="H178"/>
      <c r="I178" s="140">
        <v>46238.501435185186</v>
      </c>
      <c r="J178" t="s">
        <v>349</v>
      </c>
      <c r="K178" t="s">
        <v>296</v>
      </c>
      <c r="L178" s="139">
        <v>46173</v>
      </c>
      <c r="M178" t="s">
        <v>347</v>
      </c>
      <c r="N178" t="s">
        <v>313</v>
      </c>
      <c r="O178" t="s">
        <v>294</v>
      </c>
      <c r="P178" t="s">
        <v>348</v>
      </c>
      <c r="Q178" t="s">
        <v>295</v>
      </c>
    </row>
    <row r="179" spans="1:17" s="29" customFormat="1" hidden="1">
      <c r="A179" s="41">
        <v>4.7765500011574077E-2</v>
      </c>
      <c r="B179" t="s">
        <v>113</v>
      </c>
      <c r="C179" t="s">
        <v>390</v>
      </c>
      <c r="D179"/>
      <c r="E179" t="s">
        <v>127</v>
      </c>
      <c r="F179"/>
      <c r="G179" t="s">
        <v>226</v>
      </c>
      <c r="H179"/>
      <c r="I179" s="140">
        <v>46238.501296296294</v>
      </c>
      <c r="J179" t="s">
        <v>349</v>
      </c>
      <c r="K179" t="s">
        <v>296</v>
      </c>
      <c r="L179" s="139">
        <v>46173</v>
      </c>
      <c r="M179" t="s">
        <v>347</v>
      </c>
      <c r="N179" t="s">
        <v>313</v>
      </c>
      <c r="O179" t="s">
        <v>294</v>
      </c>
      <c r="P179" t="s">
        <v>348</v>
      </c>
      <c r="Q179" t="s">
        <v>295</v>
      </c>
    </row>
    <row r="180" spans="1:17" s="29" customFormat="1" hidden="1">
      <c r="A180" s="41">
        <v>4.7717105914351847E-2</v>
      </c>
      <c r="B180" t="s">
        <v>113</v>
      </c>
      <c r="C180"/>
      <c r="D180"/>
      <c r="E180" t="s">
        <v>60</v>
      </c>
      <c r="F180"/>
      <c r="G180" t="s">
        <v>117</v>
      </c>
      <c r="H180"/>
      <c r="I180" s="140">
        <v>46238.500752314816</v>
      </c>
      <c r="J180" t="s">
        <v>349</v>
      </c>
      <c r="K180" t="s">
        <v>296</v>
      </c>
      <c r="L180" s="139">
        <v>46173</v>
      </c>
      <c r="M180" t="s">
        <v>347</v>
      </c>
      <c r="N180" t="s">
        <v>313</v>
      </c>
      <c r="O180" t="s">
        <v>294</v>
      </c>
      <c r="P180" t="s">
        <v>348</v>
      </c>
      <c r="Q180" t="s">
        <v>295</v>
      </c>
    </row>
    <row r="181" spans="1:17" s="29" customFormat="1" hidden="1">
      <c r="A181" s="41">
        <v>4.7711825856481482E-2</v>
      </c>
      <c r="B181" t="s">
        <v>113</v>
      </c>
      <c r="C181"/>
      <c r="D181"/>
      <c r="E181" t="s">
        <v>127</v>
      </c>
      <c r="F181"/>
      <c r="G181" t="s">
        <v>117</v>
      </c>
      <c r="H181"/>
      <c r="I181" s="140">
        <v>46238.499212962961</v>
      </c>
      <c r="J181" t="s">
        <v>349</v>
      </c>
      <c r="K181" t="s">
        <v>296</v>
      </c>
      <c r="L181" s="139">
        <v>46173</v>
      </c>
      <c r="M181" t="s">
        <v>347</v>
      </c>
      <c r="N181" t="s">
        <v>313</v>
      </c>
      <c r="O181" t="s">
        <v>294</v>
      </c>
      <c r="P181" t="s">
        <v>348</v>
      </c>
      <c r="Q181" t="s">
        <v>295</v>
      </c>
    </row>
    <row r="182" spans="1:17" s="29" customFormat="1" hidden="1">
      <c r="A182" s="41">
        <v>4.7628801828703701E-2</v>
      </c>
      <c r="B182" t="s">
        <v>113</v>
      </c>
      <c r="C182"/>
      <c r="D182"/>
      <c r="E182" t="s">
        <v>127</v>
      </c>
      <c r="F182"/>
      <c r="G182" t="s">
        <v>117</v>
      </c>
      <c r="H182"/>
      <c r="I182" s="140">
        <v>46238.499131944445</v>
      </c>
      <c r="J182" t="s">
        <v>349</v>
      </c>
      <c r="K182" t="s">
        <v>296</v>
      </c>
      <c r="L182" s="139">
        <v>46173</v>
      </c>
      <c r="M182" t="s">
        <v>347</v>
      </c>
      <c r="N182" t="s">
        <v>313</v>
      </c>
      <c r="O182" t="s">
        <v>294</v>
      </c>
      <c r="P182" t="s">
        <v>348</v>
      </c>
      <c r="Q182" t="s">
        <v>295</v>
      </c>
    </row>
    <row r="183" spans="1:17" s="29" customFormat="1" hidden="1">
      <c r="A183" s="41">
        <v>4.7561161782407407E-2</v>
      </c>
      <c r="B183" t="s">
        <v>113</v>
      </c>
      <c r="C183"/>
      <c r="D183"/>
      <c r="E183" t="s">
        <v>127</v>
      </c>
      <c r="F183"/>
      <c r="G183" t="s">
        <v>117</v>
      </c>
      <c r="H183"/>
      <c r="I183" s="140">
        <v>46238.499050925922</v>
      </c>
      <c r="J183" t="s">
        <v>349</v>
      </c>
      <c r="K183" t="s">
        <v>296</v>
      </c>
      <c r="L183" s="139">
        <v>46173</v>
      </c>
      <c r="M183" t="s">
        <v>347</v>
      </c>
      <c r="N183" t="s">
        <v>313</v>
      </c>
      <c r="O183" t="s">
        <v>294</v>
      </c>
      <c r="P183" t="s">
        <v>348</v>
      </c>
      <c r="Q183" t="s">
        <v>295</v>
      </c>
    </row>
    <row r="184" spans="1:17" s="29" customFormat="1" hidden="1">
      <c r="A184" s="41">
        <v>4.7534056030092593E-2</v>
      </c>
      <c r="B184" t="s">
        <v>113</v>
      </c>
      <c r="C184"/>
      <c r="D184"/>
      <c r="E184" t="s">
        <v>248</v>
      </c>
      <c r="F184"/>
      <c r="G184" t="s">
        <v>117</v>
      </c>
      <c r="H184"/>
      <c r="I184" s="140">
        <v>46238.498981481483</v>
      </c>
      <c r="J184" t="s">
        <v>349</v>
      </c>
      <c r="K184" t="s">
        <v>296</v>
      </c>
      <c r="L184" s="139">
        <v>46173</v>
      </c>
      <c r="M184" t="s">
        <v>347</v>
      </c>
      <c r="N184" t="s">
        <v>313</v>
      </c>
      <c r="O184" t="s">
        <v>294</v>
      </c>
      <c r="P184" t="s">
        <v>348</v>
      </c>
      <c r="Q184" t="s">
        <v>295</v>
      </c>
    </row>
    <row r="185" spans="1:17" s="29" customFormat="1" hidden="1">
      <c r="A185" s="41">
        <v>4.7464028287037038E-2</v>
      </c>
      <c r="B185" t="s">
        <v>113</v>
      </c>
      <c r="C185"/>
      <c r="D185"/>
      <c r="E185" t="s">
        <v>119</v>
      </c>
      <c r="F185"/>
      <c r="G185" t="s">
        <v>226</v>
      </c>
      <c r="H185"/>
      <c r="I185" s="140">
        <v>46238.498784722222</v>
      </c>
      <c r="J185" t="s">
        <v>349</v>
      </c>
      <c r="K185" t="s">
        <v>296</v>
      </c>
      <c r="L185" s="139">
        <v>46173</v>
      </c>
      <c r="M185" t="s">
        <v>347</v>
      </c>
      <c r="N185" t="s">
        <v>313</v>
      </c>
      <c r="O185" t="s">
        <v>294</v>
      </c>
      <c r="P185" t="s">
        <v>348</v>
      </c>
      <c r="Q185" t="s">
        <v>295</v>
      </c>
    </row>
    <row r="186" spans="1:17" s="29" customFormat="1" hidden="1">
      <c r="A186" s="41">
        <v>4.7153535196759258E-2</v>
      </c>
      <c r="B186" t="s">
        <v>113</v>
      </c>
      <c r="C186"/>
      <c r="D186"/>
      <c r="E186" t="s">
        <v>88</v>
      </c>
      <c r="F186"/>
      <c r="G186" t="s">
        <v>117</v>
      </c>
      <c r="H186"/>
      <c r="I186" s="140">
        <v>46238.498472222222</v>
      </c>
      <c r="J186" t="s">
        <v>349</v>
      </c>
      <c r="K186" t="s">
        <v>296</v>
      </c>
      <c r="L186" s="139">
        <v>46173</v>
      </c>
      <c r="M186" t="s">
        <v>347</v>
      </c>
      <c r="N186" t="s">
        <v>313</v>
      </c>
      <c r="O186" t="s">
        <v>294</v>
      </c>
      <c r="P186" t="s">
        <v>348</v>
      </c>
      <c r="Q186" t="s">
        <v>295</v>
      </c>
    </row>
    <row r="187" spans="1:17" s="29" customFormat="1" hidden="1">
      <c r="A187" s="41">
        <v>4.6984442141203703E-2</v>
      </c>
      <c r="B187" t="s">
        <v>113</v>
      </c>
      <c r="C187"/>
      <c r="D187"/>
      <c r="E187" t="s">
        <v>127</v>
      </c>
      <c r="F187"/>
      <c r="G187" t="s">
        <v>117</v>
      </c>
      <c r="H187"/>
      <c r="I187" s="140">
        <v>46238.498298611114</v>
      </c>
      <c r="J187" t="s">
        <v>349</v>
      </c>
      <c r="K187" t="s">
        <v>296</v>
      </c>
      <c r="L187" s="139">
        <v>46173</v>
      </c>
      <c r="M187" t="s">
        <v>347</v>
      </c>
      <c r="N187" t="s">
        <v>313</v>
      </c>
      <c r="O187" t="s">
        <v>294</v>
      </c>
      <c r="P187" t="s">
        <v>348</v>
      </c>
      <c r="Q187" t="s">
        <v>295</v>
      </c>
    </row>
    <row r="188" spans="1:17" s="29" customFormat="1" hidden="1">
      <c r="A188" s="41">
        <v>4.6895281076388892E-2</v>
      </c>
      <c r="B188" t="s">
        <v>113</v>
      </c>
      <c r="C188"/>
      <c r="D188"/>
      <c r="E188" t="s">
        <v>127</v>
      </c>
      <c r="F188"/>
      <c r="G188" t="s">
        <v>117</v>
      </c>
      <c r="H188"/>
      <c r="I188" s="140">
        <v>46238.498217592591</v>
      </c>
      <c r="J188" t="s">
        <v>349</v>
      </c>
      <c r="K188" t="s">
        <v>296</v>
      </c>
      <c r="L188" s="139">
        <v>46173</v>
      </c>
      <c r="M188" t="s">
        <v>347</v>
      </c>
      <c r="N188" t="s">
        <v>313</v>
      </c>
      <c r="O188" t="s">
        <v>294</v>
      </c>
      <c r="P188" t="s">
        <v>348</v>
      </c>
      <c r="Q188" t="s">
        <v>295</v>
      </c>
    </row>
    <row r="189" spans="1:17" s="29" customFormat="1" hidden="1">
      <c r="A189" s="41">
        <v>4.6772304907407407E-2</v>
      </c>
      <c r="B189" t="s">
        <v>113</v>
      </c>
      <c r="C189"/>
      <c r="D189"/>
      <c r="E189" t="s">
        <v>120</v>
      </c>
      <c r="F189"/>
      <c r="G189" t="s">
        <v>117</v>
      </c>
      <c r="H189"/>
      <c r="I189" s="140">
        <v>46238.498090277775</v>
      </c>
      <c r="J189" t="s">
        <v>349</v>
      </c>
      <c r="K189" t="s">
        <v>296</v>
      </c>
      <c r="L189" s="139">
        <v>46173</v>
      </c>
      <c r="M189" t="s">
        <v>347</v>
      </c>
      <c r="N189" t="s">
        <v>313</v>
      </c>
      <c r="O189" t="s">
        <v>294</v>
      </c>
      <c r="P189" t="s">
        <v>348</v>
      </c>
      <c r="Q189" t="s">
        <v>295</v>
      </c>
    </row>
    <row r="190" spans="1:17" s="29" customFormat="1" hidden="1">
      <c r="A190" s="41">
        <v>4.6604485486111111E-2</v>
      </c>
      <c r="B190" t="s">
        <v>113</v>
      </c>
      <c r="C190"/>
      <c r="D190"/>
      <c r="E190" t="s">
        <v>275</v>
      </c>
      <c r="F190" t="s">
        <v>270</v>
      </c>
      <c r="G190" t="s">
        <v>117</v>
      </c>
      <c r="H190"/>
      <c r="I190" s="140">
        <v>46238.49590277778</v>
      </c>
      <c r="J190" t="s">
        <v>349</v>
      </c>
      <c r="K190" t="s">
        <v>296</v>
      </c>
      <c r="L190" s="139">
        <v>46173</v>
      </c>
      <c r="M190" t="s">
        <v>347</v>
      </c>
      <c r="N190" t="s">
        <v>313</v>
      </c>
      <c r="O190" t="s">
        <v>294</v>
      </c>
      <c r="P190" t="s">
        <v>348</v>
      </c>
      <c r="Q190" t="s">
        <v>295</v>
      </c>
    </row>
    <row r="191" spans="1:17" s="29" customFormat="1" hidden="1">
      <c r="A191" s="41">
        <v>4.6538197326388885E-2</v>
      </c>
      <c r="B191" t="s">
        <v>113</v>
      </c>
      <c r="C191"/>
      <c r="D191"/>
      <c r="E191" t="s">
        <v>88</v>
      </c>
      <c r="F191"/>
      <c r="G191" t="s">
        <v>117</v>
      </c>
      <c r="H191"/>
      <c r="I191" s="140">
        <v>46238.495567129627</v>
      </c>
      <c r="J191" t="s">
        <v>349</v>
      </c>
      <c r="K191" t="s">
        <v>296</v>
      </c>
      <c r="L191" s="139">
        <v>46173</v>
      </c>
      <c r="M191" t="s">
        <v>347</v>
      </c>
      <c r="N191" t="s">
        <v>313</v>
      </c>
      <c r="O191" t="s">
        <v>294</v>
      </c>
      <c r="P191" t="s">
        <v>348</v>
      </c>
      <c r="Q191" t="s">
        <v>295</v>
      </c>
    </row>
    <row r="192" spans="1:17" s="29" customFormat="1" hidden="1">
      <c r="A192" s="41">
        <v>4.6467446030092598E-2</v>
      </c>
      <c r="B192" t="s">
        <v>113</v>
      </c>
      <c r="C192"/>
      <c r="D192"/>
      <c r="E192" t="s">
        <v>127</v>
      </c>
      <c r="F192"/>
      <c r="G192" t="s">
        <v>117</v>
      </c>
      <c r="H192"/>
      <c r="I192" s="140">
        <v>46238.495497685188</v>
      </c>
      <c r="J192" t="s">
        <v>349</v>
      </c>
      <c r="K192" t="s">
        <v>296</v>
      </c>
      <c r="L192" s="139">
        <v>46173</v>
      </c>
      <c r="M192" t="s">
        <v>347</v>
      </c>
      <c r="N192" t="s">
        <v>313</v>
      </c>
      <c r="O192" t="s">
        <v>294</v>
      </c>
      <c r="P192" t="s">
        <v>348</v>
      </c>
      <c r="Q192" t="s">
        <v>295</v>
      </c>
    </row>
    <row r="193" spans="1:17" s="29" customFormat="1" hidden="1">
      <c r="A193" s="41">
        <v>4.6381402650462963E-2</v>
      </c>
      <c r="B193" t="s">
        <v>113</v>
      </c>
      <c r="C193"/>
      <c r="D193"/>
      <c r="E193" t="s">
        <v>127</v>
      </c>
      <c r="F193"/>
      <c r="G193" t="s">
        <v>117</v>
      </c>
      <c r="H193"/>
      <c r="I193" s="140">
        <v>46238.495416666665</v>
      </c>
      <c r="J193" t="s">
        <v>349</v>
      </c>
      <c r="K193" t="s">
        <v>296</v>
      </c>
      <c r="L193" s="139">
        <v>46173</v>
      </c>
      <c r="M193" t="s">
        <v>347</v>
      </c>
      <c r="N193" t="s">
        <v>313</v>
      </c>
      <c r="O193" t="s">
        <v>294</v>
      </c>
      <c r="P193" t="s">
        <v>348</v>
      </c>
      <c r="Q193" t="s">
        <v>295</v>
      </c>
    </row>
    <row r="194" spans="1:17" s="29" customFormat="1" hidden="1">
      <c r="A194" s="41">
        <v>4.6353700833333338E-2</v>
      </c>
      <c r="B194" t="s">
        <v>113</v>
      </c>
      <c r="C194"/>
      <c r="D194"/>
      <c r="E194" t="s">
        <v>58</v>
      </c>
      <c r="F194"/>
      <c r="G194" t="s">
        <v>117</v>
      </c>
      <c r="H194"/>
      <c r="I194" s="140">
        <v>46238.495381944442</v>
      </c>
      <c r="J194" t="s">
        <v>349</v>
      </c>
      <c r="K194" t="s">
        <v>296</v>
      </c>
      <c r="L194" s="139">
        <v>46173</v>
      </c>
      <c r="M194" t="s">
        <v>347</v>
      </c>
      <c r="N194" t="s">
        <v>313</v>
      </c>
      <c r="O194" t="s">
        <v>294</v>
      </c>
      <c r="P194" t="s">
        <v>348</v>
      </c>
      <c r="Q194" t="s">
        <v>295</v>
      </c>
    </row>
    <row r="195" spans="1:17" s="29" customFormat="1" hidden="1">
      <c r="A195" s="41">
        <v>4.6239933495370374E-2</v>
      </c>
      <c r="B195" t="s">
        <v>113</v>
      </c>
      <c r="C195"/>
      <c r="D195"/>
      <c r="E195" t="s">
        <v>127</v>
      </c>
      <c r="F195"/>
      <c r="G195" t="s">
        <v>117</v>
      </c>
      <c r="H195"/>
      <c r="I195" s="140">
        <v>46238.495266203703</v>
      </c>
      <c r="J195" t="s">
        <v>349</v>
      </c>
      <c r="K195" t="s">
        <v>296</v>
      </c>
      <c r="L195" s="139">
        <v>46173</v>
      </c>
      <c r="M195" t="s">
        <v>347</v>
      </c>
      <c r="N195" t="s">
        <v>313</v>
      </c>
      <c r="O195" t="s">
        <v>294</v>
      </c>
      <c r="P195" t="s">
        <v>348</v>
      </c>
      <c r="Q195" t="s">
        <v>295</v>
      </c>
    </row>
    <row r="196" spans="1:17" s="29" customFormat="1" hidden="1">
      <c r="A196" s="41">
        <v>4.616456027777778E-2</v>
      </c>
      <c r="B196" t="s">
        <v>113</v>
      </c>
      <c r="C196"/>
      <c r="D196"/>
      <c r="E196" t="s">
        <v>127</v>
      </c>
      <c r="F196"/>
      <c r="G196" t="s">
        <v>117</v>
      </c>
      <c r="H196"/>
      <c r="I196" s="140">
        <v>46238.495162037034</v>
      </c>
      <c r="J196" t="s">
        <v>349</v>
      </c>
      <c r="K196" t="s">
        <v>296</v>
      </c>
      <c r="L196" s="139">
        <v>46173</v>
      </c>
      <c r="M196" t="s">
        <v>347</v>
      </c>
      <c r="N196" t="s">
        <v>313</v>
      </c>
      <c r="O196" t="s">
        <v>294</v>
      </c>
      <c r="P196" t="s">
        <v>348</v>
      </c>
      <c r="Q196" t="s">
        <v>295</v>
      </c>
    </row>
    <row r="197" spans="1:17" s="29" customFormat="1" hidden="1">
      <c r="A197" s="41">
        <v>4.6015228356481482E-2</v>
      </c>
      <c r="B197" t="s">
        <v>113</v>
      </c>
      <c r="C197" t="s">
        <v>207</v>
      </c>
      <c r="D197"/>
      <c r="E197" t="s">
        <v>130</v>
      </c>
      <c r="F197"/>
      <c r="G197" t="s">
        <v>117</v>
      </c>
      <c r="H197"/>
      <c r="I197" s="140">
        <v>46238.494930555556</v>
      </c>
      <c r="J197" t="s">
        <v>349</v>
      </c>
      <c r="K197" t="s">
        <v>296</v>
      </c>
      <c r="L197" s="139">
        <v>46173</v>
      </c>
      <c r="M197" t="s">
        <v>347</v>
      </c>
      <c r="N197" t="s">
        <v>313</v>
      </c>
      <c r="O197" t="s">
        <v>294</v>
      </c>
      <c r="P197" t="s">
        <v>348</v>
      </c>
      <c r="Q197" t="s">
        <v>295</v>
      </c>
    </row>
    <row r="198" spans="1:17" s="29" customFormat="1" hidden="1">
      <c r="A198" s="41">
        <v>4.5963046550925923E-2</v>
      </c>
      <c r="B198" t="s">
        <v>113</v>
      </c>
      <c r="C198"/>
      <c r="D198"/>
      <c r="E198" t="s">
        <v>123</v>
      </c>
      <c r="F198"/>
      <c r="G198" t="s">
        <v>117</v>
      </c>
      <c r="H198"/>
      <c r="I198" s="140">
        <v>46238.494618055556</v>
      </c>
      <c r="J198" t="s">
        <v>349</v>
      </c>
      <c r="K198" t="s">
        <v>296</v>
      </c>
      <c r="L198" s="139">
        <v>46173</v>
      </c>
      <c r="M198" t="s">
        <v>347</v>
      </c>
      <c r="N198" t="s">
        <v>313</v>
      </c>
      <c r="O198" t="s">
        <v>294</v>
      </c>
      <c r="P198" t="s">
        <v>348</v>
      </c>
      <c r="Q198" t="s">
        <v>295</v>
      </c>
    </row>
    <row r="199" spans="1:17" s="29" customFormat="1" hidden="1">
      <c r="A199" s="41">
        <v>4.4478482951388891E-2</v>
      </c>
      <c r="B199" t="s">
        <v>113</v>
      </c>
      <c r="C199"/>
      <c r="D199"/>
      <c r="E199" t="s">
        <v>88</v>
      </c>
      <c r="F199"/>
      <c r="G199" t="s">
        <v>226</v>
      </c>
      <c r="H199"/>
      <c r="I199" s="140">
        <v>46238.494259259256</v>
      </c>
      <c r="J199" t="s">
        <v>349</v>
      </c>
      <c r="K199" t="s">
        <v>296</v>
      </c>
      <c r="L199" s="139">
        <v>46173</v>
      </c>
      <c r="M199" t="s">
        <v>347</v>
      </c>
      <c r="N199" t="s">
        <v>313</v>
      </c>
      <c r="O199" t="s">
        <v>294</v>
      </c>
      <c r="P199" t="s">
        <v>348</v>
      </c>
      <c r="Q199" t="s">
        <v>295</v>
      </c>
    </row>
    <row r="200" spans="1:17" s="29" customFormat="1" hidden="1">
      <c r="A200" s="41">
        <v>4.4440090300925925E-2</v>
      </c>
      <c r="B200" t="s">
        <v>113</v>
      </c>
      <c r="C200"/>
      <c r="D200"/>
      <c r="E200" t="s">
        <v>250</v>
      </c>
      <c r="F200"/>
      <c r="G200" t="s">
        <v>226</v>
      </c>
      <c r="H200"/>
      <c r="I200" s="140">
        <v>46238.494189814817</v>
      </c>
      <c r="J200" t="s">
        <v>349</v>
      </c>
      <c r="K200" t="s">
        <v>296</v>
      </c>
      <c r="L200" s="139">
        <v>46173</v>
      </c>
      <c r="M200" t="s">
        <v>347</v>
      </c>
      <c r="N200" t="s">
        <v>313</v>
      </c>
      <c r="O200" t="s">
        <v>294</v>
      </c>
      <c r="P200" t="s">
        <v>348</v>
      </c>
      <c r="Q200" t="s">
        <v>295</v>
      </c>
    </row>
    <row r="201" spans="1:17" s="29" customFormat="1" hidden="1">
      <c r="A201" s="41">
        <v>4.4403152407407408E-2</v>
      </c>
      <c r="B201" t="s">
        <v>113</v>
      </c>
      <c r="C201"/>
      <c r="D201"/>
      <c r="E201" t="s">
        <v>246</v>
      </c>
      <c r="F201"/>
      <c r="G201" t="s">
        <v>117</v>
      </c>
      <c r="H201"/>
      <c r="I201" s="140">
        <v>46238.494143518517</v>
      </c>
      <c r="J201" t="s">
        <v>349</v>
      </c>
      <c r="K201" t="s">
        <v>296</v>
      </c>
      <c r="L201" s="139">
        <v>46173</v>
      </c>
      <c r="M201" t="s">
        <v>347</v>
      </c>
      <c r="N201" t="s">
        <v>313</v>
      </c>
      <c r="O201" t="s">
        <v>294</v>
      </c>
      <c r="P201" t="s">
        <v>348</v>
      </c>
      <c r="Q201" t="s">
        <v>295</v>
      </c>
    </row>
    <row r="202" spans="1:17" s="29" customFormat="1" hidden="1">
      <c r="A202" s="41">
        <v>4.4359913182870372E-2</v>
      </c>
      <c r="B202" t="s">
        <v>113</v>
      </c>
      <c r="C202"/>
      <c r="D202"/>
      <c r="E202" t="s">
        <v>399</v>
      </c>
      <c r="F202"/>
      <c r="G202" t="s">
        <v>117</v>
      </c>
      <c r="H202"/>
      <c r="I202" s="140">
        <v>46238.494074074071</v>
      </c>
      <c r="J202" t="s">
        <v>349</v>
      </c>
      <c r="K202" t="s">
        <v>296</v>
      </c>
      <c r="L202" s="139">
        <v>46173</v>
      </c>
      <c r="M202" t="s">
        <v>347</v>
      </c>
      <c r="N202" t="s">
        <v>313</v>
      </c>
      <c r="O202" t="s">
        <v>294</v>
      </c>
      <c r="P202" t="s">
        <v>348</v>
      </c>
      <c r="Q202" t="s">
        <v>295</v>
      </c>
    </row>
    <row r="203" spans="1:17" s="29" customFormat="1" hidden="1">
      <c r="A203" s="41">
        <v>4.4290992384259265E-2</v>
      </c>
      <c r="B203" t="s">
        <v>113</v>
      </c>
      <c r="C203"/>
      <c r="D203"/>
      <c r="E203" t="s">
        <v>124</v>
      </c>
      <c r="F203"/>
      <c r="G203" t="s">
        <v>117</v>
      </c>
      <c r="H203"/>
      <c r="I203" s="140">
        <v>46238.493877314817</v>
      </c>
      <c r="J203" t="s">
        <v>349</v>
      </c>
      <c r="K203" t="s">
        <v>296</v>
      </c>
      <c r="L203" s="139">
        <v>46173</v>
      </c>
      <c r="M203" t="s">
        <v>347</v>
      </c>
      <c r="N203" t="s">
        <v>313</v>
      </c>
      <c r="O203" t="s">
        <v>294</v>
      </c>
      <c r="P203" t="s">
        <v>348</v>
      </c>
      <c r="Q203" t="s">
        <v>295</v>
      </c>
    </row>
    <row r="204" spans="1:17" s="29" customFormat="1" hidden="1">
      <c r="A204" s="41">
        <v>4.3814484687500002E-2</v>
      </c>
      <c r="B204" t="s">
        <v>113</v>
      </c>
      <c r="C204"/>
      <c r="D204"/>
      <c r="E204" t="s">
        <v>88</v>
      </c>
      <c r="F204"/>
      <c r="G204" t="s">
        <v>117</v>
      </c>
      <c r="H204"/>
      <c r="I204" s="140">
        <v>46238.493402777778</v>
      </c>
      <c r="J204" t="s">
        <v>349</v>
      </c>
      <c r="K204" t="s">
        <v>296</v>
      </c>
      <c r="L204" s="139">
        <v>46173</v>
      </c>
      <c r="M204" t="s">
        <v>347</v>
      </c>
      <c r="N204" t="s">
        <v>313</v>
      </c>
      <c r="O204" t="s">
        <v>294</v>
      </c>
      <c r="P204" t="s">
        <v>348</v>
      </c>
      <c r="Q204" t="s">
        <v>295</v>
      </c>
    </row>
    <row r="205" spans="1:17" s="29" customFormat="1" hidden="1">
      <c r="A205" s="41">
        <v>4.3796022430555553E-2</v>
      </c>
      <c r="B205" t="s">
        <v>113</v>
      </c>
      <c r="C205"/>
      <c r="D205"/>
      <c r="E205" t="s">
        <v>245</v>
      </c>
      <c r="F205"/>
      <c r="G205" t="s">
        <v>226</v>
      </c>
      <c r="H205"/>
      <c r="I205" s="140">
        <v>46238.493379629632</v>
      </c>
      <c r="J205" t="s">
        <v>349</v>
      </c>
      <c r="K205" t="s">
        <v>296</v>
      </c>
      <c r="L205" s="139">
        <v>46173</v>
      </c>
      <c r="M205" t="s">
        <v>347</v>
      </c>
      <c r="N205" t="s">
        <v>313</v>
      </c>
      <c r="O205" t="s">
        <v>294</v>
      </c>
      <c r="P205" t="s">
        <v>348</v>
      </c>
      <c r="Q205" t="s">
        <v>295</v>
      </c>
    </row>
    <row r="206" spans="1:17" s="29" customFormat="1" hidden="1">
      <c r="A206" s="41">
        <v>4.3771608090277775E-2</v>
      </c>
      <c r="B206" t="s">
        <v>113</v>
      </c>
      <c r="C206"/>
      <c r="D206"/>
      <c r="E206" t="s">
        <v>250</v>
      </c>
      <c r="F206"/>
      <c r="G206" t="s">
        <v>226</v>
      </c>
      <c r="H206"/>
      <c r="I206" s="140">
        <v>46238.493333333332</v>
      </c>
      <c r="J206" t="s">
        <v>349</v>
      </c>
      <c r="K206" t="s">
        <v>296</v>
      </c>
      <c r="L206" s="139">
        <v>46173</v>
      </c>
      <c r="M206" t="s">
        <v>347</v>
      </c>
      <c r="N206" t="s">
        <v>313</v>
      </c>
      <c r="O206" t="s">
        <v>294</v>
      </c>
      <c r="P206" t="s">
        <v>348</v>
      </c>
      <c r="Q206" t="s">
        <v>295</v>
      </c>
    </row>
    <row r="207" spans="1:17" s="29" customFormat="1" hidden="1">
      <c r="A207" s="41">
        <v>4.3731530416666664E-2</v>
      </c>
      <c r="B207" t="s">
        <v>113</v>
      </c>
      <c r="C207"/>
      <c r="D207"/>
      <c r="E207" t="s">
        <v>246</v>
      </c>
      <c r="F207"/>
      <c r="G207" t="s">
        <v>117</v>
      </c>
      <c r="H207"/>
      <c r="I207" s="140">
        <v>46238.493275462963</v>
      </c>
      <c r="J207" t="s">
        <v>349</v>
      </c>
      <c r="K207" t="s">
        <v>296</v>
      </c>
      <c r="L207" s="139">
        <v>46173</v>
      </c>
      <c r="M207" t="s">
        <v>347</v>
      </c>
      <c r="N207" t="s">
        <v>313</v>
      </c>
      <c r="O207" t="s">
        <v>294</v>
      </c>
      <c r="P207" t="s">
        <v>348</v>
      </c>
      <c r="Q207" t="s">
        <v>295</v>
      </c>
    </row>
    <row r="208" spans="1:17" s="29" customFormat="1" hidden="1">
      <c r="A208" s="41">
        <v>4.3709717777777775E-2</v>
      </c>
      <c r="B208" t="s">
        <v>113</v>
      </c>
      <c r="C208"/>
      <c r="D208"/>
      <c r="E208" t="s">
        <v>248</v>
      </c>
      <c r="F208"/>
      <c r="G208" t="s">
        <v>117</v>
      </c>
      <c r="H208"/>
      <c r="I208" s="140">
        <v>46238.493217592593</v>
      </c>
      <c r="J208" t="s">
        <v>349</v>
      </c>
      <c r="K208" t="s">
        <v>296</v>
      </c>
      <c r="L208" s="139">
        <v>46173</v>
      </c>
      <c r="M208" t="s">
        <v>347</v>
      </c>
      <c r="N208" t="s">
        <v>313</v>
      </c>
      <c r="O208" t="s">
        <v>294</v>
      </c>
      <c r="P208" t="s">
        <v>348</v>
      </c>
      <c r="Q208" t="s">
        <v>295</v>
      </c>
    </row>
    <row r="209" spans="1:17" s="29" customFormat="1" hidden="1">
      <c r="A209" s="41">
        <v>4.368516043981481E-2</v>
      </c>
      <c r="B209" t="s">
        <v>113</v>
      </c>
      <c r="C209"/>
      <c r="D209"/>
      <c r="E209" t="s">
        <v>246</v>
      </c>
      <c r="F209"/>
      <c r="G209" t="s">
        <v>117</v>
      </c>
      <c r="H209"/>
      <c r="I209" s="140">
        <v>46238.49318287037</v>
      </c>
      <c r="J209" t="s">
        <v>349</v>
      </c>
      <c r="K209" t="s">
        <v>296</v>
      </c>
      <c r="L209" s="139">
        <v>46173</v>
      </c>
      <c r="M209" t="s">
        <v>347</v>
      </c>
      <c r="N209" t="s">
        <v>313</v>
      </c>
      <c r="O209" t="s">
        <v>294</v>
      </c>
      <c r="P209" t="s">
        <v>348</v>
      </c>
      <c r="Q209" t="s">
        <v>295</v>
      </c>
    </row>
    <row r="210" spans="1:17" s="29" customFormat="1" hidden="1">
      <c r="A210" s="41">
        <v>4.3557458275462965E-2</v>
      </c>
      <c r="B210" t="s">
        <v>113</v>
      </c>
      <c r="C210"/>
      <c r="D210"/>
      <c r="E210" t="s">
        <v>405</v>
      </c>
      <c r="F210"/>
      <c r="G210" t="s">
        <v>226</v>
      </c>
      <c r="H210"/>
      <c r="I210" s="140">
        <v>46238.493009259262</v>
      </c>
      <c r="J210" t="s">
        <v>349</v>
      </c>
      <c r="K210" t="s">
        <v>296</v>
      </c>
      <c r="L210" s="139">
        <v>46173</v>
      </c>
      <c r="M210" t="s">
        <v>347</v>
      </c>
      <c r="N210" t="s">
        <v>313</v>
      </c>
      <c r="O210" t="s">
        <v>294</v>
      </c>
      <c r="P210" t="s">
        <v>348</v>
      </c>
      <c r="Q210" t="s">
        <v>295</v>
      </c>
    </row>
    <row r="211" spans="1:17" s="29" customFormat="1" hidden="1">
      <c r="A211" s="41">
        <v>4.3495994074074076E-2</v>
      </c>
      <c r="B211" t="s">
        <v>113</v>
      </c>
      <c r="C211"/>
      <c r="D211"/>
      <c r="E211" t="s">
        <v>124</v>
      </c>
      <c r="F211"/>
      <c r="G211" t="s">
        <v>226</v>
      </c>
      <c r="H211"/>
      <c r="I211" s="140">
        <v>46238.492951388886</v>
      </c>
      <c r="J211" t="s">
        <v>349</v>
      </c>
      <c r="K211" t="s">
        <v>296</v>
      </c>
      <c r="L211" s="139">
        <v>46173</v>
      </c>
      <c r="M211" t="s">
        <v>347</v>
      </c>
      <c r="N211" t="s">
        <v>313</v>
      </c>
      <c r="O211" t="s">
        <v>294</v>
      </c>
      <c r="P211" t="s">
        <v>348</v>
      </c>
      <c r="Q211" t="s">
        <v>295</v>
      </c>
    </row>
    <row r="212" spans="1:17" s="29" customFormat="1" hidden="1">
      <c r="A212" s="41">
        <v>4.3154742002314811E-2</v>
      </c>
      <c r="B212" t="s">
        <v>113</v>
      </c>
      <c r="C212"/>
      <c r="D212"/>
      <c r="E212" t="s">
        <v>245</v>
      </c>
      <c r="F212"/>
      <c r="G212" t="s">
        <v>117</v>
      </c>
      <c r="H212"/>
      <c r="I212" s="140">
        <v>46238.492615740739</v>
      </c>
      <c r="J212" t="s">
        <v>349</v>
      </c>
      <c r="K212" t="s">
        <v>296</v>
      </c>
      <c r="L212" s="139">
        <v>46173</v>
      </c>
      <c r="M212" t="s">
        <v>347</v>
      </c>
      <c r="N212" t="s">
        <v>313</v>
      </c>
      <c r="O212" t="s">
        <v>294</v>
      </c>
      <c r="P212" t="s">
        <v>348</v>
      </c>
      <c r="Q212" t="s">
        <v>295</v>
      </c>
    </row>
    <row r="213" spans="1:17" s="29" customFormat="1" hidden="1">
      <c r="A213" s="41">
        <v>4.310861806712963E-2</v>
      </c>
      <c r="B213" t="s">
        <v>113</v>
      </c>
      <c r="C213"/>
      <c r="D213"/>
      <c r="E213" t="s">
        <v>88</v>
      </c>
      <c r="F213"/>
      <c r="G213" t="s">
        <v>117</v>
      </c>
      <c r="H213"/>
      <c r="I213" s="140">
        <v>46238.492569444446</v>
      </c>
      <c r="J213" t="s">
        <v>349</v>
      </c>
      <c r="K213" t="s">
        <v>296</v>
      </c>
      <c r="L213" s="139">
        <v>46173</v>
      </c>
      <c r="M213" t="s">
        <v>347</v>
      </c>
      <c r="N213" t="s">
        <v>313</v>
      </c>
      <c r="O213" t="s">
        <v>294</v>
      </c>
      <c r="P213" t="s">
        <v>348</v>
      </c>
      <c r="Q213" t="s">
        <v>295</v>
      </c>
    </row>
    <row r="214" spans="1:17" s="29" customFormat="1" hidden="1">
      <c r="A214" s="41">
        <v>4.3037910578703702E-2</v>
      </c>
      <c r="B214" t="s">
        <v>113</v>
      </c>
      <c r="C214"/>
      <c r="D214"/>
      <c r="E214" t="s">
        <v>127</v>
      </c>
      <c r="F214"/>
      <c r="G214" t="s">
        <v>117</v>
      </c>
      <c r="H214"/>
      <c r="I214" s="140">
        <v>46238.4925</v>
      </c>
      <c r="J214" t="s">
        <v>349</v>
      </c>
      <c r="K214" t="s">
        <v>296</v>
      </c>
      <c r="L214" s="139">
        <v>46173</v>
      </c>
      <c r="M214" t="s">
        <v>347</v>
      </c>
      <c r="N214" t="s">
        <v>313</v>
      </c>
      <c r="O214" t="s">
        <v>294</v>
      </c>
      <c r="P214" t="s">
        <v>348</v>
      </c>
      <c r="Q214" t="s">
        <v>295</v>
      </c>
    </row>
    <row r="215" spans="1:17" s="29" customFormat="1" hidden="1">
      <c r="A215" s="41">
        <v>4.2973375983796296E-2</v>
      </c>
      <c r="B215" t="s">
        <v>113</v>
      </c>
      <c r="C215"/>
      <c r="D215"/>
      <c r="E215" t="s">
        <v>127</v>
      </c>
      <c r="F215"/>
      <c r="G215" t="s">
        <v>117</v>
      </c>
      <c r="H215"/>
      <c r="I215" s="140">
        <v>46238.492418981485</v>
      </c>
      <c r="J215" t="s">
        <v>349</v>
      </c>
      <c r="K215" t="s">
        <v>296</v>
      </c>
      <c r="L215" s="139">
        <v>46173</v>
      </c>
      <c r="M215" t="s">
        <v>347</v>
      </c>
      <c r="N215" t="s">
        <v>313</v>
      </c>
      <c r="O215" t="s">
        <v>294</v>
      </c>
      <c r="P215" t="s">
        <v>348</v>
      </c>
      <c r="Q215" t="s">
        <v>295</v>
      </c>
    </row>
    <row r="216" spans="1:17" s="29" customFormat="1" hidden="1">
      <c r="A216" s="41">
        <v>4.2909494386574071E-2</v>
      </c>
      <c r="B216" t="s">
        <v>113</v>
      </c>
      <c r="C216"/>
      <c r="D216"/>
      <c r="E216" t="s">
        <v>127</v>
      </c>
      <c r="F216"/>
      <c r="G216" t="s">
        <v>117</v>
      </c>
      <c r="H216"/>
      <c r="I216" s="140">
        <v>46238.492326388892</v>
      </c>
      <c r="J216" t="s">
        <v>349</v>
      </c>
      <c r="K216" t="s">
        <v>296</v>
      </c>
      <c r="L216" s="139">
        <v>46173</v>
      </c>
      <c r="M216" t="s">
        <v>347</v>
      </c>
      <c r="N216" t="s">
        <v>313</v>
      </c>
      <c r="O216" t="s">
        <v>294</v>
      </c>
      <c r="P216" t="s">
        <v>348</v>
      </c>
      <c r="Q216" t="s">
        <v>295</v>
      </c>
    </row>
    <row r="217" spans="1:17" s="29" customFormat="1" hidden="1">
      <c r="A217" s="41">
        <v>4.2851782824074078E-2</v>
      </c>
      <c r="B217" t="s">
        <v>113</v>
      </c>
      <c r="C217" t="s">
        <v>386</v>
      </c>
      <c r="D217"/>
      <c r="E217" t="s">
        <v>130</v>
      </c>
      <c r="F217"/>
      <c r="G217" t="s">
        <v>117</v>
      </c>
      <c r="H217"/>
      <c r="I217" s="140">
        <v>46238.492268518516</v>
      </c>
      <c r="J217" t="s">
        <v>349</v>
      </c>
      <c r="K217" t="s">
        <v>296</v>
      </c>
      <c r="L217" s="139">
        <v>46173</v>
      </c>
      <c r="M217" t="s">
        <v>347</v>
      </c>
      <c r="N217" t="s">
        <v>313</v>
      </c>
      <c r="O217" t="s">
        <v>294</v>
      </c>
      <c r="P217" t="s">
        <v>348</v>
      </c>
      <c r="Q217" t="s">
        <v>295</v>
      </c>
    </row>
    <row r="218" spans="1:17" s="29" customFormat="1" hidden="1">
      <c r="A218" s="41">
        <v>4.2808750254629629E-2</v>
      </c>
      <c r="B218" t="s">
        <v>113</v>
      </c>
      <c r="C218"/>
      <c r="D218"/>
      <c r="E218" t="s">
        <v>123</v>
      </c>
      <c r="F218"/>
      <c r="G218" t="s">
        <v>117</v>
      </c>
      <c r="H218"/>
      <c r="I218" s="140">
        <v>46238.492199074077</v>
      </c>
      <c r="J218" t="s">
        <v>349</v>
      </c>
      <c r="K218" t="s">
        <v>296</v>
      </c>
      <c r="L218" s="139">
        <v>46173</v>
      </c>
      <c r="M218" t="s">
        <v>347</v>
      </c>
      <c r="N218" t="s">
        <v>313</v>
      </c>
      <c r="O218" t="s">
        <v>294</v>
      </c>
      <c r="P218" t="s">
        <v>348</v>
      </c>
      <c r="Q218" t="s">
        <v>295</v>
      </c>
    </row>
    <row r="219" spans="1:17" s="29" customFormat="1" hidden="1">
      <c r="A219" s="41">
        <v>4.2448805763888889E-2</v>
      </c>
      <c r="B219" t="s">
        <v>113</v>
      </c>
      <c r="C219"/>
      <c r="D219"/>
      <c r="E219" t="s">
        <v>88</v>
      </c>
      <c r="F219"/>
      <c r="G219" t="s">
        <v>226</v>
      </c>
      <c r="H219"/>
      <c r="I219" s="140">
        <v>46238.491296296299</v>
      </c>
      <c r="J219" t="s">
        <v>349</v>
      </c>
      <c r="K219" t="s">
        <v>296</v>
      </c>
      <c r="L219" s="139">
        <v>46173</v>
      </c>
      <c r="M219" t="s">
        <v>347</v>
      </c>
      <c r="N219" t="s">
        <v>313</v>
      </c>
      <c r="O219" t="s">
        <v>294</v>
      </c>
      <c r="P219" t="s">
        <v>348</v>
      </c>
      <c r="Q219" t="s">
        <v>295</v>
      </c>
    </row>
    <row r="220" spans="1:17" s="29" customFormat="1" hidden="1">
      <c r="A220" s="41">
        <v>4.2406860439814814E-2</v>
      </c>
      <c r="B220" t="s">
        <v>113</v>
      </c>
      <c r="C220" t="s">
        <v>213</v>
      </c>
      <c r="D220"/>
      <c r="E220" t="s">
        <v>127</v>
      </c>
      <c r="F220"/>
      <c r="G220" t="s">
        <v>226</v>
      </c>
      <c r="H220"/>
      <c r="I220" s="140">
        <v>46238.491226851853</v>
      </c>
      <c r="J220" t="s">
        <v>349</v>
      </c>
      <c r="K220" t="s">
        <v>296</v>
      </c>
      <c r="L220" s="139">
        <v>46173</v>
      </c>
      <c r="M220" t="s">
        <v>347</v>
      </c>
      <c r="N220" t="s">
        <v>313</v>
      </c>
      <c r="O220" t="s">
        <v>294</v>
      </c>
      <c r="P220" t="s">
        <v>348</v>
      </c>
      <c r="Q220" t="s">
        <v>295</v>
      </c>
    </row>
    <row r="221" spans="1:17" s="29" customFormat="1" hidden="1">
      <c r="A221" s="41">
        <v>4.2371981296296296E-2</v>
      </c>
      <c r="B221" t="s">
        <v>113</v>
      </c>
      <c r="C221" t="s">
        <v>214</v>
      </c>
      <c r="D221"/>
      <c r="E221" t="s">
        <v>127</v>
      </c>
      <c r="F221"/>
      <c r="G221" t="s">
        <v>226</v>
      </c>
      <c r="H221"/>
      <c r="I221" s="140">
        <v>46238.491111111114</v>
      </c>
      <c r="J221" t="s">
        <v>349</v>
      </c>
      <c r="K221" t="s">
        <v>296</v>
      </c>
      <c r="L221" s="139">
        <v>46173</v>
      </c>
      <c r="M221" t="s">
        <v>347</v>
      </c>
      <c r="N221" t="s">
        <v>313</v>
      </c>
      <c r="O221" t="s">
        <v>294</v>
      </c>
      <c r="P221" t="s">
        <v>348</v>
      </c>
      <c r="Q221" t="s">
        <v>295</v>
      </c>
    </row>
    <row r="222" spans="1:17" s="29" customFormat="1" hidden="1">
      <c r="A222" s="41">
        <v>4.2332397337962964E-2</v>
      </c>
      <c r="B222" t="s">
        <v>113</v>
      </c>
      <c r="C222"/>
      <c r="D222"/>
      <c r="E222" t="s">
        <v>120</v>
      </c>
      <c r="F222"/>
      <c r="G222" t="s">
        <v>226</v>
      </c>
      <c r="H222"/>
      <c r="I222" s="140">
        <v>46238.490833333337</v>
      </c>
      <c r="J222" t="s">
        <v>349</v>
      </c>
      <c r="K222" t="s">
        <v>296</v>
      </c>
      <c r="L222" s="139">
        <v>46173</v>
      </c>
      <c r="M222" t="s">
        <v>347</v>
      </c>
      <c r="N222" t="s">
        <v>313</v>
      </c>
      <c r="O222" t="s">
        <v>294</v>
      </c>
      <c r="P222" t="s">
        <v>348</v>
      </c>
      <c r="Q222" t="s">
        <v>295</v>
      </c>
    </row>
    <row r="223" spans="1:17" s="29" customFormat="1" hidden="1">
      <c r="A223" s="41">
        <v>4.1331016817129626E-2</v>
      </c>
      <c r="B223" t="s">
        <v>113</v>
      </c>
      <c r="C223"/>
      <c r="D223"/>
      <c r="E223" t="s">
        <v>88</v>
      </c>
      <c r="F223"/>
      <c r="G223" t="s">
        <v>117</v>
      </c>
      <c r="H223"/>
      <c r="I223" s="140">
        <v>46238.490555555552</v>
      </c>
      <c r="J223" t="s">
        <v>349</v>
      </c>
      <c r="K223" t="s">
        <v>296</v>
      </c>
      <c r="L223" s="139">
        <v>46173</v>
      </c>
      <c r="M223" t="s">
        <v>347</v>
      </c>
      <c r="N223" t="s">
        <v>313</v>
      </c>
      <c r="O223" t="s">
        <v>294</v>
      </c>
      <c r="P223" t="s">
        <v>348</v>
      </c>
      <c r="Q223" t="s">
        <v>295</v>
      </c>
    </row>
    <row r="224" spans="1:17" s="29" customFormat="1" hidden="1">
      <c r="A224" s="41">
        <v>4.133954180555556E-2</v>
      </c>
      <c r="B224" t="s">
        <v>113</v>
      </c>
      <c r="C224"/>
      <c r="D224"/>
      <c r="E224" t="s">
        <v>275</v>
      </c>
      <c r="F224" t="s">
        <v>269</v>
      </c>
      <c r="G224" t="s">
        <v>117</v>
      </c>
      <c r="H224"/>
      <c r="I224" s="140">
        <v>46238.490034722221</v>
      </c>
      <c r="J224" t="s">
        <v>349</v>
      </c>
      <c r="K224" t="s">
        <v>296</v>
      </c>
      <c r="L224" s="139">
        <v>46173</v>
      </c>
      <c r="M224" t="s">
        <v>347</v>
      </c>
      <c r="N224" t="s">
        <v>313</v>
      </c>
      <c r="O224" t="s">
        <v>294</v>
      </c>
      <c r="P224" t="s">
        <v>348</v>
      </c>
      <c r="Q224" t="s">
        <v>295</v>
      </c>
    </row>
    <row r="225" spans="1:17" s="29" customFormat="1" hidden="1">
      <c r="A225" s="41">
        <v>4.133954180555556E-2</v>
      </c>
      <c r="B225" t="s">
        <v>113</v>
      </c>
      <c r="C225" t="s">
        <v>83</v>
      </c>
      <c r="D225"/>
      <c r="E225" t="s">
        <v>60</v>
      </c>
      <c r="F225"/>
      <c r="G225" t="s">
        <v>226</v>
      </c>
      <c r="H225"/>
      <c r="I225" s="140">
        <v>46238.490011574075</v>
      </c>
      <c r="J225" t="s">
        <v>349</v>
      </c>
      <c r="K225" t="s">
        <v>296</v>
      </c>
      <c r="L225" s="139">
        <v>46173</v>
      </c>
      <c r="M225" t="s">
        <v>347</v>
      </c>
      <c r="N225" t="s">
        <v>313</v>
      </c>
      <c r="O225" t="s">
        <v>294</v>
      </c>
      <c r="P225" t="s">
        <v>348</v>
      </c>
      <c r="Q225" t="s">
        <v>295</v>
      </c>
    </row>
    <row r="226" spans="1:17" s="29" customFormat="1" hidden="1">
      <c r="A226" s="41">
        <v>4.1282200682870369E-2</v>
      </c>
      <c r="B226" t="s">
        <v>113</v>
      </c>
      <c r="C226" t="s">
        <v>216</v>
      </c>
      <c r="D226"/>
      <c r="E226" t="s">
        <v>127</v>
      </c>
      <c r="F226"/>
      <c r="G226" t="s">
        <v>226</v>
      </c>
      <c r="H226"/>
      <c r="I226" s="140">
        <v>46238.489768518521</v>
      </c>
      <c r="J226" t="s">
        <v>349</v>
      </c>
      <c r="K226" t="s">
        <v>296</v>
      </c>
      <c r="L226" s="139">
        <v>46173</v>
      </c>
      <c r="M226" t="s">
        <v>347</v>
      </c>
      <c r="N226" t="s">
        <v>313</v>
      </c>
      <c r="O226" t="s">
        <v>294</v>
      </c>
      <c r="P226" t="s">
        <v>348</v>
      </c>
      <c r="Q226" t="s">
        <v>295</v>
      </c>
    </row>
    <row r="227" spans="1:17" s="29" customFormat="1" hidden="1">
      <c r="A227" s="41">
        <v>4.1266959618055557E-2</v>
      </c>
      <c r="B227" t="s">
        <v>113</v>
      </c>
      <c r="C227" t="s">
        <v>367</v>
      </c>
      <c r="D227"/>
      <c r="E227" t="s">
        <v>127</v>
      </c>
      <c r="F227"/>
      <c r="G227" t="s">
        <v>226</v>
      </c>
      <c r="H227"/>
      <c r="I227" s="140">
        <v>46238.489502314813</v>
      </c>
      <c r="J227" t="s">
        <v>349</v>
      </c>
      <c r="K227" t="s">
        <v>296</v>
      </c>
      <c r="L227" s="139">
        <v>46173</v>
      </c>
      <c r="M227" t="s">
        <v>347</v>
      </c>
      <c r="N227" t="s">
        <v>313</v>
      </c>
      <c r="O227" t="s">
        <v>294</v>
      </c>
      <c r="P227" t="s">
        <v>348</v>
      </c>
      <c r="Q227" t="s">
        <v>295</v>
      </c>
    </row>
    <row r="228" spans="1:17" s="29" customFormat="1" hidden="1">
      <c r="A228" s="41">
        <v>4.1243848240740739E-2</v>
      </c>
      <c r="B228" t="s">
        <v>113</v>
      </c>
      <c r="C228" t="s">
        <v>212</v>
      </c>
      <c r="D228"/>
      <c r="E228" t="s">
        <v>59</v>
      </c>
      <c r="F228"/>
      <c r="G228" t="s">
        <v>226</v>
      </c>
      <c r="H228"/>
      <c r="I228" s="140">
        <v>46238.489386574074</v>
      </c>
      <c r="J228" t="s">
        <v>349</v>
      </c>
      <c r="K228" t="s">
        <v>296</v>
      </c>
      <c r="L228" s="139">
        <v>46173</v>
      </c>
      <c r="M228" t="s">
        <v>347</v>
      </c>
      <c r="N228" t="s">
        <v>313</v>
      </c>
      <c r="O228" t="s">
        <v>294</v>
      </c>
      <c r="P228" t="s">
        <v>348</v>
      </c>
      <c r="Q228" t="s">
        <v>295</v>
      </c>
    </row>
    <row r="229" spans="1:17" s="29" customFormat="1" hidden="1">
      <c r="A229" s="41">
        <v>4.1210639918981481E-2</v>
      </c>
      <c r="B229" t="s">
        <v>113</v>
      </c>
      <c r="C229" t="s">
        <v>206</v>
      </c>
      <c r="D229"/>
      <c r="E229" t="s">
        <v>59</v>
      </c>
      <c r="F229"/>
      <c r="G229" t="s">
        <v>226</v>
      </c>
      <c r="H229"/>
      <c r="I229" s="140">
        <v>46238.489155092589</v>
      </c>
      <c r="J229" t="s">
        <v>349</v>
      </c>
      <c r="K229" t="s">
        <v>296</v>
      </c>
      <c r="L229" s="139">
        <v>46173</v>
      </c>
      <c r="M229" t="s">
        <v>347</v>
      </c>
      <c r="N229" t="s">
        <v>313</v>
      </c>
      <c r="O229" t="s">
        <v>294</v>
      </c>
      <c r="P229" t="s">
        <v>348</v>
      </c>
      <c r="Q229" t="s">
        <v>295</v>
      </c>
    </row>
    <row r="230" spans="1:17" s="29" customFormat="1" hidden="1">
      <c r="A230" s="41">
        <v>4.1136243414351854E-2</v>
      </c>
      <c r="B230" t="s">
        <v>113</v>
      </c>
      <c r="C230" t="s">
        <v>213</v>
      </c>
      <c r="D230"/>
      <c r="E230" t="s">
        <v>127</v>
      </c>
      <c r="F230"/>
      <c r="G230" t="s">
        <v>226</v>
      </c>
      <c r="H230"/>
      <c r="I230" s="140">
        <v>46238.488807870373</v>
      </c>
      <c r="J230" t="s">
        <v>349</v>
      </c>
      <c r="K230" t="s">
        <v>296</v>
      </c>
      <c r="L230" s="139">
        <v>46173</v>
      </c>
      <c r="M230" t="s">
        <v>347</v>
      </c>
      <c r="N230" t="s">
        <v>313</v>
      </c>
      <c r="O230" t="s">
        <v>294</v>
      </c>
      <c r="P230" t="s">
        <v>348</v>
      </c>
      <c r="Q230" t="s">
        <v>295</v>
      </c>
    </row>
    <row r="231" spans="1:17" s="29" customFormat="1" hidden="1">
      <c r="A231" s="41">
        <v>4.1049761863425925E-2</v>
      </c>
      <c r="B231" t="s">
        <v>113</v>
      </c>
      <c r="C231"/>
      <c r="D231"/>
      <c r="E231" t="s">
        <v>132</v>
      </c>
      <c r="F231"/>
      <c r="G231" t="s">
        <v>226</v>
      </c>
      <c r="H231"/>
      <c r="I231" s="140">
        <v>46238.475532407407</v>
      </c>
      <c r="J231" t="s">
        <v>349</v>
      </c>
      <c r="K231" t="s">
        <v>296</v>
      </c>
      <c r="L231" s="139">
        <v>46173</v>
      </c>
      <c r="M231" t="s">
        <v>347</v>
      </c>
      <c r="N231" t="s">
        <v>313</v>
      </c>
      <c r="O231" t="s">
        <v>294</v>
      </c>
      <c r="P231" t="s">
        <v>348</v>
      </c>
      <c r="Q231" t="s">
        <v>295</v>
      </c>
    </row>
    <row r="232" spans="1:17" s="29" customFormat="1" hidden="1">
      <c r="A232" s="41">
        <v>4.1004981539351851E-2</v>
      </c>
      <c r="B232" t="s">
        <v>113</v>
      </c>
      <c r="C232"/>
      <c r="D232"/>
      <c r="E232" t="s">
        <v>123</v>
      </c>
      <c r="F232"/>
      <c r="G232" t="s">
        <v>226</v>
      </c>
      <c r="H232"/>
      <c r="I232" s="140">
        <v>46238.475370370368</v>
      </c>
      <c r="J232" t="s">
        <v>349</v>
      </c>
      <c r="K232" t="s">
        <v>296</v>
      </c>
      <c r="L232" s="139">
        <v>46173</v>
      </c>
      <c r="M232" t="s">
        <v>347</v>
      </c>
      <c r="N232" t="s">
        <v>313</v>
      </c>
      <c r="O232" t="s">
        <v>294</v>
      </c>
      <c r="P232" t="s">
        <v>348</v>
      </c>
      <c r="Q232" t="s">
        <v>295</v>
      </c>
    </row>
    <row r="233" spans="1:17" s="29" customFormat="1" hidden="1">
      <c r="A233" s="41">
        <v>4.0804970960648147E-2</v>
      </c>
      <c r="B233" t="s">
        <v>113</v>
      </c>
      <c r="C233"/>
      <c r="D233"/>
      <c r="E233" t="s">
        <v>88</v>
      </c>
      <c r="F233"/>
      <c r="G233" t="s">
        <v>117</v>
      </c>
      <c r="H233"/>
      <c r="I233" s="140">
        <v>46238.474143518521</v>
      </c>
      <c r="J233" t="s">
        <v>349</v>
      </c>
      <c r="K233" t="s">
        <v>296</v>
      </c>
      <c r="L233" s="139">
        <v>46173</v>
      </c>
      <c r="M233" t="s">
        <v>347</v>
      </c>
      <c r="N233" t="s">
        <v>313</v>
      </c>
      <c r="O233" t="s">
        <v>294</v>
      </c>
      <c r="P233" t="s">
        <v>348</v>
      </c>
      <c r="Q233" t="s">
        <v>295</v>
      </c>
    </row>
    <row r="234" spans="1:17" s="29" customFormat="1" hidden="1">
      <c r="A234" s="41">
        <v>4.0756647812499998E-2</v>
      </c>
      <c r="B234" t="s">
        <v>113</v>
      </c>
      <c r="C234" t="s">
        <v>367</v>
      </c>
      <c r="D234"/>
      <c r="E234" t="s">
        <v>129</v>
      </c>
      <c r="F234"/>
      <c r="G234" t="s">
        <v>226</v>
      </c>
      <c r="H234"/>
      <c r="I234" s="140">
        <v>46238.474039351851</v>
      </c>
      <c r="J234" t="s">
        <v>349</v>
      </c>
      <c r="K234" t="s">
        <v>296</v>
      </c>
      <c r="L234" s="139">
        <v>46173</v>
      </c>
      <c r="M234" t="s">
        <v>347</v>
      </c>
      <c r="N234" t="s">
        <v>313</v>
      </c>
      <c r="O234" t="s">
        <v>294</v>
      </c>
      <c r="P234" t="s">
        <v>348</v>
      </c>
      <c r="Q234" t="s">
        <v>295</v>
      </c>
    </row>
    <row r="235" spans="1:17" s="29" customFormat="1" hidden="1">
      <c r="A235" s="41">
        <v>4.070508134259259E-2</v>
      </c>
      <c r="B235" t="s">
        <v>113</v>
      </c>
      <c r="C235"/>
      <c r="D235"/>
      <c r="E235" t="s">
        <v>123</v>
      </c>
      <c r="F235"/>
      <c r="G235" t="s">
        <v>226</v>
      </c>
      <c r="H235"/>
      <c r="I235" s="140">
        <v>46238.473703703705</v>
      </c>
      <c r="J235" t="s">
        <v>349</v>
      </c>
      <c r="K235" t="s">
        <v>296</v>
      </c>
      <c r="L235" s="139">
        <v>46173</v>
      </c>
      <c r="M235" t="s">
        <v>347</v>
      </c>
      <c r="N235" t="s">
        <v>313</v>
      </c>
      <c r="O235" t="s">
        <v>294</v>
      </c>
      <c r="P235" t="s">
        <v>348</v>
      </c>
      <c r="Q235" t="s">
        <v>295</v>
      </c>
    </row>
    <row r="236" spans="1:17" s="29" customFormat="1" hidden="1">
      <c r="A236" s="41">
        <v>4.0265431979166669E-2</v>
      </c>
      <c r="B236" t="s">
        <v>113</v>
      </c>
      <c r="C236"/>
      <c r="D236"/>
      <c r="E236" t="s">
        <v>88</v>
      </c>
      <c r="F236"/>
      <c r="G236" t="s">
        <v>117</v>
      </c>
      <c r="H236"/>
      <c r="I236" s="140">
        <v>46238.473263888889</v>
      </c>
      <c r="J236" t="s">
        <v>349</v>
      </c>
      <c r="K236" t="s">
        <v>296</v>
      </c>
      <c r="L236" s="139">
        <v>46173</v>
      </c>
      <c r="M236" t="s">
        <v>347</v>
      </c>
      <c r="N236" t="s">
        <v>313</v>
      </c>
      <c r="O236" t="s">
        <v>294</v>
      </c>
      <c r="P236" t="s">
        <v>348</v>
      </c>
      <c r="Q236" t="s">
        <v>295</v>
      </c>
    </row>
    <row r="237" spans="1:17" s="29" customFormat="1" hidden="1">
      <c r="A237" s="41">
        <v>4.0237783564814812E-2</v>
      </c>
      <c r="B237" t="s">
        <v>113</v>
      </c>
      <c r="C237"/>
      <c r="D237"/>
      <c r="E237" t="s">
        <v>246</v>
      </c>
      <c r="F237"/>
      <c r="G237" t="s">
        <v>117</v>
      </c>
      <c r="H237"/>
      <c r="I237" s="140">
        <v>46238.473229166666</v>
      </c>
      <c r="J237" t="s">
        <v>349</v>
      </c>
      <c r="K237" t="s">
        <v>296</v>
      </c>
      <c r="L237" s="139">
        <v>46173</v>
      </c>
      <c r="M237" t="s">
        <v>347</v>
      </c>
      <c r="N237" t="s">
        <v>313</v>
      </c>
      <c r="O237" t="s">
        <v>294</v>
      </c>
      <c r="P237" t="s">
        <v>348</v>
      </c>
      <c r="Q237" t="s">
        <v>295</v>
      </c>
    </row>
    <row r="238" spans="1:17" s="29" customFormat="1" hidden="1">
      <c r="A238" s="41">
        <v>4.0166967997685182E-2</v>
      </c>
      <c r="B238" t="s">
        <v>113</v>
      </c>
      <c r="C238"/>
      <c r="D238"/>
      <c r="E238" t="s">
        <v>127</v>
      </c>
      <c r="F238"/>
      <c r="G238" t="s">
        <v>117</v>
      </c>
      <c r="H238"/>
      <c r="I238" s="140">
        <v>46238.473101851851</v>
      </c>
      <c r="J238" t="s">
        <v>349</v>
      </c>
      <c r="K238" t="s">
        <v>296</v>
      </c>
      <c r="L238" s="139">
        <v>46173</v>
      </c>
      <c r="M238" t="s">
        <v>347</v>
      </c>
      <c r="N238" t="s">
        <v>313</v>
      </c>
      <c r="O238" t="s">
        <v>294</v>
      </c>
      <c r="P238" t="s">
        <v>348</v>
      </c>
      <c r="Q238" t="s">
        <v>295</v>
      </c>
    </row>
    <row r="239" spans="1:17" s="29" customFormat="1" hidden="1">
      <c r="A239" s="41">
        <v>4.0153627418981479E-2</v>
      </c>
      <c r="B239" t="s">
        <v>113</v>
      </c>
      <c r="C239"/>
      <c r="D239"/>
      <c r="E239" t="s">
        <v>59</v>
      </c>
      <c r="F239"/>
      <c r="G239" t="s">
        <v>117</v>
      </c>
      <c r="H239"/>
      <c r="I239" s="140">
        <v>46238.473090277781</v>
      </c>
      <c r="J239" t="s">
        <v>349</v>
      </c>
      <c r="K239" t="s">
        <v>296</v>
      </c>
      <c r="L239" s="139">
        <v>46173</v>
      </c>
      <c r="M239" t="s">
        <v>347</v>
      </c>
      <c r="N239" t="s">
        <v>313</v>
      </c>
      <c r="O239" t="s">
        <v>294</v>
      </c>
      <c r="P239" t="s">
        <v>348</v>
      </c>
      <c r="Q239" t="s">
        <v>295</v>
      </c>
    </row>
    <row r="240" spans="1:17" s="29" customFormat="1" hidden="1">
      <c r="A240" s="41">
        <v>4.0071151585648147E-2</v>
      </c>
      <c r="B240" t="s">
        <v>113</v>
      </c>
      <c r="C240"/>
      <c r="D240"/>
      <c r="E240" t="s">
        <v>59</v>
      </c>
      <c r="F240"/>
      <c r="G240" t="s">
        <v>117</v>
      </c>
      <c r="H240"/>
      <c r="I240" s="140">
        <v>46238.472893518519</v>
      </c>
      <c r="J240" t="s">
        <v>349</v>
      </c>
      <c r="K240" t="s">
        <v>296</v>
      </c>
      <c r="L240" s="139">
        <v>46173</v>
      </c>
      <c r="M240" t="s">
        <v>347</v>
      </c>
      <c r="N240" t="s">
        <v>313</v>
      </c>
      <c r="O240" t="s">
        <v>294</v>
      </c>
      <c r="P240" t="s">
        <v>348</v>
      </c>
      <c r="Q240" t="s">
        <v>295</v>
      </c>
    </row>
    <row r="241" spans="1:17" s="29" customFormat="1" hidden="1">
      <c r="A241" s="41">
        <v>4.0087336030092596E-2</v>
      </c>
      <c r="B241" t="s">
        <v>113</v>
      </c>
      <c r="C241"/>
      <c r="D241"/>
      <c r="E241" t="s">
        <v>127</v>
      </c>
      <c r="F241"/>
      <c r="G241" t="s">
        <v>117</v>
      </c>
      <c r="H241"/>
      <c r="I241" s="140">
        <v>46238.47278935185</v>
      </c>
      <c r="J241" t="s">
        <v>349</v>
      </c>
      <c r="K241" t="s">
        <v>296</v>
      </c>
      <c r="L241" s="139">
        <v>46173</v>
      </c>
      <c r="M241" t="s">
        <v>347</v>
      </c>
      <c r="N241" t="s">
        <v>313</v>
      </c>
      <c r="O241" t="s">
        <v>294</v>
      </c>
      <c r="P241" t="s">
        <v>348</v>
      </c>
      <c r="Q241" t="s">
        <v>295</v>
      </c>
    </row>
    <row r="242" spans="1:17" s="29" customFormat="1" hidden="1">
      <c r="A242" s="41">
        <v>3.9961335601851854E-2</v>
      </c>
      <c r="B242" t="s">
        <v>113</v>
      </c>
      <c r="C242"/>
      <c r="D242"/>
      <c r="E242" t="s">
        <v>127</v>
      </c>
      <c r="F242"/>
      <c r="G242" t="s">
        <v>117</v>
      </c>
      <c r="H242"/>
      <c r="I242" s="140">
        <v>46238.472650462965</v>
      </c>
      <c r="J242" t="s">
        <v>349</v>
      </c>
      <c r="K242" t="s">
        <v>296</v>
      </c>
      <c r="L242" s="139">
        <v>46173</v>
      </c>
      <c r="M242" t="s">
        <v>347</v>
      </c>
      <c r="N242" t="s">
        <v>313</v>
      </c>
      <c r="O242" t="s">
        <v>294</v>
      </c>
      <c r="P242" t="s">
        <v>348</v>
      </c>
      <c r="Q242" t="s">
        <v>295</v>
      </c>
    </row>
    <row r="243" spans="1:17" s="29" customFormat="1" hidden="1">
      <c r="A243" s="41">
        <v>3.9898411666666668E-2</v>
      </c>
      <c r="B243" t="s">
        <v>113</v>
      </c>
      <c r="C243" t="s">
        <v>367</v>
      </c>
      <c r="D243"/>
      <c r="E243" t="s">
        <v>129</v>
      </c>
      <c r="F243"/>
      <c r="G243" t="s">
        <v>226</v>
      </c>
      <c r="H243"/>
      <c r="I243" s="140">
        <v>46238.472453703704</v>
      </c>
      <c r="J243" t="s">
        <v>349</v>
      </c>
      <c r="K243" t="s">
        <v>296</v>
      </c>
      <c r="L243" s="139">
        <v>46173</v>
      </c>
      <c r="M243" t="s">
        <v>347</v>
      </c>
      <c r="N243" t="s">
        <v>313</v>
      </c>
      <c r="O243" t="s">
        <v>294</v>
      </c>
      <c r="P243" t="s">
        <v>348</v>
      </c>
      <c r="Q243" t="s">
        <v>295</v>
      </c>
    </row>
    <row r="244" spans="1:17" s="29" customFormat="1" hidden="1">
      <c r="A244" s="41">
        <v>3.9868351331018521E-2</v>
      </c>
      <c r="B244" t="s">
        <v>113</v>
      </c>
      <c r="C244"/>
      <c r="D244"/>
      <c r="E244" t="s">
        <v>123</v>
      </c>
      <c r="F244"/>
      <c r="G244" t="s">
        <v>226</v>
      </c>
      <c r="H244"/>
      <c r="I244" s="140">
        <v>46238.471990740742</v>
      </c>
      <c r="J244" t="s">
        <v>349</v>
      </c>
      <c r="K244" t="s">
        <v>296</v>
      </c>
      <c r="L244" s="139">
        <v>46173</v>
      </c>
      <c r="M244" t="s">
        <v>347</v>
      </c>
      <c r="N244" t="s">
        <v>313</v>
      </c>
      <c r="O244" t="s">
        <v>294</v>
      </c>
      <c r="P244" t="s">
        <v>348</v>
      </c>
      <c r="Q244" t="s">
        <v>295</v>
      </c>
    </row>
    <row r="245" spans="1:17" s="29" customFormat="1" hidden="1">
      <c r="A245" s="41">
        <v>3.9250947696759256E-2</v>
      </c>
      <c r="B245" t="s">
        <v>113</v>
      </c>
      <c r="C245"/>
      <c r="D245"/>
      <c r="E245" t="s">
        <v>88</v>
      </c>
      <c r="F245"/>
      <c r="G245" t="s">
        <v>117</v>
      </c>
      <c r="H245"/>
      <c r="I245" s="140">
        <v>46238.47111111111</v>
      </c>
      <c r="J245" t="s">
        <v>349</v>
      </c>
      <c r="K245" t="s">
        <v>296</v>
      </c>
      <c r="L245" s="139">
        <v>46173</v>
      </c>
      <c r="M245" t="s">
        <v>347</v>
      </c>
      <c r="N245" t="s">
        <v>313</v>
      </c>
      <c r="O245" t="s">
        <v>294</v>
      </c>
      <c r="P245" t="s">
        <v>348</v>
      </c>
      <c r="Q245" t="s">
        <v>295</v>
      </c>
    </row>
    <row r="246" spans="1:17" s="29" customFormat="1" hidden="1">
      <c r="A246" s="41">
        <v>3.9130245902777777E-2</v>
      </c>
      <c r="B246" t="s">
        <v>113</v>
      </c>
      <c r="C246"/>
      <c r="D246"/>
      <c r="E246" t="s">
        <v>246</v>
      </c>
      <c r="F246"/>
      <c r="G246" t="s">
        <v>117</v>
      </c>
      <c r="H246"/>
      <c r="I246" s="140">
        <v>46238.470995370371</v>
      </c>
      <c r="J246" t="s">
        <v>349</v>
      </c>
      <c r="K246" t="s">
        <v>296</v>
      </c>
      <c r="L246" s="139">
        <v>46173</v>
      </c>
      <c r="M246" t="s">
        <v>347</v>
      </c>
      <c r="N246" t="s">
        <v>313</v>
      </c>
      <c r="O246" t="s">
        <v>294</v>
      </c>
      <c r="P246" t="s">
        <v>348</v>
      </c>
      <c r="Q246" t="s">
        <v>295</v>
      </c>
    </row>
    <row r="247" spans="1:17" s="29" customFormat="1" hidden="1">
      <c r="A247" s="41">
        <v>3.8851271087962963E-2</v>
      </c>
      <c r="B247" t="s">
        <v>113</v>
      </c>
      <c r="C247"/>
      <c r="D247"/>
      <c r="E247" t="s">
        <v>124</v>
      </c>
      <c r="F247"/>
      <c r="G247" t="s">
        <v>117</v>
      </c>
      <c r="H247"/>
      <c r="I247" s="140">
        <v>46238.470717592594</v>
      </c>
      <c r="J247" t="s">
        <v>349</v>
      </c>
      <c r="K247" t="s">
        <v>296</v>
      </c>
      <c r="L247" s="139">
        <v>46173</v>
      </c>
      <c r="M247" t="s">
        <v>347</v>
      </c>
      <c r="N247" t="s">
        <v>313</v>
      </c>
      <c r="O247" t="s">
        <v>294</v>
      </c>
      <c r="P247" t="s">
        <v>348</v>
      </c>
      <c r="Q247" t="s">
        <v>295</v>
      </c>
    </row>
    <row r="248" spans="1:17" s="29" customFormat="1" hidden="1">
      <c r="A248" s="41">
        <v>3.8546616689814815E-2</v>
      </c>
      <c r="B248" t="s">
        <v>113</v>
      </c>
      <c r="C248"/>
      <c r="D248"/>
      <c r="E248" t="s">
        <v>88</v>
      </c>
      <c r="F248"/>
      <c r="G248" t="s">
        <v>117</v>
      </c>
      <c r="H248"/>
      <c r="I248" s="140">
        <v>46238.470451388886</v>
      </c>
      <c r="J248" t="s">
        <v>349</v>
      </c>
      <c r="K248" t="s">
        <v>296</v>
      </c>
      <c r="L248" s="139">
        <v>46173</v>
      </c>
      <c r="M248" t="s">
        <v>347</v>
      </c>
      <c r="N248" t="s">
        <v>313</v>
      </c>
      <c r="O248" t="s">
        <v>294</v>
      </c>
      <c r="P248" t="s">
        <v>348</v>
      </c>
      <c r="Q248" t="s">
        <v>295</v>
      </c>
    </row>
    <row r="249" spans="1:17" s="29" customFormat="1" hidden="1">
      <c r="A249" s="41">
        <v>3.8546616689814815E-2</v>
      </c>
      <c r="B249" t="s">
        <v>113</v>
      </c>
      <c r="C249"/>
      <c r="D249"/>
      <c r="E249" t="s">
        <v>245</v>
      </c>
      <c r="F249"/>
      <c r="G249" t="s">
        <v>226</v>
      </c>
      <c r="H249"/>
      <c r="I249" s="140">
        <v>46238.47042824074</v>
      </c>
      <c r="J249" t="s">
        <v>349</v>
      </c>
      <c r="K249" t="s">
        <v>296</v>
      </c>
      <c r="L249" s="139">
        <v>46173</v>
      </c>
      <c r="M249" t="s">
        <v>347</v>
      </c>
      <c r="N249" t="s">
        <v>313</v>
      </c>
      <c r="O249" t="s">
        <v>294</v>
      </c>
      <c r="P249" t="s">
        <v>348</v>
      </c>
      <c r="Q249" t="s">
        <v>295</v>
      </c>
    </row>
    <row r="250" spans="1:17" s="29" customFormat="1" hidden="1">
      <c r="A250" s="41">
        <v>3.8472213981481485E-2</v>
      </c>
      <c r="B250" t="s">
        <v>113</v>
      </c>
      <c r="C250" t="s">
        <v>384</v>
      </c>
      <c r="D250"/>
      <c r="E250" t="s">
        <v>127</v>
      </c>
      <c r="F250"/>
      <c r="G250" t="s">
        <v>226</v>
      </c>
      <c r="H250"/>
      <c r="I250" s="140">
        <v>46238.470243055555</v>
      </c>
      <c r="J250" t="s">
        <v>349</v>
      </c>
      <c r="K250" t="s">
        <v>296</v>
      </c>
      <c r="L250" s="139">
        <v>46173</v>
      </c>
      <c r="M250" t="s">
        <v>347</v>
      </c>
      <c r="N250" t="s">
        <v>313</v>
      </c>
      <c r="O250" t="s">
        <v>294</v>
      </c>
      <c r="P250" t="s">
        <v>348</v>
      </c>
      <c r="Q250" t="s">
        <v>295</v>
      </c>
    </row>
    <row r="251" spans="1:17" s="29" customFormat="1" hidden="1">
      <c r="A251" s="41">
        <v>3.8452182812499999E-2</v>
      </c>
      <c r="B251" t="s">
        <v>113</v>
      </c>
      <c r="C251" t="s">
        <v>205</v>
      </c>
      <c r="D251"/>
      <c r="E251" t="s">
        <v>59</v>
      </c>
      <c r="F251"/>
      <c r="G251" t="s">
        <v>226</v>
      </c>
      <c r="H251"/>
      <c r="I251" s="140">
        <v>46238.46979166667</v>
      </c>
      <c r="J251" t="s">
        <v>349</v>
      </c>
      <c r="K251" t="s">
        <v>296</v>
      </c>
      <c r="L251" s="139">
        <v>46173</v>
      </c>
      <c r="M251" t="s">
        <v>347</v>
      </c>
      <c r="N251" t="s">
        <v>313</v>
      </c>
      <c r="O251" t="s">
        <v>294</v>
      </c>
      <c r="P251" t="s">
        <v>348</v>
      </c>
      <c r="Q251" t="s">
        <v>295</v>
      </c>
    </row>
    <row r="252" spans="1:17" s="29" customFormat="1" hidden="1">
      <c r="A252" s="41">
        <v>3.8383534525462962E-2</v>
      </c>
      <c r="B252" t="s">
        <v>113</v>
      </c>
      <c r="C252" t="s">
        <v>214</v>
      </c>
      <c r="D252"/>
      <c r="E252" t="s">
        <v>127</v>
      </c>
      <c r="F252"/>
      <c r="G252" t="s">
        <v>226</v>
      </c>
      <c r="H252"/>
      <c r="I252" s="140">
        <v>46238.469594907408</v>
      </c>
      <c r="J252" t="s">
        <v>349</v>
      </c>
      <c r="K252" t="s">
        <v>296</v>
      </c>
      <c r="L252" s="139">
        <v>46173</v>
      </c>
      <c r="M252" t="s">
        <v>347</v>
      </c>
      <c r="N252" t="s">
        <v>313</v>
      </c>
      <c r="O252" t="s">
        <v>294</v>
      </c>
      <c r="P252" t="s">
        <v>348</v>
      </c>
      <c r="Q252" t="s">
        <v>295</v>
      </c>
    </row>
    <row r="253" spans="1:17" s="29" customFormat="1" hidden="1">
      <c r="A253" s="41">
        <v>3.8296674074074076E-2</v>
      </c>
      <c r="B253" t="s">
        <v>113</v>
      </c>
      <c r="C253" t="s">
        <v>205</v>
      </c>
      <c r="D253"/>
      <c r="E253" t="s">
        <v>127</v>
      </c>
      <c r="F253"/>
      <c r="G253" t="s">
        <v>226</v>
      </c>
      <c r="H253"/>
      <c r="I253" s="140">
        <v>46238.469421296293</v>
      </c>
      <c r="J253" t="s">
        <v>349</v>
      </c>
      <c r="K253" t="s">
        <v>296</v>
      </c>
      <c r="L253" s="139">
        <v>46173</v>
      </c>
      <c r="M253" t="s">
        <v>347</v>
      </c>
      <c r="N253" t="s">
        <v>313</v>
      </c>
      <c r="O253" t="s">
        <v>294</v>
      </c>
      <c r="P253" t="s">
        <v>348</v>
      </c>
      <c r="Q253" t="s">
        <v>295</v>
      </c>
    </row>
    <row r="254" spans="1:17" s="29" customFormat="1" hidden="1">
      <c r="A254" s="41">
        <v>3.8274050567129632E-2</v>
      </c>
      <c r="B254" t="s">
        <v>113</v>
      </c>
      <c r="C254" t="s">
        <v>213</v>
      </c>
      <c r="D254"/>
      <c r="E254" t="s">
        <v>59</v>
      </c>
      <c r="F254"/>
      <c r="G254" t="s">
        <v>226</v>
      </c>
      <c r="H254"/>
      <c r="I254" s="140">
        <v>46238.469155092593</v>
      </c>
      <c r="J254" t="s">
        <v>349</v>
      </c>
      <c r="K254" t="s">
        <v>296</v>
      </c>
      <c r="L254" s="139">
        <v>46173</v>
      </c>
      <c r="M254" t="s">
        <v>347</v>
      </c>
      <c r="N254" t="s">
        <v>313</v>
      </c>
      <c r="O254" t="s">
        <v>294</v>
      </c>
      <c r="P254" t="s">
        <v>348</v>
      </c>
      <c r="Q254" t="s">
        <v>295</v>
      </c>
    </row>
    <row r="255" spans="1:17" s="29" customFormat="1" hidden="1">
      <c r="A255" s="41">
        <v>3.8220109004629632E-2</v>
      </c>
      <c r="B255" t="s">
        <v>113</v>
      </c>
      <c r="C255"/>
      <c r="D255"/>
      <c r="E255" t="s">
        <v>250</v>
      </c>
      <c r="F255"/>
      <c r="G255" t="s">
        <v>226</v>
      </c>
      <c r="H255"/>
      <c r="I255" s="140">
        <v>46238.468240740738</v>
      </c>
      <c r="J255" t="s">
        <v>349</v>
      </c>
      <c r="K255" t="s">
        <v>296</v>
      </c>
      <c r="L255" s="139">
        <v>46173</v>
      </c>
      <c r="M255" t="s">
        <v>347</v>
      </c>
      <c r="N255" t="s">
        <v>313</v>
      </c>
      <c r="O255" t="s">
        <v>294</v>
      </c>
      <c r="P255" t="s">
        <v>348</v>
      </c>
      <c r="Q255" t="s">
        <v>295</v>
      </c>
    </row>
    <row r="256" spans="1:17" s="29" customFormat="1" hidden="1">
      <c r="A256" s="41">
        <v>3.8158604803240743E-2</v>
      </c>
      <c r="B256" t="s">
        <v>113</v>
      </c>
      <c r="C256"/>
      <c r="D256"/>
      <c r="E256" t="s">
        <v>119</v>
      </c>
      <c r="F256"/>
      <c r="G256" t="s">
        <v>226</v>
      </c>
      <c r="H256"/>
      <c r="I256" s="140">
        <v>46238.468148148146</v>
      </c>
      <c r="J256" t="s">
        <v>349</v>
      </c>
      <c r="K256" t="s">
        <v>296</v>
      </c>
      <c r="L256" s="139">
        <v>46173</v>
      </c>
      <c r="M256" t="s">
        <v>347</v>
      </c>
      <c r="N256" t="s">
        <v>313</v>
      </c>
      <c r="O256" t="s">
        <v>294</v>
      </c>
      <c r="P256" t="s">
        <v>348</v>
      </c>
      <c r="Q256" t="s">
        <v>295</v>
      </c>
    </row>
    <row r="257" spans="1:17" s="29" customFormat="1" hidden="1">
      <c r="A257" s="41">
        <v>3.4105822453703701E-2</v>
      </c>
      <c r="B257" t="s">
        <v>116</v>
      </c>
      <c r="C257"/>
      <c r="D257"/>
      <c r="E257" t="s">
        <v>88</v>
      </c>
      <c r="F257"/>
      <c r="G257" t="s">
        <v>117</v>
      </c>
      <c r="H257"/>
      <c r="I257" s="140">
        <v>46238.467557870368</v>
      </c>
      <c r="J257" t="s">
        <v>349</v>
      </c>
      <c r="K257" t="s">
        <v>296</v>
      </c>
      <c r="L257" s="139">
        <v>46173</v>
      </c>
      <c r="M257" t="s">
        <v>347</v>
      </c>
      <c r="N257" t="s">
        <v>313</v>
      </c>
      <c r="O257" t="s">
        <v>294</v>
      </c>
      <c r="P257" t="s">
        <v>348</v>
      </c>
      <c r="Q257" t="s">
        <v>295</v>
      </c>
    </row>
    <row r="258" spans="1:17" s="29" customFormat="1" hidden="1">
      <c r="A258" s="41">
        <v>3.4062102395833335E-2</v>
      </c>
      <c r="B258" t="s">
        <v>116</v>
      </c>
      <c r="C258"/>
      <c r="D258"/>
      <c r="E258" t="s">
        <v>246</v>
      </c>
      <c r="F258"/>
      <c r="G258" t="s">
        <v>117</v>
      </c>
      <c r="H258"/>
      <c r="I258" s="140">
        <v>46238.467511574076</v>
      </c>
      <c r="J258" t="s">
        <v>349</v>
      </c>
      <c r="K258" t="s">
        <v>296</v>
      </c>
      <c r="L258" s="139">
        <v>46173</v>
      </c>
      <c r="M258" t="s">
        <v>347</v>
      </c>
      <c r="N258" t="s">
        <v>313</v>
      </c>
      <c r="O258" t="s">
        <v>294</v>
      </c>
      <c r="P258" t="s">
        <v>348</v>
      </c>
      <c r="Q258" t="s">
        <v>295</v>
      </c>
    </row>
    <row r="259" spans="1:17" s="29" customFormat="1" hidden="1">
      <c r="A259" s="41">
        <v>3.3951407534722221E-2</v>
      </c>
      <c r="B259" t="s">
        <v>116</v>
      </c>
      <c r="C259"/>
      <c r="D259"/>
      <c r="E259" t="s">
        <v>119</v>
      </c>
      <c r="F259"/>
      <c r="G259" t="s">
        <v>117</v>
      </c>
      <c r="H259"/>
      <c r="I259" s="140">
        <v>46238.467407407406</v>
      </c>
      <c r="J259" t="s">
        <v>349</v>
      </c>
      <c r="K259" t="s">
        <v>296</v>
      </c>
      <c r="L259" s="139">
        <v>46173</v>
      </c>
      <c r="M259" t="s">
        <v>347</v>
      </c>
      <c r="N259" t="s">
        <v>313</v>
      </c>
      <c r="O259" t="s">
        <v>294</v>
      </c>
      <c r="P259" t="s">
        <v>348</v>
      </c>
      <c r="Q259" t="s">
        <v>295</v>
      </c>
    </row>
    <row r="260" spans="1:17" s="29" customFormat="1" hidden="1">
      <c r="A260" s="41">
        <v>3.2828246840277776E-2</v>
      </c>
      <c r="B260" t="s">
        <v>116</v>
      </c>
      <c r="C260"/>
      <c r="D260"/>
      <c r="E260" t="s">
        <v>88</v>
      </c>
      <c r="F260"/>
      <c r="G260" t="s">
        <v>117</v>
      </c>
      <c r="H260"/>
      <c r="I260" s="140">
        <v>46238.46707175926</v>
      </c>
      <c r="J260" t="s">
        <v>349</v>
      </c>
      <c r="K260" t="s">
        <v>296</v>
      </c>
      <c r="L260" s="139">
        <v>46173</v>
      </c>
      <c r="M260" t="s">
        <v>347</v>
      </c>
      <c r="N260" t="s">
        <v>313</v>
      </c>
      <c r="O260" t="s">
        <v>294</v>
      </c>
      <c r="P260" t="s">
        <v>348</v>
      </c>
      <c r="Q260" t="s">
        <v>295</v>
      </c>
    </row>
    <row r="261" spans="1:17" s="29" customFormat="1" hidden="1">
      <c r="A261" s="41">
        <v>3.2828246840277776E-2</v>
      </c>
      <c r="B261" t="s">
        <v>116</v>
      </c>
      <c r="C261" t="s">
        <v>83</v>
      </c>
      <c r="D261"/>
      <c r="E261" t="s">
        <v>122</v>
      </c>
      <c r="F261"/>
      <c r="G261" t="s">
        <v>117</v>
      </c>
      <c r="H261"/>
      <c r="I261" s="140">
        <v>46238.46707175926</v>
      </c>
      <c r="J261" t="s">
        <v>349</v>
      </c>
      <c r="K261" t="s">
        <v>296</v>
      </c>
      <c r="L261" s="139">
        <v>46173</v>
      </c>
      <c r="M261" t="s">
        <v>347</v>
      </c>
      <c r="N261" t="s">
        <v>313</v>
      </c>
      <c r="O261" t="s">
        <v>294</v>
      </c>
      <c r="P261" t="s">
        <v>348</v>
      </c>
      <c r="Q261" t="s">
        <v>295</v>
      </c>
    </row>
    <row r="262" spans="1:17" s="29" customFormat="1" hidden="1">
      <c r="A262" s="41">
        <v>3.2718249791666668E-2</v>
      </c>
      <c r="B262" t="s">
        <v>116</v>
      </c>
      <c r="C262"/>
      <c r="D262"/>
      <c r="E262" t="s">
        <v>127</v>
      </c>
      <c r="F262"/>
      <c r="G262" t="s">
        <v>117</v>
      </c>
      <c r="H262"/>
      <c r="I262" s="140">
        <v>46238.466898148145</v>
      </c>
      <c r="J262" t="s">
        <v>349</v>
      </c>
      <c r="K262" t="s">
        <v>296</v>
      </c>
      <c r="L262" s="139">
        <v>46173</v>
      </c>
      <c r="M262" t="s">
        <v>347</v>
      </c>
      <c r="N262" t="s">
        <v>313</v>
      </c>
      <c r="O262" t="s">
        <v>294</v>
      </c>
      <c r="P262" t="s">
        <v>348</v>
      </c>
      <c r="Q262" t="s">
        <v>295</v>
      </c>
    </row>
    <row r="263" spans="1:17" s="29" customFormat="1" hidden="1">
      <c r="A263" s="41">
        <v>3.2677715925925922E-2</v>
      </c>
      <c r="B263" t="s">
        <v>116</v>
      </c>
      <c r="C263"/>
      <c r="D263"/>
      <c r="E263" t="s">
        <v>248</v>
      </c>
      <c r="F263"/>
      <c r="G263" t="s">
        <v>117</v>
      </c>
      <c r="H263"/>
      <c r="I263" s="140">
        <v>46238.466805555552</v>
      </c>
      <c r="J263" t="s">
        <v>349</v>
      </c>
      <c r="K263" t="s">
        <v>296</v>
      </c>
      <c r="L263" s="139">
        <v>46173</v>
      </c>
      <c r="M263" t="s">
        <v>347</v>
      </c>
      <c r="N263" t="s">
        <v>313</v>
      </c>
      <c r="O263" t="s">
        <v>294</v>
      </c>
      <c r="P263" t="s">
        <v>348</v>
      </c>
      <c r="Q263" t="s">
        <v>295</v>
      </c>
    </row>
    <row r="264" spans="1:17" s="29" customFormat="1" hidden="1">
      <c r="A264" s="41">
        <v>3.2619946423611108E-2</v>
      </c>
      <c r="B264" t="s">
        <v>116</v>
      </c>
      <c r="C264"/>
      <c r="D264"/>
      <c r="E264" t="s">
        <v>246</v>
      </c>
      <c r="F264"/>
      <c r="G264" t="s">
        <v>117</v>
      </c>
      <c r="H264"/>
      <c r="I264" s="140">
        <v>46238.466689814813</v>
      </c>
      <c r="J264" t="s">
        <v>349</v>
      </c>
      <c r="K264" t="s">
        <v>296</v>
      </c>
      <c r="L264" s="139">
        <v>46173</v>
      </c>
      <c r="M264" t="s">
        <v>347</v>
      </c>
      <c r="N264" t="s">
        <v>313</v>
      </c>
      <c r="O264" t="s">
        <v>294</v>
      </c>
      <c r="P264" t="s">
        <v>348</v>
      </c>
      <c r="Q264" t="s">
        <v>295</v>
      </c>
    </row>
    <row r="265" spans="1:17" s="29" customFormat="1" hidden="1">
      <c r="A265" s="41">
        <v>3.2551896701388888E-2</v>
      </c>
      <c r="B265" t="s">
        <v>116</v>
      </c>
      <c r="C265"/>
      <c r="D265"/>
      <c r="E265" t="s">
        <v>248</v>
      </c>
      <c r="F265"/>
      <c r="G265" t="s">
        <v>117</v>
      </c>
      <c r="H265"/>
      <c r="I265" s="140">
        <v>46238.46603009259</v>
      </c>
      <c r="J265" t="s">
        <v>349</v>
      </c>
      <c r="K265" t="s">
        <v>296</v>
      </c>
      <c r="L265" s="139">
        <v>46173</v>
      </c>
      <c r="M265" t="s">
        <v>347</v>
      </c>
      <c r="N265" t="s">
        <v>313</v>
      </c>
      <c r="O265" t="s">
        <v>294</v>
      </c>
      <c r="P265" t="s">
        <v>348</v>
      </c>
      <c r="Q265" t="s">
        <v>295</v>
      </c>
    </row>
    <row r="266" spans="1:17" s="29" customFormat="1" hidden="1">
      <c r="A266" s="41">
        <v>3.2459224074074075E-2</v>
      </c>
      <c r="B266" t="s">
        <v>116</v>
      </c>
      <c r="C266"/>
      <c r="D266"/>
      <c r="E266" t="s">
        <v>246</v>
      </c>
      <c r="F266"/>
      <c r="G266" t="s">
        <v>117</v>
      </c>
      <c r="H266"/>
      <c r="I266" s="140">
        <v>46238.465914351851</v>
      </c>
      <c r="J266" t="s">
        <v>349</v>
      </c>
      <c r="K266" t="s">
        <v>296</v>
      </c>
      <c r="L266" s="139">
        <v>46173</v>
      </c>
      <c r="M266" t="s">
        <v>347</v>
      </c>
      <c r="N266" t="s">
        <v>313</v>
      </c>
      <c r="O266" t="s">
        <v>294</v>
      </c>
      <c r="P266" t="s">
        <v>348</v>
      </c>
      <c r="Q266" t="s">
        <v>295</v>
      </c>
    </row>
    <row r="267" spans="1:17" s="29" customFormat="1" hidden="1">
      <c r="A267" s="41">
        <v>3.2378261539351853E-2</v>
      </c>
      <c r="B267" t="s">
        <v>116</v>
      </c>
      <c r="C267" t="s">
        <v>220</v>
      </c>
      <c r="D267"/>
      <c r="E267" t="s">
        <v>253</v>
      </c>
      <c r="F267"/>
      <c r="G267" t="s">
        <v>226</v>
      </c>
      <c r="H267"/>
      <c r="I267" s="140">
        <v>46238.465763888889</v>
      </c>
      <c r="J267" t="s">
        <v>349</v>
      </c>
      <c r="K267" t="s">
        <v>296</v>
      </c>
      <c r="L267" s="139">
        <v>46173</v>
      </c>
      <c r="M267" t="s">
        <v>347</v>
      </c>
      <c r="N267" t="s">
        <v>313</v>
      </c>
      <c r="O267" t="s">
        <v>294</v>
      </c>
      <c r="P267" t="s">
        <v>348</v>
      </c>
      <c r="Q267" t="s">
        <v>295</v>
      </c>
    </row>
    <row r="268" spans="1:17" s="29" customFormat="1" hidden="1">
      <c r="A268" s="41">
        <v>3.2329114513888889E-2</v>
      </c>
      <c r="B268" t="s">
        <v>116</v>
      </c>
      <c r="C268" t="s">
        <v>217</v>
      </c>
      <c r="D268"/>
      <c r="E268" t="s">
        <v>127</v>
      </c>
      <c r="F268"/>
      <c r="G268" t="s">
        <v>226</v>
      </c>
      <c r="H268"/>
      <c r="I268" s="140">
        <v>46238.464826388888</v>
      </c>
      <c r="J268" t="s">
        <v>349</v>
      </c>
      <c r="K268" t="s">
        <v>296</v>
      </c>
      <c r="L268" s="139">
        <v>46173</v>
      </c>
      <c r="M268" t="s">
        <v>347</v>
      </c>
      <c r="N268" t="s">
        <v>313</v>
      </c>
      <c r="O268" t="s">
        <v>294</v>
      </c>
      <c r="P268" t="s">
        <v>348</v>
      </c>
      <c r="Q268" t="s">
        <v>295</v>
      </c>
    </row>
    <row r="269" spans="1:17" s="29" customFormat="1" hidden="1">
      <c r="A269" s="41">
        <v>3.2302170520833333E-2</v>
      </c>
      <c r="B269" t="s">
        <v>116</v>
      </c>
      <c r="C269" t="s">
        <v>213</v>
      </c>
      <c r="D269"/>
      <c r="E269" t="s">
        <v>127</v>
      </c>
      <c r="F269"/>
      <c r="G269" t="s">
        <v>226</v>
      </c>
      <c r="H269"/>
      <c r="I269" s="140">
        <v>46238.464386574073</v>
      </c>
      <c r="J269" t="s">
        <v>349</v>
      </c>
      <c r="K269" t="s">
        <v>296</v>
      </c>
      <c r="L269" s="139">
        <v>46173</v>
      </c>
      <c r="M269" t="s">
        <v>347</v>
      </c>
      <c r="N269" t="s">
        <v>313</v>
      </c>
      <c r="O269" t="s">
        <v>294</v>
      </c>
      <c r="P269" t="s">
        <v>348</v>
      </c>
      <c r="Q269" t="s">
        <v>295</v>
      </c>
    </row>
    <row r="270" spans="1:17" s="29" customFormat="1" hidden="1">
      <c r="A270" s="41">
        <v>3.2281455173611112E-2</v>
      </c>
      <c r="B270" t="s">
        <v>116</v>
      </c>
      <c r="C270" t="s">
        <v>206</v>
      </c>
      <c r="D270"/>
      <c r="E270" t="s">
        <v>59</v>
      </c>
      <c r="F270"/>
      <c r="G270" t="s">
        <v>226</v>
      </c>
      <c r="H270"/>
      <c r="I270" s="140">
        <v>46238.46429398148</v>
      </c>
      <c r="J270" t="s">
        <v>349</v>
      </c>
      <c r="K270" t="s">
        <v>296</v>
      </c>
      <c r="L270" s="139">
        <v>46173</v>
      </c>
      <c r="M270" t="s">
        <v>347</v>
      </c>
      <c r="N270" t="s">
        <v>313</v>
      </c>
      <c r="O270" t="s">
        <v>294</v>
      </c>
      <c r="P270" t="s">
        <v>348</v>
      </c>
      <c r="Q270" t="s">
        <v>295</v>
      </c>
    </row>
    <row r="271" spans="1:17" s="29" customFormat="1" hidden="1">
      <c r="A271" s="41">
        <v>3.2279926516203705E-2</v>
      </c>
      <c r="B271" t="s">
        <v>116</v>
      </c>
      <c r="C271"/>
      <c r="D271"/>
      <c r="E271" t="s">
        <v>60</v>
      </c>
      <c r="F271"/>
      <c r="G271" t="s">
        <v>117</v>
      </c>
      <c r="H271"/>
      <c r="I271" s="140">
        <v>46238.463958333334</v>
      </c>
      <c r="J271" t="s">
        <v>349</v>
      </c>
      <c r="K271" t="s">
        <v>296</v>
      </c>
      <c r="L271" s="139">
        <v>46173</v>
      </c>
      <c r="M271" t="s">
        <v>347</v>
      </c>
      <c r="N271" t="s">
        <v>313</v>
      </c>
      <c r="O271" t="s">
        <v>294</v>
      </c>
      <c r="P271" t="s">
        <v>348</v>
      </c>
      <c r="Q271" t="s">
        <v>295</v>
      </c>
    </row>
    <row r="272" spans="1:17" s="29" customFormat="1" hidden="1">
      <c r="A272" s="41">
        <v>3.2177466678240736E-2</v>
      </c>
      <c r="B272" t="s">
        <v>116</v>
      </c>
      <c r="C272"/>
      <c r="D272"/>
      <c r="E272" t="s">
        <v>58</v>
      </c>
      <c r="F272"/>
      <c r="G272" t="s">
        <v>117</v>
      </c>
      <c r="H272"/>
      <c r="I272" s="140">
        <v>46238.46371527778</v>
      </c>
      <c r="J272" t="s">
        <v>349</v>
      </c>
      <c r="K272" t="s">
        <v>296</v>
      </c>
      <c r="L272" s="139">
        <v>46173</v>
      </c>
      <c r="M272" t="s">
        <v>347</v>
      </c>
      <c r="N272" t="s">
        <v>313</v>
      </c>
      <c r="O272" t="s">
        <v>294</v>
      </c>
      <c r="P272" t="s">
        <v>348</v>
      </c>
      <c r="Q272" t="s">
        <v>295</v>
      </c>
    </row>
    <row r="273" spans="1:17" s="29" customFormat="1" hidden="1">
      <c r="A273" s="41">
        <v>3.214060679398148E-2</v>
      </c>
      <c r="B273" t="s">
        <v>116</v>
      </c>
      <c r="C273"/>
      <c r="D273"/>
      <c r="E273" t="s">
        <v>127</v>
      </c>
      <c r="F273"/>
      <c r="G273" t="s">
        <v>117</v>
      </c>
      <c r="H273"/>
      <c r="I273" s="140">
        <v>46238.463680555556</v>
      </c>
      <c r="J273" t="s">
        <v>349</v>
      </c>
      <c r="K273" t="s">
        <v>296</v>
      </c>
      <c r="L273" s="139">
        <v>46173</v>
      </c>
      <c r="M273" t="s">
        <v>347</v>
      </c>
      <c r="N273" t="s">
        <v>313</v>
      </c>
      <c r="O273" t="s">
        <v>294</v>
      </c>
      <c r="P273" t="s">
        <v>348</v>
      </c>
      <c r="Q273" t="s">
        <v>295</v>
      </c>
    </row>
    <row r="274" spans="1:17" s="29" customFormat="1" hidden="1">
      <c r="A274" s="41">
        <v>3.2088623958333333E-2</v>
      </c>
      <c r="B274" t="s">
        <v>116</v>
      </c>
      <c r="C274"/>
      <c r="D274"/>
      <c r="E274" t="s">
        <v>127</v>
      </c>
      <c r="F274"/>
      <c r="G274" t="s">
        <v>117</v>
      </c>
      <c r="H274"/>
      <c r="I274" s="140">
        <v>46238.463622685187</v>
      </c>
      <c r="J274" t="s">
        <v>349</v>
      </c>
      <c r="K274" t="s">
        <v>296</v>
      </c>
      <c r="L274" s="139">
        <v>46173</v>
      </c>
      <c r="M274" t="s">
        <v>347</v>
      </c>
      <c r="N274" t="s">
        <v>313</v>
      </c>
      <c r="O274" t="s">
        <v>294</v>
      </c>
      <c r="P274" t="s">
        <v>348</v>
      </c>
      <c r="Q274" t="s">
        <v>295</v>
      </c>
    </row>
    <row r="275" spans="1:17" s="29" customFormat="1" hidden="1">
      <c r="A275" s="41">
        <v>3.2077065648148148E-2</v>
      </c>
      <c r="B275" t="s">
        <v>116</v>
      </c>
      <c r="C275"/>
      <c r="D275"/>
      <c r="E275" t="s">
        <v>127</v>
      </c>
      <c r="F275"/>
      <c r="G275" t="s">
        <v>117</v>
      </c>
      <c r="H275"/>
      <c r="I275" s="140">
        <v>46238.46361111111</v>
      </c>
      <c r="J275" t="s">
        <v>349</v>
      </c>
      <c r="K275" t="s">
        <v>296</v>
      </c>
      <c r="L275" s="139">
        <v>46173</v>
      </c>
      <c r="M275" t="s">
        <v>347</v>
      </c>
      <c r="N275" t="s">
        <v>313</v>
      </c>
      <c r="O275" t="s">
        <v>294</v>
      </c>
      <c r="P275" t="s">
        <v>348</v>
      </c>
      <c r="Q275" t="s">
        <v>295</v>
      </c>
    </row>
    <row r="276" spans="1:17" s="29" customFormat="1" hidden="1">
      <c r="A276" s="41">
        <v>3.198446216435185E-2</v>
      </c>
      <c r="B276" t="s">
        <v>116</v>
      </c>
      <c r="C276"/>
      <c r="D276"/>
      <c r="E276" t="s">
        <v>127</v>
      </c>
      <c r="F276"/>
      <c r="G276" t="s">
        <v>117</v>
      </c>
      <c r="H276"/>
      <c r="I276" s="140">
        <v>46238.463518518518</v>
      </c>
      <c r="J276" t="s">
        <v>349</v>
      </c>
      <c r="K276" t="s">
        <v>296</v>
      </c>
      <c r="L276" s="139">
        <v>46173</v>
      </c>
      <c r="M276" t="s">
        <v>347</v>
      </c>
      <c r="N276" t="s">
        <v>313</v>
      </c>
      <c r="O276" t="s">
        <v>294</v>
      </c>
      <c r="P276" t="s">
        <v>348</v>
      </c>
      <c r="Q276" t="s">
        <v>295</v>
      </c>
    </row>
    <row r="277" spans="1:17" s="29" customFormat="1" hidden="1">
      <c r="A277" s="41">
        <v>3.1851585462962961E-2</v>
      </c>
      <c r="B277" t="s">
        <v>116</v>
      </c>
      <c r="C277"/>
      <c r="D277"/>
      <c r="E277" t="s">
        <v>127</v>
      </c>
      <c r="F277"/>
      <c r="G277" t="s">
        <v>117</v>
      </c>
      <c r="H277"/>
      <c r="I277" s="140">
        <v>46238.463379629633</v>
      </c>
      <c r="J277" t="s">
        <v>349</v>
      </c>
      <c r="K277" t="s">
        <v>296</v>
      </c>
      <c r="L277" s="139">
        <v>46173</v>
      </c>
      <c r="M277" t="s">
        <v>347</v>
      </c>
      <c r="N277" t="s">
        <v>313</v>
      </c>
      <c r="O277" t="s">
        <v>294</v>
      </c>
      <c r="P277" t="s">
        <v>348</v>
      </c>
      <c r="Q277" t="s">
        <v>295</v>
      </c>
    </row>
    <row r="278" spans="1:17" s="29" customFormat="1" hidden="1">
      <c r="A278" s="41">
        <v>3.1790105185185186E-2</v>
      </c>
      <c r="B278" t="s">
        <v>116</v>
      </c>
      <c r="C278"/>
      <c r="D278"/>
      <c r="E278" t="s">
        <v>127</v>
      </c>
      <c r="F278"/>
      <c r="G278" t="s">
        <v>117</v>
      </c>
      <c r="H278"/>
      <c r="I278" s="140">
        <v>46238.463321759256</v>
      </c>
      <c r="J278" t="s">
        <v>349</v>
      </c>
      <c r="K278" t="s">
        <v>296</v>
      </c>
      <c r="L278" s="139">
        <v>46173</v>
      </c>
      <c r="M278" t="s">
        <v>347</v>
      </c>
      <c r="N278" t="s">
        <v>313</v>
      </c>
      <c r="O278" t="s">
        <v>294</v>
      </c>
      <c r="P278" t="s">
        <v>348</v>
      </c>
      <c r="Q278" t="s">
        <v>295</v>
      </c>
    </row>
    <row r="279" spans="1:17" s="29" customFormat="1" hidden="1">
      <c r="A279" s="41">
        <v>3.1741402187499997E-2</v>
      </c>
      <c r="B279" t="s">
        <v>116</v>
      </c>
      <c r="C279"/>
      <c r="D279"/>
      <c r="E279" t="s">
        <v>399</v>
      </c>
      <c r="F279"/>
      <c r="G279" t="s">
        <v>117</v>
      </c>
      <c r="H279"/>
      <c r="I279" s="140">
        <v>46238.463275462964</v>
      </c>
      <c r="J279" t="s">
        <v>349</v>
      </c>
      <c r="K279" t="s">
        <v>296</v>
      </c>
      <c r="L279" s="139">
        <v>46173</v>
      </c>
      <c r="M279" t="s">
        <v>347</v>
      </c>
      <c r="N279" t="s">
        <v>313</v>
      </c>
      <c r="O279" t="s">
        <v>294</v>
      </c>
      <c r="P279" t="s">
        <v>348</v>
      </c>
      <c r="Q279" t="s">
        <v>295</v>
      </c>
    </row>
    <row r="280" spans="1:17" s="29" customFormat="1" hidden="1">
      <c r="A280" s="41">
        <v>3.1541097488425929E-2</v>
      </c>
      <c r="B280" t="s">
        <v>116</v>
      </c>
      <c r="C280"/>
      <c r="D280"/>
      <c r="E280" t="s">
        <v>124</v>
      </c>
      <c r="F280"/>
      <c r="G280" t="s">
        <v>117</v>
      </c>
      <c r="H280"/>
      <c r="I280" s="140">
        <v>46238.463078703702</v>
      </c>
      <c r="J280" t="s">
        <v>349</v>
      </c>
      <c r="K280" t="s">
        <v>296</v>
      </c>
      <c r="L280" s="139">
        <v>46173</v>
      </c>
      <c r="M280" t="s">
        <v>347</v>
      </c>
      <c r="N280" t="s">
        <v>313</v>
      </c>
      <c r="O280" t="s">
        <v>294</v>
      </c>
      <c r="P280" t="s">
        <v>348</v>
      </c>
      <c r="Q280" t="s">
        <v>295</v>
      </c>
    </row>
    <row r="281" spans="1:17" s="29" customFormat="1" hidden="1">
      <c r="A281" s="41">
        <v>3.1359688263888887E-2</v>
      </c>
      <c r="B281" t="s">
        <v>116</v>
      </c>
      <c r="C281"/>
      <c r="D281"/>
      <c r="E281" t="s">
        <v>88</v>
      </c>
      <c r="F281"/>
      <c r="G281" t="s">
        <v>117</v>
      </c>
      <c r="H281"/>
      <c r="I281" s="140">
        <v>46238.462893518517</v>
      </c>
      <c r="J281" t="s">
        <v>349</v>
      </c>
      <c r="K281" t="s">
        <v>296</v>
      </c>
      <c r="L281" s="139">
        <v>46173</v>
      </c>
      <c r="M281" t="s">
        <v>347</v>
      </c>
      <c r="N281" t="s">
        <v>313</v>
      </c>
      <c r="O281" t="s">
        <v>294</v>
      </c>
      <c r="P281" t="s">
        <v>348</v>
      </c>
      <c r="Q281" t="s">
        <v>295</v>
      </c>
    </row>
    <row r="282" spans="1:17" s="29" customFormat="1" hidden="1">
      <c r="A282" s="41">
        <v>3.1316660821759254E-2</v>
      </c>
      <c r="B282" t="s">
        <v>116</v>
      </c>
      <c r="C282"/>
      <c r="D282"/>
      <c r="E282" t="s">
        <v>396</v>
      </c>
      <c r="F282"/>
      <c r="G282" t="s">
        <v>226</v>
      </c>
      <c r="H282"/>
      <c r="I282" s="140">
        <v>46238.462847222225</v>
      </c>
      <c r="J282" t="s">
        <v>349</v>
      </c>
      <c r="K282" t="s">
        <v>296</v>
      </c>
      <c r="L282" s="139">
        <v>46173</v>
      </c>
      <c r="M282" t="s">
        <v>347</v>
      </c>
      <c r="N282" t="s">
        <v>313</v>
      </c>
      <c r="O282" t="s">
        <v>294</v>
      </c>
      <c r="P282" t="s">
        <v>348</v>
      </c>
      <c r="Q282" t="s">
        <v>295</v>
      </c>
    </row>
    <row r="283" spans="1:17" s="29" customFormat="1" hidden="1">
      <c r="A283" s="41">
        <v>3.1278432754629625E-2</v>
      </c>
      <c r="B283" t="s">
        <v>116</v>
      </c>
      <c r="C283"/>
      <c r="D283"/>
      <c r="E283" t="s">
        <v>123</v>
      </c>
      <c r="F283"/>
      <c r="G283" t="s">
        <v>226</v>
      </c>
      <c r="H283"/>
      <c r="I283" s="140">
        <v>46238.462812500002</v>
      </c>
      <c r="J283" t="s">
        <v>349</v>
      </c>
      <c r="K283" t="s">
        <v>296</v>
      </c>
      <c r="L283" s="139">
        <v>46173</v>
      </c>
      <c r="M283" t="s">
        <v>347</v>
      </c>
      <c r="N283" t="s">
        <v>313</v>
      </c>
      <c r="O283" t="s">
        <v>294</v>
      </c>
      <c r="P283" t="s">
        <v>348</v>
      </c>
      <c r="Q283" t="s">
        <v>295</v>
      </c>
    </row>
    <row r="284" spans="1:17" s="29" customFormat="1" hidden="1">
      <c r="A284" s="41">
        <v>3.1134651550925929E-2</v>
      </c>
      <c r="B284" t="s">
        <v>116</v>
      </c>
      <c r="C284"/>
      <c r="D284"/>
      <c r="E284" t="s">
        <v>123</v>
      </c>
      <c r="F284"/>
      <c r="G284" t="s">
        <v>226</v>
      </c>
      <c r="H284"/>
      <c r="I284" s="140">
        <v>46238.39267361111</v>
      </c>
      <c r="J284" t="s">
        <v>349</v>
      </c>
      <c r="K284" t="s">
        <v>296</v>
      </c>
      <c r="L284" s="139">
        <v>46173</v>
      </c>
      <c r="M284" t="s">
        <v>347</v>
      </c>
      <c r="N284" t="s">
        <v>313</v>
      </c>
      <c r="O284" t="s">
        <v>294</v>
      </c>
      <c r="P284" t="s">
        <v>348</v>
      </c>
      <c r="Q284" t="s">
        <v>295</v>
      </c>
    </row>
    <row r="285" spans="1:17" s="29" customFormat="1" hidden="1">
      <c r="A285" s="41">
        <v>3.0864116469907405E-2</v>
      </c>
      <c r="B285" t="s">
        <v>116</v>
      </c>
      <c r="C285"/>
      <c r="D285"/>
      <c r="E285" t="s">
        <v>88</v>
      </c>
      <c r="F285"/>
      <c r="G285" t="s">
        <v>117</v>
      </c>
      <c r="H285"/>
      <c r="I285" s="140">
        <v>46238.392407407409</v>
      </c>
      <c r="J285" t="s">
        <v>349</v>
      </c>
      <c r="K285" t="s">
        <v>296</v>
      </c>
      <c r="L285" s="139">
        <v>46173</v>
      </c>
      <c r="M285" t="s">
        <v>347</v>
      </c>
      <c r="N285" t="s">
        <v>313</v>
      </c>
      <c r="O285" t="s">
        <v>294</v>
      </c>
      <c r="P285" t="s">
        <v>348</v>
      </c>
      <c r="Q285" t="s">
        <v>295</v>
      </c>
    </row>
    <row r="286" spans="1:17" s="29" customFormat="1" hidden="1">
      <c r="A286" s="41">
        <v>3.0771881377314816E-2</v>
      </c>
      <c r="B286" t="s">
        <v>116</v>
      </c>
      <c r="C286"/>
      <c r="D286"/>
      <c r="E286" t="s">
        <v>246</v>
      </c>
      <c r="F286"/>
      <c r="G286" t="s">
        <v>117</v>
      </c>
      <c r="H286"/>
      <c r="I286" s="140">
        <v>46238.392314814817</v>
      </c>
      <c r="J286" t="s">
        <v>349</v>
      </c>
      <c r="K286" t="s">
        <v>296</v>
      </c>
      <c r="L286" s="139">
        <v>46173</v>
      </c>
      <c r="M286" t="s">
        <v>347</v>
      </c>
      <c r="N286" t="s">
        <v>313</v>
      </c>
      <c r="O286" t="s">
        <v>294</v>
      </c>
      <c r="P286" t="s">
        <v>348</v>
      </c>
      <c r="Q286" t="s">
        <v>295</v>
      </c>
    </row>
    <row r="287" spans="1:17" s="29" customFormat="1" hidden="1">
      <c r="A287" s="41">
        <v>3.0669630069444443E-2</v>
      </c>
      <c r="B287" t="s">
        <v>116</v>
      </c>
      <c r="C287"/>
      <c r="D287"/>
      <c r="E287" t="s">
        <v>119</v>
      </c>
      <c r="F287"/>
      <c r="G287" t="s">
        <v>117</v>
      </c>
      <c r="H287"/>
      <c r="I287" s="140">
        <v>46238.392152777778</v>
      </c>
      <c r="J287" t="s">
        <v>349</v>
      </c>
      <c r="K287" t="s">
        <v>296</v>
      </c>
      <c r="L287" s="139">
        <v>46173</v>
      </c>
      <c r="M287" t="s">
        <v>347</v>
      </c>
      <c r="N287" t="s">
        <v>313</v>
      </c>
      <c r="O287" t="s">
        <v>294</v>
      </c>
      <c r="P287" t="s">
        <v>348</v>
      </c>
      <c r="Q287" t="s">
        <v>295</v>
      </c>
    </row>
    <row r="288" spans="1:17" s="29" customFormat="1" hidden="1">
      <c r="A288" s="41">
        <v>2.9468852708333333E-2</v>
      </c>
      <c r="B288" t="s">
        <v>116</v>
      </c>
      <c r="C288"/>
      <c r="D288"/>
      <c r="E288" t="s">
        <v>88</v>
      </c>
      <c r="F288"/>
      <c r="G288" t="s">
        <v>117</v>
      </c>
      <c r="H288"/>
      <c r="I288" s="140">
        <v>46238.391863425924</v>
      </c>
      <c r="J288" t="s">
        <v>349</v>
      </c>
      <c r="K288" t="s">
        <v>296</v>
      </c>
      <c r="L288" s="139">
        <v>46173</v>
      </c>
      <c r="M288" t="s">
        <v>347</v>
      </c>
      <c r="N288" t="s">
        <v>313</v>
      </c>
      <c r="O288" t="s">
        <v>294</v>
      </c>
      <c r="P288" t="s">
        <v>348</v>
      </c>
      <c r="Q288" t="s">
        <v>295</v>
      </c>
    </row>
    <row r="289" spans="1:17" s="29" customFormat="1" hidden="1">
      <c r="A289" s="41">
        <v>2.9438419074074077E-2</v>
      </c>
      <c r="B289" t="s">
        <v>116</v>
      </c>
      <c r="C289" t="s">
        <v>83</v>
      </c>
      <c r="D289"/>
      <c r="E289" t="s">
        <v>122</v>
      </c>
      <c r="F289"/>
      <c r="G289" t="s">
        <v>117</v>
      </c>
      <c r="H289"/>
      <c r="I289" s="140">
        <v>46238.391840277778</v>
      </c>
      <c r="J289" t="s">
        <v>349</v>
      </c>
      <c r="K289" t="s">
        <v>296</v>
      </c>
      <c r="L289" s="139">
        <v>46173</v>
      </c>
      <c r="M289" t="s">
        <v>347</v>
      </c>
      <c r="N289" t="s">
        <v>313</v>
      </c>
      <c r="O289" t="s">
        <v>294</v>
      </c>
      <c r="P289" t="s">
        <v>348</v>
      </c>
      <c r="Q289" t="s">
        <v>295</v>
      </c>
    </row>
    <row r="290" spans="1:17" s="29" customFormat="1" hidden="1">
      <c r="A290" s="41">
        <v>2.9248653738425924E-2</v>
      </c>
      <c r="B290" t="s">
        <v>116</v>
      </c>
      <c r="C290" t="s">
        <v>367</v>
      </c>
      <c r="D290"/>
      <c r="E290" t="s">
        <v>130</v>
      </c>
      <c r="F290"/>
      <c r="G290" t="s">
        <v>117</v>
      </c>
      <c r="H290"/>
      <c r="I290" s="140">
        <v>46238.391493055555</v>
      </c>
      <c r="J290" t="s">
        <v>349</v>
      </c>
      <c r="K290" t="s">
        <v>296</v>
      </c>
      <c r="L290" s="139">
        <v>46173</v>
      </c>
      <c r="M290" t="s">
        <v>347</v>
      </c>
      <c r="N290" t="s">
        <v>313</v>
      </c>
      <c r="O290" t="s">
        <v>294</v>
      </c>
      <c r="P290" t="s">
        <v>348</v>
      </c>
      <c r="Q290" t="s">
        <v>295</v>
      </c>
    </row>
    <row r="291" spans="1:17" s="29" customFormat="1" hidden="1">
      <c r="A291" s="41">
        <v>2.918691650462963E-2</v>
      </c>
      <c r="B291" t="s">
        <v>116</v>
      </c>
      <c r="C291"/>
      <c r="D291"/>
      <c r="E291" t="s">
        <v>123</v>
      </c>
      <c r="F291"/>
      <c r="G291" t="s">
        <v>117</v>
      </c>
      <c r="H291"/>
      <c r="I291" s="140">
        <v>46238.390150462961</v>
      </c>
      <c r="J291" t="s">
        <v>349</v>
      </c>
      <c r="K291" t="s">
        <v>296</v>
      </c>
      <c r="L291" s="139">
        <v>46173</v>
      </c>
      <c r="M291" t="s">
        <v>347</v>
      </c>
      <c r="N291" t="s">
        <v>313</v>
      </c>
      <c r="O291" t="s">
        <v>294</v>
      </c>
      <c r="P291" t="s">
        <v>348</v>
      </c>
      <c r="Q291" t="s">
        <v>295</v>
      </c>
    </row>
    <row r="292" spans="1:17" s="29" customFormat="1" hidden="1">
      <c r="A292" s="41">
        <v>2.8596676712962964E-2</v>
      </c>
      <c r="B292" t="s">
        <v>116</v>
      </c>
      <c r="C292"/>
      <c r="D292"/>
      <c r="E292" t="s">
        <v>88</v>
      </c>
      <c r="F292"/>
      <c r="G292" t="s">
        <v>117</v>
      </c>
      <c r="H292"/>
      <c r="I292" s="140">
        <v>46238.390023148146</v>
      </c>
      <c r="J292" t="s">
        <v>349</v>
      </c>
      <c r="K292" t="s">
        <v>296</v>
      </c>
      <c r="L292" s="139">
        <v>46173</v>
      </c>
      <c r="M292" t="s">
        <v>347</v>
      </c>
      <c r="N292" t="s">
        <v>313</v>
      </c>
      <c r="O292" t="s">
        <v>294</v>
      </c>
      <c r="P292" t="s">
        <v>348</v>
      </c>
      <c r="Q292" t="s">
        <v>295</v>
      </c>
    </row>
    <row r="293" spans="1:17" s="29" customFormat="1" hidden="1">
      <c r="A293" s="41">
        <v>2.86478571875E-2</v>
      </c>
      <c r="B293" t="s">
        <v>116</v>
      </c>
      <c r="C293"/>
      <c r="D293"/>
      <c r="E293" t="s">
        <v>275</v>
      </c>
      <c r="F293" t="s">
        <v>270</v>
      </c>
      <c r="G293" t="s">
        <v>117</v>
      </c>
      <c r="H293"/>
      <c r="I293" s="140">
        <v>46238.389386574076</v>
      </c>
      <c r="J293" t="s">
        <v>349</v>
      </c>
      <c r="K293" t="s">
        <v>296</v>
      </c>
      <c r="L293" s="139">
        <v>46173</v>
      </c>
      <c r="M293" t="s">
        <v>347</v>
      </c>
      <c r="N293" t="s">
        <v>313</v>
      </c>
      <c r="O293" t="s">
        <v>294</v>
      </c>
      <c r="P293" t="s">
        <v>348</v>
      </c>
      <c r="Q293" t="s">
        <v>295</v>
      </c>
    </row>
    <row r="294" spans="1:17" s="29" customFormat="1" hidden="1">
      <c r="A294" s="41">
        <v>2.85556246875E-2</v>
      </c>
      <c r="B294" t="s">
        <v>116</v>
      </c>
      <c r="C294"/>
      <c r="D294"/>
      <c r="E294" t="s">
        <v>127</v>
      </c>
      <c r="F294"/>
      <c r="G294" t="s">
        <v>117</v>
      </c>
      <c r="H294"/>
      <c r="I294" s="140">
        <v>46238.389270833337</v>
      </c>
      <c r="J294" t="s">
        <v>349</v>
      </c>
      <c r="K294" t="s">
        <v>296</v>
      </c>
      <c r="L294" s="139">
        <v>46173</v>
      </c>
      <c r="M294" t="s">
        <v>347</v>
      </c>
      <c r="N294" t="s">
        <v>313</v>
      </c>
      <c r="O294" t="s">
        <v>294</v>
      </c>
      <c r="P294" t="s">
        <v>348</v>
      </c>
      <c r="Q294" t="s">
        <v>295</v>
      </c>
    </row>
    <row r="295" spans="1:17" s="29" customFormat="1" hidden="1">
      <c r="A295" s="41">
        <v>2.8457247384259258E-2</v>
      </c>
      <c r="B295" t="s">
        <v>116</v>
      </c>
      <c r="C295"/>
      <c r="D295"/>
      <c r="E295" t="s">
        <v>127</v>
      </c>
      <c r="F295"/>
      <c r="G295" t="s">
        <v>117</v>
      </c>
      <c r="H295"/>
      <c r="I295" s="140">
        <v>46238.389166666668</v>
      </c>
      <c r="J295" t="s">
        <v>349</v>
      </c>
      <c r="K295" t="s">
        <v>296</v>
      </c>
      <c r="L295" s="139">
        <v>46173</v>
      </c>
      <c r="M295" t="s">
        <v>347</v>
      </c>
      <c r="N295" t="s">
        <v>313</v>
      </c>
      <c r="O295" t="s">
        <v>294</v>
      </c>
      <c r="P295" t="s">
        <v>348</v>
      </c>
      <c r="Q295" t="s">
        <v>295</v>
      </c>
    </row>
    <row r="296" spans="1:17" s="29" customFormat="1" hidden="1">
      <c r="A296" s="41">
        <v>2.8404971597222224E-2</v>
      </c>
      <c r="B296" t="s">
        <v>116</v>
      </c>
      <c r="C296"/>
      <c r="D296"/>
      <c r="E296" t="s">
        <v>127</v>
      </c>
      <c r="F296"/>
      <c r="G296" t="s">
        <v>117</v>
      </c>
      <c r="H296"/>
      <c r="I296" s="140">
        <v>46238.389120370368</v>
      </c>
      <c r="J296" t="s">
        <v>349</v>
      </c>
      <c r="K296" t="s">
        <v>296</v>
      </c>
      <c r="L296" s="139">
        <v>46173</v>
      </c>
      <c r="M296" t="s">
        <v>347</v>
      </c>
      <c r="N296" t="s">
        <v>313</v>
      </c>
      <c r="O296" t="s">
        <v>294</v>
      </c>
      <c r="P296" t="s">
        <v>348</v>
      </c>
      <c r="Q296" t="s">
        <v>295</v>
      </c>
    </row>
    <row r="297" spans="1:17" s="29" customFormat="1" hidden="1">
      <c r="A297" s="41">
        <v>2.832809996527778E-2</v>
      </c>
      <c r="B297" t="s">
        <v>116</v>
      </c>
      <c r="C297"/>
      <c r="D297"/>
      <c r="E297" t="s">
        <v>120</v>
      </c>
      <c r="F297"/>
      <c r="G297" t="s">
        <v>117</v>
      </c>
      <c r="H297"/>
      <c r="I297" s="140">
        <v>46238.389039351852</v>
      </c>
      <c r="J297" t="s">
        <v>349</v>
      </c>
      <c r="K297" t="s">
        <v>296</v>
      </c>
      <c r="L297" s="139">
        <v>46173</v>
      </c>
      <c r="M297" t="s">
        <v>347</v>
      </c>
      <c r="N297" t="s">
        <v>313</v>
      </c>
      <c r="O297" t="s">
        <v>294</v>
      </c>
      <c r="P297" t="s">
        <v>348</v>
      </c>
      <c r="Q297" t="s">
        <v>295</v>
      </c>
    </row>
    <row r="298" spans="1:17" s="29" customFormat="1" hidden="1">
      <c r="A298" s="41">
        <v>2.8162072731481483E-2</v>
      </c>
      <c r="B298" t="s">
        <v>116</v>
      </c>
      <c r="C298"/>
      <c r="D298"/>
      <c r="E298" t="s">
        <v>88</v>
      </c>
      <c r="F298"/>
      <c r="G298" t="s">
        <v>117</v>
      </c>
      <c r="H298"/>
      <c r="I298" s="140">
        <v>46238.388877314814</v>
      </c>
      <c r="J298" t="s">
        <v>349</v>
      </c>
      <c r="K298" t="s">
        <v>296</v>
      </c>
      <c r="L298" s="139">
        <v>46173</v>
      </c>
      <c r="M298" t="s">
        <v>347</v>
      </c>
      <c r="N298" t="s">
        <v>313</v>
      </c>
      <c r="O298" t="s">
        <v>294</v>
      </c>
      <c r="P298" t="s">
        <v>348</v>
      </c>
      <c r="Q298" t="s">
        <v>295</v>
      </c>
    </row>
    <row r="299" spans="1:17" s="29" customFormat="1" hidden="1">
      <c r="A299" s="41">
        <v>2.8082145752314814E-2</v>
      </c>
      <c r="B299" t="s">
        <v>116</v>
      </c>
      <c r="C299"/>
      <c r="D299"/>
      <c r="E299" t="s">
        <v>275</v>
      </c>
      <c r="F299" t="s">
        <v>269</v>
      </c>
      <c r="G299" t="s">
        <v>117</v>
      </c>
      <c r="H299"/>
      <c r="I299" s="140">
        <v>46238.388807870368</v>
      </c>
      <c r="J299" t="s">
        <v>349</v>
      </c>
      <c r="K299" t="s">
        <v>296</v>
      </c>
      <c r="L299" s="139">
        <v>46173</v>
      </c>
      <c r="M299" t="s">
        <v>347</v>
      </c>
      <c r="N299" t="s">
        <v>313</v>
      </c>
      <c r="O299" t="s">
        <v>294</v>
      </c>
      <c r="P299" t="s">
        <v>348</v>
      </c>
      <c r="Q299" t="s">
        <v>295</v>
      </c>
    </row>
    <row r="300" spans="1:17" s="29" customFormat="1" hidden="1">
      <c r="A300" s="41">
        <v>2.8026441064814816E-2</v>
      </c>
      <c r="B300" t="s">
        <v>116</v>
      </c>
      <c r="C300"/>
      <c r="D300"/>
      <c r="E300" t="s">
        <v>127</v>
      </c>
      <c r="F300"/>
      <c r="G300" t="s">
        <v>117</v>
      </c>
      <c r="H300"/>
      <c r="I300" s="140">
        <v>46238.388449074075</v>
      </c>
      <c r="J300" t="s">
        <v>349</v>
      </c>
      <c r="K300" t="s">
        <v>296</v>
      </c>
      <c r="L300" s="139">
        <v>46173</v>
      </c>
      <c r="M300" t="s">
        <v>347</v>
      </c>
      <c r="N300" t="s">
        <v>313</v>
      </c>
      <c r="O300" t="s">
        <v>294</v>
      </c>
      <c r="P300" t="s">
        <v>348</v>
      </c>
      <c r="Q300" t="s">
        <v>295</v>
      </c>
    </row>
    <row r="301" spans="1:17" s="29" customFormat="1" hidden="1">
      <c r="A301" s="41">
        <v>2.8017187037037039E-2</v>
      </c>
      <c r="B301" t="s">
        <v>116</v>
      </c>
      <c r="C301"/>
      <c r="D301"/>
      <c r="E301" t="s">
        <v>59</v>
      </c>
      <c r="F301"/>
      <c r="G301" t="s">
        <v>117</v>
      </c>
      <c r="H301"/>
      <c r="I301" s="140">
        <v>46238.388437499998</v>
      </c>
      <c r="J301" t="s">
        <v>349</v>
      </c>
      <c r="K301" t="s">
        <v>296</v>
      </c>
      <c r="L301" s="139">
        <v>46173</v>
      </c>
      <c r="M301" t="s">
        <v>347</v>
      </c>
      <c r="N301" t="s">
        <v>313</v>
      </c>
      <c r="O301" t="s">
        <v>294</v>
      </c>
      <c r="P301" t="s">
        <v>348</v>
      </c>
      <c r="Q301" t="s">
        <v>295</v>
      </c>
    </row>
    <row r="302" spans="1:17" s="29" customFormat="1" hidden="1">
      <c r="A302" s="41">
        <v>2.7908284664351853E-2</v>
      </c>
      <c r="B302" t="s">
        <v>116</v>
      </c>
      <c r="C302"/>
      <c r="D302"/>
      <c r="E302" t="s">
        <v>120</v>
      </c>
      <c r="F302"/>
      <c r="G302" t="s">
        <v>117</v>
      </c>
      <c r="H302"/>
      <c r="I302" s="140">
        <v>46238.38826388889</v>
      </c>
      <c r="J302" t="s">
        <v>349</v>
      </c>
      <c r="K302" t="s">
        <v>296</v>
      </c>
      <c r="L302" s="139">
        <v>46173</v>
      </c>
      <c r="M302" t="s">
        <v>347</v>
      </c>
      <c r="N302" t="s">
        <v>313</v>
      </c>
      <c r="O302" t="s">
        <v>294</v>
      </c>
      <c r="P302" t="s">
        <v>348</v>
      </c>
      <c r="Q302" t="s">
        <v>295</v>
      </c>
    </row>
    <row r="303" spans="1:17" s="29" customFormat="1" hidden="1">
      <c r="A303" s="41">
        <v>2.7525713784722221E-2</v>
      </c>
      <c r="B303" t="s">
        <v>116</v>
      </c>
      <c r="C303"/>
      <c r="D303"/>
      <c r="E303" t="s">
        <v>88</v>
      </c>
      <c r="F303"/>
      <c r="G303" t="s">
        <v>117</v>
      </c>
      <c r="H303"/>
      <c r="I303" s="140">
        <v>46238.387881944444</v>
      </c>
      <c r="J303" t="s">
        <v>349</v>
      </c>
      <c r="K303" t="s">
        <v>296</v>
      </c>
      <c r="L303" s="139">
        <v>46173</v>
      </c>
      <c r="M303" t="s">
        <v>347</v>
      </c>
      <c r="N303" t="s">
        <v>313</v>
      </c>
      <c r="O303" t="s">
        <v>294</v>
      </c>
      <c r="P303" t="s">
        <v>348</v>
      </c>
      <c r="Q303" t="s">
        <v>295</v>
      </c>
    </row>
    <row r="304" spans="1:17" s="29" customFormat="1" hidden="1">
      <c r="A304" s="41">
        <v>2.7492124293981481E-2</v>
      </c>
      <c r="B304" t="s">
        <v>116</v>
      </c>
      <c r="C304"/>
      <c r="D304"/>
      <c r="E304" t="s">
        <v>275</v>
      </c>
      <c r="F304" t="s">
        <v>83</v>
      </c>
      <c r="G304" t="s">
        <v>117</v>
      </c>
      <c r="H304"/>
      <c r="I304" s="140">
        <v>46238.387870370374</v>
      </c>
      <c r="J304" t="s">
        <v>349</v>
      </c>
      <c r="K304" t="s">
        <v>296</v>
      </c>
      <c r="L304" s="139">
        <v>46173</v>
      </c>
      <c r="M304" t="s">
        <v>347</v>
      </c>
      <c r="N304" t="s">
        <v>313</v>
      </c>
      <c r="O304" t="s">
        <v>294</v>
      </c>
      <c r="P304" t="s">
        <v>348</v>
      </c>
      <c r="Q304" t="s">
        <v>295</v>
      </c>
    </row>
    <row r="305" spans="1:17" s="29" customFormat="1" hidden="1">
      <c r="A305" s="41">
        <v>2.7408656585648145E-2</v>
      </c>
      <c r="B305" t="s">
        <v>116</v>
      </c>
      <c r="C305"/>
      <c r="D305"/>
      <c r="E305" t="s">
        <v>127</v>
      </c>
      <c r="F305"/>
      <c r="G305" t="s">
        <v>117</v>
      </c>
      <c r="H305"/>
      <c r="I305" s="140">
        <v>46238.387291666666</v>
      </c>
      <c r="J305" t="s">
        <v>349</v>
      </c>
      <c r="K305" t="s">
        <v>296</v>
      </c>
      <c r="L305" s="139">
        <v>46173</v>
      </c>
      <c r="M305" t="s">
        <v>347</v>
      </c>
      <c r="N305" t="s">
        <v>313</v>
      </c>
      <c r="O305" t="s">
        <v>294</v>
      </c>
      <c r="P305" t="s">
        <v>348</v>
      </c>
      <c r="Q305" t="s">
        <v>295</v>
      </c>
    </row>
    <row r="306" spans="1:17" s="29" customFormat="1" hidden="1">
      <c r="A306" s="41">
        <v>2.7249984398148148E-2</v>
      </c>
      <c r="B306" t="s">
        <v>116</v>
      </c>
      <c r="C306" t="s">
        <v>207</v>
      </c>
      <c r="D306"/>
      <c r="E306" t="s">
        <v>130</v>
      </c>
      <c r="F306"/>
      <c r="G306" t="s">
        <v>117</v>
      </c>
      <c r="H306"/>
      <c r="I306" s="140">
        <v>46238.385752314818</v>
      </c>
      <c r="J306" t="s">
        <v>349</v>
      </c>
      <c r="K306" t="s">
        <v>296</v>
      </c>
      <c r="L306" s="139">
        <v>46173</v>
      </c>
      <c r="M306" t="s">
        <v>347</v>
      </c>
      <c r="N306" t="s">
        <v>313</v>
      </c>
      <c r="O306" t="s">
        <v>294</v>
      </c>
      <c r="P306" t="s">
        <v>348</v>
      </c>
      <c r="Q306" t="s">
        <v>295</v>
      </c>
    </row>
    <row r="307" spans="1:17" s="29" customFormat="1" hidden="1">
      <c r="A307" s="41">
        <v>2.7138007384259259E-2</v>
      </c>
      <c r="B307" t="s">
        <v>116</v>
      </c>
      <c r="C307"/>
      <c r="D307"/>
      <c r="E307" t="s">
        <v>123</v>
      </c>
      <c r="F307"/>
      <c r="G307" t="s">
        <v>117</v>
      </c>
      <c r="H307"/>
      <c r="I307" s="140">
        <v>46238.385567129626</v>
      </c>
      <c r="J307" t="s">
        <v>349</v>
      </c>
      <c r="K307" t="s">
        <v>296</v>
      </c>
      <c r="L307" s="139">
        <v>46173</v>
      </c>
      <c r="M307" t="s">
        <v>347</v>
      </c>
      <c r="N307" t="s">
        <v>313</v>
      </c>
      <c r="O307" t="s">
        <v>294</v>
      </c>
      <c r="P307" t="s">
        <v>348</v>
      </c>
      <c r="Q307" t="s">
        <v>295</v>
      </c>
    </row>
    <row r="308" spans="1:17" s="29" customFormat="1" hidden="1">
      <c r="A308" s="41">
        <v>2.6692232766203704E-2</v>
      </c>
      <c r="B308" t="s">
        <v>116</v>
      </c>
      <c r="C308"/>
      <c r="D308"/>
      <c r="E308" t="s">
        <v>88</v>
      </c>
      <c r="F308"/>
      <c r="G308" t="s">
        <v>117</v>
      </c>
      <c r="H308"/>
      <c r="I308" s="140">
        <v>46238.385127314818</v>
      </c>
      <c r="J308" t="s">
        <v>349</v>
      </c>
      <c r="K308" t="s">
        <v>296</v>
      </c>
      <c r="L308" s="139">
        <v>46173</v>
      </c>
      <c r="M308" t="s">
        <v>347</v>
      </c>
      <c r="N308" t="s">
        <v>313</v>
      </c>
      <c r="O308" t="s">
        <v>294</v>
      </c>
      <c r="P308" t="s">
        <v>348</v>
      </c>
      <c r="Q308" t="s">
        <v>295</v>
      </c>
    </row>
    <row r="309" spans="1:17" s="29" customFormat="1" hidden="1">
      <c r="A309" s="41">
        <v>2.6627625694444441E-2</v>
      </c>
      <c r="B309" t="s">
        <v>116</v>
      </c>
      <c r="C309"/>
      <c r="D309"/>
      <c r="E309" t="s">
        <v>275</v>
      </c>
      <c r="F309" t="s">
        <v>83</v>
      </c>
      <c r="G309" t="s">
        <v>117</v>
      </c>
      <c r="H309"/>
      <c r="I309" s="140">
        <v>46238.385115740741</v>
      </c>
      <c r="J309" t="s">
        <v>349</v>
      </c>
      <c r="K309" t="s">
        <v>296</v>
      </c>
      <c r="L309" s="139">
        <v>46173</v>
      </c>
      <c r="M309" t="s">
        <v>347</v>
      </c>
      <c r="N309" t="s">
        <v>313</v>
      </c>
      <c r="O309" t="s">
        <v>294</v>
      </c>
      <c r="P309" t="s">
        <v>348</v>
      </c>
      <c r="Q309" t="s">
        <v>295</v>
      </c>
    </row>
    <row r="310" spans="1:17" s="29" customFormat="1" hidden="1">
      <c r="A310" s="41">
        <v>2.656922203703704E-2</v>
      </c>
      <c r="B310" t="s">
        <v>116</v>
      </c>
      <c r="C310"/>
      <c r="D310"/>
      <c r="E310" t="s">
        <v>127</v>
      </c>
      <c r="F310"/>
      <c r="G310" t="s">
        <v>117</v>
      </c>
      <c r="H310"/>
      <c r="I310" s="140">
        <v>46238.385000000002</v>
      </c>
      <c r="J310" t="s">
        <v>349</v>
      </c>
      <c r="K310" t="s">
        <v>296</v>
      </c>
      <c r="L310" s="139">
        <v>46173</v>
      </c>
      <c r="M310" t="s">
        <v>347</v>
      </c>
      <c r="N310" t="s">
        <v>313</v>
      </c>
      <c r="O310" t="s">
        <v>294</v>
      </c>
      <c r="P310" t="s">
        <v>348</v>
      </c>
      <c r="Q310" t="s">
        <v>295</v>
      </c>
    </row>
    <row r="311" spans="1:17" s="29" customFormat="1" hidden="1">
      <c r="A311" s="41">
        <v>2.6461643645833335E-2</v>
      </c>
      <c r="B311" t="s">
        <v>116</v>
      </c>
      <c r="C311"/>
      <c r="D311"/>
      <c r="E311" t="s">
        <v>127</v>
      </c>
      <c r="F311"/>
      <c r="G311" t="s">
        <v>117</v>
      </c>
      <c r="H311"/>
      <c r="I311" s="140">
        <v>46238.384895833333</v>
      </c>
      <c r="J311" t="s">
        <v>349</v>
      </c>
      <c r="K311" t="s">
        <v>296</v>
      </c>
      <c r="L311" s="139">
        <v>46173</v>
      </c>
      <c r="M311" t="s">
        <v>347</v>
      </c>
      <c r="N311" t="s">
        <v>313</v>
      </c>
      <c r="O311" t="s">
        <v>294</v>
      </c>
      <c r="P311" t="s">
        <v>348</v>
      </c>
      <c r="Q311" t="s">
        <v>295</v>
      </c>
    </row>
    <row r="312" spans="1:17" s="29" customFormat="1" hidden="1">
      <c r="A312" s="41">
        <v>2.638786207175926E-2</v>
      </c>
      <c r="B312" t="s">
        <v>116</v>
      </c>
      <c r="C312"/>
      <c r="D312"/>
      <c r="E312" t="s">
        <v>127</v>
      </c>
      <c r="F312"/>
      <c r="G312" t="s">
        <v>117</v>
      </c>
      <c r="H312"/>
      <c r="I312" s="140">
        <v>46238.384826388887</v>
      </c>
      <c r="J312" t="s">
        <v>349</v>
      </c>
      <c r="K312" t="s">
        <v>296</v>
      </c>
      <c r="L312" s="139">
        <v>46173</v>
      </c>
      <c r="M312" t="s">
        <v>347</v>
      </c>
      <c r="N312" t="s">
        <v>313</v>
      </c>
      <c r="O312" t="s">
        <v>294</v>
      </c>
      <c r="P312" t="s">
        <v>348</v>
      </c>
      <c r="Q312" t="s">
        <v>295</v>
      </c>
    </row>
    <row r="313" spans="1:17" s="29" customFormat="1" hidden="1">
      <c r="A313" s="41">
        <v>2.6310998368055553E-2</v>
      </c>
      <c r="B313" t="s">
        <v>116</v>
      </c>
      <c r="C313"/>
      <c r="D313"/>
      <c r="E313" t="s">
        <v>127</v>
      </c>
      <c r="F313"/>
      <c r="G313" t="s">
        <v>117</v>
      </c>
      <c r="H313"/>
      <c r="I313" s="140">
        <v>46238.384745370371</v>
      </c>
      <c r="J313" t="s">
        <v>349</v>
      </c>
      <c r="K313" t="s">
        <v>296</v>
      </c>
      <c r="L313" s="139">
        <v>46173</v>
      </c>
      <c r="M313" t="s">
        <v>347</v>
      </c>
      <c r="N313" t="s">
        <v>313</v>
      </c>
      <c r="O313" t="s">
        <v>294</v>
      </c>
      <c r="P313" t="s">
        <v>348</v>
      </c>
      <c r="Q313" t="s">
        <v>295</v>
      </c>
    </row>
    <row r="314" spans="1:17" s="29" customFormat="1" hidden="1">
      <c r="A314" s="41">
        <v>2.6243332708333331E-2</v>
      </c>
      <c r="B314" t="s">
        <v>116</v>
      </c>
      <c r="C314"/>
      <c r="D314"/>
      <c r="E314" t="s">
        <v>127</v>
      </c>
      <c r="F314"/>
      <c r="G314" t="s">
        <v>117</v>
      </c>
      <c r="H314"/>
      <c r="I314" s="140">
        <v>46238.384675925925</v>
      </c>
      <c r="J314" t="s">
        <v>349</v>
      </c>
      <c r="K314" t="s">
        <v>296</v>
      </c>
      <c r="L314" s="139">
        <v>46173</v>
      </c>
      <c r="M314" t="s">
        <v>347</v>
      </c>
      <c r="N314" t="s">
        <v>313</v>
      </c>
      <c r="O314" t="s">
        <v>294</v>
      </c>
      <c r="P314" t="s">
        <v>348</v>
      </c>
      <c r="Q314" t="s">
        <v>295</v>
      </c>
    </row>
    <row r="315" spans="1:17" s="29" customFormat="1" hidden="1">
      <c r="A315" s="41">
        <v>2.6225610729166664E-2</v>
      </c>
      <c r="B315" t="s">
        <v>116</v>
      </c>
      <c r="C315"/>
      <c r="D315"/>
      <c r="E315" t="s">
        <v>127</v>
      </c>
      <c r="F315"/>
      <c r="G315" t="s">
        <v>117</v>
      </c>
      <c r="H315"/>
      <c r="I315" s="140">
        <v>46238.384652777779</v>
      </c>
      <c r="J315" t="s">
        <v>349</v>
      </c>
      <c r="K315" t="s">
        <v>296</v>
      </c>
      <c r="L315" s="139">
        <v>46173</v>
      </c>
      <c r="M315" t="s">
        <v>347</v>
      </c>
      <c r="N315" t="s">
        <v>313</v>
      </c>
      <c r="O315" t="s">
        <v>294</v>
      </c>
      <c r="P315" t="s">
        <v>348</v>
      </c>
      <c r="Q315" t="s">
        <v>295</v>
      </c>
    </row>
    <row r="316" spans="1:17" s="29" customFormat="1" hidden="1">
      <c r="A316" s="41">
        <v>2.6203333877314813E-2</v>
      </c>
      <c r="B316" t="s">
        <v>116</v>
      </c>
      <c r="C316"/>
      <c r="D316"/>
      <c r="E316" t="s">
        <v>127</v>
      </c>
      <c r="F316"/>
      <c r="G316" t="s">
        <v>117</v>
      </c>
      <c r="H316"/>
      <c r="I316" s="140">
        <v>46238.384641203702</v>
      </c>
      <c r="J316" t="s">
        <v>349</v>
      </c>
      <c r="K316" t="s">
        <v>296</v>
      </c>
      <c r="L316" s="139">
        <v>46173</v>
      </c>
      <c r="M316" t="s">
        <v>347</v>
      </c>
      <c r="N316" t="s">
        <v>313</v>
      </c>
      <c r="O316" t="s">
        <v>294</v>
      </c>
      <c r="P316" t="s">
        <v>348</v>
      </c>
      <c r="Q316" t="s">
        <v>295</v>
      </c>
    </row>
    <row r="317" spans="1:17" s="29" customFormat="1" hidden="1">
      <c r="A317" s="41">
        <v>2.6172648449074076E-2</v>
      </c>
      <c r="B317" t="s">
        <v>116</v>
      </c>
      <c r="C317"/>
      <c r="D317"/>
      <c r="E317" t="s">
        <v>127</v>
      </c>
      <c r="F317"/>
      <c r="G317" t="s">
        <v>117</v>
      </c>
      <c r="H317"/>
      <c r="I317" s="140">
        <v>46238.384606481479</v>
      </c>
      <c r="J317" t="s">
        <v>349</v>
      </c>
      <c r="K317" t="s">
        <v>296</v>
      </c>
      <c r="L317" s="139">
        <v>46173</v>
      </c>
      <c r="M317" t="s">
        <v>347</v>
      </c>
      <c r="N317" t="s">
        <v>313</v>
      </c>
      <c r="O317" t="s">
        <v>294</v>
      </c>
      <c r="P317" t="s">
        <v>348</v>
      </c>
      <c r="Q317" t="s">
        <v>295</v>
      </c>
    </row>
    <row r="318" spans="1:17" s="29" customFormat="1" hidden="1">
      <c r="A318" s="41">
        <v>2.6132997939814811E-2</v>
      </c>
      <c r="B318" t="s">
        <v>116</v>
      </c>
      <c r="C318"/>
      <c r="D318"/>
      <c r="E318" t="s">
        <v>248</v>
      </c>
      <c r="F318"/>
      <c r="G318" t="s">
        <v>117</v>
      </c>
      <c r="H318"/>
      <c r="I318" s="140">
        <v>46238.384560185186</v>
      </c>
      <c r="J318" t="s">
        <v>349</v>
      </c>
      <c r="K318" t="s">
        <v>296</v>
      </c>
      <c r="L318" s="139">
        <v>46173</v>
      </c>
      <c r="M318" t="s">
        <v>347</v>
      </c>
      <c r="N318" t="s">
        <v>313</v>
      </c>
      <c r="O318" t="s">
        <v>294</v>
      </c>
      <c r="P318" t="s">
        <v>348</v>
      </c>
      <c r="Q318" t="s">
        <v>295</v>
      </c>
    </row>
    <row r="319" spans="1:17" s="29" customFormat="1" hidden="1">
      <c r="A319" s="41">
        <v>2.6092701493055554E-2</v>
      </c>
      <c r="B319" t="s">
        <v>116</v>
      </c>
      <c r="C319"/>
      <c r="D319"/>
      <c r="E319" t="s">
        <v>246</v>
      </c>
      <c r="F319"/>
      <c r="G319" t="s">
        <v>226</v>
      </c>
      <c r="H319"/>
      <c r="I319" s="140">
        <v>46238.384525462963</v>
      </c>
      <c r="J319" t="s">
        <v>349</v>
      </c>
      <c r="K319" t="s">
        <v>296</v>
      </c>
      <c r="L319" s="139">
        <v>46173</v>
      </c>
      <c r="M319" t="s">
        <v>347</v>
      </c>
      <c r="N319" t="s">
        <v>313</v>
      </c>
      <c r="O319" t="s">
        <v>294</v>
      </c>
      <c r="P319" t="s">
        <v>348</v>
      </c>
      <c r="Q319" t="s">
        <v>295</v>
      </c>
    </row>
    <row r="320" spans="1:17" s="29" customFormat="1" hidden="1">
      <c r="A320" s="41">
        <v>2.6034301041666666E-2</v>
      </c>
      <c r="B320" t="s">
        <v>116</v>
      </c>
      <c r="C320"/>
      <c r="D320"/>
      <c r="E320" t="s">
        <v>120</v>
      </c>
      <c r="F320"/>
      <c r="G320" t="s">
        <v>117</v>
      </c>
      <c r="H320"/>
      <c r="I320" s="140">
        <v>46238.384467592594</v>
      </c>
      <c r="J320" t="s">
        <v>349</v>
      </c>
      <c r="K320" t="s">
        <v>296</v>
      </c>
      <c r="L320" s="139">
        <v>46173</v>
      </c>
      <c r="M320" t="s">
        <v>347</v>
      </c>
      <c r="N320" t="s">
        <v>313</v>
      </c>
      <c r="O320" t="s">
        <v>294</v>
      </c>
      <c r="P320" t="s">
        <v>348</v>
      </c>
      <c r="Q320" t="s">
        <v>295</v>
      </c>
    </row>
    <row r="321" spans="1:17" s="29" customFormat="1" hidden="1">
      <c r="A321" s="41">
        <v>2.5847074317129633E-2</v>
      </c>
      <c r="B321" t="s">
        <v>116</v>
      </c>
      <c r="C321"/>
      <c r="D321"/>
      <c r="E321" t="s">
        <v>275</v>
      </c>
      <c r="F321" t="s">
        <v>175</v>
      </c>
      <c r="G321" t="s">
        <v>117</v>
      </c>
      <c r="H321"/>
      <c r="I321" s="140">
        <v>46238.384189814817</v>
      </c>
      <c r="J321" t="s">
        <v>349</v>
      </c>
      <c r="K321" t="s">
        <v>296</v>
      </c>
      <c r="L321" s="139">
        <v>46173</v>
      </c>
      <c r="M321" t="s">
        <v>347</v>
      </c>
      <c r="N321" t="s">
        <v>313</v>
      </c>
      <c r="O321" t="s">
        <v>294</v>
      </c>
      <c r="P321" t="s">
        <v>348</v>
      </c>
      <c r="Q321" t="s">
        <v>295</v>
      </c>
    </row>
    <row r="322" spans="1:17" s="29" customFormat="1" hidden="1">
      <c r="A322" s="41">
        <v>2.5814655891203703E-2</v>
      </c>
      <c r="B322" t="s">
        <v>116</v>
      </c>
      <c r="C322"/>
      <c r="D322"/>
      <c r="E322" t="s">
        <v>88</v>
      </c>
      <c r="F322"/>
      <c r="G322" t="s">
        <v>117</v>
      </c>
      <c r="H322"/>
      <c r="I322" s="140">
        <v>46238.383900462963</v>
      </c>
      <c r="J322" t="s">
        <v>349</v>
      </c>
      <c r="K322" t="s">
        <v>296</v>
      </c>
      <c r="L322" s="139">
        <v>46173</v>
      </c>
      <c r="M322" t="s">
        <v>347</v>
      </c>
      <c r="N322" t="s">
        <v>313</v>
      </c>
      <c r="O322" t="s">
        <v>294</v>
      </c>
      <c r="P322" t="s">
        <v>348</v>
      </c>
      <c r="Q322" t="s">
        <v>295</v>
      </c>
    </row>
    <row r="323" spans="1:17" s="29" customFormat="1" hidden="1">
      <c r="A323" s="41">
        <v>2.5744249618055555E-2</v>
      </c>
      <c r="B323" t="s">
        <v>116</v>
      </c>
      <c r="C323"/>
      <c r="D323"/>
      <c r="E323" t="s">
        <v>127</v>
      </c>
      <c r="F323"/>
      <c r="G323" t="s">
        <v>117</v>
      </c>
      <c r="H323"/>
      <c r="I323" s="140">
        <v>46238.383819444447</v>
      </c>
      <c r="J323" t="s">
        <v>349</v>
      </c>
      <c r="K323" t="s">
        <v>296</v>
      </c>
      <c r="L323" s="139">
        <v>46173</v>
      </c>
      <c r="M323" t="s">
        <v>347</v>
      </c>
      <c r="N323" t="s">
        <v>313</v>
      </c>
      <c r="O323" t="s">
        <v>294</v>
      </c>
      <c r="P323" t="s">
        <v>348</v>
      </c>
      <c r="Q323" t="s">
        <v>295</v>
      </c>
    </row>
    <row r="324" spans="1:17" s="29" customFormat="1" hidden="1">
      <c r="A324" s="41">
        <v>2.5716286342592591E-2</v>
      </c>
      <c r="B324" t="s">
        <v>116</v>
      </c>
      <c r="C324"/>
      <c r="D324"/>
      <c r="E324" t="s">
        <v>59</v>
      </c>
      <c r="F324"/>
      <c r="G324" t="s">
        <v>117</v>
      </c>
      <c r="H324"/>
      <c r="I324" s="140">
        <v>46238.383796296293</v>
      </c>
      <c r="J324" t="s">
        <v>349</v>
      </c>
      <c r="K324" t="s">
        <v>296</v>
      </c>
      <c r="L324" s="139">
        <v>46173</v>
      </c>
      <c r="M324" t="s">
        <v>347</v>
      </c>
      <c r="N324" t="s">
        <v>313</v>
      </c>
      <c r="O324" t="s">
        <v>294</v>
      </c>
      <c r="P324" t="s">
        <v>348</v>
      </c>
      <c r="Q324" t="s">
        <v>295</v>
      </c>
    </row>
    <row r="325" spans="1:17" s="29" customFormat="1" hidden="1">
      <c r="A325" s="41">
        <v>2.5653478402777777E-2</v>
      </c>
      <c r="B325" t="s">
        <v>116</v>
      </c>
      <c r="C325"/>
      <c r="D325"/>
      <c r="E325" t="s">
        <v>248</v>
      </c>
      <c r="F325"/>
      <c r="G325" t="s">
        <v>117</v>
      </c>
      <c r="H325"/>
      <c r="I325" s="140">
        <v>46238.383611111109</v>
      </c>
      <c r="J325" t="s">
        <v>349</v>
      </c>
      <c r="K325" t="s">
        <v>296</v>
      </c>
      <c r="L325" s="139">
        <v>46173</v>
      </c>
      <c r="M325" t="s">
        <v>347</v>
      </c>
      <c r="N325" t="s">
        <v>313</v>
      </c>
      <c r="O325" t="s">
        <v>294</v>
      </c>
      <c r="P325" t="s">
        <v>348</v>
      </c>
      <c r="Q325" t="s">
        <v>295</v>
      </c>
    </row>
    <row r="326" spans="1:17" s="29" customFormat="1" hidden="1">
      <c r="A326" s="41">
        <v>2.560400965277778E-2</v>
      </c>
      <c r="B326" t="s">
        <v>116</v>
      </c>
      <c r="C326"/>
      <c r="D326"/>
      <c r="E326" t="s">
        <v>246</v>
      </c>
      <c r="F326"/>
      <c r="G326" t="s">
        <v>226</v>
      </c>
      <c r="H326"/>
      <c r="I326" s="140">
        <v>46238.383564814816</v>
      </c>
      <c r="J326" t="s">
        <v>349</v>
      </c>
      <c r="K326" t="s">
        <v>296</v>
      </c>
      <c r="L326" s="139">
        <v>46173</v>
      </c>
      <c r="M326" t="s">
        <v>347</v>
      </c>
      <c r="N326" t="s">
        <v>313</v>
      </c>
      <c r="O326" t="s">
        <v>294</v>
      </c>
      <c r="P326" t="s">
        <v>348</v>
      </c>
      <c r="Q326" t="s">
        <v>295</v>
      </c>
    </row>
    <row r="327" spans="1:17" s="29" customFormat="1" hidden="1">
      <c r="A327" s="41">
        <v>2.5457998587962962E-2</v>
      </c>
      <c r="B327" t="s">
        <v>116</v>
      </c>
      <c r="C327" t="s">
        <v>368</v>
      </c>
      <c r="D327"/>
      <c r="E327" t="s">
        <v>127</v>
      </c>
      <c r="F327"/>
      <c r="G327" t="s">
        <v>226</v>
      </c>
      <c r="H327"/>
      <c r="I327" s="140">
        <v>46238.383356481485</v>
      </c>
      <c r="J327" t="s">
        <v>349</v>
      </c>
      <c r="K327" t="s">
        <v>296</v>
      </c>
      <c r="L327" s="139">
        <v>46173</v>
      </c>
      <c r="M327" t="s">
        <v>347</v>
      </c>
      <c r="N327" t="s">
        <v>313</v>
      </c>
      <c r="O327" t="s">
        <v>294</v>
      </c>
      <c r="P327" t="s">
        <v>348</v>
      </c>
      <c r="Q327" t="s">
        <v>295</v>
      </c>
    </row>
    <row r="328" spans="1:17" s="29" customFormat="1" hidden="1">
      <c r="A328" s="41">
        <v>2.5384196574074071E-2</v>
      </c>
      <c r="B328" t="s">
        <v>116</v>
      </c>
      <c r="C328"/>
      <c r="D328"/>
      <c r="E328" t="s">
        <v>250</v>
      </c>
      <c r="F328"/>
      <c r="G328" t="s">
        <v>226</v>
      </c>
      <c r="H328"/>
      <c r="I328" s="140">
        <v>46238.383055555554</v>
      </c>
      <c r="J328" t="s">
        <v>349</v>
      </c>
      <c r="K328" t="s">
        <v>296</v>
      </c>
      <c r="L328" s="139">
        <v>46173</v>
      </c>
      <c r="M328" t="s">
        <v>347</v>
      </c>
      <c r="N328" t="s">
        <v>313</v>
      </c>
      <c r="O328" t="s">
        <v>294</v>
      </c>
      <c r="P328" t="s">
        <v>348</v>
      </c>
      <c r="Q328" t="s">
        <v>295</v>
      </c>
    </row>
    <row r="329" spans="1:17" s="29" customFormat="1" hidden="1">
      <c r="A329" s="41">
        <v>2.5294947662037038E-2</v>
      </c>
      <c r="B329" t="s">
        <v>116</v>
      </c>
      <c r="C329"/>
      <c r="D329"/>
      <c r="E329" t="s">
        <v>119</v>
      </c>
      <c r="F329"/>
      <c r="G329" t="s">
        <v>226</v>
      </c>
      <c r="H329"/>
      <c r="I329" s="140">
        <v>46238.382905092592</v>
      </c>
      <c r="J329" t="s">
        <v>349</v>
      </c>
      <c r="K329" t="s">
        <v>296</v>
      </c>
      <c r="L329" s="139">
        <v>46173</v>
      </c>
      <c r="M329" t="s">
        <v>347</v>
      </c>
      <c r="N329" t="s">
        <v>313</v>
      </c>
      <c r="O329" t="s">
        <v>294</v>
      </c>
      <c r="P329" t="s">
        <v>348</v>
      </c>
      <c r="Q329" t="s">
        <v>295</v>
      </c>
    </row>
    <row r="330" spans="1:17" s="29" customFormat="1" hidden="1">
      <c r="A330" s="41">
        <v>2.4130192743055556E-2</v>
      </c>
      <c r="B330" t="s">
        <v>116</v>
      </c>
      <c r="C330"/>
      <c r="D330"/>
      <c r="E330" t="s">
        <v>122</v>
      </c>
      <c r="F330"/>
      <c r="G330" t="s">
        <v>226</v>
      </c>
      <c r="H330"/>
      <c r="I330" s="140">
        <v>46238.382488425923</v>
      </c>
      <c r="J330" t="s">
        <v>349</v>
      </c>
      <c r="K330" t="s">
        <v>296</v>
      </c>
      <c r="L330" s="139">
        <v>46173</v>
      </c>
      <c r="M330" t="s">
        <v>347</v>
      </c>
      <c r="N330" t="s">
        <v>313</v>
      </c>
      <c r="O330" t="s">
        <v>294</v>
      </c>
      <c r="P330" t="s">
        <v>348</v>
      </c>
      <c r="Q330" t="s">
        <v>295</v>
      </c>
    </row>
    <row r="331" spans="1:17" s="29" customFormat="1" hidden="1">
      <c r="A331" s="41">
        <v>2.4060825381944446E-2</v>
      </c>
      <c r="B331" t="s">
        <v>116</v>
      </c>
      <c r="C331" t="s">
        <v>210</v>
      </c>
      <c r="D331"/>
      <c r="E331" t="s">
        <v>59</v>
      </c>
      <c r="F331"/>
      <c r="G331" t="s">
        <v>226</v>
      </c>
      <c r="H331"/>
      <c r="I331" s="140">
        <v>46238.38244212963</v>
      </c>
      <c r="J331" t="s">
        <v>349</v>
      </c>
      <c r="K331" t="s">
        <v>296</v>
      </c>
      <c r="L331" s="139">
        <v>46173</v>
      </c>
      <c r="M331" t="s">
        <v>347</v>
      </c>
      <c r="N331" t="s">
        <v>313</v>
      </c>
      <c r="O331" t="s">
        <v>294</v>
      </c>
      <c r="P331" t="s">
        <v>348</v>
      </c>
      <c r="Q331" t="s">
        <v>295</v>
      </c>
    </row>
    <row r="332" spans="1:17" s="29" customFormat="1" hidden="1">
      <c r="A332" s="41">
        <v>2.4002127731481481E-2</v>
      </c>
      <c r="B332" t="s">
        <v>116</v>
      </c>
      <c r="C332" t="s">
        <v>379</v>
      </c>
      <c r="D332"/>
      <c r="E332" t="s">
        <v>127</v>
      </c>
      <c r="F332"/>
      <c r="G332" t="s">
        <v>226</v>
      </c>
      <c r="H332"/>
      <c r="I332" s="140">
        <v>46238.382002314815</v>
      </c>
      <c r="J332" t="s">
        <v>349</v>
      </c>
      <c r="K332" t="s">
        <v>296</v>
      </c>
      <c r="L332" s="139">
        <v>46173</v>
      </c>
      <c r="M332" t="s">
        <v>347</v>
      </c>
      <c r="N332" t="s">
        <v>313</v>
      </c>
      <c r="O332" t="s">
        <v>294</v>
      </c>
      <c r="P332" t="s">
        <v>348</v>
      </c>
      <c r="Q332" t="s">
        <v>295</v>
      </c>
    </row>
    <row r="333" spans="1:17" s="29" customFormat="1" hidden="1">
      <c r="A333" s="41">
        <v>2.3933688275462963E-2</v>
      </c>
      <c r="B333" t="s">
        <v>116</v>
      </c>
      <c r="C333" t="s">
        <v>204</v>
      </c>
      <c r="D333"/>
      <c r="E333" t="s">
        <v>127</v>
      </c>
      <c r="F333"/>
      <c r="G333" t="s">
        <v>226</v>
      </c>
      <c r="H333"/>
      <c r="I333" s="140">
        <v>46238.381296296298</v>
      </c>
      <c r="J333" t="s">
        <v>349</v>
      </c>
      <c r="K333" t="s">
        <v>296</v>
      </c>
      <c r="L333" s="139">
        <v>46173</v>
      </c>
      <c r="M333" t="s">
        <v>347</v>
      </c>
      <c r="N333" t="s">
        <v>313</v>
      </c>
      <c r="O333" t="s">
        <v>294</v>
      </c>
      <c r="P333" t="s">
        <v>348</v>
      </c>
      <c r="Q333" t="s">
        <v>295</v>
      </c>
    </row>
    <row r="334" spans="1:17" s="29" customFormat="1" hidden="1">
      <c r="A334" s="41">
        <v>2.389787939814815E-2</v>
      </c>
      <c r="B334" t="s">
        <v>116</v>
      </c>
      <c r="C334" t="s">
        <v>213</v>
      </c>
      <c r="D334"/>
      <c r="E334" t="s">
        <v>59</v>
      </c>
      <c r="F334"/>
      <c r="G334" t="s">
        <v>226</v>
      </c>
      <c r="H334"/>
      <c r="I334" s="140">
        <v>46238.381018518521</v>
      </c>
      <c r="J334" t="s">
        <v>349</v>
      </c>
      <c r="K334" t="s">
        <v>296</v>
      </c>
      <c r="L334" s="139">
        <v>46173</v>
      </c>
      <c r="M334" t="s">
        <v>347</v>
      </c>
      <c r="N334" t="s">
        <v>313</v>
      </c>
      <c r="O334" t="s">
        <v>294</v>
      </c>
      <c r="P334" t="s">
        <v>348</v>
      </c>
      <c r="Q334" t="s">
        <v>295</v>
      </c>
    </row>
    <row r="335" spans="1:17" s="29" customFormat="1" hidden="1">
      <c r="A335" s="41">
        <v>2.3833799097222219E-2</v>
      </c>
      <c r="B335" t="s">
        <v>116</v>
      </c>
      <c r="C335" t="s">
        <v>205</v>
      </c>
      <c r="D335"/>
      <c r="E335" t="s">
        <v>59</v>
      </c>
      <c r="F335"/>
      <c r="G335" t="s">
        <v>226</v>
      </c>
      <c r="H335"/>
      <c r="I335" s="140">
        <v>46238.380995370368</v>
      </c>
      <c r="J335" t="s">
        <v>349</v>
      </c>
      <c r="K335" t="s">
        <v>296</v>
      </c>
      <c r="L335" s="139">
        <v>46173</v>
      </c>
      <c r="M335" t="s">
        <v>347</v>
      </c>
      <c r="N335" t="s">
        <v>313</v>
      </c>
      <c r="O335" t="s">
        <v>294</v>
      </c>
      <c r="P335" t="s">
        <v>348</v>
      </c>
      <c r="Q335" t="s">
        <v>295</v>
      </c>
    </row>
    <row r="336" spans="1:17" s="29" customFormat="1" hidden="1">
      <c r="A336" s="41">
        <v>2.3785874733796297E-2</v>
      </c>
      <c r="B336" t="s">
        <v>116</v>
      </c>
      <c r="C336" t="s">
        <v>206</v>
      </c>
      <c r="D336"/>
      <c r="E336" t="s">
        <v>127</v>
      </c>
      <c r="F336"/>
      <c r="G336" t="s">
        <v>226</v>
      </c>
      <c r="H336"/>
      <c r="I336" s="140">
        <v>46238.380729166667</v>
      </c>
      <c r="J336" t="s">
        <v>349</v>
      </c>
      <c r="K336" t="s">
        <v>296</v>
      </c>
      <c r="L336" s="139">
        <v>46173</v>
      </c>
      <c r="M336" t="s">
        <v>347</v>
      </c>
      <c r="N336" t="s">
        <v>313</v>
      </c>
      <c r="O336" t="s">
        <v>294</v>
      </c>
      <c r="P336" t="s">
        <v>348</v>
      </c>
      <c r="Q336" t="s">
        <v>295</v>
      </c>
    </row>
    <row r="337" spans="1:17" s="29" customFormat="1" hidden="1">
      <c r="A337" s="41">
        <v>2.3725271134259259E-2</v>
      </c>
      <c r="B337" t="s">
        <v>116</v>
      </c>
      <c r="C337" t="s">
        <v>212</v>
      </c>
      <c r="D337"/>
      <c r="E337" t="s">
        <v>127</v>
      </c>
      <c r="F337"/>
      <c r="G337" t="s">
        <v>226</v>
      </c>
      <c r="H337"/>
      <c r="I337" s="140">
        <v>46238.380312499998</v>
      </c>
      <c r="J337" t="s">
        <v>349</v>
      </c>
      <c r="K337" t="s">
        <v>296</v>
      </c>
      <c r="L337" s="139">
        <v>46173</v>
      </c>
      <c r="M337" t="s">
        <v>347</v>
      </c>
      <c r="N337" t="s">
        <v>313</v>
      </c>
      <c r="O337" t="s">
        <v>294</v>
      </c>
      <c r="P337" t="s">
        <v>348</v>
      </c>
      <c r="Q337" t="s">
        <v>295</v>
      </c>
    </row>
    <row r="338" spans="1:17" s="29" customFormat="1" hidden="1">
      <c r="A338" s="41">
        <v>2.3683575370370372E-2</v>
      </c>
      <c r="B338" t="s">
        <v>116</v>
      </c>
      <c r="C338" t="s">
        <v>367</v>
      </c>
      <c r="D338"/>
      <c r="E338" t="s">
        <v>127</v>
      </c>
      <c r="F338"/>
      <c r="G338" t="s">
        <v>226</v>
      </c>
      <c r="H338"/>
      <c r="I338" s="140">
        <v>46238.38009259259</v>
      </c>
      <c r="J338" t="s">
        <v>349</v>
      </c>
      <c r="K338" t="s">
        <v>296</v>
      </c>
      <c r="L338" s="139">
        <v>46173</v>
      </c>
      <c r="M338" t="s">
        <v>347</v>
      </c>
      <c r="N338" t="s">
        <v>313</v>
      </c>
      <c r="O338" t="s">
        <v>294</v>
      </c>
      <c r="P338" t="s">
        <v>348</v>
      </c>
      <c r="Q338" t="s">
        <v>295</v>
      </c>
    </row>
    <row r="339" spans="1:17" s="29" customFormat="1" hidden="1">
      <c r="A339" s="41">
        <v>2.3682636122685185E-2</v>
      </c>
      <c r="B339" t="s">
        <v>116</v>
      </c>
      <c r="C339"/>
      <c r="D339"/>
      <c r="E339" t="s">
        <v>250</v>
      </c>
      <c r="F339"/>
      <c r="G339" t="s">
        <v>226</v>
      </c>
      <c r="H339"/>
      <c r="I339" s="140">
        <v>46238.379976851851</v>
      </c>
      <c r="J339" t="s">
        <v>349</v>
      </c>
      <c r="K339" t="s">
        <v>296</v>
      </c>
      <c r="L339" s="139">
        <v>46173</v>
      </c>
      <c r="M339" t="s">
        <v>347</v>
      </c>
      <c r="N339" t="s">
        <v>313</v>
      </c>
      <c r="O339" t="s">
        <v>294</v>
      </c>
      <c r="P339" t="s">
        <v>348</v>
      </c>
      <c r="Q339" t="s">
        <v>295</v>
      </c>
    </row>
    <row r="340" spans="1:17" s="29" customFormat="1" hidden="1">
      <c r="A340" s="41">
        <v>2.3639119606481483E-2</v>
      </c>
      <c r="B340" t="s">
        <v>116</v>
      </c>
      <c r="C340"/>
      <c r="D340"/>
      <c r="E340" t="s">
        <v>246</v>
      </c>
      <c r="F340"/>
      <c r="G340" t="s">
        <v>226</v>
      </c>
      <c r="H340"/>
      <c r="I340" s="140">
        <v>46238.379942129628</v>
      </c>
      <c r="J340" t="s">
        <v>349</v>
      </c>
      <c r="K340" t="s">
        <v>296</v>
      </c>
      <c r="L340" s="139">
        <v>46173</v>
      </c>
      <c r="M340" t="s">
        <v>347</v>
      </c>
      <c r="N340" t="s">
        <v>313</v>
      </c>
      <c r="O340" t="s">
        <v>294</v>
      </c>
      <c r="P340" t="s">
        <v>348</v>
      </c>
      <c r="Q340" t="s">
        <v>295</v>
      </c>
    </row>
    <row r="341" spans="1:17" s="29" customFormat="1" hidden="1">
      <c r="A341" s="41">
        <v>2.3572573113425928E-2</v>
      </c>
      <c r="B341" t="s">
        <v>116</v>
      </c>
      <c r="C341" t="s">
        <v>210</v>
      </c>
      <c r="D341"/>
      <c r="E341" t="s">
        <v>127</v>
      </c>
      <c r="F341"/>
      <c r="G341" t="s">
        <v>226</v>
      </c>
      <c r="H341"/>
      <c r="I341" s="140">
        <v>46238.379849537036</v>
      </c>
      <c r="J341" t="s">
        <v>349</v>
      </c>
      <c r="K341" t="s">
        <v>296</v>
      </c>
      <c r="L341" s="139">
        <v>46173</v>
      </c>
      <c r="M341" t="s">
        <v>347</v>
      </c>
      <c r="N341" t="s">
        <v>313</v>
      </c>
      <c r="O341" t="s">
        <v>294</v>
      </c>
      <c r="P341" t="s">
        <v>348</v>
      </c>
      <c r="Q341" t="s">
        <v>295</v>
      </c>
    </row>
    <row r="342" spans="1:17" s="29" customFormat="1" hidden="1">
      <c r="A342" s="41">
        <v>2.3480336863425925E-2</v>
      </c>
      <c r="B342" t="s">
        <v>116</v>
      </c>
      <c r="C342" t="s">
        <v>210</v>
      </c>
      <c r="D342"/>
      <c r="E342" t="s">
        <v>58</v>
      </c>
      <c r="F342"/>
      <c r="G342" t="s">
        <v>226</v>
      </c>
      <c r="H342"/>
      <c r="I342" s="140">
        <v>46238.379756944443</v>
      </c>
      <c r="J342" t="s">
        <v>349</v>
      </c>
      <c r="K342" t="s">
        <v>296</v>
      </c>
      <c r="L342" s="139">
        <v>46173</v>
      </c>
      <c r="M342" t="s">
        <v>347</v>
      </c>
      <c r="N342" t="s">
        <v>313</v>
      </c>
      <c r="O342" t="s">
        <v>294</v>
      </c>
      <c r="P342" t="s">
        <v>348</v>
      </c>
      <c r="Q342" t="s">
        <v>295</v>
      </c>
    </row>
    <row r="343" spans="1:17" s="29" customFormat="1" hidden="1">
      <c r="A343" s="41">
        <v>2.339469917824074E-2</v>
      </c>
      <c r="B343" t="s">
        <v>116</v>
      </c>
      <c r="C343" t="s">
        <v>213</v>
      </c>
      <c r="D343"/>
      <c r="E343" t="s">
        <v>127</v>
      </c>
      <c r="F343"/>
      <c r="G343" t="s">
        <v>226</v>
      </c>
      <c r="H343"/>
      <c r="I343" s="140">
        <v>46238.378125000003</v>
      </c>
      <c r="J343" t="s">
        <v>349</v>
      </c>
      <c r="K343" t="s">
        <v>296</v>
      </c>
      <c r="L343" s="139">
        <v>46173</v>
      </c>
      <c r="M343" t="s">
        <v>347</v>
      </c>
      <c r="N343" t="s">
        <v>313</v>
      </c>
      <c r="O343" t="s">
        <v>294</v>
      </c>
      <c r="P343" t="s">
        <v>348</v>
      </c>
      <c r="Q343" t="s">
        <v>295</v>
      </c>
    </row>
    <row r="344" spans="1:17" s="29" customFormat="1" hidden="1">
      <c r="A344" s="41">
        <v>2.3347993703703704E-2</v>
      </c>
      <c r="B344" t="s">
        <v>116</v>
      </c>
      <c r="C344"/>
      <c r="D344"/>
      <c r="E344" t="s">
        <v>132</v>
      </c>
      <c r="F344"/>
      <c r="G344" t="s">
        <v>226</v>
      </c>
      <c r="H344"/>
      <c r="I344" s="140">
        <v>46238.377939814818</v>
      </c>
      <c r="J344" t="s">
        <v>349</v>
      </c>
      <c r="K344" t="s">
        <v>296</v>
      </c>
      <c r="L344" s="139">
        <v>46173</v>
      </c>
      <c r="M344" t="s">
        <v>347</v>
      </c>
      <c r="N344" t="s">
        <v>313</v>
      </c>
      <c r="O344" t="s">
        <v>294</v>
      </c>
      <c r="P344" t="s">
        <v>348</v>
      </c>
      <c r="Q344" t="s">
        <v>295</v>
      </c>
    </row>
    <row r="345" spans="1:17" s="29" customFormat="1" hidden="1">
      <c r="A345" s="41">
        <v>2.2994413680555555E-2</v>
      </c>
      <c r="B345" t="s">
        <v>116</v>
      </c>
      <c r="C345"/>
      <c r="D345"/>
      <c r="E345" t="s">
        <v>123</v>
      </c>
      <c r="F345"/>
      <c r="G345" t="s">
        <v>226</v>
      </c>
      <c r="H345"/>
      <c r="I345" s="140">
        <v>46238.377592592595</v>
      </c>
      <c r="J345" t="s">
        <v>349</v>
      </c>
      <c r="K345" t="s">
        <v>296</v>
      </c>
      <c r="L345" s="139">
        <v>46173</v>
      </c>
      <c r="M345" t="s">
        <v>347</v>
      </c>
      <c r="N345" t="s">
        <v>313</v>
      </c>
      <c r="O345" t="s">
        <v>294</v>
      </c>
      <c r="P345" t="s">
        <v>348</v>
      </c>
      <c r="Q345" t="s">
        <v>295</v>
      </c>
    </row>
    <row r="346" spans="1:17" s="29" customFormat="1">
      <c r="A346" s="41">
        <v>2.2639595497685183E-2</v>
      </c>
      <c r="B346" t="s">
        <v>116</v>
      </c>
      <c r="C346" t="s">
        <v>83</v>
      </c>
      <c r="D346" t="s">
        <v>83</v>
      </c>
      <c r="E346" t="s">
        <v>276</v>
      </c>
      <c r="F346" t="s">
        <v>269</v>
      </c>
      <c r="G346" t="s">
        <v>117</v>
      </c>
      <c r="H346"/>
      <c r="I346" s="140">
        <v>46238.377581018518</v>
      </c>
      <c r="J346" t="s">
        <v>349</v>
      </c>
      <c r="K346" t="s">
        <v>296</v>
      </c>
      <c r="L346" s="139">
        <v>46173</v>
      </c>
      <c r="M346" t="s">
        <v>347</v>
      </c>
      <c r="N346" t="s">
        <v>313</v>
      </c>
      <c r="O346" t="s">
        <v>294</v>
      </c>
      <c r="P346" t="s">
        <v>348</v>
      </c>
      <c r="Q346" t="s">
        <v>295</v>
      </c>
    </row>
    <row r="347" spans="1:17" s="29" customFormat="1" hidden="1">
      <c r="A347" s="41">
        <v>2.2581727835648147E-2</v>
      </c>
      <c r="B347" t="s">
        <v>116</v>
      </c>
      <c r="C347" t="s">
        <v>83</v>
      </c>
      <c r="D347"/>
      <c r="E347" t="s">
        <v>127</v>
      </c>
      <c r="F347"/>
      <c r="G347" t="s">
        <v>117</v>
      </c>
      <c r="H347"/>
      <c r="I347" s="140">
        <v>46238.376863425925</v>
      </c>
      <c r="J347" t="s">
        <v>349</v>
      </c>
      <c r="K347" t="s">
        <v>296</v>
      </c>
      <c r="L347" s="139">
        <v>46173</v>
      </c>
      <c r="M347" t="s">
        <v>347</v>
      </c>
      <c r="N347" t="s">
        <v>313</v>
      </c>
      <c r="O347" t="s">
        <v>294</v>
      </c>
      <c r="P347" t="s">
        <v>348</v>
      </c>
      <c r="Q347" t="s">
        <v>295</v>
      </c>
    </row>
    <row r="348" spans="1:17" s="29" customFormat="1" hidden="1">
      <c r="A348" s="41">
        <v>2.2555346018518517E-2</v>
      </c>
      <c r="B348" t="s">
        <v>116</v>
      </c>
      <c r="C348" t="s">
        <v>83</v>
      </c>
      <c r="D348"/>
      <c r="E348" t="s">
        <v>59</v>
      </c>
      <c r="F348"/>
      <c r="G348" t="s">
        <v>117</v>
      </c>
      <c r="H348"/>
      <c r="I348" s="140">
        <v>46238.376805555556</v>
      </c>
      <c r="J348" t="s">
        <v>349</v>
      </c>
      <c r="K348" t="s">
        <v>296</v>
      </c>
      <c r="L348" s="139">
        <v>46173</v>
      </c>
      <c r="M348" t="s">
        <v>347</v>
      </c>
      <c r="N348" t="s">
        <v>313</v>
      </c>
      <c r="O348" t="s">
        <v>294</v>
      </c>
      <c r="P348" t="s">
        <v>348</v>
      </c>
      <c r="Q348" t="s">
        <v>295</v>
      </c>
    </row>
    <row r="349" spans="1:17" s="29" customFormat="1" hidden="1">
      <c r="A349" s="41">
        <v>2.2473538761574076E-2</v>
      </c>
      <c r="B349" t="s">
        <v>116</v>
      </c>
      <c r="C349" t="s">
        <v>83</v>
      </c>
      <c r="D349"/>
      <c r="E349" t="s">
        <v>127</v>
      </c>
      <c r="F349"/>
      <c r="G349" t="s">
        <v>117</v>
      </c>
      <c r="H349"/>
      <c r="I349" s="140">
        <v>46238.376770833333</v>
      </c>
      <c r="J349" t="s">
        <v>349</v>
      </c>
      <c r="K349" t="s">
        <v>296</v>
      </c>
      <c r="L349" s="139">
        <v>46173</v>
      </c>
      <c r="M349" t="s">
        <v>347</v>
      </c>
      <c r="N349" t="s">
        <v>313</v>
      </c>
      <c r="O349" t="s">
        <v>294</v>
      </c>
      <c r="P349" t="s">
        <v>348</v>
      </c>
      <c r="Q349" t="s">
        <v>295</v>
      </c>
    </row>
    <row r="350" spans="1:17" s="29" customFormat="1" hidden="1">
      <c r="A350" s="41">
        <v>2.2448960312500002E-2</v>
      </c>
      <c r="B350" t="s">
        <v>116</v>
      </c>
      <c r="C350" t="s">
        <v>83</v>
      </c>
      <c r="D350"/>
      <c r="E350" t="s">
        <v>59</v>
      </c>
      <c r="F350"/>
      <c r="G350" t="s">
        <v>117</v>
      </c>
      <c r="H350"/>
      <c r="I350" s="140">
        <v>46238.376631944448</v>
      </c>
      <c r="J350" t="s">
        <v>349</v>
      </c>
      <c r="K350" t="s">
        <v>296</v>
      </c>
      <c r="L350" s="139">
        <v>46173</v>
      </c>
      <c r="M350" t="s">
        <v>347</v>
      </c>
      <c r="N350" t="s">
        <v>313</v>
      </c>
      <c r="O350" t="s">
        <v>294</v>
      </c>
      <c r="P350" t="s">
        <v>348</v>
      </c>
      <c r="Q350" t="s">
        <v>295</v>
      </c>
    </row>
    <row r="351" spans="1:17" s="29" customFormat="1" hidden="1">
      <c r="A351" s="41">
        <v>2.2324046932870371E-2</v>
      </c>
      <c r="B351" t="s">
        <v>116</v>
      </c>
      <c r="C351" t="s">
        <v>83</v>
      </c>
      <c r="D351"/>
      <c r="E351" t="s">
        <v>127</v>
      </c>
      <c r="F351"/>
      <c r="G351" t="s">
        <v>117</v>
      </c>
      <c r="H351"/>
      <c r="I351" s="140">
        <v>46238.376608796294</v>
      </c>
      <c r="J351" t="s">
        <v>349</v>
      </c>
      <c r="K351" t="s">
        <v>296</v>
      </c>
      <c r="L351" s="139">
        <v>46173</v>
      </c>
      <c r="M351" t="s">
        <v>347</v>
      </c>
      <c r="N351" t="s">
        <v>313</v>
      </c>
      <c r="O351" t="s">
        <v>294</v>
      </c>
      <c r="P351" t="s">
        <v>348</v>
      </c>
      <c r="Q351" t="s">
        <v>295</v>
      </c>
    </row>
    <row r="352" spans="1:17" s="29" customFormat="1" hidden="1">
      <c r="A352" s="41">
        <v>2.2290224039351849E-2</v>
      </c>
      <c r="B352" t="s">
        <v>116</v>
      </c>
      <c r="C352" t="s">
        <v>83</v>
      </c>
      <c r="D352"/>
      <c r="E352" t="s">
        <v>59</v>
      </c>
      <c r="F352"/>
      <c r="G352" t="s">
        <v>117</v>
      </c>
      <c r="H352"/>
      <c r="I352" s="140">
        <v>46238.376423611109</v>
      </c>
      <c r="J352" t="s">
        <v>349</v>
      </c>
      <c r="K352" t="s">
        <v>296</v>
      </c>
      <c r="L352" s="139">
        <v>46173</v>
      </c>
      <c r="M352" t="s">
        <v>347</v>
      </c>
      <c r="N352" t="s">
        <v>313</v>
      </c>
      <c r="O352" t="s">
        <v>294</v>
      </c>
      <c r="P352" t="s">
        <v>348</v>
      </c>
      <c r="Q352" t="s">
        <v>295</v>
      </c>
    </row>
    <row r="353" spans="1:17" s="29" customFormat="1" hidden="1">
      <c r="A353" s="41">
        <v>2.2237156493055556E-2</v>
      </c>
      <c r="B353" t="s">
        <v>116</v>
      </c>
      <c r="C353"/>
      <c r="D353"/>
      <c r="E353" t="s">
        <v>250</v>
      </c>
      <c r="F353"/>
      <c r="G353" t="s">
        <v>117</v>
      </c>
      <c r="H353"/>
      <c r="I353" s="140">
        <v>46238.376284722224</v>
      </c>
      <c r="J353" t="s">
        <v>349</v>
      </c>
      <c r="K353" t="s">
        <v>296</v>
      </c>
      <c r="L353" s="139">
        <v>46173</v>
      </c>
      <c r="M353" t="s">
        <v>347</v>
      </c>
      <c r="N353" t="s">
        <v>313</v>
      </c>
      <c r="O353" t="s">
        <v>294</v>
      </c>
      <c r="P353" t="s">
        <v>348</v>
      </c>
      <c r="Q353" t="s">
        <v>295</v>
      </c>
    </row>
    <row r="354" spans="1:17" s="29" customFormat="1" hidden="1">
      <c r="A354" s="41">
        <v>2.2184575879629631E-2</v>
      </c>
      <c r="B354" t="s">
        <v>116</v>
      </c>
      <c r="C354"/>
      <c r="D354"/>
      <c r="E354" t="s">
        <v>246</v>
      </c>
      <c r="F354"/>
      <c r="G354" t="s">
        <v>226</v>
      </c>
      <c r="H354"/>
      <c r="I354" s="140">
        <v>46238.376238425924</v>
      </c>
      <c r="J354" t="s">
        <v>349</v>
      </c>
      <c r="K354" t="s">
        <v>296</v>
      </c>
      <c r="L354" s="139">
        <v>46173</v>
      </c>
      <c r="M354" t="s">
        <v>347</v>
      </c>
      <c r="N354" t="s">
        <v>313</v>
      </c>
      <c r="O354" t="s">
        <v>294</v>
      </c>
      <c r="P354" t="s">
        <v>348</v>
      </c>
      <c r="Q354" t="s">
        <v>295</v>
      </c>
    </row>
    <row r="355" spans="1:17" s="29" customFormat="1" hidden="1">
      <c r="A355" s="41">
        <v>2.204491074074074E-2</v>
      </c>
      <c r="B355"/>
      <c r="C355" t="s">
        <v>204</v>
      </c>
      <c r="D355"/>
      <c r="E355" t="s">
        <v>127</v>
      </c>
      <c r="F355"/>
      <c r="G355" t="s">
        <v>226</v>
      </c>
      <c r="H355"/>
      <c r="I355" s="140">
        <v>46237.819895833331</v>
      </c>
      <c r="J355" t="s">
        <v>349</v>
      </c>
      <c r="K355" t="s">
        <v>296</v>
      </c>
      <c r="L355" s="139">
        <v>46173</v>
      </c>
      <c r="M355" t="s">
        <v>347</v>
      </c>
      <c r="N355" t="s">
        <v>313</v>
      </c>
      <c r="O355" t="s">
        <v>294</v>
      </c>
      <c r="P355" t="s">
        <v>348</v>
      </c>
      <c r="Q355" t="s">
        <v>295</v>
      </c>
    </row>
    <row r="356" spans="1:17" s="29" customFormat="1" hidden="1">
      <c r="A356" s="41">
        <v>2.2038380312499998E-2</v>
      </c>
      <c r="B356"/>
      <c r="C356" t="s">
        <v>210</v>
      </c>
      <c r="D356"/>
      <c r="E356" t="s">
        <v>59</v>
      </c>
      <c r="F356"/>
      <c r="G356" t="s">
        <v>226</v>
      </c>
      <c r="H356"/>
      <c r="I356" s="140">
        <v>46237.818020833336</v>
      </c>
      <c r="J356" t="s">
        <v>349</v>
      </c>
      <c r="K356" t="s">
        <v>296</v>
      </c>
      <c r="L356" s="139">
        <v>46173</v>
      </c>
      <c r="M356" t="s">
        <v>347</v>
      </c>
      <c r="N356" t="s">
        <v>313</v>
      </c>
      <c r="O356" t="s">
        <v>294</v>
      </c>
      <c r="P356" t="s">
        <v>348</v>
      </c>
      <c r="Q356" t="s">
        <v>295</v>
      </c>
    </row>
    <row r="357" spans="1:17" s="29" customFormat="1" hidden="1">
      <c r="A357" s="41">
        <v>2.1899945856481483E-2</v>
      </c>
      <c r="B357"/>
      <c r="C357" t="s">
        <v>216</v>
      </c>
      <c r="D357"/>
      <c r="E357" t="s">
        <v>127</v>
      </c>
      <c r="F357"/>
      <c r="G357" t="s">
        <v>226</v>
      </c>
      <c r="H357"/>
      <c r="I357" s="140">
        <v>46237.81759259259</v>
      </c>
      <c r="J357" t="s">
        <v>349</v>
      </c>
      <c r="K357" t="s">
        <v>296</v>
      </c>
      <c r="L357" s="139">
        <v>46173</v>
      </c>
      <c r="M357" t="s">
        <v>347</v>
      </c>
      <c r="N357" t="s">
        <v>313</v>
      </c>
      <c r="O357" t="s">
        <v>294</v>
      </c>
      <c r="P357" t="s">
        <v>348</v>
      </c>
      <c r="Q357" t="s">
        <v>295</v>
      </c>
    </row>
    <row r="358" spans="1:17" s="29" customFormat="1" hidden="1">
      <c r="A358" s="41">
        <v>2.1755995358796295E-2</v>
      </c>
      <c r="B358"/>
      <c r="C358" t="s">
        <v>215</v>
      </c>
      <c r="D358"/>
      <c r="E358" t="s">
        <v>127</v>
      </c>
      <c r="F358"/>
      <c r="G358" t="s">
        <v>226</v>
      </c>
      <c r="H358"/>
      <c r="I358" s="140">
        <v>46237.817303240743</v>
      </c>
      <c r="J358" t="s">
        <v>349</v>
      </c>
      <c r="K358" t="s">
        <v>296</v>
      </c>
      <c r="L358" s="139">
        <v>46173</v>
      </c>
      <c r="M358" t="s">
        <v>347</v>
      </c>
      <c r="N358" t="s">
        <v>313</v>
      </c>
      <c r="O358" t="s">
        <v>294</v>
      </c>
      <c r="P358" t="s">
        <v>348</v>
      </c>
      <c r="Q358" t="s">
        <v>295</v>
      </c>
    </row>
    <row r="359" spans="1:17" s="29" customFormat="1" hidden="1">
      <c r="A359" s="41">
        <v>2.1738491782407408E-2</v>
      </c>
      <c r="B359"/>
      <c r="C359"/>
      <c r="D359"/>
      <c r="E359" t="s">
        <v>250</v>
      </c>
      <c r="F359"/>
      <c r="G359" t="s">
        <v>226</v>
      </c>
      <c r="H359"/>
      <c r="I359" s="140">
        <v>46237.817164351851</v>
      </c>
      <c r="J359" t="s">
        <v>349</v>
      </c>
      <c r="K359" t="s">
        <v>296</v>
      </c>
      <c r="L359" s="139">
        <v>46173</v>
      </c>
      <c r="M359" t="s">
        <v>347</v>
      </c>
      <c r="N359" t="s">
        <v>313</v>
      </c>
      <c r="O359" t="s">
        <v>294</v>
      </c>
      <c r="P359" t="s">
        <v>348</v>
      </c>
      <c r="Q359" t="s">
        <v>295</v>
      </c>
    </row>
    <row r="360" spans="1:17" s="29" customFormat="1" hidden="1">
      <c r="A360" s="41">
        <v>2.1617428020833333E-2</v>
      </c>
      <c r="B360"/>
      <c r="C360"/>
      <c r="D360"/>
      <c r="E360" t="s">
        <v>119</v>
      </c>
      <c r="F360"/>
      <c r="G360" t="s">
        <v>117</v>
      </c>
      <c r="H360"/>
      <c r="I360" s="140">
        <v>46237.81689814815</v>
      </c>
      <c r="J360" t="s">
        <v>349</v>
      </c>
      <c r="K360" t="s">
        <v>296</v>
      </c>
      <c r="L360" s="139">
        <v>46173</v>
      </c>
      <c r="M360" t="s">
        <v>347</v>
      </c>
      <c r="N360" t="s">
        <v>313</v>
      </c>
      <c r="O360" t="s">
        <v>294</v>
      </c>
      <c r="P360" t="s">
        <v>348</v>
      </c>
      <c r="Q360" t="s">
        <v>295</v>
      </c>
    </row>
    <row r="361" spans="1:17" s="29" customFormat="1" hidden="1">
      <c r="A361" s="41">
        <v>2.0559822881944446E-2</v>
      </c>
      <c r="B361"/>
      <c r="C361"/>
      <c r="D361"/>
      <c r="E361" t="s">
        <v>122</v>
      </c>
      <c r="F361"/>
      <c r="G361" t="s">
        <v>226</v>
      </c>
      <c r="H361"/>
      <c r="I361" s="140">
        <v>46237.815983796296</v>
      </c>
      <c r="J361" t="s">
        <v>349</v>
      </c>
      <c r="K361" t="s">
        <v>296</v>
      </c>
      <c r="L361" s="139">
        <v>46173</v>
      </c>
      <c r="M361" t="s">
        <v>347</v>
      </c>
      <c r="N361" t="s">
        <v>313</v>
      </c>
      <c r="O361" t="s">
        <v>294</v>
      </c>
      <c r="P361" t="s">
        <v>348</v>
      </c>
      <c r="Q361" t="s">
        <v>295</v>
      </c>
    </row>
    <row r="362" spans="1:17" s="29" customFormat="1" hidden="1">
      <c r="A362" s="41">
        <v>2.046665184027778E-2</v>
      </c>
      <c r="B362"/>
      <c r="C362" t="s">
        <v>213</v>
      </c>
      <c r="D362"/>
      <c r="E362" t="s">
        <v>59</v>
      </c>
      <c r="F362"/>
      <c r="G362" t="s">
        <v>226</v>
      </c>
      <c r="H362"/>
      <c r="I362" s="140">
        <v>46237.815925925926</v>
      </c>
      <c r="J362" t="s">
        <v>349</v>
      </c>
      <c r="K362" t="s">
        <v>296</v>
      </c>
      <c r="L362" s="139">
        <v>46173</v>
      </c>
      <c r="M362" t="s">
        <v>347</v>
      </c>
      <c r="N362" t="s">
        <v>313</v>
      </c>
      <c r="O362" t="s">
        <v>294</v>
      </c>
      <c r="P362" t="s">
        <v>348</v>
      </c>
      <c r="Q362" t="s">
        <v>295</v>
      </c>
    </row>
    <row r="363" spans="1:17" s="29" customFormat="1" hidden="1">
      <c r="A363" s="41">
        <v>2.0443386041666668E-2</v>
      </c>
      <c r="B363"/>
      <c r="C363" t="s">
        <v>215</v>
      </c>
      <c r="D363"/>
      <c r="E363" t="s">
        <v>127</v>
      </c>
      <c r="F363"/>
      <c r="G363" t="s">
        <v>226</v>
      </c>
      <c r="H363"/>
      <c r="I363" s="140">
        <v>46237.813645833332</v>
      </c>
      <c r="J363" t="s">
        <v>349</v>
      </c>
      <c r="K363" t="s">
        <v>296</v>
      </c>
      <c r="L363" s="139">
        <v>46173</v>
      </c>
      <c r="M363" t="s">
        <v>347</v>
      </c>
      <c r="N363" t="s">
        <v>313</v>
      </c>
      <c r="O363" t="s">
        <v>294</v>
      </c>
      <c r="P363" t="s">
        <v>348</v>
      </c>
      <c r="Q363" t="s">
        <v>295</v>
      </c>
    </row>
    <row r="364" spans="1:17" s="29" customFormat="1" hidden="1">
      <c r="A364" s="41">
        <v>2.0443386041666668E-2</v>
      </c>
      <c r="B364"/>
      <c r="C364" t="s">
        <v>367</v>
      </c>
      <c r="D364"/>
      <c r="E364" t="s">
        <v>127</v>
      </c>
      <c r="F364"/>
      <c r="G364" t="s">
        <v>226</v>
      </c>
      <c r="H364"/>
      <c r="I364" s="140">
        <v>46237.813611111109</v>
      </c>
      <c r="J364" t="s">
        <v>349</v>
      </c>
      <c r="K364" t="s">
        <v>296</v>
      </c>
      <c r="L364" s="139">
        <v>46173</v>
      </c>
      <c r="M364" t="s">
        <v>347</v>
      </c>
      <c r="N364" t="s">
        <v>313</v>
      </c>
      <c r="O364" t="s">
        <v>294</v>
      </c>
      <c r="P364" t="s">
        <v>348</v>
      </c>
      <c r="Q364" t="s">
        <v>295</v>
      </c>
    </row>
    <row r="365" spans="1:17" s="29" customFormat="1" hidden="1">
      <c r="A365" s="41">
        <v>2.0326797893518517E-2</v>
      </c>
      <c r="B365"/>
      <c r="C365" t="s">
        <v>210</v>
      </c>
      <c r="D365"/>
      <c r="E365" t="s">
        <v>58</v>
      </c>
      <c r="F365"/>
      <c r="G365" t="s">
        <v>226</v>
      </c>
      <c r="H365"/>
      <c r="I365" s="140">
        <v>46237.789502314816</v>
      </c>
      <c r="J365" t="s">
        <v>349</v>
      </c>
      <c r="K365" t="s">
        <v>296</v>
      </c>
      <c r="L365" s="139">
        <v>46173</v>
      </c>
      <c r="M365" t="s">
        <v>347</v>
      </c>
      <c r="N365" t="s">
        <v>313</v>
      </c>
      <c r="O365" t="s">
        <v>294</v>
      </c>
      <c r="P365" t="s">
        <v>348</v>
      </c>
      <c r="Q365" t="s">
        <v>295</v>
      </c>
    </row>
    <row r="366" spans="1:17" s="29" customFormat="1" hidden="1">
      <c r="A366" s="41">
        <v>2.0292497870370369E-2</v>
      </c>
      <c r="B366"/>
      <c r="C366" t="s">
        <v>212</v>
      </c>
      <c r="D366"/>
      <c r="E366" t="s">
        <v>127</v>
      </c>
      <c r="F366"/>
      <c r="G366" t="s">
        <v>226</v>
      </c>
      <c r="H366"/>
      <c r="I366" s="140">
        <v>46237.789236111108</v>
      </c>
      <c r="J366" t="s">
        <v>349</v>
      </c>
      <c r="K366" t="s">
        <v>296</v>
      </c>
      <c r="L366" s="139">
        <v>46173</v>
      </c>
      <c r="M366" t="s">
        <v>347</v>
      </c>
      <c r="N366" t="s">
        <v>313</v>
      </c>
      <c r="O366" t="s">
        <v>294</v>
      </c>
      <c r="P366" t="s">
        <v>348</v>
      </c>
      <c r="Q366" t="s">
        <v>295</v>
      </c>
    </row>
    <row r="367" spans="1:17" s="29" customFormat="1" hidden="1">
      <c r="A367" s="41">
        <v>2.0259089293981482E-2</v>
      </c>
      <c r="B367"/>
      <c r="C367" t="s">
        <v>386</v>
      </c>
      <c r="D367"/>
      <c r="E367" t="s">
        <v>127</v>
      </c>
      <c r="F367"/>
      <c r="G367" t="s">
        <v>226</v>
      </c>
      <c r="H367"/>
      <c r="I367" s="140">
        <v>46237.788993055554</v>
      </c>
      <c r="J367" t="s">
        <v>349</v>
      </c>
      <c r="K367" t="s">
        <v>296</v>
      </c>
      <c r="L367" s="139">
        <v>46173</v>
      </c>
      <c r="M367" t="s">
        <v>347</v>
      </c>
      <c r="N367" t="s">
        <v>313</v>
      </c>
      <c r="O367" t="s">
        <v>294</v>
      </c>
      <c r="P367" t="s">
        <v>348</v>
      </c>
      <c r="Q367" t="s">
        <v>295</v>
      </c>
    </row>
    <row r="368" spans="1:17" s="29" customFormat="1" hidden="1">
      <c r="A368" s="41">
        <v>2.0145402789351851E-2</v>
      </c>
      <c r="B368"/>
      <c r="C368" t="s">
        <v>215</v>
      </c>
      <c r="D368"/>
      <c r="E368" t="s">
        <v>127</v>
      </c>
      <c r="F368"/>
      <c r="G368" t="s">
        <v>226</v>
      </c>
      <c r="H368"/>
      <c r="I368" s="140">
        <v>46237.788645833331</v>
      </c>
      <c r="J368" t="s">
        <v>349</v>
      </c>
      <c r="K368" t="s">
        <v>296</v>
      </c>
      <c r="L368" s="139">
        <v>46173</v>
      </c>
      <c r="M368" t="s">
        <v>347</v>
      </c>
      <c r="N368" t="s">
        <v>313</v>
      </c>
      <c r="O368" t="s">
        <v>294</v>
      </c>
      <c r="P368" t="s">
        <v>348</v>
      </c>
      <c r="Q368" t="s">
        <v>295</v>
      </c>
    </row>
    <row r="369" spans="1:17" s="29" customFormat="1" hidden="1">
      <c r="A369" s="41">
        <v>2.0061986041666667E-2</v>
      </c>
      <c r="B369"/>
      <c r="C369" t="s">
        <v>216</v>
      </c>
      <c r="D369"/>
      <c r="E369" t="s">
        <v>127</v>
      </c>
      <c r="F369"/>
      <c r="G369" t="s">
        <v>226</v>
      </c>
      <c r="H369"/>
      <c r="I369" s="140">
        <v>46237.788148148145</v>
      </c>
      <c r="J369" t="s">
        <v>349</v>
      </c>
      <c r="K369" t="s">
        <v>296</v>
      </c>
      <c r="L369" s="139">
        <v>46173</v>
      </c>
      <c r="M369" t="s">
        <v>347</v>
      </c>
      <c r="N369" t="s">
        <v>313</v>
      </c>
      <c r="O369" t="s">
        <v>294</v>
      </c>
      <c r="P369" t="s">
        <v>348</v>
      </c>
      <c r="Q369" t="s">
        <v>295</v>
      </c>
    </row>
    <row r="370" spans="1:17" s="29" customFormat="1" hidden="1">
      <c r="A370" s="41">
        <v>2.0050258055555555E-2</v>
      </c>
      <c r="B370"/>
      <c r="C370" t="s">
        <v>217</v>
      </c>
      <c r="D370"/>
      <c r="E370" t="s">
        <v>59</v>
      </c>
      <c r="F370"/>
      <c r="G370" t="s">
        <v>226</v>
      </c>
      <c r="H370"/>
      <c r="I370" s="140">
        <v>46237.787997685184</v>
      </c>
      <c r="J370" t="s">
        <v>349</v>
      </c>
      <c r="K370" t="s">
        <v>296</v>
      </c>
      <c r="L370" s="139">
        <v>46173</v>
      </c>
      <c r="M370" t="s">
        <v>347</v>
      </c>
      <c r="N370" t="s">
        <v>313</v>
      </c>
      <c r="O370" t="s">
        <v>294</v>
      </c>
      <c r="P370" t="s">
        <v>348</v>
      </c>
      <c r="Q370" t="s">
        <v>295</v>
      </c>
    </row>
    <row r="371" spans="1:17" s="29" customFormat="1" hidden="1">
      <c r="A371" s="41">
        <v>1.9992867511574076E-2</v>
      </c>
      <c r="B371"/>
      <c r="C371" t="s">
        <v>215</v>
      </c>
      <c r="D371"/>
      <c r="E371" t="s">
        <v>58</v>
      </c>
      <c r="F371"/>
      <c r="G371" t="s">
        <v>226</v>
      </c>
      <c r="H371"/>
      <c r="I371" s="140">
        <v>46237.787685185183</v>
      </c>
      <c r="J371" t="s">
        <v>349</v>
      </c>
      <c r="K371" t="s">
        <v>296</v>
      </c>
      <c r="L371" s="139">
        <v>46173</v>
      </c>
      <c r="M371" t="s">
        <v>347</v>
      </c>
      <c r="N371" t="s">
        <v>313</v>
      </c>
      <c r="O371" t="s">
        <v>294</v>
      </c>
      <c r="P371" t="s">
        <v>348</v>
      </c>
      <c r="Q371" t="s">
        <v>295</v>
      </c>
    </row>
    <row r="372" spans="1:17" s="29" customFormat="1" hidden="1">
      <c r="A372" s="41">
        <v>1.9975522627314814E-2</v>
      </c>
      <c r="B372"/>
      <c r="C372" t="s">
        <v>216</v>
      </c>
      <c r="D372"/>
      <c r="E372" t="s">
        <v>59</v>
      </c>
      <c r="F372"/>
      <c r="G372" t="s">
        <v>226</v>
      </c>
      <c r="H372"/>
      <c r="I372" s="140">
        <v>46237.787546296298</v>
      </c>
      <c r="J372" t="s">
        <v>349</v>
      </c>
      <c r="K372" t="s">
        <v>296</v>
      </c>
      <c r="L372" s="139">
        <v>46173</v>
      </c>
      <c r="M372" t="s">
        <v>347</v>
      </c>
      <c r="N372" t="s">
        <v>313</v>
      </c>
      <c r="O372" t="s">
        <v>294</v>
      </c>
      <c r="P372" t="s">
        <v>348</v>
      </c>
      <c r="Q372" t="s">
        <v>295</v>
      </c>
    </row>
    <row r="373" spans="1:17" s="29" customFormat="1" hidden="1">
      <c r="A373" s="41">
        <v>1.9883395752314816E-2</v>
      </c>
      <c r="B373"/>
      <c r="C373" t="s">
        <v>363</v>
      </c>
      <c r="D373"/>
      <c r="E373" t="s">
        <v>127</v>
      </c>
      <c r="F373"/>
      <c r="G373" t="s">
        <v>226</v>
      </c>
      <c r="H373"/>
      <c r="I373" s="140">
        <v>46237.787210648145</v>
      </c>
      <c r="J373" t="s">
        <v>349</v>
      </c>
      <c r="K373" t="s">
        <v>296</v>
      </c>
      <c r="L373" s="139">
        <v>46173</v>
      </c>
      <c r="M373" t="s">
        <v>347</v>
      </c>
      <c r="N373" t="s">
        <v>313</v>
      </c>
      <c r="O373" t="s">
        <v>294</v>
      </c>
      <c r="P373" t="s">
        <v>348</v>
      </c>
      <c r="Q373" t="s">
        <v>295</v>
      </c>
    </row>
    <row r="374" spans="1:17" s="29" customFormat="1" hidden="1">
      <c r="A374" s="41">
        <v>1.9819729085648146E-2</v>
      </c>
      <c r="B374"/>
      <c r="C374" t="s">
        <v>83</v>
      </c>
      <c r="D374"/>
      <c r="E374" t="s">
        <v>127</v>
      </c>
      <c r="F374"/>
      <c r="G374" t="s">
        <v>226</v>
      </c>
      <c r="H374"/>
      <c r="I374" s="140">
        <v>46237.787094907406</v>
      </c>
      <c r="J374" t="s">
        <v>349</v>
      </c>
      <c r="K374" t="s">
        <v>296</v>
      </c>
      <c r="L374" s="139">
        <v>46173</v>
      </c>
      <c r="M374" t="s">
        <v>347</v>
      </c>
      <c r="N374" t="s">
        <v>313</v>
      </c>
      <c r="O374" t="s">
        <v>294</v>
      </c>
      <c r="P374" t="s">
        <v>348</v>
      </c>
      <c r="Q374" t="s">
        <v>295</v>
      </c>
    </row>
    <row r="375" spans="1:17" s="29" customFormat="1" hidden="1">
      <c r="A375" s="41">
        <v>1.9780772118055553E-2</v>
      </c>
      <c r="B375"/>
      <c r="C375" t="s">
        <v>214</v>
      </c>
      <c r="D375"/>
      <c r="E375" t="s">
        <v>127</v>
      </c>
      <c r="F375"/>
      <c r="G375" t="s">
        <v>226</v>
      </c>
      <c r="H375"/>
      <c r="I375" s="140">
        <v>46237.786828703705</v>
      </c>
      <c r="J375" t="s">
        <v>349</v>
      </c>
      <c r="K375" t="s">
        <v>296</v>
      </c>
      <c r="L375" s="139">
        <v>46173</v>
      </c>
      <c r="M375" t="s">
        <v>347</v>
      </c>
      <c r="N375" t="s">
        <v>313</v>
      </c>
      <c r="O375" t="s">
        <v>294</v>
      </c>
      <c r="P375" t="s">
        <v>348</v>
      </c>
      <c r="Q375" t="s">
        <v>295</v>
      </c>
    </row>
    <row r="376" spans="1:17" s="29" customFormat="1" hidden="1">
      <c r="A376" s="41">
        <v>1.9734655914351851E-2</v>
      </c>
      <c r="B376"/>
      <c r="C376"/>
      <c r="D376"/>
      <c r="E376" t="s">
        <v>250</v>
      </c>
      <c r="F376"/>
      <c r="G376" t="s">
        <v>226</v>
      </c>
      <c r="H376"/>
      <c r="I376" s="140">
        <v>46237.786666666667</v>
      </c>
      <c r="J376" t="s">
        <v>349</v>
      </c>
      <c r="K376" t="s">
        <v>296</v>
      </c>
      <c r="L376" s="139">
        <v>46173</v>
      </c>
      <c r="M376" t="s">
        <v>347</v>
      </c>
      <c r="N376" t="s">
        <v>313</v>
      </c>
      <c r="O376" t="s">
        <v>294</v>
      </c>
      <c r="P376" t="s">
        <v>348</v>
      </c>
      <c r="Q376" t="s">
        <v>295</v>
      </c>
    </row>
    <row r="377" spans="1:17" s="29" customFormat="1" hidden="1">
      <c r="A377" s="41">
        <v>1.9670080532407406E-2</v>
      </c>
      <c r="B377"/>
      <c r="C377"/>
      <c r="D377"/>
      <c r="E377" t="s">
        <v>246</v>
      </c>
      <c r="F377"/>
      <c r="G377" t="s">
        <v>117</v>
      </c>
      <c r="H377"/>
      <c r="I377" s="140">
        <v>46237.786608796298</v>
      </c>
      <c r="J377" t="s">
        <v>349</v>
      </c>
      <c r="K377" t="s">
        <v>296</v>
      </c>
      <c r="L377" s="139">
        <v>46173</v>
      </c>
      <c r="M377" t="s">
        <v>347</v>
      </c>
      <c r="N377" t="s">
        <v>313</v>
      </c>
      <c r="O377" t="s">
        <v>294</v>
      </c>
      <c r="P377" t="s">
        <v>348</v>
      </c>
      <c r="Q377" t="s">
        <v>295</v>
      </c>
    </row>
    <row r="378" spans="1:17" s="29" customFormat="1" hidden="1">
      <c r="A378" s="41">
        <v>1.9553276157407408E-2</v>
      </c>
      <c r="B378"/>
      <c r="C378"/>
      <c r="D378"/>
      <c r="E378" t="s">
        <v>127</v>
      </c>
      <c r="F378"/>
      <c r="G378" t="s">
        <v>117</v>
      </c>
      <c r="H378"/>
      <c r="I378" s="140">
        <v>46237.786481481482</v>
      </c>
      <c r="J378" t="s">
        <v>349</v>
      </c>
      <c r="K378" t="s">
        <v>296</v>
      </c>
      <c r="L378" s="139">
        <v>46173</v>
      </c>
      <c r="M378" t="s">
        <v>347</v>
      </c>
      <c r="N378" t="s">
        <v>313</v>
      </c>
      <c r="O378" t="s">
        <v>294</v>
      </c>
      <c r="P378" t="s">
        <v>348</v>
      </c>
      <c r="Q378" t="s">
        <v>295</v>
      </c>
    </row>
    <row r="379" spans="1:17" s="29" customFormat="1" hidden="1">
      <c r="A379" s="41">
        <v>1.9525829166666665E-2</v>
      </c>
      <c r="B379"/>
      <c r="C379"/>
      <c r="D379"/>
      <c r="E379" t="s">
        <v>248</v>
      </c>
      <c r="F379"/>
      <c r="G379" t="s">
        <v>117</v>
      </c>
      <c r="H379"/>
      <c r="I379" s="140">
        <v>46237.786458333336</v>
      </c>
      <c r="J379" t="s">
        <v>349</v>
      </c>
      <c r="K379" t="s">
        <v>296</v>
      </c>
      <c r="L379" s="139">
        <v>46173</v>
      </c>
      <c r="M379" t="s">
        <v>347</v>
      </c>
      <c r="N379" t="s">
        <v>313</v>
      </c>
      <c r="O379" t="s">
        <v>294</v>
      </c>
      <c r="P379" t="s">
        <v>348</v>
      </c>
      <c r="Q379" t="s">
        <v>295</v>
      </c>
    </row>
    <row r="380" spans="1:17" s="29" customFormat="1" hidden="1">
      <c r="A380" s="41">
        <v>1.9494860069444446E-2</v>
      </c>
      <c r="B380"/>
      <c r="C380"/>
      <c r="D380"/>
      <c r="E380" t="s">
        <v>119</v>
      </c>
      <c r="F380"/>
      <c r="G380" t="s">
        <v>226</v>
      </c>
      <c r="H380"/>
      <c r="I380" s="140">
        <v>46237.786423611113</v>
      </c>
      <c r="J380" t="s">
        <v>349</v>
      </c>
      <c r="K380" t="s">
        <v>296</v>
      </c>
      <c r="L380" s="139">
        <v>46173</v>
      </c>
      <c r="M380" t="s">
        <v>347</v>
      </c>
      <c r="N380" t="s">
        <v>313</v>
      </c>
      <c r="O380" t="s">
        <v>294</v>
      </c>
      <c r="P380" t="s">
        <v>348</v>
      </c>
      <c r="Q380" t="s">
        <v>295</v>
      </c>
    </row>
    <row r="381" spans="1:17" s="29" customFormat="1" hidden="1">
      <c r="A381" s="41">
        <v>1.9159756851851853E-2</v>
      </c>
      <c r="B381"/>
      <c r="C381"/>
      <c r="D381"/>
      <c r="E381" t="s">
        <v>88</v>
      </c>
      <c r="F381"/>
      <c r="G381" t="s">
        <v>117</v>
      </c>
      <c r="H381"/>
      <c r="I381" s="140">
        <v>46237.786087962966</v>
      </c>
      <c r="J381" t="s">
        <v>349</v>
      </c>
      <c r="K381" t="s">
        <v>296</v>
      </c>
      <c r="L381" s="139">
        <v>46173</v>
      </c>
      <c r="M381" t="s">
        <v>347</v>
      </c>
      <c r="N381" t="s">
        <v>313</v>
      </c>
      <c r="O381" t="s">
        <v>294</v>
      </c>
      <c r="P381" t="s">
        <v>348</v>
      </c>
      <c r="Q381" t="s">
        <v>295</v>
      </c>
    </row>
    <row r="382" spans="1:17" s="29" customFormat="1" hidden="1">
      <c r="A382" s="41">
        <v>1.911057060185185E-2</v>
      </c>
      <c r="B382"/>
      <c r="C382" t="s">
        <v>83</v>
      </c>
      <c r="D382"/>
      <c r="E382" t="s">
        <v>135</v>
      </c>
      <c r="F382"/>
      <c r="G382" t="s">
        <v>117</v>
      </c>
      <c r="H382"/>
      <c r="I382" s="140">
        <v>46237.786076388889</v>
      </c>
      <c r="J382" t="s">
        <v>349</v>
      </c>
      <c r="K382" t="s">
        <v>296</v>
      </c>
      <c r="L382" s="139">
        <v>46173</v>
      </c>
      <c r="M382" t="s">
        <v>347</v>
      </c>
      <c r="N382" t="s">
        <v>313</v>
      </c>
      <c r="O382" t="s">
        <v>294</v>
      </c>
      <c r="P382" t="s">
        <v>348</v>
      </c>
      <c r="Q382" t="s">
        <v>295</v>
      </c>
    </row>
    <row r="383" spans="1:17" s="29" customFormat="1" hidden="1">
      <c r="A383" s="41">
        <v>1.8266636226851853E-2</v>
      </c>
      <c r="B383"/>
      <c r="C383"/>
      <c r="D383"/>
      <c r="E383" t="s">
        <v>275</v>
      </c>
      <c r="F383" t="s">
        <v>269</v>
      </c>
      <c r="G383" t="s">
        <v>117</v>
      </c>
      <c r="H383"/>
      <c r="I383" s="140">
        <v>46237.785428240742</v>
      </c>
      <c r="J383" t="s">
        <v>349</v>
      </c>
      <c r="K383" t="s">
        <v>296</v>
      </c>
      <c r="L383" s="139">
        <v>46173</v>
      </c>
      <c r="M383" t="s">
        <v>347</v>
      </c>
      <c r="N383" t="s">
        <v>313</v>
      </c>
      <c r="O383" t="s">
        <v>294</v>
      </c>
      <c r="P383" t="s">
        <v>348</v>
      </c>
      <c r="Q383" t="s">
        <v>295</v>
      </c>
    </row>
    <row r="384" spans="1:17" s="29" customFormat="1" hidden="1">
      <c r="A384" s="41">
        <v>1.8168290775462961E-2</v>
      </c>
      <c r="B384"/>
      <c r="C384"/>
      <c r="D384"/>
      <c r="E384" t="s">
        <v>127</v>
      </c>
      <c r="F384"/>
      <c r="G384" t="s">
        <v>117</v>
      </c>
      <c r="H384"/>
      <c r="I384" s="140">
        <v>46237.785046296296</v>
      </c>
      <c r="J384" t="s">
        <v>349</v>
      </c>
      <c r="K384" t="s">
        <v>296</v>
      </c>
      <c r="L384" s="139">
        <v>46173</v>
      </c>
      <c r="M384" t="s">
        <v>347</v>
      </c>
      <c r="N384" t="s">
        <v>313</v>
      </c>
      <c r="O384" t="s">
        <v>294</v>
      </c>
      <c r="P384" t="s">
        <v>348</v>
      </c>
      <c r="Q384" t="s">
        <v>295</v>
      </c>
    </row>
    <row r="385" spans="1:17" s="29" customFormat="1" hidden="1">
      <c r="A385" s="41">
        <v>1.8116142719907406E-2</v>
      </c>
      <c r="B385"/>
      <c r="C385"/>
      <c r="D385"/>
      <c r="E385" t="s">
        <v>127</v>
      </c>
      <c r="F385"/>
      <c r="G385" t="s">
        <v>117</v>
      </c>
      <c r="H385"/>
      <c r="I385" s="140">
        <v>46237.784918981481</v>
      </c>
      <c r="J385" t="s">
        <v>349</v>
      </c>
      <c r="K385" t="s">
        <v>296</v>
      </c>
      <c r="L385" s="139">
        <v>46173</v>
      </c>
      <c r="M385" t="s">
        <v>347</v>
      </c>
      <c r="N385" t="s">
        <v>313</v>
      </c>
      <c r="O385" t="s">
        <v>294</v>
      </c>
      <c r="P385" t="s">
        <v>348</v>
      </c>
      <c r="Q385" t="s">
        <v>295</v>
      </c>
    </row>
    <row r="386" spans="1:17" s="29" customFormat="1" hidden="1">
      <c r="A386" s="41">
        <v>1.8095429502314814E-2</v>
      </c>
      <c r="B386"/>
      <c r="C386"/>
      <c r="D386"/>
      <c r="E386" t="s">
        <v>127</v>
      </c>
      <c r="F386"/>
      <c r="G386" t="s">
        <v>117</v>
      </c>
      <c r="H386"/>
      <c r="I386" s="140">
        <v>46237.784895833334</v>
      </c>
      <c r="J386" t="s">
        <v>349</v>
      </c>
      <c r="K386" t="s">
        <v>296</v>
      </c>
      <c r="L386" s="139">
        <v>46173</v>
      </c>
      <c r="M386" t="s">
        <v>347</v>
      </c>
      <c r="N386" t="s">
        <v>313</v>
      </c>
      <c r="O386" t="s">
        <v>294</v>
      </c>
      <c r="P386" t="s">
        <v>348</v>
      </c>
      <c r="Q386" t="s">
        <v>295</v>
      </c>
    </row>
    <row r="387" spans="1:17" s="29" customFormat="1" hidden="1">
      <c r="A387" s="41">
        <v>1.8000124143518519E-2</v>
      </c>
      <c r="B387"/>
      <c r="C387"/>
      <c r="D387"/>
      <c r="E387" t="s">
        <v>248</v>
      </c>
      <c r="F387"/>
      <c r="G387" t="s">
        <v>117</v>
      </c>
      <c r="H387"/>
      <c r="I387" s="140">
        <v>46237.784803240742</v>
      </c>
      <c r="J387" t="s">
        <v>349</v>
      </c>
      <c r="K387" t="s">
        <v>296</v>
      </c>
      <c r="L387" s="139">
        <v>46173</v>
      </c>
      <c r="M387" t="s">
        <v>347</v>
      </c>
      <c r="N387" t="s">
        <v>313</v>
      </c>
      <c r="O387" t="s">
        <v>294</v>
      </c>
      <c r="P387" t="s">
        <v>348</v>
      </c>
      <c r="Q387" t="s">
        <v>295</v>
      </c>
    </row>
    <row r="388" spans="1:17" s="29" customFormat="1" hidden="1">
      <c r="A388" s="41">
        <v>1.7960152800925926E-2</v>
      </c>
      <c r="B388"/>
      <c r="C388"/>
      <c r="D388"/>
      <c r="E388" t="s">
        <v>246</v>
      </c>
      <c r="F388"/>
      <c r="G388" t="s">
        <v>226</v>
      </c>
      <c r="H388"/>
      <c r="I388" s="140">
        <v>46237.784756944442</v>
      </c>
      <c r="J388" t="s">
        <v>349</v>
      </c>
      <c r="K388" t="s">
        <v>296</v>
      </c>
      <c r="L388" s="139">
        <v>46173</v>
      </c>
      <c r="M388" t="s">
        <v>347</v>
      </c>
      <c r="N388" t="s">
        <v>313</v>
      </c>
      <c r="O388" t="s">
        <v>294</v>
      </c>
      <c r="P388" t="s">
        <v>348</v>
      </c>
      <c r="Q388" t="s">
        <v>295</v>
      </c>
    </row>
    <row r="389" spans="1:17" s="29" customFormat="1" hidden="1">
      <c r="A389" s="41">
        <v>1.7809414155092594E-2</v>
      </c>
      <c r="B389"/>
      <c r="C389" t="s">
        <v>83</v>
      </c>
      <c r="D389"/>
      <c r="E389" t="s">
        <v>127</v>
      </c>
      <c r="F389"/>
      <c r="G389" t="s">
        <v>226</v>
      </c>
      <c r="H389"/>
      <c r="I389" s="140">
        <v>46237.784594907411</v>
      </c>
      <c r="J389" t="s">
        <v>349</v>
      </c>
      <c r="K389" t="s">
        <v>296</v>
      </c>
      <c r="L389" s="139">
        <v>46173</v>
      </c>
      <c r="M389" t="s">
        <v>347</v>
      </c>
      <c r="N389" t="s">
        <v>313</v>
      </c>
      <c r="O389" t="s">
        <v>294</v>
      </c>
      <c r="P389" t="s">
        <v>348</v>
      </c>
      <c r="Q389" t="s">
        <v>295</v>
      </c>
    </row>
    <row r="390" spans="1:17" s="29" customFormat="1" hidden="1">
      <c r="A390" s="41">
        <v>1.7792925601851854E-2</v>
      </c>
      <c r="B390"/>
      <c r="C390" t="s">
        <v>214</v>
      </c>
      <c r="D390"/>
      <c r="E390" t="s">
        <v>127</v>
      </c>
      <c r="F390"/>
      <c r="G390" t="s">
        <v>226</v>
      </c>
      <c r="H390"/>
      <c r="I390" s="140">
        <v>46237.784456018519</v>
      </c>
      <c r="J390" t="s">
        <v>349</v>
      </c>
      <c r="K390" t="s">
        <v>296</v>
      </c>
      <c r="L390" s="139">
        <v>46173</v>
      </c>
      <c r="M390" t="s">
        <v>347</v>
      </c>
      <c r="N390" t="s">
        <v>313</v>
      </c>
      <c r="O390" t="s">
        <v>294</v>
      </c>
      <c r="P390" t="s">
        <v>348</v>
      </c>
      <c r="Q390" t="s">
        <v>295</v>
      </c>
    </row>
    <row r="391" spans="1:17" s="29" customFormat="1" hidden="1">
      <c r="A391" s="41">
        <v>1.7782572060185187E-2</v>
      </c>
      <c r="B391"/>
      <c r="C391"/>
      <c r="D391"/>
      <c r="E391" t="s">
        <v>250</v>
      </c>
      <c r="F391"/>
      <c r="G391" t="s">
        <v>226</v>
      </c>
      <c r="H391"/>
      <c r="I391" s="140">
        <v>46237.784108796295</v>
      </c>
      <c r="J391" t="s">
        <v>349</v>
      </c>
      <c r="K391" t="s">
        <v>296</v>
      </c>
      <c r="L391" s="139">
        <v>46173</v>
      </c>
      <c r="M391" t="s">
        <v>347</v>
      </c>
      <c r="N391" t="s">
        <v>313</v>
      </c>
      <c r="O391" t="s">
        <v>294</v>
      </c>
      <c r="P391" t="s">
        <v>348</v>
      </c>
      <c r="Q391" t="s">
        <v>295</v>
      </c>
    </row>
    <row r="392" spans="1:17" s="29" customFormat="1" hidden="1">
      <c r="A392" s="41">
        <v>1.7683204652777777E-2</v>
      </c>
      <c r="B392"/>
      <c r="C392"/>
      <c r="D392"/>
      <c r="E392" t="s">
        <v>119</v>
      </c>
      <c r="F392"/>
      <c r="G392"/>
      <c r="H392"/>
      <c r="I392" s="140">
        <v>46237.784004629626</v>
      </c>
      <c r="J392" t="s">
        <v>349</v>
      </c>
      <c r="K392" t="s">
        <v>296</v>
      </c>
      <c r="L392" s="139">
        <v>46173</v>
      </c>
      <c r="M392" t="s">
        <v>347</v>
      </c>
      <c r="N392" t="s">
        <v>313</v>
      </c>
      <c r="O392" t="s">
        <v>294</v>
      </c>
      <c r="P392" t="s">
        <v>348</v>
      </c>
      <c r="Q392" t="s">
        <v>295</v>
      </c>
    </row>
    <row r="393" spans="1:17" s="29" customFormat="1" hidden="1">
      <c r="A393" s="41">
        <v>1.7431583391203705E-2</v>
      </c>
      <c r="B393" t="s">
        <v>116</v>
      </c>
      <c r="C393"/>
      <c r="D393"/>
      <c r="E393" t="s">
        <v>134</v>
      </c>
      <c r="F393"/>
      <c r="G393" t="s">
        <v>226</v>
      </c>
      <c r="H393"/>
      <c r="I393" s="140">
        <v>46237.783194444448</v>
      </c>
      <c r="J393" t="s">
        <v>349</v>
      </c>
      <c r="K393" t="s">
        <v>296</v>
      </c>
      <c r="L393" s="139">
        <v>46173</v>
      </c>
      <c r="M393" t="s">
        <v>347</v>
      </c>
      <c r="N393" t="s">
        <v>313</v>
      </c>
      <c r="O393" t="s">
        <v>294</v>
      </c>
      <c r="P393" t="s">
        <v>348</v>
      </c>
      <c r="Q393" t="s">
        <v>295</v>
      </c>
    </row>
    <row r="394" spans="1:17" s="29" customFormat="1" hidden="1">
      <c r="A394" s="41">
        <v>1.6832117662037037E-2</v>
      </c>
      <c r="B394" t="s">
        <v>116</v>
      </c>
      <c r="C394"/>
      <c r="D394"/>
      <c r="E394" t="s">
        <v>122</v>
      </c>
      <c r="F394"/>
      <c r="G394" t="s">
        <v>226</v>
      </c>
      <c r="H394"/>
      <c r="I394" s="140">
        <v>46237.782962962963</v>
      </c>
      <c r="J394" t="s">
        <v>349</v>
      </c>
      <c r="K394" t="s">
        <v>296</v>
      </c>
      <c r="L394" s="139">
        <v>46173</v>
      </c>
      <c r="M394" t="s">
        <v>347</v>
      </c>
      <c r="N394" t="s">
        <v>313</v>
      </c>
      <c r="O394" t="s">
        <v>294</v>
      </c>
      <c r="P394" t="s">
        <v>348</v>
      </c>
      <c r="Q394" t="s">
        <v>295</v>
      </c>
    </row>
    <row r="395" spans="1:17" s="29" customFormat="1" hidden="1">
      <c r="A395" s="41">
        <v>1.676824138888889E-2</v>
      </c>
      <c r="B395" t="s">
        <v>116</v>
      </c>
      <c r="C395" t="s">
        <v>215</v>
      </c>
      <c r="D395"/>
      <c r="E395" t="s">
        <v>127</v>
      </c>
      <c r="F395"/>
      <c r="G395" t="s">
        <v>226</v>
      </c>
      <c r="H395"/>
      <c r="I395" s="140">
        <v>46237.782847222225</v>
      </c>
      <c r="J395" t="s">
        <v>349</v>
      </c>
      <c r="K395" t="s">
        <v>296</v>
      </c>
      <c r="L395" s="139">
        <v>46173</v>
      </c>
      <c r="M395" t="s">
        <v>347</v>
      </c>
      <c r="N395" t="s">
        <v>313</v>
      </c>
      <c r="O395" t="s">
        <v>294</v>
      </c>
      <c r="P395" t="s">
        <v>348</v>
      </c>
      <c r="Q395" t="s">
        <v>295</v>
      </c>
    </row>
    <row r="396" spans="1:17" s="29" customFormat="1" hidden="1">
      <c r="A396" s="41">
        <v>1.6721907627314816E-2</v>
      </c>
      <c r="B396" t="s">
        <v>116</v>
      </c>
      <c r="C396" t="s">
        <v>213</v>
      </c>
      <c r="D396"/>
      <c r="E396" t="s">
        <v>127</v>
      </c>
      <c r="F396"/>
      <c r="G396" t="s">
        <v>226</v>
      </c>
      <c r="H396"/>
      <c r="I396" s="140">
        <v>46237.782731481479</v>
      </c>
      <c r="J396" t="s">
        <v>349</v>
      </c>
      <c r="K396" t="s">
        <v>296</v>
      </c>
      <c r="L396" s="139">
        <v>46173</v>
      </c>
      <c r="M396" t="s">
        <v>347</v>
      </c>
      <c r="N396" t="s">
        <v>313</v>
      </c>
      <c r="O396" t="s">
        <v>294</v>
      </c>
      <c r="P396" t="s">
        <v>348</v>
      </c>
      <c r="Q396" t="s">
        <v>295</v>
      </c>
    </row>
    <row r="397" spans="1:17" s="29" customFormat="1" hidden="1">
      <c r="A397" s="41">
        <v>1.6496174606481482E-2</v>
      </c>
      <c r="B397" t="s">
        <v>116</v>
      </c>
      <c r="C397"/>
      <c r="D397"/>
      <c r="E397" t="s">
        <v>124</v>
      </c>
      <c r="F397"/>
      <c r="G397" t="s">
        <v>226</v>
      </c>
      <c r="H397"/>
      <c r="I397" s="140">
        <v>46237.782337962963</v>
      </c>
      <c r="J397" t="s">
        <v>349</v>
      </c>
      <c r="K397" t="s">
        <v>296</v>
      </c>
      <c r="L397" s="139">
        <v>46173</v>
      </c>
      <c r="M397" t="s">
        <v>347</v>
      </c>
      <c r="N397" t="s">
        <v>313</v>
      </c>
      <c r="O397" t="s">
        <v>294</v>
      </c>
      <c r="P397" t="s">
        <v>348</v>
      </c>
      <c r="Q397" t="s">
        <v>295</v>
      </c>
    </row>
    <row r="398" spans="1:17" s="29" customFormat="1" hidden="1">
      <c r="A398" s="41">
        <v>1.6191628564814813E-2</v>
      </c>
      <c r="B398" t="s">
        <v>116</v>
      </c>
      <c r="C398"/>
      <c r="D398"/>
      <c r="E398" t="s">
        <v>88</v>
      </c>
      <c r="F398"/>
      <c r="G398" t="s">
        <v>117</v>
      </c>
      <c r="H398"/>
      <c r="I398" s="140">
        <v>46237.782037037039</v>
      </c>
      <c r="J398" t="s">
        <v>349</v>
      </c>
      <c r="K398" t="s">
        <v>296</v>
      </c>
      <c r="L398" s="139">
        <v>46173</v>
      </c>
      <c r="M398" t="s">
        <v>347</v>
      </c>
      <c r="N398" t="s">
        <v>313</v>
      </c>
      <c r="O398" t="s">
        <v>294</v>
      </c>
      <c r="P398" t="s">
        <v>348</v>
      </c>
      <c r="Q398" t="s">
        <v>295</v>
      </c>
    </row>
    <row r="399" spans="1:17" s="29" customFormat="1" hidden="1">
      <c r="A399" s="41">
        <v>1.615473449074074E-2</v>
      </c>
      <c r="B399" t="s">
        <v>116</v>
      </c>
      <c r="C399"/>
      <c r="D399"/>
      <c r="E399" t="s">
        <v>248</v>
      </c>
      <c r="F399"/>
      <c r="G399" t="s">
        <v>117</v>
      </c>
      <c r="H399"/>
      <c r="I399" s="140">
        <v>46237.781956018516</v>
      </c>
      <c r="J399" t="s">
        <v>349</v>
      </c>
      <c r="K399" t="s">
        <v>296</v>
      </c>
      <c r="L399" s="139">
        <v>46173</v>
      </c>
      <c r="M399" t="s">
        <v>347</v>
      </c>
      <c r="N399" t="s">
        <v>313</v>
      </c>
      <c r="O399" t="s">
        <v>294</v>
      </c>
      <c r="P399" t="s">
        <v>348</v>
      </c>
      <c r="Q399" t="s">
        <v>295</v>
      </c>
    </row>
    <row r="400" spans="1:17" s="29" customFormat="1" hidden="1">
      <c r="A400" s="41">
        <v>1.6050566805555555E-2</v>
      </c>
      <c r="B400" t="s">
        <v>116</v>
      </c>
      <c r="C400"/>
      <c r="D400"/>
      <c r="E400" t="s">
        <v>246</v>
      </c>
      <c r="F400"/>
      <c r="G400" t="s">
        <v>226</v>
      </c>
      <c r="H400"/>
      <c r="I400" s="140">
        <v>46237.781782407408</v>
      </c>
      <c r="J400" t="s">
        <v>349</v>
      </c>
      <c r="K400" t="s">
        <v>296</v>
      </c>
      <c r="L400" s="139">
        <v>46173</v>
      </c>
      <c r="M400" t="s">
        <v>347</v>
      </c>
      <c r="N400" t="s">
        <v>313</v>
      </c>
      <c r="O400" t="s">
        <v>294</v>
      </c>
      <c r="P400" t="s">
        <v>348</v>
      </c>
      <c r="Q400" t="s">
        <v>295</v>
      </c>
    </row>
    <row r="401" spans="1:17" s="29" customFormat="1" hidden="1">
      <c r="A401" s="41">
        <v>1.6033627789351853E-2</v>
      </c>
      <c r="B401" t="s">
        <v>116</v>
      </c>
      <c r="C401" t="s">
        <v>214</v>
      </c>
      <c r="D401"/>
      <c r="E401" t="s">
        <v>127</v>
      </c>
      <c r="F401"/>
      <c r="G401" t="s">
        <v>226</v>
      </c>
      <c r="H401"/>
      <c r="I401" s="140">
        <v>46237.781585648147</v>
      </c>
      <c r="J401" t="s">
        <v>349</v>
      </c>
      <c r="K401" t="s">
        <v>296</v>
      </c>
      <c r="L401" s="139">
        <v>46173</v>
      </c>
      <c r="M401" t="s">
        <v>347</v>
      </c>
      <c r="N401" t="s">
        <v>313</v>
      </c>
      <c r="O401" t="s">
        <v>294</v>
      </c>
      <c r="P401" t="s">
        <v>348</v>
      </c>
      <c r="Q401" t="s">
        <v>295</v>
      </c>
    </row>
    <row r="402" spans="1:17" s="29" customFormat="1" hidden="1">
      <c r="A402" s="41">
        <v>1.6004850648148147E-2</v>
      </c>
      <c r="B402" t="s">
        <v>116</v>
      </c>
      <c r="C402"/>
      <c r="D402"/>
      <c r="E402" t="s">
        <v>250</v>
      </c>
      <c r="F402"/>
      <c r="G402" t="s">
        <v>226</v>
      </c>
      <c r="H402"/>
      <c r="I402" s="140">
        <v>46237.781493055554</v>
      </c>
      <c r="J402" t="s">
        <v>349</v>
      </c>
      <c r="K402" t="s">
        <v>296</v>
      </c>
      <c r="L402" s="139">
        <v>46173</v>
      </c>
      <c r="M402" t="s">
        <v>347</v>
      </c>
      <c r="N402" t="s">
        <v>313</v>
      </c>
      <c r="O402" t="s">
        <v>294</v>
      </c>
      <c r="P402" t="s">
        <v>348</v>
      </c>
      <c r="Q402" t="s">
        <v>295</v>
      </c>
    </row>
    <row r="403" spans="1:17" s="29" customFormat="1" hidden="1">
      <c r="A403" s="41">
        <v>1.5917736597222221E-2</v>
      </c>
      <c r="B403" t="s">
        <v>116</v>
      </c>
      <c r="C403"/>
      <c r="D403"/>
      <c r="E403" t="s">
        <v>246</v>
      </c>
      <c r="F403"/>
      <c r="G403" t="s">
        <v>117</v>
      </c>
      <c r="H403"/>
      <c r="I403" s="140">
        <v>46237.781412037039</v>
      </c>
      <c r="J403" t="s">
        <v>349</v>
      </c>
      <c r="K403" t="s">
        <v>296</v>
      </c>
      <c r="L403" s="139">
        <v>46173</v>
      </c>
      <c r="M403" t="s">
        <v>347</v>
      </c>
      <c r="N403" t="s">
        <v>313</v>
      </c>
      <c r="O403" t="s">
        <v>294</v>
      </c>
      <c r="P403" t="s">
        <v>348</v>
      </c>
      <c r="Q403" t="s">
        <v>295</v>
      </c>
    </row>
    <row r="404" spans="1:17" s="29" customFormat="1" hidden="1">
      <c r="A404" s="41">
        <v>1.5755650277777779E-2</v>
      </c>
      <c r="B404" t="s">
        <v>116</v>
      </c>
      <c r="C404" t="s">
        <v>207</v>
      </c>
      <c r="D404"/>
      <c r="E404" t="s">
        <v>130</v>
      </c>
      <c r="F404"/>
      <c r="G404" t="s">
        <v>117</v>
      </c>
      <c r="H404"/>
      <c r="I404" s="140">
        <v>46237.7812037037</v>
      </c>
      <c r="J404" t="s">
        <v>349</v>
      </c>
      <c r="K404" t="s">
        <v>296</v>
      </c>
      <c r="L404" s="139">
        <v>46173</v>
      </c>
      <c r="M404" t="s">
        <v>347</v>
      </c>
      <c r="N404" t="s">
        <v>313</v>
      </c>
      <c r="O404" t="s">
        <v>294</v>
      </c>
      <c r="P404" t="s">
        <v>348</v>
      </c>
      <c r="Q404" t="s">
        <v>295</v>
      </c>
    </row>
    <row r="405" spans="1:17" s="29" customFormat="1" hidden="1">
      <c r="A405" s="41">
        <v>1.5699896261574073E-2</v>
      </c>
      <c r="B405" t="s">
        <v>116</v>
      </c>
      <c r="C405"/>
      <c r="D405"/>
      <c r="E405" t="s">
        <v>123</v>
      </c>
      <c r="F405"/>
      <c r="G405" t="s">
        <v>117</v>
      </c>
      <c r="H405"/>
      <c r="I405" s="140">
        <v>46237.781064814815</v>
      </c>
      <c r="J405" t="s">
        <v>349</v>
      </c>
      <c r="K405" t="s">
        <v>296</v>
      </c>
      <c r="L405" s="139">
        <v>46173</v>
      </c>
      <c r="M405" t="s">
        <v>347</v>
      </c>
      <c r="N405" t="s">
        <v>313</v>
      </c>
      <c r="O405" t="s">
        <v>294</v>
      </c>
      <c r="P405" t="s">
        <v>348</v>
      </c>
      <c r="Q405" t="s">
        <v>295</v>
      </c>
    </row>
    <row r="406" spans="1:17" s="29" customFormat="1" hidden="1">
      <c r="A406" s="41">
        <v>1.5248017442129631E-2</v>
      </c>
      <c r="B406" t="s">
        <v>116</v>
      </c>
      <c r="C406"/>
      <c r="D406"/>
      <c r="E406" t="s">
        <v>88</v>
      </c>
      <c r="F406"/>
      <c r="G406" t="s">
        <v>117</v>
      </c>
      <c r="H406"/>
      <c r="I406" s="140">
        <v>46237.780613425923</v>
      </c>
      <c r="J406" t="s">
        <v>349</v>
      </c>
      <c r="K406" t="s">
        <v>296</v>
      </c>
      <c r="L406" s="139">
        <v>46173</v>
      </c>
      <c r="M406" t="s">
        <v>347</v>
      </c>
      <c r="N406" t="s">
        <v>313</v>
      </c>
      <c r="O406" t="s">
        <v>294</v>
      </c>
      <c r="P406" t="s">
        <v>348</v>
      </c>
      <c r="Q406" t="s">
        <v>295</v>
      </c>
    </row>
    <row r="407" spans="1:17" s="29" customFormat="1" hidden="1">
      <c r="A407" s="41">
        <v>1.5218348020833333E-2</v>
      </c>
      <c r="B407" t="s">
        <v>116</v>
      </c>
      <c r="C407"/>
      <c r="D407"/>
      <c r="E407" t="s">
        <v>275</v>
      </c>
      <c r="F407" t="s">
        <v>83</v>
      </c>
      <c r="G407" t="s">
        <v>117</v>
      </c>
      <c r="H407"/>
      <c r="I407" s="140">
        <v>46237.780601851853</v>
      </c>
      <c r="J407" t="s">
        <v>349</v>
      </c>
      <c r="K407" t="s">
        <v>296</v>
      </c>
      <c r="L407" s="139">
        <v>46173</v>
      </c>
      <c r="M407" t="s">
        <v>347</v>
      </c>
      <c r="N407" t="s">
        <v>313</v>
      </c>
      <c r="O407" t="s">
        <v>294</v>
      </c>
      <c r="P407" t="s">
        <v>348</v>
      </c>
      <c r="Q407" t="s">
        <v>295</v>
      </c>
    </row>
    <row r="408" spans="1:17" s="29" customFormat="1" hidden="1">
      <c r="A408" s="41">
        <v>1.5177885243055555E-2</v>
      </c>
      <c r="B408" t="s">
        <v>116</v>
      </c>
      <c r="C408" t="s">
        <v>210</v>
      </c>
      <c r="D408"/>
      <c r="E408" t="s">
        <v>127</v>
      </c>
      <c r="F408"/>
      <c r="G408" t="s">
        <v>226</v>
      </c>
      <c r="H408"/>
      <c r="I408" s="140">
        <v>46237.780335648145</v>
      </c>
      <c r="J408" t="s">
        <v>349</v>
      </c>
      <c r="K408" t="s">
        <v>296</v>
      </c>
      <c r="L408" s="139">
        <v>46173</v>
      </c>
      <c r="M408" t="s">
        <v>347</v>
      </c>
      <c r="N408" t="s">
        <v>313</v>
      </c>
      <c r="O408" t="s">
        <v>294</v>
      </c>
      <c r="P408" t="s">
        <v>348</v>
      </c>
      <c r="Q408" t="s">
        <v>295</v>
      </c>
    </row>
    <row r="409" spans="1:17" s="29" customFormat="1" hidden="1">
      <c r="A409" s="41">
        <v>1.5120461909722223E-2</v>
      </c>
      <c r="B409" t="s">
        <v>116</v>
      </c>
      <c r="C409" t="s">
        <v>215</v>
      </c>
      <c r="D409"/>
      <c r="E409" t="s">
        <v>127</v>
      </c>
      <c r="F409"/>
      <c r="G409" t="s">
        <v>226</v>
      </c>
      <c r="H409"/>
      <c r="I409" s="140">
        <v>46237.780023148145</v>
      </c>
      <c r="J409" t="s">
        <v>349</v>
      </c>
      <c r="K409" t="s">
        <v>296</v>
      </c>
      <c r="L409" s="139">
        <v>46173</v>
      </c>
      <c r="M409" t="s">
        <v>347</v>
      </c>
      <c r="N409" t="s">
        <v>313</v>
      </c>
      <c r="O409" t="s">
        <v>294</v>
      </c>
      <c r="P409" t="s">
        <v>348</v>
      </c>
      <c r="Q409" t="s">
        <v>295</v>
      </c>
    </row>
    <row r="410" spans="1:17" s="29" customFormat="1" hidden="1">
      <c r="A410" s="41">
        <v>1.5099388888888888E-2</v>
      </c>
      <c r="B410" t="s">
        <v>116</v>
      </c>
      <c r="C410" t="s">
        <v>212</v>
      </c>
      <c r="D410"/>
      <c r="E410" t="s">
        <v>127</v>
      </c>
      <c r="F410"/>
      <c r="G410" t="s">
        <v>226</v>
      </c>
      <c r="H410"/>
      <c r="I410" s="140">
        <v>46237.77925925926</v>
      </c>
      <c r="J410" t="s">
        <v>349</v>
      </c>
      <c r="K410" t="s">
        <v>296</v>
      </c>
      <c r="L410" s="139">
        <v>46173</v>
      </c>
      <c r="M410" t="s">
        <v>347</v>
      </c>
      <c r="N410" t="s">
        <v>313</v>
      </c>
      <c r="O410" t="s">
        <v>294</v>
      </c>
      <c r="P410" t="s">
        <v>348</v>
      </c>
      <c r="Q410" t="s">
        <v>295</v>
      </c>
    </row>
    <row r="411" spans="1:17" s="29" customFormat="1" hidden="1">
      <c r="A411" s="41">
        <v>1.5066100763888889E-2</v>
      </c>
      <c r="B411" t="s">
        <v>116</v>
      </c>
      <c r="C411" t="s">
        <v>207</v>
      </c>
      <c r="D411"/>
      <c r="E411" t="s">
        <v>127</v>
      </c>
      <c r="F411"/>
      <c r="G411" t="s">
        <v>226</v>
      </c>
      <c r="H411"/>
      <c r="I411" s="140">
        <v>46237.778749999998</v>
      </c>
      <c r="J411" t="s">
        <v>349</v>
      </c>
      <c r="K411" t="s">
        <v>296</v>
      </c>
      <c r="L411" s="139">
        <v>46173</v>
      </c>
      <c r="M411" t="s">
        <v>347</v>
      </c>
      <c r="N411" t="s">
        <v>313</v>
      </c>
      <c r="O411" t="s">
        <v>294</v>
      </c>
      <c r="P411" t="s">
        <v>348</v>
      </c>
      <c r="Q411" t="s">
        <v>295</v>
      </c>
    </row>
    <row r="412" spans="1:17" s="29" customFormat="1" hidden="1">
      <c r="A412" s="41">
        <v>1.5031441192129631E-2</v>
      </c>
      <c r="B412" t="s">
        <v>116</v>
      </c>
      <c r="C412" t="s">
        <v>363</v>
      </c>
      <c r="D412"/>
      <c r="E412" t="s">
        <v>393</v>
      </c>
      <c r="F412"/>
      <c r="G412" t="s">
        <v>117</v>
      </c>
      <c r="H412"/>
      <c r="I412" s="140">
        <v>46237.772858796299</v>
      </c>
      <c r="J412" t="s">
        <v>349</v>
      </c>
      <c r="K412" t="s">
        <v>296</v>
      </c>
      <c r="L412" s="139">
        <v>46173</v>
      </c>
      <c r="M412" t="s">
        <v>347</v>
      </c>
      <c r="N412" t="s">
        <v>313</v>
      </c>
      <c r="O412" t="s">
        <v>294</v>
      </c>
      <c r="P412" t="s">
        <v>348</v>
      </c>
      <c r="Q412" t="s">
        <v>295</v>
      </c>
    </row>
    <row r="413" spans="1:17" s="29" customFormat="1" hidden="1">
      <c r="A413" s="41">
        <v>1.5020605150462964E-2</v>
      </c>
      <c r="B413" t="s">
        <v>116</v>
      </c>
      <c r="C413"/>
      <c r="D413"/>
      <c r="E413" t="s">
        <v>127</v>
      </c>
      <c r="F413"/>
      <c r="G413" t="s">
        <v>117</v>
      </c>
      <c r="H413"/>
      <c r="I413" s="140">
        <v>46237.761770833335</v>
      </c>
      <c r="J413" t="s">
        <v>349</v>
      </c>
      <c r="K413" t="s">
        <v>296</v>
      </c>
      <c r="L413" s="139">
        <v>46173</v>
      </c>
      <c r="M413" t="s">
        <v>347</v>
      </c>
      <c r="N413" t="s">
        <v>313</v>
      </c>
      <c r="O413" t="s">
        <v>294</v>
      </c>
      <c r="P413" t="s">
        <v>348</v>
      </c>
      <c r="Q413" t="s">
        <v>295</v>
      </c>
    </row>
    <row r="414" spans="1:17" s="29" customFormat="1" hidden="1">
      <c r="A414" s="41">
        <v>1.499148917824074E-2</v>
      </c>
      <c r="B414" t="s">
        <v>116</v>
      </c>
      <c r="C414" t="s">
        <v>210</v>
      </c>
      <c r="D414"/>
      <c r="E414" t="s">
        <v>129</v>
      </c>
      <c r="F414"/>
      <c r="G414" t="s">
        <v>226</v>
      </c>
      <c r="H414"/>
      <c r="I414" s="140">
        <v>46237.761678240742</v>
      </c>
      <c r="J414" t="s">
        <v>349</v>
      </c>
      <c r="K414" t="s">
        <v>296</v>
      </c>
      <c r="L414" s="139">
        <v>46173</v>
      </c>
      <c r="M414" t="s">
        <v>347</v>
      </c>
      <c r="N414" t="s">
        <v>313</v>
      </c>
      <c r="O414" t="s">
        <v>294</v>
      </c>
      <c r="P414" t="s">
        <v>348</v>
      </c>
      <c r="Q414" t="s">
        <v>295</v>
      </c>
    </row>
    <row r="415" spans="1:17" s="29" customFormat="1" hidden="1">
      <c r="A415" s="41">
        <v>1.4922950879629629E-2</v>
      </c>
      <c r="B415" t="s">
        <v>116</v>
      </c>
      <c r="C415"/>
      <c r="D415"/>
      <c r="E415" t="s">
        <v>123</v>
      </c>
      <c r="F415"/>
      <c r="G415" t="s">
        <v>226</v>
      </c>
      <c r="H415"/>
      <c r="I415" s="140">
        <v>46237.761435185188</v>
      </c>
      <c r="J415" t="s">
        <v>349</v>
      </c>
      <c r="K415" t="s">
        <v>296</v>
      </c>
      <c r="L415" s="139">
        <v>46173</v>
      </c>
      <c r="M415" t="s">
        <v>347</v>
      </c>
      <c r="N415" t="s">
        <v>313</v>
      </c>
      <c r="O415" t="s">
        <v>294</v>
      </c>
      <c r="P415" t="s">
        <v>348</v>
      </c>
      <c r="Q415" t="s">
        <v>295</v>
      </c>
    </row>
    <row r="416" spans="1:17" s="29" customFormat="1" hidden="1">
      <c r="A416" s="41">
        <v>1.4378790578703705E-2</v>
      </c>
      <c r="B416" t="s">
        <v>116</v>
      </c>
      <c r="C416"/>
      <c r="D416"/>
      <c r="E416" t="s">
        <v>88</v>
      </c>
      <c r="F416"/>
      <c r="G416" t="s">
        <v>226</v>
      </c>
      <c r="H416"/>
      <c r="I416" s="140">
        <v>46237.760891203703</v>
      </c>
      <c r="J416" t="s">
        <v>349</v>
      </c>
      <c r="K416" t="s">
        <v>296</v>
      </c>
      <c r="L416" s="139">
        <v>46173</v>
      </c>
      <c r="M416" t="s">
        <v>347</v>
      </c>
      <c r="N416" t="s">
        <v>313</v>
      </c>
      <c r="O416" t="s">
        <v>294</v>
      </c>
      <c r="P416" t="s">
        <v>348</v>
      </c>
      <c r="Q416" t="s">
        <v>295</v>
      </c>
    </row>
    <row r="417" spans="1:17" s="29" customFormat="1">
      <c r="A417" s="41">
        <v>1.4258830104166667E-2</v>
      </c>
      <c r="B417" t="s">
        <v>116</v>
      </c>
      <c r="C417" t="s">
        <v>83</v>
      </c>
      <c r="D417" t="s">
        <v>83</v>
      </c>
      <c r="E417" t="s">
        <v>276</v>
      </c>
      <c r="F417" t="s">
        <v>173</v>
      </c>
      <c r="G417" t="s">
        <v>226</v>
      </c>
      <c r="H417"/>
      <c r="I417" s="140">
        <v>46237.760879629626</v>
      </c>
      <c r="J417" t="s">
        <v>349</v>
      </c>
      <c r="K417" t="s">
        <v>296</v>
      </c>
      <c r="L417" s="139">
        <v>46173</v>
      </c>
      <c r="M417" t="s">
        <v>347</v>
      </c>
      <c r="N417" t="s">
        <v>313</v>
      </c>
      <c r="O417" t="s">
        <v>294</v>
      </c>
      <c r="P417" t="s">
        <v>348</v>
      </c>
      <c r="Q417" t="s">
        <v>295</v>
      </c>
    </row>
    <row r="418" spans="1:17" s="29" customFormat="1" hidden="1">
      <c r="A418" s="41">
        <v>1.4175887766203703E-2</v>
      </c>
      <c r="B418" t="s">
        <v>116</v>
      </c>
      <c r="C418" t="s">
        <v>217</v>
      </c>
      <c r="D418"/>
      <c r="E418" t="s">
        <v>59</v>
      </c>
      <c r="F418"/>
      <c r="G418" t="s">
        <v>226</v>
      </c>
      <c r="H418"/>
      <c r="I418" s="140">
        <v>46237.760659722226</v>
      </c>
      <c r="J418" t="s">
        <v>349</v>
      </c>
      <c r="K418" t="s">
        <v>296</v>
      </c>
      <c r="L418" s="139">
        <v>46173</v>
      </c>
      <c r="M418" t="s">
        <v>347</v>
      </c>
      <c r="N418" t="s">
        <v>313</v>
      </c>
      <c r="O418" t="s">
        <v>294</v>
      </c>
      <c r="P418" t="s">
        <v>348</v>
      </c>
      <c r="Q418" t="s">
        <v>295</v>
      </c>
    </row>
    <row r="419" spans="1:17" s="29" customFormat="1" hidden="1">
      <c r="A419" s="41">
        <v>1.4107161226851852E-2</v>
      </c>
      <c r="B419" t="s">
        <v>116</v>
      </c>
      <c r="C419" t="s">
        <v>206</v>
      </c>
      <c r="D419"/>
      <c r="E419" t="s">
        <v>173</v>
      </c>
      <c r="F419"/>
      <c r="G419" t="s">
        <v>226</v>
      </c>
      <c r="H419"/>
      <c r="I419" s="140">
        <v>46237.760289351849</v>
      </c>
      <c r="J419" t="s">
        <v>349</v>
      </c>
      <c r="K419" t="s">
        <v>296</v>
      </c>
      <c r="L419" s="139">
        <v>46173</v>
      </c>
      <c r="M419" t="s">
        <v>347</v>
      </c>
      <c r="N419" t="s">
        <v>313</v>
      </c>
      <c r="O419" t="s">
        <v>294</v>
      </c>
      <c r="P419" t="s">
        <v>348</v>
      </c>
      <c r="Q419" t="s">
        <v>295</v>
      </c>
    </row>
    <row r="420" spans="1:17" s="29" customFormat="1" hidden="1">
      <c r="A420" s="41">
        <v>1.4020228356481481E-2</v>
      </c>
      <c r="B420" t="s">
        <v>116</v>
      </c>
      <c r="C420" t="s">
        <v>215</v>
      </c>
      <c r="D420"/>
      <c r="E420" t="s">
        <v>127</v>
      </c>
      <c r="F420"/>
      <c r="G420" t="s">
        <v>226</v>
      </c>
      <c r="H420"/>
      <c r="I420" s="140">
        <v>46237.759930555556</v>
      </c>
      <c r="J420" t="s">
        <v>349</v>
      </c>
      <c r="K420" t="s">
        <v>296</v>
      </c>
      <c r="L420" s="139">
        <v>46173</v>
      </c>
      <c r="M420" t="s">
        <v>347</v>
      </c>
      <c r="N420" t="s">
        <v>313</v>
      </c>
      <c r="O420" t="s">
        <v>294</v>
      </c>
      <c r="P420" t="s">
        <v>348</v>
      </c>
      <c r="Q420" t="s">
        <v>295</v>
      </c>
    </row>
    <row r="421" spans="1:17" s="29" customFormat="1" hidden="1">
      <c r="A421" s="41">
        <v>1.3974287291666667E-2</v>
      </c>
      <c r="B421" t="s">
        <v>116</v>
      </c>
      <c r="C421" t="s">
        <v>216</v>
      </c>
      <c r="D421"/>
      <c r="E421" t="s">
        <v>127</v>
      </c>
      <c r="F421"/>
      <c r="G421" t="s">
        <v>226</v>
      </c>
      <c r="H421"/>
      <c r="I421" s="140">
        <v>46237.759710648148</v>
      </c>
      <c r="J421" t="s">
        <v>349</v>
      </c>
      <c r="K421" t="s">
        <v>296</v>
      </c>
      <c r="L421" s="139">
        <v>46173</v>
      </c>
      <c r="M421" t="s">
        <v>347</v>
      </c>
      <c r="N421" t="s">
        <v>313</v>
      </c>
      <c r="O421" t="s">
        <v>294</v>
      </c>
      <c r="P421" t="s">
        <v>348</v>
      </c>
      <c r="Q421" t="s">
        <v>295</v>
      </c>
    </row>
    <row r="422" spans="1:17" s="29" customFormat="1" hidden="1">
      <c r="A422" s="41">
        <v>1.3927909918981482E-2</v>
      </c>
      <c r="B422" t="s">
        <v>116</v>
      </c>
      <c r="C422" t="s">
        <v>213</v>
      </c>
      <c r="D422"/>
      <c r="E422" t="s">
        <v>127</v>
      </c>
      <c r="F422"/>
      <c r="G422" t="s">
        <v>226</v>
      </c>
      <c r="H422"/>
      <c r="I422" s="140">
        <v>46237.759594907409</v>
      </c>
      <c r="J422" t="s">
        <v>349</v>
      </c>
      <c r="K422" t="s">
        <v>296</v>
      </c>
      <c r="L422" s="139">
        <v>46173</v>
      </c>
      <c r="M422" t="s">
        <v>347</v>
      </c>
      <c r="N422" t="s">
        <v>313</v>
      </c>
      <c r="O422" t="s">
        <v>294</v>
      </c>
      <c r="P422" t="s">
        <v>348</v>
      </c>
      <c r="Q422" t="s">
        <v>295</v>
      </c>
    </row>
    <row r="423" spans="1:17" s="29" customFormat="1" hidden="1">
      <c r="A423" s="41">
        <v>1.3676461631944446E-2</v>
      </c>
      <c r="B423" t="s">
        <v>116</v>
      </c>
      <c r="C423"/>
      <c r="D423"/>
      <c r="E423" t="s">
        <v>124</v>
      </c>
      <c r="F423"/>
      <c r="G423" t="s">
        <v>226</v>
      </c>
      <c r="H423"/>
      <c r="I423" s="140">
        <v>46237.759270833332</v>
      </c>
      <c r="J423" t="s">
        <v>349</v>
      </c>
      <c r="K423" t="s">
        <v>296</v>
      </c>
      <c r="L423" s="139">
        <v>46173</v>
      </c>
      <c r="M423" t="s">
        <v>347</v>
      </c>
      <c r="N423" t="s">
        <v>313</v>
      </c>
      <c r="O423" t="s">
        <v>294</v>
      </c>
      <c r="P423" t="s">
        <v>348</v>
      </c>
      <c r="Q423" t="s">
        <v>295</v>
      </c>
    </row>
    <row r="424" spans="1:17" s="29" customFormat="1" hidden="1">
      <c r="A424" s="41">
        <v>1.3452067314814816E-2</v>
      </c>
      <c r="B424" t="s">
        <v>116</v>
      </c>
      <c r="C424"/>
      <c r="D424"/>
      <c r="E424" t="s">
        <v>88</v>
      </c>
      <c r="F424"/>
      <c r="G424" t="s">
        <v>117</v>
      </c>
      <c r="H424"/>
      <c r="I424" s="140">
        <v>46237.759039351855</v>
      </c>
      <c r="J424" t="s">
        <v>349</v>
      </c>
      <c r="K424" t="s">
        <v>296</v>
      </c>
      <c r="L424" s="139">
        <v>46173</v>
      </c>
      <c r="M424" t="s">
        <v>347</v>
      </c>
      <c r="N424" t="s">
        <v>313</v>
      </c>
      <c r="O424" t="s">
        <v>294</v>
      </c>
      <c r="P424" t="s">
        <v>348</v>
      </c>
      <c r="Q424" t="s">
        <v>295</v>
      </c>
    </row>
    <row r="425" spans="1:17" s="29" customFormat="1" hidden="1">
      <c r="A425" s="41">
        <v>1.3325469363425926E-2</v>
      </c>
      <c r="B425" t="s">
        <v>116</v>
      </c>
      <c r="C425"/>
      <c r="D425"/>
      <c r="E425" t="s">
        <v>246</v>
      </c>
      <c r="F425"/>
      <c r="G425" t="s">
        <v>117</v>
      </c>
      <c r="H425"/>
      <c r="I425" s="140">
        <v>46237.758773148147</v>
      </c>
      <c r="J425" t="s">
        <v>349</v>
      </c>
      <c r="K425" t="s">
        <v>296</v>
      </c>
      <c r="L425" s="139">
        <v>46173</v>
      </c>
      <c r="M425" t="s">
        <v>347</v>
      </c>
      <c r="N425" t="s">
        <v>313</v>
      </c>
      <c r="O425" t="s">
        <v>294</v>
      </c>
      <c r="P425" t="s">
        <v>348</v>
      </c>
      <c r="Q425" t="s">
        <v>295</v>
      </c>
    </row>
    <row r="426" spans="1:17" s="29" customFormat="1" hidden="1">
      <c r="A426" s="41">
        <v>1.3238540995370371E-2</v>
      </c>
      <c r="B426" t="s">
        <v>116</v>
      </c>
      <c r="C426"/>
      <c r="D426"/>
      <c r="E426" t="s">
        <v>127</v>
      </c>
      <c r="F426"/>
      <c r="G426" t="s">
        <v>117</v>
      </c>
      <c r="H426"/>
      <c r="I426" s="140">
        <v>46237.758622685185</v>
      </c>
      <c r="J426" t="s">
        <v>349</v>
      </c>
      <c r="K426" t="s">
        <v>296</v>
      </c>
      <c r="L426" s="139">
        <v>46173</v>
      </c>
      <c r="M426" t="s">
        <v>347</v>
      </c>
      <c r="N426" t="s">
        <v>313</v>
      </c>
      <c r="O426" t="s">
        <v>294</v>
      </c>
      <c r="P426" t="s">
        <v>348</v>
      </c>
      <c r="Q426" t="s">
        <v>295</v>
      </c>
    </row>
    <row r="427" spans="1:17" s="29" customFormat="1" hidden="1">
      <c r="A427" s="41">
        <v>1.3151683287037039E-2</v>
      </c>
      <c r="B427" t="s">
        <v>116</v>
      </c>
      <c r="C427"/>
      <c r="D427"/>
      <c r="E427" t="s">
        <v>127</v>
      </c>
      <c r="F427"/>
      <c r="G427" t="s">
        <v>117</v>
      </c>
      <c r="H427"/>
      <c r="I427" s="140">
        <v>46237.758460648147</v>
      </c>
      <c r="J427" t="s">
        <v>349</v>
      </c>
      <c r="K427" t="s">
        <v>296</v>
      </c>
      <c r="L427" s="139">
        <v>46173</v>
      </c>
      <c r="M427" t="s">
        <v>347</v>
      </c>
      <c r="N427" t="s">
        <v>313</v>
      </c>
      <c r="O427" t="s">
        <v>294</v>
      </c>
      <c r="P427" t="s">
        <v>348</v>
      </c>
      <c r="Q427" t="s">
        <v>295</v>
      </c>
    </row>
    <row r="428" spans="1:17" s="29" customFormat="1" hidden="1">
      <c r="A428" s="41">
        <v>1.3094874085648148E-2</v>
      </c>
      <c r="B428" t="s">
        <v>116</v>
      </c>
      <c r="C428"/>
      <c r="D428"/>
      <c r="E428" t="s">
        <v>245</v>
      </c>
      <c r="F428"/>
      <c r="G428" t="s">
        <v>226</v>
      </c>
      <c r="H428"/>
      <c r="I428" s="140">
        <v>46237.758321759262</v>
      </c>
      <c r="J428" t="s">
        <v>349</v>
      </c>
      <c r="K428" t="s">
        <v>296</v>
      </c>
      <c r="L428" s="139">
        <v>46173</v>
      </c>
      <c r="M428" t="s">
        <v>347</v>
      </c>
      <c r="N428" t="s">
        <v>313</v>
      </c>
      <c r="O428" t="s">
        <v>294</v>
      </c>
      <c r="P428" t="s">
        <v>348</v>
      </c>
      <c r="Q428" t="s">
        <v>295</v>
      </c>
    </row>
    <row r="429" spans="1:17" s="29" customFormat="1" hidden="1">
      <c r="A429" s="41">
        <v>1.3031137592592593E-2</v>
      </c>
      <c r="B429" t="s">
        <v>116</v>
      </c>
      <c r="C429" t="s">
        <v>363</v>
      </c>
      <c r="D429"/>
      <c r="E429" t="s">
        <v>127</v>
      </c>
      <c r="F429"/>
      <c r="G429" t="s">
        <v>226</v>
      </c>
      <c r="H429"/>
      <c r="I429" s="140">
        <v>46237.758067129631</v>
      </c>
      <c r="J429" t="s">
        <v>349</v>
      </c>
      <c r="K429" t="s">
        <v>296</v>
      </c>
      <c r="L429" s="139">
        <v>46173</v>
      </c>
      <c r="M429" t="s">
        <v>347</v>
      </c>
      <c r="N429" t="s">
        <v>313</v>
      </c>
      <c r="O429" t="s">
        <v>294</v>
      </c>
      <c r="P429" t="s">
        <v>348</v>
      </c>
      <c r="Q429" t="s">
        <v>295</v>
      </c>
    </row>
    <row r="430" spans="1:17" s="29" customFormat="1" hidden="1">
      <c r="A430" s="41">
        <v>1.3019574976851852E-2</v>
      </c>
      <c r="B430" t="s">
        <v>116</v>
      </c>
      <c r="C430" t="s">
        <v>205</v>
      </c>
      <c r="D430"/>
      <c r="E430" t="s">
        <v>127</v>
      </c>
      <c r="F430"/>
      <c r="G430" t="s">
        <v>226</v>
      </c>
      <c r="H430"/>
      <c r="I430" s="140">
        <v>46237.758009259262</v>
      </c>
      <c r="J430" t="s">
        <v>349</v>
      </c>
      <c r="K430" t="s">
        <v>296</v>
      </c>
      <c r="L430" s="139">
        <v>46173</v>
      </c>
      <c r="M430" t="s">
        <v>347</v>
      </c>
      <c r="N430" t="s">
        <v>313</v>
      </c>
      <c r="O430" t="s">
        <v>294</v>
      </c>
      <c r="P430" t="s">
        <v>348</v>
      </c>
      <c r="Q430" t="s">
        <v>295</v>
      </c>
    </row>
    <row r="431" spans="1:17" s="29" customFormat="1" hidden="1">
      <c r="A431" s="41">
        <v>1.2932969108796297E-2</v>
      </c>
      <c r="B431" t="s">
        <v>116</v>
      </c>
      <c r="C431" t="s">
        <v>367</v>
      </c>
      <c r="D431"/>
      <c r="E431" t="s">
        <v>127</v>
      </c>
      <c r="F431"/>
      <c r="G431" t="s">
        <v>226</v>
      </c>
      <c r="H431"/>
      <c r="I431" s="140">
        <v>46237.757685185185</v>
      </c>
      <c r="J431" t="s">
        <v>349</v>
      </c>
      <c r="K431" t="s">
        <v>296</v>
      </c>
      <c r="L431" s="139">
        <v>46173</v>
      </c>
      <c r="M431" t="s">
        <v>347</v>
      </c>
      <c r="N431" t="s">
        <v>313</v>
      </c>
      <c r="O431" t="s">
        <v>294</v>
      </c>
      <c r="P431" t="s">
        <v>348</v>
      </c>
      <c r="Q431" t="s">
        <v>295</v>
      </c>
    </row>
    <row r="432" spans="1:17" s="29" customFormat="1" hidden="1">
      <c r="A432" s="41">
        <v>1.2840621145833335E-2</v>
      </c>
      <c r="B432" t="s">
        <v>116</v>
      </c>
      <c r="C432"/>
      <c r="D432"/>
      <c r="E432" t="s">
        <v>250</v>
      </c>
      <c r="F432"/>
      <c r="G432" t="s">
        <v>226</v>
      </c>
      <c r="H432"/>
      <c r="I432" s="140">
        <v>46237.757395833331</v>
      </c>
      <c r="J432" t="s">
        <v>349</v>
      </c>
      <c r="K432" t="s">
        <v>296</v>
      </c>
      <c r="L432" s="139">
        <v>46173</v>
      </c>
      <c r="M432" t="s">
        <v>347</v>
      </c>
      <c r="N432" t="s">
        <v>313</v>
      </c>
      <c r="O432" t="s">
        <v>294</v>
      </c>
      <c r="P432" t="s">
        <v>348</v>
      </c>
      <c r="Q432" t="s">
        <v>295</v>
      </c>
    </row>
    <row r="433" spans="1:17" s="29" customFormat="1" hidden="1">
      <c r="A433" s="41">
        <v>1.2643430972222224E-2</v>
      </c>
      <c r="B433" t="s">
        <v>116</v>
      </c>
      <c r="C433"/>
      <c r="D433"/>
      <c r="E433" t="s">
        <v>119</v>
      </c>
      <c r="F433"/>
      <c r="G433" t="s">
        <v>117</v>
      </c>
      <c r="H433"/>
      <c r="I433" s="140">
        <v>46237.757071759261</v>
      </c>
      <c r="J433" t="s">
        <v>349</v>
      </c>
      <c r="K433" t="s">
        <v>296</v>
      </c>
      <c r="L433" s="139">
        <v>46173</v>
      </c>
      <c r="M433" t="s">
        <v>347</v>
      </c>
      <c r="N433" t="s">
        <v>313</v>
      </c>
      <c r="O433" t="s">
        <v>294</v>
      </c>
      <c r="P433" t="s">
        <v>348</v>
      </c>
      <c r="Q433" t="s">
        <v>295</v>
      </c>
    </row>
    <row r="434" spans="1:17" s="29" customFormat="1" hidden="1">
      <c r="A434" s="41">
        <v>1.2384992847222222E-2</v>
      </c>
      <c r="B434" t="s">
        <v>116</v>
      </c>
      <c r="C434"/>
      <c r="D434"/>
      <c r="E434" t="s">
        <v>134</v>
      </c>
      <c r="F434"/>
      <c r="G434" t="s">
        <v>226</v>
      </c>
      <c r="H434"/>
      <c r="I434" s="140">
        <v>46237.756932870368</v>
      </c>
      <c r="J434" t="s">
        <v>349</v>
      </c>
      <c r="K434" t="s">
        <v>296</v>
      </c>
      <c r="L434" s="139">
        <v>46173</v>
      </c>
      <c r="M434" t="s">
        <v>347</v>
      </c>
      <c r="N434" t="s">
        <v>313</v>
      </c>
      <c r="O434" t="s">
        <v>294</v>
      </c>
      <c r="P434" t="s">
        <v>348</v>
      </c>
      <c r="Q434" t="s">
        <v>295</v>
      </c>
    </row>
    <row r="435" spans="1:17" s="29" customFormat="1" hidden="1">
      <c r="A435" s="41">
        <v>1.1626655208333333E-2</v>
      </c>
      <c r="B435" t="s">
        <v>116</v>
      </c>
      <c r="C435"/>
      <c r="D435"/>
      <c r="E435" t="s">
        <v>122</v>
      </c>
      <c r="F435"/>
      <c r="G435" t="s">
        <v>226</v>
      </c>
      <c r="H435"/>
      <c r="I435" s="140">
        <v>46237.756423611114</v>
      </c>
      <c r="J435" t="s">
        <v>349</v>
      </c>
      <c r="K435" t="s">
        <v>296</v>
      </c>
      <c r="L435" s="139">
        <v>46173</v>
      </c>
      <c r="M435" t="s">
        <v>347</v>
      </c>
      <c r="N435" t="s">
        <v>313</v>
      </c>
      <c r="O435" t="s">
        <v>294</v>
      </c>
      <c r="P435" t="s">
        <v>348</v>
      </c>
      <c r="Q435" t="s">
        <v>295</v>
      </c>
    </row>
    <row r="436" spans="1:17" s="29" customFormat="1" hidden="1">
      <c r="A436" s="41">
        <v>1.1581607893518519E-2</v>
      </c>
      <c r="B436" t="s">
        <v>116</v>
      </c>
      <c r="C436" t="s">
        <v>363</v>
      </c>
      <c r="D436"/>
      <c r="E436" t="s">
        <v>127</v>
      </c>
      <c r="F436"/>
      <c r="G436" t="s">
        <v>226</v>
      </c>
      <c r="H436"/>
      <c r="I436" s="140">
        <v>46237.756319444445</v>
      </c>
      <c r="J436" t="s">
        <v>349</v>
      </c>
      <c r="K436" t="s">
        <v>296</v>
      </c>
      <c r="L436" s="139">
        <v>46173</v>
      </c>
      <c r="M436" t="s">
        <v>347</v>
      </c>
      <c r="N436" t="s">
        <v>313</v>
      </c>
      <c r="O436" t="s">
        <v>294</v>
      </c>
      <c r="P436" t="s">
        <v>348</v>
      </c>
      <c r="Q436" t="s">
        <v>295</v>
      </c>
    </row>
    <row r="437" spans="1:17" s="29" customFormat="1" hidden="1">
      <c r="A437" s="41">
        <v>1.1508946886574074E-2</v>
      </c>
      <c r="B437" t="s">
        <v>116</v>
      </c>
      <c r="C437" t="s">
        <v>213</v>
      </c>
      <c r="D437"/>
      <c r="E437" t="s">
        <v>127</v>
      </c>
      <c r="F437"/>
      <c r="G437" t="s">
        <v>226</v>
      </c>
      <c r="H437"/>
      <c r="I437" s="140">
        <v>46237.755914351852</v>
      </c>
      <c r="J437" t="s">
        <v>349</v>
      </c>
      <c r="K437" t="s">
        <v>296</v>
      </c>
      <c r="L437" s="139">
        <v>46173</v>
      </c>
      <c r="M437" t="s">
        <v>347</v>
      </c>
      <c r="N437" t="s">
        <v>313</v>
      </c>
      <c r="O437" t="s">
        <v>294</v>
      </c>
      <c r="P437" t="s">
        <v>348</v>
      </c>
      <c r="Q437" t="s">
        <v>295</v>
      </c>
    </row>
    <row r="438" spans="1:17" s="29" customFormat="1" hidden="1">
      <c r="A438" s="41">
        <v>1.1440524965277778E-2</v>
      </c>
      <c r="B438" t="s">
        <v>116</v>
      </c>
      <c r="C438" t="s">
        <v>205</v>
      </c>
      <c r="D438"/>
      <c r="E438" t="s">
        <v>127</v>
      </c>
      <c r="F438"/>
      <c r="G438" t="s">
        <v>226</v>
      </c>
      <c r="H438"/>
      <c r="I438" s="140">
        <v>46237.75540509259</v>
      </c>
      <c r="J438" t="s">
        <v>349</v>
      </c>
      <c r="K438" t="s">
        <v>296</v>
      </c>
      <c r="L438" s="139">
        <v>46173</v>
      </c>
      <c r="M438" t="s">
        <v>347</v>
      </c>
      <c r="N438" t="s">
        <v>313</v>
      </c>
      <c r="O438" t="s">
        <v>294</v>
      </c>
      <c r="P438" t="s">
        <v>348</v>
      </c>
      <c r="Q438" t="s">
        <v>295</v>
      </c>
    </row>
    <row r="439" spans="1:17" s="29" customFormat="1" hidden="1">
      <c r="A439" s="41">
        <v>1.1396453645833334E-2</v>
      </c>
      <c r="B439" t="s">
        <v>116</v>
      </c>
      <c r="C439" t="s">
        <v>212</v>
      </c>
      <c r="D439"/>
      <c r="E439" t="s">
        <v>127</v>
      </c>
      <c r="F439"/>
      <c r="G439" t="s">
        <v>226</v>
      </c>
      <c r="H439"/>
      <c r="I439" s="140">
        <v>46237.755046296297</v>
      </c>
      <c r="J439" t="s">
        <v>349</v>
      </c>
      <c r="K439" t="s">
        <v>296</v>
      </c>
      <c r="L439" s="139">
        <v>46173</v>
      </c>
      <c r="M439" t="s">
        <v>347</v>
      </c>
      <c r="N439" t="s">
        <v>313</v>
      </c>
      <c r="O439" t="s">
        <v>294</v>
      </c>
      <c r="P439" t="s">
        <v>348</v>
      </c>
      <c r="Q439" t="s">
        <v>295</v>
      </c>
    </row>
    <row r="440" spans="1:17" s="29" customFormat="1" hidden="1">
      <c r="A440" s="41">
        <v>1.1323477708333333E-2</v>
      </c>
      <c r="B440" t="s">
        <v>116</v>
      </c>
      <c r="C440" t="s">
        <v>367</v>
      </c>
      <c r="D440"/>
      <c r="E440" t="s">
        <v>127</v>
      </c>
      <c r="F440"/>
      <c r="G440" t="s">
        <v>226</v>
      </c>
      <c r="H440"/>
      <c r="I440" s="140">
        <v>46237.754699074074</v>
      </c>
      <c r="J440" t="s">
        <v>349</v>
      </c>
      <c r="K440" t="s">
        <v>296</v>
      </c>
      <c r="L440" s="139">
        <v>46173</v>
      </c>
      <c r="M440" t="s">
        <v>347</v>
      </c>
      <c r="N440" t="s">
        <v>313</v>
      </c>
      <c r="O440" t="s">
        <v>294</v>
      </c>
      <c r="P440" t="s">
        <v>348</v>
      </c>
      <c r="Q440" t="s">
        <v>295</v>
      </c>
    </row>
    <row r="441" spans="1:17" s="29" customFormat="1" hidden="1">
      <c r="A441" s="41">
        <v>1.1312566666666666E-2</v>
      </c>
      <c r="B441" t="s">
        <v>116</v>
      </c>
      <c r="C441" t="s">
        <v>210</v>
      </c>
      <c r="D441"/>
      <c r="E441" t="s">
        <v>59</v>
      </c>
      <c r="F441"/>
      <c r="G441" t="s">
        <v>226</v>
      </c>
      <c r="H441"/>
      <c r="I441" s="140">
        <v>46237.754027777781</v>
      </c>
      <c r="J441" t="s">
        <v>349</v>
      </c>
      <c r="K441" t="s">
        <v>296</v>
      </c>
      <c r="L441" s="139">
        <v>46173</v>
      </c>
      <c r="M441" t="s">
        <v>347</v>
      </c>
      <c r="N441" t="s">
        <v>313</v>
      </c>
      <c r="O441" t="s">
        <v>294</v>
      </c>
      <c r="P441" t="s">
        <v>348</v>
      </c>
      <c r="Q441" t="s">
        <v>295</v>
      </c>
    </row>
    <row r="442" spans="1:17" s="29" customFormat="1" hidden="1">
      <c r="A442" s="41">
        <v>1.1217348599537037E-2</v>
      </c>
      <c r="B442" t="s">
        <v>116</v>
      </c>
      <c r="C442" t="s">
        <v>83</v>
      </c>
      <c r="D442"/>
      <c r="E442" t="s">
        <v>58</v>
      </c>
      <c r="F442"/>
      <c r="G442" t="s">
        <v>226</v>
      </c>
      <c r="H442"/>
      <c r="I442" s="140">
        <v>46237.753078703703</v>
      </c>
      <c r="J442" t="s">
        <v>349</v>
      </c>
      <c r="K442" t="s">
        <v>296</v>
      </c>
      <c r="L442" s="139">
        <v>46173</v>
      </c>
      <c r="M442" t="s">
        <v>347</v>
      </c>
      <c r="N442" t="s">
        <v>313</v>
      </c>
      <c r="O442" t="s">
        <v>294</v>
      </c>
      <c r="P442" t="s">
        <v>348</v>
      </c>
      <c r="Q442" t="s">
        <v>295</v>
      </c>
    </row>
    <row r="443" spans="1:17" s="29" customFormat="1" hidden="1">
      <c r="A443" s="41">
        <v>1.1169977129629629E-2</v>
      </c>
      <c r="B443" t="s">
        <v>116</v>
      </c>
      <c r="C443" t="s">
        <v>210</v>
      </c>
      <c r="D443"/>
      <c r="E443" t="s">
        <v>127</v>
      </c>
      <c r="F443"/>
      <c r="G443" t="s">
        <v>226</v>
      </c>
      <c r="H443"/>
      <c r="I443" s="140">
        <v>46237.752581018518</v>
      </c>
      <c r="J443" t="s">
        <v>349</v>
      </c>
      <c r="K443" t="s">
        <v>296</v>
      </c>
      <c r="L443" s="139">
        <v>46173</v>
      </c>
      <c r="M443" t="s">
        <v>347</v>
      </c>
      <c r="N443" t="s">
        <v>313</v>
      </c>
      <c r="O443" t="s">
        <v>294</v>
      </c>
      <c r="P443" t="s">
        <v>348</v>
      </c>
      <c r="Q443" t="s">
        <v>295</v>
      </c>
    </row>
    <row r="444" spans="1:17" s="29" customFormat="1" hidden="1">
      <c r="A444" s="41">
        <v>1.1121843576388889E-2</v>
      </c>
      <c r="B444" t="s">
        <v>116</v>
      </c>
      <c r="C444" t="s">
        <v>363</v>
      </c>
      <c r="D444"/>
      <c r="E444" t="s">
        <v>127</v>
      </c>
      <c r="F444"/>
      <c r="G444" t="s">
        <v>226</v>
      </c>
      <c r="H444"/>
      <c r="I444" s="140">
        <v>46237.752222222225</v>
      </c>
      <c r="J444" t="s">
        <v>349</v>
      </c>
      <c r="K444" t="s">
        <v>296</v>
      </c>
      <c r="L444" s="139">
        <v>46173</v>
      </c>
      <c r="M444" t="s">
        <v>347</v>
      </c>
      <c r="N444" t="s">
        <v>313</v>
      </c>
      <c r="O444" t="s">
        <v>294</v>
      </c>
      <c r="P444" t="s">
        <v>348</v>
      </c>
      <c r="Q444" t="s">
        <v>295</v>
      </c>
    </row>
    <row r="445" spans="1:17" s="29" customFormat="1" hidden="1">
      <c r="A445" s="41">
        <v>1.1040820405092593E-2</v>
      </c>
      <c r="B445" t="s">
        <v>116</v>
      </c>
      <c r="C445" t="s">
        <v>83</v>
      </c>
      <c r="D445"/>
      <c r="E445" t="s">
        <v>127</v>
      </c>
      <c r="F445"/>
      <c r="G445" t="s">
        <v>226</v>
      </c>
      <c r="H445"/>
      <c r="I445" s="140">
        <v>46237.75209490741</v>
      </c>
      <c r="J445" t="s">
        <v>349</v>
      </c>
      <c r="K445" t="s">
        <v>296</v>
      </c>
      <c r="L445" s="139">
        <v>46173</v>
      </c>
      <c r="M445" t="s">
        <v>347</v>
      </c>
      <c r="N445" t="s">
        <v>313</v>
      </c>
      <c r="O445" t="s">
        <v>294</v>
      </c>
      <c r="P445" t="s">
        <v>348</v>
      </c>
      <c r="Q445" t="s">
        <v>295</v>
      </c>
    </row>
    <row r="446" spans="1:17" s="29" customFormat="1" hidden="1">
      <c r="A446" s="41">
        <v>1.0994398321759259E-2</v>
      </c>
      <c r="B446" t="s">
        <v>116</v>
      </c>
      <c r="C446" t="s">
        <v>83</v>
      </c>
      <c r="D446"/>
      <c r="E446" t="s">
        <v>127</v>
      </c>
      <c r="F446"/>
      <c r="G446" t="s">
        <v>226</v>
      </c>
      <c r="H446"/>
      <c r="I446" s="140">
        <v>46237.75199074074</v>
      </c>
      <c r="J446" t="s">
        <v>349</v>
      </c>
      <c r="K446" t="s">
        <v>296</v>
      </c>
      <c r="L446" s="139">
        <v>46173</v>
      </c>
      <c r="M446" t="s">
        <v>347</v>
      </c>
      <c r="N446" t="s">
        <v>313</v>
      </c>
      <c r="O446" t="s">
        <v>294</v>
      </c>
      <c r="P446" t="s">
        <v>348</v>
      </c>
      <c r="Q446" t="s">
        <v>295</v>
      </c>
    </row>
    <row r="447" spans="1:17" s="29" customFormat="1" hidden="1">
      <c r="A447" s="41">
        <v>1.0913856585648149E-2</v>
      </c>
      <c r="B447" t="s">
        <v>116</v>
      </c>
      <c r="C447" t="s">
        <v>217</v>
      </c>
      <c r="D447"/>
      <c r="E447" t="s">
        <v>127</v>
      </c>
      <c r="F447"/>
      <c r="G447" t="s">
        <v>226</v>
      </c>
      <c r="H447"/>
      <c r="I447" s="140">
        <v>46237.751655092594</v>
      </c>
      <c r="J447" t="s">
        <v>349</v>
      </c>
      <c r="K447" t="s">
        <v>296</v>
      </c>
      <c r="L447" s="139">
        <v>46173</v>
      </c>
      <c r="M447" t="s">
        <v>347</v>
      </c>
      <c r="N447" t="s">
        <v>313</v>
      </c>
      <c r="O447" t="s">
        <v>294</v>
      </c>
      <c r="P447" t="s">
        <v>348</v>
      </c>
      <c r="Q447" t="s">
        <v>295</v>
      </c>
    </row>
    <row r="448" spans="1:17" s="29" customFormat="1" hidden="1">
      <c r="A448" s="41">
        <v>1.0899224409722222E-2</v>
      </c>
      <c r="B448" t="s">
        <v>116</v>
      </c>
      <c r="C448" t="s">
        <v>363</v>
      </c>
      <c r="D448"/>
      <c r="E448" t="s">
        <v>127</v>
      </c>
      <c r="F448"/>
      <c r="G448" t="s">
        <v>226</v>
      </c>
      <c r="H448"/>
      <c r="I448" s="140">
        <v>46237.751307870371</v>
      </c>
      <c r="J448" t="s">
        <v>349</v>
      </c>
      <c r="K448" t="s">
        <v>296</v>
      </c>
      <c r="L448" s="139">
        <v>46173</v>
      </c>
      <c r="M448" t="s">
        <v>347</v>
      </c>
      <c r="N448" t="s">
        <v>313</v>
      </c>
      <c r="O448" t="s">
        <v>294</v>
      </c>
      <c r="P448" t="s">
        <v>348</v>
      </c>
      <c r="Q448" t="s">
        <v>295</v>
      </c>
    </row>
    <row r="449" spans="1:17" s="29" customFormat="1" hidden="1">
      <c r="A449" s="41">
        <v>1.0881828819444444E-2</v>
      </c>
      <c r="B449" t="s">
        <v>116</v>
      </c>
      <c r="C449" t="s">
        <v>212</v>
      </c>
      <c r="D449"/>
      <c r="E449" t="s">
        <v>127</v>
      </c>
      <c r="F449"/>
      <c r="G449" t="s">
        <v>226</v>
      </c>
      <c r="H449"/>
      <c r="I449" s="140">
        <v>46237.751203703701</v>
      </c>
      <c r="J449" t="s">
        <v>349</v>
      </c>
      <c r="K449" t="s">
        <v>296</v>
      </c>
      <c r="L449" s="139">
        <v>46173</v>
      </c>
      <c r="M449" t="s">
        <v>347</v>
      </c>
      <c r="N449" t="s">
        <v>313</v>
      </c>
      <c r="O449" t="s">
        <v>294</v>
      </c>
      <c r="P449" t="s">
        <v>348</v>
      </c>
      <c r="Q449" t="s">
        <v>295</v>
      </c>
    </row>
    <row r="450" spans="1:17" s="29" customFormat="1" hidden="1">
      <c r="A450" s="41">
        <v>1.0816072361111111E-2</v>
      </c>
      <c r="B450" t="s">
        <v>116</v>
      </c>
      <c r="C450" t="s">
        <v>206</v>
      </c>
      <c r="D450"/>
      <c r="E450" t="s">
        <v>127</v>
      </c>
      <c r="F450"/>
      <c r="G450" t="s">
        <v>226</v>
      </c>
      <c r="H450"/>
      <c r="I450" s="140">
        <v>46237.750810185185</v>
      </c>
      <c r="J450" t="s">
        <v>349</v>
      </c>
      <c r="K450" t="s">
        <v>296</v>
      </c>
      <c r="L450" s="139">
        <v>46173</v>
      </c>
      <c r="M450" t="s">
        <v>347</v>
      </c>
      <c r="N450" t="s">
        <v>313</v>
      </c>
      <c r="O450" t="s">
        <v>294</v>
      </c>
      <c r="P450" t="s">
        <v>348</v>
      </c>
      <c r="Q450" t="s">
        <v>295</v>
      </c>
    </row>
    <row r="451" spans="1:17" s="29" customFormat="1" hidden="1">
      <c r="A451" s="41">
        <v>1.0790689212962964E-2</v>
      </c>
      <c r="B451" t="s">
        <v>116</v>
      </c>
      <c r="C451" t="s">
        <v>363</v>
      </c>
      <c r="D451"/>
      <c r="E451" t="s">
        <v>59</v>
      </c>
      <c r="F451"/>
      <c r="G451" t="s">
        <v>226</v>
      </c>
      <c r="H451"/>
      <c r="I451" s="140">
        <v>46237.750104166669</v>
      </c>
      <c r="J451" t="s">
        <v>349</v>
      </c>
      <c r="K451" t="s">
        <v>296</v>
      </c>
      <c r="L451" s="139">
        <v>46173</v>
      </c>
      <c r="M451" t="s">
        <v>347</v>
      </c>
      <c r="N451" t="s">
        <v>313</v>
      </c>
      <c r="O451" t="s">
        <v>294</v>
      </c>
      <c r="P451" t="s">
        <v>348</v>
      </c>
      <c r="Q451" t="s">
        <v>295</v>
      </c>
    </row>
    <row r="452" spans="1:17" s="29" customFormat="1" hidden="1">
      <c r="A452" s="41">
        <v>1.0755964375E-2</v>
      </c>
      <c r="B452" t="s">
        <v>116</v>
      </c>
      <c r="C452" t="s">
        <v>368</v>
      </c>
      <c r="D452"/>
      <c r="E452" t="s">
        <v>127</v>
      </c>
      <c r="F452"/>
      <c r="G452" t="s">
        <v>226</v>
      </c>
      <c r="H452"/>
      <c r="I452" s="140">
        <v>46237.749965277777</v>
      </c>
      <c r="J452" t="s">
        <v>349</v>
      </c>
      <c r="K452" t="s">
        <v>296</v>
      </c>
      <c r="L452" s="139">
        <v>46173</v>
      </c>
      <c r="M452" t="s">
        <v>347</v>
      </c>
      <c r="N452" t="s">
        <v>313</v>
      </c>
      <c r="O452" t="s">
        <v>294</v>
      </c>
      <c r="P452" t="s">
        <v>348</v>
      </c>
      <c r="Q452" t="s">
        <v>295</v>
      </c>
    </row>
    <row r="453" spans="1:17" s="29" customFormat="1" hidden="1">
      <c r="A453" s="41">
        <v>1.0663408773148149E-2</v>
      </c>
      <c r="B453" t="s">
        <v>116</v>
      </c>
      <c r="C453" t="s">
        <v>206</v>
      </c>
      <c r="D453"/>
      <c r="E453" t="s">
        <v>127</v>
      </c>
      <c r="F453"/>
      <c r="G453" t="s">
        <v>226</v>
      </c>
      <c r="H453"/>
      <c r="I453" s="140">
        <v>46237.749710648146</v>
      </c>
      <c r="J453" t="s">
        <v>349</v>
      </c>
      <c r="K453" t="s">
        <v>296</v>
      </c>
      <c r="L453" s="139">
        <v>46173</v>
      </c>
      <c r="M453" t="s">
        <v>347</v>
      </c>
      <c r="N453" t="s">
        <v>313</v>
      </c>
      <c r="O453" t="s">
        <v>294</v>
      </c>
      <c r="P453" t="s">
        <v>348</v>
      </c>
      <c r="Q453" t="s">
        <v>295</v>
      </c>
    </row>
    <row r="454" spans="1:17" s="29" customFormat="1" hidden="1">
      <c r="A454" s="41">
        <v>1.0639385509259259E-2</v>
      </c>
      <c r="B454" t="s">
        <v>116</v>
      </c>
      <c r="C454" t="s">
        <v>210</v>
      </c>
      <c r="D454"/>
      <c r="E454" t="s">
        <v>128</v>
      </c>
      <c r="F454"/>
      <c r="G454" t="s">
        <v>117</v>
      </c>
      <c r="H454"/>
      <c r="I454" s="140">
        <v>46237.744421296295</v>
      </c>
      <c r="J454" t="s">
        <v>349</v>
      </c>
      <c r="K454" t="s">
        <v>296</v>
      </c>
      <c r="L454" s="139">
        <v>46173</v>
      </c>
      <c r="M454" t="s">
        <v>347</v>
      </c>
      <c r="N454" t="s">
        <v>313</v>
      </c>
      <c r="O454" t="s">
        <v>294</v>
      </c>
      <c r="P454" t="s">
        <v>348</v>
      </c>
      <c r="Q454" t="s">
        <v>295</v>
      </c>
    </row>
    <row r="455" spans="1:17" s="29" customFormat="1" hidden="1">
      <c r="A455" s="41">
        <v>1.0273113344907407E-2</v>
      </c>
      <c r="B455" t="s">
        <v>116</v>
      </c>
      <c r="C455"/>
      <c r="D455"/>
      <c r="E455" t="s">
        <v>123</v>
      </c>
      <c r="F455"/>
      <c r="G455" t="s">
        <v>117</v>
      </c>
      <c r="H455"/>
      <c r="I455" s="140">
        <v>46237.741574074076</v>
      </c>
      <c r="J455" t="s">
        <v>349</v>
      </c>
      <c r="K455" t="s">
        <v>296</v>
      </c>
      <c r="L455" s="139">
        <v>46173</v>
      </c>
      <c r="M455" t="s">
        <v>347</v>
      </c>
      <c r="N455" t="s">
        <v>313</v>
      </c>
      <c r="O455" t="s">
        <v>294</v>
      </c>
      <c r="P455" t="s">
        <v>348</v>
      </c>
      <c r="Q455" t="s">
        <v>295</v>
      </c>
    </row>
    <row r="456" spans="1:17" s="29" customFormat="1" hidden="1">
      <c r="A456" s="41">
        <v>1.0037406631944445E-2</v>
      </c>
      <c r="B456" t="s">
        <v>116</v>
      </c>
      <c r="C456"/>
      <c r="D456"/>
      <c r="E456" t="s">
        <v>275</v>
      </c>
      <c r="F456" t="s">
        <v>269</v>
      </c>
      <c r="G456" t="s">
        <v>117</v>
      </c>
      <c r="H456"/>
      <c r="I456" s="140">
        <v>46237.741435185184</v>
      </c>
      <c r="J456" t="s">
        <v>349</v>
      </c>
      <c r="K456" t="s">
        <v>296</v>
      </c>
      <c r="L456" s="139">
        <v>46173</v>
      </c>
      <c r="M456" t="s">
        <v>347</v>
      </c>
      <c r="N456" t="s">
        <v>313</v>
      </c>
      <c r="O456" t="s">
        <v>294</v>
      </c>
      <c r="P456" t="s">
        <v>348</v>
      </c>
      <c r="Q456" t="s">
        <v>295</v>
      </c>
    </row>
    <row r="457" spans="1:17" s="29" customFormat="1" hidden="1">
      <c r="A457" s="41">
        <v>1.000258082175926E-2</v>
      </c>
      <c r="B457" t="s">
        <v>116</v>
      </c>
      <c r="C457"/>
      <c r="D457"/>
      <c r="E457" t="s">
        <v>127</v>
      </c>
      <c r="F457"/>
      <c r="G457" t="s">
        <v>117</v>
      </c>
      <c r="H457"/>
      <c r="I457" s="140">
        <v>46237.740972222222</v>
      </c>
      <c r="J457" t="s">
        <v>349</v>
      </c>
      <c r="K457" t="s">
        <v>296</v>
      </c>
      <c r="L457" s="139">
        <v>46173</v>
      </c>
      <c r="M457" t="s">
        <v>347</v>
      </c>
      <c r="N457" t="s">
        <v>313</v>
      </c>
      <c r="O457" t="s">
        <v>294</v>
      </c>
      <c r="P457" t="s">
        <v>348</v>
      </c>
      <c r="Q457" t="s">
        <v>295</v>
      </c>
    </row>
    <row r="458" spans="1:17" s="29" customFormat="1" hidden="1">
      <c r="A458" s="41">
        <v>9.9716966666666667E-3</v>
      </c>
      <c r="B458" t="s">
        <v>116</v>
      </c>
      <c r="C458" t="s">
        <v>367</v>
      </c>
      <c r="D458"/>
      <c r="E458" t="s">
        <v>129</v>
      </c>
      <c r="F458"/>
      <c r="G458" t="s">
        <v>226</v>
      </c>
      <c r="H458"/>
      <c r="I458" s="140">
        <v>46237.740601851852</v>
      </c>
      <c r="J458" t="s">
        <v>349</v>
      </c>
      <c r="K458" t="s">
        <v>296</v>
      </c>
      <c r="L458" s="139">
        <v>46173</v>
      </c>
      <c r="M458" t="s">
        <v>347</v>
      </c>
      <c r="N458" t="s">
        <v>313</v>
      </c>
      <c r="O458" t="s">
        <v>294</v>
      </c>
      <c r="P458" t="s">
        <v>348</v>
      </c>
      <c r="Q458" t="s">
        <v>295</v>
      </c>
    </row>
    <row r="459" spans="1:17" s="29" customFormat="1" hidden="1">
      <c r="A459" s="41">
        <v>9.8592225347222222E-3</v>
      </c>
      <c r="B459" t="s">
        <v>116</v>
      </c>
      <c r="C459"/>
      <c r="D459"/>
      <c r="E459" t="s">
        <v>123</v>
      </c>
      <c r="F459"/>
      <c r="G459" t="s">
        <v>226</v>
      </c>
      <c r="H459"/>
      <c r="I459" s="140">
        <v>46237.726134259261</v>
      </c>
      <c r="J459" t="s">
        <v>349</v>
      </c>
      <c r="K459" t="s">
        <v>296</v>
      </c>
      <c r="L459" s="139">
        <v>46173</v>
      </c>
      <c r="M459" t="s">
        <v>347</v>
      </c>
      <c r="N459" t="s">
        <v>313</v>
      </c>
      <c r="O459" t="s">
        <v>294</v>
      </c>
      <c r="P459" t="s">
        <v>348</v>
      </c>
      <c r="Q459" t="s">
        <v>295</v>
      </c>
    </row>
    <row r="460" spans="1:17" s="29" customFormat="1">
      <c r="A460" s="41">
        <v>9.5958456018518518E-3</v>
      </c>
      <c r="B460" t="s">
        <v>116</v>
      </c>
      <c r="C460" t="s">
        <v>206</v>
      </c>
      <c r="D460" t="s">
        <v>266</v>
      </c>
      <c r="E460" t="s">
        <v>276</v>
      </c>
      <c r="F460" t="s">
        <v>83</v>
      </c>
      <c r="G460" t="s">
        <v>226</v>
      </c>
      <c r="H460"/>
      <c r="I460" s="140">
        <v>46237.725891203707</v>
      </c>
      <c r="J460" t="s">
        <v>349</v>
      </c>
      <c r="K460" t="s">
        <v>296</v>
      </c>
      <c r="L460" s="139">
        <v>46173</v>
      </c>
      <c r="M460" t="s">
        <v>347</v>
      </c>
      <c r="N460" t="s">
        <v>313</v>
      </c>
      <c r="O460" t="s">
        <v>294</v>
      </c>
      <c r="P460" t="s">
        <v>348</v>
      </c>
      <c r="Q460" t="s">
        <v>295</v>
      </c>
    </row>
    <row r="461" spans="1:17" s="29" customFormat="1" hidden="1">
      <c r="A461" s="41">
        <v>9.549717453703704E-3</v>
      </c>
      <c r="B461" t="s">
        <v>116</v>
      </c>
      <c r="C461"/>
      <c r="D461"/>
      <c r="E461" t="s">
        <v>248</v>
      </c>
      <c r="F461"/>
      <c r="G461" t="s">
        <v>117</v>
      </c>
      <c r="H461"/>
      <c r="I461" s="140">
        <v>46237.725300925929</v>
      </c>
      <c r="J461" t="s">
        <v>349</v>
      </c>
      <c r="K461" t="s">
        <v>296</v>
      </c>
      <c r="L461" s="139">
        <v>46173</v>
      </c>
      <c r="M461" t="s">
        <v>347</v>
      </c>
      <c r="N461" t="s">
        <v>313</v>
      </c>
      <c r="O461" t="s">
        <v>294</v>
      </c>
      <c r="P461" t="s">
        <v>348</v>
      </c>
      <c r="Q461" t="s">
        <v>295</v>
      </c>
    </row>
    <row r="462" spans="1:17" s="29" customFormat="1" hidden="1">
      <c r="A462" s="41">
        <v>9.5312842245370375E-3</v>
      </c>
      <c r="B462" t="s">
        <v>116</v>
      </c>
      <c r="C462"/>
      <c r="D462"/>
      <c r="E462" t="s">
        <v>246</v>
      </c>
      <c r="F462"/>
      <c r="G462" t="s">
        <v>226</v>
      </c>
      <c r="H462"/>
      <c r="I462" s="140">
        <v>46237.725266203706</v>
      </c>
      <c r="J462" t="s">
        <v>349</v>
      </c>
      <c r="K462" t="s">
        <v>296</v>
      </c>
      <c r="L462" s="139">
        <v>46173</v>
      </c>
      <c r="M462" t="s">
        <v>347</v>
      </c>
      <c r="N462" t="s">
        <v>313</v>
      </c>
      <c r="O462" t="s">
        <v>294</v>
      </c>
      <c r="P462" t="s">
        <v>348</v>
      </c>
      <c r="Q462" t="s">
        <v>295</v>
      </c>
    </row>
    <row r="463" spans="1:17" s="29" customFormat="1" hidden="1">
      <c r="A463" s="41">
        <v>9.4947503819444445E-3</v>
      </c>
      <c r="B463" t="s">
        <v>116</v>
      </c>
      <c r="C463" t="s">
        <v>217</v>
      </c>
      <c r="D463"/>
      <c r="E463" t="s">
        <v>127</v>
      </c>
      <c r="F463"/>
      <c r="G463" t="s">
        <v>226</v>
      </c>
      <c r="H463"/>
      <c r="I463" s="140">
        <v>46237.724108796298</v>
      </c>
      <c r="J463" t="s">
        <v>349</v>
      </c>
      <c r="K463" t="s">
        <v>296</v>
      </c>
      <c r="L463" s="139">
        <v>46173</v>
      </c>
      <c r="M463" t="s">
        <v>347</v>
      </c>
      <c r="N463" t="s">
        <v>313</v>
      </c>
      <c r="O463" t="s">
        <v>294</v>
      </c>
      <c r="P463" t="s">
        <v>348</v>
      </c>
      <c r="Q463" t="s">
        <v>295</v>
      </c>
    </row>
    <row r="464" spans="1:17" s="29" customFormat="1" hidden="1">
      <c r="A464" s="41">
        <v>9.4212962962962957E-3</v>
      </c>
      <c r="B464" t="s">
        <v>116</v>
      </c>
      <c r="C464" t="s">
        <v>206</v>
      </c>
      <c r="D464"/>
      <c r="E464" t="s">
        <v>127</v>
      </c>
      <c r="F464"/>
      <c r="G464" t="s">
        <v>226</v>
      </c>
      <c r="H464"/>
      <c r="I464" s="140">
        <v>46237.723506944443</v>
      </c>
      <c r="J464" t="s">
        <v>349</v>
      </c>
      <c r="K464" t="s">
        <v>296</v>
      </c>
      <c r="L464" s="139">
        <v>46173</v>
      </c>
      <c r="M464" t="s">
        <v>347</v>
      </c>
      <c r="N464" t="s">
        <v>313</v>
      </c>
      <c r="O464" t="s">
        <v>294</v>
      </c>
      <c r="P464" t="s">
        <v>348</v>
      </c>
      <c r="Q464" t="s">
        <v>295</v>
      </c>
    </row>
    <row r="465" spans="1:17" s="29" customFormat="1" hidden="1">
      <c r="A465" s="41">
        <v>9.4055157754629626E-3</v>
      </c>
      <c r="B465" t="s">
        <v>116</v>
      </c>
      <c r="C465" t="s">
        <v>367</v>
      </c>
      <c r="D465"/>
      <c r="E465" t="s">
        <v>127</v>
      </c>
      <c r="F465"/>
      <c r="G465" t="s">
        <v>226</v>
      </c>
      <c r="H465"/>
      <c r="I465" s="140">
        <v>46237.723217592589</v>
      </c>
      <c r="J465" t="s">
        <v>349</v>
      </c>
      <c r="K465" t="s">
        <v>296</v>
      </c>
      <c r="L465" s="139">
        <v>46173</v>
      </c>
      <c r="M465" t="s">
        <v>347</v>
      </c>
      <c r="N465" t="s">
        <v>313</v>
      </c>
      <c r="O465" t="s">
        <v>294</v>
      </c>
      <c r="P465" t="s">
        <v>348</v>
      </c>
      <c r="Q465" t="s">
        <v>295</v>
      </c>
    </row>
    <row r="466" spans="1:17" s="29" customFormat="1" hidden="1">
      <c r="A466" s="41">
        <v>9.3886348148148144E-3</v>
      </c>
      <c r="B466" t="s">
        <v>116</v>
      </c>
      <c r="C466" t="s">
        <v>214</v>
      </c>
      <c r="D466"/>
      <c r="E466" t="s">
        <v>59</v>
      </c>
      <c r="F466"/>
      <c r="G466" t="s">
        <v>226</v>
      </c>
      <c r="H466"/>
      <c r="I466" s="140">
        <v>46237.722905092596</v>
      </c>
      <c r="J466" t="s">
        <v>349</v>
      </c>
      <c r="K466" t="s">
        <v>296</v>
      </c>
      <c r="L466" s="139">
        <v>46173</v>
      </c>
      <c r="M466" t="s">
        <v>347</v>
      </c>
      <c r="N466" t="s">
        <v>313</v>
      </c>
      <c r="O466" t="s">
        <v>294</v>
      </c>
      <c r="P466" t="s">
        <v>348</v>
      </c>
      <c r="Q466" t="s">
        <v>295</v>
      </c>
    </row>
    <row r="467" spans="1:17" s="29" customFormat="1" hidden="1">
      <c r="A467" s="41">
        <v>9.3717697569444449E-3</v>
      </c>
      <c r="B467" t="s">
        <v>116</v>
      </c>
      <c r="C467" t="s">
        <v>363</v>
      </c>
      <c r="D467"/>
      <c r="E467" t="s">
        <v>59</v>
      </c>
      <c r="F467"/>
      <c r="G467" t="s">
        <v>226</v>
      </c>
      <c r="H467"/>
      <c r="I467" s="140">
        <v>46237.72247685185</v>
      </c>
      <c r="J467" t="s">
        <v>349</v>
      </c>
      <c r="K467" t="s">
        <v>296</v>
      </c>
      <c r="L467" s="139">
        <v>46173</v>
      </c>
      <c r="M467" t="s">
        <v>347</v>
      </c>
      <c r="N467" t="s">
        <v>313</v>
      </c>
      <c r="O467" t="s">
        <v>294</v>
      </c>
      <c r="P467" t="s">
        <v>348</v>
      </c>
      <c r="Q467" t="s">
        <v>295</v>
      </c>
    </row>
    <row r="468" spans="1:17" s="29" customFormat="1" hidden="1">
      <c r="A468" s="41">
        <v>9.2970099074074081E-3</v>
      </c>
      <c r="B468" t="s">
        <v>116</v>
      </c>
      <c r="C468"/>
      <c r="D468"/>
      <c r="E468" t="s">
        <v>250</v>
      </c>
      <c r="F468"/>
      <c r="G468" t="s">
        <v>226</v>
      </c>
      <c r="H468"/>
      <c r="I468" s="140">
        <v>46237.722129629627</v>
      </c>
      <c r="J468" t="s">
        <v>349</v>
      </c>
      <c r="K468" t="s">
        <v>296</v>
      </c>
      <c r="L468" s="139">
        <v>46173</v>
      </c>
      <c r="M468" t="s">
        <v>347</v>
      </c>
      <c r="N468" t="s">
        <v>313</v>
      </c>
      <c r="O468" t="s">
        <v>294</v>
      </c>
      <c r="P468" t="s">
        <v>348</v>
      </c>
      <c r="Q468" t="s">
        <v>295</v>
      </c>
    </row>
    <row r="469" spans="1:17" s="29" customFormat="1" hidden="1">
      <c r="A469" s="41">
        <v>9.2563246064814812E-3</v>
      </c>
      <c r="B469" t="s">
        <v>116</v>
      </c>
      <c r="C469"/>
      <c r="D469"/>
      <c r="E469" t="s">
        <v>246</v>
      </c>
      <c r="F469"/>
      <c r="G469" t="s">
        <v>117</v>
      </c>
      <c r="H469"/>
      <c r="I469" s="140">
        <v>46237.722060185188</v>
      </c>
      <c r="J469" t="s">
        <v>349</v>
      </c>
      <c r="K469" t="s">
        <v>296</v>
      </c>
      <c r="L469" s="139">
        <v>46173</v>
      </c>
      <c r="M469" t="s">
        <v>347</v>
      </c>
      <c r="N469" t="s">
        <v>313</v>
      </c>
      <c r="O469" t="s">
        <v>294</v>
      </c>
      <c r="P469" t="s">
        <v>348</v>
      </c>
      <c r="Q469" t="s">
        <v>295</v>
      </c>
    </row>
    <row r="470" spans="1:17" s="29" customFormat="1" hidden="1">
      <c r="A470" s="41">
        <v>9.238771273148148E-3</v>
      </c>
      <c r="B470" t="s">
        <v>116</v>
      </c>
      <c r="C470"/>
      <c r="D470"/>
      <c r="E470" t="s">
        <v>248</v>
      </c>
      <c r="F470"/>
      <c r="G470" t="s">
        <v>117</v>
      </c>
      <c r="H470"/>
      <c r="I470" s="140">
        <v>46237.722013888888</v>
      </c>
      <c r="J470" t="s">
        <v>349</v>
      </c>
      <c r="K470" t="s">
        <v>296</v>
      </c>
      <c r="L470" s="139">
        <v>46173</v>
      </c>
      <c r="M470" t="s">
        <v>347</v>
      </c>
      <c r="N470" t="s">
        <v>313</v>
      </c>
      <c r="O470" t="s">
        <v>294</v>
      </c>
      <c r="P470" t="s">
        <v>348</v>
      </c>
      <c r="Q470" t="s">
        <v>295</v>
      </c>
    </row>
    <row r="471" spans="1:17" s="29" customFormat="1" hidden="1">
      <c r="A471" s="41">
        <v>9.2097702430555557E-3</v>
      </c>
      <c r="B471" t="s">
        <v>116</v>
      </c>
      <c r="C471"/>
      <c r="D471"/>
      <c r="E471" t="s">
        <v>246</v>
      </c>
      <c r="F471"/>
      <c r="G471" t="s">
        <v>226</v>
      </c>
      <c r="H471"/>
      <c r="I471" s="140">
        <v>46237.721909722219</v>
      </c>
      <c r="J471" t="s">
        <v>349</v>
      </c>
      <c r="K471" t="s">
        <v>296</v>
      </c>
      <c r="L471" s="139">
        <v>46173</v>
      </c>
      <c r="M471" t="s">
        <v>347</v>
      </c>
      <c r="N471" t="s">
        <v>313</v>
      </c>
      <c r="O471" t="s">
        <v>294</v>
      </c>
      <c r="P471" t="s">
        <v>348</v>
      </c>
      <c r="Q471" t="s">
        <v>295</v>
      </c>
    </row>
    <row r="472" spans="1:17" s="29" customFormat="1" hidden="1">
      <c r="A472" s="41">
        <v>9.1522906365740751E-3</v>
      </c>
      <c r="B472" t="s">
        <v>116</v>
      </c>
      <c r="C472" t="s">
        <v>205</v>
      </c>
      <c r="D472"/>
      <c r="E472" t="s">
        <v>127</v>
      </c>
      <c r="F472"/>
      <c r="G472" t="s">
        <v>226</v>
      </c>
      <c r="H472"/>
      <c r="I472" s="140">
        <v>46237.721805555557</v>
      </c>
      <c r="J472" t="s">
        <v>349</v>
      </c>
      <c r="K472" t="s">
        <v>296</v>
      </c>
      <c r="L472" s="139">
        <v>46173</v>
      </c>
      <c r="M472" t="s">
        <v>347</v>
      </c>
      <c r="N472" t="s">
        <v>313</v>
      </c>
      <c r="O472" t="s">
        <v>294</v>
      </c>
      <c r="P472" t="s">
        <v>348</v>
      </c>
      <c r="Q472" t="s">
        <v>295</v>
      </c>
    </row>
    <row r="473" spans="1:17" s="29" customFormat="1" hidden="1">
      <c r="A473" s="41">
        <v>9.0616014467592588E-3</v>
      </c>
      <c r="B473" t="s">
        <v>116</v>
      </c>
      <c r="C473" t="s">
        <v>83</v>
      </c>
      <c r="D473"/>
      <c r="E473" t="s">
        <v>127</v>
      </c>
      <c r="F473"/>
      <c r="G473" t="s">
        <v>226</v>
      </c>
      <c r="H473"/>
      <c r="I473" s="140">
        <v>46237.721006944441</v>
      </c>
      <c r="J473" t="s">
        <v>349</v>
      </c>
      <c r="K473" t="s">
        <v>296</v>
      </c>
      <c r="L473" s="139">
        <v>46173</v>
      </c>
      <c r="M473" t="s">
        <v>347</v>
      </c>
      <c r="N473" t="s">
        <v>313</v>
      </c>
      <c r="O473" t="s">
        <v>294</v>
      </c>
      <c r="P473" t="s">
        <v>348</v>
      </c>
      <c r="Q473" t="s">
        <v>295</v>
      </c>
    </row>
    <row r="474" spans="1:17" s="29" customFormat="1" hidden="1">
      <c r="A474" s="41">
        <v>9.0383177893518518E-3</v>
      </c>
      <c r="B474" t="s">
        <v>116</v>
      </c>
      <c r="C474"/>
      <c r="D474"/>
      <c r="E474" t="s">
        <v>132</v>
      </c>
      <c r="F474"/>
      <c r="G474" t="s">
        <v>226</v>
      </c>
      <c r="H474"/>
      <c r="I474" s="140">
        <v>46237.72084490741</v>
      </c>
      <c r="J474" t="s">
        <v>349</v>
      </c>
      <c r="K474" t="s">
        <v>296</v>
      </c>
      <c r="L474" s="139">
        <v>46173</v>
      </c>
      <c r="M474" t="s">
        <v>347</v>
      </c>
      <c r="N474" t="s">
        <v>313</v>
      </c>
      <c r="O474" t="s">
        <v>294</v>
      </c>
      <c r="P474" t="s">
        <v>348</v>
      </c>
      <c r="Q474" t="s">
        <v>295</v>
      </c>
    </row>
    <row r="475" spans="1:17" s="29" customFormat="1" hidden="1">
      <c r="A475" s="41">
        <v>8.493386041666667E-3</v>
      </c>
      <c r="B475" t="s">
        <v>116</v>
      </c>
      <c r="C475"/>
      <c r="D475"/>
      <c r="E475" t="s">
        <v>123</v>
      </c>
      <c r="F475"/>
      <c r="G475" t="s">
        <v>226</v>
      </c>
      <c r="H475"/>
      <c r="I475" s="140">
        <v>46237.720196759263</v>
      </c>
      <c r="J475" t="s">
        <v>349</v>
      </c>
      <c r="K475" t="s">
        <v>296</v>
      </c>
      <c r="L475" s="139">
        <v>46173</v>
      </c>
      <c r="M475" t="s">
        <v>347</v>
      </c>
      <c r="N475" t="s">
        <v>313</v>
      </c>
      <c r="O475" t="s">
        <v>294</v>
      </c>
      <c r="P475" t="s">
        <v>348</v>
      </c>
      <c r="Q475" t="s">
        <v>295</v>
      </c>
    </row>
    <row r="476" spans="1:17" s="29" customFormat="1">
      <c r="A476" s="41">
        <v>8.2637429861111104E-3</v>
      </c>
      <c r="B476" t="s">
        <v>116</v>
      </c>
      <c r="C476" t="s">
        <v>83</v>
      </c>
      <c r="D476" t="s">
        <v>83</v>
      </c>
      <c r="E476" t="s">
        <v>276</v>
      </c>
      <c r="F476" t="s">
        <v>269</v>
      </c>
      <c r="G476" t="s">
        <v>226</v>
      </c>
      <c r="H476"/>
      <c r="I476" s="140">
        <v>46237.71979166667</v>
      </c>
      <c r="J476" t="s">
        <v>349</v>
      </c>
      <c r="K476" t="s">
        <v>296</v>
      </c>
      <c r="L476" s="139">
        <v>46173</v>
      </c>
      <c r="M476" t="s">
        <v>347</v>
      </c>
      <c r="N476" t="s">
        <v>313</v>
      </c>
      <c r="O476" t="s">
        <v>294</v>
      </c>
      <c r="P476" t="s">
        <v>348</v>
      </c>
      <c r="Q476" t="s">
        <v>295</v>
      </c>
    </row>
    <row r="477" spans="1:17" s="29" customFormat="1" hidden="1">
      <c r="A477" s="41">
        <v>8.2263061458333325E-3</v>
      </c>
      <c r="B477" t="s">
        <v>116</v>
      </c>
      <c r="C477" t="s">
        <v>83</v>
      </c>
      <c r="D477"/>
      <c r="E477" t="s">
        <v>127</v>
      </c>
      <c r="F477"/>
      <c r="G477" t="s">
        <v>226</v>
      </c>
      <c r="H477"/>
      <c r="I477" s="140">
        <v>46237.719641203701</v>
      </c>
      <c r="J477" t="s">
        <v>349</v>
      </c>
      <c r="K477" t="s">
        <v>296</v>
      </c>
      <c r="L477" s="139">
        <v>46173</v>
      </c>
      <c r="M477" t="s">
        <v>347</v>
      </c>
      <c r="N477" t="s">
        <v>313</v>
      </c>
      <c r="O477" t="s">
        <v>294</v>
      </c>
      <c r="P477" t="s">
        <v>348</v>
      </c>
      <c r="Q477" t="s">
        <v>295</v>
      </c>
    </row>
    <row r="478" spans="1:17" s="29" customFormat="1" hidden="1">
      <c r="A478" s="41">
        <v>8.2057913773148153E-3</v>
      </c>
      <c r="B478" t="s">
        <v>116</v>
      </c>
      <c r="C478" t="s">
        <v>205</v>
      </c>
      <c r="D478"/>
      <c r="E478" t="s">
        <v>127</v>
      </c>
      <c r="F478"/>
      <c r="G478" t="s">
        <v>226</v>
      </c>
      <c r="H478"/>
      <c r="I478" s="140">
        <v>46237.718819444446</v>
      </c>
      <c r="J478" t="s">
        <v>349</v>
      </c>
      <c r="K478" t="s">
        <v>296</v>
      </c>
      <c r="L478" s="139">
        <v>46173</v>
      </c>
      <c r="M478" t="s">
        <v>347</v>
      </c>
      <c r="N478" t="s">
        <v>313</v>
      </c>
      <c r="O478" t="s">
        <v>294</v>
      </c>
      <c r="P478" t="s">
        <v>348</v>
      </c>
      <c r="Q478" t="s">
        <v>295</v>
      </c>
    </row>
    <row r="479" spans="1:17" s="29" customFormat="1" hidden="1">
      <c r="A479" s="41">
        <v>8.1651071296296295E-3</v>
      </c>
      <c r="B479" t="s">
        <v>116</v>
      </c>
      <c r="C479" t="s">
        <v>210</v>
      </c>
      <c r="D479"/>
      <c r="E479" t="s">
        <v>127</v>
      </c>
      <c r="F479"/>
      <c r="G479" t="s">
        <v>226</v>
      </c>
      <c r="H479"/>
      <c r="I479" s="140">
        <v>46237.718692129631</v>
      </c>
      <c r="J479" t="s">
        <v>349</v>
      </c>
      <c r="K479" t="s">
        <v>296</v>
      </c>
      <c r="L479" s="139">
        <v>46173</v>
      </c>
      <c r="M479" t="s">
        <v>347</v>
      </c>
      <c r="N479" t="s">
        <v>313</v>
      </c>
      <c r="O479" t="s">
        <v>294</v>
      </c>
      <c r="P479" t="s">
        <v>348</v>
      </c>
      <c r="Q479" t="s">
        <v>295</v>
      </c>
    </row>
    <row r="480" spans="1:17" s="29" customFormat="1" hidden="1">
      <c r="A480" s="41">
        <v>8.1469079398148146E-3</v>
      </c>
      <c r="B480" t="s">
        <v>116</v>
      </c>
      <c r="C480" t="s">
        <v>83</v>
      </c>
      <c r="D480"/>
      <c r="E480" t="s">
        <v>60</v>
      </c>
      <c r="F480"/>
      <c r="G480" t="s">
        <v>226</v>
      </c>
      <c r="H480"/>
      <c r="I480" s="140">
        <v>46237.717800925922</v>
      </c>
      <c r="J480" t="s">
        <v>349</v>
      </c>
      <c r="K480" t="s">
        <v>296</v>
      </c>
      <c r="L480" s="139">
        <v>46173</v>
      </c>
      <c r="M480" t="s">
        <v>347</v>
      </c>
      <c r="N480" t="s">
        <v>313</v>
      </c>
      <c r="O480" t="s">
        <v>294</v>
      </c>
      <c r="P480" t="s">
        <v>348</v>
      </c>
      <c r="Q480" t="s">
        <v>295</v>
      </c>
    </row>
    <row r="481" spans="1:17" s="29" customFormat="1" hidden="1">
      <c r="A481" s="41">
        <v>8.1170738541666669E-3</v>
      </c>
      <c r="B481" t="s">
        <v>116</v>
      </c>
      <c r="C481"/>
      <c r="D481"/>
      <c r="E481" t="s">
        <v>127</v>
      </c>
      <c r="F481"/>
      <c r="G481" t="s">
        <v>117</v>
      </c>
      <c r="H481"/>
      <c r="I481" s="140">
        <v>46237.71707175926</v>
      </c>
      <c r="J481" t="s">
        <v>349</v>
      </c>
      <c r="K481" t="s">
        <v>296</v>
      </c>
      <c r="L481" s="139">
        <v>46173</v>
      </c>
      <c r="M481" t="s">
        <v>347</v>
      </c>
      <c r="N481" t="s">
        <v>313</v>
      </c>
      <c r="O481" t="s">
        <v>294</v>
      </c>
      <c r="P481" t="s">
        <v>348</v>
      </c>
      <c r="Q481" t="s">
        <v>295</v>
      </c>
    </row>
    <row r="482" spans="1:17" s="29" customFormat="1" hidden="1">
      <c r="A482" s="41">
        <v>8.072309664351851E-3</v>
      </c>
      <c r="B482" t="s">
        <v>116</v>
      </c>
      <c r="C482"/>
      <c r="D482"/>
      <c r="E482" t="s">
        <v>127</v>
      </c>
      <c r="F482"/>
      <c r="G482" t="s">
        <v>117</v>
      </c>
      <c r="H482"/>
      <c r="I482" s="140">
        <v>46237.71702546296</v>
      </c>
      <c r="J482" t="s">
        <v>349</v>
      </c>
      <c r="K482" t="s">
        <v>296</v>
      </c>
      <c r="L482" s="139">
        <v>46173</v>
      </c>
      <c r="M482" t="s">
        <v>347</v>
      </c>
      <c r="N482" t="s">
        <v>313</v>
      </c>
      <c r="O482" t="s">
        <v>294</v>
      </c>
      <c r="P482" t="s">
        <v>348</v>
      </c>
      <c r="Q482" t="s">
        <v>295</v>
      </c>
    </row>
    <row r="483" spans="1:17" s="29" customFormat="1" hidden="1">
      <c r="A483" s="41">
        <v>7.814226875E-3</v>
      </c>
      <c r="B483" t="s">
        <v>116</v>
      </c>
      <c r="C483"/>
      <c r="D483"/>
      <c r="E483" t="s">
        <v>124</v>
      </c>
      <c r="F483"/>
      <c r="G483" t="s">
        <v>226</v>
      </c>
      <c r="H483"/>
      <c r="I483" s="140">
        <v>46237.716111111113</v>
      </c>
      <c r="J483" t="s">
        <v>349</v>
      </c>
      <c r="K483" t="s">
        <v>296</v>
      </c>
      <c r="L483" s="139">
        <v>46173</v>
      </c>
      <c r="M483" t="s">
        <v>347</v>
      </c>
      <c r="N483" t="s">
        <v>313</v>
      </c>
      <c r="O483" t="s">
        <v>294</v>
      </c>
      <c r="P483" t="s">
        <v>348</v>
      </c>
      <c r="Q483" t="s">
        <v>295</v>
      </c>
    </row>
    <row r="484" spans="1:17" s="29" customFormat="1" hidden="1">
      <c r="A484" s="41">
        <v>7.546765231481482E-3</v>
      </c>
      <c r="B484" t="s">
        <v>116</v>
      </c>
      <c r="C484" t="s">
        <v>205</v>
      </c>
      <c r="D484"/>
      <c r="E484" t="s">
        <v>131</v>
      </c>
      <c r="F484"/>
      <c r="G484" t="s">
        <v>117</v>
      </c>
      <c r="H484"/>
      <c r="I484" s="140">
        <v>46237.715798611112</v>
      </c>
      <c r="J484" t="s">
        <v>349</v>
      </c>
      <c r="K484" t="s">
        <v>296</v>
      </c>
      <c r="L484" s="139">
        <v>46173</v>
      </c>
      <c r="M484" t="s">
        <v>347</v>
      </c>
      <c r="N484" t="s">
        <v>313</v>
      </c>
      <c r="O484" t="s">
        <v>294</v>
      </c>
      <c r="P484" t="s">
        <v>348</v>
      </c>
      <c r="Q484" t="s">
        <v>295</v>
      </c>
    </row>
    <row r="485" spans="1:17" s="29" customFormat="1" hidden="1">
      <c r="A485" s="41">
        <v>7.2794050000000001E-3</v>
      </c>
      <c r="B485" t="s">
        <v>116</v>
      </c>
      <c r="C485"/>
      <c r="D485"/>
      <c r="E485" t="s">
        <v>123</v>
      </c>
      <c r="F485"/>
      <c r="G485" t="s">
        <v>117</v>
      </c>
      <c r="H485"/>
      <c r="I485" s="140">
        <v>46237.715358796297</v>
      </c>
      <c r="J485" t="s">
        <v>349</v>
      </c>
      <c r="K485" t="s">
        <v>296</v>
      </c>
      <c r="L485" s="139">
        <v>46173</v>
      </c>
      <c r="M485" t="s">
        <v>347</v>
      </c>
      <c r="N485" t="s">
        <v>313</v>
      </c>
      <c r="O485" t="s">
        <v>294</v>
      </c>
      <c r="P485" t="s">
        <v>348</v>
      </c>
      <c r="Q485" t="s">
        <v>295</v>
      </c>
    </row>
    <row r="486" spans="1:17" s="29" customFormat="1" hidden="1">
      <c r="A486" s="41">
        <v>6.9384216550925932E-3</v>
      </c>
      <c r="B486" t="s">
        <v>116</v>
      </c>
      <c r="C486"/>
      <c r="D486"/>
      <c r="E486" t="s">
        <v>88</v>
      </c>
      <c r="F486"/>
      <c r="G486" t="s">
        <v>117</v>
      </c>
      <c r="H486"/>
      <c r="I486" s="140">
        <v>46237.703865740739</v>
      </c>
      <c r="J486" t="s">
        <v>349</v>
      </c>
      <c r="K486" t="s">
        <v>296</v>
      </c>
      <c r="L486" s="139">
        <v>46173</v>
      </c>
      <c r="M486" t="s">
        <v>347</v>
      </c>
      <c r="N486" t="s">
        <v>313</v>
      </c>
      <c r="O486" t="s">
        <v>294</v>
      </c>
      <c r="P486" t="s">
        <v>348</v>
      </c>
      <c r="Q486" t="s">
        <v>295</v>
      </c>
    </row>
    <row r="487" spans="1:17" s="29" customFormat="1" hidden="1">
      <c r="A487" s="41">
        <v>6.9025777662037029E-3</v>
      </c>
      <c r="B487" t="s">
        <v>116</v>
      </c>
      <c r="C487"/>
      <c r="D487"/>
      <c r="E487" t="s">
        <v>275</v>
      </c>
      <c r="F487" t="s">
        <v>269</v>
      </c>
      <c r="G487" t="s">
        <v>117</v>
      </c>
      <c r="H487"/>
      <c r="I487" s="140">
        <v>46237.70385416667</v>
      </c>
      <c r="J487" t="s">
        <v>349</v>
      </c>
      <c r="K487" t="s">
        <v>296</v>
      </c>
      <c r="L487" s="139">
        <v>46173</v>
      </c>
      <c r="M487" t="s">
        <v>347</v>
      </c>
      <c r="N487" t="s">
        <v>313</v>
      </c>
      <c r="O487" t="s">
        <v>294</v>
      </c>
      <c r="P487" t="s">
        <v>348</v>
      </c>
      <c r="Q487" t="s">
        <v>295</v>
      </c>
    </row>
    <row r="488" spans="1:17" s="29" customFormat="1" hidden="1">
      <c r="A488" s="41">
        <v>6.8329440740740738E-3</v>
      </c>
      <c r="B488" t="s">
        <v>116</v>
      </c>
      <c r="C488"/>
      <c r="D488"/>
      <c r="E488" t="s">
        <v>250</v>
      </c>
      <c r="F488"/>
      <c r="G488" t="s">
        <v>226</v>
      </c>
      <c r="H488"/>
      <c r="I488" s="140">
        <v>46237.702523148146</v>
      </c>
      <c r="J488" t="s">
        <v>349</v>
      </c>
      <c r="K488" t="s">
        <v>296</v>
      </c>
      <c r="L488" s="139">
        <v>46173</v>
      </c>
      <c r="M488" t="s">
        <v>347</v>
      </c>
      <c r="N488" t="s">
        <v>313</v>
      </c>
      <c r="O488" t="s">
        <v>294</v>
      </c>
      <c r="P488" t="s">
        <v>348</v>
      </c>
      <c r="Q488" t="s">
        <v>295</v>
      </c>
    </row>
    <row r="489" spans="1:17" s="29" customFormat="1" hidden="1">
      <c r="A489" s="41">
        <v>6.7777790162037036E-3</v>
      </c>
      <c r="B489" t="s">
        <v>116</v>
      </c>
      <c r="C489"/>
      <c r="D489"/>
      <c r="E489" t="s">
        <v>246</v>
      </c>
      <c r="F489"/>
      <c r="G489" t="s">
        <v>117</v>
      </c>
      <c r="H489"/>
      <c r="I489" s="140">
        <v>46237.702118055553</v>
      </c>
      <c r="J489" t="s">
        <v>349</v>
      </c>
      <c r="K489" t="s">
        <v>296</v>
      </c>
      <c r="L489" s="139">
        <v>46173</v>
      </c>
      <c r="M489" t="s">
        <v>347</v>
      </c>
      <c r="N489" t="s">
        <v>313</v>
      </c>
      <c r="O489" t="s">
        <v>294</v>
      </c>
      <c r="P489" t="s">
        <v>348</v>
      </c>
      <c r="Q489" t="s">
        <v>295</v>
      </c>
    </row>
    <row r="490" spans="1:17" s="29" customFormat="1" hidden="1">
      <c r="A490" s="41">
        <v>6.6906119212962953E-3</v>
      </c>
      <c r="B490" t="s">
        <v>116</v>
      </c>
      <c r="C490"/>
      <c r="D490"/>
      <c r="E490" t="s">
        <v>127</v>
      </c>
      <c r="F490"/>
      <c r="G490" t="s">
        <v>117</v>
      </c>
      <c r="H490"/>
      <c r="I490" s="140">
        <v>46237.702002314814</v>
      </c>
      <c r="J490" t="s">
        <v>349</v>
      </c>
      <c r="K490" t="s">
        <v>296</v>
      </c>
      <c r="L490" s="139">
        <v>46173</v>
      </c>
      <c r="M490" t="s">
        <v>347</v>
      </c>
      <c r="N490" t="s">
        <v>313</v>
      </c>
      <c r="O490" t="s">
        <v>294</v>
      </c>
      <c r="P490" t="s">
        <v>348</v>
      </c>
      <c r="Q490" t="s">
        <v>295</v>
      </c>
    </row>
    <row r="491" spans="1:17" s="29" customFormat="1" hidden="1">
      <c r="A491" s="41">
        <v>6.5522531018518525E-3</v>
      </c>
      <c r="B491" t="s">
        <v>116</v>
      </c>
      <c r="C491"/>
      <c r="D491"/>
      <c r="E491" t="s">
        <v>127</v>
      </c>
      <c r="F491"/>
      <c r="G491" t="s">
        <v>117</v>
      </c>
      <c r="H491"/>
      <c r="I491" s="140">
        <v>46237.701863425929</v>
      </c>
      <c r="J491" t="s">
        <v>349</v>
      </c>
      <c r="K491" t="s">
        <v>296</v>
      </c>
      <c r="L491" s="139">
        <v>46173</v>
      </c>
      <c r="M491" t="s">
        <v>347</v>
      </c>
      <c r="N491" t="s">
        <v>313</v>
      </c>
      <c r="O491" t="s">
        <v>294</v>
      </c>
      <c r="P491" t="s">
        <v>348</v>
      </c>
      <c r="Q491" t="s">
        <v>295</v>
      </c>
    </row>
    <row r="492" spans="1:17" s="29" customFormat="1" hidden="1">
      <c r="A492" s="41">
        <v>6.5000232291666663E-3</v>
      </c>
      <c r="B492" t="s">
        <v>116</v>
      </c>
      <c r="C492"/>
      <c r="D492"/>
      <c r="E492" t="s">
        <v>248</v>
      </c>
      <c r="F492"/>
      <c r="G492" t="s">
        <v>117</v>
      </c>
      <c r="H492"/>
      <c r="I492" s="140">
        <v>46237.701770833337</v>
      </c>
      <c r="J492" t="s">
        <v>349</v>
      </c>
      <c r="K492" t="s">
        <v>296</v>
      </c>
      <c r="L492" s="139">
        <v>46173</v>
      </c>
      <c r="M492" t="s">
        <v>347</v>
      </c>
      <c r="N492" t="s">
        <v>313</v>
      </c>
      <c r="O492" t="s">
        <v>294</v>
      </c>
      <c r="P492" t="s">
        <v>348</v>
      </c>
      <c r="Q492" t="s">
        <v>295</v>
      </c>
    </row>
    <row r="493" spans="1:17" s="29" customFormat="1" hidden="1">
      <c r="A493" s="41">
        <v>6.4363810532407414E-3</v>
      </c>
      <c r="B493" t="s">
        <v>116</v>
      </c>
      <c r="C493"/>
      <c r="D493"/>
      <c r="E493" t="s">
        <v>246</v>
      </c>
      <c r="F493"/>
      <c r="G493" t="s">
        <v>226</v>
      </c>
      <c r="H493"/>
      <c r="I493" s="140">
        <v>46237.701666666668</v>
      </c>
      <c r="J493" t="s">
        <v>349</v>
      </c>
      <c r="K493" t="s">
        <v>296</v>
      </c>
      <c r="L493" s="139">
        <v>46173</v>
      </c>
      <c r="M493" t="s">
        <v>347</v>
      </c>
      <c r="N493" t="s">
        <v>313</v>
      </c>
      <c r="O493" t="s">
        <v>294</v>
      </c>
      <c r="P493" t="s">
        <v>348</v>
      </c>
      <c r="Q493" t="s">
        <v>295</v>
      </c>
    </row>
    <row r="494" spans="1:17" s="29" customFormat="1" hidden="1">
      <c r="A494" s="41">
        <v>6.3321425462962962E-3</v>
      </c>
      <c r="B494" t="s">
        <v>116</v>
      </c>
      <c r="C494" t="s">
        <v>205</v>
      </c>
      <c r="D494"/>
      <c r="E494" t="s">
        <v>127</v>
      </c>
      <c r="F494"/>
      <c r="G494" t="s">
        <v>226</v>
      </c>
      <c r="H494"/>
      <c r="I494" s="140">
        <v>46237.70144675926</v>
      </c>
      <c r="J494" t="s">
        <v>349</v>
      </c>
      <c r="K494" t="s">
        <v>296</v>
      </c>
      <c r="L494" s="139">
        <v>46173</v>
      </c>
      <c r="M494" t="s">
        <v>347</v>
      </c>
      <c r="N494" t="s">
        <v>313</v>
      </c>
      <c r="O494" t="s">
        <v>294</v>
      </c>
      <c r="P494" t="s">
        <v>348</v>
      </c>
      <c r="Q494" t="s">
        <v>295</v>
      </c>
    </row>
    <row r="495" spans="1:17" s="29" customFormat="1" hidden="1">
      <c r="A495" s="41">
        <v>6.1751494097222227E-3</v>
      </c>
      <c r="B495" t="s">
        <v>116</v>
      </c>
      <c r="C495" t="s">
        <v>214</v>
      </c>
      <c r="D495"/>
      <c r="E495" t="s">
        <v>127</v>
      </c>
      <c r="F495"/>
      <c r="G495" t="s">
        <v>226</v>
      </c>
      <c r="H495"/>
      <c r="I495" s="140">
        <v>46237.70008101852</v>
      </c>
      <c r="J495" t="s">
        <v>349</v>
      </c>
      <c r="K495" t="s">
        <v>296</v>
      </c>
      <c r="L495" s="139">
        <v>46173</v>
      </c>
      <c r="M495" t="s">
        <v>347</v>
      </c>
      <c r="N495" t="s">
        <v>313</v>
      </c>
      <c r="O495" t="s">
        <v>294</v>
      </c>
      <c r="P495" t="s">
        <v>348</v>
      </c>
      <c r="Q495" t="s">
        <v>295</v>
      </c>
    </row>
    <row r="496" spans="1:17" s="29" customFormat="1" hidden="1">
      <c r="A496" s="41">
        <v>6.1472405902777772E-3</v>
      </c>
      <c r="B496" t="s">
        <v>116</v>
      </c>
      <c r="C496"/>
      <c r="D496"/>
      <c r="E496" t="s">
        <v>250</v>
      </c>
      <c r="F496"/>
      <c r="G496" t="s">
        <v>226</v>
      </c>
      <c r="H496"/>
      <c r="I496" s="140">
        <v>46237.691805555558</v>
      </c>
      <c r="J496" t="s">
        <v>349</v>
      </c>
      <c r="K496" t="s">
        <v>296</v>
      </c>
      <c r="L496" s="139">
        <v>46173</v>
      </c>
      <c r="M496" t="s">
        <v>347</v>
      </c>
      <c r="N496" t="s">
        <v>313</v>
      </c>
      <c r="O496" t="s">
        <v>294</v>
      </c>
      <c r="P496" t="s">
        <v>348</v>
      </c>
      <c r="Q496" t="s">
        <v>295</v>
      </c>
    </row>
    <row r="497" spans="1:17" s="29" customFormat="1" hidden="1">
      <c r="A497" s="41">
        <v>6.1042309837962966E-3</v>
      </c>
      <c r="B497" t="s">
        <v>116</v>
      </c>
      <c r="C497"/>
      <c r="D497"/>
      <c r="E497" t="s">
        <v>119</v>
      </c>
      <c r="F497"/>
      <c r="G497" t="s">
        <v>117</v>
      </c>
      <c r="H497"/>
      <c r="I497" s="140">
        <v>46237.691550925927</v>
      </c>
      <c r="J497" t="s">
        <v>349</v>
      </c>
      <c r="K497" t="s">
        <v>296</v>
      </c>
      <c r="L497" s="139">
        <v>46173</v>
      </c>
      <c r="M497" t="s">
        <v>347</v>
      </c>
      <c r="N497" t="s">
        <v>313</v>
      </c>
      <c r="O497" t="s">
        <v>294</v>
      </c>
      <c r="P497" t="s">
        <v>348</v>
      </c>
      <c r="Q497" t="s">
        <v>295</v>
      </c>
    </row>
    <row r="498" spans="1:17" s="29" customFormat="1"/>
    <row r="499" spans="1:17" s="29" customFormat="1"/>
    <row r="500" spans="1:17" s="29" customFormat="1"/>
    <row r="501" spans="1:17" s="29" customFormat="1"/>
    <row r="502" spans="1:17" s="29" customFormat="1"/>
    <row r="503" spans="1:17" s="29" customFormat="1"/>
    <row r="504" spans="1:17" s="29" customFormat="1"/>
    <row r="505" spans="1:17" s="29" customFormat="1"/>
    <row r="506" spans="1:17" s="29" customFormat="1"/>
    <row r="507" spans="1:17" s="29" customFormat="1"/>
    <row r="508" spans="1:17" s="29" customFormat="1"/>
    <row r="509" spans="1:17" s="29" customFormat="1"/>
    <row r="510" spans="1:17" s="29" customFormat="1"/>
    <row r="511" spans="1:17" s="29" customFormat="1"/>
    <row r="512" spans="1:17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  <row r="1057" s="29" customFormat="1"/>
    <row r="1058" s="29" customFormat="1"/>
    <row r="1059" s="29" customFormat="1"/>
    <row r="1060" s="29" customFormat="1"/>
    <row r="1061" s="29" customFormat="1"/>
    <row r="1062" s="29" customFormat="1"/>
    <row r="1063" s="29" customFormat="1"/>
    <row r="1064" s="29" customFormat="1"/>
    <row r="1065" s="29" customFormat="1"/>
    <row r="1066" s="29" customFormat="1"/>
    <row r="1067" s="29" customFormat="1"/>
    <row r="1068" s="29" customFormat="1"/>
    <row r="1069" s="29" customFormat="1"/>
    <row r="1070" s="29" customFormat="1"/>
    <row r="1071" s="29" customFormat="1"/>
    <row r="1072" s="29" customFormat="1"/>
    <row r="1073" s="29" customFormat="1"/>
    <row r="1074" s="29" customFormat="1"/>
    <row r="1075" s="29" customFormat="1"/>
    <row r="1076" s="29" customFormat="1"/>
    <row r="1077" s="29" customFormat="1"/>
    <row r="1078" s="29" customFormat="1"/>
    <row r="1079" s="29" customFormat="1"/>
    <row r="1080" s="29" customFormat="1"/>
    <row r="1081" s="29" customFormat="1"/>
    <row r="1082" s="29" customFormat="1"/>
    <row r="1083" s="29" customFormat="1"/>
    <row r="1084" s="29" customFormat="1"/>
    <row r="1085" s="29" customFormat="1"/>
    <row r="1086" s="29" customFormat="1"/>
    <row r="1087" s="29" customFormat="1"/>
    <row r="1088" s="29" customFormat="1"/>
    <row r="1089" s="29" customFormat="1"/>
    <row r="1090" s="29" customFormat="1"/>
    <row r="1091" s="29" customFormat="1"/>
    <row r="1092" s="29" customFormat="1"/>
    <row r="1093" s="29" customFormat="1"/>
    <row r="1094" s="29" customFormat="1"/>
    <row r="1095" s="29" customFormat="1"/>
    <row r="1096" s="29" customFormat="1"/>
    <row r="1097" s="29" customFormat="1"/>
    <row r="1098" s="29" customFormat="1"/>
    <row r="1099" s="29" customFormat="1"/>
    <row r="1100" s="29" customFormat="1"/>
    <row r="1101" s="29" customFormat="1"/>
    <row r="1102" s="29" customFormat="1"/>
    <row r="1103" s="29" customFormat="1"/>
    <row r="1104" s="29" customFormat="1"/>
    <row r="1105" s="29" customFormat="1"/>
    <row r="1106" s="29" customFormat="1"/>
    <row r="1107" s="29" customFormat="1"/>
    <row r="1108" s="29" customFormat="1"/>
    <row r="1109" s="29" customFormat="1"/>
    <row r="1110" s="29" customFormat="1"/>
    <row r="1111" s="29" customFormat="1"/>
    <row r="1112" s="29" customFormat="1"/>
    <row r="1113" s="29" customFormat="1"/>
    <row r="1114" s="29" customFormat="1"/>
    <row r="1115" s="29" customFormat="1"/>
    <row r="1116" s="29" customFormat="1"/>
    <row r="1117" s="29" customFormat="1"/>
    <row r="1118" s="29" customFormat="1"/>
    <row r="1119" s="29" customFormat="1"/>
    <row r="1120" s="29" customFormat="1"/>
    <row r="1121" s="29" customFormat="1"/>
    <row r="1122" s="29" customFormat="1"/>
    <row r="1123" s="29" customFormat="1"/>
    <row r="1124" s="29" customFormat="1"/>
    <row r="1125" s="29" customFormat="1"/>
    <row r="1126" s="29" customFormat="1"/>
    <row r="1127" s="29" customFormat="1"/>
    <row r="1128" s="29" customFormat="1"/>
    <row r="1129" s="29" customFormat="1"/>
    <row r="1130" s="29" customFormat="1"/>
    <row r="1131" s="29" customFormat="1"/>
    <row r="1132" s="29" customFormat="1"/>
    <row r="1133" s="29" customFormat="1"/>
    <row r="1134" s="29" customFormat="1"/>
    <row r="1135" s="29" customFormat="1"/>
    <row r="1136" s="29" customFormat="1"/>
    <row r="1137" s="29" customFormat="1"/>
    <row r="1138" s="29" customFormat="1"/>
    <row r="1139" s="29" customFormat="1"/>
    <row r="1140" s="29" customFormat="1"/>
    <row r="1141" s="29" customFormat="1"/>
    <row r="1142" s="29" customFormat="1"/>
    <row r="1143" s="29" customFormat="1"/>
    <row r="1144" s="29" customFormat="1"/>
    <row r="1145" s="29" customFormat="1"/>
    <row r="1146" s="29" customFormat="1"/>
    <row r="1147" s="29" customFormat="1"/>
    <row r="1148" s="29" customFormat="1"/>
    <row r="1149" s="29" customFormat="1"/>
    <row r="1150" s="29" customFormat="1"/>
    <row r="1151" s="29" customFormat="1"/>
    <row r="1152" s="29" customFormat="1"/>
    <row r="1153" s="29" customFormat="1"/>
    <row r="1154" s="29" customFormat="1"/>
    <row r="1155" s="29" customFormat="1"/>
    <row r="1156" s="29" customFormat="1"/>
    <row r="1157" s="29" customFormat="1"/>
    <row r="1158" s="29" customFormat="1"/>
    <row r="1159" s="29" customFormat="1"/>
    <row r="1160" s="29" customFormat="1"/>
    <row r="1161" s="29" customFormat="1"/>
    <row r="1162" s="29" customFormat="1"/>
    <row r="1163" s="29" customFormat="1"/>
    <row r="1164" s="29" customFormat="1"/>
    <row r="1165" s="29" customFormat="1"/>
    <row r="1166" s="29" customFormat="1"/>
    <row r="1167" s="29" customFormat="1"/>
    <row r="1168" s="29" customFormat="1"/>
    <row r="1169" spans="1:17" s="29" customFormat="1"/>
    <row r="1170" spans="1:17">
      <c r="A1170" s="29"/>
      <c r="B1170" s="29"/>
      <c r="C1170" s="29"/>
      <c r="D1170" s="29"/>
      <c r="E1170" s="29"/>
      <c r="F1170" s="29"/>
      <c r="G1170" s="29"/>
      <c r="H1170" s="29"/>
      <c r="I1170" s="29"/>
      <c r="J1170" s="29"/>
      <c r="K1170" s="29"/>
      <c r="L1170" s="29"/>
      <c r="M1170" s="29"/>
      <c r="N1170" s="29"/>
      <c r="O1170" s="29"/>
      <c r="P1170" s="29"/>
      <c r="Q1170" s="29"/>
    </row>
    <row r="1171" spans="1:17">
      <c r="A1171" s="29"/>
      <c r="B1171" s="29"/>
      <c r="C1171" s="29"/>
      <c r="D1171" s="29"/>
      <c r="E1171" s="29"/>
      <c r="F1171" s="29"/>
      <c r="G1171" s="29"/>
      <c r="H1171" s="29"/>
      <c r="I1171" s="29"/>
      <c r="J1171" s="29"/>
      <c r="K1171" s="29"/>
      <c r="L1171" s="29"/>
      <c r="M1171" s="29"/>
      <c r="N1171" s="29"/>
      <c r="O1171" s="29"/>
      <c r="P1171" s="29"/>
      <c r="Q1171" s="29"/>
    </row>
    <row r="1172" spans="1:17">
      <c r="A1172" s="29"/>
      <c r="B1172" s="29"/>
      <c r="C1172" s="29"/>
      <c r="D1172" s="29"/>
      <c r="E1172" s="29"/>
      <c r="F1172" s="29"/>
      <c r="G1172" s="29"/>
      <c r="H1172" s="29"/>
      <c r="I1172" s="29"/>
      <c r="J1172" s="29"/>
      <c r="K1172" s="29"/>
      <c r="L1172" s="29"/>
      <c r="M1172" s="29"/>
      <c r="N1172" s="29"/>
      <c r="O1172" s="29"/>
      <c r="P1172" s="29"/>
      <c r="Q1172" s="29"/>
    </row>
    <row r="1173" spans="1:17">
      <c r="A1173" s="29"/>
      <c r="B1173" s="29"/>
      <c r="C1173" s="29"/>
      <c r="D1173" s="29"/>
      <c r="E1173" s="29"/>
      <c r="F1173" s="29"/>
      <c r="G1173" s="29"/>
      <c r="H1173" s="29"/>
      <c r="I1173" s="29"/>
      <c r="J1173" s="29"/>
      <c r="K1173" s="29"/>
      <c r="L1173" s="29"/>
      <c r="M1173" s="29"/>
      <c r="N1173" s="29"/>
      <c r="O1173" s="29"/>
      <c r="P1173" s="29"/>
      <c r="Q1173" s="29"/>
    </row>
    <row r="1174" spans="1:17">
      <c r="A1174" s="29"/>
      <c r="B1174" s="29"/>
      <c r="C1174" s="29"/>
      <c r="D1174" s="29"/>
      <c r="E1174" s="29"/>
      <c r="F1174" s="29"/>
      <c r="G1174" s="29"/>
      <c r="H1174" s="29"/>
      <c r="I1174" s="29"/>
      <c r="J1174" s="29"/>
      <c r="K1174" s="29"/>
      <c r="L1174" s="29"/>
      <c r="M1174" s="29"/>
      <c r="N1174" s="29"/>
      <c r="O1174" s="29"/>
      <c r="P1174" s="29"/>
      <c r="Q1174" s="29"/>
    </row>
    <row r="1175" spans="1:17">
      <c r="A1175" s="29"/>
      <c r="B1175" s="29"/>
      <c r="C1175" s="29"/>
      <c r="D1175" s="29"/>
      <c r="E1175" s="29"/>
      <c r="F1175" s="29"/>
      <c r="G1175" s="29"/>
      <c r="H1175" s="29"/>
      <c r="I1175" s="29"/>
      <c r="J1175" s="29"/>
      <c r="K1175" s="29"/>
      <c r="L1175" s="29"/>
      <c r="M1175" s="29"/>
      <c r="N1175" s="29"/>
      <c r="O1175" s="29"/>
      <c r="P1175" s="29"/>
      <c r="Q1175" s="29"/>
    </row>
    <row r="1176" spans="1:17">
      <c r="A1176" s="29"/>
      <c r="B1176" s="29"/>
      <c r="C1176" s="29"/>
      <c r="D1176" s="29"/>
      <c r="E1176" s="29"/>
      <c r="F1176" s="29"/>
      <c r="G1176" s="29"/>
      <c r="H1176" s="29"/>
      <c r="I1176" s="29"/>
      <c r="J1176" s="29"/>
      <c r="K1176" s="29"/>
      <c r="L1176" s="29"/>
      <c r="M1176" s="29"/>
      <c r="N1176" s="29"/>
      <c r="O1176" s="29"/>
      <c r="P1176" s="29"/>
      <c r="Q1176" s="29"/>
    </row>
    <row r="1177" spans="1:17">
      <c r="A1177" s="29"/>
      <c r="B1177" s="29"/>
      <c r="C1177" s="29"/>
      <c r="D1177" s="29"/>
      <c r="E1177" s="29"/>
      <c r="F1177" s="29"/>
      <c r="G1177" s="29"/>
      <c r="H1177" s="29"/>
      <c r="I1177" s="29"/>
      <c r="J1177" s="29"/>
      <c r="K1177" s="29"/>
      <c r="L1177" s="29"/>
      <c r="M1177" s="29"/>
      <c r="N1177" s="29"/>
      <c r="O1177" s="29"/>
      <c r="P1177" s="29"/>
      <c r="Q1177" s="29"/>
    </row>
    <row r="1178" spans="1:17">
      <c r="A1178" s="29"/>
      <c r="B1178" s="29"/>
      <c r="C1178" s="29"/>
      <c r="D1178" s="29"/>
      <c r="E1178" s="29"/>
      <c r="F1178" s="29"/>
      <c r="G1178" s="29"/>
      <c r="H1178" s="29"/>
      <c r="I1178" s="29"/>
      <c r="J1178" s="29"/>
      <c r="K1178" s="29"/>
      <c r="L1178" s="29"/>
      <c r="M1178" s="29"/>
      <c r="N1178" s="29"/>
      <c r="O1178" s="29"/>
      <c r="P1178" s="29"/>
      <c r="Q1178" s="29"/>
    </row>
    <row r="1179" spans="1:17">
      <c r="A1179" s="29"/>
      <c r="B1179" s="29"/>
      <c r="C1179" s="29"/>
      <c r="D1179" s="29"/>
      <c r="E1179" s="29"/>
      <c r="F1179" s="29"/>
      <c r="G1179" s="29"/>
      <c r="H1179" s="29"/>
      <c r="I1179" s="29"/>
      <c r="J1179" s="29"/>
      <c r="K1179" s="29"/>
      <c r="L1179" s="29"/>
      <c r="M1179" s="29"/>
      <c r="N1179" s="29"/>
      <c r="O1179" s="29"/>
      <c r="P1179" s="29"/>
      <c r="Q1179" s="29"/>
    </row>
    <row r="1180" spans="1:17">
      <c r="A1180" s="29"/>
      <c r="B1180" s="29"/>
      <c r="C1180" s="29"/>
      <c r="D1180" s="29"/>
      <c r="E1180" s="29"/>
      <c r="F1180" s="29"/>
      <c r="G1180" s="29"/>
      <c r="H1180" s="29"/>
      <c r="I1180" s="29"/>
      <c r="J1180" s="29"/>
      <c r="K1180" s="29"/>
      <c r="L1180" s="29"/>
      <c r="M1180" s="29"/>
      <c r="N1180" s="29"/>
      <c r="O1180" s="29"/>
      <c r="P1180" s="29"/>
      <c r="Q1180" s="29"/>
    </row>
    <row r="1181" spans="1:17">
      <c r="A1181" s="29"/>
      <c r="B1181" s="29"/>
      <c r="C1181" s="29"/>
      <c r="D1181" s="29"/>
      <c r="E1181" s="29"/>
      <c r="F1181" s="29"/>
      <c r="G1181" s="29"/>
      <c r="H1181" s="29"/>
      <c r="I1181" s="29"/>
      <c r="J1181" s="29"/>
      <c r="K1181" s="29"/>
      <c r="L1181" s="29"/>
      <c r="M1181" s="29"/>
      <c r="N1181" s="29"/>
      <c r="O1181" s="29"/>
      <c r="P1181" s="29"/>
      <c r="Q1181" s="29"/>
    </row>
    <row r="1182" spans="1:17">
      <c r="A1182" s="29"/>
      <c r="B1182" s="29"/>
      <c r="C1182" s="29"/>
      <c r="D1182" s="29"/>
      <c r="E1182" s="29"/>
      <c r="F1182" s="29"/>
      <c r="G1182" s="29"/>
      <c r="H1182" s="29"/>
      <c r="I1182" s="29"/>
      <c r="J1182" s="29"/>
      <c r="K1182" s="29"/>
      <c r="L1182" s="29"/>
      <c r="M1182" s="29"/>
      <c r="N1182" s="29"/>
      <c r="O1182" s="29"/>
      <c r="P1182" s="29"/>
      <c r="Q1182" s="29"/>
    </row>
    <row r="1183" spans="1:17">
      <c r="A1183" s="29"/>
      <c r="B1183" s="29"/>
      <c r="C1183" s="29"/>
      <c r="D1183" s="29"/>
      <c r="E1183" s="29"/>
      <c r="F1183" s="29"/>
      <c r="G1183" s="29"/>
      <c r="H1183" s="29"/>
      <c r="I1183" s="29"/>
      <c r="J1183" s="29"/>
      <c r="K1183" s="29"/>
      <c r="L1183" s="29"/>
      <c r="M1183" s="29"/>
      <c r="N1183" s="29"/>
      <c r="O1183" s="29"/>
      <c r="P1183" s="29"/>
      <c r="Q1183" s="29"/>
    </row>
    <row r="1184" spans="1:17">
      <c r="A1184" s="29"/>
      <c r="B1184" s="29"/>
      <c r="C1184" s="29"/>
      <c r="D1184" s="29"/>
      <c r="E1184" s="29"/>
      <c r="F1184" s="29"/>
      <c r="G1184" s="29"/>
      <c r="H1184" s="29"/>
      <c r="I1184" s="29"/>
      <c r="J1184" s="29"/>
      <c r="K1184" s="29"/>
      <c r="L1184" s="29"/>
      <c r="M1184" s="29"/>
      <c r="N1184" s="29"/>
      <c r="O1184" s="29"/>
      <c r="P1184" s="29"/>
      <c r="Q1184" s="29"/>
    </row>
    <row r="1185" spans="1:17">
      <c r="A1185" s="29"/>
      <c r="B1185" s="29"/>
      <c r="C1185" s="29"/>
      <c r="D1185" s="29"/>
      <c r="E1185" s="29"/>
      <c r="F1185" s="29"/>
      <c r="G1185" s="29"/>
      <c r="H1185" s="29"/>
      <c r="I1185" s="29"/>
      <c r="J1185" s="29"/>
      <c r="K1185" s="29"/>
      <c r="L1185" s="29"/>
      <c r="M1185" s="29"/>
      <c r="N1185" s="29"/>
      <c r="O1185" s="29"/>
      <c r="P1185" s="29"/>
      <c r="Q1185" s="29"/>
    </row>
    <row r="1186" spans="1:17">
      <c r="A1186" s="29"/>
      <c r="B1186" s="29"/>
      <c r="C1186" s="29"/>
      <c r="D1186" s="29"/>
      <c r="E1186" s="29"/>
      <c r="F1186" s="29"/>
      <c r="G1186" s="29"/>
      <c r="H1186" s="29"/>
      <c r="I1186" s="29"/>
      <c r="J1186" s="29"/>
      <c r="K1186" s="29"/>
      <c r="L1186" s="29"/>
      <c r="M1186" s="29"/>
      <c r="N1186" s="29"/>
      <c r="O1186" s="29"/>
      <c r="P1186" s="29"/>
      <c r="Q1186" s="29"/>
    </row>
    <row r="1187" spans="1:17">
      <c r="A1187" s="29"/>
      <c r="B1187" s="29"/>
      <c r="C1187" s="29"/>
      <c r="D1187" s="29"/>
      <c r="E1187" s="29"/>
      <c r="F1187" s="29"/>
      <c r="G1187" s="29"/>
      <c r="H1187" s="29"/>
      <c r="I1187" s="29"/>
      <c r="J1187" s="29"/>
      <c r="K1187" s="29"/>
      <c r="L1187" s="29"/>
      <c r="M1187" s="29"/>
      <c r="N1187" s="29"/>
      <c r="O1187" s="29"/>
      <c r="P1187" s="29"/>
      <c r="Q1187" s="29"/>
    </row>
    <row r="1188" spans="1:17">
      <c r="A1188" s="29"/>
      <c r="B1188" s="29"/>
      <c r="C1188" s="29"/>
      <c r="D1188" s="29"/>
      <c r="E1188" s="29"/>
      <c r="F1188" s="29"/>
      <c r="G1188" s="29"/>
      <c r="H1188" s="29"/>
      <c r="I1188" s="29"/>
      <c r="J1188" s="29"/>
      <c r="K1188" s="29"/>
      <c r="L1188" s="29"/>
      <c r="M1188" s="29"/>
      <c r="N1188" s="29"/>
      <c r="O1188" s="29"/>
      <c r="P1188" s="29"/>
      <c r="Q1188" s="29"/>
    </row>
    <row r="1189" spans="1:17">
      <c r="A1189" s="29"/>
      <c r="B1189" s="29"/>
      <c r="C1189" s="29"/>
      <c r="D1189" s="29"/>
      <c r="E1189" s="29"/>
      <c r="F1189" s="29"/>
      <c r="G1189" s="29"/>
      <c r="H1189" s="29"/>
      <c r="I1189" s="29"/>
      <c r="J1189" s="29"/>
      <c r="K1189" s="29"/>
      <c r="L1189" s="29"/>
      <c r="M1189" s="29"/>
      <c r="N1189" s="29"/>
      <c r="O1189" s="29"/>
      <c r="P1189" s="29"/>
      <c r="Q1189" s="29"/>
    </row>
    <row r="1190" spans="1:17">
      <c r="A1190" s="29"/>
      <c r="B1190" s="29"/>
      <c r="C1190" s="29"/>
      <c r="D1190" s="29"/>
      <c r="E1190" s="29"/>
      <c r="F1190" s="29"/>
      <c r="G1190" s="29"/>
      <c r="H1190" s="29"/>
      <c r="I1190" s="29"/>
      <c r="J1190" s="29"/>
      <c r="K1190" s="29"/>
      <c r="L1190" s="29"/>
      <c r="M1190" s="29"/>
      <c r="N1190" s="29"/>
      <c r="O1190" s="29"/>
      <c r="P1190" s="29"/>
      <c r="Q1190" s="29"/>
    </row>
    <row r="1191" spans="1:17">
      <c r="A1191" s="29"/>
      <c r="B1191" s="29"/>
      <c r="C1191" s="29"/>
      <c r="D1191" s="29"/>
      <c r="E1191" s="29"/>
      <c r="F1191" s="29"/>
      <c r="G1191" s="29"/>
      <c r="H1191" s="29"/>
      <c r="I1191" s="29"/>
      <c r="J1191" s="29"/>
      <c r="K1191" s="29"/>
      <c r="L1191" s="29"/>
      <c r="M1191" s="29"/>
      <c r="N1191" s="29"/>
      <c r="O1191" s="29"/>
      <c r="P1191" s="29"/>
      <c r="Q1191" s="29"/>
    </row>
    <row r="1192" spans="1:17">
      <c r="A1192" s="29"/>
      <c r="B1192" s="29"/>
      <c r="C1192" s="29"/>
      <c r="D1192" s="29"/>
      <c r="E1192" s="29"/>
      <c r="F1192" s="29"/>
      <c r="G1192" s="29"/>
      <c r="H1192" s="29"/>
      <c r="I1192" s="29"/>
      <c r="J1192" s="29"/>
      <c r="K1192" s="29"/>
      <c r="L1192" s="29"/>
      <c r="M1192" s="29"/>
      <c r="N1192" s="29"/>
      <c r="O1192" s="29"/>
      <c r="P1192" s="29"/>
      <c r="Q1192" s="29"/>
    </row>
    <row r="1193" spans="1:17">
      <c r="A1193" s="29"/>
      <c r="B1193" s="29"/>
      <c r="C1193" s="29"/>
      <c r="D1193" s="29"/>
      <c r="E1193" s="29"/>
      <c r="F1193" s="29"/>
      <c r="G1193" s="29"/>
      <c r="H1193" s="29"/>
      <c r="I1193" s="29"/>
      <c r="J1193" s="29"/>
      <c r="K1193" s="29"/>
      <c r="L1193" s="29"/>
      <c r="M1193" s="29"/>
      <c r="N1193" s="29"/>
      <c r="O1193" s="29"/>
      <c r="P1193" s="29"/>
      <c r="Q1193" s="29"/>
    </row>
    <row r="1194" spans="1:17">
      <c r="A1194" s="29"/>
      <c r="B1194" s="29"/>
      <c r="C1194" s="29"/>
      <c r="D1194" s="29"/>
      <c r="E1194" s="29"/>
      <c r="F1194" s="29"/>
      <c r="G1194" s="29"/>
      <c r="H1194" s="29"/>
      <c r="I1194" s="29"/>
      <c r="J1194" s="29"/>
      <c r="K1194" s="29"/>
      <c r="L1194" s="29"/>
      <c r="M1194" s="29"/>
      <c r="N1194" s="29"/>
      <c r="O1194" s="29"/>
      <c r="P1194" s="29"/>
      <c r="Q1194" s="29"/>
    </row>
    <row r="1195" spans="1:17">
      <c r="A1195" s="29"/>
      <c r="B1195" s="29"/>
      <c r="C1195" s="29"/>
      <c r="D1195" s="29"/>
      <c r="E1195" s="29"/>
      <c r="F1195" s="29"/>
      <c r="G1195" s="29"/>
      <c r="H1195" s="29"/>
      <c r="I1195" s="29"/>
      <c r="J1195" s="29"/>
      <c r="K1195" s="29"/>
      <c r="L1195" s="29"/>
      <c r="M1195" s="29"/>
      <c r="N1195" s="29"/>
      <c r="O1195" s="29"/>
      <c r="P1195" s="29"/>
      <c r="Q1195" s="29"/>
    </row>
    <row r="1196" spans="1:17">
      <c r="A1196" s="29"/>
      <c r="B1196" s="29"/>
      <c r="C1196" s="29"/>
      <c r="D1196" s="29"/>
      <c r="E1196" s="29"/>
      <c r="F1196" s="29"/>
      <c r="G1196" s="29"/>
      <c r="H1196" s="29"/>
      <c r="I1196" s="29"/>
      <c r="J1196" s="29"/>
      <c r="K1196" s="29"/>
      <c r="L1196" s="29"/>
      <c r="M1196" s="29"/>
      <c r="N1196" s="29"/>
      <c r="O1196" s="29"/>
      <c r="P1196" s="29"/>
      <c r="Q1196" s="29"/>
    </row>
    <row r="1197" spans="1:17">
      <c r="A1197" s="29"/>
      <c r="B1197" s="29"/>
      <c r="C1197" s="29"/>
      <c r="D1197" s="29"/>
      <c r="E1197" s="29"/>
      <c r="F1197" s="29"/>
      <c r="G1197" s="29"/>
      <c r="H1197" s="29"/>
      <c r="I1197" s="29"/>
      <c r="J1197" s="29"/>
      <c r="K1197" s="29"/>
      <c r="L1197" s="29"/>
      <c r="M1197" s="29"/>
      <c r="N1197" s="29"/>
      <c r="O1197" s="29"/>
      <c r="P1197" s="29"/>
      <c r="Q1197" s="29"/>
    </row>
    <row r="1198" spans="1:17">
      <c r="A1198" s="29"/>
      <c r="B1198" s="29"/>
      <c r="C1198" s="29"/>
      <c r="D1198" s="29"/>
      <c r="E1198" s="29"/>
      <c r="F1198" s="29"/>
      <c r="G1198" s="29"/>
      <c r="H1198" s="29"/>
      <c r="I1198" s="29"/>
      <c r="J1198" s="29"/>
      <c r="K1198" s="29"/>
      <c r="L1198" s="29"/>
      <c r="M1198" s="29"/>
      <c r="N1198" s="29"/>
      <c r="O1198" s="29"/>
      <c r="P1198" s="29"/>
      <c r="Q1198" s="29"/>
    </row>
    <row r="1199" spans="1:17">
      <c r="A1199" s="29"/>
      <c r="B1199" s="29"/>
      <c r="C1199" s="29"/>
      <c r="D1199" s="29"/>
      <c r="E1199" s="29"/>
      <c r="F1199" s="29"/>
      <c r="G1199" s="29"/>
      <c r="H1199" s="29"/>
      <c r="I1199" s="29"/>
      <c r="J1199" s="29"/>
      <c r="K1199" s="29"/>
      <c r="L1199" s="29"/>
      <c r="M1199" s="29"/>
      <c r="N1199" s="29"/>
      <c r="O1199" s="29"/>
      <c r="P1199" s="29"/>
      <c r="Q1199" s="29"/>
    </row>
    <row r="1200" spans="1:17">
      <c r="A1200" s="29"/>
      <c r="B1200" s="29"/>
      <c r="C1200" s="29"/>
      <c r="D1200" s="29"/>
      <c r="E1200" s="29"/>
      <c r="F1200" s="29"/>
      <c r="G1200" s="29"/>
      <c r="H1200" s="29"/>
      <c r="I1200" s="29"/>
      <c r="J1200" s="29"/>
      <c r="K1200" s="29"/>
      <c r="L1200" s="29"/>
      <c r="M1200" s="29"/>
      <c r="N1200" s="29"/>
      <c r="O1200" s="29"/>
      <c r="P1200" s="29"/>
      <c r="Q1200" s="29"/>
    </row>
    <row r="1201" spans="1:17">
      <c r="A1201" s="29"/>
      <c r="B1201" s="29"/>
      <c r="C1201" s="29"/>
      <c r="D1201" s="29"/>
      <c r="E1201" s="29"/>
      <c r="F1201" s="29"/>
      <c r="G1201" s="29"/>
      <c r="H1201" s="29"/>
      <c r="I1201" s="29"/>
      <c r="J1201" s="29"/>
      <c r="K1201" s="29"/>
      <c r="L1201" s="29"/>
      <c r="M1201" s="29"/>
      <c r="N1201" s="29"/>
      <c r="O1201" s="29"/>
      <c r="P1201" s="29"/>
      <c r="Q1201" s="29"/>
    </row>
    <row r="1202" spans="1:17">
      <c r="A1202" s="29"/>
      <c r="B1202" s="29"/>
      <c r="C1202" s="29"/>
      <c r="D1202" s="29"/>
      <c r="E1202" s="29"/>
      <c r="F1202" s="29"/>
      <c r="G1202" s="29"/>
      <c r="H1202" s="29"/>
      <c r="I1202" s="29"/>
      <c r="J1202" s="29"/>
      <c r="K1202" s="29"/>
      <c r="L1202" s="29"/>
      <c r="M1202" s="29"/>
      <c r="N1202" s="29"/>
      <c r="O1202" s="29"/>
      <c r="P1202" s="29"/>
      <c r="Q1202" s="29"/>
    </row>
    <row r="1203" spans="1:17">
      <c r="A1203" s="29"/>
      <c r="B1203" s="29"/>
      <c r="C1203" s="29"/>
      <c r="D1203" s="29"/>
      <c r="E1203" s="29"/>
      <c r="F1203" s="29"/>
      <c r="G1203" s="29"/>
      <c r="H1203" s="29"/>
      <c r="I1203" s="29"/>
      <c r="J1203" s="29"/>
      <c r="K1203" s="29"/>
      <c r="L1203" s="29"/>
      <c r="M1203" s="29"/>
      <c r="N1203" s="29"/>
      <c r="O1203" s="29"/>
      <c r="P1203" s="29"/>
      <c r="Q1203" s="29"/>
    </row>
    <row r="1204" spans="1:17">
      <c r="A1204" s="29"/>
      <c r="B1204" s="29"/>
      <c r="C1204" s="29"/>
      <c r="D1204" s="29"/>
      <c r="E1204" s="29"/>
      <c r="F1204" s="29"/>
      <c r="G1204" s="29"/>
      <c r="H1204" s="29"/>
      <c r="I1204" s="29"/>
      <c r="J1204" s="29"/>
      <c r="K1204" s="29"/>
      <c r="L1204" s="29"/>
      <c r="M1204" s="29"/>
      <c r="N1204" s="29"/>
      <c r="O1204" s="29"/>
      <c r="P1204" s="29"/>
      <c r="Q1204" s="29"/>
    </row>
    <row r="1205" spans="1:17">
      <c r="A1205" s="29"/>
      <c r="B1205" s="29"/>
      <c r="C1205" s="29"/>
      <c r="D1205" s="29"/>
      <c r="E1205" s="29"/>
      <c r="F1205" s="29"/>
      <c r="G1205" s="29"/>
      <c r="H1205" s="29"/>
      <c r="I1205" s="29"/>
      <c r="J1205" s="29"/>
      <c r="K1205" s="29"/>
      <c r="L1205" s="29"/>
      <c r="M1205" s="29"/>
      <c r="N1205" s="29"/>
      <c r="O1205" s="29"/>
      <c r="P1205" s="29"/>
      <c r="Q1205" s="29"/>
    </row>
    <row r="1206" spans="1:17">
      <c r="A1206" s="29"/>
      <c r="B1206" s="29"/>
      <c r="C1206" s="29"/>
      <c r="D1206" s="29"/>
      <c r="E1206" s="29"/>
      <c r="F1206" s="29"/>
      <c r="G1206" s="29"/>
      <c r="H1206" s="29"/>
      <c r="I1206" s="29"/>
      <c r="J1206" s="29"/>
      <c r="K1206" s="29"/>
      <c r="L1206" s="29"/>
      <c r="M1206" s="29"/>
      <c r="N1206" s="29"/>
      <c r="O1206" s="29"/>
      <c r="P1206" s="29"/>
      <c r="Q1206" s="29"/>
    </row>
    <row r="1207" spans="1:17">
      <c r="A1207" s="29"/>
      <c r="B1207" s="29"/>
      <c r="C1207" s="29"/>
      <c r="D1207" s="29"/>
      <c r="E1207" s="29"/>
      <c r="F1207" s="29"/>
      <c r="G1207" s="29"/>
      <c r="H1207" s="29"/>
      <c r="I1207" s="29"/>
      <c r="J1207" s="29"/>
      <c r="K1207" s="29"/>
      <c r="L1207" s="29"/>
      <c r="M1207" s="29"/>
      <c r="N1207" s="29"/>
      <c r="O1207" s="29"/>
      <c r="P1207" s="29"/>
      <c r="Q1207" s="29"/>
    </row>
    <row r="1208" spans="1:17">
      <c r="A1208" s="29"/>
      <c r="B1208" s="29"/>
      <c r="C1208" s="29"/>
      <c r="D1208" s="29"/>
      <c r="E1208" s="29"/>
      <c r="F1208" s="29"/>
      <c r="G1208" s="29"/>
      <c r="H1208" s="29"/>
      <c r="I1208" s="29"/>
      <c r="J1208" s="29"/>
      <c r="K1208" s="29"/>
      <c r="L1208" s="29"/>
      <c r="M1208" s="29"/>
      <c r="N1208" s="29"/>
      <c r="O1208" s="29"/>
      <c r="P1208" s="29"/>
      <c r="Q1208" s="29"/>
    </row>
    <row r="1209" spans="1:17">
      <c r="A1209" s="29"/>
      <c r="B1209" s="29"/>
      <c r="C1209" s="29"/>
      <c r="D1209" s="29"/>
      <c r="E1209" s="29"/>
      <c r="F1209" s="29"/>
      <c r="G1209" s="29"/>
      <c r="H1209" s="29"/>
      <c r="I1209" s="29"/>
      <c r="J1209" s="29"/>
      <c r="K1209" s="29"/>
      <c r="L1209" s="29"/>
      <c r="M1209" s="29"/>
      <c r="N1209" s="29"/>
      <c r="O1209" s="29"/>
      <c r="P1209" s="29"/>
      <c r="Q1209" s="29"/>
    </row>
    <row r="1210" spans="1:17">
      <c r="A1210" s="29"/>
      <c r="B1210" s="29"/>
      <c r="C1210" s="29"/>
      <c r="D1210" s="29"/>
      <c r="E1210" s="29"/>
      <c r="F1210" s="29"/>
      <c r="G1210" s="29"/>
      <c r="H1210" s="29"/>
      <c r="I1210" s="29"/>
      <c r="J1210" s="29"/>
      <c r="K1210" s="29"/>
      <c r="L1210" s="29"/>
      <c r="M1210" s="29"/>
      <c r="N1210" s="29"/>
      <c r="O1210" s="29"/>
      <c r="P1210" s="29"/>
      <c r="Q1210" s="29"/>
    </row>
    <row r="1211" spans="1:17">
      <c r="A1211" s="29"/>
      <c r="B1211" s="29"/>
      <c r="C1211" s="29"/>
      <c r="D1211" s="29"/>
      <c r="E1211" s="29"/>
      <c r="F1211" s="29"/>
      <c r="G1211" s="29"/>
      <c r="H1211" s="29"/>
      <c r="I1211" s="29"/>
      <c r="J1211" s="29"/>
      <c r="K1211" s="29"/>
      <c r="L1211" s="29"/>
      <c r="M1211" s="29"/>
      <c r="N1211" s="29"/>
      <c r="O1211" s="29"/>
      <c r="P1211" s="29"/>
      <c r="Q1211" s="29"/>
    </row>
    <row r="1212" spans="1:17">
      <c r="A1212" s="29"/>
      <c r="B1212" s="29"/>
      <c r="C1212" s="29"/>
      <c r="D1212" s="29"/>
      <c r="E1212" s="29"/>
      <c r="F1212" s="29"/>
      <c r="G1212" s="29"/>
      <c r="H1212" s="29"/>
      <c r="I1212" s="29"/>
      <c r="J1212" s="29"/>
      <c r="K1212" s="29"/>
      <c r="L1212" s="29"/>
      <c r="M1212" s="29"/>
      <c r="N1212" s="29"/>
      <c r="O1212" s="29"/>
      <c r="P1212" s="29"/>
      <c r="Q1212" s="29"/>
    </row>
    <row r="1213" spans="1:17">
      <c r="A1213" s="29"/>
      <c r="B1213" s="29"/>
      <c r="C1213" s="29"/>
      <c r="D1213" s="29"/>
      <c r="E1213" s="29"/>
      <c r="F1213" s="29"/>
      <c r="G1213" s="29"/>
      <c r="H1213" s="29"/>
      <c r="I1213" s="29"/>
      <c r="J1213" s="29"/>
      <c r="K1213" s="29"/>
      <c r="L1213" s="29"/>
      <c r="M1213" s="29"/>
      <c r="N1213" s="29"/>
      <c r="O1213" s="29"/>
      <c r="P1213" s="29"/>
      <c r="Q1213" s="29"/>
    </row>
    <row r="1214" spans="1:17">
      <c r="A1214" s="29"/>
      <c r="B1214" s="29"/>
      <c r="C1214" s="29"/>
      <c r="D1214" s="29"/>
      <c r="E1214" s="29"/>
      <c r="F1214" s="29"/>
      <c r="G1214" s="29"/>
      <c r="H1214" s="29"/>
      <c r="I1214" s="29"/>
      <c r="J1214" s="29"/>
      <c r="K1214" s="29"/>
      <c r="L1214" s="29"/>
      <c r="M1214" s="29"/>
      <c r="N1214" s="29"/>
      <c r="O1214" s="29"/>
      <c r="P1214" s="29"/>
      <c r="Q1214" s="29"/>
    </row>
    <row r="1215" spans="1:17">
      <c r="A1215" s="29"/>
      <c r="B1215" s="29"/>
      <c r="C1215" s="29"/>
      <c r="D1215" s="29"/>
      <c r="E1215" s="29"/>
      <c r="F1215" s="29"/>
      <c r="G1215" s="29"/>
      <c r="H1215" s="29"/>
      <c r="I1215" s="29"/>
      <c r="J1215" s="29"/>
      <c r="K1215" s="29"/>
      <c r="L1215" s="29"/>
      <c r="M1215" s="29"/>
      <c r="N1215" s="29"/>
      <c r="O1215" s="29"/>
      <c r="P1215" s="29"/>
      <c r="Q1215" s="29"/>
    </row>
    <row r="1216" spans="1:17">
      <c r="A1216" s="29"/>
      <c r="B1216" s="29"/>
      <c r="C1216" s="29"/>
      <c r="D1216" s="29"/>
      <c r="E1216" s="29"/>
      <c r="F1216" s="29"/>
      <c r="G1216" s="29"/>
      <c r="H1216" s="29"/>
      <c r="I1216" s="29"/>
      <c r="J1216" s="29"/>
      <c r="K1216" s="29"/>
      <c r="L1216" s="29"/>
      <c r="M1216" s="29"/>
      <c r="N1216" s="29"/>
      <c r="O1216" s="29"/>
      <c r="P1216" s="29"/>
      <c r="Q1216" s="29"/>
    </row>
    <row r="1217" spans="1:17">
      <c r="A1217" s="29"/>
      <c r="B1217" s="29"/>
      <c r="C1217" s="29"/>
      <c r="D1217" s="29"/>
      <c r="E1217" s="29"/>
      <c r="F1217" s="29"/>
      <c r="G1217" s="29"/>
      <c r="H1217" s="29"/>
      <c r="I1217" s="29"/>
      <c r="J1217" s="29"/>
      <c r="K1217" s="29"/>
      <c r="L1217" s="29"/>
      <c r="M1217" s="29"/>
      <c r="N1217" s="29"/>
      <c r="O1217" s="29"/>
      <c r="P1217" s="29"/>
      <c r="Q1217" s="29"/>
    </row>
    <row r="1218" spans="1:17">
      <c r="A1218" s="29"/>
      <c r="B1218" s="29"/>
      <c r="C1218" s="29"/>
      <c r="D1218" s="29"/>
      <c r="E1218" s="29"/>
      <c r="F1218" s="29"/>
      <c r="G1218" s="29"/>
      <c r="H1218" s="29"/>
      <c r="I1218" s="29"/>
      <c r="J1218" s="29"/>
      <c r="K1218" s="29"/>
      <c r="L1218" s="29"/>
      <c r="M1218" s="29"/>
      <c r="N1218" s="29"/>
      <c r="O1218" s="29"/>
      <c r="P1218" s="29"/>
      <c r="Q1218" s="29"/>
    </row>
    <row r="1219" spans="1:17">
      <c r="A1219" s="29"/>
      <c r="B1219" s="29"/>
      <c r="C1219" s="29"/>
      <c r="D1219" s="29"/>
      <c r="E1219" s="29"/>
      <c r="F1219" s="29"/>
      <c r="G1219" s="29"/>
      <c r="H1219" s="29"/>
      <c r="I1219" s="29"/>
      <c r="J1219" s="29"/>
      <c r="K1219" s="29"/>
      <c r="L1219" s="29"/>
      <c r="M1219" s="29"/>
      <c r="N1219" s="29"/>
      <c r="O1219" s="29"/>
      <c r="P1219" s="29"/>
      <c r="Q1219" s="29"/>
    </row>
    <row r="1220" spans="1:17">
      <c r="A1220" s="29"/>
      <c r="B1220" s="29"/>
      <c r="C1220" s="29"/>
      <c r="D1220" s="29"/>
      <c r="E1220" s="29"/>
      <c r="F1220" s="29"/>
      <c r="G1220" s="29"/>
      <c r="H1220" s="29"/>
      <c r="I1220" s="29"/>
      <c r="J1220" s="29"/>
      <c r="K1220" s="29"/>
      <c r="L1220" s="29"/>
      <c r="M1220" s="29"/>
      <c r="N1220" s="29"/>
      <c r="O1220" s="29"/>
      <c r="P1220" s="29"/>
      <c r="Q1220" s="29"/>
    </row>
    <row r="1221" spans="1:17">
      <c r="A1221" s="29"/>
      <c r="B1221" s="29"/>
      <c r="C1221" s="29"/>
      <c r="D1221" s="29"/>
      <c r="E1221" s="29"/>
      <c r="F1221" s="29"/>
      <c r="G1221" s="29"/>
      <c r="H1221" s="29"/>
      <c r="I1221" s="29"/>
      <c r="J1221" s="29"/>
      <c r="K1221" s="29"/>
      <c r="L1221" s="29"/>
      <c r="M1221" s="29"/>
      <c r="N1221" s="29"/>
      <c r="O1221" s="29"/>
      <c r="P1221" s="29"/>
      <c r="Q1221" s="29"/>
    </row>
    <row r="1222" spans="1:17">
      <c r="A1222" s="29"/>
      <c r="B1222" s="29"/>
      <c r="C1222" s="29"/>
      <c r="D1222" s="29"/>
      <c r="E1222" s="29"/>
      <c r="F1222" s="29"/>
      <c r="G1222" s="29"/>
      <c r="H1222" s="29"/>
      <c r="I1222" s="29"/>
      <c r="J1222" s="29"/>
      <c r="K1222" s="29"/>
      <c r="L1222" s="29"/>
      <c r="M1222" s="29"/>
      <c r="N1222" s="29"/>
      <c r="O1222" s="29"/>
      <c r="P1222" s="29"/>
      <c r="Q1222" s="29"/>
    </row>
    <row r="1223" spans="1:17">
      <c r="A1223" s="29"/>
      <c r="B1223" s="29"/>
      <c r="C1223" s="29"/>
      <c r="D1223" s="29"/>
      <c r="E1223" s="29"/>
      <c r="F1223" s="29"/>
      <c r="G1223" s="29"/>
      <c r="H1223" s="29"/>
      <c r="I1223" s="29"/>
      <c r="J1223" s="29"/>
      <c r="K1223" s="29"/>
      <c r="L1223" s="29"/>
      <c r="M1223" s="29"/>
      <c r="N1223" s="29"/>
      <c r="O1223" s="29"/>
      <c r="P1223" s="29"/>
      <c r="Q1223" s="29"/>
    </row>
    <row r="1224" spans="1:17">
      <c r="A1224" s="29"/>
      <c r="B1224" s="29"/>
      <c r="C1224" s="29"/>
      <c r="D1224" s="29"/>
      <c r="E1224" s="29"/>
      <c r="F1224" s="29"/>
      <c r="G1224" s="29"/>
      <c r="H1224" s="29"/>
      <c r="I1224" s="29"/>
      <c r="J1224" s="29"/>
      <c r="K1224" s="29"/>
      <c r="L1224" s="29"/>
      <c r="M1224" s="29"/>
      <c r="N1224" s="29"/>
      <c r="O1224" s="29"/>
      <c r="P1224" s="29"/>
      <c r="Q1224" s="29"/>
    </row>
    <row r="1225" spans="1:17">
      <c r="A1225" s="29"/>
      <c r="B1225" s="29"/>
      <c r="C1225" s="29"/>
      <c r="D1225" s="29"/>
      <c r="E1225" s="29"/>
      <c r="F1225" s="29"/>
      <c r="G1225" s="29"/>
      <c r="H1225" s="29"/>
      <c r="I1225" s="29"/>
      <c r="J1225" s="29"/>
      <c r="K1225" s="29"/>
      <c r="L1225" s="29"/>
      <c r="M1225" s="29"/>
      <c r="N1225" s="29"/>
      <c r="O1225" s="29"/>
      <c r="P1225" s="29"/>
      <c r="Q1225" s="29"/>
    </row>
    <row r="1226" spans="1:17">
      <c r="A1226" s="29"/>
      <c r="B1226" s="29"/>
      <c r="C1226" s="29"/>
      <c r="D1226" s="29"/>
      <c r="E1226" s="29"/>
      <c r="F1226" s="29"/>
      <c r="G1226" s="29"/>
      <c r="H1226" s="29"/>
      <c r="I1226" s="29"/>
      <c r="J1226" s="29"/>
      <c r="K1226" s="29"/>
      <c r="L1226" s="29"/>
      <c r="M1226" s="29"/>
      <c r="N1226" s="29"/>
      <c r="O1226" s="29"/>
      <c r="P1226" s="29"/>
      <c r="Q1226" s="29"/>
    </row>
    <row r="1227" spans="1:17">
      <c r="A1227" s="29"/>
      <c r="B1227" s="29"/>
      <c r="C1227" s="29"/>
      <c r="D1227" s="29"/>
      <c r="E1227" s="29"/>
      <c r="F1227" s="29"/>
      <c r="G1227" s="29"/>
      <c r="H1227" s="29"/>
      <c r="I1227" s="29"/>
      <c r="J1227" s="29"/>
      <c r="K1227" s="29"/>
      <c r="L1227" s="29"/>
      <c r="M1227" s="29"/>
      <c r="N1227" s="29"/>
      <c r="O1227" s="29"/>
      <c r="P1227" s="29"/>
      <c r="Q1227" s="29"/>
    </row>
    <row r="1228" spans="1:17">
      <c r="A1228" s="29"/>
      <c r="B1228" s="29"/>
      <c r="C1228" s="29"/>
      <c r="D1228" s="29"/>
      <c r="E1228" s="29"/>
      <c r="F1228" s="29"/>
      <c r="G1228" s="29"/>
      <c r="H1228" s="29"/>
      <c r="I1228" s="29"/>
      <c r="J1228" s="29"/>
      <c r="K1228" s="29"/>
      <c r="L1228" s="29"/>
      <c r="M1228" s="29"/>
      <c r="N1228" s="29"/>
      <c r="O1228" s="29"/>
      <c r="P1228" s="29"/>
      <c r="Q1228" s="29"/>
    </row>
    <row r="1229" spans="1:17">
      <c r="A1229" s="29"/>
      <c r="B1229" s="29"/>
      <c r="C1229" s="29"/>
      <c r="D1229" s="29"/>
      <c r="E1229" s="29"/>
      <c r="F1229" s="29"/>
      <c r="G1229" s="29"/>
      <c r="H1229" s="29"/>
      <c r="I1229" s="29"/>
      <c r="J1229" s="29"/>
      <c r="K1229" s="29"/>
      <c r="L1229" s="29"/>
      <c r="M1229" s="29"/>
      <c r="N1229" s="29"/>
      <c r="O1229" s="29"/>
      <c r="P1229" s="29"/>
      <c r="Q1229" s="29"/>
    </row>
    <row r="1230" spans="1:17">
      <c r="A1230" s="29"/>
      <c r="B1230" s="29"/>
      <c r="C1230" s="29"/>
      <c r="D1230" s="29"/>
      <c r="E1230" s="29"/>
      <c r="F1230" s="29"/>
      <c r="G1230" s="29"/>
      <c r="H1230" s="29"/>
      <c r="I1230" s="29"/>
      <c r="J1230" s="29"/>
      <c r="K1230" s="29"/>
      <c r="L1230" s="29"/>
      <c r="M1230" s="29"/>
      <c r="N1230" s="29"/>
      <c r="O1230" s="29"/>
      <c r="P1230" s="29"/>
      <c r="Q1230" s="29"/>
    </row>
    <row r="1231" spans="1:17">
      <c r="A1231" s="29"/>
      <c r="B1231" s="29"/>
      <c r="C1231" s="29"/>
      <c r="D1231" s="29"/>
      <c r="E1231" s="29"/>
      <c r="F1231" s="29"/>
      <c r="G1231" s="29"/>
      <c r="H1231" s="29"/>
      <c r="I1231" s="29"/>
      <c r="J1231" s="29"/>
      <c r="K1231" s="29"/>
      <c r="L1231" s="29"/>
      <c r="M1231" s="29"/>
      <c r="N1231" s="29"/>
      <c r="O1231" s="29"/>
      <c r="P1231" s="29"/>
      <c r="Q1231" s="29"/>
    </row>
    <row r="1232" spans="1:17">
      <c r="A1232" s="29"/>
      <c r="B1232" s="29"/>
      <c r="C1232" s="29"/>
      <c r="D1232" s="29"/>
      <c r="E1232" s="29"/>
      <c r="F1232" s="29"/>
      <c r="G1232" s="29"/>
      <c r="H1232" s="29"/>
      <c r="I1232" s="29"/>
      <c r="J1232" s="29"/>
      <c r="K1232" s="29"/>
      <c r="L1232" s="29"/>
      <c r="M1232" s="29"/>
      <c r="N1232" s="29"/>
      <c r="O1232" s="29"/>
      <c r="P1232" s="29"/>
      <c r="Q1232" s="29"/>
    </row>
    <row r="1233" spans="1:17">
      <c r="A1233" s="29"/>
      <c r="B1233" s="29"/>
      <c r="C1233" s="29"/>
      <c r="D1233" s="29"/>
      <c r="E1233" s="29"/>
      <c r="F1233" s="29"/>
      <c r="G1233" s="29"/>
      <c r="H1233" s="29"/>
      <c r="I1233" s="29"/>
      <c r="J1233" s="29"/>
      <c r="K1233" s="29"/>
      <c r="L1233" s="29"/>
      <c r="M1233" s="29"/>
      <c r="N1233" s="29"/>
      <c r="O1233" s="29"/>
      <c r="P1233" s="29"/>
      <c r="Q1233" s="29"/>
    </row>
    <row r="1234" spans="1:17">
      <c r="A1234" s="29"/>
      <c r="B1234" s="29"/>
      <c r="C1234" s="29"/>
      <c r="D1234" s="29"/>
      <c r="E1234" s="29"/>
      <c r="F1234" s="29"/>
      <c r="G1234" s="29"/>
      <c r="H1234" s="29"/>
      <c r="I1234" s="29"/>
      <c r="J1234" s="29"/>
      <c r="K1234" s="29"/>
      <c r="L1234" s="29"/>
      <c r="M1234" s="29"/>
      <c r="N1234" s="29"/>
      <c r="O1234" s="29"/>
      <c r="P1234" s="29"/>
      <c r="Q1234" s="29"/>
    </row>
    <row r="1235" spans="1:17">
      <c r="A1235" s="29"/>
      <c r="B1235" s="29"/>
      <c r="C1235" s="29"/>
      <c r="D1235" s="29"/>
      <c r="E1235" s="29"/>
      <c r="F1235" s="29"/>
      <c r="G1235" s="29"/>
      <c r="H1235" s="29"/>
      <c r="I1235" s="29"/>
      <c r="J1235" s="29"/>
      <c r="K1235" s="29"/>
      <c r="L1235" s="29"/>
      <c r="M1235" s="29"/>
      <c r="N1235" s="29"/>
      <c r="O1235" s="29"/>
      <c r="P1235" s="29"/>
      <c r="Q1235" s="29"/>
    </row>
    <row r="1236" spans="1:17">
      <c r="A1236" s="29"/>
      <c r="B1236" s="29"/>
      <c r="C1236" s="29"/>
      <c r="D1236" s="29"/>
      <c r="E1236" s="29"/>
      <c r="F1236" s="29"/>
      <c r="G1236" s="29"/>
      <c r="H1236" s="29"/>
      <c r="I1236" s="29"/>
      <c r="J1236" s="29"/>
      <c r="K1236" s="29"/>
      <c r="L1236" s="29"/>
      <c r="M1236" s="29"/>
      <c r="N1236" s="29"/>
      <c r="O1236" s="29"/>
      <c r="P1236" s="29"/>
      <c r="Q1236" s="29"/>
    </row>
    <row r="1237" spans="1:17">
      <c r="A1237" s="29"/>
      <c r="B1237" s="29"/>
      <c r="C1237" s="29"/>
      <c r="D1237" s="29"/>
      <c r="E1237" s="29"/>
      <c r="F1237" s="29"/>
      <c r="G1237" s="29"/>
      <c r="H1237" s="29"/>
      <c r="I1237" s="29"/>
      <c r="J1237" s="29"/>
      <c r="K1237" s="29"/>
      <c r="L1237" s="29"/>
      <c r="M1237" s="29"/>
      <c r="N1237" s="29"/>
      <c r="O1237" s="29"/>
      <c r="P1237" s="29"/>
      <c r="Q1237" s="29"/>
    </row>
    <row r="1238" spans="1:17">
      <c r="A1238" s="29"/>
      <c r="B1238" s="29"/>
      <c r="C1238" s="29"/>
      <c r="D1238" s="29"/>
      <c r="E1238" s="29"/>
      <c r="F1238" s="29"/>
      <c r="G1238" s="29"/>
      <c r="H1238" s="29"/>
      <c r="I1238" s="29"/>
      <c r="J1238" s="29"/>
      <c r="K1238" s="29"/>
      <c r="L1238" s="29"/>
      <c r="M1238" s="29"/>
      <c r="N1238" s="29"/>
      <c r="O1238" s="29"/>
      <c r="P1238" s="29"/>
      <c r="Q1238" s="29"/>
    </row>
    <row r="1239" spans="1:17">
      <c r="A1239" s="29"/>
      <c r="B1239" s="29"/>
      <c r="C1239" s="29"/>
      <c r="D1239" s="29"/>
      <c r="E1239" s="29"/>
      <c r="F1239" s="29"/>
      <c r="G1239" s="29"/>
      <c r="H1239" s="29"/>
      <c r="I1239" s="29"/>
      <c r="J1239" s="29"/>
      <c r="K1239" s="29"/>
      <c r="L1239" s="29"/>
      <c r="M1239" s="29"/>
      <c r="N1239" s="29"/>
      <c r="O1239" s="29"/>
      <c r="P1239" s="29"/>
      <c r="Q1239" s="29"/>
    </row>
    <row r="1240" spans="1:17">
      <c r="A1240" s="29"/>
      <c r="B1240" s="29"/>
      <c r="C1240" s="29"/>
      <c r="D1240" s="29"/>
      <c r="E1240" s="29"/>
      <c r="F1240" s="29"/>
      <c r="G1240" s="29"/>
      <c r="H1240" s="29"/>
      <c r="I1240" s="29"/>
      <c r="J1240" s="29"/>
      <c r="K1240" s="29"/>
      <c r="L1240" s="29"/>
      <c r="M1240" s="29"/>
      <c r="N1240" s="29"/>
      <c r="O1240" s="29"/>
      <c r="P1240" s="29"/>
      <c r="Q1240" s="29"/>
    </row>
    <row r="1241" spans="1:17">
      <c r="A1241" s="29"/>
      <c r="B1241" s="29"/>
      <c r="C1241" s="29"/>
      <c r="D1241" s="29"/>
      <c r="E1241" s="29"/>
      <c r="F1241" s="29"/>
      <c r="G1241" s="29"/>
      <c r="H1241" s="29"/>
      <c r="I1241" s="29"/>
      <c r="J1241" s="29"/>
      <c r="K1241" s="29"/>
      <c r="L1241" s="29"/>
      <c r="M1241" s="29"/>
      <c r="N1241" s="29"/>
      <c r="O1241" s="29"/>
      <c r="P1241" s="29"/>
      <c r="Q1241" s="29"/>
    </row>
    <row r="1242" spans="1:17">
      <c r="A1242" s="29"/>
      <c r="B1242" s="29"/>
      <c r="C1242" s="29"/>
      <c r="D1242" s="29"/>
      <c r="E1242" s="29"/>
      <c r="F1242" s="29"/>
      <c r="G1242" s="29"/>
      <c r="H1242" s="29"/>
      <c r="I1242" s="29"/>
      <c r="J1242" s="29"/>
      <c r="K1242" s="29"/>
      <c r="L1242" s="29"/>
      <c r="M1242" s="29"/>
      <c r="N1242" s="29"/>
      <c r="O1242" s="29"/>
      <c r="P1242" s="29"/>
      <c r="Q1242" s="29"/>
    </row>
    <row r="1243" spans="1:17">
      <c r="A1243" s="29"/>
      <c r="B1243" s="29"/>
      <c r="C1243" s="29"/>
      <c r="D1243" s="29"/>
      <c r="E1243" s="29"/>
      <c r="F1243" s="29"/>
      <c r="G1243" s="29"/>
      <c r="H1243" s="29"/>
      <c r="I1243" s="29"/>
      <c r="J1243" s="29"/>
      <c r="K1243" s="29"/>
      <c r="L1243" s="29"/>
      <c r="M1243" s="29"/>
      <c r="N1243" s="29"/>
      <c r="O1243" s="29"/>
      <c r="P1243" s="29"/>
      <c r="Q1243" s="29"/>
    </row>
    <row r="1244" spans="1:17">
      <c r="A1244" s="29"/>
      <c r="B1244" s="29"/>
      <c r="C1244" s="29"/>
      <c r="D1244" s="29"/>
      <c r="E1244" s="29"/>
      <c r="F1244" s="29"/>
      <c r="G1244" s="29"/>
      <c r="H1244" s="29"/>
      <c r="I1244" s="29"/>
      <c r="J1244" s="29"/>
      <c r="K1244" s="29"/>
      <c r="L1244" s="29"/>
      <c r="M1244" s="29"/>
      <c r="N1244" s="29"/>
      <c r="O1244" s="29"/>
      <c r="P1244" s="29"/>
      <c r="Q1244" s="29"/>
    </row>
    <row r="1245" spans="1:17">
      <c r="A1245" s="29"/>
      <c r="B1245" s="29"/>
      <c r="C1245" s="29"/>
      <c r="D1245" s="29"/>
      <c r="E1245" s="29"/>
      <c r="F1245" s="29"/>
      <c r="G1245" s="29"/>
      <c r="H1245" s="29"/>
      <c r="I1245" s="29"/>
      <c r="J1245" s="29"/>
      <c r="K1245" s="29"/>
      <c r="L1245" s="29"/>
      <c r="M1245" s="29"/>
      <c r="N1245" s="29"/>
      <c r="O1245" s="29"/>
      <c r="P1245" s="29"/>
      <c r="Q1245" s="29"/>
    </row>
    <row r="1246" spans="1:17">
      <c r="A1246" s="29"/>
      <c r="B1246" s="29"/>
      <c r="C1246" s="29"/>
      <c r="D1246" s="29"/>
      <c r="E1246" s="29"/>
      <c r="F1246" s="29"/>
      <c r="G1246" s="29"/>
      <c r="H1246" s="29"/>
      <c r="I1246" s="29"/>
      <c r="J1246" s="29"/>
      <c r="K1246" s="29"/>
      <c r="L1246" s="29"/>
      <c r="M1246" s="29"/>
      <c r="N1246" s="29"/>
      <c r="O1246" s="29"/>
      <c r="P1246" s="29"/>
      <c r="Q1246" s="29"/>
    </row>
    <row r="1247" spans="1:17">
      <c r="A1247" s="29"/>
      <c r="B1247" s="29"/>
      <c r="C1247" s="29"/>
      <c r="D1247" s="29"/>
      <c r="E1247" s="29"/>
      <c r="F1247" s="29"/>
      <c r="G1247" s="29"/>
      <c r="H1247" s="29"/>
      <c r="I1247" s="29"/>
      <c r="J1247" s="29"/>
      <c r="K1247" s="29"/>
      <c r="L1247" s="29"/>
      <c r="M1247" s="29"/>
      <c r="N1247" s="29"/>
      <c r="O1247" s="29"/>
      <c r="P1247" s="29"/>
      <c r="Q1247" s="29"/>
    </row>
    <row r="1248" spans="1:17">
      <c r="A1248" s="29"/>
      <c r="B1248" s="29"/>
      <c r="C1248" s="29"/>
      <c r="D1248" s="29"/>
      <c r="E1248" s="29"/>
      <c r="F1248" s="29"/>
      <c r="G1248" s="29"/>
      <c r="H1248" s="29"/>
      <c r="I1248" s="29"/>
      <c r="J1248" s="29"/>
      <c r="K1248" s="29"/>
      <c r="L1248" s="29"/>
      <c r="M1248" s="29"/>
      <c r="N1248" s="29"/>
      <c r="O1248" s="29"/>
      <c r="P1248" s="29"/>
      <c r="Q1248" s="29"/>
    </row>
    <row r="1249" spans="1:17">
      <c r="A1249" s="29"/>
      <c r="B1249" s="29"/>
      <c r="C1249" s="29"/>
      <c r="D1249" s="29"/>
      <c r="E1249" s="29"/>
      <c r="F1249" s="29"/>
      <c r="G1249" s="29"/>
      <c r="H1249" s="29"/>
      <c r="I1249" s="29"/>
      <c r="J1249" s="29"/>
      <c r="K1249" s="29"/>
      <c r="L1249" s="29"/>
      <c r="M1249" s="29"/>
      <c r="N1249" s="29"/>
      <c r="O1249" s="29"/>
      <c r="P1249" s="29"/>
      <c r="Q1249" s="29"/>
    </row>
    <row r="1250" spans="1:17">
      <c r="A1250" s="29"/>
      <c r="B1250" s="29"/>
      <c r="C1250" s="29"/>
      <c r="D1250" s="29"/>
      <c r="E1250" s="29"/>
      <c r="F1250" s="29"/>
      <c r="G1250" s="29"/>
      <c r="H1250" s="29"/>
      <c r="I1250" s="29"/>
      <c r="J1250" s="29"/>
      <c r="K1250" s="29"/>
      <c r="L1250" s="29"/>
      <c r="M1250" s="29"/>
      <c r="N1250" s="29"/>
      <c r="O1250" s="29"/>
      <c r="P1250" s="29"/>
      <c r="Q1250" s="29"/>
    </row>
    <row r="1251" spans="1:17">
      <c r="A1251" s="29"/>
      <c r="B1251" s="29"/>
      <c r="C1251" s="29"/>
      <c r="D1251" s="29"/>
      <c r="E1251" s="29"/>
      <c r="F1251" s="29"/>
      <c r="G1251" s="29"/>
      <c r="H1251" s="29"/>
      <c r="I1251" s="29"/>
      <c r="J1251" s="29"/>
      <c r="K1251" s="29"/>
      <c r="L1251" s="29"/>
      <c r="M1251" s="29"/>
      <c r="N1251" s="29"/>
      <c r="O1251" s="29"/>
      <c r="P1251" s="29"/>
      <c r="Q1251" s="29"/>
    </row>
    <row r="1252" spans="1:17">
      <c r="A1252" s="29"/>
      <c r="B1252" s="29"/>
      <c r="C1252" s="29"/>
      <c r="D1252" s="29"/>
      <c r="E1252" s="29"/>
      <c r="F1252" s="29"/>
      <c r="G1252" s="29"/>
      <c r="H1252" s="29"/>
      <c r="I1252" s="29"/>
      <c r="J1252" s="29"/>
      <c r="K1252" s="29"/>
      <c r="L1252" s="29"/>
      <c r="M1252" s="29"/>
      <c r="N1252" s="29"/>
      <c r="O1252" s="29"/>
      <c r="P1252" s="29"/>
      <c r="Q1252" s="29"/>
    </row>
    <row r="1253" spans="1:17">
      <c r="A1253" s="29"/>
      <c r="B1253" s="29"/>
      <c r="C1253" s="29"/>
      <c r="D1253" s="29"/>
      <c r="E1253" s="29"/>
      <c r="F1253" s="29"/>
      <c r="G1253" s="29"/>
      <c r="H1253" s="29"/>
      <c r="I1253" s="29"/>
      <c r="J1253" s="29"/>
      <c r="K1253" s="29"/>
      <c r="L1253" s="29"/>
      <c r="M1253" s="29"/>
      <c r="N1253" s="29"/>
      <c r="O1253" s="29"/>
      <c r="P1253" s="29"/>
      <c r="Q1253" s="29"/>
    </row>
    <row r="1254" spans="1:17">
      <c r="A1254" s="29"/>
      <c r="B1254" s="29"/>
      <c r="C1254" s="29"/>
      <c r="D1254" s="29"/>
      <c r="E1254" s="29"/>
      <c r="F1254" s="29"/>
      <c r="G1254" s="29"/>
      <c r="H1254" s="29"/>
      <c r="I1254" s="29"/>
      <c r="J1254" s="29"/>
      <c r="K1254" s="29"/>
      <c r="L1254" s="29"/>
      <c r="M1254" s="29"/>
      <c r="N1254" s="29"/>
      <c r="O1254" s="29"/>
      <c r="P1254" s="29"/>
      <c r="Q1254" s="29"/>
    </row>
    <row r="1255" spans="1:17">
      <c r="A1255" s="29"/>
      <c r="B1255" s="29"/>
      <c r="C1255" s="29"/>
      <c r="D1255" s="29"/>
      <c r="E1255" s="29"/>
      <c r="F1255" s="29"/>
      <c r="G1255" s="29"/>
      <c r="H1255" s="29"/>
      <c r="I1255" s="29"/>
      <c r="J1255" s="29"/>
      <c r="K1255" s="29"/>
      <c r="L1255" s="29"/>
      <c r="M1255" s="29"/>
      <c r="N1255" s="29"/>
      <c r="O1255" s="29"/>
      <c r="P1255" s="29"/>
      <c r="Q1255" s="29"/>
    </row>
    <row r="1256" spans="1:17">
      <c r="A1256" s="29"/>
      <c r="B1256" s="29"/>
      <c r="C1256" s="29"/>
      <c r="D1256" s="29"/>
      <c r="E1256" s="29"/>
      <c r="F1256" s="29"/>
      <c r="G1256" s="29"/>
      <c r="H1256" s="29"/>
      <c r="I1256" s="29"/>
      <c r="J1256" s="29"/>
      <c r="K1256" s="29"/>
      <c r="L1256" s="29"/>
      <c r="M1256" s="29"/>
      <c r="N1256" s="29"/>
      <c r="O1256" s="29"/>
      <c r="P1256" s="29"/>
      <c r="Q1256" s="29"/>
    </row>
    <row r="1257" spans="1:17">
      <c r="A1257" s="29"/>
      <c r="B1257" s="29"/>
      <c r="C1257" s="29"/>
      <c r="D1257" s="29"/>
      <c r="E1257" s="29"/>
      <c r="F1257" s="29"/>
      <c r="G1257" s="29"/>
      <c r="H1257" s="29"/>
      <c r="I1257" s="29"/>
      <c r="J1257" s="29"/>
      <c r="K1257" s="29"/>
      <c r="L1257" s="29"/>
      <c r="M1257" s="29"/>
      <c r="N1257" s="29"/>
      <c r="O1257" s="29"/>
      <c r="P1257" s="29"/>
      <c r="Q1257" s="29"/>
    </row>
    <row r="1258" spans="1:17">
      <c r="A1258" s="29"/>
      <c r="B1258" s="29"/>
      <c r="C1258" s="29"/>
      <c r="D1258" s="29"/>
      <c r="E1258" s="29"/>
      <c r="F1258" s="29"/>
      <c r="G1258" s="29"/>
      <c r="H1258" s="29"/>
      <c r="I1258" s="29"/>
      <c r="J1258" s="29"/>
      <c r="K1258" s="29"/>
      <c r="L1258" s="29"/>
      <c r="M1258" s="29"/>
      <c r="N1258" s="29"/>
      <c r="O1258" s="29"/>
      <c r="P1258" s="29"/>
      <c r="Q1258" s="29"/>
    </row>
    <row r="1259" spans="1:17">
      <c r="A1259" s="29"/>
      <c r="B1259" s="29"/>
      <c r="C1259" s="29"/>
      <c r="D1259" s="29"/>
      <c r="E1259" s="29"/>
      <c r="F1259" s="29"/>
      <c r="G1259" s="29"/>
      <c r="H1259" s="29"/>
      <c r="I1259" s="29"/>
      <c r="J1259" s="29"/>
      <c r="K1259" s="29"/>
      <c r="L1259" s="29"/>
      <c r="M1259" s="29"/>
      <c r="N1259" s="29"/>
      <c r="O1259" s="29"/>
      <c r="P1259" s="29"/>
      <c r="Q1259" s="29"/>
    </row>
    <row r="1260" spans="1:17">
      <c r="A1260" s="29"/>
      <c r="B1260" s="29"/>
      <c r="C1260" s="29"/>
      <c r="D1260" s="29"/>
      <c r="E1260" s="29"/>
      <c r="F1260" s="29"/>
      <c r="G1260" s="29"/>
      <c r="H1260" s="29"/>
      <c r="I1260" s="29"/>
      <c r="J1260" s="29"/>
      <c r="K1260" s="29"/>
      <c r="L1260" s="29"/>
      <c r="M1260" s="29"/>
      <c r="N1260" s="29"/>
      <c r="O1260" s="29"/>
      <c r="P1260" s="29"/>
      <c r="Q1260" s="29"/>
    </row>
    <row r="1261" spans="1:17">
      <c r="A1261" s="29"/>
      <c r="B1261" s="29"/>
      <c r="C1261" s="29"/>
      <c r="D1261" s="29"/>
      <c r="E1261" s="29"/>
      <c r="F1261" s="29"/>
      <c r="G1261" s="29"/>
      <c r="H1261" s="29"/>
      <c r="I1261" s="29"/>
      <c r="J1261" s="29"/>
      <c r="K1261" s="29"/>
      <c r="L1261" s="29"/>
      <c r="M1261" s="29"/>
      <c r="N1261" s="29"/>
      <c r="O1261" s="29"/>
      <c r="P1261" s="29"/>
      <c r="Q1261" s="29"/>
    </row>
    <row r="1262" spans="1:17">
      <c r="A1262" s="29"/>
      <c r="B1262" s="29"/>
      <c r="C1262" s="29"/>
      <c r="D1262" s="29"/>
      <c r="E1262" s="29"/>
      <c r="F1262" s="29"/>
      <c r="G1262" s="29"/>
      <c r="H1262" s="29"/>
      <c r="I1262" s="29"/>
      <c r="J1262" s="29"/>
      <c r="K1262" s="29"/>
      <c r="L1262" s="29"/>
      <c r="M1262" s="29"/>
      <c r="N1262" s="29"/>
      <c r="O1262" s="29"/>
      <c r="P1262" s="29"/>
      <c r="Q1262" s="29"/>
    </row>
    <row r="1263" spans="1:17">
      <c r="A1263" s="29"/>
      <c r="B1263" s="29"/>
      <c r="C1263" s="29"/>
      <c r="D1263" s="29"/>
      <c r="E1263" s="29"/>
      <c r="F1263" s="29"/>
      <c r="G1263" s="29"/>
      <c r="H1263" s="29"/>
      <c r="I1263" s="29"/>
      <c r="J1263" s="29"/>
      <c r="K1263" s="29"/>
      <c r="L1263" s="29"/>
      <c r="M1263" s="29"/>
      <c r="N1263" s="29"/>
      <c r="O1263" s="29"/>
      <c r="P1263" s="29"/>
      <c r="Q1263" s="29"/>
    </row>
    <row r="1264" spans="1:17">
      <c r="A1264" s="29"/>
      <c r="B1264" s="29"/>
      <c r="C1264" s="29"/>
      <c r="D1264" s="29"/>
      <c r="E1264" s="29"/>
      <c r="F1264" s="29"/>
      <c r="G1264" s="29"/>
      <c r="H1264" s="29"/>
      <c r="I1264" s="29"/>
      <c r="J1264" s="29"/>
      <c r="K1264" s="29"/>
      <c r="L1264" s="29"/>
      <c r="M1264" s="29"/>
      <c r="N1264" s="29"/>
      <c r="O1264" s="29"/>
      <c r="P1264" s="29"/>
      <c r="Q1264" s="29"/>
    </row>
    <row r="1265" spans="1:17">
      <c r="A1265" s="29"/>
      <c r="B1265" s="29"/>
      <c r="C1265" s="29"/>
      <c r="D1265" s="29"/>
      <c r="E1265" s="29"/>
      <c r="F1265" s="29"/>
      <c r="G1265" s="29"/>
      <c r="H1265" s="29"/>
      <c r="I1265" s="29"/>
      <c r="J1265" s="29"/>
      <c r="K1265" s="29"/>
      <c r="L1265" s="29"/>
      <c r="M1265" s="29"/>
      <c r="N1265" s="29"/>
      <c r="O1265" s="29"/>
      <c r="P1265" s="29"/>
      <c r="Q1265" s="29"/>
    </row>
    <row r="1266" spans="1:17">
      <c r="A1266" s="29"/>
      <c r="B1266" s="29"/>
      <c r="C1266" s="29"/>
      <c r="D1266" s="29"/>
      <c r="E1266" s="29"/>
      <c r="F1266" s="29"/>
      <c r="G1266" s="29"/>
      <c r="H1266" s="29"/>
      <c r="I1266" s="29"/>
      <c r="J1266" s="29"/>
      <c r="K1266" s="29"/>
      <c r="L1266" s="29"/>
      <c r="M1266" s="29"/>
      <c r="N1266" s="29"/>
      <c r="O1266" s="29"/>
      <c r="P1266" s="29"/>
      <c r="Q1266" s="29"/>
    </row>
    <row r="1267" spans="1:17">
      <c r="A1267" s="29"/>
      <c r="B1267" s="29"/>
      <c r="C1267" s="29"/>
      <c r="D1267" s="29"/>
      <c r="E1267" s="29"/>
      <c r="F1267" s="29"/>
      <c r="G1267" s="29"/>
      <c r="H1267" s="29"/>
      <c r="I1267" s="29"/>
      <c r="J1267" s="29"/>
      <c r="K1267" s="29"/>
      <c r="L1267" s="29"/>
      <c r="M1267" s="29"/>
      <c r="N1267" s="29"/>
      <c r="O1267" s="29"/>
      <c r="P1267" s="29"/>
      <c r="Q1267" s="29"/>
    </row>
    <row r="1268" spans="1:17">
      <c r="A1268" s="29"/>
      <c r="B1268" s="29"/>
      <c r="C1268" s="29"/>
      <c r="D1268" s="29"/>
      <c r="E1268" s="29"/>
      <c r="F1268" s="29"/>
      <c r="G1268" s="29"/>
      <c r="H1268" s="29"/>
      <c r="I1268" s="29"/>
      <c r="J1268" s="29"/>
      <c r="K1268" s="29"/>
      <c r="L1268" s="29"/>
      <c r="M1268" s="29"/>
      <c r="N1268" s="29"/>
      <c r="O1268" s="29"/>
      <c r="P1268" s="29"/>
      <c r="Q1268" s="29"/>
    </row>
    <row r="1269" spans="1:17">
      <c r="A1269" s="29"/>
      <c r="B1269" s="29"/>
      <c r="C1269" s="29"/>
      <c r="D1269" s="29"/>
      <c r="E1269" s="29"/>
      <c r="F1269" s="29"/>
      <c r="G1269" s="29"/>
      <c r="H1269" s="29"/>
      <c r="I1269" s="29"/>
      <c r="J1269" s="29"/>
      <c r="K1269" s="29"/>
      <c r="L1269" s="29"/>
      <c r="M1269" s="29"/>
      <c r="N1269" s="29"/>
      <c r="O1269" s="29"/>
      <c r="P1269" s="29"/>
      <c r="Q1269" s="29"/>
    </row>
    <row r="1270" spans="1:17">
      <c r="A1270" s="29"/>
      <c r="B1270" s="29"/>
      <c r="C1270" s="29"/>
      <c r="D1270" s="29"/>
      <c r="E1270" s="29"/>
      <c r="F1270" s="29"/>
      <c r="G1270" s="29"/>
      <c r="H1270" s="29"/>
      <c r="I1270" s="29"/>
      <c r="J1270" s="29"/>
      <c r="K1270" s="29"/>
      <c r="L1270" s="29"/>
      <c r="M1270" s="29"/>
      <c r="N1270" s="29"/>
      <c r="O1270" s="29"/>
      <c r="P1270" s="29"/>
      <c r="Q1270" s="29"/>
    </row>
    <row r="1271" spans="1:17">
      <c r="A1271" s="29"/>
      <c r="B1271" s="29"/>
      <c r="C1271" s="29"/>
      <c r="D1271" s="29"/>
      <c r="E1271" s="29"/>
      <c r="F1271" s="29"/>
      <c r="G1271" s="29"/>
      <c r="H1271" s="29"/>
      <c r="I1271" s="29"/>
      <c r="J1271" s="29"/>
      <c r="K1271" s="29"/>
      <c r="L1271" s="29"/>
      <c r="M1271" s="29"/>
      <c r="N1271" s="29"/>
      <c r="O1271" s="29"/>
      <c r="P1271" s="29"/>
      <c r="Q1271" s="29"/>
    </row>
    <row r="1272" spans="1:17">
      <c r="A1272" s="29"/>
      <c r="B1272" s="29"/>
      <c r="C1272" s="29"/>
      <c r="D1272" s="29"/>
      <c r="E1272" s="29"/>
      <c r="F1272" s="29"/>
      <c r="G1272" s="29"/>
      <c r="H1272" s="29"/>
      <c r="I1272" s="29"/>
      <c r="J1272" s="29"/>
      <c r="K1272" s="29"/>
      <c r="L1272" s="29"/>
      <c r="M1272" s="29"/>
      <c r="N1272" s="29"/>
      <c r="O1272" s="29"/>
      <c r="P1272" s="29"/>
      <c r="Q1272" s="29"/>
    </row>
    <row r="1273" spans="1:17">
      <c r="A1273" s="29"/>
      <c r="B1273" s="29"/>
      <c r="C1273" s="29"/>
      <c r="D1273" s="29"/>
      <c r="E1273" s="29"/>
      <c r="F1273" s="29"/>
      <c r="G1273" s="29"/>
      <c r="H1273" s="29"/>
      <c r="I1273" s="29"/>
      <c r="J1273" s="29"/>
      <c r="K1273" s="29"/>
      <c r="L1273" s="29"/>
      <c r="M1273" s="29"/>
      <c r="N1273" s="29"/>
      <c r="O1273" s="29"/>
      <c r="P1273" s="29"/>
      <c r="Q1273" s="29"/>
    </row>
    <row r="1274" spans="1:17">
      <c r="A1274" s="29"/>
      <c r="B1274" s="29"/>
      <c r="C1274" s="29"/>
      <c r="D1274" s="29"/>
      <c r="E1274" s="29"/>
      <c r="F1274" s="29"/>
      <c r="G1274" s="29"/>
      <c r="H1274" s="29"/>
      <c r="I1274" s="29"/>
      <c r="J1274" s="29"/>
      <c r="K1274" s="29"/>
      <c r="L1274" s="29"/>
      <c r="M1274" s="29"/>
      <c r="N1274" s="29"/>
      <c r="O1274" s="29"/>
      <c r="P1274" s="29"/>
      <c r="Q1274" s="29"/>
    </row>
    <row r="1275" spans="1:17">
      <c r="A1275" s="29"/>
      <c r="B1275" s="29"/>
      <c r="C1275" s="29"/>
      <c r="D1275" s="29"/>
      <c r="E1275" s="29"/>
      <c r="F1275" s="29"/>
      <c r="G1275" s="29"/>
      <c r="H1275" s="29"/>
      <c r="I1275" s="29"/>
      <c r="J1275" s="29"/>
      <c r="K1275" s="29"/>
      <c r="L1275" s="29"/>
      <c r="M1275" s="29"/>
      <c r="N1275" s="29"/>
      <c r="O1275" s="29"/>
      <c r="P1275" s="29"/>
      <c r="Q1275" s="29"/>
    </row>
    <row r="1276" spans="1:17">
      <c r="A1276" s="29"/>
      <c r="B1276" s="29"/>
      <c r="C1276" s="29"/>
      <c r="D1276" s="29"/>
      <c r="E1276" s="29"/>
      <c r="F1276" s="29"/>
      <c r="G1276" s="29"/>
      <c r="H1276" s="29"/>
      <c r="I1276" s="29"/>
      <c r="J1276" s="29"/>
      <c r="K1276" s="29"/>
      <c r="L1276" s="29"/>
      <c r="M1276" s="29"/>
      <c r="N1276" s="29"/>
      <c r="O1276" s="29"/>
      <c r="P1276" s="29"/>
      <c r="Q1276" s="29"/>
    </row>
    <row r="1277" spans="1:17">
      <c r="A1277" s="29"/>
      <c r="B1277" s="29"/>
      <c r="C1277" s="29"/>
      <c r="D1277" s="29"/>
      <c r="E1277" s="29"/>
      <c r="F1277" s="29"/>
      <c r="G1277" s="29"/>
      <c r="H1277" s="29"/>
      <c r="I1277" s="29"/>
      <c r="J1277" s="29"/>
      <c r="K1277" s="29"/>
      <c r="L1277" s="29"/>
      <c r="M1277" s="29"/>
      <c r="N1277" s="29"/>
      <c r="O1277" s="29"/>
      <c r="P1277" s="29"/>
      <c r="Q1277" s="29"/>
    </row>
    <row r="1278" spans="1:17">
      <c r="A1278" s="29"/>
      <c r="B1278" s="29"/>
      <c r="C1278" s="29"/>
      <c r="D1278" s="29"/>
      <c r="E1278" s="29"/>
      <c r="F1278" s="29"/>
      <c r="G1278" s="29"/>
      <c r="H1278" s="29"/>
      <c r="I1278" s="29"/>
      <c r="J1278" s="29"/>
      <c r="K1278" s="29"/>
      <c r="L1278" s="29"/>
      <c r="M1278" s="29"/>
      <c r="N1278" s="29"/>
      <c r="O1278" s="29"/>
      <c r="P1278" s="29"/>
      <c r="Q1278" s="29"/>
    </row>
    <row r="1279" spans="1:17">
      <c r="A1279" s="29"/>
      <c r="B1279" s="29"/>
      <c r="C1279" s="29"/>
      <c r="D1279" s="29"/>
      <c r="E1279" s="29"/>
      <c r="F1279" s="29"/>
      <c r="G1279" s="29"/>
      <c r="H1279" s="29"/>
      <c r="I1279" s="29"/>
      <c r="J1279" s="29"/>
      <c r="K1279" s="29"/>
      <c r="L1279" s="29"/>
      <c r="M1279" s="29"/>
      <c r="N1279" s="29"/>
      <c r="O1279" s="29"/>
      <c r="P1279" s="29"/>
      <c r="Q1279" s="29"/>
    </row>
    <row r="1280" spans="1:17">
      <c r="A1280" s="29"/>
      <c r="B1280" s="29"/>
      <c r="C1280" s="29"/>
      <c r="D1280" s="29"/>
      <c r="E1280" s="29"/>
      <c r="F1280" s="29"/>
      <c r="G1280" s="29"/>
      <c r="H1280" s="29"/>
      <c r="I1280" s="29"/>
      <c r="J1280" s="29"/>
      <c r="K1280" s="29"/>
      <c r="L1280" s="29"/>
      <c r="M1280" s="29"/>
      <c r="N1280" s="29"/>
      <c r="O1280" s="29"/>
      <c r="P1280" s="29"/>
      <c r="Q1280" s="29"/>
    </row>
    <row r="1281" spans="1:17">
      <c r="A1281" s="29"/>
      <c r="B1281" s="29"/>
      <c r="C1281" s="29"/>
      <c r="D1281" s="29"/>
      <c r="E1281" s="29"/>
      <c r="F1281" s="29"/>
      <c r="G1281" s="29"/>
      <c r="H1281" s="29"/>
      <c r="I1281" s="29"/>
      <c r="J1281" s="29"/>
      <c r="K1281" s="29"/>
      <c r="L1281" s="29"/>
      <c r="M1281" s="29"/>
      <c r="N1281" s="29"/>
      <c r="O1281" s="29"/>
      <c r="P1281" s="29"/>
      <c r="Q1281" s="29"/>
    </row>
    <row r="1282" spans="1:17">
      <c r="A1282" s="29"/>
      <c r="B1282" s="29"/>
      <c r="C1282" s="29"/>
      <c r="D1282" s="29"/>
      <c r="E1282" s="29"/>
      <c r="F1282" s="29"/>
      <c r="G1282" s="29"/>
      <c r="H1282" s="29"/>
      <c r="I1282" s="29"/>
      <c r="J1282" s="29"/>
      <c r="K1282" s="29"/>
      <c r="L1282" s="29"/>
      <c r="M1282" s="29"/>
      <c r="N1282" s="29"/>
      <c r="O1282" s="29"/>
      <c r="P1282" s="29"/>
      <c r="Q1282" s="29"/>
    </row>
    <row r="1283" spans="1:17">
      <c r="A1283" s="29"/>
      <c r="B1283" s="29"/>
      <c r="C1283" s="29"/>
      <c r="D1283" s="29"/>
      <c r="E1283" s="29"/>
      <c r="F1283" s="29"/>
      <c r="G1283" s="29"/>
      <c r="H1283" s="29"/>
      <c r="I1283" s="29"/>
      <c r="J1283" s="29"/>
      <c r="K1283" s="29"/>
      <c r="L1283" s="29"/>
      <c r="M1283" s="29"/>
      <c r="N1283" s="29"/>
      <c r="O1283" s="29"/>
      <c r="P1283" s="29"/>
      <c r="Q1283" s="29"/>
    </row>
    <row r="1284" spans="1:17">
      <c r="A1284" s="29"/>
      <c r="B1284" s="29"/>
      <c r="C1284" s="29"/>
      <c r="D1284" s="29"/>
      <c r="E1284" s="29"/>
      <c r="F1284" s="29"/>
      <c r="G1284" s="29"/>
      <c r="H1284" s="29"/>
      <c r="I1284" s="29"/>
      <c r="J1284" s="29"/>
      <c r="K1284" s="29"/>
      <c r="L1284" s="29"/>
      <c r="M1284" s="29"/>
      <c r="N1284" s="29"/>
      <c r="O1284" s="29"/>
      <c r="P1284" s="29"/>
      <c r="Q1284" s="29"/>
    </row>
    <row r="1285" spans="1:17">
      <c r="A1285" s="29"/>
      <c r="B1285" s="29"/>
      <c r="C1285" s="29"/>
      <c r="D1285" s="29"/>
      <c r="E1285" s="29"/>
      <c r="F1285" s="29"/>
      <c r="G1285" s="29"/>
      <c r="H1285" s="29"/>
      <c r="I1285" s="29"/>
      <c r="J1285" s="29"/>
      <c r="K1285" s="29"/>
      <c r="L1285" s="29"/>
      <c r="M1285" s="29"/>
      <c r="N1285" s="29"/>
      <c r="O1285" s="29"/>
      <c r="P1285" s="29"/>
      <c r="Q1285" s="29"/>
    </row>
    <row r="1286" spans="1:17">
      <c r="A1286" s="29"/>
      <c r="B1286" s="29"/>
      <c r="C1286" s="29"/>
      <c r="D1286" s="29"/>
      <c r="E1286" s="29"/>
      <c r="F1286" s="29"/>
      <c r="G1286" s="29"/>
      <c r="H1286" s="29"/>
      <c r="I1286" s="29"/>
      <c r="J1286" s="29"/>
      <c r="K1286" s="29"/>
      <c r="L1286" s="29"/>
      <c r="M1286" s="29"/>
      <c r="N1286" s="29"/>
      <c r="O1286" s="29"/>
      <c r="P1286" s="29"/>
      <c r="Q1286" s="29"/>
    </row>
    <row r="1287" spans="1:17">
      <c r="A1287" s="29"/>
      <c r="B1287" s="29"/>
      <c r="C1287" s="29"/>
      <c r="D1287" s="29"/>
      <c r="E1287" s="29"/>
      <c r="F1287" s="29"/>
      <c r="G1287" s="29"/>
      <c r="H1287" s="29"/>
      <c r="I1287" s="29"/>
      <c r="J1287" s="29"/>
      <c r="K1287" s="29"/>
      <c r="L1287" s="29"/>
      <c r="M1287" s="29"/>
      <c r="N1287" s="29"/>
      <c r="O1287" s="29"/>
      <c r="P1287" s="29"/>
      <c r="Q1287" s="29"/>
    </row>
    <row r="1288" spans="1:17">
      <c r="A1288" s="29"/>
      <c r="B1288" s="29"/>
      <c r="C1288" s="29"/>
      <c r="D1288" s="29"/>
      <c r="E1288" s="29"/>
      <c r="F1288" s="29"/>
      <c r="G1288" s="29"/>
      <c r="H1288" s="29"/>
      <c r="I1288" s="29"/>
      <c r="J1288" s="29"/>
      <c r="K1288" s="29"/>
      <c r="L1288" s="29"/>
      <c r="M1288" s="29"/>
      <c r="N1288" s="29"/>
      <c r="O1288" s="29"/>
      <c r="P1288" s="29"/>
      <c r="Q1288" s="29"/>
    </row>
    <row r="1289" spans="1:17">
      <c r="A1289" s="29"/>
      <c r="B1289" s="29"/>
      <c r="C1289" s="29"/>
      <c r="D1289" s="29"/>
      <c r="E1289" s="29"/>
      <c r="F1289" s="29"/>
      <c r="G1289" s="29"/>
      <c r="H1289" s="29"/>
      <c r="I1289" s="29"/>
      <c r="J1289" s="29"/>
      <c r="K1289" s="29"/>
      <c r="L1289" s="29"/>
      <c r="M1289" s="29"/>
      <c r="N1289" s="29"/>
      <c r="O1289" s="29"/>
      <c r="P1289" s="29"/>
      <c r="Q1289" s="29"/>
    </row>
    <row r="1290" spans="1:17">
      <c r="A1290" s="29"/>
      <c r="B1290" s="29"/>
      <c r="C1290" s="29"/>
      <c r="D1290" s="29"/>
      <c r="E1290" s="29"/>
      <c r="F1290" s="29"/>
      <c r="G1290" s="29"/>
      <c r="H1290" s="29"/>
      <c r="I1290" s="29"/>
      <c r="J1290" s="29"/>
      <c r="K1290" s="29"/>
      <c r="L1290" s="29"/>
      <c r="M1290" s="29"/>
      <c r="N1290" s="29"/>
      <c r="O1290" s="29"/>
      <c r="P1290" s="29"/>
      <c r="Q1290" s="29"/>
    </row>
    <row r="1291" spans="1:17">
      <c r="A1291" s="29"/>
      <c r="B1291" s="29"/>
      <c r="C1291" s="29"/>
      <c r="D1291" s="29"/>
      <c r="E1291" s="29"/>
      <c r="F1291" s="29"/>
      <c r="G1291" s="29"/>
      <c r="H1291" s="29"/>
      <c r="I1291" s="29"/>
      <c r="J1291" s="29"/>
      <c r="K1291" s="29"/>
      <c r="L1291" s="29"/>
      <c r="M1291" s="29"/>
      <c r="N1291" s="29"/>
      <c r="O1291" s="29"/>
      <c r="P1291" s="29"/>
      <c r="Q1291" s="29"/>
    </row>
    <row r="1292" spans="1:17">
      <c r="A1292" s="29"/>
      <c r="B1292" s="29"/>
      <c r="C1292" s="29"/>
      <c r="D1292" s="29"/>
      <c r="E1292" s="29"/>
      <c r="F1292" s="29"/>
      <c r="G1292" s="29"/>
      <c r="H1292" s="29"/>
      <c r="I1292" s="29"/>
      <c r="J1292" s="29"/>
      <c r="K1292" s="29"/>
      <c r="L1292" s="29"/>
      <c r="M1292" s="29"/>
      <c r="N1292" s="29"/>
      <c r="O1292" s="29"/>
      <c r="P1292" s="29"/>
      <c r="Q1292" s="29"/>
    </row>
    <row r="1293" spans="1:17">
      <c r="A1293" s="29"/>
      <c r="B1293" s="29"/>
      <c r="C1293" s="29"/>
      <c r="D1293" s="29"/>
      <c r="E1293" s="29"/>
      <c r="F1293" s="29"/>
      <c r="G1293" s="29"/>
      <c r="H1293" s="29"/>
      <c r="I1293" s="29"/>
      <c r="J1293" s="29"/>
      <c r="K1293" s="29"/>
      <c r="L1293" s="29"/>
      <c r="M1293" s="29"/>
      <c r="N1293" s="29"/>
      <c r="O1293" s="29"/>
      <c r="P1293" s="29"/>
      <c r="Q1293" s="29"/>
    </row>
    <row r="1294" spans="1:17">
      <c r="A1294" s="29"/>
      <c r="B1294" s="29"/>
      <c r="C1294" s="29"/>
      <c r="D1294" s="29"/>
      <c r="E1294" s="29"/>
      <c r="F1294" s="29"/>
      <c r="G1294" s="29"/>
      <c r="H1294" s="29"/>
      <c r="I1294" s="29"/>
      <c r="J1294" s="29"/>
      <c r="K1294" s="29"/>
      <c r="L1294" s="29"/>
      <c r="M1294" s="29"/>
      <c r="N1294" s="29"/>
      <c r="O1294" s="29"/>
      <c r="P1294" s="29"/>
      <c r="Q1294" s="29"/>
    </row>
    <row r="1295" spans="1:17">
      <c r="A1295" s="29"/>
      <c r="B1295" s="29"/>
      <c r="C1295" s="29"/>
      <c r="D1295" s="29"/>
      <c r="E1295" s="29"/>
      <c r="F1295" s="29"/>
      <c r="G1295" s="29"/>
      <c r="H1295" s="29"/>
      <c r="I1295" s="29"/>
      <c r="J1295" s="29"/>
      <c r="K1295" s="29"/>
      <c r="L1295" s="29"/>
      <c r="M1295" s="29"/>
      <c r="N1295" s="29"/>
      <c r="O1295" s="29"/>
      <c r="P1295" s="29"/>
      <c r="Q1295" s="29"/>
    </row>
    <row r="1296" spans="1:17">
      <c r="A1296" s="29"/>
      <c r="B1296" s="29"/>
      <c r="C1296" s="29"/>
      <c r="D1296" s="29"/>
      <c r="E1296" s="29"/>
      <c r="F1296" s="29"/>
      <c r="G1296" s="29"/>
      <c r="H1296" s="29"/>
      <c r="I1296" s="29"/>
      <c r="J1296" s="29"/>
      <c r="K1296" s="29"/>
      <c r="L1296" s="29"/>
      <c r="M1296" s="29"/>
      <c r="N1296" s="29"/>
      <c r="O1296" s="29"/>
      <c r="P1296" s="29"/>
      <c r="Q1296" s="29"/>
    </row>
    <row r="1297" spans="1:17">
      <c r="A1297" s="29"/>
      <c r="B1297" s="29"/>
      <c r="C1297" s="29"/>
      <c r="D1297" s="29"/>
      <c r="E1297" s="29"/>
      <c r="F1297" s="29"/>
      <c r="G1297" s="29"/>
      <c r="H1297" s="29"/>
      <c r="I1297" s="29"/>
      <c r="J1297" s="29"/>
      <c r="K1297" s="29"/>
      <c r="L1297" s="29"/>
      <c r="M1297" s="29"/>
      <c r="N1297" s="29"/>
      <c r="O1297" s="29"/>
      <c r="P1297" s="29"/>
      <c r="Q1297" s="29"/>
    </row>
    <row r="1298" spans="1:17">
      <c r="A1298" s="29"/>
      <c r="B1298" s="29"/>
      <c r="C1298" s="29"/>
      <c r="D1298" s="29"/>
      <c r="E1298" s="29"/>
      <c r="F1298" s="29"/>
      <c r="G1298" s="29"/>
      <c r="H1298" s="29"/>
      <c r="I1298" s="29"/>
      <c r="J1298" s="29"/>
      <c r="K1298" s="29"/>
      <c r="L1298" s="29"/>
      <c r="M1298" s="29"/>
      <c r="N1298" s="29"/>
      <c r="O1298" s="29"/>
      <c r="P1298" s="29"/>
      <c r="Q1298" s="29"/>
    </row>
    <row r="1299" spans="1:17">
      <c r="A1299" s="29"/>
      <c r="B1299" s="29"/>
      <c r="C1299" s="29"/>
      <c r="D1299" s="29"/>
      <c r="E1299" s="29"/>
      <c r="F1299" s="29"/>
      <c r="G1299" s="29"/>
      <c r="H1299" s="29"/>
      <c r="I1299" s="29"/>
      <c r="J1299" s="29"/>
      <c r="K1299" s="29"/>
      <c r="L1299" s="29"/>
      <c r="M1299" s="29"/>
      <c r="N1299" s="29"/>
      <c r="O1299" s="29"/>
      <c r="P1299" s="29"/>
      <c r="Q1299" s="29"/>
    </row>
    <row r="1300" spans="1:17">
      <c r="A1300" s="29"/>
      <c r="B1300" s="29"/>
      <c r="C1300" s="29"/>
      <c r="D1300" s="29"/>
      <c r="E1300" s="29"/>
      <c r="F1300" s="29"/>
      <c r="G1300" s="29"/>
      <c r="H1300" s="29"/>
      <c r="I1300" s="29"/>
      <c r="J1300" s="29"/>
      <c r="K1300" s="29"/>
      <c r="L1300" s="29"/>
      <c r="M1300" s="29"/>
      <c r="N1300" s="29"/>
      <c r="O1300" s="29"/>
      <c r="P1300" s="29"/>
      <c r="Q1300" s="29"/>
    </row>
    <row r="1301" spans="1:17">
      <c r="A1301" s="29"/>
      <c r="B1301" s="29"/>
      <c r="C1301" s="29"/>
      <c r="D1301" s="29"/>
      <c r="E1301" s="29"/>
      <c r="F1301" s="29"/>
      <c r="G1301" s="29"/>
      <c r="H1301" s="29"/>
      <c r="I1301" s="29"/>
      <c r="J1301" s="29"/>
      <c r="K1301" s="29"/>
      <c r="L1301" s="29"/>
      <c r="M1301" s="29"/>
      <c r="N1301" s="29"/>
      <c r="O1301" s="29"/>
      <c r="P1301" s="29"/>
      <c r="Q1301" s="29"/>
    </row>
    <row r="1302" spans="1:17">
      <c r="A1302" s="29"/>
      <c r="B1302" s="29"/>
      <c r="C1302" s="29"/>
      <c r="D1302" s="29"/>
      <c r="E1302" s="29"/>
      <c r="F1302" s="29"/>
      <c r="G1302" s="29"/>
      <c r="H1302" s="29"/>
      <c r="I1302" s="29"/>
      <c r="J1302" s="29"/>
      <c r="K1302" s="29"/>
      <c r="L1302" s="29"/>
      <c r="M1302" s="29"/>
      <c r="N1302" s="29"/>
      <c r="O1302" s="29"/>
      <c r="P1302" s="29"/>
      <c r="Q1302" s="29"/>
    </row>
    <row r="1303" spans="1:17">
      <c r="A1303" s="29"/>
      <c r="B1303" s="29"/>
      <c r="C1303" s="29"/>
      <c r="D1303" s="29"/>
      <c r="E1303" s="29"/>
      <c r="F1303" s="29"/>
      <c r="G1303" s="29"/>
      <c r="H1303" s="29"/>
      <c r="I1303" s="29"/>
      <c r="J1303" s="29"/>
      <c r="K1303" s="29"/>
      <c r="L1303" s="29"/>
      <c r="M1303" s="29"/>
      <c r="N1303" s="29"/>
      <c r="O1303" s="29"/>
      <c r="P1303" s="29"/>
      <c r="Q1303" s="29"/>
    </row>
    <row r="1304" spans="1:17">
      <c r="A1304" s="29"/>
      <c r="B1304" s="29"/>
      <c r="C1304" s="29"/>
      <c r="D1304" s="29"/>
      <c r="E1304" s="29"/>
      <c r="F1304" s="29"/>
      <c r="G1304" s="29"/>
      <c r="H1304" s="29"/>
      <c r="I1304" s="29"/>
      <c r="J1304" s="29"/>
      <c r="K1304" s="29"/>
      <c r="L1304" s="29"/>
      <c r="M1304" s="29"/>
      <c r="N1304" s="29"/>
      <c r="O1304" s="29"/>
      <c r="P1304" s="29"/>
      <c r="Q1304" s="29"/>
    </row>
    <row r="1305" spans="1:17">
      <c r="A1305" s="29"/>
      <c r="B1305" s="29"/>
      <c r="C1305" s="29"/>
      <c r="D1305" s="29"/>
      <c r="E1305" s="29"/>
      <c r="F1305" s="29"/>
      <c r="G1305" s="29"/>
      <c r="H1305" s="29"/>
      <c r="I1305" s="29"/>
      <c r="J1305" s="29"/>
      <c r="K1305" s="29"/>
      <c r="L1305" s="29"/>
      <c r="M1305" s="29"/>
      <c r="N1305" s="29"/>
      <c r="O1305" s="29"/>
      <c r="P1305" s="29"/>
      <c r="Q1305" s="29"/>
    </row>
    <row r="1306" spans="1:17">
      <c r="A1306" s="29"/>
      <c r="B1306" s="29"/>
      <c r="C1306" s="29"/>
      <c r="D1306" s="29"/>
      <c r="E1306" s="29"/>
      <c r="F1306" s="29"/>
      <c r="G1306" s="29"/>
      <c r="H1306" s="29"/>
      <c r="I1306" s="29"/>
      <c r="J1306" s="29"/>
      <c r="K1306" s="29"/>
      <c r="L1306" s="29"/>
      <c r="M1306" s="29"/>
      <c r="N1306" s="29"/>
      <c r="O1306" s="29"/>
      <c r="P1306" s="29"/>
      <c r="Q1306" s="29"/>
    </row>
    <row r="1307" spans="1:17">
      <c r="A1307" s="29"/>
      <c r="B1307" s="29"/>
      <c r="C1307" s="29"/>
      <c r="D1307" s="29"/>
      <c r="E1307" s="29"/>
      <c r="F1307" s="29"/>
      <c r="G1307" s="29"/>
      <c r="H1307" s="29"/>
      <c r="I1307" s="29"/>
      <c r="J1307" s="29"/>
      <c r="K1307" s="29"/>
      <c r="L1307" s="29"/>
      <c r="M1307" s="29"/>
      <c r="N1307" s="29"/>
      <c r="O1307" s="29"/>
      <c r="P1307" s="29"/>
      <c r="Q1307" s="29"/>
    </row>
    <row r="1308" spans="1:17">
      <c r="A1308" s="29"/>
      <c r="B1308" s="29"/>
      <c r="C1308" s="29"/>
      <c r="D1308" s="29"/>
      <c r="E1308" s="29"/>
      <c r="F1308" s="29"/>
      <c r="G1308" s="29"/>
      <c r="H1308" s="29"/>
      <c r="I1308" s="29"/>
      <c r="J1308" s="29"/>
      <c r="K1308" s="29"/>
      <c r="L1308" s="29"/>
      <c r="M1308" s="29"/>
      <c r="N1308" s="29"/>
      <c r="O1308" s="29"/>
      <c r="P1308" s="29"/>
      <c r="Q1308" s="29"/>
    </row>
    <row r="1309" spans="1:17">
      <c r="A1309" s="29"/>
      <c r="B1309" s="29"/>
      <c r="C1309" s="29"/>
      <c r="D1309" s="29"/>
      <c r="E1309" s="29"/>
      <c r="F1309" s="29"/>
      <c r="G1309" s="29"/>
      <c r="H1309" s="29"/>
      <c r="I1309" s="29"/>
      <c r="J1309" s="29"/>
      <c r="K1309" s="29"/>
      <c r="L1309" s="29"/>
      <c r="M1309" s="29"/>
      <c r="N1309" s="29"/>
      <c r="O1309" s="29"/>
      <c r="P1309" s="29"/>
      <c r="Q1309" s="29"/>
    </row>
    <row r="1310" spans="1:17">
      <c r="A1310" s="29"/>
      <c r="B1310" s="29"/>
      <c r="C1310" s="29"/>
      <c r="D1310" s="29"/>
      <c r="E1310" s="29"/>
      <c r="F1310" s="29"/>
      <c r="G1310" s="29"/>
      <c r="H1310" s="29"/>
      <c r="I1310" s="29"/>
      <c r="J1310" s="29"/>
      <c r="K1310" s="29"/>
      <c r="L1310" s="29"/>
      <c r="M1310" s="29"/>
      <c r="N1310" s="29"/>
      <c r="O1310" s="29"/>
      <c r="P1310" s="29"/>
      <c r="Q1310" s="29"/>
    </row>
    <row r="1311" spans="1:17">
      <c r="A1311" s="29"/>
      <c r="B1311" s="29"/>
      <c r="C1311" s="29"/>
      <c r="D1311" s="29"/>
      <c r="E1311" s="29"/>
      <c r="F1311" s="29"/>
      <c r="G1311" s="29"/>
      <c r="H1311" s="29"/>
      <c r="I1311" s="29"/>
      <c r="J1311" s="29"/>
      <c r="K1311" s="29"/>
      <c r="L1311" s="29"/>
      <c r="M1311" s="29"/>
      <c r="N1311" s="29"/>
      <c r="O1311" s="29"/>
      <c r="P1311" s="29"/>
      <c r="Q1311" s="29"/>
    </row>
    <row r="1312" spans="1:17">
      <c r="A1312" s="29"/>
      <c r="B1312" s="29"/>
      <c r="C1312" s="29"/>
      <c r="D1312" s="29"/>
      <c r="E1312" s="29"/>
      <c r="F1312" s="29"/>
      <c r="G1312" s="29"/>
      <c r="H1312" s="29"/>
      <c r="I1312" s="29"/>
      <c r="J1312" s="29"/>
      <c r="K1312" s="29"/>
      <c r="L1312" s="29"/>
      <c r="M1312" s="29"/>
      <c r="N1312" s="29"/>
      <c r="O1312" s="29"/>
      <c r="P1312" s="29"/>
      <c r="Q1312" s="29"/>
    </row>
    <row r="1313" spans="1:17">
      <c r="A1313" s="29"/>
      <c r="B1313" s="29"/>
      <c r="C1313" s="29"/>
      <c r="D1313" s="29"/>
      <c r="E1313" s="29"/>
      <c r="F1313" s="29"/>
      <c r="G1313" s="29"/>
      <c r="H1313" s="29"/>
      <c r="I1313" s="29"/>
      <c r="J1313" s="29"/>
      <c r="K1313" s="29"/>
      <c r="L1313" s="29"/>
      <c r="M1313" s="29"/>
      <c r="N1313" s="29"/>
      <c r="O1313" s="29"/>
      <c r="P1313" s="29"/>
      <c r="Q1313" s="29"/>
    </row>
    <row r="1314" spans="1:17">
      <c r="A1314" s="29"/>
      <c r="B1314" s="29"/>
      <c r="C1314" s="29"/>
      <c r="D1314" s="29"/>
      <c r="E1314" s="29"/>
      <c r="F1314" s="29"/>
      <c r="G1314" s="29"/>
      <c r="H1314" s="29"/>
      <c r="I1314" s="29"/>
      <c r="J1314" s="29"/>
      <c r="K1314" s="29"/>
      <c r="L1314" s="29"/>
      <c r="M1314" s="29"/>
      <c r="N1314" s="29"/>
      <c r="O1314" s="29"/>
      <c r="P1314" s="29"/>
      <c r="Q1314" s="29"/>
    </row>
    <row r="1315" spans="1:17">
      <c r="A1315" s="29"/>
      <c r="B1315" s="29"/>
      <c r="C1315" s="29"/>
      <c r="D1315" s="29"/>
      <c r="E1315" s="29"/>
      <c r="F1315" s="29"/>
      <c r="G1315" s="29"/>
      <c r="H1315" s="29"/>
      <c r="I1315" s="29"/>
      <c r="J1315" s="29"/>
      <c r="K1315" s="29"/>
      <c r="L1315" s="29"/>
      <c r="M1315" s="29"/>
      <c r="N1315" s="29"/>
      <c r="O1315" s="29"/>
      <c r="P1315" s="29"/>
      <c r="Q1315" s="29"/>
    </row>
    <row r="1316" spans="1:17">
      <c r="A1316" s="29"/>
      <c r="B1316" s="29"/>
      <c r="C1316" s="29"/>
      <c r="D1316" s="29"/>
      <c r="E1316" s="29"/>
      <c r="F1316" s="29"/>
      <c r="G1316" s="29"/>
      <c r="H1316" s="29"/>
      <c r="I1316" s="29"/>
      <c r="J1316" s="29"/>
      <c r="K1316" s="29"/>
      <c r="L1316" s="29"/>
      <c r="M1316" s="29"/>
      <c r="N1316" s="29"/>
      <c r="O1316" s="29"/>
      <c r="P1316" s="29"/>
      <c r="Q1316" s="29"/>
    </row>
    <row r="1317" spans="1:17">
      <c r="A1317" s="29"/>
      <c r="B1317" s="29"/>
      <c r="C1317" s="29"/>
      <c r="D1317" s="29"/>
      <c r="E1317" s="29"/>
      <c r="F1317" s="29"/>
      <c r="G1317" s="29"/>
      <c r="H1317" s="29"/>
      <c r="I1317" s="29"/>
      <c r="J1317" s="29"/>
      <c r="K1317" s="29"/>
      <c r="L1317" s="29"/>
      <c r="M1317" s="29"/>
      <c r="N1317" s="29"/>
      <c r="O1317" s="29"/>
      <c r="P1317" s="29"/>
      <c r="Q1317" s="29"/>
    </row>
    <row r="1318" spans="1:17">
      <c r="A1318" s="29"/>
      <c r="B1318" s="29"/>
      <c r="C1318" s="29"/>
      <c r="D1318" s="29"/>
      <c r="E1318" s="29"/>
      <c r="F1318" s="29"/>
      <c r="G1318" s="29"/>
      <c r="H1318" s="29"/>
      <c r="I1318" s="29"/>
      <c r="J1318" s="29"/>
      <c r="K1318" s="29"/>
      <c r="L1318" s="29"/>
      <c r="M1318" s="29"/>
      <c r="N1318" s="29"/>
      <c r="O1318" s="29"/>
      <c r="P1318" s="29"/>
      <c r="Q1318" s="29"/>
    </row>
    <row r="1319" spans="1:17">
      <c r="A1319" s="29"/>
      <c r="B1319" s="29"/>
      <c r="C1319" s="29"/>
      <c r="D1319" s="29"/>
      <c r="E1319" s="29"/>
      <c r="F1319" s="29"/>
      <c r="G1319" s="29"/>
      <c r="H1319" s="29"/>
      <c r="I1319" s="29"/>
      <c r="J1319" s="29"/>
      <c r="K1319" s="29"/>
      <c r="L1319" s="29"/>
      <c r="M1319" s="29"/>
      <c r="N1319" s="29"/>
      <c r="O1319" s="29"/>
      <c r="P1319" s="29"/>
      <c r="Q1319" s="29"/>
    </row>
    <row r="1320" spans="1:17">
      <c r="A1320" s="29"/>
      <c r="B1320" s="29"/>
      <c r="C1320" s="29"/>
      <c r="D1320" s="29"/>
      <c r="E1320" s="29"/>
      <c r="F1320" s="29"/>
      <c r="G1320" s="29"/>
      <c r="H1320" s="29"/>
      <c r="I1320" s="29"/>
      <c r="J1320" s="29"/>
      <c r="K1320" s="29"/>
      <c r="L1320" s="29"/>
      <c r="M1320" s="29"/>
      <c r="N1320" s="29"/>
      <c r="O1320" s="29"/>
      <c r="P1320" s="29"/>
      <c r="Q1320" s="29"/>
    </row>
    <row r="1321" spans="1:17">
      <c r="A1321" s="29"/>
      <c r="B1321" s="29"/>
      <c r="C1321" s="29"/>
      <c r="D1321" s="29"/>
      <c r="E1321" s="29"/>
      <c r="F1321" s="29"/>
      <c r="G1321" s="29"/>
      <c r="H1321" s="29"/>
      <c r="I1321" s="29"/>
      <c r="J1321" s="29"/>
      <c r="K1321" s="29"/>
      <c r="L1321" s="29"/>
      <c r="M1321" s="29"/>
      <c r="N1321" s="29"/>
      <c r="O1321" s="29"/>
      <c r="P1321" s="29"/>
      <c r="Q1321" s="29"/>
    </row>
    <row r="1322" spans="1:17">
      <c r="A1322" s="29"/>
      <c r="B1322" s="29"/>
      <c r="C1322" s="29"/>
      <c r="D1322" s="29"/>
      <c r="E1322" s="29"/>
      <c r="F1322" s="29"/>
      <c r="G1322" s="29"/>
      <c r="H1322" s="29"/>
      <c r="I1322" s="29"/>
      <c r="J1322" s="29"/>
      <c r="K1322" s="29"/>
      <c r="L1322" s="29"/>
      <c r="M1322" s="29"/>
      <c r="N1322" s="29"/>
      <c r="O1322" s="29"/>
      <c r="P1322" s="29"/>
      <c r="Q1322" s="29"/>
    </row>
    <row r="1323" spans="1:17">
      <c r="A1323" s="29"/>
      <c r="B1323" s="29"/>
      <c r="C1323" s="29"/>
      <c r="D1323" s="29"/>
      <c r="E1323" s="29"/>
      <c r="F1323" s="29"/>
      <c r="G1323" s="29"/>
      <c r="H1323" s="29"/>
      <c r="I1323" s="29"/>
      <c r="J1323" s="29"/>
      <c r="K1323" s="29"/>
      <c r="L1323" s="29"/>
      <c r="M1323" s="29"/>
      <c r="N1323" s="29"/>
      <c r="O1323" s="29"/>
      <c r="P1323" s="29"/>
      <c r="Q1323" s="29"/>
    </row>
    <row r="1324" spans="1:17">
      <c r="A1324" s="29"/>
      <c r="B1324" s="29"/>
      <c r="C1324" s="29"/>
      <c r="D1324" s="29"/>
      <c r="E1324" s="29"/>
      <c r="F1324" s="29"/>
      <c r="G1324" s="29"/>
      <c r="H1324" s="29"/>
      <c r="I1324" s="29"/>
      <c r="J1324" s="29"/>
      <c r="K1324" s="29"/>
      <c r="L1324" s="29"/>
      <c r="M1324" s="29"/>
      <c r="N1324" s="29"/>
      <c r="O1324" s="29"/>
      <c r="P1324" s="29"/>
      <c r="Q1324" s="29"/>
    </row>
    <row r="1325" spans="1:17">
      <c r="A1325" s="29"/>
      <c r="B1325" s="29"/>
      <c r="C1325" s="29"/>
      <c r="D1325" s="29"/>
      <c r="E1325" s="29"/>
      <c r="F1325" s="29"/>
      <c r="G1325" s="29"/>
      <c r="H1325" s="29"/>
      <c r="I1325" s="29"/>
      <c r="J1325" s="29"/>
      <c r="K1325" s="29"/>
      <c r="L1325" s="29"/>
      <c r="M1325" s="29"/>
      <c r="N1325" s="29"/>
      <c r="O1325" s="29"/>
      <c r="P1325" s="29"/>
      <c r="Q1325" s="29"/>
    </row>
    <row r="1326" spans="1:17">
      <c r="A1326" s="29"/>
      <c r="B1326" s="29"/>
      <c r="C1326" s="29"/>
      <c r="D1326" s="29"/>
      <c r="E1326" s="29"/>
      <c r="F1326" s="29"/>
      <c r="G1326" s="29"/>
      <c r="H1326" s="29"/>
      <c r="I1326" s="29"/>
      <c r="J1326" s="29"/>
      <c r="K1326" s="29"/>
      <c r="L1326" s="29"/>
      <c r="M1326" s="29"/>
      <c r="N1326" s="29"/>
      <c r="O1326" s="29"/>
      <c r="P1326" s="29"/>
      <c r="Q1326" s="29"/>
    </row>
    <row r="1327" spans="1:17">
      <c r="A1327" s="29"/>
      <c r="B1327" s="29"/>
      <c r="C1327" s="29"/>
      <c r="D1327" s="29"/>
      <c r="E1327" s="29"/>
      <c r="F1327" s="29"/>
      <c r="G1327" s="29"/>
      <c r="H1327" s="29"/>
      <c r="I1327" s="29"/>
      <c r="J1327" s="29"/>
      <c r="K1327" s="29"/>
      <c r="L1327" s="29"/>
      <c r="M1327" s="29"/>
      <c r="N1327" s="29"/>
      <c r="O1327" s="29"/>
      <c r="P1327" s="29"/>
      <c r="Q1327" s="29"/>
    </row>
    <row r="1328" spans="1:17">
      <c r="A1328" s="29"/>
      <c r="B1328" s="29"/>
      <c r="C1328" s="29"/>
      <c r="D1328" s="29"/>
      <c r="E1328" s="29"/>
      <c r="F1328" s="29"/>
      <c r="G1328" s="29"/>
      <c r="H1328" s="29"/>
      <c r="I1328" s="29"/>
      <c r="J1328" s="29"/>
      <c r="K1328" s="29"/>
      <c r="L1328" s="29"/>
      <c r="M1328" s="29"/>
      <c r="N1328" s="29"/>
      <c r="O1328" s="29"/>
      <c r="P1328" s="29"/>
      <c r="Q1328" s="29"/>
    </row>
    <row r="1329" spans="1:17">
      <c r="A1329" s="29"/>
      <c r="B1329" s="29"/>
      <c r="C1329" s="29"/>
      <c r="D1329" s="29"/>
      <c r="E1329" s="29"/>
      <c r="F1329" s="29"/>
      <c r="G1329" s="29"/>
      <c r="H1329" s="29"/>
      <c r="I1329" s="29"/>
      <c r="J1329" s="29"/>
      <c r="K1329" s="29"/>
      <c r="L1329" s="29"/>
      <c r="M1329" s="29"/>
      <c r="N1329" s="29"/>
      <c r="O1329" s="29"/>
      <c r="P1329" s="29"/>
      <c r="Q1329" s="29"/>
    </row>
    <row r="1330" spans="1:17">
      <c r="A1330" s="29"/>
      <c r="B1330" s="29"/>
      <c r="C1330" s="29"/>
      <c r="D1330" s="29"/>
      <c r="E1330" s="29"/>
      <c r="F1330" s="29"/>
      <c r="G1330" s="29"/>
      <c r="H1330" s="29"/>
      <c r="I1330" s="29"/>
      <c r="J1330" s="29"/>
      <c r="K1330" s="29"/>
      <c r="L1330" s="29"/>
      <c r="M1330" s="29"/>
      <c r="N1330" s="29"/>
      <c r="O1330" s="29"/>
      <c r="P1330" s="29"/>
      <c r="Q1330" s="29"/>
    </row>
    <row r="1331" spans="1:17">
      <c r="A1331" s="29"/>
      <c r="B1331" s="29"/>
      <c r="C1331" s="29"/>
      <c r="D1331" s="29"/>
      <c r="E1331" s="29"/>
      <c r="F1331" s="29"/>
      <c r="G1331" s="29"/>
      <c r="H1331" s="29"/>
      <c r="I1331" s="29"/>
      <c r="J1331" s="29"/>
      <c r="K1331" s="29"/>
      <c r="L1331" s="29"/>
      <c r="M1331" s="29"/>
      <c r="N1331" s="29"/>
      <c r="O1331" s="29"/>
      <c r="P1331" s="29"/>
      <c r="Q1331" s="29"/>
    </row>
    <row r="1332" spans="1:17">
      <c r="A1332" s="29"/>
      <c r="B1332" s="29"/>
      <c r="C1332" s="29"/>
      <c r="D1332" s="29"/>
      <c r="E1332" s="29"/>
      <c r="F1332" s="29"/>
      <c r="G1332" s="29"/>
      <c r="H1332" s="29"/>
      <c r="I1332" s="29"/>
      <c r="J1332" s="29"/>
      <c r="K1332" s="29"/>
      <c r="L1332" s="29"/>
      <c r="M1332" s="29"/>
      <c r="N1332" s="29"/>
      <c r="O1332" s="29"/>
      <c r="P1332" s="29"/>
      <c r="Q1332" s="29"/>
    </row>
    <row r="1333" spans="1:17">
      <c r="A1333" s="29"/>
      <c r="B1333" s="29"/>
      <c r="C1333" s="29"/>
      <c r="D1333" s="29"/>
      <c r="E1333" s="29"/>
      <c r="F1333" s="29"/>
      <c r="G1333" s="29"/>
      <c r="H1333" s="29"/>
      <c r="I1333" s="29"/>
      <c r="J1333" s="29"/>
      <c r="K1333" s="29"/>
      <c r="L1333" s="29"/>
      <c r="M1333" s="29"/>
      <c r="N1333" s="29"/>
      <c r="O1333" s="29"/>
      <c r="P1333" s="29"/>
      <c r="Q1333" s="29"/>
    </row>
    <row r="1334" spans="1:17">
      <c r="A1334" s="29"/>
      <c r="B1334" s="29"/>
      <c r="C1334" s="29"/>
      <c r="D1334" s="29"/>
      <c r="E1334" s="29"/>
      <c r="F1334" s="29"/>
      <c r="G1334" s="29"/>
      <c r="H1334" s="29"/>
      <c r="I1334" s="29"/>
      <c r="J1334" s="29"/>
      <c r="K1334" s="29"/>
      <c r="L1334" s="29"/>
      <c r="M1334" s="29"/>
      <c r="N1334" s="29"/>
      <c r="O1334" s="29"/>
      <c r="P1334" s="29"/>
      <c r="Q1334" s="29"/>
    </row>
    <row r="1335" spans="1:17">
      <c r="A1335" s="29"/>
      <c r="B1335" s="29"/>
      <c r="C1335" s="29"/>
      <c r="D1335" s="29"/>
      <c r="E1335" s="29"/>
      <c r="F1335" s="29"/>
      <c r="G1335" s="29"/>
      <c r="H1335" s="29"/>
      <c r="I1335" s="29"/>
      <c r="J1335" s="29"/>
      <c r="K1335" s="29"/>
      <c r="L1335" s="29"/>
      <c r="M1335" s="29"/>
      <c r="N1335" s="29"/>
      <c r="O1335" s="29"/>
      <c r="P1335" s="29"/>
      <c r="Q1335" s="29"/>
    </row>
    <row r="1336" spans="1:17">
      <c r="A1336" s="29"/>
      <c r="B1336" s="29"/>
      <c r="C1336" s="29"/>
      <c r="D1336" s="29"/>
      <c r="E1336" s="29"/>
      <c r="F1336" s="29"/>
      <c r="G1336" s="29"/>
      <c r="H1336" s="29"/>
      <c r="I1336" s="29"/>
      <c r="J1336" s="29"/>
      <c r="K1336" s="29"/>
      <c r="L1336" s="29"/>
      <c r="M1336" s="29"/>
      <c r="N1336" s="29"/>
      <c r="O1336" s="29"/>
      <c r="P1336" s="29"/>
      <c r="Q1336" s="29"/>
    </row>
    <row r="1337" spans="1:17">
      <c r="A1337" s="29"/>
      <c r="B1337" s="29"/>
      <c r="C1337" s="29"/>
      <c r="D1337" s="29"/>
      <c r="E1337" s="29"/>
      <c r="F1337" s="29"/>
      <c r="G1337" s="29"/>
      <c r="H1337" s="29"/>
      <c r="I1337" s="29"/>
      <c r="J1337" s="29"/>
      <c r="K1337" s="29"/>
      <c r="L1337" s="29"/>
      <c r="M1337" s="29"/>
      <c r="N1337" s="29"/>
      <c r="O1337" s="29"/>
      <c r="P1337" s="29"/>
      <c r="Q1337" s="29"/>
    </row>
    <row r="1338" spans="1:17">
      <c r="A1338" s="29"/>
      <c r="B1338" s="29"/>
      <c r="C1338" s="29"/>
      <c r="D1338" s="29"/>
      <c r="E1338" s="29"/>
      <c r="F1338" s="29"/>
      <c r="G1338" s="29"/>
      <c r="H1338" s="29"/>
      <c r="I1338" s="29"/>
      <c r="J1338" s="29"/>
      <c r="K1338" s="29"/>
      <c r="L1338" s="29"/>
      <c r="M1338" s="29"/>
      <c r="N1338" s="29"/>
      <c r="O1338" s="29"/>
      <c r="P1338" s="29"/>
      <c r="Q1338" s="29"/>
    </row>
    <row r="1339" spans="1:17">
      <c r="A1339" s="29"/>
      <c r="B1339" s="29"/>
      <c r="C1339" s="29"/>
      <c r="D1339" s="29"/>
      <c r="E1339" s="29"/>
      <c r="F1339" s="29"/>
      <c r="G1339" s="29"/>
      <c r="H1339" s="29"/>
      <c r="I1339" s="29"/>
      <c r="J1339" s="29"/>
      <c r="K1339" s="29"/>
      <c r="L1339" s="29"/>
      <c r="M1339" s="29"/>
      <c r="N1339" s="29"/>
      <c r="O1339" s="29"/>
      <c r="P1339" s="29"/>
      <c r="Q1339" s="29"/>
    </row>
    <row r="1340" spans="1:17">
      <c r="A1340" s="29"/>
      <c r="B1340" s="29"/>
      <c r="C1340" s="29"/>
      <c r="D1340" s="29"/>
      <c r="E1340" s="29"/>
      <c r="F1340" s="29"/>
      <c r="G1340" s="29"/>
      <c r="H1340" s="29"/>
      <c r="I1340" s="29"/>
      <c r="J1340" s="29"/>
      <c r="K1340" s="29"/>
      <c r="L1340" s="29"/>
      <c r="M1340" s="29"/>
      <c r="N1340" s="29"/>
      <c r="O1340" s="29"/>
      <c r="P1340" s="29"/>
      <c r="Q1340" s="29"/>
    </row>
    <row r="1341" spans="1:17">
      <c r="A1341" s="29"/>
      <c r="B1341" s="29"/>
      <c r="C1341" s="29"/>
      <c r="D1341" s="29"/>
      <c r="E1341" s="29"/>
      <c r="F1341" s="29"/>
      <c r="G1341" s="29"/>
      <c r="H1341" s="29"/>
      <c r="I1341" s="29"/>
      <c r="J1341" s="29"/>
      <c r="K1341" s="29"/>
      <c r="L1341" s="29"/>
      <c r="M1341" s="29"/>
      <c r="N1341" s="29"/>
      <c r="O1341" s="29"/>
      <c r="P1341" s="29"/>
      <c r="Q1341" s="29"/>
    </row>
    <row r="1342" spans="1:17">
      <c r="A1342" s="29"/>
      <c r="B1342" s="29"/>
      <c r="C1342" s="29"/>
      <c r="D1342" s="29"/>
      <c r="E1342" s="29"/>
      <c r="F1342" s="29"/>
      <c r="G1342" s="29"/>
      <c r="H1342" s="29"/>
      <c r="I1342" s="29"/>
      <c r="J1342" s="29"/>
      <c r="K1342" s="29"/>
      <c r="L1342" s="29"/>
      <c r="M1342" s="29"/>
      <c r="N1342" s="29"/>
      <c r="O1342" s="29"/>
      <c r="P1342" s="29"/>
      <c r="Q1342" s="29"/>
    </row>
    <row r="1343" spans="1:17">
      <c r="A1343" s="29"/>
      <c r="B1343" s="29"/>
      <c r="C1343" s="29"/>
      <c r="D1343" s="29"/>
      <c r="E1343" s="29"/>
      <c r="F1343" s="29"/>
      <c r="G1343" s="29"/>
      <c r="H1343" s="29"/>
      <c r="I1343" s="29"/>
      <c r="J1343" s="29"/>
      <c r="K1343" s="29"/>
      <c r="L1343" s="29"/>
      <c r="M1343" s="29"/>
      <c r="N1343" s="29"/>
      <c r="O1343" s="29"/>
      <c r="P1343" s="29"/>
      <c r="Q1343" s="29"/>
    </row>
    <row r="1344" spans="1:17">
      <c r="A1344" s="29"/>
      <c r="B1344" s="29"/>
      <c r="C1344" s="29"/>
      <c r="D1344" s="29"/>
      <c r="E1344" s="29"/>
      <c r="F1344" s="29"/>
      <c r="G1344" s="29"/>
      <c r="H1344" s="29"/>
      <c r="I1344" s="29"/>
      <c r="J1344" s="29"/>
      <c r="K1344" s="29"/>
      <c r="L1344" s="29"/>
      <c r="M1344" s="29"/>
      <c r="N1344" s="29"/>
      <c r="O1344" s="29"/>
      <c r="P1344" s="29"/>
      <c r="Q1344" s="29"/>
    </row>
    <row r="1345" spans="1:17">
      <c r="A1345" s="29"/>
      <c r="B1345" s="29"/>
      <c r="C1345" s="29"/>
      <c r="D1345" s="29"/>
      <c r="E1345" s="29"/>
      <c r="F1345" s="29"/>
      <c r="G1345" s="29"/>
      <c r="H1345" s="29"/>
      <c r="I1345" s="29"/>
      <c r="J1345" s="29"/>
      <c r="K1345" s="29"/>
      <c r="L1345" s="29"/>
      <c r="M1345" s="29"/>
      <c r="N1345" s="29"/>
      <c r="O1345" s="29"/>
      <c r="P1345" s="29"/>
      <c r="Q1345" s="29"/>
    </row>
    <row r="1346" spans="1:17">
      <c r="A1346" s="29"/>
      <c r="B1346" s="29"/>
      <c r="C1346" s="29"/>
      <c r="D1346" s="29"/>
      <c r="E1346" s="29"/>
      <c r="F1346" s="29"/>
      <c r="G1346" s="29"/>
      <c r="H1346" s="29"/>
      <c r="I1346" s="29"/>
      <c r="J1346" s="29"/>
      <c r="K1346" s="29"/>
      <c r="L1346" s="29"/>
      <c r="M1346" s="29"/>
      <c r="N1346" s="29"/>
      <c r="O1346" s="29"/>
      <c r="P1346" s="29"/>
      <c r="Q1346" s="29"/>
    </row>
    <row r="1347" spans="1:17">
      <c r="A1347" s="29"/>
      <c r="B1347" s="29"/>
      <c r="C1347" s="29"/>
      <c r="D1347" s="29"/>
      <c r="E1347" s="29"/>
      <c r="F1347" s="29"/>
      <c r="G1347" s="29"/>
      <c r="H1347" s="29"/>
      <c r="I1347" s="29"/>
      <c r="J1347" s="29"/>
      <c r="K1347" s="29"/>
      <c r="L1347" s="29"/>
      <c r="M1347" s="29"/>
      <c r="N1347" s="29"/>
      <c r="O1347" s="29"/>
      <c r="P1347" s="29"/>
      <c r="Q1347" s="29"/>
    </row>
    <row r="1348" spans="1:17">
      <c r="A1348" s="29"/>
      <c r="B1348" s="29"/>
      <c r="C1348" s="29"/>
      <c r="D1348" s="29"/>
      <c r="E1348" s="29"/>
      <c r="F1348" s="29"/>
      <c r="G1348" s="29"/>
      <c r="H1348" s="29"/>
      <c r="I1348" s="29"/>
      <c r="J1348" s="29"/>
      <c r="K1348" s="29"/>
      <c r="L1348" s="29"/>
      <c r="M1348" s="29"/>
      <c r="N1348" s="29"/>
      <c r="O1348" s="29"/>
      <c r="P1348" s="29"/>
      <c r="Q1348" s="29"/>
    </row>
    <row r="1349" spans="1:17">
      <c r="A1349" s="29"/>
      <c r="B1349" s="29"/>
      <c r="C1349" s="29"/>
      <c r="D1349" s="29"/>
      <c r="E1349" s="29"/>
      <c r="F1349" s="29"/>
      <c r="G1349" s="29"/>
      <c r="H1349" s="29"/>
      <c r="I1349" s="29"/>
      <c r="J1349" s="29"/>
      <c r="K1349" s="29"/>
      <c r="L1349" s="29"/>
      <c r="M1349" s="29"/>
      <c r="N1349" s="29"/>
      <c r="O1349" s="29"/>
      <c r="P1349" s="29"/>
      <c r="Q1349" s="29"/>
    </row>
    <row r="1350" spans="1:17">
      <c r="A1350" s="29"/>
      <c r="B1350" s="29"/>
      <c r="C1350" s="29"/>
      <c r="D1350" s="29"/>
      <c r="E1350" s="29"/>
      <c r="F1350" s="29"/>
      <c r="G1350" s="29"/>
      <c r="H1350" s="29"/>
      <c r="I1350" s="29"/>
      <c r="J1350" s="29"/>
      <c r="K1350" s="29"/>
      <c r="L1350" s="29"/>
      <c r="M1350" s="29"/>
      <c r="N1350" s="29"/>
      <c r="O1350" s="29"/>
      <c r="P1350" s="29"/>
      <c r="Q1350" s="29"/>
    </row>
    <row r="1351" spans="1:17">
      <c r="A1351" s="29"/>
      <c r="B1351" s="29"/>
      <c r="C1351" s="29"/>
      <c r="D1351" s="29"/>
      <c r="E1351" s="29"/>
      <c r="F1351" s="29"/>
      <c r="G1351" s="29"/>
      <c r="H1351" s="29"/>
      <c r="I1351" s="29"/>
      <c r="J1351" s="29"/>
      <c r="K1351" s="29"/>
      <c r="L1351" s="29"/>
      <c r="M1351" s="29"/>
      <c r="N1351" s="29"/>
      <c r="O1351" s="29"/>
      <c r="P1351" s="29"/>
      <c r="Q1351" s="29"/>
    </row>
    <row r="1352" spans="1:17">
      <c r="A1352" s="29"/>
      <c r="B1352" s="29"/>
      <c r="C1352" s="29"/>
      <c r="D1352" s="29"/>
      <c r="E1352" s="29"/>
      <c r="F1352" s="29"/>
      <c r="G1352" s="29"/>
      <c r="H1352" s="29"/>
      <c r="I1352" s="29"/>
      <c r="J1352" s="29"/>
      <c r="K1352" s="29"/>
      <c r="L1352" s="29"/>
      <c r="M1352" s="29"/>
      <c r="N1352" s="29"/>
      <c r="O1352" s="29"/>
      <c r="P1352" s="29"/>
      <c r="Q1352" s="29"/>
    </row>
    <row r="1353" spans="1:17">
      <c r="A1353" s="29"/>
      <c r="B1353" s="29"/>
      <c r="C1353" s="29"/>
      <c r="D1353" s="29"/>
      <c r="E1353" s="29"/>
      <c r="F1353" s="29"/>
      <c r="G1353" s="29"/>
      <c r="H1353" s="29"/>
      <c r="I1353" s="29"/>
      <c r="J1353" s="29"/>
      <c r="K1353" s="29"/>
      <c r="L1353" s="29"/>
      <c r="M1353" s="29"/>
      <c r="N1353" s="29"/>
      <c r="O1353" s="29"/>
      <c r="P1353" s="29"/>
      <c r="Q1353" s="29"/>
    </row>
    <row r="1354" spans="1:17">
      <c r="A1354" s="29"/>
      <c r="B1354" s="29"/>
      <c r="C1354" s="29"/>
      <c r="D1354" s="29"/>
      <c r="E1354" s="29"/>
      <c r="F1354" s="29"/>
      <c r="G1354" s="29"/>
      <c r="H1354" s="29"/>
      <c r="I1354" s="29"/>
      <c r="J1354" s="29"/>
      <c r="K1354" s="29"/>
      <c r="L1354" s="29"/>
      <c r="M1354" s="29"/>
      <c r="N1354" s="29"/>
      <c r="O1354" s="29"/>
      <c r="P1354" s="29"/>
      <c r="Q1354" s="29"/>
    </row>
    <row r="1355" spans="1:17">
      <c r="A1355" s="29"/>
      <c r="B1355" s="29"/>
      <c r="C1355" s="29"/>
      <c r="D1355" s="29"/>
      <c r="E1355" s="29"/>
      <c r="F1355" s="29"/>
      <c r="G1355" s="29"/>
      <c r="H1355" s="29"/>
      <c r="I1355" s="29"/>
      <c r="J1355" s="29"/>
      <c r="K1355" s="29"/>
      <c r="L1355" s="29"/>
      <c r="M1355" s="29"/>
      <c r="N1355" s="29"/>
      <c r="O1355" s="29"/>
      <c r="P1355" s="29"/>
      <c r="Q1355" s="29"/>
    </row>
    <row r="1356" spans="1:17">
      <c r="A1356" s="29"/>
      <c r="B1356" s="29"/>
      <c r="C1356" s="29"/>
      <c r="D1356" s="29"/>
      <c r="E1356" s="29"/>
      <c r="F1356" s="29"/>
      <c r="G1356" s="29"/>
      <c r="H1356" s="29"/>
      <c r="I1356" s="29"/>
      <c r="J1356" s="29"/>
      <c r="K1356" s="29"/>
      <c r="L1356" s="29"/>
      <c r="M1356" s="29"/>
      <c r="N1356" s="29"/>
      <c r="O1356" s="29"/>
      <c r="P1356" s="29"/>
      <c r="Q1356" s="29"/>
    </row>
    <row r="1357" spans="1:17">
      <c r="A1357" s="29"/>
      <c r="B1357" s="29"/>
      <c r="C1357" s="29"/>
      <c r="D1357" s="29"/>
      <c r="E1357" s="29"/>
      <c r="F1357" s="29"/>
      <c r="G1357" s="29"/>
      <c r="H1357" s="29"/>
      <c r="I1357" s="29"/>
      <c r="J1357" s="29"/>
      <c r="K1357" s="29"/>
      <c r="L1357" s="29"/>
      <c r="M1357" s="29"/>
      <c r="N1357" s="29"/>
      <c r="O1357" s="29"/>
      <c r="P1357" s="29"/>
      <c r="Q1357" s="29"/>
    </row>
    <row r="1358" spans="1:17">
      <c r="A1358" s="29"/>
      <c r="B1358" s="29"/>
      <c r="C1358" s="29"/>
      <c r="D1358" s="29"/>
      <c r="E1358" s="29"/>
      <c r="F1358" s="29"/>
      <c r="G1358" s="29"/>
      <c r="H1358" s="29"/>
      <c r="I1358" s="29"/>
      <c r="J1358" s="29"/>
      <c r="K1358" s="29"/>
      <c r="L1358" s="29"/>
      <c r="M1358" s="29"/>
      <c r="N1358" s="29"/>
      <c r="O1358" s="29"/>
      <c r="P1358" s="29"/>
      <c r="Q1358" s="29"/>
    </row>
    <row r="1359" spans="1:17">
      <c r="A1359" s="29"/>
      <c r="B1359" s="29"/>
      <c r="C1359" s="29"/>
      <c r="D1359" s="29"/>
      <c r="E1359" s="29"/>
      <c r="F1359" s="29"/>
      <c r="G1359" s="29"/>
      <c r="H1359" s="29"/>
      <c r="I1359" s="29"/>
      <c r="J1359" s="29"/>
      <c r="K1359" s="29"/>
      <c r="L1359" s="29"/>
      <c r="M1359" s="29"/>
      <c r="N1359" s="29"/>
      <c r="O1359" s="29"/>
      <c r="P1359" s="29"/>
      <c r="Q1359" s="29"/>
    </row>
    <row r="1360" spans="1:17">
      <c r="A1360" s="29"/>
      <c r="B1360" s="29"/>
      <c r="C1360" s="29"/>
      <c r="D1360" s="29"/>
      <c r="E1360" s="29"/>
      <c r="F1360" s="29"/>
      <c r="G1360" s="29"/>
      <c r="H1360" s="29"/>
      <c r="I1360" s="29"/>
      <c r="J1360" s="29"/>
      <c r="K1360" s="29"/>
      <c r="L1360" s="29"/>
      <c r="M1360" s="29"/>
      <c r="N1360" s="29"/>
      <c r="O1360" s="29"/>
      <c r="P1360" s="29"/>
      <c r="Q1360" s="29"/>
    </row>
    <row r="1361" spans="1:17">
      <c r="A1361" s="29"/>
      <c r="B1361" s="29"/>
      <c r="C1361" s="29"/>
      <c r="D1361" s="29"/>
      <c r="E1361" s="29"/>
      <c r="F1361" s="29"/>
      <c r="G1361" s="29"/>
      <c r="H1361" s="29"/>
      <c r="I1361" s="29"/>
      <c r="J1361" s="29"/>
      <c r="K1361" s="29"/>
      <c r="L1361" s="29"/>
      <c r="M1361" s="29"/>
      <c r="N1361" s="29"/>
      <c r="O1361" s="29"/>
      <c r="P1361" s="29"/>
      <c r="Q1361" s="29"/>
    </row>
    <row r="1362" spans="1:17">
      <c r="A1362" s="29"/>
      <c r="B1362" s="29"/>
      <c r="C1362" s="29"/>
      <c r="D1362" s="29"/>
      <c r="E1362" s="29"/>
      <c r="F1362" s="29"/>
      <c r="G1362" s="29"/>
      <c r="H1362" s="29"/>
      <c r="I1362" s="29"/>
      <c r="J1362" s="29"/>
      <c r="K1362" s="29"/>
      <c r="L1362" s="29"/>
      <c r="M1362" s="29"/>
      <c r="N1362" s="29"/>
      <c r="O1362" s="29"/>
      <c r="P1362" s="29"/>
      <c r="Q1362" s="29"/>
    </row>
    <row r="1363" spans="1:17">
      <c r="A1363" s="29"/>
      <c r="B1363" s="29"/>
      <c r="C1363" s="29"/>
      <c r="D1363" s="29"/>
      <c r="E1363" s="29"/>
      <c r="F1363" s="29"/>
      <c r="G1363" s="29"/>
      <c r="H1363" s="29"/>
      <c r="I1363" s="29"/>
      <c r="J1363" s="29"/>
      <c r="K1363" s="29"/>
      <c r="L1363" s="29"/>
      <c r="M1363" s="29"/>
      <c r="N1363" s="29"/>
      <c r="O1363" s="29"/>
      <c r="P1363" s="29"/>
      <c r="Q1363" s="29"/>
    </row>
    <row r="1364" spans="1:17">
      <c r="A1364" s="29"/>
      <c r="B1364" s="29"/>
      <c r="C1364" s="29"/>
      <c r="D1364" s="29"/>
      <c r="E1364" s="29"/>
      <c r="F1364" s="29"/>
      <c r="G1364" s="29"/>
      <c r="H1364" s="29"/>
      <c r="I1364" s="29"/>
      <c r="J1364" s="29"/>
      <c r="K1364" s="29"/>
      <c r="L1364" s="29"/>
      <c r="M1364" s="29"/>
      <c r="N1364" s="29"/>
      <c r="O1364" s="29"/>
      <c r="P1364" s="29"/>
      <c r="Q1364" s="29"/>
    </row>
    <row r="1365" spans="1:17">
      <c r="A1365" s="29"/>
      <c r="B1365" s="29"/>
      <c r="C1365" s="29"/>
      <c r="D1365" s="29"/>
      <c r="E1365" s="29"/>
      <c r="F1365" s="29"/>
      <c r="G1365" s="29"/>
      <c r="H1365" s="29"/>
      <c r="I1365" s="29"/>
      <c r="J1365" s="29"/>
      <c r="K1365" s="29"/>
      <c r="L1365" s="29"/>
      <c r="M1365" s="29"/>
      <c r="N1365" s="29"/>
      <c r="O1365" s="29"/>
      <c r="P1365" s="29"/>
      <c r="Q1365" s="29"/>
    </row>
    <row r="1366" spans="1:17">
      <c r="A1366" s="29"/>
      <c r="B1366" s="29"/>
      <c r="C1366" s="29"/>
      <c r="D1366" s="29"/>
      <c r="E1366" s="29"/>
      <c r="F1366" s="29"/>
      <c r="G1366" s="29"/>
      <c r="H1366" s="29"/>
      <c r="I1366" s="29"/>
      <c r="J1366" s="29"/>
      <c r="K1366" s="29"/>
      <c r="L1366" s="29"/>
      <c r="M1366" s="29"/>
      <c r="N1366" s="29"/>
      <c r="O1366" s="29"/>
      <c r="P1366" s="29"/>
      <c r="Q1366" s="29"/>
    </row>
    <row r="1367" spans="1:17">
      <c r="A1367" s="29"/>
      <c r="B1367" s="29"/>
      <c r="C1367" s="29"/>
      <c r="D1367" s="29"/>
      <c r="E1367" s="29"/>
      <c r="F1367" s="29"/>
      <c r="G1367" s="29"/>
      <c r="H1367" s="29"/>
      <c r="I1367" s="29"/>
      <c r="J1367" s="29"/>
      <c r="K1367" s="29"/>
      <c r="L1367" s="29"/>
      <c r="M1367" s="29"/>
      <c r="N1367" s="29"/>
      <c r="O1367" s="29"/>
      <c r="P1367" s="29"/>
      <c r="Q1367" s="29"/>
    </row>
    <row r="1368" spans="1:17">
      <c r="A1368" s="29"/>
      <c r="B1368" s="29"/>
      <c r="C1368" s="29"/>
      <c r="D1368" s="29"/>
      <c r="E1368" s="29"/>
      <c r="F1368" s="29"/>
      <c r="G1368" s="29"/>
      <c r="H1368" s="29"/>
      <c r="I1368" s="29"/>
      <c r="J1368" s="29"/>
      <c r="K1368" s="29"/>
      <c r="L1368" s="29"/>
      <c r="M1368" s="29"/>
      <c r="N1368" s="29"/>
      <c r="O1368" s="29"/>
      <c r="P1368" s="29"/>
      <c r="Q1368" s="29"/>
    </row>
    <row r="1369" spans="1:17">
      <c r="A1369" s="29"/>
      <c r="B1369" s="29"/>
      <c r="C1369" s="29"/>
      <c r="D1369" s="29"/>
      <c r="E1369" s="29"/>
      <c r="F1369" s="29"/>
      <c r="G1369" s="29"/>
      <c r="H1369" s="29"/>
      <c r="I1369" s="29"/>
      <c r="J1369" s="29"/>
      <c r="K1369" s="29"/>
      <c r="L1369" s="29"/>
      <c r="M1369" s="29"/>
      <c r="N1369" s="29"/>
      <c r="O1369" s="29"/>
      <c r="P1369" s="29"/>
      <c r="Q1369" s="29"/>
    </row>
    <row r="1370" spans="1:17">
      <c r="A1370" s="29"/>
      <c r="B1370" s="29"/>
      <c r="C1370" s="29"/>
      <c r="D1370" s="29"/>
      <c r="E1370" s="29"/>
      <c r="F1370" s="29"/>
      <c r="G1370" s="29"/>
      <c r="H1370" s="29"/>
      <c r="I1370" s="29"/>
      <c r="J1370" s="29"/>
      <c r="K1370" s="29"/>
      <c r="L1370" s="29"/>
      <c r="M1370" s="29"/>
      <c r="N1370" s="29"/>
      <c r="O1370" s="29"/>
      <c r="P1370" s="29"/>
      <c r="Q1370" s="29"/>
    </row>
    <row r="1371" spans="1:17">
      <c r="A1371" s="29"/>
      <c r="B1371" s="29"/>
      <c r="C1371" s="29"/>
      <c r="D1371" s="29"/>
      <c r="E1371" s="29"/>
      <c r="F1371" s="29"/>
      <c r="G1371" s="29"/>
      <c r="H1371" s="29"/>
      <c r="I1371" s="29"/>
      <c r="J1371" s="29"/>
      <c r="K1371" s="29"/>
      <c r="L1371" s="29"/>
      <c r="M1371" s="29"/>
      <c r="N1371" s="29"/>
      <c r="O1371" s="29"/>
      <c r="P1371" s="29"/>
      <c r="Q1371" s="29"/>
    </row>
    <row r="1372" spans="1:17">
      <c r="A1372" s="29"/>
      <c r="B1372" s="29"/>
      <c r="C1372" s="29"/>
      <c r="D1372" s="29"/>
      <c r="E1372" s="29"/>
      <c r="F1372" s="29"/>
      <c r="G1372" s="29"/>
      <c r="H1372" s="29"/>
      <c r="I1372" s="29"/>
      <c r="J1372" s="29"/>
      <c r="K1372" s="29"/>
      <c r="L1372" s="29"/>
      <c r="M1372" s="29"/>
      <c r="N1372" s="29"/>
      <c r="O1372" s="29"/>
      <c r="P1372" s="29"/>
      <c r="Q1372" s="29"/>
    </row>
    <row r="1373" spans="1:17">
      <c r="A1373" s="29"/>
      <c r="B1373" s="29"/>
      <c r="C1373" s="29"/>
      <c r="D1373" s="29"/>
      <c r="E1373" s="29"/>
      <c r="F1373" s="29"/>
      <c r="G1373" s="29"/>
      <c r="H1373" s="29"/>
      <c r="I1373" s="29"/>
      <c r="J1373" s="29"/>
      <c r="K1373" s="29"/>
      <c r="L1373" s="29"/>
      <c r="M1373" s="29"/>
      <c r="N1373" s="29"/>
      <c r="O1373" s="29"/>
      <c r="P1373" s="29"/>
      <c r="Q1373" s="29"/>
    </row>
    <row r="1374" spans="1:17">
      <c r="A1374" s="29"/>
      <c r="B1374" s="29"/>
      <c r="C1374" s="29"/>
      <c r="D1374" s="29"/>
      <c r="E1374" s="29"/>
      <c r="F1374" s="29"/>
      <c r="G1374" s="29"/>
      <c r="H1374" s="29"/>
      <c r="I1374" s="29"/>
      <c r="J1374" s="29"/>
      <c r="K1374" s="29"/>
      <c r="L1374" s="29"/>
      <c r="M1374" s="29"/>
      <c r="N1374" s="29"/>
      <c r="O1374" s="29"/>
      <c r="P1374" s="29"/>
      <c r="Q1374" s="29"/>
    </row>
    <row r="1375" spans="1:17">
      <c r="A1375" s="29"/>
      <c r="B1375" s="29"/>
      <c r="C1375" s="29"/>
      <c r="D1375" s="29"/>
      <c r="E1375" s="29"/>
      <c r="F1375" s="29"/>
      <c r="G1375" s="29"/>
      <c r="H1375" s="29"/>
      <c r="I1375" s="29"/>
      <c r="J1375" s="29"/>
      <c r="K1375" s="29"/>
      <c r="L1375" s="29"/>
      <c r="M1375" s="29"/>
      <c r="N1375" s="29"/>
      <c r="O1375" s="29"/>
      <c r="P1375" s="29"/>
      <c r="Q1375" s="29"/>
    </row>
    <row r="1376" spans="1:17">
      <c r="A1376" s="29"/>
      <c r="B1376" s="29"/>
      <c r="C1376" s="29"/>
      <c r="D1376" s="29"/>
      <c r="E1376" s="29"/>
      <c r="F1376" s="29"/>
      <c r="G1376" s="29"/>
      <c r="H1376" s="29"/>
      <c r="I1376" s="29"/>
      <c r="J1376" s="29"/>
      <c r="K1376" s="29"/>
      <c r="L1376" s="29"/>
      <c r="M1376" s="29"/>
      <c r="N1376" s="29"/>
      <c r="O1376" s="29"/>
      <c r="P1376" s="29"/>
      <c r="Q1376" s="29"/>
    </row>
    <row r="1377" spans="1:17">
      <c r="A1377" s="29"/>
      <c r="B1377" s="29"/>
      <c r="C1377" s="29"/>
      <c r="D1377" s="29"/>
      <c r="E1377" s="29"/>
      <c r="F1377" s="29"/>
      <c r="G1377" s="29"/>
      <c r="H1377" s="29"/>
      <c r="I1377" s="29"/>
      <c r="J1377" s="29"/>
      <c r="K1377" s="29"/>
      <c r="L1377" s="29"/>
      <c r="M1377" s="29"/>
      <c r="N1377" s="29"/>
      <c r="O1377" s="29"/>
      <c r="P1377" s="29"/>
      <c r="Q1377" s="29"/>
    </row>
    <row r="1378" spans="1:17">
      <c r="A1378" s="29"/>
      <c r="B1378" s="29"/>
      <c r="C1378" s="29"/>
      <c r="D1378" s="29"/>
      <c r="E1378" s="29"/>
      <c r="F1378" s="29"/>
      <c r="G1378" s="29"/>
      <c r="H1378" s="29"/>
      <c r="I1378" s="29"/>
      <c r="J1378" s="29"/>
      <c r="K1378" s="29"/>
      <c r="L1378" s="29"/>
      <c r="M1378" s="29"/>
      <c r="N1378" s="29"/>
      <c r="O1378" s="29"/>
      <c r="P1378" s="29"/>
      <c r="Q1378" s="29"/>
    </row>
    <row r="1379" spans="1:17">
      <c r="A1379" s="29"/>
      <c r="B1379" s="29"/>
      <c r="C1379" s="29"/>
      <c r="D1379" s="29"/>
      <c r="E1379" s="29"/>
      <c r="F1379" s="29"/>
      <c r="G1379" s="29"/>
      <c r="H1379" s="29"/>
      <c r="I1379" s="29"/>
      <c r="J1379" s="29"/>
      <c r="K1379" s="29"/>
      <c r="L1379" s="29"/>
      <c r="M1379" s="29"/>
      <c r="N1379" s="29"/>
      <c r="O1379" s="29"/>
      <c r="P1379" s="29"/>
      <c r="Q1379" s="29"/>
    </row>
    <row r="1380" spans="1:17">
      <c r="A1380" s="29"/>
      <c r="B1380" s="29"/>
      <c r="C1380" s="29"/>
      <c r="D1380" s="29"/>
      <c r="E1380" s="29"/>
      <c r="F1380" s="29"/>
      <c r="G1380" s="29"/>
      <c r="H1380" s="29"/>
      <c r="I1380" s="29"/>
      <c r="J1380" s="29"/>
      <c r="K1380" s="29"/>
      <c r="L1380" s="29"/>
      <c r="M1380" s="29"/>
      <c r="N1380" s="29"/>
      <c r="O1380" s="29"/>
      <c r="P1380" s="29"/>
      <c r="Q1380" s="29"/>
    </row>
    <row r="1381" spans="1:17">
      <c r="A1381" s="29"/>
      <c r="B1381" s="29"/>
      <c r="C1381" s="29"/>
      <c r="D1381" s="29"/>
      <c r="E1381" s="29"/>
      <c r="F1381" s="29"/>
      <c r="G1381" s="29"/>
      <c r="H1381" s="29"/>
      <c r="I1381" s="29"/>
      <c r="J1381" s="29"/>
      <c r="K1381" s="29"/>
      <c r="L1381" s="29"/>
      <c r="M1381" s="29"/>
      <c r="N1381" s="29"/>
      <c r="O1381" s="29"/>
      <c r="P1381" s="29"/>
      <c r="Q1381" s="29"/>
    </row>
    <row r="1382" spans="1:17">
      <c r="A1382" s="29"/>
      <c r="B1382" s="29"/>
      <c r="C1382" s="29"/>
      <c r="D1382" s="29"/>
      <c r="E1382" s="29"/>
      <c r="F1382" s="29"/>
      <c r="G1382" s="29"/>
      <c r="H1382" s="29"/>
      <c r="I1382" s="29"/>
      <c r="J1382" s="29"/>
      <c r="K1382" s="29"/>
      <c r="L1382" s="29"/>
      <c r="M1382" s="29"/>
      <c r="N1382" s="29"/>
      <c r="O1382" s="29"/>
      <c r="P1382" s="29"/>
      <c r="Q1382" s="29"/>
    </row>
    <row r="1383" spans="1:17">
      <c r="A1383" s="29"/>
      <c r="B1383" s="29"/>
      <c r="C1383" s="29"/>
      <c r="D1383" s="29"/>
      <c r="E1383" s="29"/>
      <c r="F1383" s="29"/>
      <c r="G1383" s="29"/>
      <c r="H1383" s="29"/>
      <c r="I1383" s="29"/>
      <c r="J1383" s="29"/>
      <c r="K1383" s="29"/>
      <c r="L1383" s="29"/>
      <c r="M1383" s="29"/>
      <c r="N1383" s="29"/>
      <c r="O1383" s="29"/>
      <c r="P1383" s="29"/>
      <c r="Q1383" s="29"/>
    </row>
    <row r="1384" spans="1:17">
      <c r="A1384" s="29"/>
      <c r="B1384" s="29"/>
      <c r="C1384" s="29"/>
      <c r="D1384" s="29"/>
      <c r="E1384" s="29"/>
      <c r="F1384" s="29"/>
      <c r="G1384" s="29"/>
      <c r="H1384" s="29"/>
      <c r="I1384" s="29"/>
      <c r="J1384" s="29"/>
      <c r="K1384" s="29"/>
      <c r="L1384" s="29"/>
      <c r="M1384" s="29"/>
      <c r="N1384" s="29"/>
      <c r="O1384" s="29"/>
      <c r="P1384" s="29"/>
      <c r="Q1384" s="29"/>
    </row>
    <row r="1385" spans="1:17">
      <c r="A1385" s="29"/>
      <c r="B1385" s="29"/>
      <c r="C1385" s="29"/>
      <c r="D1385" s="29"/>
      <c r="E1385" s="29"/>
      <c r="F1385" s="29"/>
      <c r="G1385" s="29"/>
      <c r="H1385" s="29"/>
      <c r="I1385" s="29"/>
      <c r="J1385" s="29"/>
      <c r="K1385" s="29"/>
      <c r="L1385" s="29"/>
      <c r="M1385" s="29"/>
      <c r="N1385" s="29"/>
      <c r="O1385" s="29"/>
      <c r="P1385" s="29"/>
      <c r="Q1385" s="29"/>
    </row>
    <row r="1386" spans="1:17">
      <c r="A1386" s="29"/>
      <c r="B1386" s="29"/>
      <c r="C1386" s="29"/>
      <c r="D1386" s="29"/>
      <c r="E1386" s="29"/>
      <c r="F1386" s="29"/>
      <c r="G1386" s="29"/>
      <c r="H1386" s="29"/>
      <c r="I1386" s="29"/>
      <c r="J1386" s="29"/>
      <c r="K1386" s="29"/>
      <c r="L1386" s="29"/>
      <c r="M1386" s="29"/>
      <c r="N1386" s="29"/>
      <c r="O1386" s="29"/>
      <c r="P1386" s="29"/>
      <c r="Q1386" s="29"/>
    </row>
    <row r="1387" spans="1:17">
      <c r="A1387" s="29"/>
      <c r="B1387" s="29"/>
      <c r="C1387" s="29"/>
      <c r="D1387" s="29"/>
      <c r="E1387" s="29"/>
      <c r="F1387" s="29"/>
      <c r="G1387" s="29"/>
      <c r="H1387" s="29"/>
      <c r="I1387" s="29"/>
      <c r="J1387" s="29"/>
      <c r="K1387" s="29"/>
      <c r="L1387" s="29"/>
      <c r="M1387" s="29"/>
      <c r="N1387" s="29"/>
      <c r="O1387" s="29"/>
      <c r="P1387" s="29"/>
      <c r="Q1387" s="29"/>
    </row>
    <row r="1388" spans="1:17">
      <c r="A1388" s="29"/>
      <c r="B1388" s="29"/>
      <c r="C1388" s="29"/>
      <c r="D1388" s="29"/>
      <c r="E1388" s="29"/>
      <c r="F1388" s="29"/>
      <c r="G1388" s="29"/>
      <c r="H1388" s="29"/>
      <c r="I1388" s="29"/>
      <c r="J1388" s="29"/>
      <c r="K1388" s="29"/>
      <c r="L1388" s="29"/>
      <c r="M1388" s="29"/>
      <c r="N1388" s="29"/>
      <c r="O1388" s="29"/>
      <c r="P1388" s="29"/>
      <c r="Q1388" s="29"/>
    </row>
    <row r="1389" spans="1:17">
      <c r="A1389" s="29"/>
      <c r="B1389" s="29"/>
      <c r="C1389" s="29"/>
      <c r="D1389" s="29"/>
      <c r="E1389" s="29"/>
      <c r="F1389" s="29"/>
      <c r="G1389" s="29"/>
      <c r="H1389" s="29"/>
      <c r="I1389" s="29"/>
      <c r="J1389" s="29"/>
      <c r="K1389" s="29"/>
      <c r="L1389" s="29"/>
      <c r="M1389" s="29"/>
      <c r="N1389" s="29"/>
      <c r="O1389" s="29"/>
      <c r="P1389" s="29"/>
      <c r="Q1389" s="29"/>
    </row>
    <row r="1390" spans="1:17">
      <c r="A1390" s="29"/>
      <c r="B1390" s="29"/>
      <c r="C1390" s="29"/>
      <c r="D1390" s="29"/>
      <c r="E1390" s="29"/>
      <c r="F1390" s="29"/>
      <c r="G1390" s="29"/>
      <c r="H1390" s="29"/>
      <c r="I1390" s="29"/>
      <c r="J1390" s="29"/>
      <c r="K1390" s="29"/>
      <c r="L1390" s="29"/>
      <c r="M1390" s="29"/>
      <c r="N1390" s="29"/>
      <c r="O1390" s="29"/>
      <c r="P1390" s="29"/>
      <c r="Q1390" s="29"/>
    </row>
    <row r="1391" spans="1:17">
      <c r="A1391" s="29"/>
      <c r="B1391" s="29"/>
      <c r="C1391" s="29"/>
      <c r="D1391" s="29"/>
      <c r="E1391" s="29"/>
      <c r="F1391" s="29"/>
      <c r="G1391" s="29"/>
      <c r="H1391" s="29"/>
      <c r="I1391" s="29"/>
      <c r="J1391" s="29"/>
      <c r="K1391" s="29"/>
      <c r="L1391" s="29"/>
      <c r="M1391" s="29"/>
      <c r="N1391" s="29"/>
      <c r="O1391" s="29"/>
      <c r="P1391" s="29"/>
      <c r="Q1391" s="29"/>
    </row>
    <row r="1392" spans="1:17">
      <c r="A1392" s="29"/>
      <c r="B1392" s="29"/>
      <c r="C1392" s="29"/>
      <c r="D1392" s="29"/>
      <c r="E1392" s="29"/>
      <c r="F1392" s="29"/>
      <c r="G1392" s="29"/>
      <c r="H1392" s="29"/>
      <c r="I1392" s="29"/>
      <c r="J1392" s="29"/>
      <c r="K1392" s="29"/>
      <c r="L1392" s="29"/>
      <c r="M1392" s="29"/>
      <c r="N1392" s="29"/>
      <c r="O1392" s="29"/>
      <c r="P1392" s="29"/>
      <c r="Q1392" s="29"/>
    </row>
    <row r="1393" spans="1:17">
      <c r="A1393" s="29"/>
      <c r="B1393" s="29"/>
      <c r="C1393" s="29"/>
      <c r="D1393" s="29"/>
      <c r="E1393" s="29"/>
      <c r="F1393" s="29"/>
      <c r="G1393" s="29"/>
      <c r="H1393" s="29"/>
      <c r="I1393" s="29"/>
      <c r="J1393" s="29"/>
      <c r="K1393" s="29"/>
      <c r="L1393" s="29"/>
      <c r="M1393" s="29"/>
      <c r="N1393" s="29"/>
      <c r="O1393" s="29"/>
      <c r="P1393" s="29"/>
      <c r="Q1393" s="29"/>
    </row>
    <row r="1394" spans="1:17">
      <c r="A1394" s="29"/>
      <c r="B1394" s="29"/>
      <c r="C1394" s="29"/>
      <c r="D1394" s="29"/>
      <c r="E1394" s="29"/>
      <c r="F1394" s="29"/>
      <c r="G1394" s="29"/>
      <c r="H1394" s="29"/>
      <c r="I1394" s="29"/>
      <c r="J1394" s="29"/>
      <c r="K1394" s="29"/>
      <c r="L1394" s="29"/>
      <c r="M1394" s="29"/>
      <c r="N1394" s="29"/>
      <c r="O1394" s="29"/>
      <c r="P1394" s="29"/>
      <c r="Q1394" s="29"/>
    </row>
    <row r="1395" spans="1:17">
      <c r="A1395" s="29"/>
      <c r="B1395" s="29"/>
      <c r="C1395" s="29"/>
      <c r="D1395" s="29"/>
      <c r="E1395" s="29"/>
      <c r="F1395" s="29"/>
      <c r="G1395" s="29"/>
      <c r="H1395" s="29"/>
      <c r="I1395" s="29"/>
      <c r="J1395" s="29"/>
      <c r="K1395" s="29"/>
      <c r="L1395" s="29"/>
      <c r="M1395" s="29"/>
      <c r="N1395" s="29"/>
      <c r="O1395" s="29"/>
      <c r="P1395" s="29"/>
      <c r="Q1395" s="29"/>
    </row>
    <row r="1396" spans="1:17">
      <c r="A1396" s="29"/>
      <c r="B1396" s="29"/>
      <c r="C1396" s="29"/>
      <c r="D1396" s="29"/>
      <c r="E1396" s="29"/>
      <c r="F1396" s="29"/>
      <c r="G1396" s="29"/>
      <c r="H1396" s="29"/>
      <c r="I1396" s="29"/>
      <c r="J1396" s="29"/>
      <c r="K1396" s="29"/>
      <c r="L1396" s="29"/>
      <c r="M1396" s="29"/>
      <c r="N1396" s="29"/>
      <c r="O1396" s="29"/>
      <c r="P1396" s="29"/>
      <c r="Q1396" s="29"/>
    </row>
    <row r="1397" spans="1:17">
      <c r="A1397" s="29"/>
      <c r="B1397" s="29"/>
      <c r="C1397" s="29"/>
      <c r="D1397" s="29"/>
      <c r="E1397" s="29"/>
      <c r="F1397" s="29"/>
      <c r="G1397" s="29"/>
      <c r="H1397" s="29"/>
      <c r="I1397" s="29"/>
      <c r="J1397" s="29"/>
      <c r="K1397" s="29"/>
      <c r="L1397" s="29"/>
      <c r="M1397" s="29"/>
      <c r="N1397" s="29"/>
      <c r="O1397" s="29"/>
      <c r="P1397" s="29"/>
      <c r="Q1397" s="29"/>
    </row>
    <row r="1398" spans="1:17">
      <c r="A1398" s="29"/>
      <c r="B1398" s="29"/>
      <c r="C1398" s="29"/>
      <c r="D1398" s="29"/>
      <c r="E1398" s="29"/>
      <c r="F1398" s="29"/>
      <c r="G1398" s="29"/>
      <c r="H1398" s="29"/>
      <c r="I1398" s="29"/>
      <c r="J1398" s="29"/>
      <c r="K1398" s="29"/>
      <c r="L1398" s="29"/>
      <c r="M1398" s="29"/>
      <c r="N1398" s="29"/>
      <c r="O1398" s="29"/>
      <c r="P1398" s="29"/>
      <c r="Q1398" s="29"/>
    </row>
    <row r="1399" spans="1:17">
      <c r="A1399" s="29"/>
      <c r="B1399" s="29"/>
      <c r="C1399" s="29"/>
      <c r="D1399" s="29"/>
      <c r="E1399" s="29"/>
      <c r="F1399" s="29"/>
      <c r="G1399" s="29"/>
      <c r="H1399" s="29"/>
      <c r="I1399" s="29"/>
      <c r="J1399" s="29"/>
      <c r="K1399" s="29"/>
      <c r="L1399" s="29"/>
      <c r="M1399" s="29"/>
      <c r="N1399" s="29"/>
      <c r="O1399" s="29"/>
      <c r="P1399" s="29"/>
      <c r="Q1399" s="29"/>
    </row>
    <row r="1400" spans="1:17">
      <c r="A1400" s="29"/>
      <c r="B1400" s="29"/>
      <c r="C1400" s="29"/>
      <c r="D1400" s="29"/>
      <c r="E1400" s="29"/>
      <c r="F1400" s="29"/>
      <c r="G1400" s="29"/>
      <c r="H1400" s="29"/>
      <c r="I1400" s="29"/>
      <c r="J1400" s="29"/>
      <c r="K1400" s="29"/>
      <c r="L1400" s="29"/>
      <c r="M1400" s="29"/>
      <c r="N1400" s="29"/>
      <c r="O1400" s="29"/>
      <c r="P1400" s="29"/>
      <c r="Q1400" s="29"/>
    </row>
    <row r="1401" spans="1:17">
      <c r="A1401" s="29"/>
      <c r="B1401" s="29"/>
      <c r="C1401" s="29"/>
      <c r="D1401" s="29"/>
      <c r="E1401" s="29"/>
      <c r="F1401" s="29"/>
      <c r="G1401" s="29"/>
      <c r="H1401" s="29"/>
      <c r="I1401" s="29"/>
      <c r="J1401" s="29"/>
      <c r="K1401" s="29"/>
      <c r="L1401" s="29"/>
      <c r="M1401" s="29"/>
      <c r="N1401" s="29"/>
      <c r="O1401" s="29"/>
      <c r="P1401" s="29"/>
      <c r="Q1401" s="29"/>
    </row>
    <row r="1402" spans="1:17">
      <c r="A1402" s="29"/>
      <c r="B1402" s="29"/>
      <c r="C1402" s="29"/>
      <c r="D1402" s="29"/>
      <c r="E1402" s="29"/>
      <c r="F1402" s="29"/>
      <c r="G1402" s="29"/>
      <c r="H1402" s="29"/>
      <c r="I1402" s="29"/>
      <c r="J1402" s="29"/>
      <c r="K1402" s="29"/>
      <c r="L1402" s="29"/>
      <c r="M1402" s="29"/>
      <c r="N1402" s="29"/>
      <c r="O1402" s="29"/>
      <c r="P1402" s="29"/>
      <c r="Q1402" s="29"/>
    </row>
    <row r="1403" spans="1:17">
      <c r="A1403" s="29"/>
      <c r="B1403" s="29"/>
      <c r="C1403" s="29"/>
      <c r="D1403" s="29"/>
      <c r="E1403" s="29"/>
      <c r="F1403" s="29"/>
      <c r="G1403" s="29"/>
      <c r="H1403" s="29"/>
      <c r="I1403" s="29"/>
      <c r="J1403" s="29"/>
      <c r="K1403" s="29"/>
      <c r="L1403" s="29"/>
      <c r="M1403" s="29"/>
      <c r="N1403" s="29"/>
      <c r="O1403" s="29"/>
      <c r="P1403" s="29"/>
      <c r="Q1403" s="29"/>
    </row>
    <row r="1404" spans="1:17">
      <c r="A1404" s="29"/>
      <c r="B1404" s="29"/>
      <c r="C1404" s="29"/>
      <c r="D1404" s="29"/>
      <c r="E1404" s="29"/>
      <c r="F1404" s="29"/>
      <c r="G1404" s="29"/>
      <c r="H1404" s="29"/>
      <c r="I1404" s="29"/>
      <c r="J1404" s="29"/>
      <c r="K1404" s="29"/>
      <c r="L1404" s="29"/>
      <c r="M1404" s="29"/>
      <c r="N1404" s="29"/>
      <c r="O1404" s="29"/>
      <c r="P1404" s="29"/>
      <c r="Q1404" s="29"/>
    </row>
    <row r="1405" spans="1:17">
      <c r="A1405" s="29"/>
      <c r="B1405" s="29"/>
      <c r="C1405" s="29"/>
      <c r="D1405" s="29"/>
      <c r="E1405" s="29"/>
      <c r="F1405" s="29"/>
      <c r="G1405" s="29"/>
      <c r="H1405" s="29"/>
      <c r="I1405" s="29"/>
      <c r="J1405" s="29"/>
      <c r="K1405" s="29"/>
      <c r="L1405" s="29"/>
      <c r="M1405" s="29"/>
      <c r="N1405" s="29"/>
      <c r="O1405" s="29"/>
      <c r="P1405" s="29"/>
      <c r="Q1405" s="29"/>
    </row>
    <row r="1406" spans="1:17">
      <c r="A1406" s="29"/>
      <c r="B1406" s="29"/>
      <c r="C1406" s="29"/>
      <c r="D1406" s="29"/>
      <c r="E1406" s="29"/>
      <c r="F1406" s="29"/>
      <c r="G1406" s="29"/>
      <c r="H1406" s="29"/>
      <c r="I1406" s="29"/>
      <c r="J1406" s="29"/>
      <c r="K1406" s="29"/>
      <c r="L1406" s="29"/>
      <c r="M1406" s="29"/>
      <c r="N1406" s="29"/>
      <c r="O1406" s="29"/>
      <c r="P1406" s="29"/>
      <c r="Q1406" s="29"/>
    </row>
    <row r="1407" spans="1:17">
      <c r="A1407" s="29"/>
      <c r="B1407" s="29"/>
      <c r="C1407" s="29"/>
      <c r="D1407" s="29"/>
      <c r="E1407" s="29"/>
      <c r="F1407" s="29"/>
      <c r="G1407" s="29"/>
      <c r="H1407" s="29"/>
      <c r="I1407" s="29"/>
      <c r="J1407" s="29"/>
      <c r="K1407" s="29"/>
      <c r="L1407" s="29"/>
      <c r="M1407" s="29"/>
      <c r="N1407" s="29"/>
      <c r="O1407" s="29"/>
      <c r="P1407" s="29"/>
      <c r="Q1407" s="29"/>
    </row>
    <row r="1408" spans="1:17">
      <c r="A1408" s="29"/>
      <c r="B1408" s="29"/>
      <c r="C1408" s="29"/>
      <c r="D1408" s="29"/>
      <c r="E1408" s="29"/>
      <c r="F1408" s="29"/>
      <c r="G1408" s="29"/>
      <c r="H1408" s="29"/>
      <c r="I1408" s="29"/>
      <c r="J1408" s="29"/>
      <c r="K1408" s="29"/>
      <c r="L1408" s="29"/>
      <c r="M1408" s="29"/>
      <c r="N1408" s="29"/>
      <c r="O1408" s="29"/>
      <c r="P1408" s="29"/>
      <c r="Q1408" s="29"/>
    </row>
    <row r="1409" spans="1:17">
      <c r="A1409" s="29"/>
      <c r="B1409" s="29"/>
      <c r="C1409" s="29"/>
      <c r="D1409" s="29"/>
      <c r="E1409" s="29"/>
      <c r="F1409" s="29"/>
      <c r="G1409" s="29"/>
      <c r="H1409" s="29"/>
      <c r="I1409" s="29"/>
      <c r="J1409" s="29"/>
      <c r="K1409" s="29"/>
      <c r="L1409" s="29"/>
      <c r="M1409" s="29"/>
      <c r="N1409" s="29"/>
      <c r="O1409" s="29"/>
      <c r="P1409" s="29"/>
      <c r="Q1409" s="29"/>
    </row>
    <row r="1410" spans="1:17">
      <c r="A1410" s="29"/>
      <c r="B1410" s="29"/>
      <c r="C1410" s="29"/>
      <c r="D1410" s="29"/>
      <c r="E1410" s="29"/>
      <c r="F1410" s="29"/>
      <c r="G1410" s="29"/>
      <c r="H1410" s="29"/>
      <c r="I1410" s="29"/>
      <c r="J1410" s="29"/>
      <c r="K1410" s="29"/>
      <c r="L1410" s="29"/>
      <c r="M1410" s="29"/>
      <c r="N1410" s="29"/>
      <c r="O1410" s="29"/>
      <c r="P1410" s="29"/>
      <c r="Q1410" s="29"/>
    </row>
    <row r="1411" spans="1:17">
      <c r="A1411" s="29"/>
      <c r="B1411" s="29"/>
      <c r="C1411" s="29"/>
      <c r="D1411" s="29"/>
      <c r="E1411" s="29"/>
      <c r="F1411" s="29"/>
      <c r="G1411" s="29"/>
      <c r="H1411" s="29"/>
      <c r="I1411" s="29"/>
      <c r="J1411" s="29"/>
      <c r="K1411" s="29"/>
      <c r="L1411" s="29"/>
      <c r="M1411" s="29"/>
      <c r="N1411" s="29"/>
      <c r="O1411" s="29"/>
      <c r="P1411" s="29"/>
      <c r="Q1411" s="29"/>
    </row>
    <row r="1412" spans="1:17">
      <c r="A1412" s="29"/>
      <c r="B1412" s="29"/>
      <c r="C1412" s="29"/>
      <c r="D1412" s="29"/>
      <c r="E1412" s="29"/>
      <c r="F1412" s="29"/>
      <c r="G1412" s="29"/>
      <c r="H1412" s="29"/>
      <c r="I1412" s="29"/>
      <c r="J1412" s="29"/>
      <c r="K1412" s="29"/>
      <c r="L1412" s="29"/>
      <c r="M1412" s="29"/>
      <c r="N1412" s="29"/>
      <c r="O1412" s="29"/>
      <c r="P1412" s="29"/>
      <c r="Q1412" s="29"/>
    </row>
    <row r="1413" spans="1:17">
      <c r="A1413" s="29"/>
      <c r="B1413" s="29"/>
      <c r="C1413" s="29"/>
      <c r="D1413" s="29"/>
      <c r="E1413" s="29"/>
      <c r="F1413" s="29"/>
      <c r="G1413" s="29"/>
      <c r="H1413" s="29"/>
      <c r="I1413" s="29"/>
      <c r="J1413" s="29"/>
      <c r="K1413" s="29"/>
      <c r="L1413" s="29"/>
      <c r="M1413" s="29"/>
      <c r="N1413" s="29"/>
      <c r="O1413" s="29"/>
      <c r="P1413" s="29"/>
      <c r="Q1413" s="29"/>
    </row>
    <row r="1414" spans="1:17">
      <c r="A1414" s="29"/>
      <c r="B1414" s="29"/>
      <c r="C1414" s="29"/>
      <c r="D1414" s="29"/>
      <c r="E1414" s="29"/>
      <c r="F1414" s="29"/>
      <c r="G1414" s="29"/>
      <c r="H1414" s="29"/>
      <c r="I1414" s="29"/>
      <c r="J1414" s="29"/>
      <c r="K1414" s="29"/>
      <c r="L1414" s="29"/>
      <c r="M1414" s="29"/>
      <c r="N1414" s="29"/>
      <c r="O1414" s="29"/>
      <c r="P1414" s="29"/>
      <c r="Q1414" s="29"/>
    </row>
    <row r="1415" spans="1:17">
      <c r="A1415" s="29"/>
      <c r="B1415" s="29"/>
      <c r="C1415" s="29"/>
      <c r="D1415" s="29"/>
      <c r="E1415" s="29"/>
      <c r="F1415" s="29"/>
      <c r="G1415" s="29"/>
      <c r="H1415" s="29"/>
      <c r="I1415" s="29"/>
      <c r="J1415" s="29"/>
      <c r="K1415" s="29"/>
      <c r="L1415" s="29"/>
      <c r="M1415" s="29"/>
      <c r="N1415" s="29"/>
      <c r="O1415" s="29"/>
      <c r="P1415" s="29"/>
      <c r="Q1415" s="29"/>
    </row>
    <row r="1416" spans="1:17">
      <c r="A1416" s="29"/>
      <c r="B1416" s="29"/>
      <c r="C1416" s="29"/>
      <c r="D1416" s="29"/>
      <c r="E1416" s="29"/>
      <c r="F1416" s="29"/>
      <c r="G1416" s="29"/>
      <c r="H1416" s="29"/>
      <c r="I1416" s="29"/>
      <c r="J1416" s="29"/>
      <c r="K1416" s="29"/>
      <c r="L1416" s="29"/>
      <c r="M1416" s="29"/>
      <c r="N1416" s="29"/>
      <c r="O1416" s="29"/>
      <c r="P1416" s="29"/>
      <c r="Q1416" s="29"/>
    </row>
    <row r="1417" spans="1:17">
      <c r="A1417" s="29"/>
      <c r="B1417" s="29"/>
      <c r="C1417" s="29"/>
      <c r="D1417" s="29"/>
      <c r="E1417" s="29"/>
      <c r="F1417" s="29"/>
      <c r="G1417" s="29"/>
      <c r="H1417" s="29"/>
      <c r="I1417" s="29"/>
      <c r="J1417" s="29"/>
      <c r="K1417" s="29"/>
      <c r="L1417" s="29"/>
      <c r="M1417" s="29"/>
      <c r="N1417" s="29"/>
      <c r="O1417" s="29"/>
      <c r="P1417" s="29"/>
      <c r="Q1417" s="29"/>
    </row>
    <row r="1418" spans="1:17">
      <c r="A1418" s="29"/>
      <c r="B1418" s="29"/>
      <c r="C1418" s="29"/>
      <c r="D1418" s="29"/>
      <c r="E1418" s="29"/>
      <c r="F1418" s="29"/>
      <c r="G1418" s="29"/>
      <c r="H1418" s="29"/>
      <c r="I1418" s="29"/>
      <c r="J1418" s="29"/>
      <c r="K1418" s="29"/>
      <c r="L1418" s="29"/>
      <c r="M1418" s="29"/>
      <c r="N1418" s="29"/>
      <c r="O1418" s="29"/>
      <c r="P1418" s="29"/>
      <c r="Q1418" s="29"/>
    </row>
    <row r="1419" spans="1:17">
      <c r="A1419" s="29"/>
      <c r="B1419" s="29"/>
      <c r="C1419" s="29"/>
      <c r="D1419" s="29"/>
      <c r="E1419" s="29"/>
      <c r="F1419" s="29"/>
      <c r="G1419" s="29"/>
      <c r="H1419" s="29"/>
      <c r="I1419" s="29"/>
      <c r="J1419" s="29"/>
      <c r="K1419" s="29"/>
      <c r="L1419" s="29"/>
      <c r="M1419" s="29"/>
      <c r="N1419" s="29"/>
      <c r="O1419" s="29"/>
      <c r="P1419" s="29"/>
      <c r="Q1419" s="29"/>
    </row>
    <row r="1420" spans="1:17">
      <c r="A1420" s="29"/>
      <c r="B1420" s="29"/>
      <c r="C1420" s="29"/>
      <c r="D1420" s="29"/>
      <c r="E1420" s="29"/>
      <c r="F1420" s="29"/>
      <c r="G1420" s="29"/>
      <c r="H1420" s="29"/>
      <c r="I1420" s="29"/>
      <c r="J1420" s="29"/>
      <c r="K1420" s="29"/>
      <c r="L1420" s="29"/>
      <c r="M1420" s="29"/>
      <c r="N1420" s="29"/>
      <c r="O1420" s="29"/>
      <c r="P1420" s="29"/>
      <c r="Q1420" s="29"/>
    </row>
    <row r="1421" spans="1:17">
      <c r="A1421" s="29"/>
      <c r="B1421" s="29"/>
      <c r="C1421" s="29"/>
      <c r="D1421" s="29"/>
      <c r="E1421" s="29"/>
      <c r="F1421" s="29"/>
      <c r="G1421" s="29"/>
      <c r="H1421" s="29"/>
      <c r="I1421" s="29"/>
      <c r="J1421" s="29"/>
      <c r="K1421" s="29"/>
      <c r="L1421" s="29"/>
      <c r="M1421" s="29"/>
      <c r="N1421" s="29"/>
      <c r="O1421" s="29"/>
      <c r="P1421" s="29"/>
      <c r="Q1421" s="29"/>
    </row>
    <row r="1422" spans="1:17">
      <c r="A1422" s="29"/>
      <c r="B1422" s="29"/>
      <c r="C1422" s="29"/>
      <c r="D1422" s="29"/>
      <c r="E1422" s="29"/>
      <c r="F1422" s="29"/>
      <c r="G1422" s="29"/>
      <c r="H1422" s="29"/>
      <c r="I1422" s="29"/>
      <c r="J1422" s="29"/>
      <c r="K1422" s="29"/>
      <c r="L1422" s="29"/>
      <c r="M1422" s="29"/>
      <c r="N1422" s="29"/>
      <c r="O1422" s="29"/>
      <c r="P1422" s="29"/>
      <c r="Q1422" s="29"/>
    </row>
    <row r="1423" spans="1:17">
      <c r="A1423" s="29"/>
      <c r="B1423" s="29"/>
      <c r="C1423" s="29"/>
      <c r="D1423" s="29"/>
      <c r="E1423" s="29"/>
      <c r="F1423" s="29"/>
      <c r="G1423" s="29"/>
      <c r="H1423" s="29"/>
      <c r="I1423" s="29"/>
      <c r="J1423" s="29"/>
      <c r="K1423" s="29"/>
      <c r="L1423" s="29"/>
      <c r="M1423" s="29"/>
      <c r="N1423" s="29"/>
      <c r="O1423" s="29"/>
      <c r="P1423" s="29"/>
      <c r="Q1423" s="29"/>
    </row>
    <row r="1424" spans="1:17">
      <c r="A1424" s="29"/>
      <c r="B1424" s="29"/>
      <c r="C1424" s="29"/>
      <c r="D1424" s="29"/>
      <c r="E1424" s="29"/>
      <c r="F1424" s="29"/>
      <c r="G1424" s="29"/>
      <c r="H1424" s="29"/>
      <c r="I1424" s="29"/>
      <c r="J1424" s="29"/>
      <c r="K1424" s="29"/>
      <c r="L1424" s="29"/>
      <c r="M1424" s="29"/>
      <c r="N1424" s="29"/>
      <c r="O1424" s="29"/>
      <c r="P1424" s="29"/>
      <c r="Q1424" s="29"/>
    </row>
    <row r="1425" spans="1:17">
      <c r="A1425" s="29"/>
      <c r="B1425" s="29"/>
      <c r="C1425" s="29"/>
      <c r="D1425" s="29"/>
      <c r="E1425" s="29"/>
      <c r="F1425" s="29"/>
      <c r="G1425" s="29"/>
      <c r="H1425" s="29"/>
      <c r="I1425" s="29"/>
      <c r="J1425" s="29"/>
      <c r="K1425" s="29"/>
      <c r="L1425" s="29"/>
      <c r="M1425" s="29"/>
      <c r="N1425" s="29"/>
      <c r="O1425" s="29"/>
      <c r="P1425" s="29"/>
      <c r="Q1425" s="29"/>
    </row>
    <row r="1426" spans="1:17">
      <c r="A1426" s="29"/>
      <c r="B1426" s="29"/>
      <c r="C1426" s="29"/>
      <c r="D1426" s="29"/>
      <c r="E1426" s="29"/>
      <c r="F1426" s="29"/>
      <c r="G1426" s="29"/>
      <c r="H1426" s="29"/>
      <c r="I1426" s="29"/>
      <c r="J1426" s="29"/>
      <c r="K1426" s="29"/>
      <c r="L1426" s="29"/>
      <c r="M1426" s="29"/>
      <c r="N1426" s="29"/>
      <c r="O1426" s="29"/>
      <c r="P1426" s="29"/>
      <c r="Q1426" s="29"/>
    </row>
    <row r="1427" spans="1:17">
      <c r="A1427" s="29"/>
      <c r="B1427" s="29"/>
      <c r="C1427" s="29"/>
      <c r="D1427" s="29"/>
      <c r="E1427" s="29"/>
      <c r="F1427" s="29"/>
      <c r="G1427" s="29"/>
      <c r="H1427" s="29"/>
      <c r="I1427" s="29"/>
      <c r="J1427" s="29"/>
      <c r="K1427" s="29"/>
      <c r="L1427" s="29"/>
      <c r="M1427" s="29"/>
      <c r="N1427" s="29"/>
      <c r="O1427" s="29"/>
      <c r="P1427" s="29"/>
      <c r="Q1427" s="29"/>
    </row>
    <row r="1428" spans="1:17">
      <c r="A1428" s="29"/>
      <c r="B1428" s="29"/>
      <c r="C1428" s="29"/>
      <c r="D1428" s="29"/>
      <c r="E1428" s="29"/>
      <c r="F1428" s="29"/>
      <c r="G1428" s="29"/>
      <c r="H1428" s="29"/>
      <c r="I1428" s="29"/>
      <c r="J1428" s="29"/>
      <c r="K1428" s="29"/>
      <c r="L1428" s="29"/>
      <c r="M1428" s="29"/>
      <c r="N1428" s="29"/>
      <c r="O1428" s="29"/>
      <c r="P1428" s="29"/>
      <c r="Q1428" s="29"/>
    </row>
    <row r="1429" spans="1:17">
      <c r="A1429" s="29"/>
      <c r="B1429" s="29"/>
      <c r="C1429" s="29"/>
      <c r="D1429" s="29"/>
      <c r="E1429" s="29"/>
      <c r="F1429" s="29"/>
      <c r="G1429" s="29"/>
      <c r="H1429" s="29"/>
      <c r="I1429" s="29"/>
      <c r="J1429" s="29"/>
      <c r="K1429" s="29"/>
      <c r="L1429" s="29"/>
      <c r="M1429" s="29"/>
      <c r="N1429" s="29"/>
      <c r="O1429" s="29"/>
      <c r="P1429" s="29"/>
      <c r="Q1429" s="29"/>
    </row>
    <row r="1430" spans="1:17">
      <c r="A1430" s="29"/>
      <c r="B1430" s="29"/>
      <c r="C1430" s="29"/>
      <c r="D1430" s="29"/>
      <c r="E1430" s="29"/>
      <c r="F1430" s="29"/>
      <c r="G1430" s="29"/>
      <c r="H1430" s="29"/>
      <c r="I1430" s="29"/>
      <c r="J1430" s="29"/>
      <c r="K1430" s="29"/>
      <c r="L1430" s="29"/>
      <c r="M1430" s="29"/>
      <c r="N1430" s="29"/>
      <c r="O1430" s="29"/>
      <c r="P1430" s="29"/>
      <c r="Q1430" s="29"/>
    </row>
    <row r="1431" spans="1:17">
      <c r="A1431" s="29"/>
      <c r="B1431" s="29"/>
      <c r="C1431" s="29"/>
      <c r="D1431" s="29"/>
      <c r="E1431" s="29"/>
      <c r="F1431" s="29"/>
      <c r="G1431" s="29"/>
      <c r="H1431" s="29"/>
      <c r="I1431" s="29"/>
      <c r="J1431" s="29"/>
      <c r="K1431" s="29"/>
      <c r="L1431" s="29"/>
      <c r="M1431" s="29"/>
      <c r="N1431" s="29"/>
      <c r="O1431" s="29"/>
      <c r="P1431" s="29"/>
      <c r="Q1431" s="29"/>
    </row>
    <row r="1432" spans="1:17">
      <c r="A1432" s="29"/>
      <c r="B1432" s="29"/>
      <c r="C1432" s="29"/>
      <c r="D1432" s="29"/>
      <c r="E1432" s="29"/>
      <c r="F1432" s="29"/>
      <c r="G1432" s="29"/>
      <c r="H1432" s="29"/>
      <c r="I1432" s="29"/>
      <c r="J1432" s="29"/>
      <c r="K1432" s="29"/>
      <c r="L1432" s="29"/>
      <c r="M1432" s="29"/>
      <c r="N1432" s="29"/>
      <c r="O1432" s="29"/>
      <c r="P1432" s="29"/>
      <c r="Q1432" s="29"/>
    </row>
    <row r="1433" spans="1:17">
      <c r="A1433" s="29"/>
      <c r="B1433" s="29"/>
      <c r="C1433" s="29"/>
      <c r="D1433" s="29"/>
      <c r="E1433" s="29"/>
      <c r="F1433" s="29"/>
      <c r="G1433" s="29"/>
      <c r="H1433" s="29"/>
      <c r="I1433" s="29"/>
      <c r="J1433" s="29"/>
      <c r="K1433" s="29"/>
      <c r="L1433" s="29"/>
      <c r="M1433" s="29"/>
      <c r="N1433" s="29"/>
      <c r="O1433" s="29"/>
      <c r="P1433" s="29"/>
      <c r="Q1433" s="29"/>
    </row>
    <row r="1434" spans="1:17">
      <c r="A1434" s="29"/>
      <c r="B1434" s="29"/>
      <c r="C1434" s="29"/>
      <c r="D1434" s="29"/>
      <c r="E1434" s="29"/>
      <c r="F1434" s="29"/>
      <c r="G1434" s="29"/>
      <c r="H1434" s="29"/>
      <c r="I1434" s="29"/>
      <c r="J1434" s="29"/>
      <c r="K1434" s="29"/>
      <c r="L1434" s="29"/>
      <c r="M1434" s="29"/>
      <c r="N1434" s="29"/>
      <c r="O1434" s="29"/>
      <c r="P1434" s="29"/>
      <c r="Q1434" s="29"/>
    </row>
    <row r="1435" spans="1:17">
      <c r="A1435" s="29"/>
      <c r="B1435" s="29"/>
      <c r="C1435" s="29"/>
      <c r="D1435" s="29"/>
      <c r="E1435" s="29"/>
      <c r="F1435" s="29"/>
      <c r="G1435" s="29"/>
      <c r="H1435" s="29"/>
      <c r="I1435" s="29"/>
      <c r="J1435" s="29"/>
      <c r="K1435" s="29"/>
      <c r="L1435" s="29"/>
      <c r="M1435" s="29"/>
      <c r="N1435" s="29"/>
      <c r="O1435" s="29"/>
      <c r="P1435" s="29"/>
      <c r="Q1435" s="29"/>
    </row>
    <row r="1436" spans="1:17">
      <c r="A1436" s="29"/>
      <c r="B1436" s="29"/>
      <c r="C1436" s="29"/>
      <c r="D1436" s="29"/>
      <c r="E1436" s="29"/>
      <c r="F1436" s="29"/>
      <c r="G1436" s="29"/>
      <c r="H1436" s="29"/>
      <c r="I1436" s="29"/>
      <c r="J1436" s="29"/>
      <c r="K1436" s="29"/>
      <c r="L1436" s="29"/>
      <c r="M1436" s="29"/>
      <c r="N1436" s="29"/>
      <c r="O1436" s="29"/>
      <c r="P1436" s="29"/>
      <c r="Q1436" s="29"/>
    </row>
    <row r="1437" spans="1:17">
      <c r="A1437" s="29"/>
      <c r="B1437" s="29"/>
      <c r="C1437" s="29"/>
      <c r="D1437" s="29"/>
      <c r="E1437" s="29"/>
      <c r="F1437" s="29"/>
      <c r="G1437" s="29"/>
      <c r="H1437" s="29"/>
      <c r="I1437" s="29"/>
      <c r="J1437" s="29"/>
      <c r="K1437" s="29"/>
      <c r="L1437" s="29"/>
      <c r="M1437" s="29"/>
      <c r="N1437" s="29"/>
      <c r="O1437" s="29"/>
      <c r="P1437" s="29"/>
      <c r="Q1437" s="29"/>
    </row>
    <row r="1438" spans="1:17">
      <c r="A1438" s="29"/>
      <c r="B1438" s="29"/>
      <c r="C1438" s="29"/>
      <c r="D1438" s="29"/>
      <c r="E1438" s="29"/>
      <c r="F1438" s="29"/>
      <c r="G1438" s="29"/>
      <c r="H1438" s="29"/>
      <c r="I1438" s="29"/>
      <c r="J1438" s="29"/>
      <c r="K1438" s="29"/>
      <c r="L1438" s="29"/>
      <c r="M1438" s="29"/>
      <c r="N1438" s="29"/>
      <c r="O1438" s="29"/>
      <c r="P1438" s="29"/>
      <c r="Q1438" s="29"/>
    </row>
    <row r="1439" spans="1:17">
      <c r="A1439" s="29"/>
      <c r="B1439" s="29"/>
      <c r="C1439" s="29"/>
      <c r="D1439" s="29"/>
      <c r="E1439" s="29"/>
      <c r="F1439" s="29"/>
      <c r="G1439" s="29"/>
      <c r="H1439" s="29"/>
      <c r="I1439" s="29"/>
      <c r="J1439" s="29"/>
      <c r="K1439" s="29"/>
      <c r="L1439" s="29"/>
      <c r="M1439" s="29"/>
      <c r="N1439" s="29"/>
      <c r="O1439" s="29"/>
      <c r="P1439" s="29"/>
      <c r="Q1439" s="29"/>
    </row>
    <row r="1440" spans="1:17">
      <c r="A1440" s="29"/>
      <c r="B1440" s="29"/>
      <c r="C1440" s="29"/>
      <c r="D1440" s="29"/>
      <c r="E1440" s="29"/>
      <c r="F1440" s="29"/>
      <c r="G1440" s="29"/>
      <c r="H1440" s="29"/>
      <c r="I1440" s="29"/>
      <c r="J1440" s="29"/>
      <c r="K1440" s="29"/>
      <c r="L1440" s="29"/>
      <c r="M1440" s="29"/>
      <c r="N1440" s="29"/>
      <c r="O1440" s="29"/>
      <c r="P1440" s="29"/>
      <c r="Q1440" s="29"/>
    </row>
    <row r="1441" spans="1:17">
      <c r="A1441" s="29"/>
      <c r="B1441" s="29"/>
      <c r="C1441" s="29"/>
      <c r="D1441" s="29"/>
      <c r="E1441" s="29"/>
      <c r="F1441" s="29"/>
      <c r="G1441" s="29"/>
      <c r="H1441" s="29"/>
      <c r="I1441" s="29"/>
      <c r="J1441" s="29"/>
      <c r="K1441" s="29"/>
      <c r="L1441" s="29"/>
      <c r="M1441" s="29"/>
      <c r="N1441" s="29"/>
      <c r="O1441" s="29"/>
      <c r="P1441" s="29"/>
      <c r="Q1441" s="29"/>
    </row>
    <row r="1442" spans="1:17">
      <c r="A1442" s="29"/>
      <c r="B1442" s="29"/>
      <c r="C1442" s="29"/>
      <c r="D1442" s="29"/>
      <c r="E1442" s="29"/>
      <c r="F1442" s="29"/>
      <c r="G1442" s="29"/>
      <c r="H1442" s="29"/>
      <c r="I1442" s="29"/>
      <c r="J1442" s="29"/>
      <c r="K1442" s="29"/>
      <c r="L1442" s="29"/>
      <c r="M1442" s="29"/>
      <c r="N1442" s="29"/>
      <c r="O1442" s="29"/>
      <c r="P1442" s="29"/>
      <c r="Q1442" s="29"/>
    </row>
    <row r="1443" spans="1:17">
      <c r="A1443" s="29"/>
      <c r="B1443" s="29"/>
      <c r="C1443" s="29"/>
      <c r="D1443" s="29"/>
      <c r="E1443" s="29"/>
      <c r="F1443" s="29"/>
      <c r="G1443" s="29"/>
      <c r="H1443" s="29"/>
      <c r="I1443" s="29"/>
      <c r="J1443" s="29"/>
      <c r="K1443" s="29"/>
      <c r="L1443" s="29"/>
      <c r="M1443" s="29"/>
      <c r="N1443" s="29"/>
      <c r="O1443" s="29"/>
      <c r="P1443" s="29"/>
      <c r="Q1443" s="29"/>
    </row>
    <row r="1444" spans="1:17">
      <c r="A1444" s="29"/>
      <c r="B1444" s="29"/>
      <c r="C1444" s="29"/>
      <c r="D1444" s="29"/>
      <c r="E1444" s="29"/>
      <c r="F1444" s="29"/>
      <c r="G1444" s="29"/>
      <c r="H1444" s="29"/>
      <c r="I1444" s="29"/>
      <c r="J1444" s="29"/>
      <c r="K1444" s="29"/>
      <c r="L1444" s="29"/>
      <c r="M1444" s="29"/>
      <c r="N1444" s="29"/>
      <c r="O1444" s="29"/>
      <c r="P1444" s="29"/>
      <c r="Q1444" s="29"/>
    </row>
    <row r="1445" spans="1:17">
      <c r="A1445" s="29"/>
      <c r="B1445" s="29"/>
      <c r="C1445" s="29"/>
      <c r="D1445" s="29"/>
      <c r="E1445" s="29"/>
      <c r="F1445" s="29"/>
      <c r="G1445" s="29"/>
      <c r="H1445" s="29"/>
      <c r="I1445" s="29"/>
      <c r="J1445" s="29"/>
      <c r="K1445" s="29"/>
      <c r="L1445" s="29"/>
      <c r="M1445" s="29"/>
      <c r="N1445" s="29"/>
      <c r="O1445" s="29"/>
      <c r="P1445" s="29"/>
      <c r="Q1445" s="29"/>
    </row>
    <row r="1446" spans="1:17">
      <c r="A1446" s="29"/>
      <c r="B1446" s="29"/>
      <c r="C1446" s="29"/>
      <c r="D1446" s="29"/>
      <c r="E1446" s="29"/>
      <c r="F1446" s="29"/>
      <c r="G1446" s="29"/>
      <c r="H1446" s="29"/>
      <c r="I1446" s="29"/>
      <c r="J1446" s="29"/>
      <c r="K1446" s="29"/>
      <c r="L1446" s="29"/>
      <c r="M1446" s="29"/>
      <c r="N1446" s="29"/>
      <c r="O1446" s="29"/>
      <c r="P1446" s="29"/>
      <c r="Q1446" s="29"/>
    </row>
    <row r="1447" spans="1:17">
      <c r="A1447" s="29"/>
      <c r="B1447" s="29"/>
      <c r="C1447" s="29"/>
      <c r="D1447" s="29"/>
      <c r="E1447" s="29"/>
      <c r="F1447" s="29"/>
      <c r="G1447" s="29"/>
      <c r="H1447" s="29"/>
      <c r="I1447" s="29"/>
      <c r="J1447" s="29"/>
      <c r="K1447" s="29"/>
      <c r="L1447" s="29"/>
      <c r="M1447" s="29"/>
      <c r="N1447" s="29"/>
      <c r="O1447" s="29"/>
      <c r="P1447" s="29"/>
      <c r="Q1447" s="29"/>
    </row>
    <row r="1448" spans="1:17">
      <c r="A1448" s="29"/>
      <c r="B1448" s="29"/>
      <c r="C1448" s="29"/>
      <c r="D1448" s="29"/>
      <c r="E1448" s="29"/>
      <c r="F1448" s="29"/>
      <c r="G1448" s="29"/>
      <c r="H1448" s="29"/>
      <c r="I1448" s="29"/>
      <c r="J1448" s="29"/>
      <c r="K1448" s="29"/>
      <c r="L1448" s="29"/>
      <c r="M1448" s="29"/>
      <c r="N1448" s="29"/>
      <c r="O1448" s="29"/>
      <c r="P1448" s="29"/>
      <c r="Q1448" s="29"/>
    </row>
    <row r="1449" spans="1:17">
      <c r="A1449" s="29"/>
      <c r="B1449" s="29"/>
      <c r="C1449" s="29"/>
      <c r="D1449" s="29"/>
      <c r="E1449" s="29"/>
      <c r="F1449" s="29"/>
      <c r="G1449" s="29"/>
      <c r="H1449" s="29"/>
      <c r="I1449" s="29"/>
      <c r="J1449" s="29"/>
      <c r="K1449" s="29"/>
      <c r="L1449" s="29"/>
      <c r="M1449" s="29"/>
      <c r="N1449" s="29"/>
      <c r="O1449" s="29"/>
      <c r="P1449" s="29"/>
      <c r="Q1449" s="29"/>
    </row>
    <row r="1450" spans="1:17">
      <c r="A1450" s="29"/>
      <c r="B1450" s="29"/>
      <c r="C1450" s="29"/>
      <c r="D1450" s="29"/>
      <c r="E1450" s="29"/>
      <c r="F1450" s="29"/>
      <c r="G1450" s="29"/>
      <c r="H1450" s="29"/>
      <c r="I1450" s="29"/>
      <c r="J1450" s="29"/>
      <c r="K1450" s="29"/>
      <c r="L1450" s="29"/>
      <c r="M1450" s="29"/>
      <c r="N1450" s="29"/>
      <c r="O1450" s="29"/>
      <c r="P1450" s="29"/>
      <c r="Q1450" s="29"/>
    </row>
    <row r="1451" spans="1:17">
      <c r="A1451" s="29"/>
      <c r="B1451" s="29"/>
      <c r="C1451" s="29"/>
      <c r="D1451" s="29"/>
      <c r="E1451" s="29"/>
      <c r="F1451" s="29"/>
      <c r="G1451" s="29"/>
      <c r="H1451" s="29"/>
      <c r="I1451" s="29"/>
      <c r="J1451" s="29"/>
      <c r="K1451" s="29"/>
      <c r="L1451" s="29"/>
      <c r="M1451" s="29"/>
      <c r="N1451" s="29"/>
      <c r="O1451" s="29"/>
      <c r="P1451" s="29"/>
      <c r="Q1451" s="29"/>
    </row>
    <row r="1452" spans="1:17">
      <c r="A1452" s="29"/>
      <c r="B1452" s="29"/>
      <c r="C1452" s="29"/>
      <c r="D1452" s="29"/>
      <c r="E1452" s="29"/>
      <c r="F1452" s="29"/>
      <c r="G1452" s="29"/>
      <c r="H1452" s="29"/>
      <c r="I1452" s="29"/>
      <c r="J1452" s="29"/>
      <c r="K1452" s="29"/>
      <c r="L1452" s="29"/>
      <c r="M1452" s="29"/>
      <c r="N1452" s="29"/>
      <c r="O1452" s="29"/>
      <c r="P1452" s="29"/>
      <c r="Q1452" s="29"/>
    </row>
    <row r="1453" spans="1:17">
      <c r="A1453" s="29"/>
      <c r="B1453" s="29"/>
      <c r="C1453" s="29"/>
      <c r="D1453" s="29"/>
      <c r="E1453" s="29"/>
      <c r="F1453" s="29"/>
      <c r="G1453" s="29"/>
      <c r="H1453" s="29"/>
      <c r="I1453" s="29"/>
      <c r="J1453" s="29"/>
      <c r="K1453" s="29"/>
      <c r="L1453" s="29"/>
      <c r="M1453" s="29"/>
      <c r="N1453" s="29"/>
      <c r="O1453" s="29"/>
      <c r="P1453" s="29"/>
      <c r="Q1453" s="29"/>
    </row>
    <row r="1454" spans="1:17">
      <c r="A1454" s="29"/>
      <c r="B1454" s="29"/>
      <c r="C1454" s="29"/>
      <c r="D1454" s="29"/>
      <c r="E1454" s="29"/>
      <c r="F1454" s="29"/>
      <c r="G1454" s="29"/>
      <c r="H1454" s="29"/>
      <c r="I1454" s="29"/>
      <c r="J1454" s="29"/>
      <c r="K1454" s="29"/>
      <c r="L1454" s="29"/>
      <c r="M1454" s="29"/>
      <c r="N1454" s="29"/>
      <c r="O1454" s="29"/>
      <c r="P1454" s="29"/>
      <c r="Q1454" s="29"/>
    </row>
    <row r="1455" spans="1:17">
      <c r="A1455" s="29"/>
      <c r="B1455" s="29"/>
      <c r="C1455" s="29"/>
      <c r="D1455" s="29"/>
      <c r="E1455" s="29"/>
      <c r="F1455" s="29"/>
      <c r="G1455" s="29"/>
      <c r="H1455" s="29"/>
      <c r="I1455" s="29"/>
      <c r="J1455" s="29"/>
      <c r="K1455" s="29"/>
      <c r="L1455" s="29"/>
      <c r="M1455" s="29"/>
      <c r="N1455" s="29"/>
      <c r="O1455" s="29"/>
      <c r="P1455" s="29"/>
      <c r="Q1455" s="29"/>
    </row>
    <row r="1456" spans="1:17">
      <c r="A1456" s="29"/>
      <c r="B1456" s="29"/>
      <c r="C1456" s="29"/>
      <c r="D1456" s="29"/>
      <c r="E1456" s="29"/>
      <c r="F1456" s="29"/>
      <c r="G1456" s="29"/>
      <c r="H1456" s="29"/>
      <c r="I1456" s="29"/>
      <c r="J1456" s="29"/>
      <c r="K1456" s="29"/>
      <c r="L1456" s="29"/>
      <c r="M1456" s="29"/>
      <c r="N1456" s="29"/>
      <c r="O1456" s="29"/>
      <c r="P1456" s="29"/>
      <c r="Q1456" s="29"/>
    </row>
    <row r="1457" spans="1:17">
      <c r="A1457" s="29"/>
      <c r="B1457" s="29"/>
      <c r="C1457" s="29"/>
      <c r="D1457" s="29"/>
      <c r="E1457" s="29"/>
      <c r="F1457" s="29"/>
      <c r="G1457" s="29"/>
      <c r="H1457" s="29"/>
      <c r="I1457" s="29"/>
      <c r="J1457" s="29"/>
      <c r="K1457" s="29"/>
      <c r="L1457" s="29"/>
      <c r="M1457" s="29"/>
      <c r="N1457" s="29"/>
      <c r="O1457" s="29"/>
      <c r="P1457" s="29"/>
      <c r="Q1457" s="29"/>
    </row>
    <row r="1458" spans="1:17">
      <c r="A1458" s="29"/>
      <c r="B1458" s="29"/>
      <c r="C1458" s="29"/>
      <c r="D1458" s="29"/>
      <c r="E1458" s="29"/>
      <c r="F1458" s="29"/>
      <c r="G1458" s="29"/>
      <c r="H1458" s="29"/>
      <c r="I1458" s="29"/>
      <c r="J1458" s="29"/>
      <c r="K1458" s="29"/>
      <c r="L1458" s="29"/>
      <c r="M1458" s="29"/>
      <c r="N1458" s="29"/>
      <c r="O1458" s="29"/>
      <c r="P1458" s="29"/>
      <c r="Q1458" s="29"/>
    </row>
    <row r="1459" spans="1:17">
      <c r="A1459" s="29"/>
      <c r="B1459" s="29"/>
      <c r="C1459" s="29"/>
      <c r="D1459" s="29"/>
      <c r="E1459" s="29"/>
      <c r="F1459" s="29"/>
      <c r="G1459" s="29"/>
      <c r="H1459" s="29"/>
      <c r="I1459" s="29"/>
      <c r="J1459" s="29"/>
      <c r="K1459" s="29"/>
      <c r="L1459" s="29"/>
      <c r="M1459" s="29"/>
      <c r="N1459" s="29"/>
      <c r="O1459" s="29"/>
      <c r="P1459" s="29"/>
      <c r="Q1459" s="29"/>
    </row>
    <row r="1460" spans="1:17">
      <c r="A1460" s="29"/>
      <c r="B1460" s="29"/>
      <c r="C1460" s="29"/>
      <c r="D1460" s="29"/>
      <c r="E1460" s="29"/>
      <c r="F1460" s="29"/>
      <c r="G1460" s="29"/>
      <c r="H1460" s="29"/>
      <c r="I1460" s="29"/>
      <c r="J1460" s="29"/>
      <c r="K1460" s="29"/>
      <c r="L1460" s="29"/>
      <c r="M1460" s="29"/>
      <c r="N1460" s="29"/>
      <c r="O1460" s="29"/>
      <c r="P1460" s="29"/>
      <c r="Q1460" s="29"/>
    </row>
    <row r="1461" spans="1:17">
      <c r="A1461" s="29"/>
      <c r="B1461" s="29"/>
      <c r="C1461" s="29"/>
      <c r="D1461" s="29"/>
      <c r="E1461" s="29"/>
      <c r="F1461" s="29"/>
      <c r="G1461" s="29"/>
      <c r="H1461" s="29"/>
      <c r="I1461" s="29"/>
      <c r="J1461" s="29"/>
      <c r="K1461" s="29"/>
      <c r="L1461" s="29"/>
      <c r="M1461" s="29"/>
      <c r="N1461" s="29"/>
      <c r="O1461" s="29"/>
      <c r="P1461" s="29"/>
      <c r="Q1461" s="29"/>
    </row>
    <row r="1462" spans="1:17">
      <c r="A1462" s="29"/>
      <c r="B1462" s="29"/>
      <c r="C1462" s="29"/>
      <c r="D1462" s="29"/>
      <c r="E1462" s="29"/>
      <c r="F1462" s="29"/>
      <c r="G1462" s="29"/>
      <c r="H1462" s="29"/>
      <c r="I1462" s="29"/>
      <c r="J1462" s="29"/>
      <c r="K1462" s="29"/>
      <c r="L1462" s="29"/>
      <c r="M1462" s="29"/>
      <c r="N1462" s="29"/>
      <c r="O1462" s="29"/>
      <c r="P1462" s="29"/>
      <c r="Q1462" s="29"/>
    </row>
    <row r="1463" spans="1:17">
      <c r="A1463" s="29"/>
      <c r="B1463" s="29"/>
      <c r="C1463" s="29"/>
      <c r="D1463" s="29"/>
      <c r="E1463" s="29"/>
      <c r="F1463" s="29"/>
      <c r="G1463" s="29"/>
      <c r="H1463" s="29"/>
      <c r="I1463" s="29"/>
      <c r="J1463" s="29"/>
      <c r="K1463" s="29"/>
      <c r="L1463" s="29"/>
      <c r="M1463" s="29"/>
      <c r="N1463" s="29"/>
      <c r="O1463" s="29"/>
      <c r="P1463" s="29"/>
      <c r="Q1463" s="29"/>
    </row>
    <row r="1464" spans="1:17">
      <c r="A1464" s="29"/>
      <c r="B1464" s="29"/>
      <c r="C1464" s="29"/>
      <c r="D1464" s="29"/>
      <c r="E1464" s="29"/>
      <c r="F1464" s="29"/>
      <c r="G1464" s="29"/>
      <c r="H1464" s="29"/>
      <c r="I1464" s="29"/>
      <c r="J1464" s="29"/>
      <c r="K1464" s="29"/>
      <c r="L1464" s="29"/>
      <c r="M1464" s="29"/>
      <c r="N1464" s="29"/>
      <c r="O1464" s="29"/>
      <c r="P1464" s="29"/>
      <c r="Q1464" s="29"/>
    </row>
    <row r="1465" spans="1:17">
      <c r="A1465" s="29"/>
      <c r="B1465" s="29"/>
      <c r="C1465" s="29"/>
      <c r="D1465" s="29"/>
      <c r="E1465" s="29"/>
      <c r="F1465" s="29"/>
      <c r="G1465" s="29"/>
      <c r="H1465" s="29"/>
      <c r="I1465" s="29"/>
      <c r="J1465" s="29"/>
      <c r="K1465" s="29"/>
      <c r="L1465" s="29"/>
      <c r="M1465" s="29"/>
      <c r="N1465" s="29"/>
      <c r="O1465" s="29"/>
      <c r="P1465" s="29"/>
      <c r="Q1465" s="29"/>
    </row>
    <row r="1466" spans="1:17">
      <c r="A1466" s="29"/>
      <c r="B1466" s="29"/>
      <c r="C1466" s="29"/>
      <c r="D1466" s="29"/>
      <c r="E1466" s="29"/>
      <c r="F1466" s="29"/>
      <c r="G1466" s="29"/>
      <c r="H1466" s="29"/>
      <c r="I1466" s="29"/>
      <c r="J1466" s="29"/>
      <c r="K1466" s="29"/>
      <c r="L1466" s="29"/>
      <c r="M1466" s="29"/>
      <c r="N1466" s="29"/>
      <c r="O1466" s="29"/>
      <c r="P1466" s="29"/>
      <c r="Q1466" s="29"/>
    </row>
    <row r="1467" spans="1:17">
      <c r="A1467" s="29"/>
      <c r="B1467" s="29"/>
      <c r="C1467" s="29"/>
      <c r="D1467" s="29"/>
      <c r="E1467" s="29"/>
      <c r="F1467" s="29"/>
      <c r="G1467" s="29"/>
      <c r="H1467" s="29"/>
      <c r="I1467" s="29"/>
      <c r="J1467" s="29"/>
      <c r="K1467" s="29"/>
      <c r="L1467" s="29"/>
      <c r="M1467" s="29"/>
      <c r="N1467" s="29"/>
      <c r="O1467" s="29"/>
      <c r="P1467" s="29"/>
      <c r="Q1467" s="29"/>
    </row>
    <row r="1468" spans="1:17">
      <c r="A1468" s="29"/>
      <c r="B1468" s="29"/>
      <c r="C1468" s="29"/>
      <c r="D1468" s="29"/>
      <c r="E1468" s="29"/>
      <c r="F1468" s="29"/>
      <c r="G1468" s="29"/>
      <c r="H1468" s="29"/>
      <c r="I1468" s="29"/>
      <c r="J1468" s="29"/>
      <c r="K1468" s="29"/>
      <c r="L1468" s="29"/>
      <c r="M1468" s="29"/>
      <c r="N1468" s="29"/>
      <c r="O1468" s="29"/>
      <c r="P1468" s="29"/>
      <c r="Q1468" s="29"/>
    </row>
    <row r="1469" spans="1:17">
      <c r="A1469" s="29"/>
      <c r="B1469" s="29"/>
      <c r="C1469" s="29"/>
      <c r="D1469" s="29"/>
      <c r="E1469" s="29"/>
      <c r="F1469" s="29"/>
      <c r="G1469" s="29"/>
      <c r="H1469" s="29"/>
      <c r="I1469" s="29"/>
      <c r="J1469" s="29"/>
      <c r="K1469" s="29"/>
      <c r="L1469" s="29"/>
      <c r="M1469" s="29"/>
      <c r="N1469" s="29"/>
      <c r="O1469" s="29"/>
      <c r="P1469" s="29"/>
      <c r="Q1469" s="29"/>
    </row>
    <row r="1470" spans="1:17">
      <c r="A1470" s="29"/>
      <c r="B1470" s="29"/>
      <c r="C1470" s="29"/>
      <c r="D1470" s="29"/>
      <c r="E1470" s="29"/>
      <c r="F1470" s="29"/>
      <c r="G1470" s="29"/>
      <c r="H1470" s="29"/>
      <c r="I1470" s="29"/>
      <c r="J1470" s="29"/>
      <c r="K1470" s="29"/>
      <c r="L1470" s="29"/>
      <c r="M1470" s="29"/>
      <c r="N1470" s="29"/>
      <c r="O1470" s="29"/>
      <c r="P1470" s="29"/>
      <c r="Q1470" s="29"/>
    </row>
    <row r="1471" spans="1:17">
      <c r="A1471" s="29"/>
      <c r="B1471" s="29"/>
      <c r="C1471" s="29"/>
      <c r="D1471" s="29"/>
      <c r="E1471" s="29"/>
      <c r="F1471" s="29"/>
      <c r="G1471" s="29"/>
      <c r="H1471" s="29"/>
      <c r="I1471" s="29"/>
      <c r="J1471" s="29"/>
      <c r="K1471" s="29"/>
      <c r="L1471" s="29"/>
      <c r="M1471" s="29"/>
      <c r="N1471" s="29"/>
      <c r="O1471" s="29"/>
      <c r="P1471" s="29"/>
      <c r="Q1471" s="29"/>
    </row>
    <row r="1472" spans="1:17">
      <c r="A1472" s="29"/>
      <c r="B1472" s="29"/>
      <c r="C1472" s="29"/>
      <c r="D1472" s="29"/>
      <c r="E1472" s="29"/>
      <c r="F1472" s="29"/>
      <c r="G1472" s="29"/>
      <c r="H1472" s="29"/>
      <c r="I1472" s="29"/>
      <c r="J1472" s="29"/>
      <c r="K1472" s="29"/>
      <c r="L1472" s="29"/>
      <c r="M1472" s="29"/>
      <c r="N1472" s="29"/>
      <c r="O1472" s="29"/>
      <c r="P1472" s="29"/>
      <c r="Q1472" s="29"/>
    </row>
    <row r="1473" spans="1:17">
      <c r="A1473" s="29"/>
      <c r="B1473" s="29"/>
      <c r="C1473" s="29"/>
      <c r="D1473" s="29"/>
      <c r="E1473" s="29"/>
      <c r="F1473" s="29"/>
      <c r="G1473" s="29"/>
      <c r="H1473" s="29"/>
      <c r="I1473" s="29"/>
      <c r="J1473" s="29"/>
      <c r="K1473" s="29"/>
      <c r="L1473" s="29"/>
      <c r="M1473" s="29"/>
      <c r="N1473" s="29"/>
      <c r="O1473" s="29"/>
      <c r="P1473" s="29"/>
      <c r="Q1473" s="29"/>
    </row>
    <row r="1474" spans="1:17">
      <c r="A1474" s="29"/>
      <c r="B1474" s="29"/>
      <c r="C1474" s="29"/>
      <c r="D1474" s="29"/>
      <c r="E1474" s="29"/>
      <c r="F1474" s="29"/>
      <c r="G1474" s="29"/>
      <c r="H1474" s="29"/>
      <c r="I1474" s="29"/>
      <c r="J1474" s="29"/>
      <c r="K1474" s="29"/>
      <c r="L1474" s="29"/>
      <c r="M1474" s="29"/>
      <c r="N1474" s="29"/>
      <c r="O1474" s="29"/>
      <c r="P1474" s="29"/>
      <c r="Q1474" s="29"/>
    </row>
    <row r="1475" spans="1:17">
      <c r="A1475" s="29"/>
      <c r="B1475" s="29"/>
      <c r="C1475" s="29"/>
      <c r="D1475" s="29"/>
      <c r="E1475" s="29"/>
      <c r="F1475" s="29"/>
      <c r="G1475" s="29"/>
      <c r="H1475" s="29"/>
      <c r="I1475" s="29"/>
      <c r="J1475" s="29"/>
      <c r="K1475" s="29"/>
      <c r="L1475" s="29"/>
      <c r="M1475" s="29"/>
      <c r="N1475" s="29"/>
      <c r="O1475" s="29"/>
      <c r="P1475" s="29"/>
      <c r="Q1475" s="29"/>
    </row>
    <row r="1476" spans="1:17">
      <c r="A1476" s="29"/>
      <c r="B1476" s="29"/>
      <c r="C1476" s="29"/>
      <c r="D1476" s="29"/>
      <c r="E1476" s="29"/>
      <c r="F1476" s="29"/>
      <c r="G1476" s="29"/>
      <c r="H1476" s="29"/>
      <c r="I1476" s="29"/>
      <c r="J1476" s="29"/>
      <c r="K1476" s="29"/>
      <c r="L1476" s="29"/>
      <c r="M1476" s="29"/>
      <c r="N1476" s="29"/>
      <c r="O1476" s="29"/>
      <c r="P1476" s="29"/>
      <c r="Q1476" s="29"/>
    </row>
    <row r="1477" spans="1:17">
      <c r="A1477" s="29"/>
      <c r="B1477" s="29"/>
      <c r="C1477" s="29"/>
      <c r="D1477" s="29"/>
      <c r="E1477" s="29"/>
      <c r="F1477" s="29"/>
      <c r="G1477" s="29"/>
      <c r="H1477" s="29"/>
      <c r="I1477" s="29"/>
      <c r="J1477" s="29"/>
      <c r="K1477" s="29"/>
      <c r="L1477" s="29"/>
      <c r="M1477" s="29"/>
      <c r="N1477" s="29"/>
      <c r="O1477" s="29"/>
      <c r="P1477" s="29"/>
      <c r="Q1477" s="29"/>
    </row>
    <row r="1478" spans="1:17">
      <c r="A1478" s="29"/>
      <c r="B1478" s="29"/>
      <c r="C1478" s="29"/>
      <c r="D1478" s="29"/>
      <c r="E1478" s="29"/>
      <c r="F1478" s="29"/>
      <c r="G1478" s="29"/>
      <c r="H1478" s="29"/>
      <c r="I1478" s="29"/>
      <c r="J1478" s="29"/>
      <c r="K1478" s="29"/>
      <c r="L1478" s="29"/>
      <c r="M1478" s="29"/>
      <c r="N1478" s="29"/>
      <c r="O1478" s="29"/>
      <c r="P1478" s="29"/>
      <c r="Q1478" s="29"/>
    </row>
    <row r="1479" spans="1:17">
      <c r="A1479" s="29"/>
      <c r="B1479" s="29"/>
      <c r="C1479" s="29"/>
      <c r="D1479" s="29"/>
      <c r="E1479" s="29"/>
      <c r="F1479" s="29"/>
      <c r="G1479" s="29"/>
      <c r="H1479" s="29"/>
      <c r="I1479" s="29"/>
      <c r="J1479" s="29"/>
      <c r="K1479" s="29"/>
      <c r="L1479" s="29"/>
      <c r="M1479" s="29"/>
      <c r="N1479" s="29"/>
      <c r="O1479" s="29"/>
      <c r="P1479" s="29"/>
      <c r="Q1479" s="29"/>
    </row>
    <row r="1480" spans="1:17">
      <c r="A1480" s="29"/>
      <c r="B1480" s="29"/>
      <c r="C1480" s="29"/>
      <c r="D1480" s="29"/>
      <c r="E1480" s="29"/>
      <c r="F1480" s="29"/>
      <c r="G1480" s="29"/>
      <c r="H1480" s="29"/>
      <c r="I1480" s="29"/>
      <c r="J1480" s="29"/>
      <c r="K1480" s="29"/>
      <c r="L1480" s="29"/>
      <c r="M1480" s="29"/>
      <c r="N1480" s="29"/>
      <c r="O1480" s="29"/>
      <c r="P1480" s="29"/>
      <c r="Q1480" s="29"/>
    </row>
    <row r="1481" spans="1:17">
      <c r="A1481" s="29"/>
      <c r="B1481" s="29"/>
      <c r="C1481" s="29"/>
      <c r="D1481" s="29"/>
      <c r="E1481" s="29"/>
      <c r="F1481" s="29"/>
      <c r="G1481" s="29"/>
      <c r="H1481" s="29"/>
      <c r="I1481" s="29"/>
      <c r="J1481" s="29"/>
      <c r="K1481" s="29"/>
      <c r="L1481" s="29"/>
      <c r="M1481" s="29"/>
      <c r="N1481" s="29"/>
      <c r="O1481" s="29"/>
      <c r="P1481" s="29"/>
      <c r="Q1481" s="29"/>
    </row>
    <row r="1482" spans="1:17">
      <c r="A1482" s="29"/>
      <c r="B1482" s="29"/>
      <c r="C1482" s="29"/>
      <c r="D1482" s="29"/>
      <c r="E1482" s="29"/>
      <c r="F1482" s="29"/>
      <c r="G1482" s="29"/>
      <c r="H1482" s="29"/>
      <c r="I1482" s="29"/>
      <c r="J1482" s="29"/>
      <c r="K1482" s="29"/>
      <c r="L1482" s="29"/>
      <c r="M1482" s="29"/>
      <c r="N1482" s="29"/>
      <c r="O1482" s="29"/>
      <c r="P1482" s="29"/>
      <c r="Q1482" s="29"/>
    </row>
    <row r="1483" spans="1:17">
      <c r="A1483" s="29"/>
      <c r="B1483" s="29"/>
      <c r="C1483" s="29"/>
      <c r="D1483" s="29"/>
      <c r="E1483" s="29"/>
      <c r="F1483" s="29"/>
      <c r="G1483" s="29"/>
      <c r="H1483" s="29"/>
      <c r="I1483" s="29"/>
      <c r="J1483" s="29"/>
      <c r="K1483" s="29"/>
      <c r="L1483" s="29"/>
      <c r="M1483" s="29"/>
      <c r="N1483" s="29"/>
      <c r="O1483" s="29"/>
      <c r="P1483" s="29"/>
      <c r="Q1483" s="29"/>
    </row>
    <row r="1484" spans="1:17">
      <c r="A1484" s="29"/>
      <c r="B1484" s="29"/>
      <c r="C1484" s="29"/>
      <c r="D1484" s="29"/>
      <c r="E1484" s="29"/>
      <c r="F1484" s="29"/>
      <c r="G1484" s="29"/>
      <c r="H1484" s="29"/>
      <c r="I1484" s="29"/>
      <c r="J1484" s="29"/>
      <c r="K1484" s="29"/>
      <c r="L1484" s="29"/>
      <c r="M1484" s="29"/>
      <c r="N1484" s="29"/>
      <c r="O1484" s="29"/>
      <c r="P1484" s="29"/>
      <c r="Q1484" s="29"/>
    </row>
    <row r="1485" spans="1:17">
      <c r="A1485" s="29"/>
      <c r="B1485" s="29"/>
      <c r="C1485" s="29"/>
      <c r="D1485" s="29"/>
      <c r="E1485" s="29"/>
      <c r="F1485" s="29"/>
      <c r="G1485" s="29"/>
      <c r="H1485" s="29"/>
      <c r="I1485" s="29"/>
      <c r="J1485" s="29"/>
      <c r="K1485" s="29"/>
      <c r="L1485" s="29"/>
      <c r="M1485" s="29"/>
      <c r="N1485" s="29"/>
      <c r="O1485" s="29"/>
      <c r="P1485" s="29"/>
      <c r="Q1485" s="29"/>
    </row>
    <row r="1486" spans="1:17">
      <c r="A1486" s="29"/>
      <c r="B1486" s="29"/>
      <c r="C1486" s="29"/>
      <c r="D1486" s="29"/>
      <c r="E1486" s="29"/>
      <c r="F1486" s="29"/>
      <c r="G1486" s="29"/>
      <c r="H1486" s="29"/>
      <c r="I1486" s="29"/>
      <c r="J1486" s="29"/>
      <c r="K1486" s="29"/>
      <c r="L1486" s="29"/>
      <c r="M1486" s="29"/>
      <c r="N1486" s="29"/>
      <c r="O1486" s="29"/>
      <c r="P1486" s="29"/>
      <c r="Q1486" s="29"/>
    </row>
    <row r="1487" spans="1:17">
      <c r="A1487" s="29"/>
      <c r="B1487" s="29"/>
      <c r="C1487" s="29"/>
      <c r="D1487" s="29"/>
      <c r="E1487" s="29"/>
      <c r="F1487" s="29"/>
      <c r="G1487" s="29"/>
      <c r="H1487" s="29"/>
      <c r="I1487" s="29"/>
      <c r="J1487" s="29"/>
      <c r="K1487" s="29"/>
      <c r="L1487" s="29"/>
      <c r="M1487" s="29"/>
      <c r="N1487" s="29"/>
      <c r="O1487" s="29"/>
      <c r="P1487" s="29"/>
      <c r="Q1487" s="29"/>
    </row>
    <row r="1488" spans="1:17">
      <c r="A1488" s="29"/>
      <c r="B1488" s="29"/>
      <c r="C1488" s="29"/>
      <c r="D1488" s="29"/>
      <c r="E1488" s="29"/>
      <c r="F1488" s="29"/>
      <c r="G1488" s="29"/>
      <c r="H1488" s="29"/>
      <c r="I1488" s="29"/>
      <c r="J1488" s="29"/>
      <c r="K1488" s="29"/>
      <c r="L1488" s="29"/>
      <c r="M1488" s="29"/>
      <c r="N1488" s="29"/>
      <c r="O1488" s="29"/>
      <c r="P1488" s="29"/>
      <c r="Q1488" s="29"/>
    </row>
    <row r="1489" spans="1:17">
      <c r="A1489" s="29"/>
      <c r="B1489" s="29"/>
      <c r="C1489" s="29"/>
      <c r="D1489" s="29"/>
      <c r="E1489" s="29"/>
      <c r="F1489" s="29"/>
      <c r="G1489" s="29"/>
      <c r="H1489" s="29"/>
      <c r="I1489" s="29"/>
      <c r="J1489" s="29"/>
      <c r="K1489" s="29"/>
      <c r="L1489" s="29"/>
      <c r="M1489" s="29"/>
      <c r="N1489" s="29"/>
      <c r="O1489" s="29"/>
      <c r="P1489" s="29"/>
      <c r="Q1489" s="29"/>
    </row>
    <row r="1490" spans="1:17">
      <c r="A1490" s="29"/>
      <c r="B1490" s="29"/>
      <c r="C1490" s="29"/>
      <c r="D1490" s="29"/>
      <c r="E1490" s="29"/>
      <c r="F1490" s="29"/>
      <c r="G1490" s="29"/>
      <c r="H1490" s="29"/>
      <c r="I1490" s="29"/>
      <c r="J1490" s="29"/>
      <c r="K1490" s="29"/>
      <c r="L1490" s="29"/>
      <c r="M1490" s="29"/>
      <c r="N1490" s="29"/>
      <c r="O1490" s="29"/>
      <c r="P1490" s="29"/>
      <c r="Q1490" s="29"/>
    </row>
    <row r="1491" spans="1:17">
      <c r="A1491" s="29"/>
      <c r="B1491" s="29"/>
      <c r="C1491" s="29"/>
      <c r="D1491" s="29"/>
      <c r="E1491" s="29"/>
      <c r="F1491" s="29"/>
      <c r="G1491" s="29"/>
      <c r="H1491" s="29"/>
      <c r="I1491" s="29"/>
      <c r="J1491" s="29"/>
      <c r="K1491" s="29"/>
      <c r="L1491" s="29"/>
      <c r="M1491" s="29"/>
      <c r="N1491" s="29"/>
      <c r="O1491" s="29"/>
      <c r="P1491" s="29"/>
      <c r="Q1491" s="29"/>
    </row>
    <row r="1492" spans="1:17">
      <c r="A1492" s="29"/>
      <c r="B1492" s="29"/>
      <c r="C1492" s="29"/>
      <c r="D1492" s="29"/>
      <c r="E1492" s="29"/>
      <c r="F1492" s="29"/>
      <c r="G1492" s="29"/>
      <c r="H1492" s="29"/>
      <c r="I1492" s="29"/>
      <c r="J1492" s="29"/>
      <c r="K1492" s="29"/>
      <c r="L1492" s="29"/>
      <c r="M1492" s="29"/>
      <c r="N1492" s="29"/>
      <c r="O1492" s="29"/>
      <c r="P1492" s="29"/>
      <c r="Q1492" s="29"/>
    </row>
    <row r="1493" spans="1:17">
      <c r="A1493" s="29"/>
      <c r="B1493" s="29"/>
      <c r="C1493" s="29"/>
      <c r="D1493" s="29"/>
      <c r="E1493" s="29"/>
      <c r="F1493" s="29"/>
      <c r="G1493" s="29"/>
      <c r="H1493" s="29"/>
      <c r="I1493" s="29"/>
      <c r="J1493" s="29"/>
      <c r="K1493" s="29"/>
      <c r="L1493" s="29"/>
      <c r="M1493" s="29"/>
      <c r="N1493" s="29"/>
      <c r="O1493" s="29"/>
      <c r="P1493" s="29"/>
      <c r="Q1493" s="29"/>
    </row>
    <row r="1494" spans="1:17">
      <c r="A1494" s="29"/>
      <c r="B1494" s="29"/>
      <c r="C1494" s="29"/>
      <c r="D1494" s="29"/>
      <c r="E1494" s="29"/>
      <c r="F1494" s="29"/>
      <c r="G1494" s="29"/>
      <c r="H1494" s="29"/>
      <c r="I1494" s="29"/>
      <c r="J1494" s="29"/>
      <c r="K1494" s="29"/>
      <c r="L1494" s="29"/>
      <c r="M1494" s="29"/>
      <c r="N1494" s="29"/>
      <c r="O1494" s="29"/>
      <c r="P1494" s="29"/>
      <c r="Q1494" s="29"/>
    </row>
    <row r="1495" spans="1:17">
      <c r="A1495" s="29"/>
      <c r="B1495" s="29"/>
      <c r="C1495" s="29"/>
      <c r="D1495" s="29"/>
      <c r="E1495" s="29"/>
      <c r="F1495" s="29"/>
      <c r="G1495" s="29"/>
      <c r="H1495" s="29"/>
      <c r="I1495" s="29"/>
      <c r="J1495" s="29"/>
      <c r="K1495" s="29"/>
      <c r="L1495" s="29"/>
      <c r="M1495" s="29"/>
      <c r="N1495" s="29"/>
      <c r="O1495" s="29"/>
      <c r="P1495" s="29"/>
      <c r="Q1495" s="29"/>
    </row>
    <row r="1496" spans="1:17">
      <c r="A1496" s="29"/>
      <c r="B1496" s="29"/>
      <c r="C1496" s="29"/>
      <c r="D1496" s="29"/>
      <c r="E1496" s="29"/>
      <c r="F1496" s="29"/>
      <c r="G1496" s="29"/>
      <c r="H1496" s="29"/>
      <c r="I1496" s="29"/>
      <c r="J1496" s="29"/>
      <c r="K1496" s="29"/>
      <c r="L1496" s="29"/>
      <c r="M1496" s="29"/>
      <c r="N1496" s="29"/>
      <c r="O1496" s="29"/>
      <c r="P1496" s="29"/>
      <c r="Q1496" s="29"/>
    </row>
    <row r="1497" spans="1:17">
      <c r="A1497" s="29"/>
      <c r="B1497" s="29"/>
      <c r="C1497" s="29"/>
      <c r="D1497" s="29"/>
      <c r="E1497" s="29"/>
      <c r="F1497" s="29"/>
      <c r="G1497" s="29"/>
      <c r="H1497" s="29"/>
      <c r="I1497" s="29"/>
      <c r="J1497" s="29"/>
      <c r="K1497" s="29"/>
      <c r="L1497" s="29"/>
      <c r="M1497" s="29"/>
      <c r="N1497" s="29"/>
      <c r="O1497" s="29"/>
      <c r="P1497" s="29"/>
      <c r="Q1497" s="29"/>
    </row>
    <row r="1498" spans="1:17">
      <c r="A1498" s="29"/>
      <c r="B1498" s="29"/>
      <c r="C1498" s="29"/>
      <c r="D1498" s="29"/>
      <c r="E1498" s="29"/>
      <c r="F1498" s="29"/>
      <c r="G1498" s="29"/>
      <c r="H1498" s="29"/>
      <c r="I1498" s="29"/>
      <c r="J1498" s="29"/>
      <c r="K1498" s="29"/>
      <c r="L1498" s="29"/>
      <c r="M1498" s="29"/>
      <c r="N1498" s="29"/>
      <c r="O1498" s="29"/>
      <c r="P1498" s="29"/>
      <c r="Q1498" s="29"/>
    </row>
    <row r="1499" spans="1:17">
      <c r="A1499" s="29"/>
      <c r="B1499" s="29"/>
      <c r="C1499" s="29"/>
      <c r="D1499" s="29"/>
      <c r="E1499" s="29"/>
      <c r="F1499" s="29"/>
      <c r="G1499" s="29"/>
      <c r="H1499" s="29"/>
      <c r="I1499" s="29"/>
      <c r="J1499" s="29"/>
      <c r="K1499" s="29"/>
      <c r="L1499" s="29"/>
      <c r="M1499" s="29"/>
      <c r="N1499" s="29"/>
      <c r="O1499" s="29"/>
      <c r="P1499" s="29"/>
      <c r="Q1499" s="29"/>
    </row>
    <row r="1500" spans="1:17">
      <c r="A1500" s="29"/>
      <c r="B1500" s="29"/>
      <c r="C1500" s="29"/>
      <c r="D1500" s="29"/>
      <c r="E1500" s="29"/>
      <c r="F1500" s="29"/>
      <c r="G1500" s="29"/>
      <c r="H1500" s="29"/>
      <c r="I1500" s="29"/>
      <c r="J1500" s="29"/>
      <c r="K1500" s="29"/>
      <c r="L1500" s="29"/>
      <c r="M1500" s="29"/>
      <c r="N1500" s="29"/>
      <c r="O1500" s="29"/>
      <c r="P1500" s="29"/>
      <c r="Q1500" s="29"/>
    </row>
    <row r="1501" spans="1:17">
      <c r="A1501" s="29"/>
      <c r="B1501" s="29"/>
      <c r="C1501" s="29"/>
      <c r="D1501" s="29"/>
      <c r="E1501" s="29"/>
      <c r="F1501" s="29"/>
      <c r="G1501" s="29"/>
      <c r="H1501" s="29"/>
      <c r="I1501" s="29"/>
      <c r="J1501" s="29"/>
      <c r="K1501" s="29"/>
      <c r="L1501" s="29"/>
      <c r="M1501" s="29"/>
      <c r="N1501" s="29"/>
      <c r="O1501" s="29"/>
      <c r="P1501" s="29"/>
      <c r="Q1501" s="29"/>
    </row>
    <row r="1502" spans="1:17">
      <c r="A1502" s="29"/>
      <c r="B1502" s="29"/>
      <c r="C1502" s="29"/>
      <c r="D1502" s="29"/>
      <c r="E1502" s="29"/>
      <c r="F1502" s="29"/>
      <c r="G1502" s="29"/>
      <c r="H1502" s="29"/>
      <c r="I1502" s="29"/>
      <c r="J1502" s="29"/>
      <c r="K1502" s="29"/>
      <c r="L1502" s="29"/>
      <c r="M1502" s="29"/>
      <c r="N1502" s="29"/>
      <c r="O1502" s="29"/>
      <c r="P1502" s="29"/>
      <c r="Q1502" s="29"/>
    </row>
    <row r="1503" spans="1:17">
      <c r="A1503" s="29"/>
      <c r="B1503" s="29"/>
      <c r="C1503" s="29"/>
      <c r="D1503" s="29"/>
      <c r="E1503" s="29"/>
      <c r="F1503" s="29"/>
      <c r="G1503" s="29"/>
      <c r="H1503" s="29"/>
      <c r="I1503" s="29"/>
      <c r="J1503" s="29"/>
      <c r="K1503" s="29"/>
      <c r="L1503" s="29"/>
      <c r="M1503" s="29"/>
      <c r="N1503" s="29"/>
      <c r="O1503" s="29"/>
      <c r="P1503" s="29"/>
      <c r="Q1503" s="29"/>
    </row>
    <row r="1504" spans="1:17">
      <c r="A1504" s="29"/>
      <c r="B1504" s="29"/>
      <c r="C1504" s="29"/>
      <c r="D1504" s="29"/>
      <c r="E1504" s="29"/>
      <c r="F1504" s="29"/>
      <c r="G1504" s="29"/>
      <c r="H1504" s="29"/>
      <c r="I1504" s="29"/>
      <c r="J1504" s="29"/>
      <c r="K1504" s="29"/>
      <c r="L1504" s="29"/>
      <c r="M1504" s="29"/>
      <c r="N1504" s="29"/>
      <c r="O1504" s="29"/>
      <c r="P1504" s="29"/>
      <c r="Q1504" s="29"/>
    </row>
    <row r="1505" spans="1:17">
      <c r="A1505" s="29"/>
      <c r="B1505" s="29"/>
      <c r="C1505" s="29"/>
      <c r="D1505" s="29"/>
      <c r="E1505" s="29"/>
      <c r="F1505" s="29"/>
      <c r="G1505" s="29"/>
      <c r="H1505" s="29"/>
      <c r="I1505" s="29"/>
      <c r="J1505" s="29"/>
      <c r="K1505" s="29"/>
      <c r="L1505" s="29"/>
      <c r="M1505" s="29"/>
      <c r="N1505" s="29"/>
      <c r="O1505" s="29"/>
      <c r="P1505" s="29"/>
      <c r="Q1505" s="29"/>
    </row>
    <row r="1506" spans="1:17">
      <c r="A1506" s="29"/>
      <c r="B1506" s="29"/>
      <c r="C1506" s="29"/>
      <c r="D1506" s="29"/>
      <c r="E1506" s="29"/>
      <c r="F1506" s="29"/>
      <c r="G1506" s="29"/>
      <c r="H1506" s="29"/>
      <c r="I1506" s="29"/>
      <c r="J1506" s="29"/>
      <c r="K1506" s="29"/>
      <c r="L1506" s="29"/>
      <c r="M1506" s="29"/>
      <c r="N1506" s="29"/>
      <c r="O1506" s="29"/>
      <c r="P1506" s="29"/>
      <c r="Q1506" s="29"/>
    </row>
    <row r="1507" spans="1:17">
      <c r="A1507" s="29"/>
      <c r="B1507" s="29"/>
      <c r="C1507" s="29"/>
      <c r="D1507" s="29"/>
      <c r="E1507" s="29"/>
      <c r="F1507" s="29"/>
      <c r="G1507" s="29"/>
      <c r="H1507" s="29"/>
      <c r="I1507" s="29"/>
      <c r="J1507" s="29"/>
      <c r="K1507" s="29"/>
      <c r="L1507" s="29"/>
      <c r="M1507" s="29"/>
      <c r="N1507" s="29"/>
      <c r="O1507" s="29"/>
      <c r="P1507" s="29"/>
      <c r="Q1507" s="29"/>
    </row>
    <row r="1508" spans="1:17">
      <c r="A1508" s="29"/>
      <c r="B1508" s="29"/>
      <c r="C1508" s="29"/>
      <c r="D1508" s="29"/>
      <c r="E1508" s="29"/>
      <c r="F1508" s="29"/>
      <c r="G1508" s="29"/>
      <c r="H1508" s="29"/>
      <c r="I1508" s="29"/>
      <c r="J1508" s="29"/>
      <c r="K1508" s="29"/>
      <c r="L1508" s="29"/>
      <c r="M1508" s="29"/>
      <c r="N1508" s="29"/>
      <c r="O1508" s="29"/>
      <c r="P1508" s="29"/>
      <c r="Q1508" s="29"/>
    </row>
    <row r="1509" spans="1:17">
      <c r="A1509" s="29"/>
      <c r="B1509" s="29"/>
      <c r="C1509" s="29"/>
      <c r="D1509" s="29"/>
      <c r="E1509" s="29"/>
      <c r="F1509" s="29"/>
      <c r="G1509" s="29"/>
      <c r="H1509" s="29"/>
      <c r="I1509" s="29"/>
      <c r="J1509" s="29"/>
      <c r="K1509" s="29"/>
      <c r="L1509" s="29"/>
      <c r="M1509" s="29"/>
      <c r="N1509" s="29"/>
      <c r="O1509" s="29"/>
      <c r="P1509" s="29"/>
      <c r="Q1509" s="29"/>
    </row>
    <row r="1510" spans="1:17">
      <c r="A1510" s="29"/>
      <c r="B1510" s="29"/>
      <c r="C1510" s="29"/>
      <c r="D1510" s="29"/>
      <c r="E1510" s="29"/>
      <c r="F1510" s="29"/>
      <c r="G1510" s="29"/>
      <c r="H1510" s="29"/>
      <c r="I1510" s="29"/>
      <c r="J1510" s="29"/>
      <c r="K1510" s="29"/>
      <c r="L1510" s="29"/>
      <c r="M1510" s="29"/>
      <c r="N1510" s="29"/>
      <c r="O1510" s="29"/>
      <c r="P1510" s="29"/>
      <c r="Q1510" s="29"/>
    </row>
    <row r="1511" spans="1:17">
      <c r="A1511" s="29"/>
      <c r="B1511" s="29"/>
      <c r="C1511" s="29"/>
      <c r="D1511" s="29"/>
      <c r="E1511" s="29"/>
      <c r="F1511" s="29"/>
      <c r="G1511" s="29"/>
      <c r="H1511" s="29"/>
      <c r="I1511" s="29"/>
      <c r="J1511" s="29"/>
      <c r="K1511" s="29"/>
      <c r="L1511" s="29"/>
      <c r="M1511" s="29"/>
      <c r="N1511" s="29"/>
      <c r="O1511" s="29"/>
      <c r="P1511" s="29"/>
      <c r="Q1511" s="29"/>
    </row>
    <row r="1512" spans="1:17">
      <c r="A1512" s="29"/>
      <c r="B1512" s="29"/>
      <c r="C1512" s="29"/>
      <c r="D1512" s="29"/>
      <c r="E1512" s="29"/>
      <c r="F1512" s="29"/>
      <c r="G1512" s="29"/>
      <c r="H1512" s="29"/>
      <c r="I1512" s="29"/>
      <c r="J1512" s="29"/>
      <c r="K1512" s="29"/>
      <c r="L1512" s="29"/>
      <c r="M1512" s="29"/>
      <c r="N1512" s="29"/>
      <c r="O1512" s="29"/>
      <c r="P1512" s="29"/>
      <c r="Q1512" s="29"/>
    </row>
    <row r="1513" spans="1:17">
      <c r="A1513" s="29"/>
      <c r="B1513" s="29"/>
      <c r="C1513" s="29"/>
      <c r="D1513" s="29"/>
      <c r="E1513" s="29"/>
      <c r="F1513" s="29"/>
      <c r="G1513" s="29"/>
      <c r="H1513" s="29"/>
      <c r="I1513" s="29"/>
      <c r="J1513" s="29"/>
      <c r="K1513" s="29"/>
      <c r="L1513" s="29"/>
      <c r="M1513" s="29"/>
      <c r="N1513" s="29"/>
      <c r="O1513" s="29"/>
      <c r="P1513" s="29"/>
      <c r="Q1513" s="29"/>
    </row>
    <row r="1514" spans="1:17">
      <c r="A1514" s="29"/>
      <c r="B1514" s="29"/>
      <c r="C1514" s="29"/>
      <c r="D1514" s="29"/>
      <c r="E1514" s="29"/>
      <c r="F1514" s="29"/>
      <c r="G1514" s="29"/>
      <c r="H1514" s="29"/>
      <c r="I1514" s="29"/>
      <c r="J1514" s="29"/>
      <c r="K1514" s="29"/>
      <c r="L1514" s="29"/>
      <c r="M1514" s="29"/>
      <c r="N1514" s="29"/>
      <c r="O1514" s="29"/>
      <c r="P1514" s="29"/>
      <c r="Q1514" s="29"/>
    </row>
    <row r="1515" spans="1:17">
      <c r="A1515" s="29"/>
      <c r="B1515" s="29"/>
      <c r="C1515" s="29"/>
      <c r="D1515" s="29"/>
      <c r="E1515" s="29"/>
      <c r="F1515" s="29"/>
      <c r="G1515" s="29"/>
      <c r="H1515" s="29"/>
      <c r="I1515" s="29"/>
      <c r="J1515" s="29"/>
      <c r="K1515" s="29"/>
      <c r="L1515" s="29"/>
      <c r="M1515" s="29"/>
      <c r="N1515" s="29"/>
      <c r="O1515" s="29"/>
      <c r="P1515" s="29"/>
      <c r="Q1515" s="29"/>
    </row>
    <row r="1516" spans="1:17">
      <c r="A1516" s="29"/>
      <c r="B1516" s="29"/>
      <c r="C1516" s="29"/>
      <c r="D1516" s="29"/>
      <c r="E1516" s="29"/>
      <c r="F1516" s="29"/>
      <c r="G1516" s="29"/>
      <c r="H1516" s="29"/>
      <c r="I1516" s="29"/>
      <c r="J1516" s="29"/>
      <c r="K1516" s="29"/>
      <c r="L1516" s="29"/>
      <c r="M1516" s="29"/>
      <c r="N1516" s="29"/>
      <c r="O1516" s="29"/>
      <c r="P1516" s="29"/>
      <c r="Q1516" s="29"/>
    </row>
    <row r="1517" spans="1:17">
      <c r="A1517" s="29"/>
      <c r="B1517" s="29"/>
      <c r="C1517" s="29"/>
      <c r="D1517" s="29"/>
      <c r="E1517" s="29"/>
      <c r="F1517" s="29"/>
      <c r="G1517" s="29"/>
      <c r="H1517" s="29"/>
      <c r="I1517" s="29"/>
      <c r="J1517" s="29"/>
      <c r="K1517" s="29"/>
      <c r="L1517" s="29"/>
      <c r="M1517" s="29"/>
      <c r="N1517" s="29"/>
      <c r="O1517" s="29"/>
      <c r="P1517" s="29"/>
      <c r="Q1517" s="29"/>
    </row>
    <row r="1518" spans="1:17">
      <c r="A1518" s="29"/>
      <c r="B1518" s="29"/>
      <c r="C1518" s="29"/>
      <c r="D1518" s="29"/>
      <c r="E1518" s="29"/>
      <c r="F1518" s="29"/>
      <c r="G1518" s="29"/>
      <c r="H1518" s="29"/>
      <c r="I1518" s="29"/>
      <c r="J1518" s="29"/>
      <c r="K1518" s="29"/>
      <c r="L1518" s="29"/>
      <c r="M1518" s="29"/>
      <c r="N1518" s="29"/>
      <c r="O1518" s="29"/>
      <c r="P1518" s="29"/>
      <c r="Q1518" s="29"/>
    </row>
    <row r="1519" spans="1:17">
      <c r="A1519" s="29"/>
      <c r="B1519" s="29"/>
      <c r="C1519" s="29"/>
      <c r="D1519" s="29"/>
      <c r="E1519" s="29"/>
      <c r="F1519" s="29"/>
      <c r="G1519" s="29"/>
      <c r="H1519" s="29"/>
      <c r="I1519" s="29"/>
      <c r="J1519" s="29"/>
      <c r="K1519" s="29"/>
      <c r="L1519" s="29"/>
      <c r="M1519" s="29"/>
      <c r="N1519" s="29"/>
      <c r="O1519" s="29"/>
      <c r="P1519" s="29"/>
      <c r="Q1519" s="29"/>
    </row>
    <row r="1520" spans="1:17">
      <c r="A1520" s="29"/>
      <c r="B1520" s="29"/>
      <c r="C1520" s="29"/>
      <c r="D1520" s="29"/>
      <c r="E1520" s="29"/>
      <c r="F1520" s="29"/>
      <c r="G1520" s="29"/>
      <c r="H1520" s="29"/>
      <c r="I1520" s="29"/>
      <c r="J1520" s="29"/>
      <c r="K1520" s="29"/>
      <c r="L1520" s="29"/>
      <c r="M1520" s="29"/>
      <c r="N1520" s="29"/>
      <c r="O1520" s="29"/>
      <c r="P1520" s="29"/>
      <c r="Q1520" s="29"/>
    </row>
    <row r="1521" spans="1:17">
      <c r="A1521" s="29"/>
      <c r="B1521" s="29"/>
      <c r="C1521" s="29"/>
      <c r="D1521" s="29"/>
      <c r="E1521" s="29"/>
      <c r="F1521" s="29"/>
      <c r="G1521" s="29"/>
      <c r="H1521" s="29"/>
      <c r="I1521" s="29"/>
      <c r="J1521" s="29"/>
      <c r="K1521" s="29"/>
      <c r="L1521" s="29"/>
      <c r="M1521" s="29"/>
      <c r="N1521" s="29"/>
      <c r="O1521" s="29"/>
      <c r="P1521" s="29"/>
      <c r="Q1521" s="29"/>
    </row>
    <row r="1522" spans="1:17">
      <c r="A1522" s="29"/>
      <c r="B1522" s="29"/>
      <c r="C1522" s="29"/>
      <c r="D1522" s="29"/>
      <c r="E1522" s="29"/>
      <c r="F1522" s="29"/>
      <c r="G1522" s="29"/>
      <c r="H1522" s="29"/>
      <c r="I1522" s="29"/>
      <c r="J1522" s="29"/>
      <c r="K1522" s="29"/>
      <c r="L1522" s="29"/>
      <c r="M1522" s="29"/>
      <c r="N1522" s="29"/>
      <c r="O1522" s="29"/>
      <c r="P1522" s="29"/>
      <c r="Q1522" s="29"/>
    </row>
    <row r="1523" spans="1:17">
      <c r="A1523" s="29"/>
      <c r="B1523" s="29"/>
      <c r="C1523" s="29"/>
      <c r="D1523" s="29"/>
      <c r="E1523" s="29"/>
      <c r="F1523" s="29"/>
      <c r="G1523" s="29"/>
      <c r="H1523" s="29"/>
      <c r="I1523" s="29"/>
      <c r="J1523" s="29"/>
      <c r="K1523" s="29"/>
      <c r="L1523" s="29"/>
      <c r="M1523" s="29"/>
      <c r="N1523" s="29"/>
      <c r="O1523" s="29"/>
      <c r="P1523" s="29"/>
      <c r="Q1523" s="29"/>
    </row>
    <row r="1524" spans="1:17">
      <c r="A1524" s="29"/>
      <c r="B1524" s="29"/>
      <c r="C1524" s="29"/>
      <c r="D1524" s="29"/>
      <c r="E1524" s="29"/>
      <c r="F1524" s="29"/>
      <c r="G1524" s="29"/>
      <c r="H1524" s="29"/>
      <c r="I1524" s="29"/>
      <c r="J1524" s="29"/>
      <c r="K1524" s="29"/>
      <c r="L1524" s="29"/>
      <c r="M1524" s="29"/>
      <c r="N1524" s="29"/>
      <c r="O1524" s="29"/>
      <c r="P1524" s="29"/>
      <c r="Q1524" s="29"/>
    </row>
    <row r="1525" spans="1:17">
      <c r="A1525" s="29"/>
      <c r="B1525" s="29"/>
      <c r="C1525" s="29"/>
      <c r="D1525" s="29"/>
      <c r="E1525" s="29"/>
      <c r="F1525" s="29"/>
      <c r="G1525" s="29"/>
      <c r="H1525" s="29"/>
      <c r="I1525" s="29"/>
      <c r="J1525" s="29"/>
      <c r="K1525" s="29"/>
      <c r="L1525" s="29"/>
      <c r="M1525" s="29"/>
      <c r="N1525" s="29"/>
      <c r="O1525" s="29"/>
      <c r="P1525" s="29"/>
      <c r="Q1525" s="29"/>
    </row>
    <row r="1526" spans="1:17">
      <c r="A1526" s="29"/>
      <c r="B1526" s="29"/>
      <c r="C1526" s="29"/>
      <c r="D1526" s="29"/>
      <c r="E1526" s="29"/>
      <c r="F1526" s="29"/>
      <c r="G1526" s="29"/>
      <c r="H1526" s="29"/>
      <c r="I1526" s="29"/>
      <c r="J1526" s="29"/>
      <c r="K1526" s="29"/>
      <c r="L1526" s="29"/>
      <c r="M1526" s="29"/>
      <c r="N1526" s="29"/>
      <c r="O1526" s="29"/>
      <c r="P1526" s="29"/>
      <c r="Q1526" s="29"/>
    </row>
    <row r="1527" spans="1:17">
      <c r="A1527" s="29"/>
      <c r="B1527" s="29"/>
      <c r="C1527" s="29"/>
      <c r="D1527" s="29"/>
      <c r="E1527" s="29"/>
      <c r="F1527" s="29"/>
      <c r="G1527" s="29"/>
      <c r="H1527" s="29"/>
      <c r="I1527" s="29"/>
      <c r="J1527" s="29"/>
      <c r="K1527" s="29"/>
      <c r="L1527" s="29"/>
      <c r="M1527" s="29"/>
      <c r="N1527" s="29"/>
      <c r="O1527" s="29"/>
      <c r="P1527" s="29"/>
      <c r="Q1527" s="29"/>
    </row>
    <row r="1528" spans="1:17">
      <c r="A1528" s="29"/>
      <c r="B1528" s="29"/>
      <c r="C1528" s="29"/>
      <c r="D1528" s="29"/>
      <c r="E1528" s="29"/>
      <c r="F1528" s="29"/>
      <c r="G1528" s="29"/>
      <c r="H1528" s="29"/>
      <c r="I1528" s="29"/>
      <c r="J1528" s="29"/>
      <c r="K1528" s="29"/>
      <c r="L1528" s="29"/>
      <c r="M1528" s="29"/>
      <c r="N1528" s="29"/>
      <c r="O1528" s="29"/>
      <c r="P1528" s="29"/>
      <c r="Q1528" s="29"/>
    </row>
    <row r="1529" spans="1:17">
      <c r="A1529" s="29"/>
      <c r="B1529" s="29"/>
      <c r="C1529" s="29"/>
      <c r="D1529" s="29"/>
      <c r="E1529" s="29"/>
      <c r="F1529" s="29"/>
      <c r="G1529" s="29"/>
      <c r="H1529" s="29"/>
      <c r="I1529" s="29"/>
      <c r="J1529" s="29"/>
      <c r="K1529" s="29"/>
      <c r="L1529" s="29"/>
      <c r="M1529" s="29"/>
      <c r="N1529" s="29"/>
      <c r="O1529" s="29"/>
      <c r="P1529" s="29"/>
      <c r="Q1529" s="29"/>
    </row>
    <row r="1530" spans="1:17">
      <c r="A1530" s="29"/>
      <c r="B1530" s="29"/>
      <c r="C1530" s="29"/>
      <c r="D1530" s="29"/>
      <c r="E1530" s="29"/>
      <c r="F1530" s="29"/>
      <c r="G1530" s="29"/>
      <c r="H1530" s="29"/>
      <c r="I1530" s="29"/>
      <c r="J1530" s="29"/>
      <c r="K1530" s="29"/>
      <c r="L1530" s="29"/>
      <c r="M1530" s="29"/>
      <c r="N1530" s="29"/>
      <c r="O1530" s="29"/>
      <c r="P1530" s="29"/>
      <c r="Q1530" s="29"/>
    </row>
    <row r="1531" spans="1:17">
      <c r="A1531" s="29"/>
      <c r="B1531" s="29"/>
      <c r="C1531" s="29"/>
      <c r="D1531" s="29"/>
      <c r="E1531" s="29"/>
      <c r="F1531" s="29"/>
      <c r="G1531" s="29"/>
      <c r="H1531" s="29"/>
      <c r="I1531" s="29"/>
      <c r="J1531" s="29"/>
      <c r="K1531" s="29"/>
      <c r="L1531" s="29"/>
      <c r="M1531" s="29"/>
      <c r="N1531" s="29"/>
      <c r="O1531" s="29"/>
      <c r="P1531" s="29"/>
      <c r="Q1531" s="29"/>
    </row>
    <row r="1532" spans="1:17">
      <c r="A1532" s="29"/>
      <c r="B1532" s="29"/>
      <c r="C1532" s="29"/>
      <c r="D1532" s="29"/>
      <c r="E1532" s="29"/>
      <c r="F1532" s="29"/>
      <c r="G1532" s="29"/>
      <c r="H1532" s="29"/>
      <c r="I1532" s="29"/>
      <c r="J1532" s="29"/>
      <c r="K1532" s="29"/>
      <c r="L1532" s="29"/>
      <c r="M1532" s="29"/>
      <c r="N1532" s="29"/>
      <c r="O1532" s="29"/>
      <c r="P1532" s="29"/>
      <c r="Q1532" s="29"/>
    </row>
    <row r="1533" spans="1:17">
      <c r="A1533" s="29"/>
      <c r="B1533" s="29"/>
      <c r="C1533" s="29"/>
      <c r="D1533" s="29"/>
      <c r="E1533" s="29"/>
      <c r="F1533" s="29"/>
      <c r="G1533" s="29"/>
      <c r="H1533" s="29"/>
      <c r="I1533" s="29"/>
      <c r="J1533" s="29"/>
      <c r="K1533" s="29"/>
      <c r="L1533" s="29"/>
      <c r="M1533" s="29"/>
      <c r="N1533" s="29"/>
      <c r="O1533" s="29"/>
      <c r="P1533" s="29"/>
      <c r="Q1533" s="29"/>
    </row>
    <row r="1534" spans="1:17">
      <c r="A1534" s="29"/>
      <c r="B1534" s="29"/>
      <c r="C1534" s="29"/>
      <c r="D1534" s="29"/>
      <c r="E1534" s="29"/>
      <c r="F1534" s="29"/>
      <c r="G1534" s="29"/>
      <c r="H1534" s="29"/>
      <c r="I1534" s="29"/>
      <c r="J1534" s="29"/>
      <c r="K1534" s="29"/>
      <c r="L1534" s="29"/>
      <c r="M1534" s="29"/>
      <c r="N1534" s="29"/>
      <c r="O1534" s="29"/>
      <c r="P1534" s="29"/>
      <c r="Q1534" s="29"/>
    </row>
    <row r="1535" spans="1:17">
      <c r="A1535" s="29"/>
      <c r="B1535" s="29"/>
      <c r="C1535" s="29"/>
      <c r="D1535" s="29"/>
      <c r="E1535" s="29"/>
      <c r="F1535" s="29"/>
      <c r="G1535" s="29"/>
      <c r="H1535" s="29"/>
      <c r="I1535" s="29"/>
      <c r="J1535" s="29"/>
      <c r="K1535" s="29"/>
      <c r="L1535" s="29"/>
      <c r="M1535" s="29"/>
      <c r="N1535" s="29"/>
      <c r="O1535" s="29"/>
      <c r="P1535" s="29"/>
      <c r="Q1535" s="29"/>
    </row>
    <row r="1536" spans="1:17">
      <c r="A1536" s="29"/>
      <c r="B1536" s="29"/>
      <c r="C1536" s="29"/>
      <c r="D1536" s="29"/>
      <c r="E1536" s="29"/>
      <c r="F1536" s="29"/>
      <c r="G1536" s="29"/>
      <c r="H1536" s="29"/>
      <c r="I1536" s="29"/>
      <c r="J1536" s="29"/>
      <c r="K1536" s="29"/>
      <c r="L1536" s="29"/>
      <c r="M1536" s="29"/>
      <c r="N1536" s="29"/>
      <c r="O1536" s="29"/>
      <c r="P1536" s="29"/>
      <c r="Q1536" s="29"/>
    </row>
    <row r="1537" spans="1:17">
      <c r="A1537" s="29"/>
      <c r="B1537" s="29"/>
      <c r="C1537" s="29"/>
      <c r="D1537" s="29"/>
      <c r="E1537" s="29"/>
      <c r="F1537" s="29"/>
      <c r="G1537" s="29"/>
      <c r="H1537" s="29"/>
      <c r="I1537" s="29"/>
      <c r="J1537" s="29"/>
      <c r="K1537" s="29"/>
      <c r="L1537" s="29"/>
      <c r="M1537" s="29"/>
      <c r="N1537" s="29"/>
      <c r="O1537" s="29"/>
      <c r="P1537" s="29"/>
      <c r="Q1537" s="29"/>
    </row>
    <row r="1538" spans="1:17">
      <c r="A1538" s="29"/>
      <c r="B1538" s="29"/>
      <c r="C1538" s="29"/>
      <c r="D1538" s="29"/>
      <c r="E1538" s="29"/>
      <c r="F1538" s="29"/>
      <c r="G1538" s="29"/>
      <c r="H1538" s="29"/>
      <c r="I1538" s="29"/>
      <c r="J1538" s="29"/>
      <c r="K1538" s="29"/>
      <c r="L1538" s="29"/>
      <c r="M1538" s="29"/>
      <c r="N1538" s="29"/>
      <c r="O1538" s="29"/>
      <c r="P1538" s="29"/>
      <c r="Q1538" s="29"/>
    </row>
    <row r="1539" spans="1:17">
      <c r="A1539" s="29"/>
      <c r="B1539" s="29"/>
      <c r="C1539" s="29"/>
      <c r="D1539" s="29"/>
      <c r="E1539" s="29"/>
      <c r="F1539" s="29"/>
      <c r="G1539" s="29"/>
      <c r="H1539" s="29"/>
      <c r="I1539" s="29"/>
      <c r="J1539" s="29"/>
      <c r="K1539" s="29"/>
      <c r="L1539" s="29"/>
      <c r="M1539" s="29"/>
      <c r="N1539" s="29"/>
      <c r="O1539" s="29"/>
      <c r="P1539" s="29"/>
      <c r="Q1539" s="29"/>
    </row>
    <row r="1540" spans="1:17">
      <c r="A1540" s="29"/>
      <c r="B1540" s="29"/>
      <c r="C1540" s="29"/>
      <c r="D1540" s="29"/>
      <c r="E1540" s="29"/>
      <c r="F1540" s="29"/>
      <c r="G1540" s="29"/>
      <c r="H1540" s="29"/>
      <c r="I1540" s="29"/>
      <c r="J1540" s="29"/>
      <c r="K1540" s="29"/>
      <c r="L1540" s="29"/>
      <c r="M1540" s="29"/>
      <c r="N1540" s="29"/>
      <c r="O1540" s="29"/>
      <c r="P1540" s="29"/>
      <c r="Q1540" s="29"/>
    </row>
    <row r="1541" spans="1:17">
      <c r="A1541" s="29"/>
      <c r="B1541" s="29"/>
      <c r="C1541" s="29"/>
      <c r="D1541" s="29"/>
      <c r="E1541" s="29"/>
      <c r="F1541" s="29"/>
      <c r="G1541" s="29"/>
      <c r="H1541" s="29"/>
      <c r="I1541" s="29"/>
      <c r="J1541" s="29"/>
      <c r="K1541" s="29"/>
      <c r="L1541" s="29"/>
      <c r="M1541" s="29"/>
      <c r="N1541" s="29"/>
      <c r="O1541" s="29"/>
      <c r="P1541" s="29"/>
      <c r="Q1541" s="29"/>
    </row>
    <row r="1542" spans="1:17">
      <c r="A1542" s="29"/>
      <c r="B1542" s="29"/>
      <c r="C1542" s="29"/>
      <c r="D1542" s="29"/>
      <c r="E1542" s="29"/>
      <c r="F1542" s="29"/>
      <c r="G1542" s="29"/>
      <c r="H1542" s="29"/>
      <c r="I1542" s="29"/>
      <c r="J1542" s="29"/>
      <c r="K1542" s="29"/>
      <c r="L1542" s="29"/>
      <c r="M1542" s="29"/>
      <c r="N1542" s="29"/>
      <c r="O1542" s="29"/>
      <c r="P1542" s="29"/>
      <c r="Q1542" s="29"/>
    </row>
    <row r="1543" spans="1:17">
      <c r="A1543" s="29"/>
      <c r="B1543" s="29"/>
      <c r="C1543" s="29"/>
      <c r="D1543" s="29"/>
      <c r="E1543" s="29"/>
      <c r="F1543" s="29"/>
      <c r="G1543" s="29"/>
      <c r="H1543" s="29"/>
      <c r="I1543" s="29"/>
      <c r="J1543" s="29"/>
      <c r="K1543" s="29"/>
      <c r="L1543" s="29"/>
      <c r="M1543" s="29"/>
      <c r="N1543" s="29"/>
      <c r="O1543" s="29"/>
      <c r="P1543" s="29"/>
      <c r="Q1543" s="29"/>
    </row>
    <row r="1544" spans="1:17">
      <c r="A1544" s="29"/>
      <c r="B1544" s="29"/>
      <c r="C1544" s="29"/>
      <c r="D1544" s="29"/>
      <c r="E1544" s="29"/>
      <c r="F1544" s="29"/>
      <c r="G1544" s="29"/>
      <c r="H1544" s="29"/>
      <c r="I1544" s="29"/>
      <c r="J1544" s="29"/>
      <c r="K1544" s="29"/>
      <c r="L1544" s="29"/>
      <c r="M1544" s="29"/>
      <c r="N1544" s="29"/>
      <c r="O1544" s="29"/>
      <c r="P1544" s="29"/>
      <c r="Q1544" s="29"/>
    </row>
    <row r="1545" spans="1:17">
      <c r="A1545" s="29"/>
      <c r="B1545" s="29"/>
      <c r="C1545" s="29"/>
      <c r="D1545" s="29"/>
      <c r="E1545" s="29"/>
      <c r="F1545" s="29"/>
      <c r="G1545" s="29"/>
      <c r="H1545" s="29"/>
      <c r="I1545" s="29"/>
      <c r="J1545" s="29"/>
      <c r="K1545" s="29"/>
      <c r="L1545" s="29"/>
      <c r="M1545" s="29"/>
      <c r="N1545" s="29"/>
      <c r="O1545" s="29"/>
      <c r="P1545" s="29"/>
      <c r="Q1545" s="29"/>
    </row>
    <row r="1546" spans="1:17">
      <c r="A1546" s="29"/>
      <c r="B1546" s="29"/>
      <c r="C1546" s="29"/>
      <c r="D1546" s="29"/>
      <c r="E1546" s="29"/>
      <c r="F1546" s="29"/>
      <c r="G1546" s="29"/>
      <c r="H1546" s="29"/>
      <c r="I1546" s="29"/>
      <c r="J1546" s="29"/>
      <c r="K1546" s="29"/>
      <c r="L1546" s="29"/>
      <c r="M1546" s="29"/>
      <c r="N1546" s="29"/>
      <c r="O1546" s="29"/>
      <c r="P1546" s="29"/>
      <c r="Q1546" s="29"/>
    </row>
    <row r="1547" spans="1:17">
      <c r="A1547" s="29"/>
      <c r="B1547" s="29"/>
      <c r="C1547" s="29"/>
      <c r="D1547" s="29"/>
      <c r="E1547" s="29"/>
      <c r="F1547" s="29"/>
      <c r="G1547" s="29"/>
      <c r="H1547" s="29"/>
      <c r="I1547" s="29"/>
      <c r="J1547" s="29"/>
      <c r="K1547" s="29"/>
      <c r="L1547" s="29"/>
      <c r="M1547" s="29"/>
      <c r="N1547" s="29"/>
      <c r="O1547" s="29"/>
      <c r="P1547" s="29"/>
      <c r="Q1547" s="29"/>
    </row>
    <row r="1548" spans="1:17">
      <c r="A1548" s="29"/>
      <c r="B1548" s="29"/>
      <c r="C1548" s="29"/>
      <c r="D1548" s="29"/>
      <c r="E1548" s="29"/>
      <c r="F1548" s="29"/>
      <c r="G1548" s="29"/>
      <c r="H1548" s="29"/>
      <c r="I1548" s="29"/>
      <c r="J1548" s="29"/>
      <c r="K1548" s="29"/>
      <c r="L1548" s="29"/>
      <c r="M1548" s="29"/>
      <c r="N1548" s="29"/>
      <c r="O1548" s="29"/>
      <c r="P1548" s="29"/>
      <c r="Q1548" s="29"/>
    </row>
    <row r="1549" spans="1:17">
      <c r="A1549" s="29"/>
      <c r="B1549" s="29"/>
      <c r="C1549" s="29"/>
      <c r="D1549" s="29"/>
      <c r="E1549" s="29"/>
      <c r="F1549" s="29"/>
      <c r="G1549" s="29"/>
      <c r="H1549" s="29"/>
      <c r="I1549" s="29"/>
      <c r="J1549" s="29"/>
      <c r="K1549" s="29"/>
      <c r="L1549" s="29"/>
      <c r="M1549" s="29"/>
      <c r="N1549" s="29"/>
      <c r="O1549" s="29"/>
      <c r="P1549" s="29"/>
      <c r="Q1549" s="29"/>
    </row>
    <row r="1550" spans="1:17">
      <c r="A1550" s="29"/>
      <c r="B1550" s="29"/>
      <c r="C1550" s="29"/>
      <c r="D1550" s="29"/>
      <c r="E1550" s="29"/>
      <c r="F1550" s="29"/>
      <c r="G1550" s="29"/>
      <c r="H1550" s="29"/>
      <c r="I1550" s="29"/>
      <c r="J1550" s="29"/>
      <c r="K1550" s="29"/>
      <c r="L1550" s="29"/>
      <c r="M1550" s="29"/>
      <c r="N1550" s="29"/>
      <c r="O1550" s="29"/>
      <c r="P1550" s="29"/>
      <c r="Q1550" s="29"/>
    </row>
    <row r="1551" spans="1:17">
      <c r="A1551" s="29"/>
      <c r="B1551" s="29"/>
      <c r="C1551" s="29"/>
      <c r="D1551" s="29"/>
      <c r="E1551" s="29"/>
      <c r="F1551" s="29"/>
      <c r="G1551" s="29"/>
      <c r="H1551" s="29"/>
      <c r="I1551" s="29"/>
      <c r="J1551" s="29"/>
      <c r="K1551" s="29"/>
      <c r="L1551" s="29"/>
      <c r="M1551" s="29"/>
      <c r="N1551" s="29"/>
      <c r="O1551" s="29"/>
      <c r="P1551" s="29"/>
      <c r="Q1551" s="29"/>
    </row>
    <row r="1552" spans="1:17">
      <c r="A1552" s="29"/>
      <c r="B1552" s="29"/>
      <c r="C1552" s="29"/>
      <c r="D1552" s="29"/>
      <c r="E1552" s="29"/>
      <c r="F1552" s="29"/>
      <c r="G1552" s="29"/>
      <c r="H1552" s="29"/>
      <c r="I1552" s="29"/>
      <c r="J1552" s="29"/>
      <c r="K1552" s="29"/>
      <c r="L1552" s="29"/>
      <c r="M1552" s="29"/>
      <c r="N1552" s="29"/>
      <c r="O1552" s="29"/>
      <c r="P1552" s="29"/>
      <c r="Q1552" s="29"/>
    </row>
    <row r="1553" spans="1:17">
      <c r="A1553" s="29"/>
      <c r="B1553" s="29"/>
      <c r="C1553" s="29"/>
      <c r="D1553" s="29"/>
      <c r="E1553" s="29"/>
      <c r="F1553" s="29"/>
      <c r="G1553" s="29"/>
      <c r="H1553" s="29"/>
      <c r="I1553" s="29"/>
      <c r="J1553" s="29"/>
      <c r="K1553" s="29"/>
      <c r="L1553" s="29"/>
      <c r="M1553" s="29"/>
      <c r="N1553" s="29"/>
      <c r="O1553" s="29"/>
      <c r="P1553" s="29"/>
      <c r="Q1553" s="29"/>
    </row>
    <row r="1554" spans="1:17">
      <c r="A1554" s="29"/>
      <c r="B1554" s="29"/>
      <c r="C1554" s="29"/>
      <c r="D1554" s="29"/>
      <c r="E1554" s="29"/>
      <c r="F1554" s="29"/>
      <c r="G1554" s="29"/>
      <c r="H1554" s="29"/>
      <c r="I1554" s="29"/>
      <c r="J1554" s="29"/>
      <c r="K1554" s="29"/>
      <c r="L1554" s="29"/>
      <c r="M1554" s="29"/>
      <c r="N1554" s="29"/>
      <c r="O1554" s="29"/>
      <c r="P1554" s="29"/>
      <c r="Q1554" s="29"/>
    </row>
    <row r="1555" spans="1:17">
      <c r="A1555" s="29"/>
      <c r="B1555" s="29"/>
      <c r="C1555" s="29"/>
      <c r="D1555" s="29"/>
      <c r="E1555" s="29"/>
      <c r="F1555" s="29"/>
      <c r="G1555" s="29"/>
      <c r="H1555" s="29"/>
      <c r="I1555" s="29"/>
      <c r="J1555" s="29"/>
      <c r="K1555" s="29"/>
      <c r="L1555" s="29"/>
      <c r="M1555" s="29"/>
      <c r="N1555" s="29"/>
      <c r="O1555" s="29"/>
      <c r="P1555" s="29"/>
      <c r="Q1555" s="29"/>
    </row>
    <row r="1556" spans="1:17">
      <c r="A1556" s="29"/>
      <c r="B1556" s="29"/>
      <c r="C1556" s="29"/>
      <c r="D1556" s="29"/>
      <c r="E1556" s="29"/>
      <c r="F1556" s="29"/>
      <c r="G1556" s="29"/>
      <c r="H1556" s="29"/>
      <c r="I1556" s="29"/>
      <c r="J1556" s="29"/>
      <c r="K1556" s="29"/>
      <c r="L1556" s="29"/>
      <c r="M1556" s="29"/>
      <c r="N1556" s="29"/>
      <c r="O1556" s="29"/>
      <c r="P1556" s="29"/>
      <c r="Q1556" s="29"/>
    </row>
    <row r="1557" spans="1:17">
      <c r="A1557" s="29"/>
      <c r="B1557" s="29"/>
      <c r="C1557" s="29"/>
      <c r="D1557" s="29"/>
      <c r="E1557" s="29"/>
      <c r="F1557" s="29"/>
      <c r="G1557" s="29"/>
      <c r="H1557" s="29"/>
      <c r="I1557" s="29"/>
      <c r="J1557" s="29"/>
      <c r="K1557" s="29"/>
      <c r="L1557" s="29"/>
      <c r="M1557" s="29"/>
      <c r="N1557" s="29"/>
      <c r="O1557" s="29"/>
      <c r="P1557" s="29"/>
      <c r="Q1557" s="29"/>
    </row>
    <row r="1558" spans="1:17">
      <c r="A1558" s="29"/>
      <c r="B1558" s="29"/>
      <c r="C1558" s="29"/>
      <c r="D1558" s="29"/>
      <c r="E1558" s="29"/>
      <c r="F1558" s="29"/>
      <c r="G1558" s="29"/>
      <c r="H1558" s="29"/>
      <c r="I1558" s="29"/>
      <c r="J1558" s="29"/>
      <c r="K1558" s="29"/>
      <c r="L1558" s="29"/>
      <c r="M1558" s="29"/>
      <c r="N1558" s="29"/>
      <c r="O1558" s="29"/>
      <c r="P1558" s="29"/>
      <c r="Q1558" s="29"/>
    </row>
    <row r="1559" spans="1:17">
      <c r="A1559" s="29"/>
      <c r="B1559" s="29"/>
      <c r="C1559" s="29"/>
      <c r="D1559" s="29"/>
      <c r="E1559" s="29"/>
      <c r="F1559" s="29"/>
      <c r="G1559" s="29"/>
      <c r="H1559" s="29"/>
      <c r="I1559" s="29"/>
      <c r="J1559" s="29"/>
      <c r="K1559" s="29"/>
      <c r="L1559" s="29"/>
      <c r="M1559" s="29"/>
      <c r="N1559" s="29"/>
      <c r="O1559" s="29"/>
      <c r="P1559" s="29"/>
      <c r="Q1559" s="29"/>
    </row>
    <row r="1560" spans="1:17">
      <c r="A1560" s="29"/>
      <c r="B1560" s="29"/>
      <c r="C1560" s="29"/>
      <c r="D1560" s="29"/>
      <c r="E1560" s="29"/>
      <c r="F1560" s="29"/>
      <c r="G1560" s="29"/>
      <c r="H1560" s="29"/>
      <c r="I1560" s="29"/>
      <c r="J1560" s="29"/>
      <c r="K1560" s="29"/>
      <c r="L1560" s="29"/>
      <c r="M1560" s="29"/>
      <c r="N1560" s="29"/>
      <c r="O1560" s="29"/>
      <c r="P1560" s="29"/>
      <c r="Q1560" s="29"/>
    </row>
    <row r="1561" spans="1:17">
      <c r="A1561" s="29"/>
      <c r="B1561" s="29"/>
      <c r="C1561" s="29"/>
      <c r="D1561" s="29"/>
      <c r="E1561" s="29"/>
      <c r="F1561" s="29"/>
      <c r="G1561" s="29"/>
      <c r="H1561" s="29"/>
      <c r="I1561" s="29"/>
      <c r="J1561" s="29"/>
      <c r="K1561" s="29"/>
      <c r="L1561" s="29"/>
      <c r="M1561" s="29"/>
      <c r="N1561" s="29"/>
      <c r="O1561" s="29"/>
      <c r="P1561" s="29"/>
      <c r="Q1561" s="29"/>
    </row>
    <row r="1562" spans="1:17">
      <c r="A1562" s="29"/>
      <c r="B1562" s="29"/>
      <c r="C1562" s="29"/>
      <c r="D1562" s="29"/>
      <c r="E1562" s="29"/>
      <c r="F1562" s="29"/>
      <c r="G1562" s="29"/>
      <c r="H1562" s="29"/>
      <c r="I1562" s="29"/>
      <c r="J1562" s="29"/>
      <c r="K1562" s="29"/>
      <c r="L1562" s="29"/>
      <c r="M1562" s="29"/>
      <c r="N1562" s="29"/>
      <c r="O1562" s="29"/>
      <c r="P1562" s="29"/>
      <c r="Q1562" s="29"/>
    </row>
    <row r="1563" spans="1:17">
      <c r="A1563" s="29"/>
      <c r="B1563" s="29"/>
      <c r="C1563" s="29"/>
      <c r="D1563" s="29"/>
      <c r="E1563" s="29"/>
      <c r="F1563" s="29"/>
      <c r="G1563" s="29"/>
      <c r="H1563" s="29"/>
      <c r="I1563" s="29"/>
      <c r="J1563" s="29"/>
      <c r="K1563" s="29"/>
      <c r="L1563" s="29"/>
      <c r="M1563" s="29"/>
      <c r="N1563" s="29"/>
      <c r="O1563" s="29"/>
      <c r="P1563" s="29"/>
      <c r="Q1563" s="29"/>
    </row>
    <row r="1564" spans="1:17">
      <c r="A1564" s="29"/>
      <c r="B1564" s="29"/>
      <c r="C1564" s="29"/>
      <c r="D1564" s="29"/>
      <c r="E1564" s="29"/>
      <c r="F1564" s="29"/>
      <c r="G1564" s="29"/>
      <c r="H1564" s="29"/>
      <c r="I1564" s="29"/>
      <c r="J1564" s="29"/>
      <c r="K1564" s="29"/>
      <c r="L1564" s="29"/>
      <c r="M1564" s="29"/>
      <c r="N1564" s="29"/>
      <c r="O1564" s="29"/>
      <c r="P1564" s="29"/>
      <c r="Q1564" s="29"/>
    </row>
    <row r="1565" spans="1:17">
      <c r="A1565" s="29"/>
      <c r="B1565" s="29"/>
      <c r="C1565" s="29"/>
      <c r="D1565" s="29"/>
      <c r="E1565" s="29"/>
      <c r="F1565" s="29"/>
      <c r="G1565" s="29"/>
      <c r="H1565" s="29"/>
      <c r="I1565" s="29"/>
      <c r="J1565" s="29"/>
      <c r="K1565" s="29"/>
      <c r="L1565" s="29"/>
      <c r="M1565" s="29"/>
      <c r="N1565" s="29"/>
      <c r="O1565" s="29"/>
      <c r="P1565" s="29"/>
      <c r="Q1565" s="29"/>
    </row>
    <row r="1566" spans="1:17">
      <c r="A1566" s="29"/>
      <c r="B1566" s="29"/>
      <c r="C1566" s="29"/>
      <c r="D1566" s="29"/>
      <c r="E1566" s="29"/>
      <c r="F1566" s="29"/>
      <c r="G1566" s="29"/>
      <c r="H1566" s="29"/>
      <c r="I1566" s="29"/>
      <c r="J1566" s="29"/>
      <c r="K1566" s="29"/>
      <c r="L1566" s="29"/>
      <c r="M1566" s="29"/>
      <c r="N1566" s="29"/>
      <c r="O1566" s="29"/>
      <c r="P1566" s="29"/>
      <c r="Q1566" s="29"/>
    </row>
    <row r="1567" spans="1:17">
      <c r="A1567" s="29"/>
      <c r="B1567" s="29"/>
      <c r="C1567" s="29"/>
      <c r="D1567" s="29"/>
      <c r="E1567" s="29"/>
      <c r="F1567" s="29"/>
      <c r="G1567" s="29"/>
      <c r="H1567" s="29"/>
      <c r="I1567" s="29"/>
      <c r="J1567" s="29"/>
      <c r="K1567" s="29"/>
      <c r="L1567" s="29"/>
      <c r="M1567" s="29"/>
      <c r="N1567" s="29"/>
      <c r="O1567" s="29"/>
      <c r="P1567" s="29"/>
      <c r="Q1567" s="29"/>
    </row>
    <row r="1568" spans="1:17">
      <c r="A1568" s="29"/>
      <c r="B1568" s="29"/>
      <c r="C1568" s="29"/>
      <c r="D1568" s="29"/>
      <c r="E1568" s="29"/>
      <c r="F1568" s="29"/>
      <c r="G1568" s="29"/>
      <c r="H1568" s="29"/>
      <c r="I1568" s="29"/>
      <c r="J1568" s="29"/>
      <c r="K1568" s="29"/>
      <c r="L1568" s="29"/>
      <c r="M1568" s="29"/>
      <c r="N1568" s="29"/>
      <c r="O1568" s="29"/>
      <c r="P1568" s="29"/>
      <c r="Q1568" s="29"/>
    </row>
    <row r="1569" spans="1:17">
      <c r="A1569" s="29"/>
      <c r="B1569" s="29"/>
      <c r="C1569" s="29"/>
      <c r="D1569" s="29"/>
      <c r="E1569" s="29"/>
      <c r="F1569" s="29"/>
      <c r="G1569" s="29"/>
      <c r="H1569" s="29"/>
      <c r="I1569" s="29"/>
      <c r="J1569" s="29"/>
      <c r="K1569" s="29"/>
      <c r="L1569" s="29"/>
      <c r="M1569" s="29"/>
      <c r="N1569" s="29"/>
      <c r="O1569" s="29"/>
      <c r="P1569" s="29"/>
      <c r="Q1569" s="29"/>
    </row>
    <row r="1570" spans="1:17">
      <c r="A1570" s="29"/>
      <c r="B1570" s="29"/>
      <c r="C1570" s="29"/>
      <c r="D1570" s="29"/>
      <c r="E1570" s="29"/>
      <c r="F1570" s="29"/>
      <c r="G1570" s="29"/>
      <c r="H1570" s="29"/>
      <c r="I1570" s="29"/>
      <c r="J1570" s="29"/>
      <c r="K1570" s="29"/>
      <c r="L1570" s="29"/>
      <c r="M1570" s="29"/>
      <c r="N1570" s="29"/>
      <c r="O1570" s="29"/>
      <c r="P1570" s="29"/>
      <c r="Q1570" s="29"/>
    </row>
    <row r="1571" spans="1:17">
      <c r="A1571" s="29"/>
      <c r="B1571" s="29"/>
      <c r="C1571" s="29"/>
      <c r="D1571" s="29"/>
      <c r="E1571" s="29"/>
      <c r="F1571" s="29"/>
      <c r="G1571" s="29"/>
      <c r="H1571" s="29"/>
      <c r="I1571" s="29"/>
      <c r="J1571" s="29"/>
      <c r="K1571" s="29"/>
      <c r="L1571" s="29"/>
      <c r="M1571" s="29"/>
      <c r="N1571" s="29"/>
      <c r="O1571" s="29"/>
      <c r="P1571" s="29"/>
      <c r="Q1571" s="29"/>
    </row>
    <row r="1572" spans="1:17">
      <c r="A1572" s="29"/>
      <c r="B1572" s="29"/>
      <c r="C1572" s="29"/>
      <c r="D1572" s="29"/>
      <c r="E1572" s="29"/>
      <c r="F1572" s="29"/>
      <c r="G1572" s="29"/>
      <c r="H1572" s="29"/>
      <c r="I1572" s="29"/>
      <c r="J1572" s="29"/>
      <c r="K1572" s="29"/>
      <c r="L1572" s="29"/>
      <c r="M1572" s="29"/>
      <c r="N1572" s="29"/>
      <c r="O1572" s="29"/>
      <c r="P1572" s="29"/>
      <c r="Q1572" s="29"/>
    </row>
    <row r="1573" spans="1:17">
      <c r="A1573" s="29"/>
      <c r="B1573" s="29"/>
      <c r="C1573" s="29"/>
      <c r="D1573" s="29"/>
      <c r="E1573" s="29"/>
      <c r="F1573" s="29"/>
      <c r="G1573" s="29"/>
      <c r="H1573" s="29"/>
      <c r="I1573" s="29"/>
      <c r="J1573" s="29"/>
      <c r="K1573" s="29"/>
      <c r="L1573" s="29"/>
      <c r="M1573" s="29"/>
      <c r="N1573" s="29"/>
      <c r="O1573" s="29"/>
      <c r="P1573" s="29"/>
      <c r="Q1573" s="29"/>
    </row>
    <row r="1574" spans="1:17">
      <c r="A1574" s="29"/>
      <c r="B1574" s="29"/>
      <c r="C1574" s="29"/>
      <c r="D1574" s="29"/>
      <c r="E1574" s="29"/>
      <c r="F1574" s="29"/>
      <c r="G1574" s="29"/>
      <c r="H1574" s="29"/>
      <c r="I1574" s="29"/>
      <c r="J1574" s="29"/>
      <c r="K1574" s="29"/>
      <c r="L1574" s="29"/>
      <c r="M1574" s="29"/>
      <c r="N1574" s="29"/>
      <c r="O1574" s="29"/>
      <c r="P1574" s="29"/>
      <c r="Q1574" s="29"/>
    </row>
    <row r="1575" spans="1:17">
      <c r="A1575" s="29"/>
      <c r="B1575" s="29"/>
      <c r="C1575" s="29"/>
      <c r="D1575" s="29"/>
      <c r="E1575" s="29"/>
      <c r="F1575" s="29"/>
      <c r="G1575" s="29"/>
      <c r="H1575" s="29"/>
      <c r="I1575" s="29"/>
      <c r="J1575" s="29"/>
      <c r="K1575" s="29"/>
      <c r="L1575" s="29"/>
      <c r="M1575" s="29"/>
      <c r="N1575" s="29"/>
      <c r="O1575" s="29"/>
      <c r="P1575" s="29"/>
      <c r="Q1575" s="29"/>
    </row>
    <row r="1576" spans="1:17">
      <c r="A1576" s="29"/>
      <c r="B1576" s="29"/>
      <c r="C1576" s="29"/>
      <c r="D1576" s="29"/>
      <c r="E1576" s="29"/>
      <c r="F1576" s="29"/>
      <c r="G1576" s="29"/>
      <c r="H1576" s="29"/>
      <c r="I1576" s="29"/>
      <c r="J1576" s="29"/>
      <c r="K1576" s="29"/>
      <c r="L1576" s="29"/>
      <c r="M1576" s="29"/>
      <c r="N1576" s="29"/>
      <c r="O1576" s="29"/>
      <c r="P1576" s="29"/>
      <c r="Q1576" s="29"/>
    </row>
    <row r="1577" spans="1:17">
      <c r="A1577" s="29"/>
      <c r="B1577" s="29"/>
      <c r="C1577" s="29"/>
      <c r="D1577" s="29"/>
      <c r="E1577" s="29"/>
      <c r="F1577" s="29"/>
      <c r="G1577" s="29"/>
      <c r="H1577" s="29"/>
      <c r="I1577" s="29"/>
      <c r="J1577" s="29"/>
      <c r="K1577" s="29"/>
      <c r="L1577" s="29"/>
      <c r="M1577" s="29"/>
      <c r="N1577" s="29"/>
      <c r="O1577" s="29"/>
      <c r="P1577" s="29"/>
      <c r="Q1577" s="29"/>
    </row>
    <row r="1578" spans="1:17">
      <c r="A1578" s="29"/>
      <c r="B1578" s="29"/>
      <c r="C1578" s="29"/>
      <c r="D1578" s="29"/>
      <c r="E1578" s="29"/>
      <c r="F1578" s="29"/>
      <c r="G1578" s="29"/>
      <c r="H1578" s="29"/>
      <c r="I1578" s="29"/>
      <c r="J1578" s="29"/>
      <c r="K1578" s="29"/>
      <c r="L1578" s="29"/>
      <c r="M1578" s="29"/>
      <c r="N1578" s="29"/>
      <c r="O1578" s="29"/>
      <c r="P1578" s="29"/>
      <c r="Q1578" s="29"/>
    </row>
    <row r="1579" spans="1:17">
      <c r="A1579" s="29"/>
      <c r="B1579" s="29"/>
      <c r="C1579" s="29"/>
      <c r="D1579" s="29"/>
      <c r="E1579" s="29"/>
      <c r="F1579" s="29"/>
      <c r="G1579" s="29"/>
      <c r="H1579" s="29"/>
      <c r="I1579" s="29"/>
      <c r="J1579" s="29"/>
      <c r="K1579" s="29"/>
      <c r="L1579" s="29"/>
      <c r="M1579" s="29"/>
      <c r="N1579" s="29"/>
      <c r="O1579" s="29"/>
      <c r="P1579" s="29"/>
      <c r="Q1579" s="29"/>
    </row>
    <row r="1580" spans="1:17">
      <c r="A1580" s="29"/>
      <c r="B1580" s="29"/>
      <c r="C1580" s="29"/>
      <c r="D1580" s="29"/>
      <c r="E1580" s="29"/>
      <c r="F1580" s="29"/>
      <c r="G1580" s="29"/>
      <c r="H1580" s="29"/>
      <c r="I1580" s="29"/>
      <c r="J1580" s="29"/>
      <c r="K1580" s="29"/>
      <c r="L1580" s="29"/>
      <c r="M1580" s="29"/>
      <c r="N1580" s="29"/>
      <c r="O1580" s="29"/>
      <c r="P1580" s="29"/>
      <c r="Q1580" s="29"/>
    </row>
    <row r="1581" spans="1:17">
      <c r="A1581" s="29"/>
      <c r="B1581" s="29"/>
      <c r="C1581" s="29"/>
      <c r="D1581" s="29"/>
      <c r="E1581" s="29"/>
      <c r="F1581" s="29"/>
      <c r="G1581" s="29"/>
      <c r="H1581" s="29"/>
      <c r="I1581" s="29"/>
      <c r="J1581" s="29"/>
      <c r="K1581" s="29"/>
      <c r="L1581" s="29"/>
      <c r="M1581" s="29"/>
      <c r="N1581" s="29"/>
      <c r="O1581" s="29"/>
      <c r="P1581" s="29"/>
      <c r="Q1581" s="29"/>
    </row>
    <row r="1582" spans="1:17">
      <c r="A1582" s="29"/>
      <c r="B1582" s="29"/>
      <c r="C1582" s="29"/>
      <c r="D1582" s="29"/>
      <c r="E1582" s="29"/>
      <c r="F1582" s="29"/>
      <c r="G1582" s="29"/>
      <c r="H1582" s="29"/>
      <c r="I1582" s="29"/>
      <c r="J1582" s="29"/>
      <c r="K1582" s="29"/>
      <c r="L1582" s="29"/>
      <c r="M1582" s="29"/>
      <c r="N1582" s="29"/>
      <c r="O1582" s="29"/>
      <c r="P1582" s="29"/>
      <c r="Q1582" s="29"/>
    </row>
    <row r="1583" spans="1:17">
      <c r="A1583" s="29"/>
      <c r="B1583" s="29"/>
      <c r="C1583" s="29"/>
      <c r="D1583" s="29"/>
      <c r="E1583" s="29"/>
      <c r="F1583" s="29"/>
      <c r="G1583" s="29"/>
      <c r="H1583" s="29"/>
      <c r="I1583" s="29"/>
      <c r="J1583" s="29"/>
      <c r="K1583" s="29"/>
      <c r="L1583" s="29"/>
      <c r="M1583" s="29"/>
      <c r="N1583" s="29"/>
      <c r="O1583" s="29"/>
      <c r="P1583" s="29"/>
      <c r="Q1583" s="29"/>
    </row>
    <row r="1584" spans="1:17">
      <c r="A1584" s="29"/>
      <c r="B1584" s="29"/>
      <c r="C1584" s="29"/>
      <c r="D1584" s="29"/>
      <c r="E1584" s="29"/>
      <c r="F1584" s="29"/>
      <c r="G1584" s="29"/>
      <c r="H1584" s="29"/>
      <c r="I1584" s="29"/>
      <c r="J1584" s="29"/>
      <c r="K1584" s="29"/>
      <c r="L1584" s="29"/>
      <c r="M1584" s="29"/>
      <c r="N1584" s="29"/>
      <c r="O1584" s="29"/>
      <c r="P1584" s="29"/>
      <c r="Q1584" s="29"/>
    </row>
    <row r="1585" spans="1:17">
      <c r="A1585" s="29"/>
      <c r="B1585" s="29"/>
      <c r="C1585" s="29"/>
      <c r="D1585" s="29"/>
      <c r="E1585" s="29"/>
      <c r="F1585" s="29"/>
      <c r="G1585" s="29"/>
      <c r="H1585" s="29"/>
      <c r="I1585" s="29"/>
      <c r="J1585" s="29"/>
      <c r="K1585" s="29"/>
      <c r="L1585" s="29"/>
      <c r="M1585" s="29"/>
      <c r="N1585" s="29"/>
      <c r="O1585" s="29"/>
      <c r="P1585" s="29"/>
      <c r="Q1585" s="29"/>
    </row>
    <row r="1586" spans="1:17">
      <c r="A1586" s="29"/>
      <c r="B1586" s="29"/>
      <c r="C1586" s="29"/>
      <c r="D1586" s="29"/>
      <c r="E1586" s="29"/>
      <c r="F1586" s="29"/>
      <c r="G1586" s="29"/>
      <c r="H1586" s="29"/>
      <c r="I1586" s="29"/>
      <c r="J1586" s="29"/>
      <c r="K1586" s="29"/>
      <c r="L1586" s="29"/>
      <c r="M1586" s="29"/>
      <c r="N1586" s="29"/>
      <c r="O1586" s="29"/>
      <c r="P1586" s="29"/>
      <c r="Q1586" s="29"/>
    </row>
    <row r="1587" spans="1:17">
      <c r="A1587" s="29"/>
      <c r="B1587" s="29"/>
      <c r="C1587" s="29"/>
      <c r="D1587" s="29"/>
      <c r="E1587" s="29"/>
      <c r="F1587" s="29"/>
      <c r="G1587" s="29"/>
      <c r="H1587" s="29"/>
      <c r="I1587" s="29"/>
      <c r="J1587" s="29"/>
      <c r="K1587" s="29"/>
      <c r="L1587" s="29"/>
      <c r="M1587" s="29"/>
      <c r="N1587" s="29"/>
      <c r="O1587" s="29"/>
      <c r="P1587" s="29"/>
      <c r="Q1587" s="29"/>
    </row>
    <row r="1588" spans="1:17">
      <c r="A1588" s="29"/>
      <c r="B1588" s="29"/>
      <c r="C1588" s="29"/>
      <c r="D1588" s="29"/>
      <c r="E1588" s="29"/>
      <c r="F1588" s="29"/>
      <c r="G1588" s="29"/>
      <c r="H1588" s="29"/>
      <c r="I1588" s="29"/>
      <c r="J1588" s="29"/>
      <c r="K1588" s="29"/>
      <c r="L1588" s="29"/>
      <c r="M1588" s="29"/>
      <c r="N1588" s="29"/>
      <c r="O1588" s="29"/>
      <c r="P1588" s="29"/>
      <c r="Q1588" s="29"/>
    </row>
    <row r="1589" spans="1:17">
      <c r="A1589" s="29"/>
      <c r="B1589" s="29"/>
      <c r="C1589" s="29"/>
      <c r="D1589" s="29"/>
      <c r="E1589" s="29"/>
      <c r="F1589" s="29"/>
      <c r="G1589" s="29"/>
      <c r="H1589" s="29"/>
      <c r="I1589" s="29"/>
      <c r="J1589" s="29"/>
      <c r="K1589" s="29"/>
      <c r="L1589" s="29"/>
      <c r="M1589" s="29"/>
      <c r="N1589" s="29"/>
      <c r="O1589" s="29"/>
      <c r="P1589" s="29"/>
      <c r="Q1589" s="29"/>
    </row>
    <row r="1590" spans="1:17">
      <c r="A1590" s="29"/>
      <c r="B1590" s="29"/>
      <c r="C1590" s="29"/>
      <c r="D1590" s="29"/>
      <c r="E1590" s="29"/>
      <c r="F1590" s="29"/>
      <c r="G1590" s="29"/>
      <c r="H1590" s="29"/>
      <c r="I1590" s="29"/>
      <c r="J1590" s="29"/>
      <c r="K1590" s="29"/>
      <c r="L1590" s="29"/>
      <c r="M1590" s="29"/>
      <c r="N1590" s="29"/>
      <c r="O1590" s="29"/>
      <c r="P1590" s="29"/>
      <c r="Q1590" s="29"/>
    </row>
    <row r="1591" spans="1:17">
      <c r="A1591" s="29"/>
      <c r="B1591" s="29"/>
      <c r="C1591" s="29"/>
      <c r="D1591" s="29"/>
      <c r="E1591" s="29"/>
      <c r="F1591" s="29"/>
      <c r="G1591" s="29"/>
      <c r="H1591" s="29"/>
      <c r="I1591" s="29"/>
      <c r="J1591" s="29"/>
      <c r="K1591" s="29"/>
      <c r="L1591" s="29"/>
      <c r="M1591" s="29"/>
      <c r="N1591" s="29"/>
      <c r="O1591" s="29"/>
      <c r="P1591" s="29"/>
      <c r="Q1591" s="29"/>
    </row>
    <row r="1592" spans="1:17">
      <c r="A1592" s="29"/>
      <c r="B1592" s="29"/>
      <c r="C1592" s="29"/>
      <c r="D1592" s="29"/>
      <c r="E1592" s="29"/>
      <c r="F1592" s="29"/>
      <c r="G1592" s="29"/>
      <c r="H1592" s="29"/>
      <c r="I1592" s="29"/>
      <c r="J1592" s="29"/>
      <c r="K1592" s="29"/>
      <c r="L1592" s="29"/>
      <c r="M1592" s="29"/>
      <c r="N1592" s="29"/>
      <c r="O1592" s="29"/>
      <c r="P1592" s="29"/>
      <c r="Q1592" s="29"/>
    </row>
    <row r="1593" spans="1:17">
      <c r="A1593" s="29"/>
      <c r="B1593" s="29"/>
      <c r="C1593" s="29"/>
      <c r="D1593" s="29"/>
      <c r="E1593" s="29"/>
      <c r="F1593" s="29"/>
      <c r="G1593" s="29"/>
      <c r="H1593" s="29"/>
      <c r="I1593" s="29"/>
      <c r="J1593" s="29"/>
      <c r="K1593" s="29"/>
      <c r="L1593" s="29"/>
      <c r="M1593" s="29"/>
      <c r="N1593" s="29"/>
      <c r="O1593" s="29"/>
      <c r="P1593" s="29"/>
      <c r="Q1593" s="29"/>
    </row>
    <row r="1594" spans="1:17">
      <c r="A1594" s="29"/>
      <c r="B1594" s="29"/>
      <c r="C1594" s="29"/>
      <c r="D1594" s="29"/>
      <c r="E1594" s="29"/>
      <c r="F1594" s="29"/>
      <c r="G1594" s="29"/>
      <c r="H1594" s="29"/>
      <c r="I1594" s="29"/>
      <c r="J1594" s="29"/>
      <c r="K1594" s="29"/>
      <c r="L1594" s="29"/>
      <c r="M1594" s="29"/>
      <c r="N1594" s="29"/>
      <c r="O1594" s="29"/>
      <c r="P1594" s="29"/>
      <c r="Q1594" s="29"/>
    </row>
    <row r="1595" spans="1:17">
      <c r="A1595" s="29"/>
      <c r="B1595" s="29"/>
      <c r="C1595" s="29"/>
      <c r="D1595" s="29"/>
      <c r="E1595" s="29"/>
      <c r="F1595" s="29"/>
      <c r="G1595" s="29"/>
      <c r="H1595" s="29"/>
      <c r="I1595" s="29"/>
      <c r="J1595" s="29"/>
      <c r="K1595" s="29"/>
      <c r="L1595" s="29"/>
      <c r="M1595" s="29"/>
      <c r="N1595" s="29"/>
      <c r="O1595" s="29"/>
      <c r="P1595" s="29"/>
      <c r="Q1595" s="29"/>
    </row>
    <row r="1596" spans="1:17">
      <c r="A1596" s="29"/>
      <c r="B1596" s="29"/>
      <c r="C1596" s="29"/>
      <c r="D1596" s="29"/>
      <c r="E1596" s="29"/>
      <c r="F1596" s="29"/>
      <c r="G1596" s="29"/>
      <c r="H1596" s="29"/>
      <c r="I1596" s="29"/>
      <c r="J1596" s="29"/>
      <c r="K1596" s="29"/>
      <c r="L1596" s="29"/>
      <c r="M1596" s="29"/>
      <c r="N1596" s="29"/>
      <c r="O1596" s="29"/>
      <c r="P1596" s="29"/>
      <c r="Q1596" s="29"/>
    </row>
    <row r="1597" spans="1:17">
      <c r="A1597" s="29"/>
      <c r="B1597" s="29"/>
      <c r="C1597" s="29"/>
      <c r="D1597" s="29"/>
      <c r="E1597" s="29"/>
      <c r="F1597" s="29"/>
      <c r="G1597" s="29"/>
      <c r="H1597" s="29"/>
      <c r="I1597" s="29"/>
      <c r="J1597" s="29"/>
      <c r="K1597" s="29"/>
      <c r="L1597" s="29"/>
      <c r="M1597" s="29"/>
      <c r="N1597" s="29"/>
      <c r="O1597" s="29"/>
      <c r="P1597" s="29"/>
      <c r="Q1597" s="29"/>
    </row>
    <row r="1598" spans="1:17">
      <c r="A1598" s="29"/>
      <c r="B1598" s="29"/>
      <c r="C1598" s="29"/>
      <c r="D1598" s="29"/>
      <c r="E1598" s="29"/>
      <c r="F1598" s="29"/>
      <c r="G1598" s="29"/>
      <c r="H1598" s="29"/>
      <c r="I1598" s="29"/>
      <c r="J1598" s="29"/>
      <c r="K1598" s="29"/>
      <c r="L1598" s="29"/>
      <c r="M1598" s="29"/>
      <c r="N1598" s="29"/>
      <c r="O1598" s="29"/>
      <c r="P1598" s="29"/>
      <c r="Q1598" s="29"/>
    </row>
    <row r="1599" spans="1:17">
      <c r="A1599" s="29"/>
      <c r="B1599" s="29"/>
      <c r="C1599" s="29"/>
      <c r="D1599" s="29"/>
      <c r="E1599" s="29"/>
      <c r="F1599" s="29"/>
      <c r="G1599" s="29"/>
      <c r="H1599" s="29"/>
      <c r="I1599" s="29"/>
      <c r="J1599" s="29"/>
      <c r="K1599" s="29"/>
      <c r="L1599" s="29"/>
      <c r="M1599" s="29"/>
      <c r="N1599" s="29"/>
      <c r="O1599" s="29"/>
      <c r="P1599" s="29"/>
      <c r="Q1599" s="29"/>
    </row>
    <row r="1600" spans="1:17">
      <c r="A1600" s="29"/>
      <c r="B1600" s="29"/>
      <c r="C1600" s="29"/>
      <c r="D1600" s="29"/>
      <c r="E1600" s="29"/>
      <c r="F1600" s="29"/>
      <c r="G1600" s="29"/>
      <c r="H1600" s="29"/>
      <c r="I1600" s="29"/>
      <c r="J1600" s="29"/>
      <c r="K1600" s="29"/>
      <c r="L1600" s="29"/>
      <c r="M1600" s="29"/>
      <c r="N1600" s="29"/>
      <c r="O1600" s="29"/>
      <c r="P1600" s="29"/>
      <c r="Q1600" s="29"/>
    </row>
    <row r="1601" spans="1:17">
      <c r="A1601" s="29"/>
      <c r="B1601" s="29"/>
      <c r="C1601" s="29"/>
      <c r="D1601" s="29"/>
      <c r="E1601" s="29"/>
      <c r="F1601" s="29"/>
      <c r="G1601" s="29"/>
      <c r="H1601" s="29"/>
      <c r="I1601" s="29"/>
      <c r="J1601" s="29"/>
      <c r="K1601" s="29"/>
      <c r="L1601" s="29"/>
      <c r="M1601" s="29"/>
      <c r="N1601" s="29"/>
      <c r="O1601" s="29"/>
      <c r="P1601" s="29"/>
      <c r="Q1601" s="29"/>
    </row>
    <row r="1602" spans="1:17">
      <c r="A1602" s="29"/>
      <c r="B1602" s="29"/>
      <c r="C1602" s="29"/>
      <c r="D1602" s="29"/>
      <c r="E1602" s="29"/>
      <c r="F1602" s="29"/>
      <c r="G1602" s="29"/>
      <c r="H1602" s="29"/>
      <c r="I1602" s="29"/>
      <c r="J1602" s="29"/>
      <c r="K1602" s="29"/>
      <c r="L1602" s="29"/>
      <c r="M1602" s="29"/>
      <c r="N1602" s="29"/>
      <c r="O1602" s="29"/>
      <c r="P1602" s="29"/>
      <c r="Q1602" s="29"/>
    </row>
    <row r="1603" spans="1:17">
      <c r="A1603" s="29"/>
      <c r="B1603" s="29"/>
      <c r="C1603" s="29"/>
      <c r="D1603" s="29"/>
      <c r="E1603" s="29"/>
      <c r="F1603" s="29"/>
      <c r="G1603" s="29"/>
      <c r="H1603" s="29"/>
      <c r="I1603" s="29"/>
      <c r="J1603" s="29"/>
      <c r="K1603" s="29"/>
      <c r="L1603" s="29"/>
      <c r="M1603" s="29"/>
      <c r="N1603" s="29"/>
      <c r="O1603" s="29"/>
      <c r="P1603" s="29"/>
      <c r="Q1603" s="29"/>
    </row>
    <row r="1604" spans="1:17">
      <c r="A1604" s="29"/>
      <c r="B1604" s="29"/>
      <c r="C1604" s="29"/>
      <c r="D1604" s="29"/>
      <c r="E1604" s="29"/>
      <c r="F1604" s="29"/>
      <c r="G1604" s="29"/>
      <c r="H1604" s="29"/>
      <c r="I1604" s="29"/>
      <c r="J1604" s="29"/>
      <c r="K1604" s="29"/>
      <c r="L1604" s="29"/>
      <c r="M1604" s="29"/>
      <c r="N1604" s="29"/>
      <c r="O1604" s="29"/>
      <c r="P1604" s="29"/>
      <c r="Q1604" s="29"/>
    </row>
    <row r="1605" spans="1:17">
      <c r="A1605" s="29"/>
      <c r="B1605" s="29"/>
      <c r="C1605" s="29"/>
      <c r="D1605" s="29"/>
      <c r="E1605" s="29"/>
      <c r="F1605" s="29"/>
      <c r="G1605" s="29"/>
      <c r="H1605" s="29"/>
      <c r="I1605" s="29"/>
      <c r="J1605" s="29"/>
      <c r="K1605" s="29"/>
      <c r="L1605" s="29"/>
      <c r="M1605" s="29"/>
      <c r="N1605" s="29"/>
      <c r="O1605" s="29"/>
      <c r="P1605" s="29"/>
      <c r="Q1605" s="29"/>
    </row>
    <row r="1606" spans="1:17">
      <c r="A1606" s="29"/>
      <c r="B1606" s="29"/>
      <c r="C1606" s="29"/>
      <c r="D1606" s="29"/>
      <c r="E1606" s="29"/>
      <c r="F1606" s="29"/>
      <c r="G1606" s="29"/>
      <c r="H1606" s="29"/>
      <c r="I1606" s="29"/>
      <c r="J1606" s="29"/>
      <c r="K1606" s="29"/>
      <c r="L1606" s="29"/>
      <c r="M1606" s="29"/>
      <c r="N1606" s="29"/>
      <c r="O1606" s="29"/>
      <c r="P1606" s="29"/>
      <c r="Q1606" s="29"/>
    </row>
    <row r="1607" spans="1:17">
      <c r="A1607" s="29"/>
      <c r="B1607" s="29"/>
      <c r="C1607" s="29"/>
      <c r="D1607" s="29"/>
      <c r="E1607" s="29"/>
      <c r="F1607" s="29"/>
      <c r="G1607" s="29"/>
      <c r="H1607" s="29"/>
      <c r="I1607" s="29"/>
      <c r="J1607" s="29"/>
      <c r="K1607" s="29"/>
      <c r="L1607" s="29"/>
      <c r="M1607" s="29"/>
      <c r="N1607" s="29"/>
      <c r="O1607" s="29"/>
      <c r="P1607" s="29"/>
      <c r="Q1607" s="29"/>
    </row>
    <row r="1608" spans="1:17">
      <c r="A1608" s="29"/>
      <c r="B1608" s="29"/>
      <c r="C1608" s="29"/>
      <c r="D1608" s="29"/>
      <c r="E1608" s="29"/>
      <c r="F1608" s="29"/>
      <c r="G1608" s="29"/>
      <c r="H1608" s="29"/>
      <c r="I1608" s="29"/>
      <c r="J1608" s="29"/>
      <c r="K1608" s="29"/>
      <c r="L1608" s="29"/>
      <c r="M1608" s="29"/>
      <c r="N1608" s="29"/>
      <c r="O1608" s="29"/>
      <c r="P1608" s="29"/>
      <c r="Q1608" s="29"/>
    </row>
    <row r="1609" spans="1:17">
      <c r="A1609" s="29"/>
      <c r="B1609" s="29"/>
      <c r="C1609" s="29"/>
      <c r="D1609" s="29"/>
      <c r="E1609" s="29"/>
      <c r="F1609" s="29"/>
      <c r="G1609" s="29"/>
      <c r="H1609" s="29"/>
      <c r="I1609" s="29"/>
      <c r="J1609" s="29"/>
      <c r="K1609" s="29"/>
      <c r="L1609" s="29"/>
      <c r="M1609" s="29"/>
      <c r="N1609" s="29"/>
      <c r="O1609" s="29"/>
      <c r="P1609" s="29"/>
      <c r="Q1609" s="29"/>
    </row>
    <row r="1610" spans="1:17">
      <c r="A1610" s="29"/>
      <c r="B1610" s="29"/>
      <c r="C1610" s="29"/>
      <c r="D1610" s="29"/>
      <c r="E1610" s="29"/>
      <c r="F1610" s="29"/>
      <c r="G1610" s="29"/>
      <c r="H1610" s="29"/>
      <c r="I1610" s="29"/>
      <c r="J1610" s="29"/>
      <c r="K1610" s="29"/>
      <c r="L1610" s="29"/>
      <c r="M1610" s="29"/>
      <c r="N1610" s="29"/>
      <c r="O1610" s="29"/>
      <c r="P1610" s="29"/>
      <c r="Q1610" s="29"/>
    </row>
    <row r="1611" spans="1:17">
      <c r="A1611" s="29"/>
      <c r="B1611" s="29"/>
      <c r="C1611" s="29"/>
      <c r="D1611" s="29"/>
      <c r="E1611" s="29"/>
      <c r="F1611" s="29"/>
      <c r="G1611" s="29"/>
      <c r="H1611" s="29"/>
      <c r="I1611" s="29"/>
      <c r="J1611" s="29"/>
      <c r="K1611" s="29"/>
      <c r="L1611" s="29"/>
      <c r="M1611" s="29"/>
      <c r="N1611" s="29"/>
      <c r="O1611" s="29"/>
      <c r="P1611" s="29"/>
      <c r="Q1611" s="29"/>
    </row>
    <row r="1612" spans="1:17">
      <c r="A1612" s="29"/>
      <c r="B1612" s="29"/>
      <c r="C1612" s="29"/>
      <c r="D1612" s="29"/>
      <c r="E1612" s="29"/>
      <c r="F1612" s="29"/>
      <c r="G1612" s="29"/>
      <c r="H1612" s="29"/>
      <c r="I1612" s="29"/>
      <c r="J1612" s="29"/>
      <c r="K1612" s="29"/>
      <c r="L1612" s="29"/>
      <c r="M1612" s="29"/>
      <c r="N1612" s="29"/>
      <c r="O1612" s="29"/>
      <c r="P1612" s="29"/>
      <c r="Q1612" s="29"/>
    </row>
    <row r="1613" spans="1:17">
      <c r="A1613" s="29"/>
      <c r="B1613" s="29"/>
      <c r="C1613" s="29"/>
      <c r="D1613" s="29"/>
      <c r="E1613" s="29"/>
      <c r="F1613" s="29"/>
      <c r="G1613" s="29"/>
      <c r="H1613" s="29"/>
      <c r="I1613" s="29"/>
      <c r="J1613" s="29"/>
      <c r="K1613" s="29"/>
      <c r="L1613" s="29"/>
      <c r="M1613" s="29"/>
      <c r="N1613" s="29"/>
      <c r="O1613" s="29"/>
      <c r="P1613" s="29"/>
      <c r="Q1613" s="29"/>
    </row>
    <row r="1614" spans="1:17">
      <c r="A1614" s="29"/>
      <c r="B1614" s="29"/>
      <c r="C1614" s="29"/>
      <c r="D1614" s="29"/>
      <c r="E1614" s="29"/>
      <c r="F1614" s="29"/>
      <c r="G1614" s="29"/>
      <c r="H1614" s="29"/>
      <c r="I1614" s="29"/>
      <c r="J1614" s="29"/>
      <c r="K1614" s="29"/>
      <c r="L1614" s="29"/>
      <c r="M1614" s="29"/>
      <c r="N1614" s="29"/>
      <c r="O1614" s="29"/>
      <c r="P1614" s="29"/>
      <c r="Q1614" s="29"/>
    </row>
    <row r="1615" spans="1:17">
      <c r="A1615" s="29"/>
      <c r="B1615" s="29"/>
      <c r="C1615" s="29"/>
      <c r="D1615" s="29"/>
      <c r="E1615" s="29"/>
      <c r="F1615" s="29"/>
      <c r="G1615" s="29"/>
      <c r="H1615" s="29"/>
      <c r="I1615" s="29"/>
      <c r="J1615" s="29"/>
      <c r="K1615" s="29"/>
      <c r="L1615" s="29"/>
      <c r="M1615" s="29"/>
      <c r="N1615" s="29"/>
      <c r="O1615" s="29"/>
      <c r="P1615" s="29"/>
      <c r="Q1615" s="29"/>
    </row>
    <row r="1616" spans="1:17">
      <c r="A1616" s="29"/>
      <c r="B1616" s="29"/>
      <c r="C1616" s="29"/>
      <c r="D1616" s="29"/>
      <c r="E1616" s="29"/>
      <c r="F1616" s="29"/>
      <c r="G1616" s="29"/>
      <c r="H1616" s="29"/>
      <c r="I1616" s="29"/>
      <c r="J1616" s="29"/>
      <c r="K1616" s="29"/>
      <c r="L1616" s="29"/>
      <c r="M1616" s="29"/>
      <c r="N1616" s="29"/>
      <c r="O1616" s="29"/>
      <c r="P1616" s="29"/>
      <c r="Q1616" s="29"/>
    </row>
    <row r="1617" spans="1:17">
      <c r="A1617" s="29"/>
      <c r="B1617" s="29"/>
      <c r="C1617" s="29"/>
      <c r="D1617" s="29"/>
      <c r="E1617" s="29"/>
      <c r="F1617" s="29"/>
      <c r="G1617" s="29"/>
      <c r="H1617" s="29"/>
      <c r="I1617" s="29"/>
      <c r="J1617" s="29"/>
      <c r="K1617" s="29"/>
      <c r="L1617" s="29"/>
      <c r="M1617" s="29"/>
      <c r="N1617" s="29"/>
      <c r="O1617" s="29"/>
      <c r="P1617" s="29"/>
      <c r="Q1617" s="29"/>
    </row>
    <row r="1618" spans="1:17">
      <c r="A1618" s="29"/>
      <c r="B1618" s="29"/>
      <c r="C1618" s="29"/>
      <c r="D1618" s="29"/>
      <c r="E1618" s="29"/>
      <c r="F1618" s="29"/>
      <c r="G1618" s="29"/>
      <c r="H1618" s="29"/>
      <c r="I1618" s="29"/>
      <c r="J1618" s="29"/>
      <c r="K1618" s="29"/>
      <c r="L1618" s="29"/>
      <c r="M1618" s="29"/>
      <c r="N1618" s="29"/>
      <c r="O1618" s="29"/>
      <c r="P1618" s="29"/>
      <c r="Q1618" s="29"/>
    </row>
    <row r="1619" spans="1:17">
      <c r="A1619" s="29"/>
      <c r="B1619" s="29"/>
      <c r="C1619" s="29"/>
      <c r="D1619" s="29"/>
      <c r="E1619" s="29"/>
      <c r="F1619" s="29"/>
      <c r="G1619" s="29"/>
      <c r="H1619" s="29"/>
      <c r="I1619" s="29"/>
      <c r="J1619" s="29"/>
      <c r="K1619" s="29"/>
      <c r="L1619" s="29"/>
      <c r="M1619" s="29"/>
      <c r="N1619" s="29"/>
      <c r="O1619" s="29"/>
      <c r="P1619" s="29"/>
      <c r="Q1619" s="29"/>
    </row>
    <row r="1620" spans="1:17">
      <c r="A1620" s="29"/>
      <c r="B1620" s="29"/>
      <c r="C1620" s="29"/>
      <c r="D1620" s="29"/>
      <c r="E1620" s="29"/>
      <c r="F1620" s="29"/>
      <c r="G1620" s="29"/>
      <c r="H1620" s="29"/>
      <c r="I1620" s="29"/>
      <c r="J1620" s="29"/>
      <c r="K1620" s="29"/>
      <c r="L1620" s="29"/>
      <c r="M1620" s="29"/>
      <c r="N1620" s="29"/>
      <c r="O1620" s="29"/>
      <c r="P1620" s="29"/>
      <c r="Q1620" s="29"/>
    </row>
    <row r="1621" spans="1:17">
      <c r="A1621" s="29"/>
      <c r="B1621" s="29"/>
      <c r="C1621" s="29"/>
      <c r="D1621" s="29"/>
      <c r="E1621" s="29"/>
      <c r="F1621" s="29"/>
      <c r="G1621" s="29"/>
      <c r="H1621" s="29"/>
      <c r="I1621" s="29"/>
      <c r="J1621" s="29"/>
      <c r="K1621" s="29"/>
      <c r="L1621" s="29"/>
      <c r="M1621" s="29"/>
      <c r="N1621" s="29"/>
      <c r="O1621" s="29"/>
      <c r="P1621" s="29"/>
      <c r="Q1621" s="29"/>
    </row>
    <row r="1622" spans="1:17">
      <c r="A1622" s="29"/>
      <c r="B1622" s="29"/>
      <c r="C1622" s="29"/>
      <c r="D1622" s="29"/>
      <c r="E1622" s="29"/>
      <c r="F1622" s="29"/>
      <c r="G1622" s="29"/>
      <c r="H1622" s="29"/>
      <c r="I1622" s="29"/>
      <c r="J1622" s="29"/>
      <c r="K1622" s="29"/>
      <c r="L1622" s="29"/>
      <c r="M1622" s="29"/>
      <c r="N1622" s="29"/>
      <c r="O1622" s="29"/>
      <c r="P1622" s="29"/>
      <c r="Q1622" s="29"/>
    </row>
    <row r="1623" spans="1:17">
      <c r="A1623" s="29"/>
      <c r="B1623" s="29"/>
      <c r="C1623" s="29"/>
      <c r="D1623" s="29"/>
      <c r="E1623" s="29"/>
      <c r="F1623" s="29"/>
      <c r="G1623" s="29"/>
      <c r="H1623" s="29"/>
      <c r="I1623" s="29"/>
      <c r="J1623" s="29"/>
      <c r="K1623" s="29"/>
      <c r="L1623" s="29"/>
      <c r="M1623" s="29"/>
      <c r="N1623" s="29"/>
      <c r="O1623" s="29"/>
      <c r="P1623" s="29"/>
      <c r="Q1623" s="29"/>
    </row>
    <row r="1624" spans="1:17">
      <c r="A1624" s="29"/>
      <c r="B1624" s="29"/>
      <c r="C1624" s="29"/>
      <c r="D1624" s="29"/>
      <c r="E1624" s="29"/>
      <c r="F1624" s="29"/>
      <c r="G1624" s="29"/>
      <c r="H1624" s="29"/>
      <c r="I1624" s="29"/>
      <c r="J1624" s="29"/>
      <c r="K1624" s="29"/>
      <c r="L1624" s="29"/>
      <c r="M1624" s="29"/>
      <c r="N1624" s="29"/>
      <c r="O1624" s="29"/>
      <c r="P1624" s="29"/>
      <c r="Q1624" s="29"/>
    </row>
    <row r="1625" spans="1:17">
      <c r="A1625" s="29"/>
      <c r="B1625" s="29"/>
      <c r="C1625" s="29"/>
      <c r="D1625" s="29"/>
      <c r="E1625" s="29"/>
      <c r="F1625" s="29"/>
      <c r="G1625" s="29"/>
      <c r="H1625" s="29"/>
      <c r="I1625" s="29"/>
      <c r="J1625" s="29"/>
      <c r="K1625" s="29"/>
      <c r="L1625" s="29"/>
      <c r="M1625" s="29"/>
      <c r="N1625" s="29"/>
      <c r="O1625" s="29"/>
      <c r="P1625" s="29"/>
      <c r="Q1625" s="29"/>
    </row>
    <row r="1626" spans="1:17">
      <c r="A1626" s="29"/>
      <c r="B1626" s="29"/>
      <c r="C1626" s="29"/>
      <c r="D1626" s="29"/>
      <c r="E1626" s="29"/>
      <c r="F1626" s="29"/>
      <c r="G1626" s="29"/>
      <c r="H1626" s="29"/>
      <c r="I1626" s="29"/>
      <c r="J1626" s="29"/>
      <c r="K1626" s="29"/>
      <c r="L1626" s="29"/>
      <c r="M1626" s="29"/>
      <c r="N1626" s="29"/>
      <c r="O1626" s="29"/>
      <c r="P1626" s="29"/>
      <c r="Q1626" s="29"/>
    </row>
    <row r="1627" spans="1:17">
      <c r="A1627" s="29"/>
      <c r="B1627" s="29"/>
      <c r="C1627" s="29"/>
      <c r="D1627" s="29"/>
      <c r="E1627" s="29"/>
      <c r="F1627" s="29"/>
      <c r="G1627" s="29"/>
      <c r="H1627" s="29"/>
      <c r="I1627" s="29"/>
      <c r="J1627" s="29"/>
      <c r="K1627" s="29"/>
      <c r="L1627" s="29"/>
      <c r="M1627" s="29"/>
      <c r="N1627" s="29"/>
      <c r="O1627" s="29"/>
      <c r="P1627" s="29"/>
      <c r="Q1627" s="29"/>
    </row>
    <row r="1628" spans="1:17">
      <c r="A1628" s="29"/>
      <c r="B1628" s="29"/>
      <c r="C1628" s="29"/>
      <c r="D1628" s="29"/>
      <c r="E1628" s="29"/>
      <c r="F1628" s="29"/>
      <c r="G1628" s="29"/>
      <c r="H1628" s="29"/>
      <c r="I1628" s="29"/>
      <c r="J1628" s="29"/>
      <c r="K1628" s="29"/>
      <c r="L1628" s="29"/>
      <c r="M1628" s="29"/>
      <c r="N1628" s="29"/>
      <c r="O1628" s="29"/>
      <c r="P1628" s="29"/>
      <c r="Q1628" s="29"/>
    </row>
    <row r="1629" spans="1:17">
      <c r="A1629" s="29"/>
      <c r="B1629" s="29"/>
      <c r="C1629" s="29"/>
      <c r="D1629" s="29"/>
      <c r="E1629" s="29"/>
      <c r="F1629" s="29"/>
      <c r="G1629" s="29"/>
      <c r="H1629" s="29"/>
      <c r="I1629" s="29"/>
      <c r="J1629" s="29"/>
      <c r="K1629" s="29"/>
      <c r="L1629" s="29"/>
      <c r="M1629" s="29"/>
      <c r="N1629" s="29"/>
      <c r="O1629" s="29"/>
      <c r="P1629" s="29"/>
      <c r="Q1629" s="29"/>
    </row>
    <row r="1630" spans="1:17">
      <c r="A1630" s="29"/>
      <c r="B1630" s="29"/>
      <c r="C1630" s="29"/>
      <c r="D1630" s="29"/>
      <c r="E1630" s="29"/>
      <c r="F1630" s="29"/>
      <c r="G1630" s="29"/>
      <c r="H1630" s="29"/>
      <c r="I1630" s="29"/>
      <c r="J1630" s="29"/>
      <c r="K1630" s="29"/>
      <c r="L1630" s="29"/>
      <c r="M1630" s="29"/>
      <c r="N1630" s="29"/>
      <c r="O1630" s="29"/>
      <c r="P1630" s="29"/>
      <c r="Q1630" s="29"/>
    </row>
    <row r="1631" spans="1:17">
      <c r="A1631" s="29"/>
      <c r="B1631" s="29"/>
      <c r="C1631" s="29"/>
      <c r="D1631" s="29"/>
      <c r="E1631" s="29"/>
      <c r="F1631" s="29"/>
      <c r="G1631" s="29"/>
      <c r="H1631" s="29"/>
      <c r="I1631" s="29"/>
      <c r="J1631" s="29"/>
      <c r="K1631" s="29"/>
      <c r="L1631" s="29"/>
      <c r="M1631" s="29"/>
      <c r="N1631" s="29"/>
      <c r="O1631" s="29"/>
      <c r="P1631" s="29"/>
      <c r="Q1631" s="29"/>
    </row>
    <row r="1632" spans="1:17">
      <c r="A1632" s="29"/>
      <c r="B1632" s="29"/>
      <c r="C1632" s="29"/>
      <c r="D1632" s="29"/>
      <c r="E1632" s="29"/>
      <c r="F1632" s="29"/>
      <c r="G1632" s="29"/>
      <c r="H1632" s="29"/>
      <c r="I1632" s="29"/>
      <c r="J1632" s="29"/>
      <c r="K1632" s="29"/>
      <c r="L1632" s="29"/>
      <c r="M1632" s="29"/>
      <c r="N1632" s="29"/>
      <c r="O1632" s="29"/>
      <c r="P1632" s="29"/>
      <c r="Q1632" s="29"/>
    </row>
    <row r="1633" spans="1:17">
      <c r="A1633" s="29"/>
      <c r="B1633" s="29"/>
      <c r="C1633" s="29"/>
      <c r="D1633" s="29"/>
      <c r="E1633" s="29"/>
      <c r="F1633" s="29"/>
      <c r="G1633" s="29"/>
      <c r="H1633" s="29"/>
      <c r="I1633" s="29"/>
      <c r="J1633" s="29"/>
      <c r="K1633" s="29"/>
      <c r="L1633" s="29"/>
      <c r="M1633" s="29"/>
      <c r="N1633" s="29"/>
      <c r="O1633" s="29"/>
      <c r="P1633" s="29"/>
      <c r="Q1633" s="29"/>
    </row>
    <row r="1634" spans="1:17">
      <c r="A1634" s="29"/>
      <c r="B1634" s="29"/>
      <c r="C1634" s="29"/>
      <c r="D1634" s="29"/>
      <c r="E1634" s="29"/>
      <c r="F1634" s="29"/>
      <c r="G1634" s="29"/>
      <c r="H1634" s="29"/>
      <c r="I1634" s="29"/>
      <c r="J1634" s="29"/>
      <c r="K1634" s="29"/>
      <c r="L1634" s="29"/>
      <c r="M1634" s="29"/>
      <c r="N1634" s="29"/>
      <c r="O1634" s="29"/>
      <c r="P1634" s="29"/>
      <c r="Q1634" s="29"/>
    </row>
    <row r="1635" spans="1:17">
      <c r="A1635" s="29"/>
      <c r="B1635" s="29"/>
      <c r="C1635" s="29"/>
      <c r="D1635" s="29"/>
      <c r="E1635" s="29"/>
      <c r="F1635" s="29"/>
      <c r="G1635" s="29"/>
      <c r="H1635" s="29"/>
      <c r="I1635" s="29"/>
      <c r="J1635" s="29"/>
      <c r="K1635" s="29"/>
      <c r="L1635" s="29"/>
      <c r="M1635" s="29"/>
      <c r="N1635" s="29"/>
      <c r="O1635" s="29"/>
      <c r="P1635" s="29"/>
      <c r="Q1635" s="29"/>
    </row>
    <row r="1636" spans="1:17">
      <c r="A1636" s="29"/>
      <c r="B1636" s="29"/>
      <c r="C1636" s="29"/>
      <c r="D1636" s="29"/>
      <c r="E1636" s="29"/>
      <c r="F1636" s="29"/>
      <c r="G1636" s="29"/>
      <c r="H1636" s="29"/>
      <c r="I1636" s="29"/>
      <c r="J1636" s="29"/>
      <c r="K1636" s="29"/>
      <c r="L1636" s="29"/>
      <c r="M1636" s="29"/>
      <c r="N1636" s="29"/>
      <c r="O1636" s="29"/>
      <c r="P1636" s="29"/>
      <c r="Q1636" s="29"/>
    </row>
    <row r="1637" spans="1:17">
      <c r="A1637" s="29"/>
      <c r="B1637" s="29"/>
      <c r="C1637" s="29"/>
      <c r="D1637" s="29"/>
      <c r="E1637" s="29"/>
      <c r="F1637" s="29"/>
      <c r="G1637" s="29"/>
      <c r="H1637" s="29"/>
      <c r="I1637" s="29"/>
      <c r="J1637" s="29"/>
      <c r="K1637" s="29"/>
      <c r="L1637" s="29"/>
      <c r="M1637" s="29"/>
      <c r="N1637" s="29"/>
      <c r="O1637" s="29"/>
      <c r="P1637" s="29"/>
      <c r="Q1637" s="29"/>
    </row>
    <row r="1638" spans="1:17">
      <c r="A1638" s="29"/>
      <c r="B1638" s="29"/>
      <c r="C1638" s="29"/>
      <c r="D1638" s="29"/>
      <c r="E1638" s="29"/>
      <c r="F1638" s="29"/>
      <c r="G1638" s="29"/>
      <c r="H1638" s="29"/>
      <c r="I1638" s="29"/>
      <c r="J1638" s="29"/>
      <c r="K1638" s="29"/>
      <c r="L1638" s="29"/>
      <c r="M1638" s="29"/>
      <c r="N1638" s="29"/>
      <c r="O1638" s="29"/>
      <c r="P1638" s="29"/>
      <c r="Q1638" s="29"/>
    </row>
    <row r="1639" spans="1:17">
      <c r="A1639" s="29"/>
      <c r="B1639" s="29"/>
      <c r="C1639" s="29"/>
      <c r="D1639" s="29"/>
      <c r="E1639" s="29"/>
      <c r="F1639" s="29"/>
      <c r="G1639" s="29"/>
      <c r="H1639" s="29"/>
      <c r="I1639" s="29"/>
      <c r="J1639" s="29"/>
      <c r="K1639" s="29"/>
      <c r="L1639" s="29"/>
      <c r="M1639" s="29"/>
      <c r="N1639" s="29"/>
      <c r="O1639" s="29"/>
      <c r="P1639" s="29"/>
      <c r="Q1639" s="29"/>
    </row>
    <row r="1640" spans="1:17">
      <c r="A1640" s="29"/>
      <c r="B1640" s="29"/>
      <c r="C1640" s="29"/>
      <c r="D1640" s="29"/>
      <c r="E1640" s="29"/>
      <c r="F1640" s="29"/>
      <c r="G1640" s="29"/>
      <c r="H1640" s="29"/>
      <c r="I1640" s="29"/>
      <c r="J1640" s="29"/>
      <c r="K1640" s="29"/>
      <c r="L1640" s="29"/>
      <c r="M1640" s="29"/>
      <c r="N1640" s="29"/>
      <c r="O1640" s="29"/>
      <c r="P1640" s="29"/>
      <c r="Q1640" s="29"/>
    </row>
    <row r="1641" spans="1:17">
      <c r="A1641" s="29"/>
      <c r="B1641" s="29"/>
      <c r="C1641" s="29"/>
      <c r="D1641" s="29"/>
      <c r="E1641" s="29"/>
      <c r="F1641" s="29"/>
      <c r="G1641" s="29"/>
      <c r="H1641" s="29"/>
      <c r="I1641" s="29"/>
      <c r="J1641" s="29"/>
      <c r="K1641" s="29"/>
      <c r="L1641" s="29"/>
      <c r="M1641" s="29"/>
      <c r="N1641" s="29"/>
      <c r="O1641" s="29"/>
      <c r="P1641" s="29"/>
      <c r="Q1641" s="29"/>
    </row>
    <row r="1642" spans="1:17">
      <c r="A1642" s="29"/>
      <c r="B1642" s="29"/>
      <c r="C1642" s="29"/>
      <c r="D1642" s="29"/>
      <c r="E1642" s="29"/>
      <c r="F1642" s="29"/>
      <c r="G1642" s="29"/>
      <c r="H1642" s="29"/>
      <c r="I1642" s="29"/>
      <c r="J1642" s="29"/>
      <c r="K1642" s="29"/>
      <c r="L1642" s="29"/>
      <c r="M1642" s="29"/>
      <c r="N1642" s="29"/>
      <c r="O1642" s="29"/>
      <c r="P1642" s="29"/>
      <c r="Q1642" s="29"/>
    </row>
    <row r="1643" spans="1:17">
      <c r="A1643" s="29"/>
      <c r="B1643" s="29"/>
      <c r="C1643" s="29"/>
      <c r="D1643" s="29"/>
      <c r="E1643" s="29"/>
      <c r="F1643" s="29"/>
      <c r="G1643" s="29"/>
      <c r="H1643" s="29"/>
      <c r="I1643" s="29"/>
      <c r="J1643" s="29"/>
      <c r="K1643" s="29"/>
      <c r="L1643" s="29"/>
      <c r="M1643" s="29"/>
      <c r="N1643" s="29"/>
      <c r="O1643" s="29"/>
      <c r="P1643" s="29"/>
      <c r="Q1643" s="29"/>
    </row>
    <row r="1644" spans="1:17">
      <c r="A1644" s="29"/>
      <c r="B1644" s="29"/>
      <c r="C1644" s="29"/>
      <c r="D1644" s="29"/>
      <c r="E1644" s="29"/>
      <c r="F1644" s="29"/>
      <c r="G1644" s="29"/>
      <c r="H1644" s="29"/>
      <c r="I1644" s="29"/>
      <c r="J1644" s="29"/>
      <c r="K1644" s="29"/>
      <c r="L1644" s="29"/>
      <c r="M1644" s="29"/>
      <c r="N1644" s="29"/>
      <c r="O1644" s="29"/>
      <c r="P1644" s="29"/>
      <c r="Q1644" s="29"/>
    </row>
    <row r="1645" spans="1:17">
      <c r="A1645" s="29"/>
      <c r="B1645" s="29"/>
      <c r="C1645" s="29"/>
      <c r="D1645" s="29"/>
      <c r="E1645" s="29"/>
      <c r="F1645" s="29"/>
      <c r="G1645" s="29"/>
      <c r="H1645" s="29"/>
      <c r="I1645" s="29"/>
      <c r="J1645" s="29"/>
      <c r="K1645" s="29"/>
      <c r="L1645" s="29"/>
      <c r="M1645" s="29"/>
      <c r="N1645" s="29"/>
      <c r="O1645" s="29"/>
      <c r="P1645" s="29"/>
      <c r="Q1645" s="29"/>
    </row>
    <row r="1646" spans="1:17">
      <c r="A1646" s="29"/>
      <c r="B1646" s="29"/>
      <c r="C1646" s="29"/>
      <c r="D1646" s="29"/>
      <c r="E1646" s="29"/>
      <c r="F1646" s="29"/>
      <c r="G1646" s="29"/>
      <c r="H1646" s="29"/>
      <c r="I1646" s="29"/>
      <c r="J1646" s="29"/>
      <c r="K1646" s="29"/>
      <c r="L1646" s="29"/>
      <c r="M1646" s="29"/>
      <c r="N1646" s="29"/>
      <c r="O1646" s="29"/>
      <c r="P1646" s="29"/>
      <c r="Q1646" s="29"/>
    </row>
    <row r="1647" spans="1:17">
      <c r="A1647" s="29"/>
      <c r="B1647" s="29"/>
      <c r="C1647" s="29"/>
      <c r="D1647" s="29"/>
      <c r="E1647" s="29"/>
      <c r="F1647" s="29"/>
      <c r="G1647" s="29"/>
      <c r="H1647" s="29"/>
      <c r="I1647" s="29"/>
      <c r="J1647" s="29"/>
      <c r="K1647" s="29"/>
      <c r="L1647" s="29"/>
      <c r="M1647" s="29"/>
      <c r="N1647" s="29"/>
      <c r="O1647" s="29"/>
      <c r="P1647" s="29"/>
      <c r="Q1647" s="29"/>
    </row>
    <row r="1648" spans="1:17">
      <c r="A1648" s="29"/>
      <c r="B1648" s="29"/>
      <c r="C1648" s="29"/>
      <c r="D1648" s="29"/>
      <c r="E1648" s="29"/>
      <c r="F1648" s="29"/>
      <c r="G1648" s="29"/>
      <c r="H1648" s="29"/>
      <c r="I1648" s="29"/>
      <c r="J1648" s="29"/>
      <c r="K1648" s="29"/>
      <c r="L1648" s="29"/>
      <c r="M1648" s="29"/>
      <c r="N1648" s="29"/>
      <c r="O1648" s="29"/>
      <c r="P1648" s="29"/>
      <c r="Q1648" s="29"/>
    </row>
    <row r="1649" spans="1:17">
      <c r="A1649" s="29"/>
      <c r="B1649" s="29"/>
      <c r="C1649" s="29"/>
      <c r="D1649" s="29"/>
      <c r="E1649" s="29"/>
      <c r="F1649" s="29"/>
      <c r="G1649" s="29"/>
      <c r="H1649" s="29"/>
      <c r="I1649" s="29"/>
      <c r="J1649" s="29"/>
      <c r="K1649" s="29"/>
      <c r="L1649" s="29"/>
      <c r="M1649" s="29"/>
      <c r="N1649" s="29"/>
      <c r="O1649" s="29"/>
      <c r="P1649" s="29"/>
      <c r="Q1649" s="29"/>
    </row>
    <row r="1650" spans="1:17">
      <c r="A1650" s="29"/>
      <c r="B1650" s="29"/>
      <c r="C1650" s="29"/>
      <c r="D1650" s="29"/>
      <c r="E1650" s="29"/>
      <c r="F1650" s="29"/>
      <c r="G1650" s="29"/>
      <c r="H1650" s="29"/>
      <c r="I1650" s="29"/>
      <c r="J1650" s="29"/>
      <c r="K1650" s="29"/>
      <c r="L1650" s="29"/>
      <c r="M1650" s="29"/>
      <c r="N1650" s="29"/>
      <c r="O1650" s="29"/>
      <c r="P1650" s="29"/>
      <c r="Q1650" s="29"/>
    </row>
    <row r="1651" spans="1:17">
      <c r="A1651" s="29"/>
      <c r="B1651" s="29"/>
      <c r="C1651" s="29"/>
      <c r="D1651" s="29"/>
      <c r="E1651" s="29"/>
      <c r="F1651" s="29"/>
      <c r="G1651" s="29"/>
      <c r="H1651" s="29"/>
      <c r="I1651" s="29"/>
      <c r="J1651" s="29"/>
      <c r="K1651" s="29"/>
      <c r="L1651" s="29"/>
      <c r="M1651" s="29"/>
      <c r="N1651" s="29"/>
      <c r="O1651" s="29"/>
      <c r="P1651" s="29"/>
      <c r="Q1651" s="29"/>
    </row>
    <row r="1652" spans="1:17">
      <c r="A1652" s="29"/>
      <c r="B1652" s="29"/>
      <c r="C1652" s="29"/>
      <c r="D1652" s="29"/>
      <c r="E1652" s="29"/>
      <c r="F1652" s="29"/>
      <c r="G1652" s="29"/>
      <c r="H1652" s="29"/>
      <c r="I1652" s="29"/>
      <c r="J1652" s="29"/>
      <c r="K1652" s="29"/>
      <c r="L1652" s="29"/>
      <c r="M1652" s="29"/>
      <c r="N1652" s="29"/>
      <c r="O1652" s="29"/>
      <c r="P1652" s="29"/>
      <c r="Q1652" s="29"/>
    </row>
    <row r="1653" spans="1:17">
      <c r="A1653" s="29"/>
      <c r="B1653" s="29"/>
      <c r="C1653" s="29"/>
      <c r="D1653" s="29"/>
      <c r="E1653" s="29"/>
      <c r="F1653" s="29"/>
      <c r="G1653" s="29"/>
      <c r="H1653" s="29"/>
      <c r="I1653" s="29"/>
      <c r="J1653" s="29"/>
      <c r="K1653" s="29"/>
      <c r="L1653" s="29"/>
      <c r="M1653" s="29"/>
      <c r="N1653" s="29"/>
      <c r="O1653" s="29"/>
      <c r="P1653" s="29"/>
      <c r="Q1653" s="29"/>
    </row>
    <row r="1654" spans="1:17">
      <c r="A1654" s="29"/>
      <c r="B1654" s="29"/>
      <c r="C1654" s="29"/>
      <c r="D1654" s="29"/>
      <c r="E1654" s="29"/>
      <c r="F1654" s="29"/>
      <c r="G1654" s="29"/>
      <c r="H1654" s="29"/>
      <c r="I1654" s="29"/>
      <c r="J1654" s="29"/>
      <c r="K1654" s="29"/>
      <c r="L1654" s="29"/>
      <c r="M1654" s="29"/>
      <c r="N1654" s="29"/>
      <c r="O1654" s="29"/>
      <c r="P1654" s="29"/>
      <c r="Q1654" s="29"/>
    </row>
    <row r="1655" spans="1:17">
      <c r="A1655" s="29"/>
      <c r="B1655" s="29"/>
      <c r="C1655" s="29"/>
      <c r="D1655" s="29"/>
      <c r="E1655" s="29"/>
      <c r="F1655" s="29"/>
      <c r="G1655" s="29"/>
      <c r="H1655" s="29"/>
      <c r="I1655" s="29"/>
      <c r="J1655" s="29"/>
      <c r="K1655" s="29"/>
      <c r="L1655" s="29"/>
      <c r="M1655" s="29"/>
      <c r="N1655" s="29"/>
      <c r="O1655" s="29"/>
      <c r="P1655" s="29"/>
      <c r="Q1655" s="29"/>
    </row>
    <row r="1656" spans="1:17">
      <c r="A1656" s="29"/>
      <c r="B1656" s="29"/>
      <c r="C1656" s="29"/>
      <c r="D1656" s="29"/>
      <c r="E1656" s="29"/>
      <c r="F1656" s="29"/>
      <c r="G1656" s="29"/>
      <c r="H1656" s="29"/>
      <c r="I1656" s="29"/>
      <c r="J1656" s="29"/>
      <c r="K1656" s="29"/>
      <c r="L1656" s="29"/>
      <c r="M1656" s="29"/>
      <c r="N1656" s="29"/>
      <c r="O1656" s="29"/>
      <c r="P1656" s="29"/>
      <c r="Q1656" s="29"/>
    </row>
    <row r="1657" spans="1:17">
      <c r="A1657" s="29"/>
      <c r="B1657" s="29"/>
      <c r="C1657" s="29"/>
      <c r="D1657" s="29"/>
      <c r="E1657" s="29"/>
      <c r="F1657" s="29"/>
      <c r="G1657" s="29"/>
      <c r="H1657" s="29"/>
      <c r="I1657" s="29"/>
      <c r="J1657" s="29"/>
      <c r="K1657" s="29"/>
      <c r="L1657" s="29"/>
      <c r="M1657" s="29"/>
      <c r="N1657" s="29"/>
      <c r="O1657" s="29"/>
      <c r="P1657" s="29"/>
      <c r="Q1657" s="29"/>
    </row>
    <row r="1658" spans="1:17">
      <c r="A1658" s="29"/>
      <c r="B1658" s="29"/>
      <c r="C1658" s="29"/>
      <c r="D1658" s="29"/>
      <c r="E1658" s="29"/>
      <c r="F1658" s="29"/>
      <c r="G1658" s="29"/>
      <c r="H1658" s="29"/>
      <c r="I1658" s="29"/>
      <c r="J1658" s="29"/>
      <c r="K1658" s="29"/>
      <c r="L1658" s="29"/>
      <c r="M1658" s="29"/>
      <c r="N1658" s="29"/>
      <c r="O1658" s="29"/>
      <c r="P1658" s="29"/>
      <c r="Q1658" s="29"/>
    </row>
    <row r="1659" spans="1:17">
      <c r="A1659" s="29"/>
      <c r="B1659" s="29"/>
      <c r="C1659" s="29"/>
      <c r="D1659" s="29"/>
      <c r="E1659" s="29"/>
      <c r="F1659" s="29"/>
      <c r="G1659" s="29"/>
      <c r="H1659" s="29"/>
      <c r="I1659" s="29"/>
      <c r="J1659" s="29"/>
      <c r="K1659" s="29"/>
      <c r="L1659" s="29"/>
      <c r="M1659" s="29"/>
      <c r="N1659" s="29"/>
      <c r="O1659" s="29"/>
      <c r="P1659" s="29"/>
      <c r="Q1659" s="29"/>
    </row>
    <row r="1660" spans="1:17">
      <c r="A1660" s="29"/>
      <c r="B1660" s="29"/>
      <c r="C1660" s="29"/>
      <c r="D1660" s="29"/>
      <c r="E1660" s="29"/>
      <c r="F1660" s="29"/>
      <c r="G1660" s="29"/>
      <c r="H1660" s="29"/>
      <c r="I1660" s="29"/>
      <c r="J1660" s="29"/>
      <c r="K1660" s="29"/>
      <c r="L1660" s="29"/>
      <c r="M1660" s="29"/>
      <c r="N1660" s="29"/>
      <c r="O1660" s="29"/>
      <c r="P1660" s="29"/>
      <c r="Q1660" s="29"/>
    </row>
    <row r="1661" spans="1:17">
      <c r="A1661" s="29"/>
      <c r="B1661" s="29"/>
      <c r="C1661" s="29"/>
      <c r="D1661" s="29"/>
      <c r="E1661" s="29"/>
      <c r="F1661" s="29"/>
      <c r="G1661" s="29"/>
      <c r="H1661" s="29"/>
      <c r="I1661" s="29"/>
      <c r="J1661" s="29"/>
      <c r="K1661" s="29"/>
      <c r="L1661" s="29"/>
      <c r="M1661" s="29"/>
      <c r="N1661" s="29"/>
      <c r="O1661" s="29"/>
      <c r="P1661" s="29"/>
      <c r="Q1661" s="29"/>
    </row>
    <row r="1662" spans="1:17">
      <c r="A1662" s="29"/>
      <c r="B1662" s="29"/>
      <c r="C1662" s="29"/>
      <c r="D1662" s="29"/>
      <c r="E1662" s="29"/>
      <c r="F1662" s="29"/>
      <c r="G1662" s="29"/>
      <c r="H1662" s="29"/>
      <c r="I1662" s="29"/>
      <c r="J1662" s="29"/>
      <c r="K1662" s="29"/>
      <c r="L1662" s="29"/>
      <c r="M1662" s="29"/>
      <c r="N1662" s="29"/>
      <c r="O1662" s="29"/>
      <c r="P1662" s="29"/>
      <c r="Q1662" s="29"/>
    </row>
    <row r="1663" spans="1:17">
      <c r="A1663" s="29"/>
      <c r="B1663" s="29"/>
      <c r="C1663" s="29"/>
      <c r="D1663" s="29"/>
      <c r="E1663" s="29"/>
      <c r="F1663" s="29"/>
      <c r="G1663" s="29"/>
      <c r="H1663" s="29"/>
      <c r="I1663" s="29"/>
      <c r="J1663" s="29"/>
      <c r="K1663" s="29"/>
      <c r="L1663" s="29"/>
      <c r="M1663" s="29"/>
      <c r="N1663" s="29"/>
      <c r="O1663" s="29"/>
      <c r="P1663" s="29"/>
      <c r="Q1663" s="29"/>
    </row>
    <row r="1664" spans="1:17">
      <c r="A1664" s="29"/>
      <c r="B1664" s="29"/>
      <c r="C1664" s="29"/>
      <c r="D1664" s="29"/>
      <c r="E1664" s="29"/>
      <c r="F1664" s="29"/>
      <c r="G1664" s="29"/>
      <c r="H1664" s="29"/>
      <c r="I1664" s="29"/>
      <c r="J1664" s="29"/>
      <c r="K1664" s="29"/>
      <c r="L1664" s="29"/>
      <c r="M1664" s="29"/>
      <c r="N1664" s="29"/>
      <c r="O1664" s="29"/>
      <c r="P1664" s="29"/>
      <c r="Q1664" s="29"/>
    </row>
    <row r="1665" spans="1:17">
      <c r="A1665" s="29"/>
      <c r="B1665" s="29"/>
      <c r="C1665" s="29"/>
      <c r="D1665" s="29"/>
      <c r="E1665" s="29"/>
      <c r="F1665" s="29"/>
      <c r="G1665" s="29"/>
      <c r="H1665" s="29"/>
      <c r="I1665" s="29"/>
      <c r="J1665" s="29"/>
      <c r="K1665" s="29"/>
      <c r="L1665" s="29"/>
      <c r="M1665" s="29"/>
      <c r="N1665" s="29"/>
      <c r="O1665" s="29"/>
      <c r="P1665" s="29"/>
      <c r="Q1665" s="29"/>
    </row>
    <row r="1666" spans="1:17">
      <c r="A1666" s="29"/>
      <c r="B1666" s="29"/>
      <c r="C1666" s="29"/>
      <c r="D1666" s="29"/>
      <c r="E1666" s="29"/>
      <c r="F1666" s="29"/>
      <c r="G1666" s="29"/>
      <c r="H1666" s="29"/>
      <c r="I1666" s="29"/>
      <c r="J1666" s="29"/>
      <c r="K1666" s="29"/>
      <c r="L1666" s="29"/>
      <c r="M1666" s="29"/>
      <c r="N1666" s="29"/>
      <c r="O1666" s="29"/>
      <c r="P1666" s="29"/>
      <c r="Q1666" s="29"/>
    </row>
    <row r="1667" spans="1:17">
      <c r="A1667" s="29"/>
      <c r="B1667" s="29"/>
      <c r="C1667" s="29"/>
      <c r="D1667" s="29"/>
      <c r="E1667" s="29"/>
      <c r="F1667" s="29"/>
      <c r="G1667" s="29"/>
      <c r="H1667" s="29"/>
      <c r="I1667" s="29"/>
      <c r="J1667" s="29"/>
      <c r="K1667" s="29"/>
      <c r="L1667" s="29"/>
      <c r="M1667" s="29"/>
      <c r="N1667" s="29"/>
      <c r="O1667" s="29"/>
      <c r="P1667" s="29"/>
      <c r="Q1667" s="29"/>
    </row>
    <row r="1668" spans="1:17">
      <c r="A1668" s="29"/>
      <c r="B1668" s="29"/>
      <c r="C1668" s="29"/>
      <c r="D1668" s="29"/>
      <c r="E1668" s="29"/>
      <c r="F1668" s="29"/>
      <c r="G1668" s="29"/>
      <c r="H1668" s="29"/>
      <c r="I1668" s="29"/>
      <c r="J1668" s="29"/>
      <c r="K1668" s="29"/>
      <c r="L1668" s="29"/>
      <c r="M1668" s="29"/>
      <c r="N1668" s="29"/>
      <c r="O1668" s="29"/>
      <c r="P1668" s="29"/>
      <c r="Q1668" s="29"/>
    </row>
    <row r="1669" spans="1:17">
      <c r="A1669" s="29"/>
      <c r="B1669" s="29"/>
      <c r="C1669" s="29"/>
      <c r="D1669" s="29"/>
      <c r="E1669" s="29"/>
      <c r="F1669" s="29"/>
      <c r="G1669" s="29"/>
      <c r="H1669" s="29"/>
      <c r="I1669" s="29"/>
      <c r="J1669" s="29"/>
      <c r="K1669" s="29"/>
      <c r="L1669" s="29"/>
      <c r="M1669" s="29"/>
      <c r="N1669" s="29"/>
      <c r="O1669" s="29"/>
      <c r="P1669" s="29"/>
      <c r="Q1669" s="29"/>
    </row>
    <row r="1670" spans="1:17">
      <c r="A1670" s="29"/>
      <c r="B1670" s="29"/>
      <c r="C1670" s="29"/>
      <c r="D1670" s="29"/>
      <c r="E1670" s="29"/>
      <c r="F1670" s="29"/>
      <c r="G1670" s="29"/>
      <c r="H1670" s="29"/>
      <c r="I1670" s="29"/>
      <c r="J1670" s="29"/>
      <c r="K1670" s="29"/>
      <c r="L1670" s="29"/>
      <c r="M1670" s="29"/>
      <c r="N1670" s="29"/>
      <c r="O1670" s="29"/>
      <c r="P1670" s="29"/>
      <c r="Q1670" s="29"/>
    </row>
    <row r="1671" spans="1:17">
      <c r="A1671" s="29"/>
      <c r="B1671" s="29"/>
      <c r="C1671" s="29"/>
      <c r="D1671" s="29"/>
      <c r="E1671" s="29"/>
      <c r="F1671" s="29"/>
      <c r="G1671" s="29"/>
      <c r="H1671" s="29"/>
      <c r="I1671" s="29"/>
      <c r="J1671" s="29"/>
      <c r="K1671" s="29"/>
      <c r="L1671" s="29"/>
      <c r="M1671" s="29"/>
      <c r="N1671" s="29"/>
      <c r="O1671" s="29"/>
      <c r="P1671" s="29"/>
      <c r="Q1671" s="29"/>
    </row>
    <row r="1672" spans="1:17">
      <c r="A1672" s="29"/>
      <c r="B1672" s="29"/>
      <c r="C1672" s="29"/>
      <c r="D1672" s="29"/>
      <c r="E1672" s="29"/>
      <c r="F1672" s="29"/>
      <c r="G1672" s="29"/>
      <c r="H1672" s="29"/>
      <c r="I1672" s="29"/>
      <c r="J1672" s="29"/>
      <c r="K1672" s="29"/>
      <c r="L1672" s="29"/>
      <c r="M1672" s="29"/>
      <c r="N1672" s="29"/>
      <c r="O1672" s="29"/>
      <c r="P1672" s="29"/>
      <c r="Q1672" s="29"/>
    </row>
    <row r="1673" spans="1:17">
      <c r="A1673" s="29"/>
      <c r="B1673" s="29"/>
      <c r="C1673" s="29"/>
      <c r="D1673" s="29"/>
      <c r="E1673" s="29"/>
      <c r="F1673" s="29"/>
      <c r="G1673" s="29"/>
      <c r="H1673" s="29"/>
      <c r="I1673" s="29"/>
      <c r="J1673" s="29"/>
      <c r="K1673" s="29"/>
      <c r="L1673" s="29"/>
      <c r="M1673" s="29"/>
      <c r="N1673" s="29"/>
      <c r="O1673" s="29"/>
      <c r="P1673" s="29"/>
      <c r="Q1673" s="29"/>
    </row>
    <row r="1674" spans="1:17">
      <c r="A1674" s="29"/>
      <c r="B1674" s="29"/>
      <c r="C1674" s="29"/>
      <c r="D1674" s="29"/>
      <c r="E1674" s="29"/>
      <c r="F1674" s="29"/>
      <c r="G1674" s="29"/>
      <c r="H1674" s="29"/>
      <c r="I1674" s="29"/>
      <c r="J1674" s="29"/>
      <c r="K1674" s="29"/>
      <c r="L1674" s="29"/>
      <c r="M1674" s="29"/>
      <c r="N1674" s="29"/>
      <c r="O1674" s="29"/>
      <c r="P1674" s="29"/>
      <c r="Q1674" s="29"/>
    </row>
    <row r="1675" spans="1:17">
      <c r="A1675" s="29"/>
      <c r="B1675" s="29"/>
      <c r="C1675" s="29"/>
      <c r="D1675" s="29"/>
      <c r="E1675" s="29"/>
      <c r="F1675" s="29"/>
      <c r="G1675" s="29"/>
      <c r="H1675" s="29"/>
      <c r="I1675" s="29"/>
      <c r="J1675" s="29"/>
      <c r="K1675" s="29"/>
      <c r="L1675" s="29"/>
      <c r="M1675" s="29"/>
      <c r="N1675" s="29"/>
      <c r="O1675" s="29"/>
      <c r="P1675" s="29"/>
      <c r="Q1675" s="29"/>
    </row>
    <row r="1676" spans="1:17">
      <c r="A1676" s="29"/>
      <c r="B1676" s="29"/>
      <c r="C1676" s="29"/>
      <c r="D1676" s="29"/>
      <c r="E1676" s="29"/>
      <c r="F1676" s="29"/>
      <c r="G1676" s="29"/>
      <c r="H1676" s="29"/>
      <c r="I1676" s="29"/>
      <c r="J1676" s="29"/>
      <c r="K1676" s="29"/>
      <c r="L1676" s="29"/>
      <c r="M1676" s="29"/>
      <c r="N1676" s="29"/>
      <c r="O1676" s="29"/>
      <c r="P1676" s="29"/>
      <c r="Q1676" s="29"/>
    </row>
    <row r="1677" spans="1:17">
      <c r="A1677" s="29"/>
      <c r="B1677" s="29"/>
      <c r="C1677" s="29"/>
      <c r="D1677" s="29"/>
      <c r="E1677" s="29"/>
      <c r="F1677" s="29"/>
      <c r="G1677" s="29"/>
      <c r="H1677" s="29"/>
      <c r="I1677" s="29"/>
      <c r="J1677" s="29"/>
      <c r="K1677" s="29"/>
      <c r="L1677" s="29"/>
      <c r="M1677" s="29"/>
      <c r="N1677" s="29"/>
      <c r="O1677" s="29"/>
      <c r="P1677" s="29"/>
      <c r="Q1677" s="29"/>
    </row>
    <row r="1678" spans="1:17">
      <c r="A1678" s="29"/>
      <c r="B1678" s="29"/>
      <c r="C1678" s="29"/>
      <c r="D1678" s="29"/>
      <c r="E1678" s="29"/>
      <c r="F1678" s="29"/>
      <c r="G1678" s="29"/>
      <c r="H1678" s="29"/>
      <c r="I1678" s="29"/>
      <c r="J1678" s="29"/>
      <c r="K1678" s="29"/>
      <c r="L1678" s="29"/>
      <c r="M1678" s="29"/>
      <c r="N1678" s="29"/>
      <c r="O1678" s="29"/>
      <c r="P1678" s="29"/>
      <c r="Q1678" s="29"/>
    </row>
    <row r="1679" spans="1:17">
      <c r="A1679" s="29"/>
      <c r="B1679" s="29"/>
      <c r="C1679" s="29"/>
      <c r="D1679" s="29"/>
      <c r="E1679" s="29"/>
      <c r="F1679" s="29"/>
      <c r="G1679" s="29"/>
      <c r="H1679" s="29"/>
      <c r="I1679" s="29"/>
      <c r="J1679" s="29"/>
      <c r="K1679" s="29"/>
      <c r="L1679" s="29"/>
      <c r="M1679" s="29"/>
      <c r="N1679" s="29"/>
      <c r="O1679" s="29"/>
      <c r="P1679" s="29"/>
      <c r="Q1679" s="29"/>
    </row>
    <row r="1680" spans="1:17">
      <c r="A1680" s="29"/>
      <c r="B1680" s="29"/>
      <c r="C1680" s="29"/>
      <c r="D1680" s="29"/>
      <c r="E1680" s="29"/>
      <c r="F1680" s="29"/>
      <c r="G1680" s="29"/>
      <c r="H1680" s="29"/>
      <c r="I1680" s="29"/>
      <c r="J1680" s="29"/>
      <c r="K1680" s="29"/>
      <c r="L1680" s="29"/>
      <c r="M1680" s="29"/>
      <c r="N1680" s="29"/>
      <c r="O1680" s="29"/>
      <c r="P1680" s="29"/>
      <c r="Q1680" s="29"/>
    </row>
    <row r="1681" spans="1:17">
      <c r="A1681" s="29"/>
      <c r="B1681" s="29"/>
      <c r="C1681" s="29"/>
      <c r="D1681" s="29"/>
      <c r="E1681" s="29"/>
      <c r="F1681" s="29"/>
      <c r="G1681" s="29"/>
      <c r="H1681" s="29"/>
      <c r="I1681" s="29"/>
      <c r="J1681" s="29"/>
      <c r="K1681" s="29"/>
      <c r="L1681" s="29"/>
      <c r="M1681" s="29"/>
      <c r="N1681" s="29"/>
      <c r="O1681" s="29"/>
      <c r="P1681" s="29"/>
      <c r="Q1681" s="29"/>
    </row>
    <row r="1682" spans="1:17">
      <c r="A1682" s="29"/>
      <c r="B1682" s="29"/>
      <c r="C1682" s="29"/>
      <c r="D1682" s="29"/>
      <c r="E1682" s="29"/>
      <c r="F1682" s="29"/>
      <c r="G1682" s="29"/>
      <c r="H1682" s="29"/>
      <c r="I1682" s="29"/>
      <c r="J1682" s="29"/>
      <c r="K1682" s="29"/>
      <c r="L1682" s="29"/>
      <c r="M1682" s="29"/>
      <c r="N1682" s="29"/>
      <c r="O1682" s="29"/>
      <c r="P1682" s="29"/>
      <c r="Q1682" s="29"/>
    </row>
    <row r="1683" spans="1:17">
      <c r="A1683" s="29"/>
      <c r="B1683" s="29"/>
      <c r="C1683" s="29"/>
      <c r="D1683" s="29"/>
      <c r="E1683" s="29"/>
      <c r="F1683" s="29"/>
      <c r="G1683" s="29"/>
      <c r="H1683" s="29"/>
      <c r="I1683" s="29"/>
      <c r="J1683" s="29"/>
      <c r="K1683" s="29"/>
      <c r="L1683" s="29"/>
      <c r="M1683" s="29"/>
      <c r="N1683" s="29"/>
      <c r="O1683" s="29"/>
      <c r="P1683" s="29"/>
      <c r="Q1683" s="29"/>
    </row>
    <row r="1684" spans="1:17">
      <c r="A1684" s="29"/>
      <c r="B1684" s="29"/>
      <c r="C1684" s="29"/>
      <c r="D1684" s="29"/>
      <c r="E1684" s="29"/>
      <c r="F1684" s="29"/>
      <c r="G1684" s="29"/>
      <c r="H1684" s="29"/>
      <c r="I1684" s="29"/>
      <c r="J1684" s="29"/>
      <c r="K1684" s="29"/>
      <c r="L1684" s="29"/>
      <c r="M1684" s="29"/>
      <c r="N1684" s="29"/>
      <c r="O1684" s="29"/>
      <c r="P1684" s="29"/>
      <c r="Q1684" s="29"/>
    </row>
    <row r="1685" spans="1:17">
      <c r="A1685" s="29"/>
      <c r="B1685" s="29"/>
      <c r="C1685" s="29"/>
      <c r="D1685" s="29"/>
      <c r="E1685" s="29"/>
      <c r="F1685" s="29"/>
      <c r="G1685" s="29"/>
      <c r="H1685" s="29"/>
      <c r="I1685" s="29"/>
      <c r="J1685" s="29"/>
      <c r="K1685" s="29"/>
      <c r="L1685" s="29"/>
      <c r="M1685" s="29"/>
      <c r="N1685" s="29"/>
      <c r="O1685" s="29"/>
      <c r="P1685" s="29"/>
      <c r="Q1685" s="29"/>
    </row>
    <row r="1686" spans="1:17">
      <c r="A1686" s="29"/>
      <c r="B1686" s="29"/>
      <c r="C1686" s="29"/>
      <c r="D1686" s="29"/>
      <c r="E1686" s="29"/>
      <c r="F1686" s="29"/>
      <c r="G1686" s="29"/>
      <c r="H1686" s="29"/>
      <c r="I1686" s="29"/>
      <c r="J1686" s="29"/>
      <c r="K1686" s="29"/>
      <c r="L1686" s="29"/>
      <c r="M1686" s="29"/>
      <c r="N1686" s="29"/>
      <c r="O1686" s="29"/>
      <c r="P1686" s="29"/>
      <c r="Q1686" s="29"/>
    </row>
    <row r="1687" spans="1:17">
      <c r="A1687" s="29"/>
      <c r="B1687" s="29"/>
      <c r="C1687" s="29"/>
      <c r="D1687" s="29"/>
      <c r="E1687" s="29"/>
      <c r="F1687" s="29"/>
      <c r="G1687" s="29"/>
      <c r="H1687" s="29"/>
      <c r="I1687" s="29"/>
      <c r="J1687" s="29"/>
      <c r="K1687" s="29"/>
      <c r="L1687" s="29"/>
      <c r="M1687" s="29"/>
      <c r="N1687" s="29"/>
      <c r="O1687" s="29"/>
      <c r="P1687" s="29"/>
      <c r="Q1687" s="29"/>
    </row>
    <row r="1688" spans="1:17">
      <c r="A1688" s="29"/>
      <c r="B1688" s="29"/>
      <c r="C1688" s="29"/>
      <c r="D1688" s="29"/>
      <c r="E1688" s="29"/>
      <c r="F1688" s="29"/>
      <c r="G1688" s="29"/>
      <c r="H1688" s="29"/>
      <c r="I1688" s="29"/>
      <c r="J1688" s="29"/>
      <c r="K1688" s="29"/>
      <c r="L1688" s="29"/>
      <c r="M1688" s="29"/>
      <c r="N1688" s="29"/>
      <c r="O1688" s="29"/>
      <c r="P1688" s="29"/>
      <c r="Q1688" s="29"/>
    </row>
    <row r="1689" spans="1:17">
      <c r="A1689" s="29"/>
      <c r="B1689" s="29"/>
      <c r="C1689" s="29"/>
      <c r="D1689" s="29"/>
      <c r="E1689" s="29"/>
      <c r="F1689" s="29"/>
      <c r="G1689" s="29"/>
      <c r="H1689" s="29"/>
      <c r="I1689" s="29"/>
      <c r="J1689" s="29"/>
      <c r="K1689" s="29"/>
      <c r="L1689" s="29"/>
      <c r="M1689" s="29"/>
      <c r="N1689" s="29"/>
      <c r="O1689" s="29"/>
      <c r="P1689" s="29"/>
      <c r="Q1689" s="29"/>
    </row>
    <row r="1690" spans="1:17">
      <c r="A1690" s="29"/>
      <c r="B1690" s="29"/>
      <c r="C1690" s="29"/>
      <c r="D1690" s="29"/>
      <c r="E1690" s="29"/>
      <c r="F1690" s="29"/>
      <c r="G1690" s="29"/>
      <c r="H1690" s="29"/>
      <c r="I1690" s="29"/>
      <c r="J1690" s="29"/>
      <c r="K1690" s="29"/>
      <c r="L1690" s="29"/>
      <c r="M1690" s="29"/>
      <c r="N1690" s="29"/>
      <c r="O1690" s="29"/>
      <c r="P1690" s="29"/>
      <c r="Q1690" s="29"/>
    </row>
    <row r="1691" spans="1:17">
      <c r="A1691" s="29"/>
      <c r="B1691" s="29"/>
      <c r="C1691" s="29"/>
      <c r="D1691" s="29"/>
      <c r="E1691" s="29"/>
      <c r="F1691" s="29"/>
      <c r="G1691" s="29"/>
      <c r="H1691" s="29"/>
      <c r="I1691" s="29"/>
      <c r="J1691" s="29"/>
      <c r="K1691" s="29"/>
      <c r="L1691" s="29"/>
      <c r="M1691" s="29"/>
      <c r="N1691" s="29"/>
      <c r="O1691" s="29"/>
      <c r="P1691" s="29"/>
      <c r="Q1691" s="29"/>
    </row>
    <row r="1692" spans="1:17">
      <c r="A1692" s="29"/>
      <c r="B1692" s="29"/>
      <c r="C1692" s="29"/>
      <c r="D1692" s="29"/>
      <c r="E1692" s="29"/>
      <c r="F1692" s="29"/>
      <c r="G1692" s="29"/>
      <c r="H1692" s="29"/>
      <c r="I1692" s="29"/>
      <c r="J1692" s="29"/>
      <c r="K1692" s="29"/>
      <c r="L1692" s="29"/>
      <c r="M1692" s="29"/>
      <c r="N1692" s="29"/>
      <c r="O1692" s="29"/>
      <c r="P1692" s="29"/>
      <c r="Q1692" s="29"/>
    </row>
    <row r="1693" spans="1:17">
      <c r="A1693" s="29"/>
      <c r="B1693" s="29"/>
      <c r="C1693" s="29"/>
      <c r="D1693" s="29"/>
      <c r="E1693" s="29"/>
      <c r="F1693" s="29"/>
      <c r="G1693" s="29"/>
      <c r="H1693" s="29"/>
      <c r="I1693" s="29"/>
      <c r="J1693" s="29"/>
      <c r="K1693" s="29"/>
      <c r="L1693" s="29"/>
      <c r="M1693" s="29"/>
      <c r="N1693" s="29"/>
      <c r="O1693" s="29"/>
      <c r="P1693" s="29"/>
      <c r="Q1693" s="29"/>
    </row>
    <row r="1694" spans="1:17">
      <c r="A1694" s="29"/>
      <c r="B1694" s="29"/>
      <c r="C1694" s="29"/>
      <c r="D1694" s="29"/>
      <c r="E1694" s="29"/>
      <c r="F1694" s="29"/>
      <c r="G1694" s="29"/>
      <c r="H1694" s="29"/>
      <c r="I1694" s="29"/>
      <c r="J1694" s="29"/>
      <c r="K1694" s="29"/>
      <c r="L1694" s="29"/>
      <c r="M1694" s="29"/>
      <c r="N1694" s="29"/>
      <c r="O1694" s="29"/>
      <c r="P1694" s="29"/>
      <c r="Q1694" s="29"/>
    </row>
    <row r="1695" spans="1:17">
      <c r="A1695" s="29"/>
      <c r="B1695" s="29"/>
      <c r="C1695" s="29"/>
      <c r="D1695" s="29"/>
      <c r="E1695" s="29"/>
      <c r="F1695" s="29"/>
      <c r="G1695" s="29"/>
      <c r="H1695" s="29"/>
      <c r="I1695" s="29"/>
      <c r="J1695" s="29"/>
      <c r="K1695" s="29"/>
      <c r="L1695" s="29"/>
      <c r="M1695" s="29"/>
      <c r="N1695" s="29"/>
      <c r="O1695" s="29"/>
      <c r="P1695" s="29"/>
      <c r="Q1695" s="29"/>
    </row>
    <row r="1696" spans="1:17">
      <c r="A1696" s="29"/>
      <c r="B1696" s="29"/>
      <c r="C1696" s="29"/>
      <c r="D1696" s="29"/>
      <c r="E1696" s="29"/>
      <c r="F1696" s="29"/>
      <c r="G1696" s="29"/>
      <c r="H1696" s="29"/>
      <c r="I1696" s="29"/>
      <c r="J1696" s="29"/>
      <c r="K1696" s="29"/>
      <c r="L1696" s="29"/>
      <c r="M1696" s="29"/>
      <c r="N1696" s="29"/>
      <c r="O1696" s="29"/>
      <c r="P1696" s="29"/>
      <c r="Q1696" s="29"/>
    </row>
    <row r="1697" spans="1:17">
      <c r="A1697" s="29"/>
      <c r="B1697" s="29"/>
      <c r="C1697" s="29"/>
      <c r="D1697" s="29"/>
      <c r="E1697" s="29"/>
      <c r="F1697" s="29"/>
      <c r="G1697" s="29"/>
      <c r="H1697" s="29"/>
      <c r="I1697" s="29"/>
      <c r="J1697" s="29"/>
      <c r="K1697" s="29"/>
      <c r="L1697" s="29"/>
      <c r="M1697" s="29"/>
      <c r="N1697" s="29"/>
      <c r="O1697" s="29"/>
      <c r="P1697" s="29"/>
      <c r="Q1697" s="29"/>
    </row>
    <row r="1698" spans="1:17">
      <c r="A1698" s="29"/>
      <c r="B1698" s="29"/>
      <c r="C1698" s="29"/>
      <c r="D1698" s="29"/>
      <c r="E1698" s="29"/>
      <c r="F1698" s="29"/>
      <c r="G1698" s="29"/>
      <c r="H1698" s="29"/>
      <c r="I1698" s="29"/>
      <c r="J1698" s="29"/>
      <c r="K1698" s="29"/>
      <c r="L1698" s="29"/>
      <c r="M1698" s="29"/>
      <c r="N1698" s="29"/>
      <c r="O1698" s="29"/>
      <c r="P1698" s="29"/>
      <c r="Q1698" s="29"/>
    </row>
    <row r="1699" spans="1:17">
      <c r="A1699" s="29"/>
      <c r="B1699" s="29"/>
      <c r="C1699" s="29"/>
      <c r="D1699" s="29"/>
      <c r="E1699" s="29"/>
      <c r="F1699" s="29"/>
      <c r="G1699" s="29"/>
      <c r="H1699" s="29"/>
      <c r="I1699" s="29"/>
      <c r="J1699" s="29"/>
      <c r="K1699" s="29"/>
      <c r="L1699" s="29"/>
      <c r="M1699" s="29"/>
      <c r="N1699" s="29"/>
      <c r="O1699" s="29"/>
      <c r="P1699" s="29"/>
      <c r="Q1699" s="29"/>
    </row>
    <row r="1700" spans="1:17">
      <c r="A1700" s="29"/>
      <c r="B1700" s="29"/>
      <c r="C1700" s="29"/>
      <c r="D1700" s="29"/>
      <c r="E1700" s="29"/>
      <c r="F1700" s="29"/>
      <c r="G1700" s="29"/>
      <c r="H1700" s="29"/>
      <c r="I1700" s="29"/>
      <c r="J1700" s="29"/>
      <c r="K1700" s="29"/>
      <c r="L1700" s="29"/>
      <c r="M1700" s="29"/>
      <c r="N1700" s="29"/>
      <c r="O1700" s="29"/>
      <c r="P1700" s="29"/>
      <c r="Q1700" s="29"/>
    </row>
    <row r="1701" spans="1:17">
      <c r="A1701" s="29"/>
      <c r="B1701" s="29"/>
      <c r="C1701" s="29"/>
      <c r="D1701" s="29"/>
      <c r="E1701" s="29"/>
      <c r="F1701" s="29"/>
      <c r="G1701" s="29"/>
      <c r="H1701" s="29"/>
      <c r="I1701" s="29"/>
      <c r="J1701" s="29"/>
      <c r="K1701" s="29"/>
      <c r="L1701" s="29"/>
      <c r="M1701" s="29"/>
      <c r="N1701" s="29"/>
      <c r="O1701" s="29"/>
      <c r="P1701" s="29"/>
      <c r="Q1701" s="29"/>
    </row>
    <row r="1702" spans="1:17">
      <c r="A1702" s="29"/>
      <c r="B1702" s="29"/>
      <c r="C1702" s="29"/>
      <c r="D1702" s="29"/>
      <c r="E1702" s="29"/>
      <c r="F1702" s="29"/>
      <c r="G1702" s="29"/>
      <c r="H1702" s="29"/>
      <c r="I1702" s="29"/>
      <c r="J1702" s="29"/>
      <c r="K1702" s="29"/>
      <c r="L1702" s="29"/>
      <c r="M1702" s="29"/>
      <c r="N1702" s="29"/>
      <c r="O1702" s="29"/>
      <c r="P1702" s="29"/>
      <c r="Q1702" s="29"/>
    </row>
    <row r="1703" spans="1:17">
      <c r="A1703" s="29"/>
      <c r="B1703" s="29"/>
      <c r="C1703" s="29"/>
      <c r="D1703" s="29"/>
      <c r="E1703" s="29"/>
      <c r="F1703" s="29"/>
      <c r="G1703" s="29"/>
      <c r="H1703" s="29"/>
      <c r="I1703" s="29"/>
      <c r="J1703" s="29"/>
      <c r="K1703" s="29"/>
      <c r="L1703" s="29"/>
      <c r="M1703" s="29"/>
      <c r="N1703" s="29"/>
      <c r="O1703" s="29"/>
      <c r="P1703" s="29"/>
      <c r="Q1703" s="29"/>
    </row>
    <row r="1704" spans="1:17">
      <c r="A1704" s="29"/>
      <c r="B1704" s="29"/>
      <c r="C1704" s="29"/>
      <c r="D1704" s="29"/>
      <c r="E1704" s="29"/>
      <c r="F1704" s="29"/>
      <c r="G1704" s="29"/>
      <c r="H1704" s="29"/>
      <c r="I1704" s="29"/>
      <c r="J1704" s="29"/>
      <c r="K1704" s="29"/>
      <c r="L1704" s="29"/>
      <c r="M1704" s="29"/>
      <c r="N1704" s="29"/>
      <c r="O1704" s="29"/>
      <c r="P1704" s="29"/>
      <c r="Q1704" s="29"/>
    </row>
    <row r="1705" spans="1:17">
      <c r="A1705" s="29"/>
      <c r="B1705" s="29"/>
      <c r="C1705" s="29"/>
      <c r="D1705" s="29"/>
      <c r="E1705" s="29"/>
      <c r="F1705" s="29"/>
      <c r="G1705" s="29"/>
      <c r="H1705" s="29"/>
      <c r="I1705" s="29"/>
      <c r="J1705" s="29"/>
      <c r="K1705" s="29"/>
      <c r="L1705" s="29"/>
      <c r="M1705" s="29"/>
      <c r="N1705" s="29"/>
      <c r="O1705" s="29"/>
      <c r="P1705" s="29"/>
      <c r="Q1705" s="29"/>
    </row>
    <row r="1706" spans="1:17">
      <c r="A1706" s="29"/>
      <c r="B1706" s="29"/>
      <c r="C1706" s="29"/>
      <c r="D1706" s="29"/>
      <c r="E1706" s="29"/>
      <c r="F1706" s="29"/>
      <c r="G1706" s="29"/>
      <c r="H1706" s="29"/>
      <c r="I1706" s="29"/>
      <c r="J1706" s="29"/>
      <c r="K1706" s="29"/>
      <c r="L1706" s="29"/>
      <c r="M1706" s="29"/>
      <c r="N1706" s="29"/>
      <c r="O1706" s="29"/>
      <c r="P1706" s="29"/>
      <c r="Q1706" s="29"/>
    </row>
    <row r="1707" spans="1:17">
      <c r="A1707" s="29"/>
      <c r="B1707" s="29"/>
      <c r="C1707" s="29"/>
      <c r="D1707" s="29"/>
      <c r="E1707" s="29"/>
      <c r="F1707" s="29"/>
      <c r="G1707" s="29"/>
      <c r="H1707" s="29"/>
      <c r="I1707" s="29"/>
      <c r="J1707" s="29"/>
      <c r="K1707" s="29"/>
      <c r="L1707" s="29"/>
      <c r="M1707" s="29"/>
      <c r="N1707" s="29"/>
      <c r="O1707" s="29"/>
      <c r="P1707" s="29"/>
      <c r="Q1707" s="29"/>
    </row>
    <row r="1708" spans="1:17">
      <c r="A1708" s="29"/>
      <c r="B1708" s="29"/>
      <c r="C1708" s="29"/>
      <c r="D1708" s="29"/>
      <c r="E1708" s="29"/>
      <c r="F1708" s="29"/>
      <c r="G1708" s="29"/>
      <c r="H1708" s="29"/>
      <c r="I1708" s="29"/>
      <c r="J1708" s="29"/>
      <c r="K1708" s="29"/>
      <c r="L1708" s="29"/>
      <c r="M1708" s="29"/>
      <c r="N1708" s="29"/>
      <c r="O1708" s="29"/>
      <c r="P1708" s="29"/>
      <c r="Q1708" s="29"/>
    </row>
    <row r="1709" spans="1:17">
      <c r="A1709" s="29"/>
      <c r="B1709" s="29"/>
      <c r="C1709" s="29"/>
      <c r="D1709" s="29"/>
      <c r="E1709" s="29"/>
      <c r="F1709" s="29"/>
      <c r="G1709" s="29"/>
      <c r="H1709" s="29"/>
      <c r="I1709" s="29"/>
      <c r="J1709" s="29"/>
      <c r="K1709" s="29"/>
      <c r="L1709" s="29"/>
      <c r="M1709" s="29"/>
      <c r="N1709" s="29"/>
      <c r="O1709" s="29"/>
      <c r="P1709" s="29"/>
      <c r="Q1709" s="29"/>
    </row>
    <row r="1710" spans="1:17">
      <c r="A1710" s="29"/>
      <c r="B1710" s="29"/>
      <c r="C1710" s="29"/>
      <c r="D1710" s="29"/>
      <c r="E1710" s="29"/>
      <c r="F1710" s="29"/>
      <c r="G1710" s="29"/>
      <c r="H1710" s="29"/>
      <c r="I1710" s="29"/>
      <c r="J1710" s="29"/>
      <c r="K1710" s="29"/>
      <c r="L1710" s="29"/>
      <c r="M1710" s="29"/>
      <c r="N1710" s="29"/>
      <c r="O1710" s="29"/>
      <c r="P1710" s="29"/>
      <c r="Q1710" s="29"/>
    </row>
    <row r="1711" spans="1:17">
      <c r="A1711" s="29"/>
      <c r="B1711" s="29"/>
      <c r="C1711" s="29"/>
      <c r="D1711" s="29"/>
      <c r="E1711" s="29"/>
      <c r="F1711" s="29"/>
      <c r="G1711" s="29"/>
      <c r="H1711" s="29"/>
      <c r="I1711" s="29"/>
      <c r="J1711" s="29"/>
      <c r="K1711" s="29"/>
      <c r="L1711" s="29"/>
      <c r="M1711" s="29"/>
      <c r="N1711" s="29"/>
      <c r="O1711" s="29"/>
      <c r="P1711" s="29"/>
      <c r="Q1711" s="29"/>
    </row>
    <row r="1712" spans="1:17">
      <c r="A1712" s="29"/>
      <c r="B1712" s="29"/>
      <c r="C1712" s="29"/>
      <c r="D1712" s="29"/>
      <c r="E1712" s="29"/>
      <c r="F1712" s="29"/>
      <c r="G1712" s="29"/>
      <c r="H1712" s="29"/>
      <c r="I1712" s="29"/>
      <c r="J1712" s="29"/>
      <c r="K1712" s="29"/>
      <c r="L1712" s="29"/>
      <c r="M1712" s="29"/>
      <c r="N1712" s="29"/>
      <c r="O1712" s="29"/>
      <c r="P1712" s="29"/>
      <c r="Q1712" s="29"/>
    </row>
    <row r="1713" spans="1:17">
      <c r="A1713" s="29"/>
      <c r="B1713" s="29"/>
      <c r="C1713" s="29"/>
      <c r="D1713" s="29"/>
      <c r="E1713" s="29"/>
      <c r="F1713" s="29"/>
      <c r="G1713" s="29"/>
      <c r="H1713" s="29"/>
      <c r="I1713" s="29"/>
      <c r="J1713" s="29"/>
      <c r="K1713" s="29"/>
      <c r="L1713" s="29"/>
      <c r="M1713" s="29"/>
      <c r="N1713" s="29"/>
      <c r="O1713" s="29"/>
      <c r="P1713" s="29"/>
      <c r="Q1713" s="29"/>
    </row>
    <row r="1714" spans="1:17">
      <c r="A1714" s="29"/>
      <c r="B1714" s="29"/>
      <c r="C1714" s="29"/>
      <c r="D1714" s="29"/>
      <c r="E1714" s="29"/>
      <c r="F1714" s="29"/>
      <c r="G1714" s="29"/>
      <c r="H1714" s="29"/>
      <c r="I1714" s="29"/>
      <c r="J1714" s="29"/>
      <c r="K1714" s="29"/>
      <c r="L1714" s="29"/>
      <c r="M1714" s="29"/>
      <c r="N1714" s="29"/>
      <c r="O1714" s="29"/>
      <c r="P1714" s="29"/>
      <c r="Q1714" s="29"/>
    </row>
    <row r="1715" spans="1:17">
      <c r="A1715" s="29"/>
      <c r="B1715" s="29"/>
      <c r="C1715" s="29"/>
      <c r="D1715" s="29"/>
      <c r="E1715" s="29"/>
      <c r="F1715" s="29"/>
      <c r="G1715" s="29"/>
      <c r="H1715" s="29"/>
      <c r="I1715" s="29"/>
      <c r="J1715" s="29"/>
      <c r="K1715" s="29"/>
      <c r="L1715" s="29"/>
      <c r="M1715" s="29"/>
      <c r="N1715" s="29"/>
      <c r="O1715" s="29"/>
      <c r="P1715" s="29"/>
      <c r="Q1715" s="29"/>
    </row>
    <row r="1716" spans="1:17">
      <c r="A1716" s="29"/>
      <c r="B1716" s="29"/>
      <c r="C1716" s="29"/>
      <c r="D1716" s="29"/>
      <c r="E1716" s="29"/>
      <c r="F1716" s="29"/>
      <c r="G1716" s="29"/>
      <c r="H1716" s="29"/>
      <c r="I1716" s="29"/>
      <c r="J1716" s="29"/>
      <c r="K1716" s="29"/>
      <c r="L1716" s="29"/>
      <c r="M1716" s="29"/>
      <c r="N1716" s="29"/>
      <c r="O1716" s="29"/>
      <c r="P1716" s="29"/>
      <c r="Q1716" s="29"/>
    </row>
    <row r="1717" spans="1:17">
      <c r="A1717" s="29"/>
      <c r="B1717" s="29"/>
      <c r="C1717" s="29"/>
      <c r="D1717" s="29"/>
      <c r="E1717" s="29"/>
      <c r="F1717" s="29"/>
      <c r="G1717" s="29"/>
      <c r="H1717" s="29"/>
      <c r="I1717" s="29"/>
      <c r="J1717" s="29"/>
      <c r="K1717" s="29"/>
      <c r="L1717" s="29"/>
      <c r="M1717" s="29"/>
      <c r="N1717" s="29"/>
      <c r="O1717" s="29"/>
      <c r="P1717" s="29"/>
      <c r="Q1717" s="29"/>
    </row>
    <row r="1718" spans="1:17">
      <c r="A1718" s="29"/>
      <c r="B1718" s="29"/>
      <c r="C1718" s="29"/>
      <c r="D1718" s="29"/>
      <c r="E1718" s="29"/>
      <c r="F1718" s="29"/>
      <c r="G1718" s="29"/>
      <c r="H1718" s="29"/>
      <c r="I1718" s="29"/>
      <c r="J1718" s="29"/>
      <c r="K1718" s="29"/>
      <c r="L1718" s="29"/>
      <c r="M1718" s="29"/>
      <c r="N1718" s="29"/>
      <c r="O1718" s="29"/>
      <c r="P1718" s="29"/>
      <c r="Q1718" s="29"/>
    </row>
    <row r="1719" spans="1:17">
      <c r="A1719" s="29"/>
      <c r="B1719" s="29"/>
      <c r="C1719" s="29"/>
      <c r="D1719" s="29"/>
      <c r="E1719" s="29"/>
      <c r="F1719" s="29"/>
      <c r="G1719" s="29"/>
      <c r="H1719" s="29"/>
      <c r="I1719" s="29"/>
      <c r="J1719" s="29"/>
      <c r="K1719" s="29"/>
      <c r="L1719" s="29"/>
      <c r="M1719" s="29"/>
      <c r="N1719" s="29"/>
      <c r="O1719" s="29"/>
      <c r="P1719" s="29"/>
      <c r="Q1719" s="29"/>
    </row>
    <row r="1720" spans="1:17">
      <c r="A1720" s="29"/>
      <c r="B1720" s="29"/>
      <c r="C1720" s="29"/>
      <c r="D1720" s="29"/>
      <c r="E1720" s="29"/>
      <c r="F1720" s="29"/>
      <c r="G1720" s="29"/>
      <c r="H1720" s="29"/>
      <c r="I1720" s="29"/>
      <c r="J1720" s="29"/>
      <c r="K1720" s="29"/>
      <c r="L1720" s="29"/>
      <c r="M1720" s="29"/>
      <c r="N1720" s="29"/>
      <c r="O1720" s="29"/>
      <c r="P1720" s="29"/>
      <c r="Q1720" s="29"/>
    </row>
    <row r="1721" spans="1:17">
      <c r="A1721" s="29"/>
      <c r="B1721" s="29"/>
      <c r="C1721" s="29"/>
      <c r="D1721" s="29"/>
      <c r="E1721" s="29"/>
      <c r="F1721" s="29"/>
      <c r="G1721" s="29"/>
      <c r="H1721" s="29"/>
      <c r="I1721" s="29"/>
      <c r="J1721" s="29"/>
      <c r="K1721" s="29"/>
      <c r="L1721" s="29"/>
      <c r="M1721" s="29"/>
      <c r="N1721" s="29"/>
      <c r="O1721" s="29"/>
      <c r="P1721" s="29"/>
      <c r="Q1721" s="29"/>
    </row>
    <row r="1722" spans="1:17">
      <c r="A1722" s="29"/>
      <c r="B1722" s="29"/>
      <c r="C1722" s="29"/>
      <c r="D1722" s="29"/>
      <c r="E1722" s="29"/>
      <c r="F1722" s="29"/>
      <c r="G1722" s="29"/>
      <c r="H1722" s="29"/>
      <c r="I1722" s="29"/>
      <c r="J1722" s="29"/>
      <c r="K1722" s="29"/>
      <c r="L1722" s="29"/>
      <c r="M1722" s="29"/>
      <c r="N1722" s="29"/>
      <c r="O1722" s="29"/>
      <c r="P1722" s="29"/>
      <c r="Q1722" s="29"/>
    </row>
    <row r="1723" spans="1:17">
      <c r="A1723" s="29"/>
      <c r="B1723" s="29"/>
      <c r="C1723" s="29"/>
      <c r="D1723" s="29"/>
      <c r="E1723" s="29"/>
      <c r="F1723" s="29"/>
      <c r="G1723" s="29"/>
      <c r="H1723" s="29"/>
      <c r="I1723" s="29"/>
      <c r="J1723" s="29"/>
      <c r="K1723" s="29"/>
      <c r="L1723" s="29"/>
      <c r="M1723" s="29"/>
      <c r="N1723" s="29"/>
      <c r="O1723" s="29"/>
      <c r="P1723" s="29"/>
      <c r="Q1723" s="29"/>
    </row>
    <row r="1724" spans="1:17">
      <c r="A1724" s="29"/>
      <c r="B1724" s="29"/>
      <c r="C1724" s="29"/>
      <c r="D1724" s="29"/>
      <c r="E1724" s="29"/>
      <c r="F1724" s="29"/>
      <c r="G1724" s="29"/>
      <c r="H1724" s="29"/>
      <c r="I1724" s="29"/>
      <c r="J1724" s="29"/>
      <c r="K1724" s="29"/>
      <c r="L1724" s="29"/>
      <c r="M1724" s="29"/>
      <c r="N1724" s="29"/>
      <c r="O1724" s="29"/>
      <c r="P1724" s="29"/>
      <c r="Q1724" s="29"/>
    </row>
  </sheetData>
  <dataValidations count="4">
    <dataValidation type="list" allowBlank="1" showErrorMessage="1" sqref="B2:B497" xr:uid="{CE564FF3-20A7-8649-9B64-D1B4887612EA}">
      <formula1>LISTE_MT_JOURNAL</formula1>
    </dataValidation>
    <dataValidation type="list" allowBlank="1" showErrorMessage="1" sqref="E2:E497" xr:uid="{0B4322B8-5A85-824C-9C42-E14F9F585CF5}">
      <formula1>LISTE_ACTIONS_JOURNAL</formula1>
    </dataValidation>
    <dataValidation type="list" allowBlank="1" showErrorMessage="1" sqref="G2:G497" xr:uid="{1E906410-E8B4-D244-8364-67498DAD9922}">
      <formula1>LISTE_EQUIPES_JOURNAL</formula1>
    </dataValidation>
    <dataValidation type="list" allowBlank="1" showErrorMessage="1" sqref="F2:F497" xr:uid="{8661B5E0-5073-834E-B82C-CD1CB1E897C8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D1DD48-FE03-184C-9C1F-AF321B76A617}">
          <x14:formula1>
            <xm:f>'Compo'!$AA$1:$AA$24</xm:f>
          </x14:formula1>
          <xm:sqref>C2:C497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topLeftCell="G1" workbookViewId="0">
      <selection activeCell="N25" sqref="N25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304</v>
      </c>
      <c r="C1" s="53" t="s">
        <v>312</v>
      </c>
      <c r="D1" s="53"/>
      <c r="F1" s="59" t="s">
        <v>201</v>
      </c>
      <c r="G1" s="60" t="s">
        <v>202</v>
      </c>
      <c r="I1" s="82" t="s">
        <v>229</v>
      </c>
      <c r="K1" s="59" t="s">
        <v>227</v>
      </c>
      <c r="N1" t="s">
        <v>265</v>
      </c>
      <c r="Q1" s="82" t="s">
        <v>168</v>
      </c>
      <c r="R1" s="82" t="s">
        <v>230</v>
      </c>
    </row>
    <row r="2" spans="1:18" ht="30" customHeight="1">
      <c r="A2" t="s">
        <v>325</v>
      </c>
      <c r="C2" s="57" t="s">
        <v>293</v>
      </c>
      <c r="D2" s="57"/>
      <c r="F2" s="55" t="s">
        <v>191</v>
      </c>
      <c r="G2" s="39"/>
      <c r="I2" s="56" t="s">
        <v>117</v>
      </c>
      <c r="K2" s="55" t="s">
        <v>207</v>
      </c>
      <c r="N2" t="s">
        <v>266</v>
      </c>
      <c r="Q2" s="141" t="s">
        <v>169</v>
      </c>
      <c r="R2" s="141" t="s">
        <v>58</v>
      </c>
    </row>
    <row r="3" spans="1:18" ht="30" customHeight="1">
      <c r="A3" t="s">
        <v>305</v>
      </c>
      <c r="C3" s="57" t="s">
        <v>303</v>
      </c>
      <c r="D3" s="57"/>
      <c r="F3" s="58" t="s">
        <v>192</v>
      </c>
      <c r="G3" s="32"/>
      <c r="I3" s="83" t="s">
        <v>226</v>
      </c>
      <c r="K3" s="58" t="s">
        <v>205</v>
      </c>
      <c r="N3" t="s">
        <v>284</v>
      </c>
      <c r="Q3" s="141" t="s">
        <v>170</v>
      </c>
      <c r="R3" s="141" t="s">
        <v>127</v>
      </c>
    </row>
    <row r="4" spans="1:18" ht="30" customHeight="1">
      <c r="A4" t="s">
        <v>306</v>
      </c>
      <c r="C4" s="57" t="s">
        <v>313</v>
      </c>
      <c r="D4" s="57"/>
      <c r="F4" s="55" t="s">
        <v>193</v>
      </c>
      <c r="G4" s="33"/>
      <c r="K4" s="55" t="s">
        <v>206</v>
      </c>
      <c r="Q4" s="141" t="s">
        <v>171</v>
      </c>
      <c r="R4" s="141" t="s">
        <v>59</v>
      </c>
    </row>
    <row r="5" spans="1:18" ht="30" customHeight="1">
      <c r="A5" t="s">
        <v>307</v>
      </c>
      <c r="C5" s="57"/>
      <c r="D5" s="57"/>
      <c r="F5" s="58" t="s">
        <v>194</v>
      </c>
      <c r="G5" s="34"/>
      <c r="I5" s="82" t="s">
        <v>228</v>
      </c>
      <c r="K5" s="58" t="s">
        <v>207</v>
      </c>
      <c r="Q5" s="141" t="s">
        <v>172</v>
      </c>
      <c r="R5" s="141" t="s">
        <v>173</v>
      </c>
    </row>
    <row r="6" spans="1:18" ht="30" customHeight="1">
      <c r="A6" t="s">
        <v>308</v>
      </c>
      <c r="C6" s="57" t="s">
        <v>314</v>
      </c>
      <c r="D6" s="57"/>
      <c r="F6" s="55" t="s">
        <v>196</v>
      </c>
      <c r="G6" s="35"/>
      <c r="I6" s="56" t="s">
        <v>116</v>
      </c>
      <c r="K6" s="55" t="s">
        <v>208</v>
      </c>
      <c r="Q6" s="141" t="s">
        <v>174</v>
      </c>
      <c r="R6" s="141" t="s">
        <v>175</v>
      </c>
    </row>
    <row r="7" spans="1:18" ht="30" customHeight="1">
      <c r="A7" t="s">
        <v>309</v>
      </c>
      <c r="C7" s="57" t="s">
        <v>294</v>
      </c>
      <c r="D7" s="57"/>
      <c r="F7" s="58" t="s">
        <v>195</v>
      </c>
      <c r="G7" s="52"/>
      <c r="I7" s="83" t="s">
        <v>113</v>
      </c>
      <c r="K7" s="58" t="s">
        <v>209</v>
      </c>
      <c r="Q7" s="141" t="s">
        <v>176</v>
      </c>
      <c r="R7" s="141" t="s">
        <v>130</v>
      </c>
    </row>
    <row r="8" spans="1:18" ht="30" customHeight="1">
      <c r="A8" s="53" t="s">
        <v>310</v>
      </c>
      <c r="C8" s="57" t="s">
        <v>315</v>
      </c>
      <c r="D8" s="57"/>
      <c r="F8" s="55" t="s">
        <v>197</v>
      </c>
      <c r="G8" s="27"/>
      <c r="K8" s="55" t="s">
        <v>210</v>
      </c>
      <c r="Q8" s="141" t="s">
        <v>177</v>
      </c>
      <c r="R8" s="141" t="s">
        <v>128</v>
      </c>
    </row>
    <row r="9" spans="1:18" s="53" customFormat="1" ht="30" customHeight="1">
      <c r="A9" t="s">
        <v>311</v>
      </c>
      <c r="C9" s="57" t="s">
        <v>316</v>
      </c>
      <c r="D9" s="57"/>
      <c r="F9" s="58" t="s">
        <v>198</v>
      </c>
      <c r="G9" s="36"/>
      <c r="K9" s="58" t="s">
        <v>211</v>
      </c>
      <c r="Q9" s="141" t="s">
        <v>178</v>
      </c>
      <c r="R9" s="141" t="s">
        <v>131</v>
      </c>
    </row>
    <row r="10" spans="1:18" ht="30" customHeight="1">
      <c r="A10" t="s">
        <v>347</v>
      </c>
      <c r="C10" s="57"/>
      <c r="D10" s="57"/>
      <c r="F10" s="55" t="s">
        <v>199</v>
      </c>
      <c r="G10" s="37"/>
      <c r="I10" s="119" t="s">
        <v>340</v>
      </c>
      <c r="K10" s="55" t="s">
        <v>212</v>
      </c>
      <c r="Q10" s="141" t="s">
        <v>179</v>
      </c>
      <c r="R10" s="141" t="s">
        <v>129</v>
      </c>
    </row>
    <row r="11" spans="1:18" s="53" customFormat="1" ht="30" customHeight="1">
      <c r="C11" s="57" t="s">
        <v>317</v>
      </c>
      <c r="D11" s="57"/>
      <c r="F11" s="58"/>
      <c r="K11" s="58" t="s">
        <v>213</v>
      </c>
      <c r="Q11" s="141" t="s">
        <v>180</v>
      </c>
      <c r="R11" s="141" t="s">
        <v>132</v>
      </c>
    </row>
    <row r="12" spans="1:18" ht="30" customHeight="1">
      <c r="C12" s="57" t="s">
        <v>295</v>
      </c>
      <c r="D12" s="57"/>
      <c r="F12" s="55" t="s">
        <v>200</v>
      </c>
      <c r="G12" s="38"/>
      <c r="K12" s="55" t="s">
        <v>214</v>
      </c>
      <c r="Q12" s="141" t="s">
        <v>395</v>
      </c>
      <c r="R12" s="141" t="s">
        <v>396</v>
      </c>
    </row>
    <row r="13" spans="1:18" s="53" customFormat="1" ht="30" customHeight="1">
      <c r="C13" s="57" t="s">
        <v>318</v>
      </c>
      <c r="D13" s="57"/>
      <c r="K13" s="58" t="s">
        <v>215</v>
      </c>
      <c r="Q13" s="58" t="s">
        <v>290</v>
      </c>
      <c r="R13" s="142" t="s">
        <v>275</v>
      </c>
    </row>
    <row r="14" spans="1:18" ht="30" customHeight="1">
      <c r="C14" s="57" t="s">
        <v>319</v>
      </c>
      <c r="D14" s="57"/>
      <c r="I14" s="54" t="s">
        <v>236</v>
      </c>
      <c r="K14" s="55" t="s">
        <v>216</v>
      </c>
      <c r="Q14" s="58" t="s">
        <v>289</v>
      </c>
      <c r="R14" s="142" t="s">
        <v>276</v>
      </c>
    </row>
    <row r="15" spans="1:18" s="53" customFormat="1" ht="30" customHeight="1">
      <c r="C15" s="57"/>
      <c r="D15" s="57"/>
      <c r="I15" s="53" t="s">
        <v>232</v>
      </c>
      <c r="K15" s="58" t="s">
        <v>217</v>
      </c>
      <c r="Q15" s="58" t="s">
        <v>181</v>
      </c>
      <c r="R15" s="142" t="s">
        <v>122</v>
      </c>
    </row>
    <row r="16" spans="1:18" ht="30" customHeight="1">
      <c r="C16" s="57" t="s">
        <v>328</v>
      </c>
      <c r="D16" s="57"/>
      <c r="I16" s="53" t="s">
        <v>233</v>
      </c>
      <c r="K16" s="55" t="s">
        <v>218</v>
      </c>
      <c r="Q16" s="58" t="s">
        <v>182</v>
      </c>
      <c r="R16" s="142" t="s">
        <v>133</v>
      </c>
    </row>
    <row r="17" spans="3:18" s="53" customFormat="1" ht="30" customHeight="1">
      <c r="C17" s="57" t="s">
        <v>329</v>
      </c>
      <c r="D17" s="57"/>
      <c r="I17" s="53" t="s">
        <v>234</v>
      </c>
      <c r="K17" s="58" t="s">
        <v>219</v>
      </c>
      <c r="Q17" s="58" t="s">
        <v>183</v>
      </c>
      <c r="R17" s="142" t="s">
        <v>134</v>
      </c>
    </row>
    <row r="18" spans="3:18" ht="30" customHeight="1">
      <c r="C18" s="57" t="s">
        <v>330</v>
      </c>
      <c r="D18" s="57"/>
      <c r="I18" s="53" t="s">
        <v>235</v>
      </c>
      <c r="K18" s="55" t="s">
        <v>220</v>
      </c>
      <c r="Q18" s="58" t="s">
        <v>184</v>
      </c>
      <c r="R18" s="142" t="s">
        <v>135</v>
      </c>
    </row>
    <row r="19" spans="3:18" ht="30" customHeight="1">
      <c r="C19" s="57" t="s">
        <v>331</v>
      </c>
      <c r="D19" s="57"/>
      <c r="I19" s="53" t="s">
        <v>342</v>
      </c>
      <c r="K19" s="58" t="s">
        <v>221</v>
      </c>
      <c r="Q19" s="58" t="s">
        <v>185</v>
      </c>
      <c r="R19" s="142" t="s">
        <v>126</v>
      </c>
    </row>
    <row r="20" spans="3:18" ht="30" customHeight="1">
      <c r="C20" s="57" t="s">
        <v>332</v>
      </c>
      <c r="D20" s="57"/>
      <c r="I20" s="53" t="s">
        <v>343</v>
      </c>
      <c r="K20" s="55" t="s">
        <v>222</v>
      </c>
      <c r="Q20" s="58" t="s">
        <v>186</v>
      </c>
      <c r="R20" s="142" t="s">
        <v>123</v>
      </c>
    </row>
    <row r="21" spans="3:18" ht="30" customHeight="1">
      <c r="C21" s="57"/>
      <c r="D21" s="57"/>
      <c r="K21" s="58" t="s">
        <v>223</v>
      </c>
      <c r="Q21" s="58" t="s">
        <v>187</v>
      </c>
      <c r="R21" s="142" t="s">
        <v>124</v>
      </c>
    </row>
    <row r="22" spans="3:18" ht="30" customHeight="1">
      <c r="C22" s="57"/>
      <c r="D22" s="57"/>
      <c r="K22" s="55" t="s">
        <v>224</v>
      </c>
      <c r="Q22" s="58" t="s">
        <v>188</v>
      </c>
      <c r="R22" s="142" t="s">
        <v>119</v>
      </c>
    </row>
    <row r="23" spans="3:18" ht="30" customHeight="1">
      <c r="C23" s="57"/>
      <c r="D23" s="57"/>
      <c r="K23" s="58" t="s">
        <v>225</v>
      </c>
      <c r="Q23" s="58" t="s">
        <v>189</v>
      </c>
      <c r="R23" s="142" t="s">
        <v>120</v>
      </c>
    </row>
    <row r="24" spans="3:18" ht="30" customHeight="1">
      <c r="C24" s="57"/>
      <c r="D24" s="57"/>
      <c r="K24" s="55" t="s">
        <v>93</v>
      </c>
      <c r="Q24" s="58" t="s">
        <v>190</v>
      </c>
      <c r="R24" s="142" t="s">
        <v>88</v>
      </c>
    </row>
    <row r="25" spans="3:18" ht="30" customHeight="1">
      <c r="K25" s="58" t="s">
        <v>83</v>
      </c>
      <c r="Q25" s="58" t="s">
        <v>243</v>
      </c>
      <c r="R25" s="142" t="s">
        <v>245</v>
      </c>
    </row>
    <row r="26" spans="3:18" ht="30" customHeight="1">
      <c r="Q26" s="58" t="s">
        <v>244</v>
      </c>
      <c r="R26" s="142" t="s">
        <v>246</v>
      </c>
    </row>
    <row r="27" spans="3:18" ht="30" customHeight="1">
      <c r="Q27" s="58" t="s">
        <v>247</v>
      </c>
      <c r="R27" s="142" t="s">
        <v>248</v>
      </c>
    </row>
    <row r="28" spans="3:18" ht="30" customHeight="1">
      <c r="Q28" s="58" t="s">
        <v>249</v>
      </c>
      <c r="R28" s="142" t="s">
        <v>250</v>
      </c>
    </row>
    <row r="29" spans="3:18" ht="30" customHeight="1">
      <c r="Q29" s="58" t="s">
        <v>251</v>
      </c>
      <c r="R29" s="142" t="s">
        <v>60</v>
      </c>
    </row>
    <row r="30" spans="3:18" ht="30" customHeight="1">
      <c r="Q30" s="58" t="s">
        <v>252</v>
      </c>
      <c r="R30" s="142" t="s">
        <v>253</v>
      </c>
    </row>
    <row r="31" spans="3:18" ht="30" customHeight="1">
      <c r="Q31" s="58" t="s">
        <v>274</v>
      </c>
      <c r="R31" s="142" t="s">
        <v>268</v>
      </c>
    </row>
    <row r="32" spans="3:18" ht="30" customHeight="1">
      <c r="Q32" s="58" t="s">
        <v>277</v>
      </c>
      <c r="R32" s="142" t="s">
        <v>269</v>
      </c>
    </row>
    <row r="33" spans="17:18" ht="30" customHeight="1">
      <c r="Q33" s="58" t="s">
        <v>278</v>
      </c>
      <c r="R33" s="142" t="s">
        <v>270</v>
      </c>
    </row>
    <row r="34" spans="17:18" ht="30" customHeight="1">
      <c r="Q34" s="58" t="s">
        <v>279</v>
      </c>
      <c r="R34" s="142" t="s">
        <v>173</v>
      </c>
    </row>
    <row r="35" spans="17:18" ht="30" customHeight="1">
      <c r="Q35" s="58" t="s">
        <v>280</v>
      </c>
      <c r="R35" s="142" t="s">
        <v>175</v>
      </c>
    </row>
    <row r="36" spans="17:18" ht="30" customHeight="1">
      <c r="Q36" s="58" t="s">
        <v>283</v>
      </c>
      <c r="R36" s="142" t="s">
        <v>83</v>
      </c>
    </row>
    <row r="37" spans="17:18" ht="30" customHeight="1">
      <c r="Q37" s="83" t="s">
        <v>394</v>
      </c>
      <c r="R37" s="83" t="s">
        <v>393</v>
      </c>
    </row>
    <row r="38" spans="17:18" ht="30" customHeight="1">
      <c r="Q38" s="83" t="s">
        <v>398</v>
      </c>
      <c r="R38" s="83" t="s">
        <v>399</v>
      </c>
    </row>
    <row r="39" spans="17:18" ht="30" customHeight="1">
      <c r="Q39" s="83" t="s">
        <v>400</v>
      </c>
      <c r="R39" s="83" t="s">
        <v>401</v>
      </c>
    </row>
    <row r="40" spans="17:18" ht="30" customHeight="1">
      <c r="Q40" s="83" t="s">
        <v>402</v>
      </c>
      <c r="R40" s="83" t="s">
        <v>403</v>
      </c>
    </row>
    <row r="41" spans="17:18" ht="30" customHeight="1">
      <c r="Q41" s="83" t="s">
        <v>404</v>
      </c>
      <c r="R41" s="83" t="s">
        <v>405</v>
      </c>
    </row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A1056"/>
  <sheetViews>
    <sheetView tabSelected="1" workbookViewId="0">
      <selection activeCell="D2" sqref="D2"/>
    </sheetView>
  </sheetViews>
  <sheetFormatPr baseColWidth="10" defaultRowHeight="13"/>
  <cols>
    <col min="1" max="1" width="2.83203125" style="29" customWidth="1"/>
    <col min="2" max="2" width="25.1640625" bestFit="1" customWidth="1"/>
    <col min="3" max="3" width="14" bestFit="1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9"/>
    <col min="17" max="17" width="12.33203125" style="29" bestFit="1" customWidth="1"/>
    <col min="18" max="18" width="13.83203125" style="29" bestFit="1" customWidth="1"/>
    <col min="19" max="27" width="10.83203125" style="29"/>
  </cols>
  <sheetData>
    <row r="1" spans="2:20" s="29" customFormat="1"/>
    <row r="2" spans="2:20" s="29" customFormat="1"/>
    <row r="3" spans="2:20" s="29" customFormat="1">
      <c r="B3" s="195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A8eme de finale : MXV / Rabastens-Coufouleux Première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7"/>
    </row>
    <row r="4" spans="2:20" s="29" customFormat="1">
      <c r="B4" s="198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200"/>
    </row>
    <row r="5" spans="2:20" s="29" customFormat="1"/>
    <row r="6" spans="2:20" ht="14" customHeight="1">
      <c r="B6" s="188" t="s">
        <v>64</v>
      </c>
      <c r="C6" s="175" t="str">
        <f>ACT_PL_NORMAL</f>
        <v>Plaquage normal</v>
      </c>
      <c r="D6" s="176"/>
      <c r="E6" s="175" t="str">
        <f>ACT_PL_OFF</f>
        <v>Plaquage offensif</v>
      </c>
      <c r="F6" s="176"/>
      <c r="G6" s="175" t="str">
        <f>ACT_PL_RATE</f>
        <v>Plaquage raté</v>
      </c>
      <c r="H6" s="176"/>
      <c r="I6" s="175" t="str">
        <f>ACT_PL_A2</f>
        <v>Plaquage à 2</v>
      </c>
      <c r="J6" s="201"/>
      <c r="K6" s="201" t="str">
        <f>ACT_PL_HAUT</f>
        <v>Plaquage haut</v>
      </c>
      <c r="L6" s="176"/>
      <c r="M6" s="201" t="str">
        <f>ACT_GRATTAGE</f>
        <v>Grattage</v>
      </c>
      <c r="N6" s="176"/>
      <c r="O6" s="206" t="s">
        <v>409</v>
      </c>
      <c r="P6" s="207"/>
      <c r="Q6" s="207"/>
      <c r="R6" s="207"/>
      <c r="S6" s="207"/>
      <c r="T6" s="208"/>
    </row>
    <row r="7" spans="2:20" ht="13" customHeight="1">
      <c r="B7" s="189"/>
      <c r="C7" s="123" t="s">
        <v>116</v>
      </c>
      <c r="D7" s="124" t="s">
        <v>113</v>
      </c>
      <c r="E7" s="125" t="s">
        <v>116</v>
      </c>
      <c r="F7" s="125" t="s">
        <v>113</v>
      </c>
      <c r="G7" s="123" t="s">
        <v>116</v>
      </c>
      <c r="H7" s="124" t="s">
        <v>113</v>
      </c>
      <c r="I7" s="123" t="s">
        <v>116</v>
      </c>
      <c r="J7" s="124" t="s">
        <v>113</v>
      </c>
      <c r="K7" s="123" t="s">
        <v>116</v>
      </c>
      <c r="L7" s="124" t="s">
        <v>113</v>
      </c>
      <c r="M7" s="125" t="s">
        <v>116</v>
      </c>
      <c r="N7" s="124" t="s">
        <v>113</v>
      </c>
      <c r="O7" s="148" t="str">
        <f>ACT_PEN_MAUL</f>
        <v>Maul</v>
      </c>
      <c r="P7" s="148" t="str">
        <f>ACT_PEN_HORS_JEU</f>
        <v>Hors-jeu</v>
      </c>
      <c r="Q7" s="148" t="str">
        <f>ACT_PEN_PL_A_2</f>
        <v>Plaquage à 2</v>
      </c>
      <c r="R7" s="148" t="str">
        <f>ACT_PEN_PL_HAUT</f>
        <v>Plaquage haut</v>
      </c>
      <c r="S7" s="148" t="str">
        <f>ACT_PEN_RUCK</f>
        <v>Ruck</v>
      </c>
      <c r="T7" s="148" t="str">
        <f>ACT_PEN_UNKNOWN</f>
        <v>?</v>
      </c>
    </row>
    <row r="8" spans="2:20">
      <c r="B8" s="92" t="str" cm="1">
        <f t="array" ref="B8:B29">_xlfn._xlws.SORT(_xlfn._xlws.FILTER(COMPO[Nom du joueur],(COMPO[Nom du joueur]&lt;&gt;"")*(COMPO[Nom du joueur]&lt;&gt;"Collectif")*(COMPO[Nom du joueur]&lt;&gt;"?")))</f>
        <v>ABADIE  Emeric</v>
      </c>
      <c r="C8" s="97">
        <f>IF(COUNTIFS(JournalActions[Joueur],$B8,JournalActions[Action],$C$6,JournalActions[Mi-temps],C$7)=0,"",COUNTIFS(JournalActions[Joueur],$B8,JournalActions[Action],$C$6,JournalActions[Mi-temps],C$7))</f>
        <v>1</v>
      </c>
      <c r="D8" s="98">
        <f>IF(COUNTIFS(JournalActions[Joueur],$B8,JournalActions[Action],$C$6,JournalActions[Mi-temps],D$7)=0,"",COUNTIFS(JournalActions[Joueur],$B8,JournalActions[Action],$C$6,JournalActions[Mi-temps],D$7))</f>
        <v>3</v>
      </c>
      <c r="E8" s="97" t="str">
        <f>IF(COUNTIFS(JournalActions[Joueur],$B8,JournalActions[Action],$E$6,JournalActions[Mi-temps],E$7)=0,"",COUNTIFS(JournalActions[Joueur],$B8,JournalActions[Action],$E$6,JournalActions[Mi-temps],E$7))</f>
        <v/>
      </c>
      <c r="F8" s="99" t="str">
        <f>IF(COUNTIFS(JournalActions[Joueur],$B8,JournalActions[Action],$E$6,JournalActions[Mi-temps],F$7)=0,"",COUNTIFS(JournalActions[Joueur],$B8,JournalActions[Action],$E$6,JournalActions[Mi-temps],F$7))</f>
        <v/>
      </c>
      <c r="G8" s="97" t="str">
        <f>IF(COUNTIFS(JournalActions[Joueur],$B8,JournalActions[Action],$G$6,JournalActions[Mi-temps],G$7)=0,"",COUNTIFS(JournalActions[Joueur],$B8,JournalActions[Action],$G$6,JournalActions[Mi-temps],G$7))</f>
        <v/>
      </c>
      <c r="H8" s="98" t="str">
        <f>IF(COUNTIFS(JournalActions[Joueur],$B8,JournalActions[Action],$G$6,JournalActions[Mi-temps],H$7)=0,"",COUNTIFS(JournalActions[Joueur],$B8,JournalActions[Action],$G$6,JournalActions[Mi-temps],H$7))</f>
        <v/>
      </c>
      <c r="I8" s="97" t="str">
        <f>IF(COUNTIFS(JournalActions[Joueur],$B8,JournalActions[Action],$I$6,JournalActions[Mi-temps],I$7)=0,"",COUNTIFS(JournalActions[Joueur],$B8,JournalActions[Action],$I$6,JournalActions[Mi-temps],I$7))</f>
        <v/>
      </c>
      <c r="J8" s="98" t="str">
        <f>IF(COUNTIFS(JournalActions[Joueur],$B8,JournalActions[Action],$I$6,JournalActions[Mi-temps],J$7)=0,"",COUNTIFS(JournalActions[Joueur],$B8,JournalActions[Action],$I$6,JournalActions[Mi-temps],J$7))</f>
        <v/>
      </c>
      <c r="K8" s="97" t="str">
        <f>IF(COUNTIFS(JournalActions[Joueur],$B8,JournalActions[Action],$K$6,JournalActions[Mi-temps],K$7)=0,"",COUNTIFS(JournalActions[Joueur],$B8,JournalActions[Action],$K$6,JournalActions[Mi-temps],K$7))</f>
        <v/>
      </c>
      <c r="L8" s="98" t="str">
        <f>IF(COUNTIFS(JournalActions[Joueur],$B8,JournalActions[Action],$K$6,JournalActions[Mi-temps],L$7)=0,"",COUNTIFS(JournalActions[Joueur],$B8,JournalActions[Action],$K$6,JournalActions[Mi-temps],L$7))</f>
        <v/>
      </c>
      <c r="M8" s="97" t="str">
        <f>IF(COUNTIFS(JournalActions[Joueur],$B8,JournalActions[Action],$M$6,JournalActions[Mi-temps],M$7)=0,"",COUNTIFS(JournalActions[Joueur],$B8,JournalActions[Action],$M$6,JournalActions[Mi-temps],M$7))</f>
        <v/>
      </c>
      <c r="N8" s="98" t="str">
        <f>IF(COUNTIFS(JournalActions[Joueur],$B8,JournalActions[Action],$M$6,JournalActions[Mi-temps],N$7)=0,"",COUNTIFS(JournalActions[Joueur],$B8,JournalActions[Action],$M$6,JournalActions[Mi-temps],N$7))</f>
        <v/>
      </c>
      <c r="O8" s="135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135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135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135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135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135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</row>
    <row r="9" spans="2:20">
      <c r="B9" s="92" t="str">
        <v>BAQUE Lucas</v>
      </c>
      <c r="C9" s="92">
        <f>IF(COUNTIFS(JournalActions[Joueur],$B9,JournalActions[Action],$C$6,JournalActions[Mi-temps],C$7)=0,"",COUNTIFS(JournalActions[Joueur],$B9,JournalActions[Action],$C$6,JournalActions[Mi-temps],C$7))</f>
        <v>5</v>
      </c>
      <c r="D9" s="93">
        <f>IF(COUNTIFS(JournalActions[Joueur],$B9,JournalActions[Action],$C$6,JournalActions[Mi-temps],D$7)=0,"",COUNTIFS(JournalActions[Joueur],$B9,JournalActions[Action],$C$6,JournalActions[Mi-temps],D$7))</f>
        <v>5</v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>
        <f>IF(COUNTIFS(JournalActions[Joueur],$B9,JournalActions[Action],$E$6,JournalActions[Mi-temps],F$7)=0,"",COUNTIFS(JournalActions[Joueur],$B9,JournalActions[Action],$E$6,JournalActions[Mi-temps],F$7))</f>
        <v>1</v>
      </c>
      <c r="G9" s="92">
        <f>IF(COUNTIFS(JournalActions[Joueur],$B9,JournalActions[Action],$G$6,JournalActions[Mi-temps],G$7)=0,"",COUNTIFS(JournalActions[Joueur],$B9,JournalActions[Action],$G$6,JournalActions[Mi-temps],G$7))</f>
        <v>1</v>
      </c>
      <c r="H9" s="93">
        <f>IF(COUNTIFS(JournalActions[Joueur],$B9,JournalActions[Action],$G$6,JournalActions[Mi-temps],H$7)=0,"",COUNTIFS(JournalActions[Joueur],$B9,JournalActions[Action],$G$6,JournalActions[Mi-temps],H$7))</f>
        <v>3</v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2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2" t="str">
        <f>IF(COUNTIFS(JournalActions[Joueur],$B9,JournalActions[Action],$M$6,JournalActions[Mi-temps],M$7)=0,"",COUNTIFS(JournalActions[Joueur],$B9,JournalActions[Action],$M$6,JournalActions[Mi-temps],M$7))</f>
        <v/>
      </c>
      <c r="N9" s="93" t="str">
        <f>IF(COUNTIFS(JournalActions[Joueur],$B9,JournalActions[Action],$M$6,JournalActions[Mi-temps],N$7)=0,"",COUNTIFS(JournalActions[Joueur],$B9,JournalActions[Action],$M$6,JournalActions[Mi-temps],N$7))</f>
        <v/>
      </c>
      <c r="O9" s="144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44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44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44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44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44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</row>
    <row r="10" spans="2:20">
      <c r="B10" s="92" t="str">
        <v>BARATGIN Julian</v>
      </c>
      <c r="C10" s="92">
        <f>IF(COUNTIFS(JournalActions[Joueur],$B10,JournalActions[Action],$C$6,JournalActions[Mi-temps],C$7)=0,"",COUNTIFS(JournalActions[Joueur],$B10,JournalActions[Action],$C$6,JournalActions[Mi-temps],C$7))</f>
        <v>4</v>
      </c>
      <c r="D10" s="93">
        <f>IF(COUNTIFS(JournalActions[Joueur],$B10,JournalActions[Action],$C$6,JournalActions[Mi-temps],D$7)=0,"",COUNTIFS(JournalActions[Joueur],$B10,JournalActions[Action],$C$6,JournalActions[Mi-temps],D$7))</f>
        <v>3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2" t="str">
        <f>IF(COUNTIFS(JournalActions[Joueur],$B10,JournalActions[Action],$G$6,JournalActions[Mi-temps],G$7)=0,"",COUNTIFS(JournalActions[Joueur],$B10,JournalActions[Action],$G$6,JournalActions[Mi-temps],G$7))</f>
        <v/>
      </c>
      <c r="H10" s="93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2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2" t="str">
        <f>IF(COUNTIFS(JournalActions[Joueur],$B10,JournalActions[Action],$M$6,JournalActions[Mi-temps],M$7)=0,"",COUNTIFS(JournalActions[Joueur],$B10,JournalActions[Action],$M$6,JournalActions[Mi-temps],M$7))</f>
        <v/>
      </c>
      <c r="N10" s="93" t="str">
        <f>IF(COUNTIFS(JournalActions[Joueur],$B10,JournalActions[Action],$M$6,JournalActions[Mi-temps],N$7)=0,"",COUNTIFS(JournalActions[Joueur],$B10,JournalActions[Action],$M$6,JournalActions[Mi-temps],N$7))</f>
        <v/>
      </c>
      <c r="O10" s="144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44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44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44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44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44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</row>
    <row r="11" spans="2:20">
      <c r="B11" s="92" t="str">
        <v>BAUP Bastien</v>
      </c>
      <c r="C11" s="92" t="str">
        <f>IF(COUNTIFS(JournalActions[Joueur],$B11,JournalActions[Action],$C$6,JournalActions[Mi-temps],C$7)=0,"",COUNTIFS(JournalActions[Joueur],$B11,JournalActions[Action],$C$6,JournalActions[Mi-temps],C$7))</f>
        <v/>
      </c>
      <c r="D11" s="93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2" t="str">
        <f>IF(COUNTIFS(JournalActions[Joueur],$B11,JournalActions[Action],$G$6,JournalActions[Mi-temps],G$7)=0,"",COUNTIFS(JournalActions[Joueur],$B11,JournalActions[Action],$G$6,JournalActions[Mi-temps],G$7))</f>
        <v/>
      </c>
      <c r="H11" s="93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2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2" t="str">
        <f>IF(COUNTIFS(JournalActions[Joueur],$B11,JournalActions[Action],$M$6,JournalActions[Mi-temps],M$7)=0,"",COUNTIFS(JournalActions[Joueur],$B11,JournalActions[Action],$M$6,JournalActions[Mi-temps],M$7))</f>
        <v/>
      </c>
      <c r="N11" s="93" t="str">
        <f>IF(COUNTIFS(JournalActions[Joueur],$B11,JournalActions[Action],$M$6,JournalActions[Mi-temps],N$7)=0,"",COUNTIFS(JournalActions[Joueur],$B11,JournalActions[Action],$M$6,JournalActions[Mi-temps],N$7))</f>
        <v/>
      </c>
      <c r="O11" s="144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44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44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44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44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44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</row>
    <row r="12" spans="2:20">
      <c r="B12" s="92" t="str">
        <v>BOURREC Anthony</v>
      </c>
      <c r="C12" s="92">
        <f>IF(COUNTIFS(JournalActions[Joueur],$B12,JournalActions[Action],$C$6,JournalActions[Mi-temps],C$7)=0,"",COUNTIFS(JournalActions[Joueur],$B12,JournalActions[Action],$C$6,JournalActions[Mi-temps],C$7))</f>
        <v>2</v>
      </c>
      <c r="D12" s="93">
        <f>IF(COUNTIFS(JournalActions[Joueur],$B12,JournalActions[Action],$C$6,JournalActions[Mi-temps],D$7)=0,"",COUNTIFS(JournalActions[Joueur],$B12,JournalActions[Action],$C$6,JournalActions[Mi-temps],D$7))</f>
        <v>2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2">
        <f>IF(COUNTIFS(JournalActions[Joueur],$B12,JournalActions[Action],$G$6,JournalActions[Mi-temps],G$7)=0,"",COUNTIFS(JournalActions[Joueur],$B12,JournalActions[Action],$G$6,JournalActions[Mi-temps],G$7))</f>
        <v>1</v>
      </c>
      <c r="H12" s="93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2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2" t="str">
        <f>IF(COUNTIFS(JournalActions[Joueur],$B12,JournalActions[Action],$M$6,JournalActions[Mi-temps],M$7)=0,"",COUNTIFS(JournalActions[Joueur],$B12,JournalActions[Action],$M$6,JournalActions[Mi-temps],M$7))</f>
        <v/>
      </c>
      <c r="N12" s="93" t="str">
        <f>IF(COUNTIFS(JournalActions[Joueur],$B12,JournalActions[Action],$M$6,JournalActions[Mi-temps],N$7)=0,"",COUNTIFS(JournalActions[Joueur],$B12,JournalActions[Action],$M$6,JournalActions[Mi-temps],N$7))</f>
        <v/>
      </c>
      <c r="O12" s="144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44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44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44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44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44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</row>
    <row r="13" spans="2:20">
      <c r="B13" s="92" t="str">
        <v>BOUTELOUP Romain</v>
      </c>
      <c r="C13" s="92" t="str">
        <f>IF(COUNTIFS(JournalActions[Joueur],$B13,JournalActions[Action],$C$6,JournalActions[Mi-temps],C$7)=0,"",COUNTIFS(JournalActions[Joueur],$B13,JournalActions[Action],$C$6,JournalActions[Mi-temps],C$7))</f>
        <v/>
      </c>
      <c r="D13" s="93">
        <f>IF(COUNTIFS(JournalActions[Joueur],$B13,JournalActions[Action],$C$6,JournalActions[Mi-temps],D$7)=0,"",COUNTIFS(JournalActions[Joueur],$B13,JournalActions[Action],$C$6,JournalActions[Mi-temps],D$7))</f>
        <v>1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2" t="str">
        <f>IF(COUNTIFS(JournalActions[Joueur],$B13,JournalActions[Action],$G$6,JournalActions[Mi-temps],G$7)=0,"",COUNTIFS(JournalActions[Joueur],$B13,JournalActions[Action],$G$6,JournalActions[Mi-temps],G$7))</f>
        <v/>
      </c>
      <c r="H13" s="93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2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2" t="str">
        <f>IF(COUNTIFS(JournalActions[Joueur],$B13,JournalActions[Action],$M$6,JournalActions[Mi-temps],M$7)=0,"",COUNTIFS(JournalActions[Joueur],$B13,JournalActions[Action],$M$6,JournalActions[Mi-temps],M$7))</f>
        <v/>
      </c>
      <c r="N13" s="93" t="str">
        <f>IF(COUNTIFS(JournalActions[Joueur],$B13,JournalActions[Action],$M$6,JournalActions[Mi-temps],N$7)=0,"",COUNTIFS(JournalActions[Joueur],$B13,JournalActions[Action],$M$6,JournalActions[Mi-temps],N$7))</f>
        <v/>
      </c>
      <c r="O13" s="144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44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44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44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44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44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</row>
    <row r="14" spans="2:20">
      <c r="B14" s="92" t="str">
        <v>DALLA ROSA Jonah</v>
      </c>
      <c r="C14" s="92">
        <f>IF(COUNTIFS(JournalActions[Joueur],$B14,JournalActions[Action],$C$6,JournalActions[Mi-temps],C$7)=0,"",COUNTIFS(JournalActions[Joueur],$B14,JournalActions[Action],$C$6,JournalActions[Mi-temps],C$7))</f>
        <v>1</v>
      </c>
      <c r="D14" s="93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2" t="str">
        <f>IF(COUNTIFS(JournalActions[Joueur],$B14,JournalActions[Action],$G$6,JournalActions[Mi-temps],G$7)=0,"",COUNTIFS(JournalActions[Joueur],$B14,JournalActions[Action],$G$6,JournalActions[Mi-temps],G$7))</f>
        <v/>
      </c>
      <c r="H14" s="93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2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2" t="str">
        <f>IF(COUNTIFS(JournalActions[Joueur],$B14,JournalActions[Action],$M$6,JournalActions[Mi-temps],M$7)=0,"",COUNTIFS(JournalActions[Joueur],$B14,JournalActions[Action],$M$6,JournalActions[Mi-temps],M$7))</f>
        <v/>
      </c>
      <c r="N14" s="93" t="str">
        <f>IF(COUNTIFS(JournalActions[Joueur],$B14,JournalActions[Action],$M$6,JournalActions[Mi-temps],N$7)=0,"",COUNTIFS(JournalActions[Joueur],$B14,JournalActions[Action],$M$6,JournalActions[Mi-temps],N$7))</f>
        <v/>
      </c>
      <c r="O14" s="144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44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44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44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44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44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</row>
    <row r="15" spans="2:20">
      <c r="B15" s="92" t="str">
        <v>DASTUGUE Thomas</v>
      </c>
      <c r="C15" s="92">
        <f>IF(COUNTIFS(JournalActions[Joueur],$B15,JournalActions[Action],$C$6,JournalActions[Mi-temps],C$7)=0,"",COUNTIFS(JournalActions[Joueur],$B15,JournalActions[Action],$C$6,JournalActions[Mi-temps],C$7))</f>
        <v>5</v>
      </c>
      <c r="D15" s="93">
        <f>IF(COUNTIFS(JournalActions[Joueur],$B15,JournalActions[Action],$C$6,JournalActions[Mi-temps],D$7)=0,"",COUNTIFS(JournalActions[Joueur],$B15,JournalActions[Action],$C$6,JournalActions[Mi-temps],D$7))</f>
        <v>2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2">
        <f>IF(COUNTIFS(JournalActions[Joueur],$B15,JournalActions[Action],$G$6,JournalActions[Mi-temps],G$7)=0,"",COUNTIFS(JournalActions[Joueur],$B15,JournalActions[Action],$G$6,JournalActions[Mi-temps],G$7))</f>
        <v>1</v>
      </c>
      <c r="H15" s="93">
        <f>IF(COUNTIFS(JournalActions[Joueur],$B15,JournalActions[Action],$G$6,JournalActions[Mi-temps],H$7)=0,"",COUNTIFS(JournalActions[Joueur],$B15,JournalActions[Action],$G$6,JournalActions[Mi-temps],H$7))</f>
        <v>1</v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2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2" t="str">
        <f>IF(COUNTIFS(JournalActions[Joueur],$B15,JournalActions[Action],$M$6,JournalActions[Mi-temps],M$7)=0,"",COUNTIFS(JournalActions[Joueur],$B15,JournalActions[Action],$M$6,JournalActions[Mi-temps],M$7))</f>
        <v/>
      </c>
      <c r="N15" s="93" t="str">
        <f>IF(COUNTIFS(JournalActions[Joueur],$B15,JournalActions[Action],$M$6,JournalActions[Mi-temps],N$7)=0,"",COUNTIFS(JournalActions[Joueur],$B15,JournalActions[Action],$M$6,JournalActions[Mi-temps],N$7))</f>
        <v/>
      </c>
      <c r="O15" s="144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44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44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44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44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44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</row>
    <row r="16" spans="2:20">
      <c r="B16" s="92" t="str">
        <v>FAULONG Marius</v>
      </c>
      <c r="C16" s="92">
        <f>IF(COUNTIFS(JournalActions[Joueur],$B16,JournalActions[Action],$C$6,JournalActions[Mi-temps],C$7)=0,"",COUNTIFS(JournalActions[Joueur],$B16,JournalActions[Action],$C$6,JournalActions[Mi-temps],C$7))</f>
        <v>3</v>
      </c>
      <c r="D16" s="93">
        <f>IF(COUNTIFS(JournalActions[Joueur],$B16,JournalActions[Action],$C$6,JournalActions[Mi-temps],D$7)=0,"",COUNTIFS(JournalActions[Joueur],$B16,JournalActions[Action],$C$6,JournalActions[Mi-temps],D$7))</f>
        <v>1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2" t="str">
        <f>IF(COUNTIFS(JournalActions[Joueur],$B16,JournalActions[Action],$G$6,JournalActions[Mi-temps],G$7)=0,"",COUNTIFS(JournalActions[Joueur],$B16,JournalActions[Action],$G$6,JournalActions[Mi-temps],G$7))</f>
        <v/>
      </c>
      <c r="H16" s="93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2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2" t="str">
        <f>IF(COUNTIFS(JournalActions[Joueur],$B16,JournalActions[Action],$M$6,JournalActions[Mi-temps],M$7)=0,"",COUNTIFS(JournalActions[Joueur],$B16,JournalActions[Action],$M$6,JournalActions[Mi-temps],M$7))</f>
        <v/>
      </c>
      <c r="N16" s="93" t="str">
        <f>IF(COUNTIFS(JournalActions[Joueur],$B16,JournalActions[Action],$M$6,JournalActions[Mi-temps],N$7)=0,"",COUNTIFS(JournalActions[Joueur],$B16,JournalActions[Action],$M$6,JournalActions[Mi-temps],N$7))</f>
        <v/>
      </c>
      <c r="O16" s="144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44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44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44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44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44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</row>
    <row r="17" spans="2:20">
      <c r="B17" s="92" t="str">
        <v>JOUNAUX Joris</v>
      </c>
      <c r="C17" s="92" t="str">
        <f>IF(COUNTIFS(JournalActions[Joueur],$B17,JournalActions[Action],$C$6,JournalActions[Mi-temps],C$7)=0,"",COUNTIFS(JournalActions[Joueur],$B17,JournalActions[Action],$C$6,JournalActions[Mi-temps],C$7))</f>
        <v/>
      </c>
      <c r="D17" s="93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2" t="str">
        <f>IF(COUNTIFS(JournalActions[Joueur],$B17,JournalActions[Action],$G$6,JournalActions[Mi-temps],G$7)=0,"",COUNTIFS(JournalActions[Joueur],$B17,JournalActions[Action],$G$6,JournalActions[Mi-temps],G$7))</f>
        <v/>
      </c>
      <c r="H17" s="93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2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2" t="str">
        <f>IF(COUNTIFS(JournalActions[Joueur],$B17,JournalActions[Action],$M$6,JournalActions[Mi-temps],M$7)=0,"",COUNTIFS(JournalActions[Joueur],$B17,JournalActions[Action],$M$6,JournalActions[Mi-temps],M$7))</f>
        <v/>
      </c>
      <c r="N17" s="93" t="str">
        <f>IF(COUNTIFS(JournalActions[Joueur],$B17,JournalActions[Action],$M$6,JournalActions[Mi-temps],N$7)=0,"",COUNTIFS(JournalActions[Joueur],$B17,JournalActions[Action],$M$6,JournalActions[Mi-temps],N$7))</f>
        <v/>
      </c>
      <c r="O17" s="144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44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44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44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44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44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</row>
    <row r="18" spans="2:20">
      <c r="B18" s="92" t="str">
        <v>KAPFER Bastien</v>
      </c>
      <c r="C18" s="92">
        <f>IF(COUNTIFS(JournalActions[Joueur],$B18,JournalActions[Action],$C$6,JournalActions[Mi-temps],C$7)=0,"",COUNTIFS(JournalActions[Joueur],$B18,JournalActions[Action],$C$6,JournalActions[Mi-temps],C$7))</f>
        <v>3</v>
      </c>
      <c r="D18" s="93">
        <f>IF(COUNTIFS(JournalActions[Joueur],$B18,JournalActions[Action],$C$6,JournalActions[Mi-temps],D$7)=0,"",COUNTIFS(JournalActions[Joueur],$B18,JournalActions[Action],$C$6,JournalActions[Mi-temps],D$7))</f>
        <v>1</v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2">
        <f>IF(COUNTIFS(JournalActions[Joueur],$B18,JournalActions[Action],$G$6,JournalActions[Mi-temps],G$7)=0,"",COUNTIFS(JournalActions[Joueur],$B18,JournalActions[Action],$G$6,JournalActions[Mi-temps],G$7))</f>
        <v>1</v>
      </c>
      <c r="H18" s="93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2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2" t="str">
        <f>IF(COUNTIFS(JournalActions[Joueur],$B18,JournalActions[Action],$M$6,JournalActions[Mi-temps],M$7)=0,"",COUNTIFS(JournalActions[Joueur],$B18,JournalActions[Action],$M$6,JournalActions[Mi-temps],M$7))</f>
        <v/>
      </c>
      <c r="N18" s="93" t="str">
        <f>IF(COUNTIFS(JournalActions[Joueur],$B18,JournalActions[Action],$M$6,JournalActions[Mi-temps],N$7)=0,"",COUNTIFS(JournalActions[Joueur],$B18,JournalActions[Action],$M$6,JournalActions[Mi-temps],N$7))</f>
        <v/>
      </c>
      <c r="O18" s="144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44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44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44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44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44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</row>
    <row r="19" spans="2:20">
      <c r="B19" s="92" t="str">
        <v>LAUDET Jean-Baptiste</v>
      </c>
      <c r="C19" s="92">
        <f>IF(COUNTIFS(JournalActions[Joueur],$B19,JournalActions[Action],$C$6,JournalActions[Mi-temps],C$7)=0,"",COUNTIFS(JournalActions[Joueur],$B19,JournalActions[Action],$C$6,JournalActions[Mi-temps],C$7))</f>
        <v>1</v>
      </c>
      <c r="D19" s="93">
        <f>IF(COUNTIFS(JournalActions[Joueur],$B19,JournalActions[Action],$C$6,JournalActions[Mi-temps],D$7)=0,"",COUNTIFS(JournalActions[Joueur],$B19,JournalActions[Action],$C$6,JournalActions[Mi-temps],D$7))</f>
        <v>4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>
        <f>IF(COUNTIFS(JournalActions[Joueur],$B19,JournalActions[Action],$E$6,JournalActions[Mi-temps],F$7)=0,"",COUNTIFS(JournalActions[Joueur],$B19,JournalActions[Action],$E$6,JournalActions[Mi-temps],F$7))</f>
        <v>1</v>
      </c>
      <c r="G19" s="92" t="str">
        <f>IF(COUNTIFS(JournalActions[Joueur],$B19,JournalActions[Action],$G$6,JournalActions[Mi-temps],G$7)=0,"",COUNTIFS(JournalActions[Joueur],$B19,JournalActions[Action],$G$6,JournalActions[Mi-temps],G$7))</f>
        <v/>
      </c>
      <c r="H19" s="93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2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2" t="str">
        <f>IF(COUNTIFS(JournalActions[Joueur],$B19,JournalActions[Action],$M$6,JournalActions[Mi-temps],M$7)=0,"",COUNTIFS(JournalActions[Joueur],$B19,JournalActions[Action],$M$6,JournalActions[Mi-temps],M$7))</f>
        <v/>
      </c>
      <c r="N19" s="93" t="str">
        <f>IF(COUNTIFS(JournalActions[Joueur],$B19,JournalActions[Action],$M$6,JournalActions[Mi-temps],N$7)=0,"",COUNTIFS(JournalActions[Joueur],$B19,JournalActions[Action],$M$6,JournalActions[Mi-temps],N$7))</f>
        <v/>
      </c>
      <c r="O19" s="144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44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44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44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44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44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</row>
    <row r="20" spans="2:20">
      <c r="B20" s="92" t="str">
        <v>LOUREIRO LABAZUY Antonio</v>
      </c>
      <c r="C20" s="92" t="str">
        <f>IF(COUNTIFS(JournalActions[Joueur],$B20,JournalActions[Action],$C$6,JournalActions[Mi-temps],C$7)=0,"",COUNTIFS(JournalActions[Joueur],$B20,JournalActions[Action],$C$6,JournalActions[Mi-temps],C$7))</f>
        <v/>
      </c>
      <c r="D20" s="93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2" t="str">
        <f>IF(COUNTIFS(JournalActions[Joueur],$B20,JournalActions[Action],$G$6,JournalActions[Mi-temps],G$7)=0,"",COUNTIFS(JournalActions[Joueur],$B20,JournalActions[Action],$G$6,JournalActions[Mi-temps],G$7))</f>
        <v/>
      </c>
      <c r="H20" s="93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2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2" t="str">
        <f>IF(COUNTIFS(JournalActions[Joueur],$B20,JournalActions[Action],$M$6,JournalActions[Mi-temps],M$7)=0,"",COUNTIFS(JournalActions[Joueur],$B20,JournalActions[Action],$M$6,JournalActions[Mi-temps],M$7))</f>
        <v/>
      </c>
      <c r="N20" s="93" t="str">
        <f>IF(COUNTIFS(JournalActions[Joueur],$B20,JournalActions[Action],$M$6,JournalActions[Mi-temps],N$7)=0,"",COUNTIFS(JournalActions[Joueur],$B20,JournalActions[Action],$M$6,JournalActions[Mi-temps],N$7))</f>
        <v/>
      </c>
      <c r="O20" s="144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44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44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44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44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44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20">
      <c r="B21" s="92" t="str">
        <v>MICHELIN Paul</v>
      </c>
      <c r="C21" s="92">
        <f>IF(COUNTIFS(JournalActions[Joueur],$B21,JournalActions[Action],$C$6,JournalActions[Mi-temps],C$7)=0,"",COUNTIFS(JournalActions[Joueur],$B21,JournalActions[Action],$C$6,JournalActions[Mi-temps],C$7))</f>
        <v>4</v>
      </c>
      <c r="D21" s="93">
        <f>IF(COUNTIFS(JournalActions[Joueur],$B21,JournalActions[Action],$C$6,JournalActions[Mi-temps],D$7)=0,"",COUNTIFS(JournalActions[Joueur],$B21,JournalActions[Action],$C$6,JournalActions[Mi-temps],D$7))</f>
        <v>2</v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2">
        <f>IF(COUNTIFS(JournalActions[Joueur],$B21,JournalActions[Action],$G$6,JournalActions[Mi-temps],G$7)=0,"",COUNTIFS(JournalActions[Joueur],$B21,JournalActions[Action],$G$6,JournalActions[Mi-temps],G$7))</f>
        <v>1</v>
      </c>
      <c r="H21" s="93">
        <f>IF(COUNTIFS(JournalActions[Joueur],$B21,JournalActions[Action],$G$6,JournalActions[Mi-temps],H$7)=0,"",COUNTIFS(JournalActions[Joueur],$B21,JournalActions[Action],$G$6,JournalActions[Mi-temps],H$7))</f>
        <v>2</v>
      </c>
      <c r="I21">
        <f>IF(COUNTIFS(JournalActions[Joueur],$B21,JournalActions[Action],$I$6,JournalActions[Mi-temps],I$7)=0,"",COUNTIFS(JournalActions[Joueur],$B21,JournalActions[Action],$I$6,JournalActions[Mi-temps],I$7))</f>
        <v>1</v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2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2" t="str">
        <f>IF(COUNTIFS(JournalActions[Joueur],$B21,JournalActions[Action],$M$6,JournalActions[Mi-temps],M$7)=0,"",COUNTIFS(JournalActions[Joueur],$B21,JournalActions[Action],$M$6,JournalActions[Mi-temps],M$7))</f>
        <v/>
      </c>
      <c r="N21" s="93" t="str">
        <f>IF(COUNTIFS(JournalActions[Joueur],$B21,JournalActions[Action],$M$6,JournalActions[Mi-temps],N$7)=0,"",COUNTIFS(JournalActions[Joueur],$B21,JournalActions[Action],$M$6,JournalActions[Mi-temps],N$7))</f>
        <v/>
      </c>
      <c r="O21" s="144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44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44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44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44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>1</v>
      </c>
      <c r="T21" s="144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>1</v>
      </c>
    </row>
    <row r="22" spans="2:20">
      <c r="B22" s="92" t="str">
        <v>MONLOR Yohan</v>
      </c>
      <c r="C22" s="92">
        <f>IF(COUNTIFS(JournalActions[Joueur],$B22,JournalActions[Action],$C$6,JournalActions[Mi-temps],C$7)=0,"",COUNTIFS(JournalActions[Joueur],$B22,JournalActions[Action],$C$6,JournalActions[Mi-temps],C$7))</f>
        <v>4</v>
      </c>
      <c r="D22" s="93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2" t="str">
        <f>IF(COUNTIFS(JournalActions[Joueur],$B22,JournalActions[Action],$G$6,JournalActions[Mi-temps],G$7)=0,"",COUNTIFS(JournalActions[Joueur],$B22,JournalActions[Action],$G$6,JournalActions[Mi-temps],G$7))</f>
        <v/>
      </c>
      <c r="H22" s="93">
        <f>IF(COUNTIFS(JournalActions[Joueur],$B22,JournalActions[Action],$G$6,JournalActions[Mi-temps],H$7)=0,"",COUNTIFS(JournalActions[Joueur],$B22,JournalActions[Action],$G$6,JournalActions[Mi-temps],H$7))</f>
        <v>1</v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2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2" t="str">
        <f>IF(COUNTIFS(JournalActions[Joueur],$B22,JournalActions[Action],$M$6,JournalActions[Mi-temps],M$7)=0,"",COUNTIFS(JournalActions[Joueur],$B22,JournalActions[Action],$M$6,JournalActions[Mi-temps],M$7))</f>
        <v/>
      </c>
      <c r="N22" s="93" t="str">
        <f>IF(COUNTIFS(JournalActions[Joueur],$B22,JournalActions[Action],$M$6,JournalActions[Mi-temps],N$7)=0,"",COUNTIFS(JournalActions[Joueur],$B22,JournalActions[Action],$M$6,JournalActions[Mi-temps],N$7))</f>
        <v/>
      </c>
      <c r="O22" s="144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44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44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44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44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44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20">
      <c r="B23" s="92" t="str">
        <v>MOUDENS Alexis</v>
      </c>
      <c r="C23" s="92" t="str">
        <f>IF(COUNTIFS(JournalActions[Joueur],$B23,JournalActions[Action],$C$6,JournalActions[Mi-temps],C$7)=0,"",COUNTIFS(JournalActions[Joueur],$B23,JournalActions[Action],$C$6,JournalActions[Mi-temps],C$7))</f>
        <v/>
      </c>
      <c r="D23" s="93">
        <f>IF(COUNTIFS(JournalActions[Joueur],$B23,JournalActions[Action],$C$6,JournalActions[Mi-temps],D$7)=0,"",COUNTIFS(JournalActions[Joueur],$B23,JournalActions[Action],$C$6,JournalActions[Mi-temps],D$7))</f>
        <v>2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2" t="str">
        <f>IF(COUNTIFS(JournalActions[Joueur],$B23,JournalActions[Action],$G$6,JournalActions[Mi-temps],G$7)=0,"",COUNTIFS(JournalActions[Joueur],$B23,JournalActions[Action],$G$6,JournalActions[Mi-temps],G$7))</f>
        <v/>
      </c>
      <c r="H23" s="93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2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2" t="str">
        <f>IF(COUNTIFS(JournalActions[Joueur],$B23,JournalActions[Action],$M$6,JournalActions[Mi-temps],M$7)=0,"",COUNTIFS(JournalActions[Joueur],$B23,JournalActions[Action],$M$6,JournalActions[Mi-temps],M$7))</f>
        <v/>
      </c>
      <c r="N23" s="93" t="str">
        <f>IF(COUNTIFS(JournalActions[Joueur],$B23,JournalActions[Action],$M$6,JournalActions[Mi-temps],N$7)=0,"",COUNTIFS(JournalActions[Joueur],$B23,JournalActions[Action],$M$6,JournalActions[Mi-temps],N$7))</f>
        <v/>
      </c>
      <c r="O23" s="144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44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44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44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44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44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20">
      <c r="B24" s="92" t="str">
        <v>MULLIER Martin</v>
      </c>
      <c r="C24" s="92">
        <f>IF(COUNTIFS(JournalActions[Joueur],$B24,JournalActions[Action],$C$6,JournalActions[Mi-temps],C$7)=0,"",COUNTIFS(JournalActions[Joueur],$B24,JournalActions[Action],$C$6,JournalActions[Mi-temps],C$7))</f>
        <v>4</v>
      </c>
      <c r="D24" s="93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2">
        <f>IF(COUNTIFS(JournalActions[Joueur],$B24,JournalActions[Action],$G$6,JournalActions[Mi-temps],G$7)=0,"",COUNTIFS(JournalActions[Joueur],$B24,JournalActions[Action],$G$6,JournalActions[Mi-temps],G$7))</f>
        <v>2</v>
      </c>
      <c r="H24" s="93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2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2" t="str">
        <f>IF(COUNTIFS(JournalActions[Joueur],$B24,JournalActions[Action],$M$6,JournalActions[Mi-temps],M$7)=0,"",COUNTIFS(JournalActions[Joueur],$B24,JournalActions[Action],$M$6,JournalActions[Mi-temps],M$7))</f>
        <v/>
      </c>
      <c r="N24" s="93" t="str">
        <f>IF(COUNTIFS(JournalActions[Joueur],$B24,JournalActions[Action],$M$6,JournalActions[Mi-temps],N$7)=0,"",COUNTIFS(JournalActions[Joueur],$B24,JournalActions[Action],$M$6,JournalActions[Mi-temps],N$7))</f>
        <v/>
      </c>
      <c r="O24" s="144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44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44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44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44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44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20">
      <c r="B25" s="92" t="str">
        <v>PIQUEMIL Maxime</v>
      </c>
      <c r="C25" s="92">
        <f>IF(COUNTIFS(JournalActions[Joueur],$B25,JournalActions[Action],$C$6,JournalActions[Mi-temps],C$7)=0,"",COUNTIFS(JournalActions[Joueur],$B25,JournalActions[Action],$C$6,JournalActions[Mi-temps],C$7))</f>
        <v>2</v>
      </c>
      <c r="D25" s="93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2" t="str">
        <f>IF(COUNTIFS(JournalActions[Joueur],$B25,JournalActions[Action],$G$6,JournalActions[Mi-temps],G$7)=0,"",COUNTIFS(JournalActions[Joueur],$B25,JournalActions[Action],$G$6,JournalActions[Mi-temps],G$7))</f>
        <v/>
      </c>
      <c r="H25" s="93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2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2" t="str">
        <f>IF(COUNTIFS(JournalActions[Joueur],$B25,JournalActions[Action],$M$6,JournalActions[Mi-temps],M$7)=0,"",COUNTIFS(JournalActions[Joueur],$B25,JournalActions[Action],$M$6,JournalActions[Mi-temps],M$7))</f>
        <v/>
      </c>
      <c r="N25" s="93" t="str">
        <f>IF(COUNTIFS(JournalActions[Joueur],$B25,JournalActions[Action],$M$6,JournalActions[Mi-temps],N$7)=0,"",COUNTIFS(JournalActions[Joueur],$B25,JournalActions[Action],$M$6,JournalActions[Mi-temps],N$7))</f>
        <v/>
      </c>
      <c r="O25" s="144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44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44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44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44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44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20">
      <c r="B26" s="92" t="str">
        <v>RICHIARDONNE Gregory</v>
      </c>
      <c r="C26" s="92">
        <f>IF(COUNTIFS(JournalActions[Joueur],$B26,JournalActions[Action],$C$6,JournalActions[Mi-temps],C$7)=0,"",COUNTIFS(JournalActions[Joueur],$B26,JournalActions[Action],$C$6,JournalActions[Mi-temps],C$7))</f>
        <v>1</v>
      </c>
      <c r="D26" s="93">
        <f>IF(COUNTIFS(JournalActions[Joueur],$B26,JournalActions[Action],$C$6,JournalActions[Mi-temps],D$7)=0,"",COUNTIFS(JournalActions[Joueur],$B26,JournalActions[Action],$C$6,JournalActions[Mi-temps],D$7))</f>
        <v>1</v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2" t="str">
        <f>IF(COUNTIFS(JournalActions[Joueur],$B26,JournalActions[Action],$G$6,JournalActions[Mi-temps],G$7)=0,"",COUNTIFS(JournalActions[Joueur],$B26,JournalActions[Action],$G$6,JournalActions[Mi-temps],G$7))</f>
        <v/>
      </c>
      <c r="H26" s="93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2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2" t="str">
        <f>IF(COUNTIFS(JournalActions[Joueur],$B26,JournalActions[Action],$M$6,JournalActions[Mi-temps],M$7)=0,"",COUNTIFS(JournalActions[Joueur],$B26,JournalActions[Action],$M$6,JournalActions[Mi-temps],M$7))</f>
        <v/>
      </c>
      <c r="N26" s="93" t="str">
        <f>IF(COUNTIFS(JournalActions[Joueur],$B26,JournalActions[Action],$M$6,JournalActions[Mi-temps],N$7)=0,"",COUNTIFS(JournalActions[Joueur],$B26,JournalActions[Action],$M$6,JournalActions[Mi-temps],N$7))</f>
        <v/>
      </c>
      <c r="O26" s="144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44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44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44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44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44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20">
      <c r="B27" s="92" t="str">
        <v>ROUSSEL Mathis</v>
      </c>
      <c r="C27" s="92" t="str">
        <f>IF(COUNTIFS(JournalActions[Joueur],$B27,JournalActions[Action],$C$6,JournalActions[Mi-temps],C$7)=0,"",COUNTIFS(JournalActions[Joueur],$B27,JournalActions[Action],$C$6,JournalActions[Mi-temps],C$7))</f>
        <v/>
      </c>
      <c r="D27" s="93">
        <f>IF(COUNTIFS(JournalActions[Joueur],$B27,JournalActions[Action],$C$6,JournalActions[Mi-temps],D$7)=0,"",COUNTIFS(JournalActions[Joueur],$B27,JournalActions[Action],$C$6,JournalActions[Mi-temps],D$7))</f>
        <v>1</v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2" t="str">
        <f>IF(COUNTIFS(JournalActions[Joueur],$B27,JournalActions[Action],$G$6,JournalActions[Mi-temps],G$7)=0,"",COUNTIFS(JournalActions[Joueur],$B27,JournalActions[Action],$G$6,JournalActions[Mi-temps],G$7))</f>
        <v/>
      </c>
      <c r="H27" s="93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2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2" t="str">
        <f>IF(COUNTIFS(JournalActions[Joueur],$B27,JournalActions[Action],$M$6,JournalActions[Mi-temps],M$7)=0,"",COUNTIFS(JournalActions[Joueur],$B27,JournalActions[Action],$M$6,JournalActions[Mi-temps],M$7))</f>
        <v/>
      </c>
      <c r="N27" s="93" t="str">
        <f>IF(COUNTIFS(JournalActions[Joueur],$B27,JournalActions[Action],$M$6,JournalActions[Mi-temps],N$7)=0,"",COUNTIFS(JournalActions[Joueur],$B27,JournalActions[Action],$M$6,JournalActions[Mi-temps],N$7))</f>
        <v/>
      </c>
      <c r="O27" s="144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44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44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44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44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44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20">
      <c r="B28" s="92" t="str">
        <v>SALLES Dorian</v>
      </c>
      <c r="C28" s="92">
        <f>IF(COUNTIFS(JournalActions[Joueur],$B28,JournalActions[Action],$C$6,JournalActions[Mi-temps],C$7)=0,"",COUNTIFS(JournalActions[Joueur],$B28,JournalActions[Action],$C$6,JournalActions[Mi-temps],C$7))</f>
        <v>4</v>
      </c>
      <c r="D28" s="93" t="str">
        <f>IF(COUNTIFS(JournalActions[Joueur],$B28,JournalActions[Action],$C$6,JournalActions[Mi-temps],D$7)=0,"",COUNTIFS(JournalActions[Joueur],$B28,JournalActions[Action],$C$6,JournalActions[Mi-temps],D$7))</f>
        <v/>
      </c>
      <c r="E28">
        <f>IF(COUNTIFS(JournalActions[Joueur],$B28,JournalActions[Action],$E$6,JournalActions[Mi-temps],E$7)=0,"",COUNTIFS(JournalActions[Joueur],$B28,JournalActions[Action],$E$6,JournalActions[Mi-temps],E$7))</f>
        <v>1</v>
      </c>
      <c r="F28">
        <f>IF(COUNTIFS(JournalActions[Joueur],$B28,JournalActions[Action],$E$6,JournalActions[Mi-temps],F$7)=0,"",COUNTIFS(JournalActions[Joueur],$B28,JournalActions[Action],$E$6,JournalActions[Mi-temps],F$7))</f>
        <v>1</v>
      </c>
      <c r="G28" s="92">
        <f>IF(COUNTIFS(JournalActions[Joueur],$B28,JournalActions[Action],$G$6,JournalActions[Mi-temps],G$7)=0,"",COUNTIFS(JournalActions[Joueur],$B28,JournalActions[Action],$G$6,JournalActions[Mi-temps],G$7))</f>
        <v>2</v>
      </c>
      <c r="H28" s="93">
        <f>IF(COUNTIFS(JournalActions[Joueur],$B28,JournalActions[Action],$G$6,JournalActions[Mi-temps],H$7)=0,"",COUNTIFS(JournalActions[Joueur],$B28,JournalActions[Action],$G$6,JournalActions[Mi-temps],H$7))</f>
        <v>1</v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2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2" t="str">
        <f>IF(COUNTIFS(JournalActions[Joueur],$B28,JournalActions[Action],$M$6,JournalActions[Mi-temps],M$7)=0,"",COUNTIFS(JournalActions[Joueur],$B28,JournalActions[Action],$M$6,JournalActions[Mi-temps],M$7))</f>
        <v/>
      </c>
      <c r="N28" s="93" t="str">
        <f>IF(COUNTIFS(JournalActions[Joueur],$B28,JournalActions[Action],$M$6,JournalActions[Mi-temps],N$7)=0,"",COUNTIFS(JournalActions[Joueur],$B28,JournalActions[Action],$M$6,JournalActions[Mi-temps],N$7))</f>
        <v/>
      </c>
      <c r="O28" s="144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44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44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44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44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44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20">
      <c r="B29" s="92" t="str">
        <v>SALLES Fabien</v>
      </c>
      <c r="C29" s="92" t="str">
        <f>IF(COUNTIFS(JournalActions[Joueur],$B29,JournalActions[Action],$C$6,JournalActions[Mi-temps],C$7)=0,"",COUNTIFS(JournalActions[Joueur],$B29,JournalActions[Action],$C$6,JournalActions[Mi-temps],C$7))</f>
        <v/>
      </c>
      <c r="D29" s="93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2" t="str">
        <f>IF(COUNTIFS(JournalActions[Joueur],$B29,JournalActions[Action],$G$6,JournalActions[Mi-temps],G$7)=0,"",COUNTIFS(JournalActions[Joueur],$B29,JournalActions[Action],$G$6,JournalActions[Mi-temps],G$7))</f>
        <v/>
      </c>
      <c r="H29" s="93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2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2" t="str">
        <f>IF(COUNTIFS(JournalActions[Joueur],$B29,JournalActions[Action],$M$6,JournalActions[Mi-temps],M$7)=0,"",COUNTIFS(JournalActions[Joueur],$B29,JournalActions[Action],$M$6,JournalActions[Mi-temps],M$7))</f>
        <v/>
      </c>
      <c r="N29" s="93" t="str">
        <f>IF(COUNTIFS(JournalActions[Joueur],$B29,JournalActions[Action],$M$6,JournalActions[Mi-temps],N$7)=0,"",COUNTIFS(JournalActions[Joueur],$B29,JournalActions[Action],$M$6,JournalActions[Mi-temps],N$7))</f>
        <v/>
      </c>
      <c r="O29" s="144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44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44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44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44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44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20">
      <c r="B30" s="90" t="s">
        <v>93</v>
      </c>
      <c r="C30" s="92" t="str">
        <f>IF(COUNTIFS(JournalActions[Joueur],$B30,JournalActions[Action],$C$6,JournalActions[Mi-temps],C$7)=0,"",COUNTIFS(JournalActions[Joueur],$B30,JournalActions[Action],$C$6,JournalActions[Mi-temps],C$7))</f>
        <v/>
      </c>
      <c r="D30" s="93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2" t="str">
        <f>IF(COUNTIFS(JournalActions[Joueur],$B30,JournalActions[Action],$G$6,JournalActions[Mi-temps],G$7)=0,"",COUNTIFS(JournalActions[Joueur],$B30,JournalActions[Action],$G$6,JournalActions[Mi-temps],G$7))</f>
        <v/>
      </c>
      <c r="H30" s="93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2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2" t="str">
        <f>IF(COUNTIFS(JournalActions[Joueur],$B30,JournalActions[Action],$M$6,JournalActions[Mi-temps],M$7)=0,"",COUNTIFS(JournalActions[Joueur],$B30,JournalActions[Action],$M$6,JournalActions[Mi-temps],M$7))</f>
        <v/>
      </c>
      <c r="N30" s="93" t="str">
        <f>IF(COUNTIFS(JournalActions[Joueur],$B30,JournalActions[Action],$M$6,JournalActions[Mi-temps],N$7)=0,"",COUNTIFS(JournalActions[Joueur],$B30,JournalActions[Action],$M$6,JournalActions[Mi-temps],N$7))</f>
        <v/>
      </c>
      <c r="O30" s="144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44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44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44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44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44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20">
      <c r="B31" s="91" t="s">
        <v>83</v>
      </c>
      <c r="C31" s="96">
        <f>IF(COUNTIFS(JournalActions[Joueur],$B31,JournalActions[Action],$C$6,JournalActions[Mi-temps],C$7)=0,"",COUNTIFS(JournalActions[Joueur],$B31,JournalActions[Action],$C$6,JournalActions[Mi-temps],C$7))</f>
        <v>7</v>
      </c>
      <c r="D31" s="95">
        <f>IF(COUNTIFS(JournalActions[Joueur],$B31,JournalActions[Action],$C$6,JournalActions[Mi-temps],D$7)=0,"",COUNTIFS(JournalActions[Joueur],$B31,JournalActions[Action],$C$6,JournalActions[Mi-temps],D$7))</f>
        <v>8</v>
      </c>
      <c r="E31" s="94">
        <f>IF(COUNTIFS(JournalActions[Joueur],$B31,JournalActions[Action],$E$6,JournalActions[Mi-temps],E$7)=0,"",COUNTIFS(JournalActions[Joueur],$B31,JournalActions[Action],$E$6,JournalActions[Mi-temps],E$7))</f>
        <v>1</v>
      </c>
      <c r="F31" s="94" t="str">
        <f>IF(COUNTIFS(JournalActions[Joueur],$B31,JournalActions[Action],$E$6,JournalActions[Mi-temps],F$7)=0,"",COUNTIFS(JournalActions[Joueur],$B31,JournalActions[Action],$E$6,JournalActions[Mi-temps],F$7))</f>
        <v/>
      </c>
      <c r="G31" s="96">
        <f>IF(COUNTIFS(JournalActions[Joueur],$B31,JournalActions[Action],$G$6,JournalActions[Mi-temps],G$7)=0,"",COUNTIFS(JournalActions[Joueur],$B31,JournalActions[Action],$G$6,JournalActions[Mi-temps],G$7))</f>
        <v>3</v>
      </c>
      <c r="H31" s="95">
        <f>IF(COUNTIFS(JournalActions[Joueur],$B31,JournalActions[Action],$G$6,JournalActions[Mi-temps],H$7)=0,"",COUNTIFS(JournalActions[Joueur],$B31,JournalActions[Action],$G$6,JournalActions[Mi-temps],H$7))</f>
        <v>2</v>
      </c>
      <c r="I31" s="94" t="str">
        <f>IF(COUNTIFS(JournalActions[Joueur],$B31,JournalActions[Action],$I$6,JournalActions[Mi-temps],I$7)=0,"",COUNTIFS(JournalActions[Joueur],$B31,JournalActions[Action],$I$6,JournalActions[Mi-temps],I$7))</f>
        <v/>
      </c>
      <c r="J31" s="94" t="str">
        <f>IF(COUNTIFS(JournalActions[Joueur],$B31,JournalActions[Action],$I$6,JournalActions[Mi-temps],J$7)=0,"",COUNTIFS(JournalActions[Joueur],$B31,JournalActions[Action],$I$6,JournalActions[Mi-temps],J$7))</f>
        <v/>
      </c>
      <c r="K31" s="96" t="str">
        <f>IF(COUNTIFS(JournalActions[Joueur],$B31,JournalActions[Action],$K$6,JournalActions[Mi-temps],K$7)=0,"",COUNTIFS(JournalActions[Joueur],$B31,JournalActions[Action],$K$6,JournalActions[Mi-temps],K$7))</f>
        <v/>
      </c>
      <c r="L31" s="94" t="str">
        <f>IF(COUNTIFS(JournalActions[Joueur],$B31,JournalActions[Action],$K$6,JournalActions[Mi-temps],L$7)=0,"",COUNTIFS(JournalActions[Joueur],$B31,JournalActions[Action],$K$6,JournalActions[Mi-temps],L$7))</f>
        <v/>
      </c>
      <c r="M31" s="96">
        <f>IF(COUNTIFS(JournalActions[Joueur],$B31,JournalActions[Action],$M$6,JournalActions[Mi-temps],M$7)=0,"",COUNTIFS(JournalActions[Joueur],$B31,JournalActions[Action],$M$6,JournalActions[Mi-temps],M$7))</f>
        <v>1</v>
      </c>
      <c r="N31" s="95">
        <f>IF(COUNTIFS(JournalActions[Joueur],$B31,JournalActions[Action],$M$6,JournalActions[Mi-temps],N$7)=0,"",COUNTIFS(JournalActions[Joueur],$B31,JournalActions[Action],$M$6,JournalActions[Mi-temps],N$7))</f>
        <v>1</v>
      </c>
      <c r="O31" s="147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4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47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>1</v>
      </c>
      <c r="R31" s="14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47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>3</v>
      </c>
      <c r="T31" s="147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>1</v>
      </c>
    </row>
    <row r="32" spans="2:20" s="29" customFormat="1" ht="22" customHeight="1">
      <c r="B32" s="126" t="s">
        <v>292</v>
      </c>
      <c r="C32" s="127">
        <f>SUM(C8:C31)</f>
        <v>51</v>
      </c>
      <c r="D32" s="128">
        <f t="shared" ref="D32:N32" si="0">SUM(D8:D31)</f>
        <v>37</v>
      </c>
      <c r="E32" s="127">
        <f t="shared" si="0"/>
        <v>2</v>
      </c>
      <c r="F32" s="128">
        <f t="shared" si="0"/>
        <v>3</v>
      </c>
      <c r="G32" s="127">
        <f t="shared" si="0"/>
        <v>12</v>
      </c>
      <c r="H32" s="128">
        <f t="shared" si="0"/>
        <v>11</v>
      </c>
      <c r="I32" s="127">
        <f t="shared" si="0"/>
        <v>1</v>
      </c>
      <c r="J32" s="128">
        <f t="shared" si="0"/>
        <v>0</v>
      </c>
      <c r="K32" s="127">
        <f t="shared" si="0"/>
        <v>0</v>
      </c>
      <c r="L32" s="128">
        <f t="shared" si="0"/>
        <v>0</v>
      </c>
      <c r="M32" s="127">
        <f t="shared" si="0"/>
        <v>1</v>
      </c>
      <c r="N32" s="128">
        <f t="shared" si="0"/>
        <v>1</v>
      </c>
      <c r="O32" s="202">
        <f t="shared" ref="O32:T32" si="1">SUM(O8:O31)</f>
        <v>0</v>
      </c>
      <c r="P32" s="202">
        <f t="shared" si="1"/>
        <v>0</v>
      </c>
      <c r="Q32" s="202">
        <f t="shared" si="1"/>
        <v>1</v>
      </c>
      <c r="R32" s="202">
        <f t="shared" si="1"/>
        <v>0</v>
      </c>
      <c r="S32" s="202">
        <f t="shared" si="1"/>
        <v>4</v>
      </c>
      <c r="T32" s="202">
        <f t="shared" si="1"/>
        <v>2</v>
      </c>
    </row>
    <row r="33" spans="2:20" s="105" customFormat="1" ht="25" customHeight="1">
      <c r="B33" s="129" t="s">
        <v>291</v>
      </c>
      <c r="C33" s="177">
        <f>C32+D32</f>
        <v>88</v>
      </c>
      <c r="D33" s="178"/>
      <c r="E33" s="192">
        <f t="shared" ref="E33" si="2">E32+F32</f>
        <v>5</v>
      </c>
      <c r="F33" s="192"/>
      <c r="G33" s="177">
        <f t="shared" ref="G33" si="3">G32+H32</f>
        <v>23</v>
      </c>
      <c r="H33" s="178"/>
      <c r="I33" s="177">
        <f>I32+J32</f>
        <v>1</v>
      </c>
      <c r="J33" s="178"/>
      <c r="K33" s="177">
        <f t="shared" ref="K33" si="4">K32+L32</f>
        <v>0</v>
      </c>
      <c r="L33" s="178"/>
      <c r="M33" s="192">
        <f t="shared" ref="M33" si="5">M32+N32</f>
        <v>2</v>
      </c>
      <c r="N33" s="178"/>
      <c r="O33" s="203"/>
      <c r="P33" s="203"/>
      <c r="Q33" s="203"/>
      <c r="R33" s="203"/>
      <c r="S33" s="203"/>
      <c r="T33" s="203"/>
    </row>
    <row r="34" spans="2:20" s="29" customFormat="1"/>
    <row r="35" spans="2:20" s="29" customFormat="1"/>
    <row r="36" spans="2:20" ht="14">
      <c r="B36" s="29"/>
      <c r="C36" s="130" t="s">
        <v>258</v>
      </c>
      <c r="D36" s="130" t="s">
        <v>337</v>
      </c>
      <c r="E36" s="131" t="s">
        <v>257</v>
      </c>
      <c r="F36" s="29"/>
      <c r="G36" s="175" t="s">
        <v>286</v>
      </c>
      <c r="H36" s="176"/>
      <c r="J36" s="175" t="s">
        <v>79</v>
      </c>
      <c r="K36" s="175" t="s">
        <v>260</v>
      </c>
      <c r="L36" s="201"/>
      <c r="M36" s="176"/>
      <c r="N36" s="176" t="s">
        <v>287</v>
      </c>
    </row>
    <row r="37" spans="2:20" ht="14">
      <c r="B37" s="29"/>
      <c r="C37" s="100" t="s">
        <v>255</v>
      </c>
      <c r="D37" s="100">
        <f>COUNTIFS(JournalActions[Action],ACT_TO_NS_G,JournalActions[Mi-temps],"MT1")</f>
        <v>3</v>
      </c>
      <c r="E37" s="101">
        <f>COUNTIFS(JournalActions[Action],ACT_TO_NS_P,JournalActions[Mi-temps],"MT1")
+COUNTIFS(JournalActions[Action],ACT_TO_NS_PAS_DROIT,JournalActions[Mi-temps],"MT1")</f>
        <v>2</v>
      </c>
      <c r="F37" s="29"/>
      <c r="G37" s="100" t="s">
        <v>260</v>
      </c>
      <c r="H37" s="101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10</v>
      </c>
      <c r="I37" s="29"/>
      <c r="J37" s="205"/>
      <c r="K37" s="145" t="s">
        <v>266</v>
      </c>
      <c r="L37" s="143" t="s">
        <v>285</v>
      </c>
      <c r="M37" s="146" t="s">
        <v>83</v>
      </c>
      <c r="N37" s="204"/>
    </row>
    <row r="38" spans="2:20">
      <c r="B38" s="29"/>
      <c r="C38" s="47" t="s">
        <v>288</v>
      </c>
      <c r="D38" s="47">
        <f>COUNTIFS(JournalActions[Action],ACT_TO_ADV_PERDUE,JournalActions[Mi-temps],"MT1")</f>
        <v>2</v>
      </c>
      <c r="E38" s="49">
        <f>COUNTIFS(JournalActions[Action],ACT_TO_ADV_VOLEE,JournalActions[Mi-temps],"MT1")
+COUNTIFS(JournalActions[Action],ACT_TO_ADV_PAS_DROIT,JournalActions[Mi-temps],"MT1")</f>
        <v>3</v>
      </c>
      <c r="F38" s="29"/>
      <c r="G38" s="47" t="s">
        <v>261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19</v>
      </c>
      <c r="I38" s="29"/>
      <c r="J38" s="97" t="s">
        <v>116</v>
      </c>
      <c r="K38" s="144">
        <f>COUNTIFS(JournalActions[Action],ACT_PEN_CONTRE_NOUS,JournalActions[Mi-temps],"MT1",JournalActions[Groupe fautif],"Avant*")</f>
        <v>1</v>
      </c>
      <c r="L38" s="93">
        <f>COUNTIFS(JournalActions[Action],ACT_PEN_CONTRE_NOUS,JournalActions[Mi-temps],"MT1",JournalActions[Groupe fautif],"Trois-quarts*")</f>
        <v>0</v>
      </c>
      <c r="M38" s="93">
        <f>COUNTIFS(JournalActions[Action],ACT_PEN_CONTRE_NOUS,JournalActions[Mi-temps],"MT1",JournalActions[Groupe fautif],"")
+COUNTIFS(JournalActions[Action],ACT_PEN_CONTRE_NOUS,JournalActions[Mi-temps],"MT1",JournalActions[Groupe fautif],"?")</f>
        <v>3</v>
      </c>
      <c r="N38" s="98">
        <f>COUNTIFS(JournalActions[Action],ACT_PEN_CONTRE_ADV,JournalActions[Mi-temps],"MT1")</f>
        <v>8</v>
      </c>
    </row>
    <row r="39" spans="2:20">
      <c r="B39" s="29"/>
      <c r="C39" s="29"/>
      <c r="D39" s="29"/>
      <c r="E39" s="29"/>
      <c r="F39" s="29"/>
      <c r="G39" s="29"/>
      <c r="H39" s="29"/>
      <c r="I39" s="29"/>
      <c r="J39" s="47" t="s">
        <v>113</v>
      </c>
      <c r="K39" s="136">
        <f>COUNTIFS(JournalActions[Action],ACT_PEN_CONTRE_NOUS,JournalActions[Mi-temps],"MT2",JournalActions[Groupe fautif],"Avant")</f>
        <v>1</v>
      </c>
      <c r="L39" s="49">
        <f>COUNTIFS(JournalActions[Action],ACT_PEN_CONTRE_NOUS,JournalActions[Mi-temps],"MT2",JournalActions[Groupe fautif],"Trois-quarts*")</f>
        <v>0</v>
      </c>
      <c r="M39" s="49">
        <f>COUNTIFS(JournalActions[Action],ACT_PEN_CONTRE_NOUS,JournalActions[Mi-temps],"MT2",JournalActions[Groupe fautif],"")
+COUNTIFS(JournalActions[Action],ACT_PEN_CONTRE_NOUS,JournalActions[Mi-temps],"MT2",JournalActions[Groupe fautif],"?")</f>
        <v>2</v>
      </c>
      <c r="N39" s="49">
        <f>COUNTIFS(JournalActions[Action],ACT_PEN_CONTRE_ADV,JournalActions[Mi-temps],"MT2")</f>
        <v>8</v>
      </c>
    </row>
    <row r="40" spans="2:20" ht="14">
      <c r="B40" s="29"/>
      <c r="C40" s="130" t="s">
        <v>259</v>
      </c>
      <c r="D40" s="130" t="s">
        <v>337</v>
      </c>
      <c r="E40" s="131" t="s">
        <v>257</v>
      </c>
      <c r="F40" s="29"/>
      <c r="G40" s="175" t="s">
        <v>262</v>
      </c>
      <c r="H40" s="176"/>
      <c r="I40" s="29"/>
      <c r="J40" s="29"/>
      <c r="K40" s="29"/>
      <c r="L40" s="29"/>
      <c r="M40" s="29"/>
      <c r="N40" s="29"/>
    </row>
    <row r="41" spans="2:20" ht="14">
      <c r="B41" s="29"/>
      <c r="C41" s="100" t="s">
        <v>255</v>
      </c>
      <c r="D41" s="100">
        <f>COUNTIFS(JournalActions[Action],ACT_TO_NS_G,JournalActions[Mi-temps],"MT2")</f>
        <v>5</v>
      </c>
      <c r="E41" s="101">
        <f>COUNTIFS(JournalActions[Action],ACT_TO_NS_P,JournalActions[Mi-temps],"MT2")
+COUNTIFS(JournalActions[Action],ACT_TO_NS_PAS_DROIT,JournalActions[Mi-temps],"MT2")</f>
        <v>1</v>
      </c>
      <c r="F41" s="29"/>
      <c r="G41" s="100" t="s">
        <v>260</v>
      </c>
      <c r="H41" s="101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20</v>
      </c>
      <c r="I41" s="29"/>
      <c r="J41" s="132" t="s">
        <v>29</v>
      </c>
      <c r="K41" s="133"/>
      <c r="L41" s="134" t="s">
        <v>260</v>
      </c>
      <c r="M41" s="122" t="s">
        <v>287</v>
      </c>
      <c r="N41" s="29"/>
    </row>
    <row r="42" spans="2:20">
      <c r="B42" s="29"/>
      <c r="C42" s="47" t="s">
        <v>288</v>
      </c>
      <c r="D42" s="47">
        <f>COUNTIFS(JournalActions[Action],ACT_TO_ADV_PERDUE,JournalActions[Mi-temps],"MT2")</f>
        <v>2</v>
      </c>
      <c r="E42" s="49">
        <f>COUNTIFS(JournalActions[Action],ACT_TO_ADV_VOLEE,JournalActions[Mi-temps],"MT2")
+COUNTIFS(JournalActions[Action],ACT_TO_ADV_PAS_DROIT,JournalActions[Mi-temps],"MT2")</f>
        <v>4</v>
      </c>
      <c r="F42" s="29"/>
      <c r="G42" s="47" t="s">
        <v>261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34</v>
      </c>
      <c r="I42" s="29"/>
      <c r="J42" s="193" t="s">
        <v>31</v>
      </c>
      <c r="K42" s="194"/>
      <c r="L42" s="102">
        <f>COUNTIFS(JournalActions[Action],ACT_PEN_CONTRE_NOUS,JournalActions[Motif penalite],ACT_PEN_MAUL)</f>
        <v>0</v>
      </c>
      <c r="M42" s="102">
        <f>COUNTIFS(JournalActions[Action],ACT_PEN_CONTRE_ADV,JournalActions[Motif penalite],ACT_PEN_MAUL)</f>
        <v>0</v>
      </c>
      <c r="N42" s="29"/>
    </row>
    <row r="43" spans="2:20">
      <c r="B43" s="29"/>
      <c r="C43" s="29"/>
      <c r="D43" s="29"/>
      <c r="E43" s="29"/>
      <c r="F43" s="29"/>
      <c r="G43" s="29"/>
      <c r="H43" s="29"/>
      <c r="I43" s="29"/>
      <c r="J43" s="190" t="s">
        <v>33</v>
      </c>
      <c r="K43" s="191"/>
      <c r="L43" s="50">
        <f>COUNTIFS(JournalActions[Action],ACT_PEN_CONTRE_NOUS,JournalActions[Motif penalite],ACT_PEN_RUCK)</f>
        <v>4</v>
      </c>
      <c r="M43" s="50">
        <f>COUNTIFS(JournalActions[Action],ACT_PEN_CONTRE_ADV,JournalActions[Motif penalite],ACT_PEN_RUCK)</f>
        <v>9</v>
      </c>
      <c r="N43" s="29"/>
    </row>
    <row r="44" spans="2:20" ht="14">
      <c r="B44" s="29"/>
      <c r="C44" s="130" t="s">
        <v>407</v>
      </c>
      <c r="D44" s="130" t="s">
        <v>337</v>
      </c>
      <c r="E44" s="131" t="s">
        <v>257</v>
      </c>
      <c r="F44" s="29"/>
      <c r="G44" s="29"/>
      <c r="H44" s="29"/>
      <c r="I44" s="29"/>
      <c r="J44" s="193" t="s">
        <v>35</v>
      </c>
      <c r="K44" s="194"/>
      <c r="L44" s="102">
        <f>COUNTIFS(JournalActions[Action],ACT_PEN_CONTRE_NOUS,JournalActions[Motif penalite],ACT_PEN_HORS_JEU)</f>
        <v>0</v>
      </c>
      <c r="M44" s="102">
        <f>COUNTIFS(JournalActions[Action],ACT_PEN_CONTRE_ADV,JournalActions[Motif penalite],ACT_PEN_HORS_JEU)</f>
        <v>2</v>
      </c>
      <c r="N44" s="29"/>
    </row>
    <row r="45" spans="2:20">
      <c r="B45" s="29"/>
      <c r="C45" s="100" t="s">
        <v>255</v>
      </c>
      <c r="D45" s="100">
        <f>COUNTIFS(JournalActions[Action],ACT_ME_NS_G,JournalActions[Mi-temps],"MT1")</f>
        <v>1</v>
      </c>
      <c r="E45" s="101">
        <f>COUNTIFS(JournalActions[Action],ACT_ME_NS_P,JournalActions[Mi-temps],"MT1")</f>
        <v>0</v>
      </c>
      <c r="F45" s="29"/>
      <c r="G45" s="29"/>
      <c r="H45" s="29"/>
      <c r="I45" s="29"/>
      <c r="J45" s="190" t="s">
        <v>37</v>
      </c>
      <c r="K45" s="191"/>
      <c r="L45" s="50">
        <f>COUNTIFS(JournalActions[Action],ACT_PEN_CONTRE_NOUS,JournalActions[Motif penalite],ACT_PEN_PL_A_2)</f>
        <v>1</v>
      </c>
      <c r="M45" s="50">
        <f>COUNTIFS(JournalActions[Action],ACT_PEN_CONTRE_ADV,JournalActions[Motif penalite],ACT_PEN_PL_A_2)</f>
        <v>0</v>
      </c>
      <c r="N45" s="29"/>
    </row>
    <row r="46" spans="2:20">
      <c r="B46" s="29"/>
      <c r="C46" s="47" t="s">
        <v>288</v>
      </c>
      <c r="D46" s="47">
        <f>COUNTIFS(JournalActions[Action],ACT_ME_ADV_P,JournalActions[Mi-temps],"MT1")</f>
        <v>0</v>
      </c>
      <c r="E46" s="49">
        <f>COUNTIFS(JournalActions[Action],ACT_ME_ADV_G,JournalActions[Mi-temps],"MT1")</f>
        <v>0</v>
      </c>
      <c r="F46" s="29"/>
      <c r="G46" s="29"/>
      <c r="H46" s="29"/>
      <c r="I46" s="29"/>
      <c r="J46" s="193" t="s">
        <v>39</v>
      </c>
      <c r="K46" s="194"/>
      <c r="L46" s="102">
        <f>COUNTIFS(JournalActions[Action],ACT_PEN_CONTRE_NOUS,JournalActions[Motif penalite],ACT_PEN_PL_HAUT)</f>
        <v>0</v>
      </c>
      <c r="M46" s="102">
        <f>COUNTIFS(JournalActions[Action],ACT_PEN_CONTRE_ADV,JournalActions[Motif penalite],ACT_PEN_PL_HAUT)</f>
        <v>1</v>
      </c>
      <c r="N46" s="29"/>
    </row>
    <row r="47" spans="2:20">
      <c r="B47" s="29"/>
      <c r="C47" s="29"/>
      <c r="D47" s="29"/>
      <c r="E47" s="29"/>
      <c r="F47" s="29"/>
      <c r="G47" s="29"/>
      <c r="H47" s="29"/>
      <c r="I47" s="29"/>
      <c r="J47" s="190" t="s">
        <v>282</v>
      </c>
      <c r="K47" s="191"/>
      <c r="L47" s="50">
        <f>COUNTIFS(JournalActions[Action],ACT_PEN_CONTRE_NOUS,JournalActions[Motif penalite],"~?")</f>
        <v>2</v>
      </c>
      <c r="M47" s="50">
        <f>COUNTIFS(JournalActions[Action],ACT_PEN_CONTRE_ADV,JournalActions[Motif penalite],"~?")</f>
        <v>5</v>
      </c>
      <c r="N47" s="29"/>
    </row>
    <row r="48" spans="2:20" ht="14">
      <c r="B48" s="29"/>
      <c r="C48" s="130" t="s">
        <v>408</v>
      </c>
      <c r="D48" s="130" t="s">
        <v>337</v>
      </c>
      <c r="E48" s="131" t="s">
        <v>257</v>
      </c>
      <c r="F48" s="29"/>
      <c r="G48" s="29"/>
      <c r="H48" s="29"/>
      <c r="I48" s="29"/>
      <c r="J48" s="104" t="s">
        <v>45</v>
      </c>
      <c r="K48" s="29"/>
      <c r="L48" s="29"/>
      <c r="M48" s="29"/>
      <c r="N48" s="29"/>
    </row>
    <row r="49" spans="2:14">
      <c r="B49" s="29"/>
      <c r="C49" s="100" t="s">
        <v>255</v>
      </c>
      <c r="D49" s="100">
        <f>COUNTIFS(JournalActions[Action],ACT_ME_NS_G,JournalActions[Mi-temps],"MT2")</f>
        <v>5</v>
      </c>
      <c r="E49" s="101">
        <f>COUNTIFS(JournalActions[Action],ACT_ME_NS_P,JournalActions[Mi-temps],"MT2")</f>
        <v>0</v>
      </c>
      <c r="F49" s="29"/>
      <c r="G49" s="29"/>
      <c r="H49" s="29"/>
      <c r="I49" s="29"/>
      <c r="K49" s="103"/>
      <c r="L49" s="29"/>
      <c r="M49" s="29"/>
      <c r="N49" s="29"/>
    </row>
    <row r="50" spans="2:14">
      <c r="B50" s="29"/>
      <c r="C50" s="47" t="s">
        <v>288</v>
      </c>
      <c r="D50" s="47">
        <f>COUNTIFS(JournalActions[Action],ACT_ME_ADV_P,JournalActions[Mi-temps],"MT2")</f>
        <v>7</v>
      </c>
      <c r="E50" s="49">
        <f>COUNTIFS(JournalActions[Action],ACT_ME_ADV_G,JournalActions[Mi-temps],"MT2")</f>
        <v>0</v>
      </c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 ht="14" thickBot="1"/>
    <row r="56" spans="2:14" s="29" customFormat="1">
      <c r="B56" s="179" t="s">
        <v>410</v>
      </c>
      <c r="C56" s="180"/>
      <c r="D56" s="180"/>
      <c r="E56" s="180"/>
      <c r="F56" s="180"/>
      <c r="G56" s="180"/>
      <c r="H56" s="180"/>
      <c r="I56" s="180"/>
      <c r="J56" s="180"/>
      <c r="K56" s="181"/>
    </row>
    <row r="57" spans="2:14" s="29" customFormat="1">
      <c r="B57" s="182"/>
      <c r="C57" s="183"/>
      <c r="D57" s="183"/>
      <c r="E57" s="183"/>
      <c r="F57" s="183"/>
      <c r="G57" s="183"/>
      <c r="H57" s="183"/>
      <c r="I57" s="183"/>
      <c r="J57" s="183"/>
      <c r="K57" s="184"/>
    </row>
    <row r="58" spans="2:14" s="29" customFormat="1" ht="14" thickBot="1">
      <c r="B58" s="185"/>
      <c r="C58" s="186"/>
      <c r="D58" s="186"/>
      <c r="E58" s="186"/>
      <c r="F58" s="186"/>
      <c r="G58" s="186"/>
      <c r="H58" s="186"/>
      <c r="I58" s="186"/>
      <c r="J58" s="186"/>
      <c r="K58" s="187"/>
    </row>
    <row r="59" spans="2:14" s="29" customFormat="1"/>
    <row r="60" spans="2:14" s="29" customFormat="1" ht="14">
      <c r="B60" s="188" t="s">
        <v>64</v>
      </c>
      <c r="C60" s="175" t="str">
        <f>ACT_TO_NS_G</f>
        <v>Touche à nous conservée</v>
      </c>
      <c r="D60" s="176"/>
      <c r="E60" s="175" t="str">
        <f>ACT_TO_ADV_VOLEE</f>
        <v>Touche à eux volée</v>
      </c>
      <c r="F60" s="176"/>
      <c r="H60" s="171" t="str">
        <f>ACT_TO_NS_P</f>
        <v>Touche à nous perdue</v>
      </c>
      <c r="I60" s="172"/>
      <c r="J60" s="171" t="str">
        <f>ACT_TO_NS_PAS_DROIT</f>
        <v>Touche à nous pas droite</v>
      </c>
      <c r="K60" s="172"/>
    </row>
    <row r="61" spans="2:14" s="29" customFormat="1" ht="14">
      <c r="B61" s="189"/>
      <c r="C61" s="145" t="s">
        <v>116</v>
      </c>
      <c r="D61" s="146" t="s">
        <v>113</v>
      </c>
      <c r="E61" s="145" t="s">
        <v>116</v>
      </c>
      <c r="F61" s="146" t="s">
        <v>113</v>
      </c>
      <c r="H61" s="149" t="s">
        <v>116</v>
      </c>
      <c r="I61" s="150" t="s">
        <v>113</v>
      </c>
      <c r="J61" s="149" t="s">
        <v>116</v>
      </c>
      <c r="K61" s="150" t="s">
        <v>113</v>
      </c>
    </row>
    <row r="62" spans="2:14" s="29" customFormat="1">
      <c r="B62" s="92" t="str" cm="1">
        <f t="array" ref="B62:B83">_xlfn._xlws.SORT(_xlfn._xlws.FILTER(COMPO[Nom du joueur],(COMPO[Nom du joueur]&lt;&gt;"")*(COMPO[Nom du joueur]&lt;&gt;"Collectif")*(COMPO[Nom du joueur]&lt;&gt;"?")))</f>
        <v>ABADIE  Emeric</v>
      </c>
      <c r="C62" s="92">
        <f>IF(COUNTIFS(JournalActions[Joueur],$B62,JournalActions[Action],$C$60,JournalActions[Mi-temps],C$61)=0,"",COUNTIFS(JournalActions[Joueur],$B62,JournalActions[Action],$C$60,JournalActions[Mi-temps],C$61))</f>
        <v>2</v>
      </c>
      <c r="D62" s="93">
        <f>IF(COUNTIFS(JournalActions[Joueur],$B62,JournalActions[Action],$C$60,JournalActions[Mi-temps],D$61)=0,"",COUNTIFS(JournalActions[Joueur],$B62,JournalActions[Action],$C$60,JournalActions[Mi-temps],D$61))</f>
        <v>3</v>
      </c>
      <c r="E62" s="92" t="str">
        <f>IF(COUNTIFS(JournalActions[Joueur],$B62,JournalActions[Action],$E$60,JournalActions[Mi-temps],E$61)=0,"",COUNTIFS(JournalActions[Joueur],$B62,JournalActions[Action],$E$60,JournalActions[Mi-temps],E$61))</f>
        <v/>
      </c>
      <c r="F62" s="93" t="str">
        <f>IF(COUNTIFS(JournalActions[Joueur],$B62,JournalActions[Action],$E$60,JournalActions[Mi-temps],F$61)=0,"",COUNTIFS(JournalActions[Joueur],$B62,JournalActions[Action],$E$60,JournalActions[Mi-temps],F$61))</f>
        <v/>
      </c>
      <c r="H62" s="92" t="str">
        <f>IF(COUNTIFS(JournalActions[Joueur],$B62,JournalActions[Action],$H$60,JournalActions[Mi-temps],H$61)=0,"",COUNTIFS(JournalActions[Joueur],$B62,JournalActions[Action],$H$60,JournalActions[Mi-temps],H$61))</f>
        <v/>
      </c>
      <c r="I62" s="93">
        <f>IF(COUNTIFS(JournalActions[Joueur],$B62,JournalActions[Action],$H$60,JournalActions[Mi-temps],I$61)=0,"",COUNTIFS(JournalActions[Joueur],$B62,JournalActions[Action],$H$60,JournalActions[Mi-temps],I$61))</f>
        <v>1</v>
      </c>
      <c r="J62" s="92" t="str">
        <f>IF(COUNTIFS(JournalActions[Joueur],$B62,JournalActions[Action],$J$60,JournalActions[Mi-temps],J$61)=0,"",COUNTIFS(JournalActions[Joueur],$B62,JournalActions[Action],$J$60,JournalActions[Mi-temps],J$61))</f>
        <v/>
      </c>
      <c r="K62" s="93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9" customFormat="1">
      <c r="B63" s="92" t="str">
        <v>BAQUE Lucas</v>
      </c>
      <c r="C63" s="92" t="str">
        <f>IF(COUNTIFS(JournalActions[Joueur],$B63,JournalActions[Action],$C$60,JournalActions[Mi-temps],C$61)=0,"",COUNTIFS(JournalActions[Joueur],$B63,JournalActions[Action],$C$60,JournalActions[Mi-temps],C$61))</f>
        <v/>
      </c>
      <c r="D63" s="93" t="str">
        <f>IF(COUNTIFS(JournalActions[Joueur],$B63,JournalActions[Action],$C$60,JournalActions[Mi-temps],D$61)=0,"",COUNTIFS(JournalActions[Joueur],$B63,JournalActions[Action],$C$60,JournalActions[Mi-temps],D$61))</f>
        <v/>
      </c>
      <c r="E63" s="92" t="str">
        <f>IF(COUNTIFS(JournalActions[Joueur],$B63,JournalActions[Action],$E$60,JournalActions[Mi-temps],E$61)=0,"",COUNTIFS(JournalActions[Joueur],$B63,JournalActions[Action],$E$60,JournalActions[Mi-temps],E$61))</f>
        <v/>
      </c>
      <c r="F63" s="93" t="str">
        <f>IF(COUNTIFS(JournalActions[Joueur],$B63,JournalActions[Action],$E$60,JournalActions[Mi-temps],F$61)=0,"",COUNTIFS(JournalActions[Joueur],$B63,JournalActions[Action],$E$60,JournalActions[Mi-temps],F$61))</f>
        <v/>
      </c>
      <c r="H63" s="92" t="str">
        <f>IF(COUNTIFS(JournalActions[Joueur],$B63,JournalActions[Action],$H$60,JournalActions[Mi-temps],H$61)=0,"",COUNTIFS(JournalActions[Joueur],$B63,JournalActions[Action],$H$60,JournalActions[Mi-temps],H$61))</f>
        <v/>
      </c>
      <c r="I63" s="93" t="str">
        <f>IF(COUNTIFS(JournalActions[Joueur],$B63,JournalActions[Action],$H$60,JournalActions[Mi-temps],I$61)=0,"",COUNTIFS(JournalActions[Joueur],$B63,JournalActions[Action],$H$60,JournalActions[Mi-temps],I$61))</f>
        <v/>
      </c>
      <c r="J63" s="92" t="str">
        <f>IF(COUNTIFS(JournalActions[Joueur],$B63,JournalActions[Action],$J$60,JournalActions[Mi-temps],J$61)=0,"",COUNTIFS(JournalActions[Joueur],$B63,JournalActions[Action],$J$60,JournalActions[Mi-temps],J$61))</f>
        <v/>
      </c>
      <c r="K63" s="93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9" customFormat="1">
      <c r="B64" s="92" t="str">
        <v>BARATGIN Julian</v>
      </c>
      <c r="C64" s="92">
        <f>IF(COUNTIFS(JournalActions[Joueur],$B64,JournalActions[Action],$C$60,JournalActions[Mi-temps],C$61)=0,"",COUNTIFS(JournalActions[Joueur],$B64,JournalActions[Action],$C$60,JournalActions[Mi-temps],C$61))</f>
        <v>1</v>
      </c>
      <c r="D64" s="93" t="str">
        <f>IF(COUNTIFS(JournalActions[Joueur],$B64,JournalActions[Action],$C$60,JournalActions[Mi-temps],D$61)=0,"",COUNTIFS(JournalActions[Joueur],$B64,JournalActions[Action],$C$60,JournalActions[Mi-temps],D$61))</f>
        <v/>
      </c>
      <c r="E64" s="92">
        <f>IF(COUNTIFS(JournalActions[Joueur],$B64,JournalActions[Action],$E$60,JournalActions[Mi-temps],E$61)=0,"",COUNTIFS(JournalActions[Joueur],$B64,JournalActions[Action],$E$60,JournalActions[Mi-temps],E$61))</f>
        <v>1</v>
      </c>
      <c r="F64" s="93">
        <f>IF(COUNTIFS(JournalActions[Joueur],$B64,JournalActions[Action],$E$60,JournalActions[Mi-temps],F$61)=0,"",COUNTIFS(JournalActions[Joueur],$B64,JournalActions[Action],$E$60,JournalActions[Mi-temps],F$61))</f>
        <v>2</v>
      </c>
      <c r="H64" s="92" t="str">
        <f>IF(COUNTIFS(JournalActions[Joueur],$B64,JournalActions[Action],$H$60,JournalActions[Mi-temps],H$61)=0,"",COUNTIFS(JournalActions[Joueur],$B64,JournalActions[Action],$H$60,JournalActions[Mi-temps],H$61))</f>
        <v/>
      </c>
      <c r="I64" s="93" t="str">
        <f>IF(COUNTIFS(JournalActions[Joueur],$B64,JournalActions[Action],$H$60,JournalActions[Mi-temps],I$61)=0,"",COUNTIFS(JournalActions[Joueur],$B64,JournalActions[Action],$H$60,JournalActions[Mi-temps],I$61))</f>
        <v/>
      </c>
      <c r="J64" s="92" t="str">
        <f>IF(COUNTIFS(JournalActions[Joueur],$B64,JournalActions[Action],$J$60,JournalActions[Mi-temps],J$61)=0,"",COUNTIFS(JournalActions[Joueur],$B64,JournalActions[Action],$J$60,JournalActions[Mi-temps],J$61))</f>
        <v/>
      </c>
      <c r="K64" s="93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9" customFormat="1">
      <c r="B65" s="92" t="str">
        <v>BAUP Bastien</v>
      </c>
      <c r="C65" s="92" t="str">
        <f>IF(COUNTIFS(JournalActions[Joueur],$B65,JournalActions[Action],$C$60,JournalActions[Mi-temps],C$61)=0,"",COUNTIFS(JournalActions[Joueur],$B65,JournalActions[Action],$C$60,JournalActions[Mi-temps],C$61))</f>
        <v/>
      </c>
      <c r="D65" s="93" t="str">
        <f>IF(COUNTIFS(JournalActions[Joueur],$B65,JournalActions[Action],$C$60,JournalActions[Mi-temps],D$61)=0,"",COUNTIFS(JournalActions[Joueur],$B65,JournalActions[Action],$C$60,JournalActions[Mi-temps],D$61))</f>
        <v/>
      </c>
      <c r="E65" s="92" t="str">
        <f>IF(COUNTIFS(JournalActions[Joueur],$B65,JournalActions[Action],$E$60,JournalActions[Mi-temps],E$61)=0,"",COUNTIFS(JournalActions[Joueur],$B65,JournalActions[Action],$E$60,JournalActions[Mi-temps],E$61))</f>
        <v/>
      </c>
      <c r="F65" s="93" t="str">
        <f>IF(COUNTIFS(JournalActions[Joueur],$B65,JournalActions[Action],$E$60,JournalActions[Mi-temps],F$61)=0,"",COUNTIFS(JournalActions[Joueur],$B65,JournalActions[Action],$E$60,JournalActions[Mi-temps],F$61))</f>
        <v/>
      </c>
      <c r="H65" s="92" t="str">
        <f>IF(COUNTIFS(JournalActions[Joueur],$B65,JournalActions[Action],$H$60,JournalActions[Mi-temps],H$61)=0,"",COUNTIFS(JournalActions[Joueur],$B65,JournalActions[Action],$H$60,JournalActions[Mi-temps],H$61))</f>
        <v/>
      </c>
      <c r="I65" s="93" t="str">
        <f>IF(COUNTIFS(JournalActions[Joueur],$B65,JournalActions[Action],$H$60,JournalActions[Mi-temps],I$61)=0,"",COUNTIFS(JournalActions[Joueur],$B65,JournalActions[Action],$H$60,JournalActions[Mi-temps],I$61))</f>
        <v/>
      </c>
      <c r="J65" s="92" t="str">
        <f>IF(COUNTIFS(JournalActions[Joueur],$B65,JournalActions[Action],$J$60,JournalActions[Mi-temps],J$61)=0,"",COUNTIFS(JournalActions[Joueur],$B65,JournalActions[Action],$J$60,JournalActions[Mi-temps],J$61))</f>
        <v/>
      </c>
      <c r="K65" s="93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9" customFormat="1">
      <c r="B66" s="92" t="str">
        <v>BOURREC Anthony</v>
      </c>
      <c r="C66" s="92" t="str">
        <f>IF(COUNTIFS(JournalActions[Joueur],$B66,JournalActions[Action],$C$60,JournalActions[Mi-temps],C$61)=0,"",COUNTIFS(JournalActions[Joueur],$B66,JournalActions[Action],$C$60,JournalActions[Mi-temps],C$61))</f>
        <v/>
      </c>
      <c r="D66" s="93" t="str">
        <f>IF(COUNTIFS(JournalActions[Joueur],$B66,JournalActions[Action],$C$60,JournalActions[Mi-temps],D$61)=0,"",COUNTIFS(JournalActions[Joueur],$B66,JournalActions[Action],$C$60,JournalActions[Mi-temps],D$61))</f>
        <v/>
      </c>
      <c r="E66" s="92" t="str">
        <f>IF(COUNTIFS(JournalActions[Joueur],$B66,JournalActions[Action],$E$60,JournalActions[Mi-temps],E$61)=0,"",COUNTIFS(JournalActions[Joueur],$B66,JournalActions[Action],$E$60,JournalActions[Mi-temps],E$61))</f>
        <v/>
      </c>
      <c r="F66" s="93" t="str">
        <f>IF(COUNTIFS(JournalActions[Joueur],$B66,JournalActions[Action],$E$60,JournalActions[Mi-temps],F$61)=0,"",COUNTIFS(JournalActions[Joueur],$B66,JournalActions[Action],$E$60,JournalActions[Mi-temps],F$61))</f>
        <v/>
      </c>
      <c r="H66" s="92" t="str">
        <f>IF(COUNTIFS(JournalActions[Joueur],$B66,JournalActions[Action],$H$60,JournalActions[Mi-temps],H$61)=0,"",COUNTIFS(JournalActions[Joueur],$B66,JournalActions[Action],$H$60,JournalActions[Mi-temps],H$61))</f>
        <v/>
      </c>
      <c r="I66" s="93" t="str">
        <f>IF(COUNTIFS(JournalActions[Joueur],$B66,JournalActions[Action],$H$60,JournalActions[Mi-temps],I$61)=0,"",COUNTIFS(JournalActions[Joueur],$B66,JournalActions[Action],$H$60,JournalActions[Mi-temps],I$61))</f>
        <v/>
      </c>
      <c r="J66" s="92" t="str">
        <f>IF(COUNTIFS(JournalActions[Joueur],$B66,JournalActions[Action],$J$60,JournalActions[Mi-temps],J$61)=0,"",COUNTIFS(JournalActions[Joueur],$B66,JournalActions[Action],$J$60,JournalActions[Mi-temps],J$61))</f>
        <v/>
      </c>
      <c r="K66" s="93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9" customFormat="1">
      <c r="B67" s="92" t="str">
        <v>BOUTELOUP Romain</v>
      </c>
      <c r="C67" s="92" t="str">
        <f>IF(COUNTIFS(JournalActions[Joueur],$B67,JournalActions[Action],$C$60,JournalActions[Mi-temps],C$61)=0,"",COUNTIFS(JournalActions[Joueur],$B67,JournalActions[Action],$C$60,JournalActions[Mi-temps],C$61))</f>
        <v/>
      </c>
      <c r="D67" s="93" t="str">
        <f>IF(COUNTIFS(JournalActions[Joueur],$B67,JournalActions[Action],$C$60,JournalActions[Mi-temps],D$61)=0,"",COUNTIFS(JournalActions[Joueur],$B67,JournalActions[Action],$C$60,JournalActions[Mi-temps],D$61))</f>
        <v/>
      </c>
      <c r="E67" s="92" t="str">
        <f>IF(COUNTIFS(JournalActions[Joueur],$B67,JournalActions[Action],$E$60,JournalActions[Mi-temps],E$61)=0,"",COUNTIFS(JournalActions[Joueur],$B67,JournalActions[Action],$E$60,JournalActions[Mi-temps],E$61))</f>
        <v/>
      </c>
      <c r="F67" s="93" t="str">
        <f>IF(COUNTIFS(JournalActions[Joueur],$B67,JournalActions[Action],$E$60,JournalActions[Mi-temps],F$61)=0,"",COUNTIFS(JournalActions[Joueur],$B67,JournalActions[Action],$E$60,JournalActions[Mi-temps],F$61))</f>
        <v/>
      </c>
      <c r="H67" s="92" t="str">
        <f>IF(COUNTIFS(JournalActions[Joueur],$B67,JournalActions[Action],$H$60,JournalActions[Mi-temps],H$61)=0,"",COUNTIFS(JournalActions[Joueur],$B67,JournalActions[Action],$H$60,JournalActions[Mi-temps],H$61))</f>
        <v/>
      </c>
      <c r="I67" s="93" t="str">
        <f>IF(COUNTIFS(JournalActions[Joueur],$B67,JournalActions[Action],$H$60,JournalActions[Mi-temps],I$61)=0,"",COUNTIFS(JournalActions[Joueur],$B67,JournalActions[Action],$H$60,JournalActions[Mi-temps],I$61))</f>
        <v/>
      </c>
      <c r="J67" s="92" t="str">
        <f>IF(COUNTIFS(JournalActions[Joueur],$B67,JournalActions[Action],$J$60,JournalActions[Mi-temps],J$61)=0,"",COUNTIFS(JournalActions[Joueur],$B67,JournalActions[Action],$J$60,JournalActions[Mi-temps],J$61))</f>
        <v/>
      </c>
      <c r="K67" s="93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9" customFormat="1">
      <c r="B68" s="92" t="str">
        <v>DALLA ROSA Jonah</v>
      </c>
      <c r="C68" s="92" t="str">
        <f>IF(COUNTIFS(JournalActions[Joueur],$B68,JournalActions[Action],$C$60,JournalActions[Mi-temps],C$61)=0,"",COUNTIFS(JournalActions[Joueur],$B68,JournalActions[Action],$C$60,JournalActions[Mi-temps],C$61))</f>
        <v/>
      </c>
      <c r="D68" s="93" t="str">
        <f>IF(COUNTIFS(JournalActions[Joueur],$B68,JournalActions[Action],$C$60,JournalActions[Mi-temps],D$61)=0,"",COUNTIFS(JournalActions[Joueur],$B68,JournalActions[Action],$C$60,JournalActions[Mi-temps],D$61))</f>
        <v/>
      </c>
      <c r="E68" s="92" t="str">
        <f>IF(COUNTIFS(JournalActions[Joueur],$B68,JournalActions[Action],$E$60,JournalActions[Mi-temps],E$61)=0,"",COUNTIFS(JournalActions[Joueur],$B68,JournalActions[Action],$E$60,JournalActions[Mi-temps],E$61))</f>
        <v/>
      </c>
      <c r="F68" s="93" t="str">
        <f>IF(COUNTIFS(JournalActions[Joueur],$B68,JournalActions[Action],$E$60,JournalActions[Mi-temps],F$61)=0,"",COUNTIFS(JournalActions[Joueur],$B68,JournalActions[Action],$E$60,JournalActions[Mi-temps],F$61))</f>
        <v/>
      </c>
      <c r="H68" s="92" t="str">
        <f>IF(COUNTIFS(JournalActions[Joueur],$B68,JournalActions[Action],$H$60,JournalActions[Mi-temps],H$61)=0,"",COUNTIFS(JournalActions[Joueur],$B68,JournalActions[Action],$H$60,JournalActions[Mi-temps],H$61))</f>
        <v/>
      </c>
      <c r="I68" s="93" t="str">
        <f>IF(COUNTIFS(JournalActions[Joueur],$B68,JournalActions[Action],$H$60,JournalActions[Mi-temps],I$61)=0,"",COUNTIFS(JournalActions[Joueur],$B68,JournalActions[Action],$H$60,JournalActions[Mi-temps],I$61))</f>
        <v/>
      </c>
      <c r="J68" s="92" t="str">
        <f>IF(COUNTIFS(JournalActions[Joueur],$B68,JournalActions[Action],$J$60,JournalActions[Mi-temps],J$61)=0,"",COUNTIFS(JournalActions[Joueur],$B68,JournalActions[Action],$J$60,JournalActions[Mi-temps],J$61))</f>
        <v/>
      </c>
      <c r="K68" s="93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9" customFormat="1">
      <c r="B69" s="92" t="str">
        <v>DASTUGUE Thomas</v>
      </c>
      <c r="C69" s="92" t="str">
        <f>IF(COUNTIFS(JournalActions[Joueur],$B69,JournalActions[Action],$C$60,JournalActions[Mi-temps],C$61)=0,"",COUNTIFS(JournalActions[Joueur],$B69,JournalActions[Action],$C$60,JournalActions[Mi-temps],C$61))</f>
        <v/>
      </c>
      <c r="D69" s="93" t="str">
        <f>IF(COUNTIFS(JournalActions[Joueur],$B69,JournalActions[Action],$C$60,JournalActions[Mi-temps],D$61)=0,"",COUNTIFS(JournalActions[Joueur],$B69,JournalActions[Action],$C$60,JournalActions[Mi-temps],D$61))</f>
        <v/>
      </c>
      <c r="E69" s="92" t="str">
        <f>IF(COUNTIFS(JournalActions[Joueur],$B69,JournalActions[Action],$E$60,JournalActions[Mi-temps],E$61)=0,"",COUNTIFS(JournalActions[Joueur],$B69,JournalActions[Action],$E$60,JournalActions[Mi-temps],E$61))</f>
        <v/>
      </c>
      <c r="F69" s="93" t="str">
        <f>IF(COUNTIFS(JournalActions[Joueur],$B69,JournalActions[Action],$E$60,JournalActions[Mi-temps],F$61)=0,"",COUNTIFS(JournalActions[Joueur],$B69,JournalActions[Action],$E$60,JournalActions[Mi-temps],F$61))</f>
        <v/>
      </c>
      <c r="H69" s="92" t="str">
        <f>IF(COUNTIFS(JournalActions[Joueur],$B69,JournalActions[Action],$H$60,JournalActions[Mi-temps],H$61)=0,"",COUNTIFS(JournalActions[Joueur],$B69,JournalActions[Action],$H$60,JournalActions[Mi-temps],H$61))</f>
        <v/>
      </c>
      <c r="I69" s="93" t="str">
        <f>IF(COUNTIFS(JournalActions[Joueur],$B69,JournalActions[Action],$H$60,JournalActions[Mi-temps],I$61)=0,"",COUNTIFS(JournalActions[Joueur],$B69,JournalActions[Action],$H$60,JournalActions[Mi-temps],I$61))</f>
        <v/>
      </c>
      <c r="J69" s="92">
        <f>IF(COUNTIFS(JournalActions[Joueur],$B69,JournalActions[Action],$J$60,JournalActions[Mi-temps],J$61)=0,"",COUNTIFS(JournalActions[Joueur],$B69,JournalActions[Action],$J$60,JournalActions[Mi-temps],J$61))</f>
        <v>1</v>
      </c>
      <c r="K69" s="93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9" customFormat="1">
      <c r="B70" s="92" t="str">
        <v>FAULONG Marius</v>
      </c>
      <c r="C70" s="92" t="str">
        <f>IF(COUNTIFS(JournalActions[Joueur],$B70,JournalActions[Action],$C$60,JournalActions[Mi-temps],C$61)=0,"",COUNTIFS(JournalActions[Joueur],$B70,JournalActions[Action],$C$60,JournalActions[Mi-temps],C$61))</f>
        <v/>
      </c>
      <c r="D70" s="93" t="str">
        <f>IF(COUNTIFS(JournalActions[Joueur],$B70,JournalActions[Action],$C$60,JournalActions[Mi-temps],D$61)=0,"",COUNTIFS(JournalActions[Joueur],$B70,JournalActions[Action],$C$60,JournalActions[Mi-temps],D$61))</f>
        <v/>
      </c>
      <c r="E70" s="92" t="str">
        <f>IF(COUNTIFS(JournalActions[Joueur],$B70,JournalActions[Action],$E$60,JournalActions[Mi-temps],E$61)=0,"",COUNTIFS(JournalActions[Joueur],$B70,JournalActions[Action],$E$60,JournalActions[Mi-temps],E$61))</f>
        <v/>
      </c>
      <c r="F70" s="93" t="str">
        <f>IF(COUNTIFS(JournalActions[Joueur],$B70,JournalActions[Action],$E$60,JournalActions[Mi-temps],F$61)=0,"",COUNTIFS(JournalActions[Joueur],$B70,JournalActions[Action],$E$60,JournalActions[Mi-temps],F$61))</f>
        <v/>
      </c>
      <c r="H70" s="92" t="str">
        <f>IF(COUNTIFS(JournalActions[Joueur],$B70,JournalActions[Action],$H$60,JournalActions[Mi-temps],H$61)=0,"",COUNTIFS(JournalActions[Joueur],$B70,JournalActions[Action],$H$60,JournalActions[Mi-temps],H$61))</f>
        <v/>
      </c>
      <c r="I70" s="93" t="str">
        <f>IF(COUNTIFS(JournalActions[Joueur],$B70,JournalActions[Action],$H$60,JournalActions[Mi-temps],I$61)=0,"",COUNTIFS(JournalActions[Joueur],$B70,JournalActions[Action],$H$60,JournalActions[Mi-temps],I$61))</f>
        <v/>
      </c>
      <c r="J70" s="92" t="str">
        <f>IF(COUNTIFS(JournalActions[Joueur],$B70,JournalActions[Action],$J$60,JournalActions[Mi-temps],J$61)=0,"",COUNTIFS(JournalActions[Joueur],$B70,JournalActions[Action],$J$60,JournalActions[Mi-temps],J$61))</f>
        <v/>
      </c>
      <c r="K70" s="93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9" customFormat="1">
      <c r="B71" s="92" t="str">
        <v>JOUNAUX Joris</v>
      </c>
      <c r="C71" s="92" t="str">
        <f>IF(COUNTIFS(JournalActions[Joueur],$B71,JournalActions[Action],$C$60,JournalActions[Mi-temps],C$61)=0,"",COUNTIFS(JournalActions[Joueur],$B71,JournalActions[Action],$C$60,JournalActions[Mi-temps],C$61))</f>
        <v/>
      </c>
      <c r="D71" s="93" t="str">
        <f>IF(COUNTIFS(JournalActions[Joueur],$B71,JournalActions[Action],$C$60,JournalActions[Mi-temps],D$61)=0,"",COUNTIFS(JournalActions[Joueur],$B71,JournalActions[Action],$C$60,JournalActions[Mi-temps],D$61))</f>
        <v/>
      </c>
      <c r="E71" s="92" t="str">
        <f>IF(COUNTIFS(JournalActions[Joueur],$B71,JournalActions[Action],$E$60,JournalActions[Mi-temps],E$61)=0,"",COUNTIFS(JournalActions[Joueur],$B71,JournalActions[Action],$E$60,JournalActions[Mi-temps],E$61))</f>
        <v/>
      </c>
      <c r="F71" s="93" t="str">
        <f>IF(COUNTIFS(JournalActions[Joueur],$B71,JournalActions[Action],$E$60,JournalActions[Mi-temps],F$61)=0,"",COUNTIFS(JournalActions[Joueur],$B71,JournalActions[Action],$E$60,JournalActions[Mi-temps],F$61))</f>
        <v/>
      </c>
      <c r="H71" s="92" t="str">
        <f>IF(COUNTIFS(JournalActions[Joueur],$B71,JournalActions[Action],$H$60,JournalActions[Mi-temps],H$61)=0,"",COUNTIFS(JournalActions[Joueur],$B71,JournalActions[Action],$H$60,JournalActions[Mi-temps],H$61))</f>
        <v/>
      </c>
      <c r="I71" s="93" t="str">
        <f>IF(COUNTIFS(JournalActions[Joueur],$B71,JournalActions[Action],$H$60,JournalActions[Mi-temps],I$61)=0,"",COUNTIFS(JournalActions[Joueur],$B71,JournalActions[Action],$H$60,JournalActions[Mi-temps],I$61))</f>
        <v/>
      </c>
      <c r="J71" s="92" t="str">
        <f>IF(COUNTIFS(JournalActions[Joueur],$B71,JournalActions[Action],$J$60,JournalActions[Mi-temps],J$61)=0,"",COUNTIFS(JournalActions[Joueur],$B71,JournalActions[Action],$J$60,JournalActions[Mi-temps],J$61))</f>
        <v/>
      </c>
      <c r="K71" s="93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9" customFormat="1">
      <c r="B72" s="92" t="str">
        <v>KAPFER Bastien</v>
      </c>
      <c r="C72" s="92" t="str">
        <f>IF(COUNTIFS(JournalActions[Joueur],$B72,JournalActions[Action],$C$60,JournalActions[Mi-temps],C$61)=0,"",COUNTIFS(JournalActions[Joueur],$B72,JournalActions[Action],$C$60,JournalActions[Mi-temps],C$61))</f>
        <v/>
      </c>
      <c r="D72" s="93" t="str">
        <f>IF(COUNTIFS(JournalActions[Joueur],$B72,JournalActions[Action],$C$60,JournalActions[Mi-temps],D$61)=0,"",COUNTIFS(JournalActions[Joueur],$B72,JournalActions[Action],$C$60,JournalActions[Mi-temps],D$61))</f>
        <v/>
      </c>
      <c r="E72" s="92" t="str">
        <f>IF(COUNTIFS(JournalActions[Joueur],$B72,JournalActions[Action],$E$60,JournalActions[Mi-temps],E$61)=0,"",COUNTIFS(JournalActions[Joueur],$B72,JournalActions[Action],$E$60,JournalActions[Mi-temps],E$61))</f>
        <v/>
      </c>
      <c r="F72" s="93" t="str">
        <f>IF(COUNTIFS(JournalActions[Joueur],$B72,JournalActions[Action],$E$60,JournalActions[Mi-temps],F$61)=0,"",COUNTIFS(JournalActions[Joueur],$B72,JournalActions[Action],$E$60,JournalActions[Mi-temps],F$61))</f>
        <v/>
      </c>
      <c r="H72" s="92" t="str">
        <f>IF(COUNTIFS(JournalActions[Joueur],$B72,JournalActions[Action],$H$60,JournalActions[Mi-temps],H$61)=0,"",COUNTIFS(JournalActions[Joueur],$B72,JournalActions[Action],$H$60,JournalActions[Mi-temps],H$61))</f>
        <v/>
      </c>
      <c r="I72" s="93" t="str">
        <f>IF(COUNTIFS(JournalActions[Joueur],$B72,JournalActions[Action],$H$60,JournalActions[Mi-temps],I$61)=0,"",COUNTIFS(JournalActions[Joueur],$B72,JournalActions[Action],$H$60,JournalActions[Mi-temps],I$61))</f>
        <v/>
      </c>
      <c r="J72" s="92" t="str">
        <f>IF(COUNTIFS(JournalActions[Joueur],$B72,JournalActions[Action],$J$60,JournalActions[Mi-temps],J$61)=0,"",COUNTIFS(JournalActions[Joueur],$B72,JournalActions[Action],$J$60,JournalActions[Mi-temps],J$61))</f>
        <v/>
      </c>
      <c r="K72" s="93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9" customFormat="1">
      <c r="B73" s="92" t="str">
        <v>LAUDET Jean-Baptiste</v>
      </c>
      <c r="C73" s="92" t="str">
        <f>IF(COUNTIFS(JournalActions[Joueur],$B73,JournalActions[Action],$C$60,JournalActions[Mi-temps],C$61)=0,"",COUNTIFS(JournalActions[Joueur],$B73,JournalActions[Action],$C$60,JournalActions[Mi-temps],C$61))</f>
        <v/>
      </c>
      <c r="D73" s="93" t="str">
        <f>IF(COUNTIFS(JournalActions[Joueur],$B73,JournalActions[Action],$C$60,JournalActions[Mi-temps],D$61)=0,"",COUNTIFS(JournalActions[Joueur],$B73,JournalActions[Action],$C$60,JournalActions[Mi-temps],D$61))</f>
        <v/>
      </c>
      <c r="E73" s="92" t="str">
        <f>IF(COUNTIFS(JournalActions[Joueur],$B73,JournalActions[Action],$E$60,JournalActions[Mi-temps],E$61)=0,"",COUNTIFS(JournalActions[Joueur],$B73,JournalActions[Action],$E$60,JournalActions[Mi-temps],E$61))</f>
        <v/>
      </c>
      <c r="F73" s="93" t="str">
        <f>IF(COUNTIFS(JournalActions[Joueur],$B73,JournalActions[Action],$E$60,JournalActions[Mi-temps],F$61)=0,"",COUNTIFS(JournalActions[Joueur],$B73,JournalActions[Action],$E$60,JournalActions[Mi-temps],F$61))</f>
        <v/>
      </c>
      <c r="H73" s="92" t="str">
        <f>IF(COUNTIFS(JournalActions[Joueur],$B73,JournalActions[Action],$H$60,JournalActions[Mi-temps],H$61)=0,"",COUNTIFS(JournalActions[Joueur],$B73,JournalActions[Action],$H$60,JournalActions[Mi-temps],H$61))</f>
        <v/>
      </c>
      <c r="I73" s="93" t="str">
        <f>IF(COUNTIFS(JournalActions[Joueur],$B73,JournalActions[Action],$H$60,JournalActions[Mi-temps],I$61)=0,"",COUNTIFS(JournalActions[Joueur],$B73,JournalActions[Action],$H$60,JournalActions[Mi-temps],I$61))</f>
        <v/>
      </c>
      <c r="J73" s="92" t="str">
        <f>IF(COUNTIFS(JournalActions[Joueur],$B73,JournalActions[Action],$J$60,JournalActions[Mi-temps],J$61)=0,"",COUNTIFS(JournalActions[Joueur],$B73,JournalActions[Action],$J$60,JournalActions[Mi-temps],J$61))</f>
        <v/>
      </c>
      <c r="K73" s="93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9" customFormat="1">
      <c r="B74" s="92" t="str">
        <v>LOUREIRO LABAZUY Antonio</v>
      </c>
      <c r="C74" s="92" t="str">
        <f>IF(COUNTIFS(JournalActions[Joueur],$B74,JournalActions[Action],$C$60,JournalActions[Mi-temps],C$61)=0,"",COUNTIFS(JournalActions[Joueur],$B74,JournalActions[Action],$C$60,JournalActions[Mi-temps],C$61))</f>
        <v/>
      </c>
      <c r="D74" s="93" t="str">
        <f>IF(COUNTIFS(JournalActions[Joueur],$B74,JournalActions[Action],$C$60,JournalActions[Mi-temps],D$61)=0,"",COUNTIFS(JournalActions[Joueur],$B74,JournalActions[Action],$C$60,JournalActions[Mi-temps],D$61))</f>
        <v/>
      </c>
      <c r="E74" s="92" t="str">
        <f>IF(COUNTIFS(JournalActions[Joueur],$B74,JournalActions[Action],$E$60,JournalActions[Mi-temps],E$61)=0,"",COUNTIFS(JournalActions[Joueur],$B74,JournalActions[Action],$E$60,JournalActions[Mi-temps],E$61))</f>
        <v/>
      </c>
      <c r="F74" s="93" t="str">
        <f>IF(COUNTIFS(JournalActions[Joueur],$B74,JournalActions[Action],$E$60,JournalActions[Mi-temps],F$61)=0,"",COUNTIFS(JournalActions[Joueur],$B74,JournalActions[Action],$E$60,JournalActions[Mi-temps],F$61))</f>
        <v/>
      </c>
      <c r="H74" s="92" t="str">
        <f>IF(COUNTIFS(JournalActions[Joueur],$B74,JournalActions[Action],$H$60,JournalActions[Mi-temps],H$61)=0,"",COUNTIFS(JournalActions[Joueur],$B74,JournalActions[Action],$H$60,JournalActions[Mi-temps],H$61))</f>
        <v/>
      </c>
      <c r="I74" s="93" t="str">
        <f>IF(COUNTIFS(JournalActions[Joueur],$B74,JournalActions[Action],$H$60,JournalActions[Mi-temps],I$61)=0,"",COUNTIFS(JournalActions[Joueur],$B74,JournalActions[Action],$H$60,JournalActions[Mi-temps],I$61))</f>
        <v/>
      </c>
      <c r="J74" s="92" t="str">
        <f>IF(COUNTIFS(JournalActions[Joueur],$B74,JournalActions[Action],$J$60,JournalActions[Mi-temps],J$61)=0,"",COUNTIFS(JournalActions[Joueur],$B74,JournalActions[Action],$J$60,JournalActions[Mi-temps],J$61))</f>
        <v/>
      </c>
      <c r="K74" s="93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9" customFormat="1">
      <c r="B75" s="92" t="str">
        <v>MICHELIN Paul</v>
      </c>
      <c r="C75" s="92" t="str">
        <f>IF(COUNTIFS(JournalActions[Joueur],$B75,JournalActions[Action],$C$60,JournalActions[Mi-temps],C$61)=0,"",COUNTIFS(JournalActions[Joueur],$B75,JournalActions[Action],$C$60,JournalActions[Mi-temps],C$61))</f>
        <v/>
      </c>
      <c r="D75" s="93" t="str">
        <f>IF(COUNTIFS(JournalActions[Joueur],$B75,JournalActions[Action],$C$60,JournalActions[Mi-temps],D$61)=0,"",COUNTIFS(JournalActions[Joueur],$B75,JournalActions[Action],$C$60,JournalActions[Mi-temps],D$61))</f>
        <v/>
      </c>
      <c r="E75" s="92" t="str">
        <f>IF(COUNTIFS(JournalActions[Joueur],$B75,JournalActions[Action],$E$60,JournalActions[Mi-temps],E$61)=0,"",COUNTIFS(JournalActions[Joueur],$B75,JournalActions[Action],$E$60,JournalActions[Mi-temps],E$61))</f>
        <v/>
      </c>
      <c r="F75" s="93" t="str">
        <f>IF(COUNTIFS(JournalActions[Joueur],$B75,JournalActions[Action],$E$60,JournalActions[Mi-temps],F$61)=0,"",COUNTIFS(JournalActions[Joueur],$B75,JournalActions[Action],$E$60,JournalActions[Mi-temps],F$61))</f>
        <v/>
      </c>
      <c r="H75" s="92" t="str">
        <f>IF(COUNTIFS(JournalActions[Joueur],$B75,JournalActions[Action],$H$60,JournalActions[Mi-temps],H$61)=0,"",COUNTIFS(JournalActions[Joueur],$B75,JournalActions[Action],$H$60,JournalActions[Mi-temps],H$61))</f>
        <v/>
      </c>
      <c r="I75" s="93" t="str">
        <f>IF(COUNTIFS(JournalActions[Joueur],$B75,JournalActions[Action],$H$60,JournalActions[Mi-temps],I$61)=0,"",COUNTIFS(JournalActions[Joueur],$B75,JournalActions[Action],$H$60,JournalActions[Mi-temps],I$61))</f>
        <v/>
      </c>
      <c r="J75" s="92" t="str">
        <f>IF(COUNTIFS(JournalActions[Joueur],$B75,JournalActions[Action],$J$60,JournalActions[Mi-temps],J$61)=0,"",COUNTIFS(JournalActions[Joueur],$B75,JournalActions[Action],$J$60,JournalActions[Mi-temps],J$61))</f>
        <v/>
      </c>
      <c r="K75" s="93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9" customFormat="1">
      <c r="B76" s="92" t="str">
        <v>MONLOR Yohan</v>
      </c>
      <c r="C76" s="92" t="str">
        <f>IF(COUNTIFS(JournalActions[Joueur],$B76,JournalActions[Action],$C$60,JournalActions[Mi-temps],C$61)=0,"",COUNTIFS(JournalActions[Joueur],$B76,JournalActions[Action],$C$60,JournalActions[Mi-temps],C$61))</f>
        <v/>
      </c>
      <c r="D76" s="93" t="str">
        <f>IF(COUNTIFS(JournalActions[Joueur],$B76,JournalActions[Action],$C$60,JournalActions[Mi-temps],D$61)=0,"",COUNTIFS(JournalActions[Joueur],$B76,JournalActions[Action],$C$60,JournalActions[Mi-temps],D$61))</f>
        <v/>
      </c>
      <c r="E76" s="92" t="str">
        <f>IF(COUNTIFS(JournalActions[Joueur],$B76,JournalActions[Action],$E$60,JournalActions[Mi-temps],E$61)=0,"",COUNTIFS(JournalActions[Joueur],$B76,JournalActions[Action],$E$60,JournalActions[Mi-temps],E$61))</f>
        <v/>
      </c>
      <c r="F76" s="93" t="str">
        <f>IF(COUNTIFS(JournalActions[Joueur],$B76,JournalActions[Action],$E$60,JournalActions[Mi-temps],F$61)=0,"",COUNTIFS(JournalActions[Joueur],$B76,JournalActions[Action],$E$60,JournalActions[Mi-temps],F$61))</f>
        <v/>
      </c>
      <c r="H76" s="92" t="str">
        <f>IF(COUNTIFS(JournalActions[Joueur],$B76,JournalActions[Action],$H$60,JournalActions[Mi-temps],H$61)=0,"",COUNTIFS(JournalActions[Joueur],$B76,JournalActions[Action],$H$60,JournalActions[Mi-temps],H$61))</f>
        <v/>
      </c>
      <c r="I76" s="93" t="str">
        <f>IF(COUNTIFS(JournalActions[Joueur],$B76,JournalActions[Action],$H$60,JournalActions[Mi-temps],I$61)=0,"",COUNTIFS(JournalActions[Joueur],$B76,JournalActions[Action],$H$60,JournalActions[Mi-temps],I$61))</f>
        <v/>
      </c>
      <c r="J76" s="92" t="str">
        <f>IF(COUNTIFS(JournalActions[Joueur],$B76,JournalActions[Action],$J$60,JournalActions[Mi-temps],J$61)=0,"",COUNTIFS(JournalActions[Joueur],$B76,JournalActions[Action],$J$60,JournalActions[Mi-temps],J$61))</f>
        <v/>
      </c>
      <c r="K76" s="93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9" customFormat="1">
      <c r="B77" s="92" t="str">
        <v>MOUDENS Alexis</v>
      </c>
      <c r="C77" s="92" t="str">
        <f>IF(COUNTIFS(JournalActions[Joueur],$B77,JournalActions[Action],$C$60,JournalActions[Mi-temps],C$61)=0,"",COUNTIFS(JournalActions[Joueur],$B77,JournalActions[Action],$C$60,JournalActions[Mi-temps],C$61))</f>
        <v/>
      </c>
      <c r="D77" s="93" t="str">
        <f>IF(COUNTIFS(JournalActions[Joueur],$B77,JournalActions[Action],$C$60,JournalActions[Mi-temps],D$61)=0,"",COUNTIFS(JournalActions[Joueur],$B77,JournalActions[Action],$C$60,JournalActions[Mi-temps],D$61))</f>
        <v/>
      </c>
      <c r="E77" s="92" t="str">
        <f>IF(COUNTIFS(JournalActions[Joueur],$B77,JournalActions[Action],$E$60,JournalActions[Mi-temps],E$61)=0,"",COUNTIFS(JournalActions[Joueur],$B77,JournalActions[Action],$E$60,JournalActions[Mi-temps],E$61))</f>
        <v/>
      </c>
      <c r="F77" s="93" t="str">
        <f>IF(COUNTIFS(JournalActions[Joueur],$B77,JournalActions[Action],$E$60,JournalActions[Mi-temps],F$61)=0,"",COUNTIFS(JournalActions[Joueur],$B77,JournalActions[Action],$E$60,JournalActions[Mi-temps],F$61))</f>
        <v/>
      </c>
      <c r="H77" s="92" t="str">
        <f>IF(COUNTIFS(JournalActions[Joueur],$B77,JournalActions[Action],$H$60,JournalActions[Mi-temps],H$61)=0,"",COUNTIFS(JournalActions[Joueur],$B77,JournalActions[Action],$H$60,JournalActions[Mi-temps],H$61))</f>
        <v/>
      </c>
      <c r="I77" s="93" t="str">
        <f>IF(COUNTIFS(JournalActions[Joueur],$B77,JournalActions[Action],$H$60,JournalActions[Mi-temps],I$61)=0,"",COUNTIFS(JournalActions[Joueur],$B77,JournalActions[Action],$H$60,JournalActions[Mi-temps],I$61))</f>
        <v/>
      </c>
      <c r="J77" s="92" t="str">
        <f>IF(COUNTIFS(JournalActions[Joueur],$B77,JournalActions[Action],$J$60,JournalActions[Mi-temps],J$61)=0,"",COUNTIFS(JournalActions[Joueur],$B77,JournalActions[Action],$J$60,JournalActions[Mi-temps],J$61))</f>
        <v/>
      </c>
      <c r="K77" s="93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9" customFormat="1">
      <c r="B78" s="92" t="str">
        <v>MULLIER Martin</v>
      </c>
      <c r="C78" s="92" t="str">
        <f>IF(COUNTIFS(JournalActions[Joueur],$B78,JournalActions[Action],$C$60,JournalActions[Mi-temps],C$61)=0,"",COUNTIFS(JournalActions[Joueur],$B78,JournalActions[Action],$C$60,JournalActions[Mi-temps],C$61))</f>
        <v/>
      </c>
      <c r="D78" s="93" t="str">
        <f>IF(COUNTIFS(JournalActions[Joueur],$B78,JournalActions[Action],$C$60,JournalActions[Mi-temps],D$61)=0,"",COUNTIFS(JournalActions[Joueur],$B78,JournalActions[Action],$C$60,JournalActions[Mi-temps],D$61))</f>
        <v/>
      </c>
      <c r="E78" s="92" t="str">
        <f>IF(COUNTIFS(JournalActions[Joueur],$B78,JournalActions[Action],$E$60,JournalActions[Mi-temps],E$61)=0,"",COUNTIFS(JournalActions[Joueur],$B78,JournalActions[Action],$E$60,JournalActions[Mi-temps],E$61))</f>
        <v/>
      </c>
      <c r="F78" s="93" t="str">
        <f>IF(COUNTIFS(JournalActions[Joueur],$B78,JournalActions[Action],$E$60,JournalActions[Mi-temps],F$61)=0,"",COUNTIFS(JournalActions[Joueur],$B78,JournalActions[Action],$E$60,JournalActions[Mi-temps],F$61))</f>
        <v/>
      </c>
      <c r="H78" s="92" t="str">
        <f>IF(COUNTIFS(JournalActions[Joueur],$B78,JournalActions[Action],$H$60,JournalActions[Mi-temps],H$61)=0,"",COUNTIFS(JournalActions[Joueur],$B78,JournalActions[Action],$H$60,JournalActions[Mi-temps],H$61))</f>
        <v/>
      </c>
      <c r="I78" s="93" t="str">
        <f>IF(COUNTIFS(JournalActions[Joueur],$B78,JournalActions[Action],$H$60,JournalActions[Mi-temps],I$61)=0,"",COUNTIFS(JournalActions[Joueur],$B78,JournalActions[Action],$H$60,JournalActions[Mi-temps],I$61))</f>
        <v/>
      </c>
      <c r="J78" s="92" t="str">
        <f>IF(COUNTIFS(JournalActions[Joueur],$B78,JournalActions[Action],$J$60,JournalActions[Mi-temps],J$61)=0,"",COUNTIFS(JournalActions[Joueur],$B78,JournalActions[Action],$J$60,JournalActions[Mi-temps],J$61))</f>
        <v/>
      </c>
      <c r="K78" s="93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9" customFormat="1">
      <c r="B79" s="92" t="str">
        <v>PIQUEMIL Maxime</v>
      </c>
      <c r="C79" s="92" t="str">
        <f>IF(COUNTIFS(JournalActions[Joueur],$B79,JournalActions[Action],$C$60,JournalActions[Mi-temps],C$61)=0,"",COUNTIFS(JournalActions[Joueur],$B79,JournalActions[Action],$C$60,JournalActions[Mi-temps],C$61))</f>
        <v/>
      </c>
      <c r="D79" s="93" t="str">
        <f>IF(COUNTIFS(JournalActions[Joueur],$B79,JournalActions[Action],$C$60,JournalActions[Mi-temps],D$61)=0,"",COUNTIFS(JournalActions[Joueur],$B79,JournalActions[Action],$C$60,JournalActions[Mi-temps],D$61))</f>
        <v/>
      </c>
      <c r="E79" s="92" t="str">
        <f>IF(COUNTIFS(JournalActions[Joueur],$B79,JournalActions[Action],$E$60,JournalActions[Mi-temps],E$61)=0,"",COUNTIFS(JournalActions[Joueur],$B79,JournalActions[Action],$E$60,JournalActions[Mi-temps],E$61))</f>
        <v/>
      </c>
      <c r="F79" s="93" t="str">
        <f>IF(COUNTIFS(JournalActions[Joueur],$B79,JournalActions[Action],$E$60,JournalActions[Mi-temps],F$61)=0,"",COUNTIFS(JournalActions[Joueur],$B79,JournalActions[Action],$E$60,JournalActions[Mi-temps],F$61))</f>
        <v/>
      </c>
      <c r="H79" s="92" t="str">
        <f>IF(COUNTIFS(JournalActions[Joueur],$B79,JournalActions[Action],$H$60,JournalActions[Mi-temps],H$61)=0,"",COUNTIFS(JournalActions[Joueur],$B79,JournalActions[Action],$H$60,JournalActions[Mi-temps],H$61))</f>
        <v/>
      </c>
      <c r="I79" s="93" t="str">
        <f>IF(COUNTIFS(JournalActions[Joueur],$B79,JournalActions[Action],$H$60,JournalActions[Mi-temps],I$61)=0,"",COUNTIFS(JournalActions[Joueur],$B79,JournalActions[Action],$H$60,JournalActions[Mi-temps],I$61))</f>
        <v/>
      </c>
      <c r="J79" s="92" t="str">
        <f>IF(COUNTIFS(JournalActions[Joueur],$B79,JournalActions[Action],$J$60,JournalActions[Mi-temps],J$61)=0,"",COUNTIFS(JournalActions[Joueur],$B79,JournalActions[Action],$J$60,JournalActions[Mi-temps],J$61))</f>
        <v/>
      </c>
      <c r="K79" s="93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9" customFormat="1">
      <c r="B80" s="92" t="str">
        <v>RICHIARDONNE Gregory</v>
      </c>
      <c r="C80" s="92" t="str">
        <f>IF(COUNTIFS(JournalActions[Joueur],$B80,JournalActions[Action],$C$60,JournalActions[Mi-temps],C$61)=0,"",COUNTIFS(JournalActions[Joueur],$B80,JournalActions[Action],$C$60,JournalActions[Mi-temps],C$61))</f>
        <v/>
      </c>
      <c r="D80" s="93" t="str">
        <f>IF(COUNTIFS(JournalActions[Joueur],$B80,JournalActions[Action],$C$60,JournalActions[Mi-temps],D$61)=0,"",COUNTIFS(JournalActions[Joueur],$B80,JournalActions[Action],$C$60,JournalActions[Mi-temps],D$61))</f>
        <v/>
      </c>
      <c r="E80" s="92" t="str">
        <f>IF(COUNTIFS(JournalActions[Joueur],$B80,JournalActions[Action],$E$60,JournalActions[Mi-temps],E$61)=0,"",COUNTIFS(JournalActions[Joueur],$B80,JournalActions[Action],$E$60,JournalActions[Mi-temps],E$61))</f>
        <v/>
      </c>
      <c r="F80" s="93" t="str">
        <f>IF(COUNTIFS(JournalActions[Joueur],$B80,JournalActions[Action],$E$60,JournalActions[Mi-temps],F$61)=0,"",COUNTIFS(JournalActions[Joueur],$B80,JournalActions[Action],$E$60,JournalActions[Mi-temps],F$61))</f>
        <v/>
      </c>
      <c r="H80" s="92" t="str">
        <f>IF(COUNTIFS(JournalActions[Joueur],$B80,JournalActions[Action],$H$60,JournalActions[Mi-temps],H$61)=0,"",COUNTIFS(JournalActions[Joueur],$B80,JournalActions[Action],$H$60,JournalActions[Mi-temps],H$61))</f>
        <v/>
      </c>
      <c r="I80" s="93" t="str">
        <f>IF(COUNTIFS(JournalActions[Joueur],$B80,JournalActions[Action],$H$60,JournalActions[Mi-temps],I$61)=0,"",COUNTIFS(JournalActions[Joueur],$B80,JournalActions[Action],$H$60,JournalActions[Mi-temps],I$61))</f>
        <v/>
      </c>
      <c r="J80" s="92" t="str">
        <f>IF(COUNTIFS(JournalActions[Joueur],$B80,JournalActions[Action],$J$60,JournalActions[Mi-temps],J$61)=0,"",COUNTIFS(JournalActions[Joueur],$B80,JournalActions[Action],$J$60,JournalActions[Mi-temps],J$61))</f>
        <v/>
      </c>
      <c r="K80" s="93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9" customFormat="1">
      <c r="B81" s="92" t="str">
        <v>ROUSSEL Mathis</v>
      </c>
      <c r="C81" s="92" t="str">
        <f>IF(COUNTIFS(JournalActions[Joueur],$B81,JournalActions[Action],$C$60,JournalActions[Mi-temps],C$61)=0,"",COUNTIFS(JournalActions[Joueur],$B81,JournalActions[Action],$C$60,JournalActions[Mi-temps],C$61))</f>
        <v/>
      </c>
      <c r="D81" s="93">
        <f>IF(COUNTIFS(JournalActions[Joueur],$B81,JournalActions[Action],$C$60,JournalActions[Mi-temps],D$61)=0,"",COUNTIFS(JournalActions[Joueur],$B81,JournalActions[Action],$C$60,JournalActions[Mi-temps],D$61))</f>
        <v>1</v>
      </c>
      <c r="E81" s="92" t="str">
        <f>IF(COUNTIFS(JournalActions[Joueur],$B81,JournalActions[Action],$E$60,JournalActions[Mi-temps],E$61)=0,"",COUNTIFS(JournalActions[Joueur],$B81,JournalActions[Action],$E$60,JournalActions[Mi-temps],E$61))</f>
        <v/>
      </c>
      <c r="F81" s="93" t="str">
        <f>IF(COUNTIFS(JournalActions[Joueur],$B81,JournalActions[Action],$E$60,JournalActions[Mi-temps],F$61)=0,"",COUNTIFS(JournalActions[Joueur],$B81,JournalActions[Action],$E$60,JournalActions[Mi-temps],F$61))</f>
        <v/>
      </c>
      <c r="H81" s="92" t="str">
        <f>IF(COUNTIFS(JournalActions[Joueur],$B81,JournalActions[Action],$H$60,JournalActions[Mi-temps],H$61)=0,"",COUNTIFS(JournalActions[Joueur],$B81,JournalActions[Action],$H$60,JournalActions[Mi-temps],H$61))</f>
        <v/>
      </c>
      <c r="I81" s="93" t="str">
        <f>IF(COUNTIFS(JournalActions[Joueur],$B81,JournalActions[Action],$H$60,JournalActions[Mi-temps],I$61)=0,"",COUNTIFS(JournalActions[Joueur],$B81,JournalActions[Action],$H$60,JournalActions[Mi-temps],I$61))</f>
        <v/>
      </c>
      <c r="J81" s="92" t="str">
        <f>IF(COUNTIFS(JournalActions[Joueur],$B81,JournalActions[Action],$J$60,JournalActions[Mi-temps],J$61)=0,"",COUNTIFS(JournalActions[Joueur],$B81,JournalActions[Action],$J$60,JournalActions[Mi-temps],J$61))</f>
        <v/>
      </c>
      <c r="K81" s="93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9" customFormat="1">
      <c r="B82" s="92" t="str">
        <v>SALLES Dorian</v>
      </c>
      <c r="C82" s="92" t="str">
        <f>IF(COUNTIFS(JournalActions[Joueur],$B82,JournalActions[Action],$C$60,JournalActions[Mi-temps],C$61)=0,"",COUNTIFS(JournalActions[Joueur],$B82,JournalActions[Action],$C$60,JournalActions[Mi-temps],C$61))</f>
        <v/>
      </c>
      <c r="D82" s="93">
        <f>IF(COUNTIFS(JournalActions[Joueur],$B82,JournalActions[Action],$C$60,JournalActions[Mi-temps],D$61)=0,"",COUNTIFS(JournalActions[Joueur],$B82,JournalActions[Action],$C$60,JournalActions[Mi-temps],D$61))</f>
        <v>1</v>
      </c>
      <c r="E82" s="92">
        <f>IF(COUNTIFS(JournalActions[Joueur],$B82,JournalActions[Action],$E$60,JournalActions[Mi-temps],E$61)=0,"",COUNTIFS(JournalActions[Joueur],$B82,JournalActions[Action],$E$60,JournalActions[Mi-temps],E$61))</f>
        <v>1</v>
      </c>
      <c r="F82" s="93" t="str">
        <f>IF(COUNTIFS(JournalActions[Joueur],$B82,JournalActions[Action],$E$60,JournalActions[Mi-temps],F$61)=0,"",COUNTIFS(JournalActions[Joueur],$B82,JournalActions[Action],$E$60,JournalActions[Mi-temps],F$61))</f>
        <v/>
      </c>
      <c r="H82" s="92">
        <f>IF(COUNTIFS(JournalActions[Joueur],$B82,JournalActions[Action],$H$60,JournalActions[Mi-temps],H$61)=0,"",COUNTIFS(JournalActions[Joueur],$B82,JournalActions[Action],$H$60,JournalActions[Mi-temps],H$61))</f>
        <v>1</v>
      </c>
      <c r="I82" s="93" t="str">
        <f>IF(COUNTIFS(JournalActions[Joueur],$B82,JournalActions[Action],$H$60,JournalActions[Mi-temps],I$61)=0,"",COUNTIFS(JournalActions[Joueur],$B82,JournalActions[Action],$H$60,JournalActions[Mi-temps],I$61))</f>
        <v/>
      </c>
      <c r="J82" s="92" t="str">
        <f>IF(COUNTIFS(JournalActions[Joueur],$B82,JournalActions[Action],$J$60,JournalActions[Mi-temps],J$61)=0,"",COUNTIFS(JournalActions[Joueur],$B82,JournalActions[Action],$J$60,JournalActions[Mi-temps],J$61))</f>
        <v/>
      </c>
      <c r="K82" s="93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9" customFormat="1">
      <c r="B83" s="92" t="str">
        <v>SALLES Fabien</v>
      </c>
      <c r="C83" s="92" t="str">
        <f>IF(COUNTIFS(JournalActions[Joueur],$B83,JournalActions[Action],$C$60,JournalActions[Mi-temps],C$61)=0,"",COUNTIFS(JournalActions[Joueur],$B83,JournalActions[Action],$C$60,JournalActions[Mi-temps],C$61))</f>
        <v/>
      </c>
      <c r="D83" s="93" t="str">
        <f>IF(COUNTIFS(JournalActions[Joueur],$B83,JournalActions[Action],$C$60,JournalActions[Mi-temps],D$61)=0,"",COUNTIFS(JournalActions[Joueur],$B83,JournalActions[Action],$C$60,JournalActions[Mi-temps],D$61))</f>
        <v/>
      </c>
      <c r="E83" s="92" t="str">
        <f>IF(COUNTIFS(JournalActions[Joueur],$B83,JournalActions[Action],$E$60,JournalActions[Mi-temps],E$61)=0,"",COUNTIFS(JournalActions[Joueur],$B83,JournalActions[Action],$E$60,JournalActions[Mi-temps],E$61))</f>
        <v/>
      </c>
      <c r="F83" s="93" t="str">
        <f>IF(COUNTIFS(JournalActions[Joueur],$B83,JournalActions[Action],$E$60,JournalActions[Mi-temps],F$61)=0,"",COUNTIFS(JournalActions[Joueur],$B83,JournalActions[Action],$E$60,JournalActions[Mi-temps],F$61))</f>
        <v/>
      </c>
      <c r="H83" s="92" t="str">
        <f>IF(COUNTIFS(JournalActions[Joueur],$B83,JournalActions[Action],$H$60,JournalActions[Mi-temps],H$61)=0,"",COUNTIFS(JournalActions[Joueur],$B83,JournalActions[Action],$H$60,JournalActions[Mi-temps],H$61))</f>
        <v/>
      </c>
      <c r="I83" s="93" t="str">
        <f>IF(COUNTIFS(JournalActions[Joueur],$B83,JournalActions[Action],$H$60,JournalActions[Mi-temps],I$61)=0,"",COUNTIFS(JournalActions[Joueur],$B83,JournalActions[Action],$H$60,JournalActions[Mi-temps],I$61))</f>
        <v/>
      </c>
      <c r="J83" s="92" t="str">
        <f>IF(COUNTIFS(JournalActions[Joueur],$B83,JournalActions[Action],$J$60,JournalActions[Mi-temps],J$61)=0,"",COUNTIFS(JournalActions[Joueur],$B83,JournalActions[Action],$J$60,JournalActions[Mi-temps],J$61))</f>
        <v/>
      </c>
      <c r="K83" s="93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9" customFormat="1">
      <c r="B84" s="90" t="s">
        <v>93</v>
      </c>
      <c r="C84" s="92" t="str">
        <f>IF(COUNTIFS(JournalActions[Joueur],$B84,JournalActions[Action],$C$60,JournalActions[Mi-temps],C$61)=0,"",COUNTIFS(JournalActions[Joueur],$B84,JournalActions[Action],$C$60,JournalActions[Mi-temps],C$61))</f>
        <v/>
      </c>
      <c r="D84" s="93" t="str">
        <f>IF(COUNTIFS(JournalActions[Joueur],$B84,JournalActions[Action],$C$60,JournalActions[Mi-temps],D$61)=0,"",COUNTIFS(JournalActions[Joueur],$B84,JournalActions[Action],$C$60,JournalActions[Mi-temps],D$61))</f>
        <v/>
      </c>
      <c r="E84" s="92" t="str">
        <f>IF(COUNTIFS(JournalActions[Joueur],$B84,JournalActions[Action],$E$60,JournalActions[Mi-temps],E$61)=0,"",COUNTIFS(JournalActions[Joueur],$B84,JournalActions[Action],$E$60,JournalActions[Mi-temps],E$61))</f>
        <v/>
      </c>
      <c r="F84" s="93" t="str">
        <f>IF(COUNTIFS(JournalActions[Joueur],$B84,JournalActions[Action],$E$60,JournalActions[Mi-temps],F$61)=0,"",COUNTIFS(JournalActions[Joueur],$B84,JournalActions[Action],$E$60,JournalActions[Mi-temps],F$61))</f>
        <v/>
      </c>
      <c r="H84" s="92" t="str">
        <f>IF(COUNTIFS(JournalActions[Joueur],$B84,JournalActions[Action],$H$60,JournalActions[Mi-temps],H$61)=0,"",COUNTIFS(JournalActions[Joueur],$B84,JournalActions[Action],$H$60,JournalActions[Mi-temps],H$61))</f>
        <v/>
      </c>
      <c r="I84" s="93" t="str">
        <f>IF(COUNTIFS(JournalActions[Joueur],$B84,JournalActions[Action],$H$60,JournalActions[Mi-temps],I$61)=0,"",COUNTIFS(JournalActions[Joueur],$B84,JournalActions[Action],$H$60,JournalActions[Mi-temps],I$61))</f>
        <v/>
      </c>
      <c r="J84" s="92" t="str">
        <f>IF(COUNTIFS(JournalActions[Joueur],$B84,JournalActions[Action],$J$60,JournalActions[Mi-temps],J$61)=0,"",COUNTIFS(JournalActions[Joueur],$B84,JournalActions[Action],$J$60,JournalActions[Mi-temps],J$61))</f>
        <v/>
      </c>
      <c r="K84" s="93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9" customFormat="1">
      <c r="B85" s="91" t="s">
        <v>83</v>
      </c>
      <c r="C85" s="92" t="str">
        <f>IF(COUNTIFS(JournalActions[Joueur],$B85,JournalActions[Action],$C$60,JournalActions[Mi-temps],C$61)=0,"",COUNTIFS(JournalActions[Joueur],$B85,JournalActions[Action],$C$60,JournalActions[Mi-temps],C$61))</f>
        <v/>
      </c>
      <c r="D85" s="93" t="str">
        <f>IF(COUNTIFS(JournalActions[Joueur],$B85,JournalActions[Action],$C$60,JournalActions[Mi-temps],D$61)=0,"",COUNTIFS(JournalActions[Joueur],$B85,JournalActions[Action],$C$60,JournalActions[Mi-temps],D$61))</f>
        <v/>
      </c>
      <c r="E85" s="92" t="str">
        <f>IF(COUNTIFS(JournalActions[Joueur],$B85,JournalActions[Action],$E$60,JournalActions[Mi-temps],E$61)=0,"",COUNTIFS(JournalActions[Joueur],$B85,JournalActions[Action],$E$60,JournalActions[Mi-temps],E$61))</f>
        <v/>
      </c>
      <c r="F85" s="93">
        <f>IF(COUNTIFS(JournalActions[Joueur],$B85,JournalActions[Action],$E$60,JournalActions[Mi-temps],F$61)=0,"",COUNTIFS(JournalActions[Joueur],$B85,JournalActions[Action],$E$60,JournalActions[Mi-temps],F$61))</f>
        <v>1</v>
      </c>
      <c r="H85" s="92" t="str">
        <f>IF(COUNTIFS(JournalActions[Joueur],$B85,JournalActions[Action],$H$60,JournalActions[Mi-temps],H$61)=0,"",COUNTIFS(JournalActions[Joueur],$B85,JournalActions[Action],$H$60,JournalActions[Mi-temps],H$61))</f>
        <v/>
      </c>
      <c r="I85" s="93" t="str">
        <f>IF(COUNTIFS(JournalActions[Joueur],$B85,JournalActions[Action],$H$60,JournalActions[Mi-temps],I$61)=0,"",COUNTIFS(JournalActions[Joueur],$B85,JournalActions[Action],$H$60,JournalActions[Mi-temps],I$61))</f>
        <v/>
      </c>
      <c r="J85" s="92" t="str">
        <f>IF(COUNTIFS(JournalActions[Joueur],$B85,JournalActions[Action],$J$60,JournalActions[Mi-temps],J$61)=0,"",COUNTIFS(JournalActions[Joueur],$B85,JournalActions[Action],$J$60,JournalActions[Mi-temps],J$61))</f>
        <v/>
      </c>
      <c r="K85" s="93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9" customFormat="1" ht="14">
      <c r="B86" s="126" t="s">
        <v>292</v>
      </c>
      <c r="C86" s="127">
        <f>SUM(C62:C85)</f>
        <v>3</v>
      </c>
      <c r="D86" s="128">
        <f t="shared" ref="D86" si="6">SUM(D62:D85)</f>
        <v>5</v>
      </c>
      <c r="E86" s="127">
        <f>SUM(E62:E85)</f>
        <v>2</v>
      </c>
      <c r="F86" s="128">
        <f t="shared" ref="F86" si="7">SUM(F62:F85)</f>
        <v>3</v>
      </c>
      <c r="H86" s="151">
        <f>SUM(H62:H85)</f>
        <v>1</v>
      </c>
      <c r="I86" s="152">
        <f>SUM(I62:I85)</f>
        <v>1</v>
      </c>
      <c r="J86" s="151">
        <f>SUM(J62:J85)</f>
        <v>1</v>
      </c>
      <c r="K86" s="152">
        <f t="shared" ref="K86" si="8">SUM(K62:K85)</f>
        <v>0</v>
      </c>
    </row>
    <row r="87" spans="2:11" s="29" customFormat="1" ht="16">
      <c r="B87" s="129" t="s">
        <v>291</v>
      </c>
      <c r="C87" s="177">
        <f>C86+D86</f>
        <v>8</v>
      </c>
      <c r="D87" s="178"/>
      <c r="E87" s="177">
        <f>E86+F86</f>
        <v>5</v>
      </c>
      <c r="F87" s="178"/>
      <c r="H87" s="173">
        <f>H86+I86</f>
        <v>2</v>
      </c>
      <c r="I87" s="174"/>
      <c r="J87" s="173">
        <f>J86+K86</f>
        <v>1</v>
      </c>
      <c r="K87" s="174"/>
    </row>
    <row r="88" spans="2:11" s="29" customFormat="1"/>
    <row r="89" spans="2:11" s="29" customFormat="1"/>
    <row r="90" spans="2:11" s="29" customFormat="1"/>
    <row r="91" spans="2:11" s="29" customFormat="1"/>
    <row r="92" spans="2:11" s="29" customFormat="1"/>
    <row r="93" spans="2:11" s="29" customFormat="1"/>
    <row r="94" spans="2:11" s="29" customFormat="1"/>
    <row r="95" spans="2:11" s="29" customFormat="1"/>
    <row r="96" spans="2:11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</sheetData>
  <mergeCells count="42">
    <mergeCell ref="O6:T6"/>
    <mergeCell ref="P32:P33"/>
    <mergeCell ref="Q32:Q33"/>
    <mergeCell ref="R32:R33"/>
    <mergeCell ref="S32:S33"/>
    <mergeCell ref="T32:T33"/>
    <mergeCell ref="O32:O33"/>
    <mergeCell ref="N36:N37"/>
    <mergeCell ref="J36:J37"/>
    <mergeCell ref="M33:N33"/>
    <mergeCell ref="K36:M36"/>
    <mergeCell ref="B3:N4"/>
    <mergeCell ref="B6:B7"/>
    <mergeCell ref="C6:D6"/>
    <mergeCell ref="E6:F6"/>
    <mergeCell ref="G6:H6"/>
    <mergeCell ref="I6:J6"/>
    <mergeCell ref="M6:N6"/>
    <mergeCell ref="K6:L6"/>
    <mergeCell ref="J47:K47"/>
    <mergeCell ref="C33:D33"/>
    <mergeCell ref="E33:F33"/>
    <mergeCell ref="G33:H33"/>
    <mergeCell ref="I33:J33"/>
    <mergeCell ref="K33:L33"/>
    <mergeCell ref="J42:K42"/>
    <mergeCell ref="J43:K43"/>
    <mergeCell ref="J44:K44"/>
    <mergeCell ref="J45:K45"/>
    <mergeCell ref="J46:K46"/>
    <mergeCell ref="G40:H40"/>
    <mergeCell ref="G36:H36"/>
    <mergeCell ref="J60:K60"/>
    <mergeCell ref="J87:K87"/>
    <mergeCell ref="E60:F60"/>
    <mergeCell ref="E87:F87"/>
    <mergeCell ref="B56:K58"/>
    <mergeCell ref="B60:B61"/>
    <mergeCell ref="C60:D60"/>
    <mergeCell ref="C87:D87"/>
    <mergeCell ref="H60:I60"/>
    <mergeCell ref="H87:I87"/>
  </mergeCells>
  <phoneticPr fontId="21" type="noConversion"/>
  <conditionalFormatting sqref="J38:N38 B8:T31">
    <cfRule type="expression" dxfId="5" priority="7" stopIfTrue="1">
      <formula>ISEVEN(ROW())</formula>
    </cfRule>
  </conditionalFormatting>
  <conditionalFormatting sqref="B62:B85">
    <cfRule type="expression" dxfId="4" priority="5" stopIfTrue="1">
      <formula>ISEVEN(ROW())</formula>
    </cfRule>
  </conditionalFormatting>
  <conditionalFormatting sqref="C62:D85">
    <cfRule type="expression" dxfId="3" priority="4" stopIfTrue="1">
      <formula>ISEVEN(ROW())</formula>
    </cfRule>
  </conditionalFormatting>
  <conditionalFormatting sqref="H62:I85">
    <cfRule type="expression" dxfId="2" priority="3" stopIfTrue="1">
      <formula>ISEVEN(ROW())</formula>
    </cfRule>
  </conditionalFormatting>
  <conditionalFormatting sqref="J62:K85">
    <cfRule type="expression" dxfId="1" priority="2" stopIfTrue="1">
      <formula>ISEVEN(ROW())</formula>
    </cfRule>
  </conditionalFormatting>
  <conditionalFormatting sqref="E62:F85">
    <cfRule type="expression" dxfId="0" priority="1" stopIfTrue="1">
      <formula>ISEVEN(ROW())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41"/>
  <sheetViews>
    <sheetView workbookViewId="0"/>
  </sheetViews>
  <sheetFormatPr baseColWidth="10" defaultRowHeight="13"/>
  <cols>
    <col min="1" max="1" width="6.6640625" customWidth="1"/>
    <col min="2" max="2" width="17.5" bestFit="1" customWidth="1"/>
    <col min="3" max="3" width="13.5" customWidth="1"/>
    <col min="4" max="4" width="24.1640625" hidden="1" customWidth="1"/>
    <col min="5" max="5" width="19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203</v>
      </c>
    </row>
    <row r="2" spans="1:5">
      <c r="A2">
        <v>1</v>
      </c>
      <c r="B2" t="s">
        <v>149</v>
      </c>
      <c r="C2" t="s">
        <v>148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100</v>
      </c>
      <c r="C3" t="s">
        <v>153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109</v>
      </c>
      <c r="C4" t="s">
        <v>354</v>
      </c>
      <c r="D4" t="str">
        <f>LstEffectif[[#This Row],[prenom]] &amp; " " &amp; LstEffectif[[#This Row],[nom]]</f>
        <v>Julian BARATGIN</v>
      </c>
      <c r="E4" t="str">
        <f>LstEffectif[[#This Row],[nom]] &amp; " " &amp; LstEffectif[[#This Row],[prenom]]</f>
        <v>BARATGIN Julian</v>
      </c>
    </row>
    <row r="5" spans="1:5">
      <c r="A5">
        <v>4</v>
      </c>
      <c r="B5" t="s">
        <v>110</v>
      </c>
      <c r="C5" t="s">
        <v>161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107</v>
      </c>
      <c r="C6" t="s">
        <v>157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96</v>
      </c>
      <c r="C7" t="s">
        <v>150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101</v>
      </c>
      <c r="C8" t="s">
        <v>154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139</v>
      </c>
      <c r="C9" t="s">
        <v>162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140</v>
      </c>
      <c r="C10" t="s">
        <v>145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94</v>
      </c>
      <c r="C11" t="s">
        <v>147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102</v>
      </c>
      <c r="C12" t="s">
        <v>155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111</v>
      </c>
      <c r="C13" t="s">
        <v>163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104</v>
      </c>
      <c r="C14" t="s">
        <v>157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103</v>
      </c>
      <c r="C15" t="s">
        <v>156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95</v>
      </c>
      <c r="C16" t="s">
        <v>146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99</v>
      </c>
      <c r="C17" t="s">
        <v>152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98</v>
      </c>
      <c r="C18" t="s">
        <v>355</v>
      </c>
      <c r="D18" t="str">
        <f>LstEffectif[[#This Row],[prenom]] &amp; " " &amp; LstEffectif[[#This Row],[nom]]</f>
        <v>Maxime PIQUEMIL</v>
      </c>
      <c r="E18" t="str">
        <f>LstEffectif[[#This Row],[nom]] &amp; " " &amp; LstEffectif[[#This Row],[prenom]]</f>
        <v>PIQUEMIL Maxime</v>
      </c>
    </row>
    <row r="19" spans="1:5">
      <c r="A19">
        <v>18</v>
      </c>
      <c r="B19" t="s">
        <v>106</v>
      </c>
      <c r="C19" t="s">
        <v>159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97</v>
      </c>
      <c r="C20" t="s">
        <v>358</v>
      </c>
      <c r="D20" t="str">
        <f>LstEffectif[[#This Row],[prenom]] &amp; " " &amp; LstEffectif[[#This Row],[nom]]</f>
        <v>Mathis ROUSSEL</v>
      </c>
      <c r="E20" t="str">
        <f>LstEffectif[[#This Row],[nom]] &amp; " " &amp; LstEffectif[[#This Row],[prenom]]</f>
        <v>ROUSSEL Mathis</v>
      </c>
    </row>
    <row r="21" spans="1:5">
      <c r="A21">
        <v>20</v>
      </c>
      <c r="B21" t="s">
        <v>105</v>
      </c>
      <c r="C21" t="s">
        <v>158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105</v>
      </c>
      <c r="C22" t="s">
        <v>151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108</v>
      </c>
      <c r="C23" t="s">
        <v>160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149</v>
      </c>
      <c r="C24" t="s">
        <v>164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  <row r="25" spans="1:5">
      <c r="A25">
        <v>24</v>
      </c>
      <c r="B25" t="s">
        <v>344</v>
      </c>
      <c r="C25" t="s">
        <v>345</v>
      </c>
      <c r="D25" t="str">
        <f>LstEffectif[[#This Row],[prenom]] &amp; " " &amp; LstEffectif[[#This Row],[nom]]</f>
        <v xml:space="preserve">Julien BOUTAN </v>
      </c>
      <c r="E25" t="str">
        <f>LstEffectif[[#This Row],[nom]] &amp; " " &amp; LstEffectif[[#This Row],[prenom]]</f>
        <v>BOUTAN  Julien</v>
      </c>
    </row>
    <row r="26" spans="1:5" ht="12" customHeight="1">
      <c r="A26">
        <v>25</v>
      </c>
      <c r="B26" t="s">
        <v>346</v>
      </c>
      <c r="C26" t="s">
        <v>345</v>
      </c>
      <c r="D26" t="str">
        <f>LstEffectif[[#This Row],[prenom]] &amp; " " &amp; LstEffectif[[#This Row],[nom]]</f>
        <v>Julien POUYADOU</v>
      </c>
      <c r="E26" t="str">
        <f>LstEffectif[[#This Row],[nom]] &amp; " " &amp; LstEffectif[[#This Row],[prenom]]</f>
        <v>POUYADOU Julien</v>
      </c>
    </row>
    <row r="27" spans="1:5" s="29" customFormat="1">
      <c r="A27">
        <v>26</v>
      </c>
      <c r="B27" t="s">
        <v>353</v>
      </c>
      <c r="C27" t="s">
        <v>352</v>
      </c>
      <c r="D27" t="str">
        <f>LstEffectif[[#This Row],[prenom]] &amp; " " &amp; LstEffectif[[#This Row],[nom]]</f>
        <v>Martin MULLIER</v>
      </c>
      <c r="E27" t="str">
        <f>LstEffectif[[#This Row],[nom]] &amp; " " &amp; LstEffectif[[#This Row],[prenom]]</f>
        <v>MULLIER Martin</v>
      </c>
    </row>
    <row r="28" spans="1:5" s="29" customFormat="1">
      <c r="A28">
        <v>27</v>
      </c>
      <c r="B28" t="s">
        <v>357</v>
      </c>
      <c r="C28" t="s">
        <v>356</v>
      </c>
      <c r="D28" t="str">
        <f>LstEffectif[[#This Row],[prenom]] &amp; " " &amp; LstEffectif[[#This Row],[nom]]</f>
        <v>Gregory RICHIARDONNE</v>
      </c>
      <c r="E28" t="str">
        <f>LstEffectif[[#This Row],[nom]] &amp; " " &amp; LstEffectif[[#This Row],[prenom]]</f>
        <v>RICHIARDONNE Gregory</v>
      </c>
    </row>
    <row r="29" spans="1:5" s="29" customFormat="1">
      <c r="A29">
        <v>28</v>
      </c>
      <c r="B29" t="s">
        <v>360</v>
      </c>
      <c r="C29" t="s">
        <v>359</v>
      </c>
      <c r="D29" t="str">
        <f>LstEffectif[[#This Row],[prenom]] &amp; " " &amp; LstEffectif[[#This Row],[nom]]</f>
        <v>Antonio LOUREIRO LABAZUY</v>
      </c>
      <c r="E29" t="str">
        <f>LstEffectif[[#This Row],[nom]] &amp; " " &amp; LstEffectif[[#This Row],[prenom]]</f>
        <v>LOUREIRO LABAZUY Antonio</v>
      </c>
    </row>
    <row r="30" spans="1:5" s="29" customFormat="1">
      <c r="A30">
        <v>29</v>
      </c>
      <c r="B30" t="s">
        <v>362</v>
      </c>
      <c r="C30" t="s">
        <v>361</v>
      </c>
      <c r="D30" t="str">
        <f>LstEffectif[[#This Row],[prenom]] &amp; " " &amp; LstEffectif[[#This Row],[nom]]</f>
        <v>Alexis MOUDENS</v>
      </c>
      <c r="E30" t="str">
        <f>LstEffectif[[#This Row],[nom]] &amp; " " &amp; LstEffectif[[#This Row],[prenom]]</f>
        <v>MOUDENS Alexis</v>
      </c>
    </row>
    <row r="31" spans="1:5" s="29" customFormat="1">
      <c r="A31">
        <v>30</v>
      </c>
      <c r="B31" t="s">
        <v>383</v>
      </c>
      <c r="C31" t="s">
        <v>382</v>
      </c>
      <c r="D31" t="str">
        <f>LstEffectif[[#This Row],[prenom]] &amp; " " &amp; LstEffectif[[#This Row],[nom]]</f>
        <v>Romain BOUTELOUP</v>
      </c>
      <c r="E31" t="str">
        <f>LstEffectif[[#This Row],[nom]] &amp; " " &amp; LstEffectif[[#This Row],[prenom]]</f>
        <v>BOUTELOUP Romain</v>
      </c>
    </row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pans="1:5" s="29" customFormat="1"/>
    <row r="322" spans="1:5" s="29" customFormat="1"/>
    <row r="323" spans="1:5" s="29" customFormat="1"/>
    <row r="324" spans="1:5" s="29" customFormat="1"/>
    <row r="325" spans="1:5" s="29" customFormat="1"/>
    <row r="326" spans="1:5" s="29" customFormat="1"/>
    <row r="327" spans="1:5" s="29" customFormat="1"/>
    <row r="328" spans="1:5" s="29" customFormat="1"/>
    <row r="329" spans="1:5" s="29" customFormat="1"/>
    <row r="330" spans="1:5" s="29" customFormat="1"/>
    <row r="331" spans="1:5" s="29" customFormat="1"/>
    <row r="332" spans="1:5" s="29" customFormat="1"/>
    <row r="333" spans="1:5" s="29" customFormat="1"/>
    <row r="334" spans="1:5" s="29" customFormat="1"/>
    <row r="335" spans="1:5" s="29" customFormat="1"/>
    <row r="336" spans="1:5">
      <c r="A336" s="29"/>
      <c r="B336" s="29"/>
      <c r="C336" s="29"/>
      <c r="D336" s="29"/>
      <c r="E336" s="29"/>
    </row>
    <row r="337" spans="1:5">
      <c r="A337" s="29"/>
      <c r="B337" s="29"/>
      <c r="C337" s="29"/>
      <c r="D337" s="29"/>
      <c r="E337" s="29"/>
    </row>
    <row r="338" spans="1:5">
      <c r="A338" s="29"/>
      <c r="B338" s="29"/>
      <c r="C338" s="29"/>
      <c r="D338" s="29"/>
      <c r="E338" s="29"/>
    </row>
    <row r="339" spans="1:5">
      <c r="A339" s="29"/>
      <c r="B339" s="29"/>
      <c r="C339" s="29"/>
      <c r="D339" s="29"/>
      <c r="E339" s="29"/>
    </row>
    <row r="340" spans="1:5">
      <c r="A340" s="29"/>
      <c r="B340" s="29"/>
      <c r="C340" s="29"/>
      <c r="D340" s="29"/>
      <c r="E340" s="29"/>
    </row>
    <row r="341" spans="1:5">
      <c r="A341" s="29"/>
      <c r="B341" s="29"/>
      <c r="C341" s="29"/>
      <c r="D341" s="29"/>
      <c r="E341" s="29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167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165</v>
      </c>
      <c r="I28" s="50"/>
      <c r="K28" s="46"/>
    </row>
    <row r="29" spans="8:11">
      <c r="H29" s="51"/>
      <c r="K29" s="46"/>
    </row>
    <row r="30" spans="8:11">
      <c r="H30" s="51" t="s">
        <v>166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149</vt:i4>
      </vt:variant>
    </vt:vector>
  </HeadingPairs>
  <TitlesOfParts>
    <vt:vector size="156" baseType="lpstr">
      <vt:lpstr>Compo</vt:lpstr>
      <vt:lpstr>Saisie vidéo</vt:lpstr>
      <vt:lpstr>Journal actions</vt:lpstr>
      <vt:lpstr>Paramètres</vt:lpstr>
      <vt:lpstr>Stats match</vt:lpstr>
      <vt:lpstr>Listes</vt:lpstr>
      <vt:lpstr>Popup</vt:lpstr>
      <vt:lpstr>ACT_ARRACHAGE</vt:lpstr>
      <vt:lpstr>ACT_ARRET_DU_JEU</vt:lpstr>
      <vt:lpstr>ACT_CONTRE_RUCK</vt:lpstr>
      <vt:lpstr>ACT_EN_AVANT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2026-08-04T15:06:40Z</dcterms:modified>
</cp:coreProperties>
</file>