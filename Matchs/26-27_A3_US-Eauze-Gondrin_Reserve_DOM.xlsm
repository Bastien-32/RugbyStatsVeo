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EC1FD4F8-4028-B048-9C9B-9FDACB1C6E44}" xr6:coauthVersionLast="47" xr6:coauthVersionMax="47" xr10:uidLastSave="{00000000-0000-0000-0000-000000000000}"/>
  <bookViews>
    <workbookView xWindow="9960" yWindow="660" windowWidth="24600" windowHeight="1632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Melees'!$A$65</definedName>
    <definedName name="TM_RECAP_MELEES">'Touches Melees'!$A$61</definedName>
    <definedName name="TM_RECAP_TOUCHES">'Touches Melees'!$A$38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2" l="1"/>
  <c r="D42" i="12"/>
  <c r="D41" i="12"/>
  <c r="D38" i="12"/>
  <c r="D37" i="12"/>
  <c r="E37" i="12"/>
  <c r="E41" i="12"/>
  <c r="C63" i="18"/>
  <c r="B63" i="18"/>
  <c r="C62" i="18"/>
  <c r="B62" i="18"/>
  <c r="D40" i="18"/>
  <c r="C40" i="18"/>
  <c r="B40" i="18"/>
  <c r="D39" i="18"/>
  <c r="C39" i="18"/>
  <c r="B39" i="18"/>
  <c r="F73" i="3"/>
  <c r="E73" i="3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<sst xmlns="http://schemas.openxmlformats.org/spreadsheetml/2006/main" count="5309" uniqueCount="650">
  <si>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</si>
  <si>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</si>
  <si>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</si>
  <si>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</si>
  <si>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</si>
  <si>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</si>
  <si>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</si>
  <si>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</si>
  <si>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</si>
  <si>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</si>
  <si>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</si>
  <si>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</si>
  <si>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</si>
  <si>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</si>
  <si>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</si>
  <si>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</si>
  <si>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</si>
  <si>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</si>
  <si>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</si>
  <si>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</si>
  <si>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</si>
  <si>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</si>
  <si>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</si>
  <si>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</si>
  <si>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</si>
  <si>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</si>
  <si>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</si>
  <si>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</si>
  <si>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</si>
  <si>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</si>
  <si>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</si>
  <si>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</si>
  <si>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</si>
  <si>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</si>
  <si>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</si>
  <si>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</si>
  <si>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</si>
  <si>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</si>
  <si>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</si>
  <si>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</si>
  <si>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</si>
  <si>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</si>
  <si>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</si>
  <si>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</si>
  <si>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</si>
  <si>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</si>
  <si>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</si>
  <si>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</si>
  <si>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</si>
  <si>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</si>
  <si>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</si>
  <si>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</si>
  <si>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</si>
  <si>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</si>
  <si>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</si>
  <si>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</si>
  <si>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</si>
  <si>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</si>
  <si>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</si>
  <si>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</si>
  <si>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</si>
  <si>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</si>
  <si>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</si>
  <si>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</si>
  <si>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</si>
  <si>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</si>
  <si>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</si>
  <si>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</si>
  <si>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</si>
  <si>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</si>
  <si>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</si>
  <si>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</si>
  <si>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</si>
  <si>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</si>
  <si>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</si>
  <si>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</si>
  <si>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</si>
  <si>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</si>
  <si>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</si>
  <si>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</si>
  <si>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</si>
  <si>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</si>
  <si>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</si>
  <si>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</si>
  <si>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</si>
  <si>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</si>
  <si>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</si>
  <si>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</si>
  <si>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</si>
  <si>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</si>
  <si>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</si>
  <si>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</si>
  <si>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</si>
  <si>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</si>
  <si>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</si>
  <si>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</si>
  <si>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</si>
  <si>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</si>
  <si>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</si>
  <si>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</si>
  <si>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</si>
  <si>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</si>
  <si>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</si>
  <si>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</si>
  <si>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</si>
  <si>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</si>
  <si>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</si>
  <si>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</si>
  <si>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</si>
  <si>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</si>
  <si>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</si>
  <si>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</si>
  <si>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</si>
  <si>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</si>
  <si>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</si>
  <si>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</si>
  <si>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</si>
  <si>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</si>
  <si>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</si>
  <si>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</si>
  <si>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</si>
  <si>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</si>
  <si>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</si>
  <si>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</si>
  <si>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</si>
  <si>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</si>
  <si>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</si>
  <si>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</si>
  <si>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</si>
  <si>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</si>
  <si>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</si>
  <si>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</si>
  <si>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</si>
  <si>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</si>
  <si>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</si>
  <si>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</si>
  <si>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</si>
  <si>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</si>
  <si>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</si>
  <si>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</si>
  <si>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</si>
  <si>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</si>
  <si>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</si>
  <si>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</si>
  <si>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</si>
  <si>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</si>
  <si>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</si>
  <si>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</si>
  <si>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</si>
  <si>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</si>
  <si>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</si>
  <si>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</si>
  <si>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</si>
  <si>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</si>
  <si>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</si>
  <si>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</si>
  <si>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</si>
  <si>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</si>
  <si>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</si>
  <si>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</si>
  <si>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</si>
  <si>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</si>
  <si>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</si>
  <si>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</si>
  <si>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</si>
  <si>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</si>
  <si>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</si>
  <si>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</si>
  <si>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</si>
  <si>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</si>
  <si>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</si>
  <si>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</si>
  <si>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</si>
  <si>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</si>
  <si>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</si>
  <si>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</si>
  <si>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</si>
  <si>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</si>
  <si>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</si>
  <si>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</si>
  <si>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</si>
  <si>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</si>
  <si>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</si>
  <si>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</si>
  <si>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</si>
  <si>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</si>
  <si>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</si>
  <si>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</si>
  <si>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</si>
  <si>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</si>
  <si>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</si>
  <si>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</si>
  <si>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</si>
  <si>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</si>
  <si>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</si>
  <si>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</si>
  <si>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</si>
  <si>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</si>
  <si>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</si>
  <si>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</si>
  <si>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</si>
  <si>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</si>
  <si>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</si>
  <si>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</si>
  <si>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</si>
  <si>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</si>
  <si>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</si>
  <si>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</si>
  <si>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</si>
  <si>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</si>
  <si>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</si>
  <si>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</si>
  <si>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</si>
  <si>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</si>
  <si>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</si>
  <si>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</si>
  <si>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</si>
  <si>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</si>
  <si>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</si>
  <si>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</si>
  <si>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</si>
  <si>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</si>
  <si>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</si>
  <si>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</si>
  <si>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</si>
  <si>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</si>
  <si>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</si>
  <si>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</si>
  <si>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</si>
  <si>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</si>
  <si>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</si>
  <si>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</si>
  <si>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</si>
  <si>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</si>
  <si>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</si>
  <si>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</si>
  <si>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</si>
  <si>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</si>
  <si>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</si>
  <si>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</si>
  <si>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</si>
  <si>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</si>
  <si>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</si>
  <si>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</si>
  <si>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</si>
  <si>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</si>
  <si>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</si>
  <si>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</si>
  <si>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</si>
  <si>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</si>
  <si>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</si>
  <si>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</si>
  <si>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</si>
  <si>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</si>
  <si>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</si>
  <si>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</si>
  <si>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</si>
  <si>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</si>
  <si>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</si>
  <si>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</si>
  <si>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</si>
  <si>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</si>
  <si>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</si>
  <si>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</si>
  <si>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</si>
  <si>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</si>
  <si>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</si>
  <si>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</si>
  <si>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</si>
  <si>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</si>
  <si>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</si>
  <si>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</si>
  <si>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</si>
  <si>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</si>
  <si>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</si>
  <si>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</si>
  <si>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</si>
  <si>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</si>
  <si>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</si>
  <si>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</si>
  <si>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</si>
  <si>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</si>
  <si>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</si>
  <si>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</si>
  <si>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</si>
  <si>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</si>
  <si>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</si>
  <si>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</si>
  <si>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</si>
  <si>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</si>
  <si>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</si>
  <si>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</si>
  <si>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</si>
  <si>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</si>
  <si>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</si>
  <si>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</si>
  <si>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</si>
  <si>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</si>
  <si>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</si>
  <si>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</si>
  <si>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</si>
  <si>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</si>
  <si>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</si>
  <si>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</si>
  <si>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</si>
  <si>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</si>
  <si>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</si>
  <si>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</si>
  <si>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</si>
  <si>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</si>
  <si>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</si>
  <si>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</si>
  <si>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</si>
  <si>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</si>
  <si>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</si>
  <si>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</si>
  <si>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</si>
  <si>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</si>
  <si>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</si>
  <si>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</si>
  <si>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</si>
  <si>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</si>
  <si>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</si>
  <si>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</si>
  <si>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</si>
  <si>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</si>
  <si>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</si>
  <si>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</si>
  <si>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</si>
  <si>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</si>
  <si>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</si>
  <si>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</si>
  <si>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</si>
  <si>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</si>
  <si>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</si>
  <si>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</si>
  <si>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</si>
  <si>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</si>
  <si>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</si>
  <si>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</si>
  <si>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</si>
  <si>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</si>
  <si>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</si>
  <si>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</si>
  <si>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</si>
  <si>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</si>
  <si>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</si>
  <si>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</si>
  <si>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</si>
  <si>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</si>
  <si>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</si>
  <si>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</si>
  <si>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</si>
  <si>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</si>
  <si>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</si>
  <si>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</si>
  <si>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</si>
  <si>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</si>
  <si>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</si>
  <si>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</si>
  <si>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</si>
  <si>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</si>
  <si>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</si>
  <si>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</si>
  <si>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</si>
  <si>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</si>
  <si>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</si>
  <si>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</si>
  <si>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</si>
  <si>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</si>
  <si>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</si>
  <si>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</si>
  <si>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</si>
  <si>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</si>
  <si>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</si>
  <si>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</si>
  <si>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</si>
  <si>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</si>
  <si>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</si>
  <si>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</si>
  <si>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</si>
  <si>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</si>
  <si>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</si>
  <si>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</si>
  <si>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</si>
  <si>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</si>
  <si>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</si>
  <si>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</si>
  <si>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</si>
  <si>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</si>
  <si>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</si>
  <si>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</si>
  <si>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</si>
  <si>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</si>
  <si>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</si>
  <si>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</si>
  <si>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</si>
  <si>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</si>
  <si>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</si>
  <si>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</si>
  <si>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</si>
  <si>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</si>
  <si>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</si>
  <si>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</si>
  <si>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</si>
  <si>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</si>
  <si>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</si>
  <si>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</si>
  <si>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</si>
  <si>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</si>
  <si>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</si>
  <si>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</si>
  <si>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</si>
  <si>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</si>
  <si>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</si>
  <si>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</si>
  <si>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</si>
  <si>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</si>
  <si>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</si>
  <si>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</si>
  <si>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</si>
  <si>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</si>
  <si>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</si>
  <si>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</si>
  <si>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</si>
  <si>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</si>
  <si>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</si>
  <si>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</si>
  <si>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</si>
  <si>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</si>
  <si>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</si>
  <si>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</si>
  <si>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</si>
  <si>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</si>
  <si>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</si>
  <si>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</si>
  <si>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</si>
  <si>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</si>
  <si>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</si>
  <si>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</si>
  <si>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</si>
  <si>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</si>
  <si>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</si>
  <si>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</si>
  <si>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</si>
  <si>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</si>
  <si>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</si>
  <si>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</si>
  <si>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</si>
  <si>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</si>
  <si>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</si>
  <si>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</si>
  <si>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</si>
  <si>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</si>
  <si>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</si>
  <si>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</si>
  <si>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</si>
  <si>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</si>
  <si>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</si>
  <si>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</si>
  <si>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</si>
  <si>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</si>
  <si>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</si>
  <si>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</si>
  <si>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</si>
  <si>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</si>
  <si>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</si>
  <si>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</si>
  <si>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</si>
  <si>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</si>
  <si>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</si>
  <si>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</si>
  <si>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</si>
  <si>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</si>
  <si>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</si>
  <si>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</si>
  <si>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</si>
  <si>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</si>
  <si>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</si>
  <si>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</si>
  <si>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</si>
  <si>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</si>
  <si>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</si>
  <si>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JOUNAUX Joris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</si>
  <si>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</si>
  <si>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</si>
  <si>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</si>
  <si>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</si>
  <si>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</si>
  <si>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</si>
  <si>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</si>
  <si>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</si>
  <si>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</si>
  <si>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</si>
  <si>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</si>
  <si>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</si>
  <si>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</si>
  <si>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GALLINARO Pierrick</t>
  </si>
  <si>
    <t>Remplacement</t>
  </si>
  <si>
    <t>Passage à vide</t>
  </si>
  <si>
    <t>Maul - Ecroulement</t>
  </si>
  <si>
    <t>Ruck - Garde le ballon au sol</t>
  </si>
  <si>
    <t>Ruck - Plaqueur qui ne sort pas</t>
  </si>
  <si>
    <t>Brutalité</t>
  </si>
  <si>
    <t>Plaquage - à 2</t>
  </si>
  <si>
    <t>Plaquage - haut</t>
  </si>
  <si>
    <t>Plaquage - sans ballon</t>
  </si>
  <si>
    <t>Plaquage - à retardement</t>
  </si>
  <si>
    <t>EXPORTER
LA FEUILLE</t>
  </si>
  <si>
    <t>Mi-temps :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</si>
  <si>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</si>
  <si>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</si>
  <si>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</si>
  <si>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</si>
  <si>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</si>
  <si>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</si>
  <si>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</si>
  <si>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</si>
  <si>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</si>
  <si>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</si>
  <si>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</si>
  <si>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</si>
  <si>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</si>
  <si>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</si>
  <si>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</si>
  <si>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</si>
  <si>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</si>
  <si>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</si>
  <si>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</si>
  <si>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</si>
  <si>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</si>
  <si>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26-27_A3_US Eauze Gondrin_Réserve_DOM</t>
  </si>
  <si>
    <t>Benjamin</t>
  </si>
  <si>
    <t>SCANU</t>
  </si>
  <si>
    <t>SCANU Benjamin</t>
  </si>
  <si>
    <t>POUYADOU Julien</t>
  </si>
  <si>
    <t>BOUTELOUP Romain</t>
  </si>
  <si>
    <t>TOUVAT Dorian</t>
  </si>
  <si>
    <t>MULLIER Martin</t>
  </si>
  <si>
    <t>KAPFER Ludovic</t>
  </si>
  <si>
    <t>BOISVIN Paul</t>
  </si>
  <si>
    <t>BARTHIE Sebastien</t>
  </si>
  <si>
    <t>BARRAILH Francois</t>
  </si>
  <si>
    <t>BAQUE Lucas</t>
  </si>
  <si>
    <t>BOURREC Dorian</t>
  </si>
  <si>
    <t>RECURT Louis</t>
  </si>
  <si>
    <t>LESPINASSE Lucas</t>
  </si>
  <si>
    <t>CARRAU Ludovic</t>
  </si>
  <si>
    <t>SIMOES Dylan</t>
  </si>
  <si>
    <t>RICHARD Damien</t>
  </si>
  <si>
    <t>VINCENT Sebastien</t>
  </si>
  <si>
    <t>✓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</si>
  <si>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BOUTELOUP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</si>
  <si>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</si>
  <si>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</si>
  <si>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BOISVIN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</si>
  <si>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BARRAILH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</si>
  <si>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</si>
  <si>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RECURT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</si>
  <si>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LESPINASSE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</si>
  <si>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CARRAU</t>
    </r>
  </si>
  <si>
    <t>En avant joueur bleu</t>
  </si>
  <si>
    <t>lancé pas droit – récupération adversaire – organisation maul</t>
  </si>
  <si>
    <t>1 - SCANU Benjamin</t>
  </si>
  <si>
    <t>2 - POUYADOU Julien</t>
  </si>
  <si>
    <t>3 - BOUTELOUP Romain</t>
  </si>
  <si>
    <t>4 - TOUVAT Dorian</t>
  </si>
  <si>
    <t>5 - MULLIER Martin</t>
  </si>
  <si>
    <t>6 - KAPFER Ludovic</t>
  </si>
  <si>
    <t>7 - BOISVIN Paul</t>
  </si>
  <si>
    <t>8 - BARTHIE Sebastien</t>
  </si>
  <si>
    <t>9 - BARRAILH Francois</t>
  </si>
  <si>
    <t>10 - BAQUE Lucas</t>
  </si>
  <si>
    <t>11 - BOURREC Dorian</t>
  </si>
  <si>
    <t>12 - RECURT Louis</t>
  </si>
  <si>
    <t>13 - LESPINASSE Lucas</t>
  </si>
  <si>
    <t>14 - CARRAU Ludovic</t>
  </si>
  <si>
    <t>15 - JOUNAUX Joris</t>
  </si>
  <si>
    <t>16 - GALLINARO Pierrick</t>
  </si>
  <si>
    <t>17 - SIMOES Dylan</t>
  </si>
  <si>
    <t>18 - RICHARD Damien</t>
  </si>
  <si>
    <t>19 - VINCENT Sebastien</t>
  </si>
  <si>
    <t>S1</t>
  </si>
  <si>
    <t>E1</t>
  </si>
  <si>
    <r>
      <t>18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RICHARD</t>
    </r>
  </si>
  <si>
    <t>Gagnée</t>
  </si>
  <si>
    <t>Déviation tapette</t>
  </si>
  <si>
    <t>Dorian qui s'oubli</t>
  </si>
  <si>
    <t>Retour intérieur contre nature</t>
  </si>
  <si>
    <t>Retour carton</t>
  </si>
  <si>
    <t>Sauteur lobbé – Damien, tapette vers notre Camp</t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</si>
  <si>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</si>
  <si>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Sauteur lobbé – Mullier récupère en verrou</t>
  </si>
  <si>
    <t>Melee - Engagement anticipé</t>
  </si>
  <si>
    <t>Melee - Introduction irreguliere</t>
  </si>
  <si>
    <t>Jeu-rapide 10m de plus</t>
  </si>
  <si>
    <t>Touche - Lancer non conforme</t>
  </si>
  <si>
    <t>Joueur prend ballon dans les 5 m</t>
  </si>
  <si>
    <t>Sauter Lobbé</t>
  </si>
  <si>
    <t>70:03</t>
  </si>
  <si>
    <t>CESCA Simon</t>
  </si>
  <si>
    <t>20 - CESCA Simon</t>
  </si>
  <si>
    <t>Nous  -  carton jaune  -  BARTHIE Sebastien  -  59:43</t>
  </si>
  <si>
    <t>Contestation</t>
  </si>
  <si>
    <t>nn</t>
  </si>
  <si>
    <t>PENALITE</t>
  </si>
  <si>
    <t>En-avant volontaire</t>
  </si>
  <si>
    <t>Maul - Entrer sur le côté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</si>
  <si>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</si>
  <si>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</si>
  <si>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</si>
  <si>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</si>
  <si>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</si>
  <si>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</si>
  <si>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</si>
  <si>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</si>
  <si>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Déblayage sur le coté</t>
  </si>
  <si>
    <t>Ruck - Saisie relayeur</t>
  </si>
  <si>
    <t>Ruck - Talonnage à la main</t>
  </si>
  <si>
    <t>Ruck - 4 appuis</t>
  </si>
  <si>
    <t>Ruck - Gratteur ne relâche pas</t>
  </si>
  <si>
    <t>Plaquage - en l'air</t>
  </si>
  <si>
    <t>10m de plus</t>
  </si>
  <si>
    <t>83:46</t>
  </si>
  <si>
    <t>88:53</t>
  </si>
  <si>
    <t>78:17</t>
  </si>
  <si>
    <r>
      <t>17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SIMOES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</si>
  <si>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BARTHIE</t>
    </r>
  </si>
  <si>
    <r>
      <t>20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</si>
  <si>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t>Jeu effectif</t>
  </si>
  <si>
    <t>Eux</t>
  </si>
  <si>
    <t>JOUEUR FAUTIF</t>
  </si>
  <si>
    <t>En-avant repris devant</t>
  </si>
  <si>
    <t>Porteur roule au sol</t>
  </si>
  <si>
    <t>10m de plus - contestation</t>
  </si>
  <si>
    <r>
      <t>1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SCANU</t>
    </r>
  </si>
  <si>
    <r>
      <t>2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POUYADOU</t>
    </r>
  </si>
  <si>
    <r>
      <t>3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BOUTELOUP</t>
    </r>
  </si>
  <si>
    <r>
      <t>4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TOUVAT</t>
    </r>
  </si>
  <si>
    <r>
      <t>5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MULLIER</t>
    </r>
  </si>
  <si>
    <r>
      <t>6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KAPFER</t>
    </r>
  </si>
  <si>
    <r>
      <t>8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BARTHIE</t>
    </r>
  </si>
  <si>
    <r>
      <t>7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BOISVIN</t>
    </r>
  </si>
  <si>
    <r>
      <t>9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BARRAILH</t>
    </r>
  </si>
  <si>
    <r>
      <t>10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BAQUE</t>
    </r>
  </si>
  <si>
    <r>
      <t>12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RECURT</t>
    </r>
  </si>
  <si>
    <r>
      <t>13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LESPINASSE</t>
    </r>
  </si>
  <si>
    <r>
      <t>11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BOURREC</t>
    </r>
  </si>
  <si>
    <r>
      <t>15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JOUNAUX</t>
    </r>
  </si>
  <si>
    <r>
      <t>14</t>
    </r>
    <r>
      <rPr>
        <sz val="10"/>
        <color rgb="FF000000"/>
        <rFont val="Calibri"/>
        <family val="2"/>
      </rPr>
      <t xml:space="preserve">
</t>
    </r>
    <r>
      <rPr>
        <sz val="9"/>
        <color rgb="FF000000"/>
        <rFont val="Calibri"/>
        <family val="2"/>
      </rPr>
      <t>CARRAU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</si>
</sst>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1" fillId="44" borderId="43" xfId="0" applyFont="1" applyFill="1" applyBorder="1" applyAlignment="1">
      <alignment horizontal="center"/>
    </xf>
    <xf numFmtId="0" fontId="51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23" fillId="24" borderId="7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50" fillId="43" borderId="43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40" fillId="14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7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numFmt numFmtId="166" formatCode="m/d/yy"/>
    </dxf>
    <dxf>
      <numFmt numFmtId="167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49</c:v>
                </c:pt>
                <c:pt idx="1">
                  <c:v>13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51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70" dataDxfId="69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31" totalsRowShown="0">
  <autoFilter ref="A1:Q431" xr:uid="{274E98FB-BCE1-0347-AD79-C8025C407DEC}">
    <filterColumn colId="4">
      <filters>
        <filter val="Touche à nous pas droite"/>
      </filters>
    </filterColumn>
  </autoFilter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6" totalsRowShown="0">
  <autoFilter ref="A2:J36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3:J59" totalsRowShown="0">
  <autoFilter ref="A43:J5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3" totalsRowShown="0" headerRowDxfId="6" dataDxfId="4" headerRowBorderDxfId="5" tableBorderDxfId="3" totalsRowBorderDxfId="2">
  <autoFilter ref="K1:K2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5:K28" totalsRowShown="0" headerRowDxfId="0">
  <autoFilter ref="K25:K2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530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496</v>
      </c>
      <c r="C66" s="85" t="s">
        <v>495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533</v>
      </c>
      <c r="C73" s="85" t="s">
        <v>532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35" sqref="F35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6" width="6.83203125" style="3" customWidth="1"/>
    <col min="17" max="385" width="10.83203125" style="3"/>
  </cols>
  <sheetData>
    <row r="1" spans="1:16" s="3" customFormat="1" ht="14" thickBot="1">
      <c r="A1" s="63"/>
      <c r="D1" s="63"/>
    </row>
    <row r="2" spans="1:16" ht="19" customHeight="1">
      <c r="B2" s="213" t="s">
        <v>201</v>
      </c>
      <c r="C2" s="213"/>
      <c r="E2" s="214" t="str">
        <f>"FEUILLE COMPO "&amp;MATCH_NOUS</f>
        <v>FEUILLE COMPO MXV</v>
      </c>
      <c r="F2" s="215"/>
      <c r="G2" s="215"/>
      <c r="H2" s="216"/>
    </row>
    <row r="3" spans="1:16" ht="19" customHeight="1">
      <c r="B3" s="213"/>
      <c r="C3" s="213"/>
      <c r="E3" s="217"/>
      <c r="F3" s="218"/>
      <c r="G3" s="218"/>
      <c r="H3" s="219"/>
    </row>
    <row r="4" spans="1:16" ht="19" customHeight="1" thickBot="1">
      <c r="B4" s="213"/>
      <c r="C4" s="213"/>
      <c r="E4" s="220"/>
      <c r="F4" s="221"/>
      <c r="G4" s="221"/>
      <c r="H4" s="222"/>
    </row>
    <row r="5" spans="1:16" s="3" customFormat="1">
      <c r="A5" s="63"/>
      <c r="D5" s="63"/>
    </row>
    <row r="6" spans="1:16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  <c r="I6" s="156">
        <v>23</v>
      </c>
      <c r="J6" s="156">
        <v>40</v>
      </c>
      <c r="K6" s="156">
        <v>46</v>
      </c>
      <c r="L6" s="156">
        <v>53</v>
      </c>
      <c r="M6" s="156">
        <v>59</v>
      </c>
      <c r="N6" s="156">
        <v>60</v>
      </c>
      <c r="O6" s="156">
        <v>68</v>
      </c>
      <c r="P6" s="156">
        <v>72</v>
      </c>
    </row>
    <row r="7" spans="1:16">
      <c r="B7" s="3"/>
      <c r="C7" s="3"/>
      <c r="E7">
        <v>1</v>
      </c>
      <c r="F7" t="s">
        <v>534</v>
      </c>
      <c r="G7" t="s">
        <v>153</v>
      </c>
      <c r="H7">
        <v>59</v>
      </c>
      <c r="I7" s="158"/>
      <c r="J7" s="158"/>
      <c r="K7" s="158"/>
      <c r="L7" s="158"/>
      <c r="M7" s="158" t="s">
        <v>582</v>
      </c>
      <c r="N7" s="158"/>
      <c r="O7" s="158"/>
      <c r="P7" s="158"/>
    </row>
    <row r="8" spans="1:16">
      <c r="B8" s="42" t="s">
        <v>209</v>
      </c>
      <c r="C8" s="43">
        <v>46299</v>
      </c>
      <c r="E8">
        <v>2</v>
      </c>
      <c r="F8" t="s">
        <v>535</v>
      </c>
      <c r="G8" t="s">
        <v>153</v>
      </c>
      <c r="H8">
        <v>48</v>
      </c>
      <c r="I8" s="159"/>
      <c r="J8" s="159" t="s">
        <v>582</v>
      </c>
      <c r="K8" s="159"/>
      <c r="L8" s="159"/>
      <c r="M8" s="159"/>
      <c r="N8" s="159"/>
      <c r="O8" s="159"/>
      <c r="P8" s="159" t="s">
        <v>583</v>
      </c>
    </row>
    <row r="9" spans="1:16">
      <c r="B9" s="3"/>
      <c r="C9" s="3"/>
      <c r="E9">
        <v>3</v>
      </c>
      <c r="F9" t="s">
        <v>536</v>
      </c>
      <c r="G9" t="s">
        <v>153</v>
      </c>
      <c r="H9">
        <v>80</v>
      </c>
      <c r="I9" s="158"/>
      <c r="J9" s="158"/>
      <c r="K9" s="158"/>
      <c r="L9" s="158"/>
      <c r="M9" s="158"/>
      <c r="N9" s="158"/>
      <c r="O9" s="158"/>
      <c r="P9" s="158"/>
    </row>
    <row r="10" spans="1:16">
      <c r="B10" s="42" t="s">
        <v>493</v>
      </c>
      <c r="C10" s="43" t="s">
        <v>494</v>
      </c>
      <c r="E10">
        <v>4</v>
      </c>
      <c r="F10" t="s">
        <v>537</v>
      </c>
      <c r="G10" t="s">
        <v>153</v>
      </c>
      <c r="H10">
        <v>53</v>
      </c>
      <c r="I10" s="159"/>
      <c r="J10" s="159"/>
      <c r="K10" s="159"/>
      <c r="L10" s="159" t="s">
        <v>582</v>
      </c>
      <c r="M10" s="159"/>
      <c r="N10" s="159"/>
      <c r="O10" s="159"/>
      <c r="P10" s="159"/>
    </row>
    <row r="11" spans="1:16">
      <c r="E11">
        <v>5</v>
      </c>
      <c r="F11" t="s">
        <v>538</v>
      </c>
      <c r="G11" t="s">
        <v>153</v>
      </c>
      <c r="H11">
        <v>67</v>
      </c>
      <c r="I11" s="158"/>
      <c r="J11" s="158"/>
      <c r="K11" s="158" t="s">
        <v>582</v>
      </c>
      <c r="L11" s="158"/>
      <c r="M11" s="158" t="s">
        <v>583</v>
      </c>
      <c r="N11" s="158"/>
      <c r="O11" s="158"/>
      <c r="P11" s="158"/>
    </row>
    <row r="12" spans="1:16">
      <c r="B12" s="42" t="s">
        <v>182</v>
      </c>
      <c r="C12" s="43" t="s">
        <v>530</v>
      </c>
      <c r="E12">
        <v>6</v>
      </c>
      <c r="F12" t="s">
        <v>539</v>
      </c>
      <c r="G12" t="s">
        <v>153</v>
      </c>
      <c r="H12">
        <v>72</v>
      </c>
      <c r="I12" s="159"/>
      <c r="J12" s="159"/>
      <c r="K12" s="159"/>
      <c r="L12" s="159"/>
      <c r="M12" s="159"/>
      <c r="N12" s="159"/>
      <c r="O12" s="159"/>
      <c r="P12" s="159" t="s">
        <v>582</v>
      </c>
    </row>
    <row r="13" spans="1:16">
      <c r="B13" s="3"/>
      <c r="C13" s="3"/>
      <c r="E13">
        <v>7</v>
      </c>
      <c r="F13" t="s">
        <v>540</v>
      </c>
      <c r="G13" t="s">
        <v>153</v>
      </c>
      <c r="H13">
        <v>80</v>
      </c>
      <c r="I13" s="158"/>
      <c r="J13" s="158"/>
      <c r="K13" s="158"/>
      <c r="L13" s="158"/>
      <c r="M13" s="158"/>
      <c r="N13" s="158"/>
      <c r="O13" s="158"/>
      <c r="P13" s="158"/>
    </row>
    <row r="14" spans="1:16">
      <c r="B14" s="42" t="s">
        <v>208</v>
      </c>
      <c r="C14" s="43" t="s">
        <v>178</v>
      </c>
      <c r="E14">
        <v>8</v>
      </c>
      <c r="F14" t="s">
        <v>541</v>
      </c>
      <c r="G14" t="s">
        <v>153</v>
      </c>
      <c r="H14">
        <v>57</v>
      </c>
      <c r="I14" s="159" t="s">
        <v>582</v>
      </c>
      <c r="J14" s="159"/>
      <c r="K14" s="159" t="s">
        <v>583</v>
      </c>
      <c r="L14" s="159"/>
      <c r="M14" s="159"/>
      <c r="N14" s="159"/>
      <c r="O14" s="159"/>
      <c r="P14" s="159"/>
    </row>
    <row r="15" spans="1:16">
      <c r="B15" s="3"/>
      <c r="C15" s="3"/>
      <c r="E15" s="35">
        <v>9</v>
      </c>
      <c r="F15" s="35" t="s">
        <v>542</v>
      </c>
      <c r="G15" s="35" t="s">
        <v>169</v>
      </c>
      <c r="H15" s="35">
        <v>80</v>
      </c>
      <c r="I15" s="158"/>
      <c r="J15" s="158"/>
      <c r="K15" s="158"/>
      <c r="L15" s="158"/>
      <c r="M15" s="158"/>
      <c r="N15" s="158"/>
      <c r="O15" s="158"/>
      <c r="P15" s="158"/>
    </row>
    <row r="16" spans="1:16">
      <c r="B16" s="42" t="s">
        <v>183</v>
      </c>
      <c r="C16" s="43" t="s">
        <v>179</v>
      </c>
      <c r="E16">
        <v>10</v>
      </c>
      <c r="F16" t="s">
        <v>543</v>
      </c>
      <c r="G16" t="s">
        <v>169</v>
      </c>
      <c r="H16">
        <v>80</v>
      </c>
      <c r="I16" s="159"/>
      <c r="J16" s="159"/>
      <c r="K16" s="159"/>
      <c r="L16" s="159"/>
      <c r="M16" s="159"/>
      <c r="N16" s="159"/>
      <c r="O16" s="159"/>
      <c r="P16" s="159"/>
    </row>
    <row r="17" spans="1:16">
      <c r="B17" s="3"/>
      <c r="C17" s="64"/>
      <c r="E17">
        <v>11</v>
      </c>
      <c r="F17" t="s">
        <v>544</v>
      </c>
      <c r="G17" t="s">
        <v>169</v>
      </c>
      <c r="H17">
        <v>68</v>
      </c>
      <c r="I17" s="158"/>
      <c r="J17" s="158"/>
      <c r="K17" s="158"/>
      <c r="L17" s="158"/>
      <c r="M17" s="158"/>
      <c r="N17" s="158"/>
      <c r="O17" s="158" t="s">
        <v>582</v>
      </c>
      <c r="P17" s="158"/>
    </row>
    <row r="18" spans="1:16">
      <c r="B18" s="42" t="s">
        <v>184</v>
      </c>
      <c r="C18" s="44">
        <v>3</v>
      </c>
      <c r="E18">
        <v>12</v>
      </c>
      <c r="F18" t="s">
        <v>545</v>
      </c>
      <c r="G18" t="s">
        <v>169</v>
      </c>
      <c r="H18">
        <v>80</v>
      </c>
      <c r="I18" s="159"/>
      <c r="J18" s="159"/>
      <c r="K18" s="159"/>
      <c r="L18" s="159"/>
      <c r="M18" s="159"/>
      <c r="N18" s="159"/>
      <c r="O18" s="159"/>
      <c r="P18" s="159"/>
    </row>
    <row r="19" spans="1:16">
      <c r="B19" s="3"/>
      <c r="C19" s="3"/>
      <c r="E19">
        <v>13</v>
      </c>
      <c r="F19" t="s">
        <v>546</v>
      </c>
      <c r="G19" t="s">
        <v>169</v>
      </c>
      <c r="H19">
        <v>80</v>
      </c>
      <c r="I19" s="158"/>
      <c r="J19" s="158"/>
      <c r="K19" s="158"/>
      <c r="L19" s="158"/>
      <c r="M19" s="158"/>
      <c r="N19" s="158"/>
      <c r="O19" s="158"/>
      <c r="P19" s="158"/>
    </row>
    <row r="20" spans="1:16">
      <c r="B20" s="42" t="s">
        <v>185</v>
      </c>
      <c r="C20" s="43" t="s">
        <v>194</v>
      </c>
      <c r="E20">
        <v>14</v>
      </c>
      <c r="F20" t="s">
        <v>547</v>
      </c>
      <c r="G20" t="s">
        <v>169</v>
      </c>
      <c r="H20">
        <v>80</v>
      </c>
      <c r="I20" s="159"/>
      <c r="J20" s="159"/>
      <c r="K20" s="159"/>
      <c r="L20" s="159"/>
      <c r="M20" s="159"/>
      <c r="N20" s="159"/>
      <c r="O20" s="159"/>
      <c r="P20" s="159"/>
    </row>
    <row r="21" spans="1:16">
      <c r="B21" s="3"/>
      <c r="C21" s="64"/>
      <c r="E21" s="30">
        <v>15</v>
      </c>
      <c r="F21" s="30" t="s">
        <v>483</v>
      </c>
      <c r="G21" s="30" t="s">
        <v>169</v>
      </c>
      <c r="H21" s="30">
        <v>60</v>
      </c>
      <c r="I21" s="158"/>
      <c r="J21" s="158"/>
      <c r="K21" s="158"/>
      <c r="L21" s="158"/>
      <c r="M21" s="158"/>
      <c r="N21" s="158" t="s">
        <v>582</v>
      </c>
      <c r="O21" s="158"/>
      <c r="P21" s="158"/>
    </row>
    <row r="22" spans="1:16">
      <c r="B22" s="42" t="s">
        <v>207</v>
      </c>
      <c r="C22" s="43" t="s">
        <v>204</v>
      </c>
      <c r="E22">
        <v>16</v>
      </c>
      <c r="F22" t="s">
        <v>497</v>
      </c>
      <c r="G22" t="s">
        <v>153</v>
      </c>
      <c r="H22">
        <v>40</v>
      </c>
      <c r="I22" s="159"/>
      <c r="J22" s="159" t="s">
        <v>583</v>
      </c>
      <c r="K22" s="159"/>
      <c r="L22" s="159"/>
      <c r="M22" s="159"/>
      <c r="N22" s="159"/>
      <c r="O22" s="159"/>
      <c r="P22" s="159"/>
    </row>
    <row r="23" spans="1:16">
      <c r="B23" s="3"/>
      <c r="C23" s="3"/>
      <c r="E23">
        <v>17</v>
      </c>
      <c r="F23" t="s">
        <v>548</v>
      </c>
      <c r="G23" t="s">
        <v>153</v>
      </c>
      <c r="H23">
        <v>27</v>
      </c>
      <c r="I23" s="158"/>
      <c r="J23" s="158"/>
      <c r="K23" s="158"/>
      <c r="L23" s="158" t="s">
        <v>583</v>
      </c>
      <c r="M23" s="158"/>
      <c r="N23" s="158"/>
      <c r="O23" s="158"/>
      <c r="P23" s="158"/>
    </row>
    <row r="24" spans="1:16">
      <c r="B24" s="3"/>
      <c r="C24" s="3"/>
      <c r="E24">
        <v>18</v>
      </c>
      <c r="F24" t="s">
        <v>549</v>
      </c>
      <c r="G24" t="s">
        <v>153</v>
      </c>
      <c r="H24">
        <v>57</v>
      </c>
      <c r="I24" s="159" t="s">
        <v>583</v>
      </c>
      <c r="J24" s="159"/>
      <c r="K24" s="159"/>
      <c r="L24" s="159"/>
      <c r="M24" s="159"/>
      <c r="N24" s="159"/>
      <c r="O24" s="159"/>
      <c r="P24" s="159"/>
    </row>
    <row r="25" spans="1:16">
      <c r="B25" s="3"/>
      <c r="C25" s="3"/>
      <c r="E25">
        <v>19</v>
      </c>
      <c r="F25" t="s">
        <v>550</v>
      </c>
      <c r="G25" t="s">
        <v>153</v>
      </c>
      <c r="H25">
        <v>12</v>
      </c>
      <c r="I25" s="158"/>
      <c r="J25" s="158"/>
      <c r="K25" s="158"/>
      <c r="L25" s="158"/>
      <c r="M25" s="158"/>
      <c r="N25" s="158"/>
      <c r="O25" s="158" t="s">
        <v>583</v>
      </c>
      <c r="P25" s="158"/>
    </row>
    <row r="26" spans="1:16">
      <c r="B26" s="3"/>
      <c r="C26" s="3"/>
      <c r="E26">
        <v>20</v>
      </c>
      <c r="F26" t="s">
        <v>600</v>
      </c>
      <c r="G26" t="s">
        <v>169</v>
      </c>
      <c r="H26">
        <v>20</v>
      </c>
      <c r="I26" s="159"/>
      <c r="J26" s="159"/>
      <c r="K26" s="159"/>
      <c r="L26" s="159"/>
      <c r="M26" s="159"/>
      <c r="N26" s="159" t="s">
        <v>583</v>
      </c>
      <c r="O26" s="159"/>
      <c r="P26" s="159"/>
    </row>
    <row r="27" spans="1:16">
      <c r="B27" s="3"/>
      <c r="C27" s="3"/>
      <c r="E27">
        <v>21</v>
      </c>
      <c r="H27">
        <v>0</v>
      </c>
      <c r="I27" s="158"/>
      <c r="J27" s="158"/>
      <c r="K27" s="158"/>
      <c r="L27" s="158"/>
      <c r="M27" s="158"/>
      <c r="N27" s="158"/>
      <c r="O27" s="158"/>
      <c r="P27" s="158"/>
    </row>
    <row r="28" spans="1:16">
      <c r="B28" s="3"/>
      <c r="C28" s="3"/>
      <c r="E28">
        <v>22</v>
      </c>
      <c r="H28">
        <v>0</v>
      </c>
      <c r="I28" s="159"/>
      <c r="J28" s="159"/>
      <c r="K28" s="159"/>
      <c r="L28" s="159"/>
      <c r="M28" s="159"/>
      <c r="N28" s="159"/>
      <c r="O28" s="159"/>
      <c r="P28" s="159"/>
    </row>
    <row r="29" spans="1:16" s="3" customFormat="1" hidden="1">
      <c r="A29" s="63"/>
      <c r="D29" s="63"/>
      <c r="I29" s="3">
        <v>1565.74656</v>
      </c>
      <c r="J29" s="3">
        <v>2955.7806569999998</v>
      </c>
      <c r="K29" s="3">
        <v>3321.0497209999999</v>
      </c>
      <c r="L29" s="3">
        <v>3771.076266</v>
      </c>
      <c r="M29" s="3">
        <v>4086.1701760000001</v>
      </c>
      <c r="N29" s="3">
        <v>4203.7774810000001</v>
      </c>
      <c r="O29" s="3">
        <v>4683.7296429999997</v>
      </c>
      <c r="P29" s="3">
        <v>4697.3150050000004</v>
      </c>
    </row>
    <row r="30" spans="1:16" s="3" customFormat="1">
      <c r="A30" s="63"/>
      <c r="D30" s="63"/>
      <c r="I30" s="157">
        <v>1.8122066666666665E-2</v>
      </c>
      <c r="J30" s="157">
        <v>3.4210424270833331E-2</v>
      </c>
      <c r="K30" s="157">
        <v>3.8438075474537037E-2</v>
      </c>
      <c r="L30" s="157">
        <v>4.3646716041666665E-2</v>
      </c>
      <c r="M30" s="157">
        <v>4.72936362962963E-2</v>
      </c>
      <c r="N30" s="157">
        <v>4.8654831956018517E-2</v>
      </c>
      <c r="O30" s="157">
        <v>5.4209833831018517E-2</v>
      </c>
      <c r="P30" s="157">
        <v>5.4367071817129631E-2</v>
      </c>
    </row>
    <row r="31" spans="1:16" s="3" customFormat="1">
      <c r="A31" s="63"/>
      <c r="D31" s="63"/>
    </row>
    <row r="32" spans="1:16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531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AW8" sqref="AW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1" t="s">
        <v>604</v>
      </c>
      <c r="B1" s="22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229"/>
      <c r="AY1" s="229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</row>
    <row r="2" spans="1:88" ht="10" customHeight="1" thickBo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</row>
    <row r="3" spans="1:88" ht="10" customHeight="1">
      <c r="A3" s="141"/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5"/>
      <c r="AZ3" s="141"/>
      <c r="BA3" s="143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5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</row>
    <row r="4" spans="1:88" ht="42" customHeight="1">
      <c r="A4" s="141"/>
      <c r="B4" s="142"/>
      <c r="C4" s="223" t="s">
        <v>124</v>
      </c>
      <c r="D4" s="224"/>
      <c r="E4" s="224"/>
      <c r="F4" s="224"/>
      <c r="G4" s="224"/>
      <c r="H4" s="224"/>
      <c r="I4" s="224"/>
      <c r="J4" s="224"/>
      <c r="K4" s="141"/>
      <c r="L4" s="256" t="s">
        <v>39</v>
      </c>
      <c r="M4" s="257"/>
      <c r="N4" s="257"/>
      <c r="O4" s="257"/>
      <c r="P4" s="257"/>
      <c r="Q4" s="257"/>
      <c r="R4" s="258"/>
      <c r="S4" s="141"/>
      <c r="T4" s="256" t="s">
        <v>55</v>
      </c>
      <c r="U4" s="257"/>
      <c r="V4" s="257"/>
      <c r="W4" s="257"/>
      <c r="X4" s="257"/>
      <c r="Y4" s="257"/>
      <c r="Z4" s="258"/>
      <c r="AA4" s="141"/>
      <c r="AB4" s="223" t="s">
        <v>509</v>
      </c>
      <c r="AC4" s="224"/>
      <c r="AD4" s="224"/>
      <c r="AE4" s="224"/>
      <c r="AF4" s="224"/>
      <c r="AG4" s="224"/>
      <c r="AH4" s="224"/>
      <c r="AI4" s="141"/>
      <c r="AJ4" s="240" t="s">
        <v>43</v>
      </c>
      <c r="AK4" s="241"/>
      <c r="AL4" s="241"/>
      <c r="AM4" s="241"/>
      <c r="AN4" s="241"/>
      <c r="AO4" s="241"/>
      <c r="AP4" s="242"/>
      <c r="AQ4" s="141"/>
      <c r="AR4" s="240" t="s">
        <v>44</v>
      </c>
      <c r="AS4" s="241"/>
      <c r="AT4" s="241"/>
      <c r="AU4" s="241"/>
      <c r="AV4" s="241"/>
      <c r="AW4" s="241"/>
      <c r="AX4" s="242"/>
      <c r="AY4" s="146"/>
      <c r="AZ4" s="141"/>
      <c r="BA4" s="142"/>
      <c r="BB4" s="153" t="s">
        <v>38</v>
      </c>
      <c r="BC4" s="141"/>
      <c r="BD4" s="14" t="s">
        <v>29</v>
      </c>
      <c r="BE4" s="141"/>
      <c r="BF4" s="14" t="s">
        <v>51</v>
      </c>
      <c r="BG4" s="141"/>
      <c r="BH4" s="14" t="s">
        <v>141</v>
      </c>
      <c r="BI4" s="141"/>
      <c r="BJ4" s="14" t="s">
        <v>30</v>
      </c>
      <c r="BK4" s="141"/>
      <c r="BL4" s="14" t="s">
        <v>31</v>
      </c>
      <c r="BM4" s="146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</row>
    <row r="5" spans="1:88" ht="10" customHeight="1" thickBot="1">
      <c r="A5" s="141"/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AZ5" s="141"/>
      <c r="BA5" s="147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9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</row>
    <row r="6" spans="1:88" ht="10" customHeight="1" thickBo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</row>
    <row r="7" spans="1:88" ht="10" customHeight="1">
      <c r="A7" s="141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5"/>
      <c r="AZ7" s="141"/>
      <c r="BA7" s="143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5"/>
      <c r="BN7" s="141"/>
      <c r="BO7" s="231" t="s">
        <v>498</v>
      </c>
      <c r="BP7" s="232"/>
      <c r="BQ7" s="233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</row>
    <row r="8" spans="1:88" ht="26" customHeight="1">
      <c r="A8" s="141"/>
      <c r="B8" s="142"/>
      <c r="C8" s="243" t="s">
        <v>243</v>
      </c>
      <c r="D8" s="224"/>
      <c r="E8" s="224"/>
      <c r="F8" s="224"/>
      <c r="G8" s="224"/>
      <c r="H8" s="224"/>
      <c r="I8" s="224"/>
      <c r="J8" s="141"/>
      <c r="K8" s="244"/>
      <c r="L8" s="245"/>
      <c r="M8" s="245"/>
      <c r="N8" s="245"/>
      <c r="O8" s="245"/>
      <c r="P8" s="245"/>
      <c r="Q8" s="246"/>
      <c r="R8" s="141"/>
      <c r="S8" s="247"/>
      <c r="T8" s="248"/>
      <c r="U8" s="248"/>
      <c r="V8" s="248"/>
      <c r="W8" s="248"/>
      <c r="X8" s="248"/>
      <c r="Y8" s="249"/>
      <c r="Z8" s="141"/>
      <c r="AA8" s="250"/>
      <c r="AB8" s="251"/>
      <c r="AC8" s="251"/>
      <c r="AD8" s="251"/>
      <c r="AE8" s="251"/>
      <c r="AF8" s="251"/>
      <c r="AG8" s="252"/>
      <c r="AH8" s="141"/>
      <c r="AI8" s="253"/>
      <c r="AJ8" s="254"/>
      <c r="AK8" s="254"/>
      <c r="AL8" s="254"/>
      <c r="AM8" s="254"/>
      <c r="AN8" s="254"/>
      <c r="AO8" s="255"/>
      <c r="AP8" s="141"/>
      <c r="AQ8" s="266" t="s">
        <v>589</v>
      </c>
      <c r="AR8" s="267"/>
      <c r="AS8" s="267"/>
      <c r="AT8" s="267"/>
      <c r="AU8" s="267"/>
      <c r="AV8" s="267"/>
      <c r="AW8" s="268"/>
      <c r="AX8" s="141"/>
      <c r="AY8" s="146"/>
      <c r="AZ8" s="141"/>
      <c r="BA8" s="142"/>
      <c r="BB8" s="153" t="s">
        <v>48</v>
      </c>
      <c r="BC8" s="141"/>
      <c r="BD8" s="7" t="s">
        <v>33</v>
      </c>
      <c r="BE8" s="141"/>
      <c r="BF8" s="7" t="s">
        <v>34</v>
      </c>
      <c r="BG8" s="141"/>
      <c r="BH8" s="7" t="s">
        <v>35</v>
      </c>
      <c r="BI8" s="141"/>
      <c r="BJ8" s="7" t="s">
        <v>36</v>
      </c>
      <c r="BK8" s="141"/>
      <c r="BL8" s="2" t="s">
        <v>37</v>
      </c>
      <c r="BM8" s="146"/>
      <c r="BN8" s="141"/>
      <c r="BO8" s="234"/>
      <c r="BP8" s="235"/>
      <c r="BQ8" s="236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</row>
    <row r="9" spans="1:88" ht="10" customHeight="1" thickBot="1">
      <c r="A9" s="141"/>
      <c r="B9" s="147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9"/>
      <c r="AZ9" s="141"/>
      <c r="BA9" s="147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9"/>
      <c r="BN9" s="141"/>
      <c r="BO9" s="237"/>
      <c r="BP9" s="238"/>
      <c r="BQ9" s="239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</row>
    <row r="10" spans="1:88" ht="10" customHeight="1" thickBo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</row>
    <row r="11" spans="1:88" ht="10" customHeight="1">
      <c r="A11" s="141"/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5"/>
      <c r="AZ11" s="141"/>
      <c r="BA11" s="143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5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</row>
    <row r="12" spans="1:88" ht="15" customHeight="1">
      <c r="A12" s="141"/>
      <c r="B12" s="142"/>
      <c r="C12" s="230" t="s">
        <v>18</v>
      </c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  <c r="AW12" s="224"/>
      <c r="AX12" s="224"/>
      <c r="AY12" s="146"/>
      <c r="AZ12" s="141"/>
      <c r="BA12" s="142"/>
      <c r="BB12" s="230" t="s">
        <v>19</v>
      </c>
      <c r="BC12" s="224"/>
      <c r="BD12" s="224"/>
      <c r="BE12" s="224"/>
      <c r="BF12" s="224"/>
      <c r="BG12" s="224"/>
      <c r="BH12" s="224"/>
      <c r="BI12" s="224"/>
      <c r="BJ12" s="224"/>
      <c r="BK12" s="224"/>
      <c r="BL12" s="224"/>
      <c r="BM12" s="224"/>
      <c r="BN12" s="224"/>
      <c r="BO12" s="224"/>
      <c r="BP12" s="224"/>
      <c r="BQ12" s="224"/>
      <c r="BR12" s="224"/>
      <c r="BS12" s="146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</row>
    <row r="13" spans="1:88" ht="13" customHeight="1">
      <c r="A13" s="141"/>
      <c r="B13" s="142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6"/>
      <c r="AZ13" s="141"/>
      <c r="BA13" s="142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6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</row>
    <row r="14" spans="1:88" ht="42" customHeight="1">
      <c r="A14" s="141"/>
      <c r="B14" s="142"/>
      <c r="C14" s="225" t="s">
        <v>553</v>
      </c>
      <c r="D14" s="226"/>
      <c r="E14" s="226"/>
      <c r="F14" s="226"/>
      <c r="G14" s="226"/>
      <c r="H14" s="226"/>
      <c r="I14" s="227"/>
      <c r="J14" s="141"/>
      <c r="K14" s="225" t="s">
        <v>591</v>
      </c>
      <c r="L14" s="226"/>
      <c r="M14" s="226"/>
      <c r="N14" s="226"/>
      <c r="O14" s="226"/>
      <c r="P14" s="226"/>
      <c r="Q14" s="227"/>
      <c r="R14" s="141"/>
      <c r="S14" s="225" t="s">
        <v>552</v>
      </c>
      <c r="T14" s="226"/>
      <c r="U14" s="226"/>
      <c r="V14" s="226"/>
      <c r="W14" s="226"/>
      <c r="X14" s="226"/>
      <c r="Y14" s="227"/>
      <c r="Z14" s="141"/>
      <c r="AA14" s="141"/>
      <c r="AB14" s="141"/>
      <c r="AC14" s="141"/>
      <c r="AD14" s="225" t="s">
        <v>556</v>
      </c>
      <c r="AE14" s="226"/>
      <c r="AF14" s="226"/>
      <c r="AG14" s="226"/>
      <c r="AH14" s="226"/>
      <c r="AI14" s="226"/>
      <c r="AJ14" s="227"/>
      <c r="AK14" s="141"/>
      <c r="AL14" s="141"/>
      <c r="AM14" s="141"/>
      <c r="AN14" s="141"/>
      <c r="AO14" s="141"/>
      <c r="AP14" s="225" t="s">
        <v>557</v>
      </c>
      <c r="AQ14" s="226"/>
      <c r="AR14" s="226"/>
      <c r="AS14" s="226"/>
      <c r="AT14" s="226"/>
      <c r="AU14" s="226"/>
      <c r="AV14" s="227"/>
      <c r="AW14" s="141"/>
      <c r="AX14" s="141"/>
      <c r="AY14" s="146"/>
      <c r="AZ14" s="141"/>
      <c r="BA14" s="142"/>
      <c r="BB14" s="153" t="s">
        <v>266</v>
      </c>
      <c r="BC14" s="141"/>
      <c r="BD14" s="5" t="s">
        <v>22</v>
      </c>
      <c r="BE14" s="141"/>
      <c r="BF14" s="5" t="s">
        <v>20</v>
      </c>
      <c r="BG14" s="141"/>
      <c r="BH14" s="5" t="s">
        <v>23</v>
      </c>
      <c r="BI14" s="141"/>
      <c r="BJ14" s="5" t="s">
        <v>24</v>
      </c>
      <c r="BK14" s="141"/>
      <c r="BL14" s="5" t="s">
        <v>21</v>
      </c>
      <c r="BM14" s="141"/>
      <c r="BN14" s="153" t="s">
        <v>223</v>
      </c>
      <c r="BO14" s="141"/>
      <c r="BP14" s="5" t="s">
        <v>25</v>
      </c>
      <c r="BQ14" s="141"/>
      <c r="BR14" s="5" t="s">
        <v>26</v>
      </c>
      <c r="BS14" s="146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</row>
    <row r="15" spans="1:88" ht="10" customHeight="1">
      <c r="A15" s="141"/>
      <c r="B15" s="142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6"/>
      <c r="AZ15" s="141"/>
      <c r="BA15" s="142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6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</row>
    <row r="16" spans="1:88" ht="42" customHeight="1">
      <c r="A16" s="141"/>
      <c r="B16" s="142"/>
      <c r="C16" s="141"/>
      <c r="D16" s="141"/>
      <c r="E16" s="141"/>
      <c r="F16" s="141"/>
      <c r="G16" s="225" t="s">
        <v>626</v>
      </c>
      <c r="H16" s="226"/>
      <c r="I16" s="226"/>
      <c r="J16" s="226"/>
      <c r="K16" s="226"/>
      <c r="L16" s="226"/>
      <c r="M16" s="227"/>
      <c r="N16" s="141"/>
      <c r="O16" s="225" t="s">
        <v>627</v>
      </c>
      <c r="P16" s="226"/>
      <c r="Q16" s="226"/>
      <c r="R16" s="226"/>
      <c r="S16" s="226"/>
      <c r="T16" s="226"/>
      <c r="U16" s="227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225" t="s">
        <v>558</v>
      </c>
      <c r="AG16" s="226"/>
      <c r="AH16" s="226"/>
      <c r="AI16" s="226"/>
      <c r="AJ16" s="226"/>
      <c r="AK16" s="226"/>
      <c r="AL16" s="227"/>
      <c r="AM16" s="141"/>
      <c r="AN16" s="225" t="s">
        <v>559</v>
      </c>
      <c r="AO16" s="226"/>
      <c r="AP16" s="226"/>
      <c r="AQ16" s="226"/>
      <c r="AR16" s="226"/>
      <c r="AS16" s="226"/>
      <c r="AT16" s="227"/>
      <c r="AU16" s="141"/>
      <c r="AV16" s="141"/>
      <c r="AW16" s="141"/>
      <c r="AX16" s="141"/>
      <c r="AY16" s="146"/>
      <c r="AZ16" s="141"/>
      <c r="BA16" s="142"/>
      <c r="BB16" s="153" t="s">
        <v>222</v>
      </c>
      <c r="BC16" s="141"/>
      <c r="BD16" s="5" t="s">
        <v>25</v>
      </c>
      <c r="BE16" s="141"/>
      <c r="BF16" s="5" t="s">
        <v>26</v>
      </c>
      <c r="BG16" s="141"/>
      <c r="BH16" s="5" t="s">
        <v>45</v>
      </c>
      <c r="BI16" s="141"/>
      <c r="BJ16" s="141"/>
      <c r="BK16" s="141"/>
      <c r="BL16" s="153" t="s">
        <v>403</v>
      </c>
      <c r="BM16" s="141"/>
      <c r="BN16" s="14" t="s">
        <v>244</v>
      </c>
      <c r="BO16" s="141"/>
      <c r="BP16" s="14" t="s">
        <v>401</v>
      </c>
      <c r="BQ16" s="141"/>
      <c r="BR16" s="14" t="s">
        <v>402</v>
      </c>
      <c r="BS16" s="146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</row>
    <row r="17" spans="1:88" ht="10" customHeight="1">
      <c r="A17" s="141"/>
      <c r="B17" s="14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6"/>
      <c r="AZ17" s="141"/>
      <c r="BA17" s="142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6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</row>
    <row r="18" spans="1:88" ht="42" customHeight="1">
      <c r="A18" s="141"/>
      <c r="B18" s="142"/>
      <c r="C18" s="225" t="s">
        <v>554</v>
      </c>
      <c r="D18" s="226"/>
      <c r="E18" s="226"/>
      <c r="F18" s="226"/>
      <c r="G18" s="226"/>
      <c r="H18" s="226"/>
      <c r="I18" s="227"/>
      <c r="J18" s="141"/>
      <c r="K18" s="225" t="s">
        <v>584</v>
      </c>
      <c r="L18" s="226"/>
      <c r="M18" s="226"/>
      <c r="N18" s="226"/>
      <c r="O18" s="226"/>
      <c r="P18" s="226"/>
      <c r="Q18" s="227"/>
      <c r="R18" s="141"/>
      <c r="S18" s="225" t="s">
        <v>555</v>
      </c>
      <c r="T18" s="226"/>
      <c r="U18" s="226"/>
      <c r="V18" s="226"/>
      <c r="W18" s="226"/>
      <c r="X18" s="226"/>
      <c r="Y18" s="227"/>
      <c r="Z18" s="141"/>
      <c r="AA18" s="141"/>
      <c r="AB18" s="225" t="s">
        <v>510</v>
      </c>
      <c r="AC18" s="226"/>
      <c r="AD18" s="226"/>
      <c r="AE18" s="226"/>
      <c r="AF18" s="226"/>
      <c r="AG18" s="226"/>
      <c r="AH18" s="227"/>
      <c r="AI18" s="141"/>
      <c r="AJ18" s="225" t="s">
        <v>628</v>
      </c>
      <c r="AK18" s="226"/>
      <c r="AL18" s="226"/>
      <c r="AM18" s="226"/>
      <c r="AN18" s="226"/>
      <c r="AO18" s="226"/>
      <c r="AP18" s="227"/>
      <c r="AQ18" s="141"/>
      <c r="AR18" s="225" t="s">
        <v>560</v>
      </c>
      <c r="AS18" s="226"/>
      <c r="AT18" s="226"/>
      <c r="AU18" s="226"/>
      <c r="AV18" s="226"/>
      <c r="AW18" s="226"/>
      <c r="AX18" s="227"/>
      <c r="AY18" s="146"/>
      <c r="AZ18" s="141"/>
      <c r="BA18" s="142"/>
      <c r="BB18" s="153" t="s">
        <v>125</v>
      </c>
      <c r="BC18" s="141"/>
      <c r="BD18" s="5" t="s">
        <v>126</v>
      </c>
      <c r="BE18" s="141"/>
      <c r="BF18" s="5" t="s">
        <v>127</v>
      </c>
      <c r="BG18" s="141"/>
      <c r="BH18" s="5" t="s">
        <v>128</v>
      </c>
      <c r="BI18" s="141"/>
      <c r="BJ18" s="5" t="s">
        <v>129</v>
      </c>
      <c r="BK18" s="141"/>
      <c r="BL18" s="5" t="s">
        <v>10</v>
      </c>
      <c r="BM18" s="141"/>
      <c r="BN18" s="5" t="s">
        <v>27</v>
      </c>
      <c r="BO18" s="141"/>
      <c r="BP18" s="5" t="s">
        <v>219</v>
      </c>
      <c r="BQ18" s="141"/>
      <c r="BR18" s="5" t="s">
        <v>396</v>
      </c>
      <c r="BS18" s="146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</row>
    <row r="19" spans="1:88" s="3" customFormat="1" ht="10" customHeight="1">
      <c r="A19" s="141"/>
      <c r="B19" s="14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6"/>
      <c r="AZ19" s="141"/>
      <c r="BA19" s="142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6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</row>
    <row r="20" spans="1:88" ht="42" customHeight="1">
      <c r="A20" s="141"/>
      <c r="B20" s="142"/>
      <c r="C20" s="141"/>
      <c r="D20" s="141"/>
      <c r="E20" s="141"/>
      <c r="F20" s="141"/>
      <c r="G20" s="141"/>
      <c r="H20" s="141"/>
      <c r="I20" s="141"/>
      <c r="J20" s="141"/>
      <c r="K20" s="269" t="s">
        <v>42</v>
      </c>
      <c r="L20" s="226"/>
      <c r="M20" s="226"/>
      <c r="N20" s="226"/>
      <c r="O20" s="226"/>
      <c r="P20" s="226"/>
      <c r="Q20" s="227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269" t="s">
        <v>32</v>
      </c>
      <c r="AK20" s="226"/>
      <c r="AL20" s="226"/>
      <c r="AM20" s="226"/>
      <c r="AN20" s="226"/>
      <c r="AO20" s="226"/>
      <c r="AP20" s="227"/>
      <c r="AQ20" s="141"/>
      <c r="AR20" s="141"/>
      <c r="AS20" s="141"/>
      <c r="AT20" s="141"/>
      <c r="AU20" s="141"/>
      <c r="AV20" s="141"/>
      <c r="AW20" s="141"/>
      <c r="AX20" s="141"/>
      <c r="AY20" s="146"/>
      <c r="AZ20" s="141"/>
      <c r="BA20" s="142"/>
      <c r="BB20" s="153" t="s">
        <v>65</v>
      </c>
      <c r="BC20" s="141"/>
      <c r="BD20" s="6" t="s">
        <v>157</v>
      </c>
      <c r="BE20" s="141"/>
      <c r="BF20" s="6" t="s">
        <v>158</v>
      </c>
      <c r="BG20" s="141"/>
      <c r="BH20" s="141"/>
      <c r="BI20" s="141"/>
      <c r="BJ20" s="153" t="s">
        <v>492</v>
      </c>
      <c r="BK20" s="141"/>
      <c r="BL20" s="6" t="s">
        <v>157</v>
      </c>
      <c r="BM20" s="141"/>
      <c r="BN20" s="6" t="s">
        <v>158</v>
      </c>
      <c r="BO20" s="141"/>
      <c r="BP20" s="141"/>
      <c r="BQ20" s="141"/>
      <c r="BR20" s="141"/>
      <c r="BS20" s="146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</row>
    <row r="21" spans="1:88" ht="10" customHeight="1" thickBot="1">
      <c r="A21" s="141"/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9"/>
      <c r="AZ21" s="141"/>
      <c r="BA21" s="147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9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</row>
    <row r="22" spans="1:88" ht="10" customHeight="1" thickBo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</row>
    <row r="23" spans="1:88" ht="10" customHeight="1">
      <c r="A23" s="141"/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5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</row>
    <row r="24" spans="1:88" ht="15" customHeight="1">
      <c r="A24" s="141"/>
      <c r="B24" s="142"/>
      <c r="C24" s="230" t="s">
        <v>40</v>
      </c>
      <c r="D24" s="224"/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146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</row>
    <row r="25" spans="1:88" s="3" customFormat="1" ht="10" customHeight="1">
      <c r="A25" s="141"/>
      <c r="B25" s="142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6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</row>
    <row r="26" spans="1:88" ht="15" customHeight="1">
      <c r="A26" s="141"/>
      <c r="B26" s="142"/>
      <c r="C26" s="223" t="s">
        <v>41</v>
      </c>
      <c r="D26" s="224"/>
      <c r="E26" s="224"/>
      <c r="F26" s="224"/>
      <c r="G26" s="224"/>
      <c r="H26" s="224"/>
      <c r="I26" s="224"/>
      <c r="J26" s="224"/>
      <c r="K26" s="224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6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</row>
    <row r="27" spans="1:88" ht="10" customHeight="1">
      <c r="A27" s="141"/>
      <c r="B27" s="14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6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</row>
    <row r="28" spans="1:88" ht="42" customHeight="1">
      <c r="A28" s="141"/>
      <c r="B28" s="142"/>
      <c r="C28" s="259">
        <v>5.0223623587962965E-2</v>
      </c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7"/>
      <c r="Q28" s="141"/>
      <c r="R28" s="260" t="s">
        <v>12</v>
      </c>
      <c r="S28" s="261"/>
      <c r="T28" s="261"/>
      <c r="U28" s="261"/>
      <c r="V28" s="261"/>
      <c r="W28" s="261"/>
      <c r="X28" s="262"/>
      <c r="Y28" s="141"/>
      <c r="Z28" s="260" t="s">
        <v>11</v>
      </c>
      <c r="AA28" s="261"/>
      <c r="AB28" s="261"/>
      <c r="AC28" s="261"/>
      <c r="AD28" s="261"/>
      <c r="AE28" s="261"/>
      <c r="AF28" s="262"/>
      <c r="AG28" s="141"/>
      <c r="AH28" s="260" t="s">
        <v>118</v>
      </c>
      <c r="AI28" s="261"/>
      <c r="AJ28" s="261"/>
      <c r="AK28" s="261"/>
      <c r="AL28" s="261"/>
      <c r="AM28" s="261"/>
      <c r="AN28" s="262"/>
      <c r="AO28" s="141"/>
      <c r="AP28" s="263" t="s">
        <v>13</v>
      </c>
      <c r="AQ28" s="264"/>
      <c r="AR28" s="264"/>
      <c r="AS28" s="264"/>
      <c r="AT28" s="264"/>
      <c r="AU28" s="264"/>
      <c r="AV28" s="265"/>
      <c r="AW28" s="141"/>
      <c r="AX28" s="141"/>
      <c r="AY28" s="146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</row>
    <row r="29" spans="1:88" ht="90" customHeight="1" thickBot="1">
      <c r="A29" s="141"/>
      <c r="B29" s="147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9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</row>
    <row r="30" spans="1:88" ht="106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</row>
    <row r="31" spans="1:88" ht="10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</row>
    <row r="32" spans="1:88" ht="10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</row>
    <row r="33" spans="1:88" ht="1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</row>
    <row r="34" spans="1:88" ht="1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</row>
    <row r="35" spans="1:88" ht="1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</row>
    <row r="36" spans="1:88" ht="1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</row>
    <row r="37" spans="1:88" ht="1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</row>
    <row r="38" spans="1:88" ht="1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</row>
    <row r="39" spans="1:88" ht="1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</row>
    <row r="40" spans="1:88" ht="1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</row>
    <row r="41" spans="1:88" ht="1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</row>
    <row r="42" spans="1:88" ht="1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</row>
    <row r="43" spans="1:88" s="3" customFormat="1" ht="1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</row>
    <row r="44" spans="1:88" ht="1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</row>
    <row r="45" spans="1:88" ht="1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</row>
    <row r="46" spans="1:88" ht="1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</row>
    <row r="47" spans="1:88" ht="1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</row>
    <row r="48" spans="1:88" ht="1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</row>
    <row r="49" spans="1:88" ht="1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</row>
    <row r="50" spans="1:88" ht="1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</row>
    <row r="51" spans="1:88" ht="1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</row>
    <row r="52" spans="1:88" ht="1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</row>
    <row r="53" spans="1:88" s="3" customFormat="1" ht="1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</row>
    <row r="54" spans="1:88" s="3" customFormat="1" ht="13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</row>
    <row r="55" spans="1:88" s="3" customFormat="1" ht="13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</row>
    <row r="56" spans="1:88" s="3" customFormat="1" ht="13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</row>
    <row r="57" spans="1:88" s="3" customFormat="1" ht="13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</row>
    <row r="58" spans="1:88" s="3" customFormat="1" ht="13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</row>
    <row r="59" spans="1:88" s="3" customFormat="1" ht="13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</row>
    <row r="60" spans="1:88" s="3" customFormat="1" ht="13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9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idden="1">
      <c r="A2" s="82">
        <v>6.2085491701388891E-2</v>
      </c>
      <c r="B2" t="s">
        <v>44</v>
      </c>
      <c r="C2" t="s">
        <v>542</v>
      </c>
      <c r="D2"/>
      <c r="E2" t="s">
        <v>64</v>
      </c>
      <c r="F2"/>
      <c r="G2" t="s">
        <v>47</v>
      </c>
      <c r="H2"/>
      <c r="I2" s="155">
        <v>46301.405775462961</v>
      </c>
      <c r="J2" t="s">
        <v>531</v>
      </c>
      <c r="K2" t="s">
        <v>388</v>
      </c>
      <c r="L2" s="154">
        <v>46299</v>
      </c>
      <c r="M2" t="s">
        <v>530</v>
      </c>
      <c r="N2" t="s">
        <v>178</v>
      </c>
      <c r="O2" t="s">
        <v>179</v>
      </c>
      <c r="P2">
        <v>3</v>
      </c>
      <c r="Q2" t="s">
        <v>194</v>
      </c>
    </row>
    <row r="3" spans="1:17" s="3" customFormat="1" hidden="1">
      <c r="A3" s="82">
        <v>6.1851392916666664E-2</v>
      </c>
      <c r="B3" t="s">
        <v>44</v>
      </c>
      <c r="C3"/>
      <c r="D3"/>
      <c r="E3" t="s">
        <v>37</v>
      </c>
      <c r="F3"/>
      <c r="G3" t="s">
        <v>113</v>
      </c>
      <c r="H3"/>
      <c r="I3" s="155">
        <v>46301.405671296299</v>
      </c>
      <c r="J3" t="s">
        <v>531</v>
      </c>
      <c r="K3" t="s">
        <v>388</v>
      </c>
      <c r="L3" s="154">
        <v>46299</v>
      </c>
      <c r="M3" t="s">
        <v>530</v>
      </c>
      <c r="N3" t="s">
        <v>178</v>
      </c>
      <c r="O3" t="s">
        <v>179</v>
      </c>
      <c r="P3">
        <v>3</v>
      </c>
      <c r="Q3" t="s">
        <v>194</v>
      </c>
    </row>
    <row r="4" spans="1:17" s="3" customFormat="1" hidden="1">
      <c r="A4" s="82">
        <v>6.1851392916666664E-2</v>
      </c>
      <c r="B4" t="s">
        <v>44</v>
      </c>
      <c r="C4" t="s">
        <v>542</v>
      </c>
      <c r="D4"/>
      <c r="E4" t="s">
        <v>52</v>
      </c>
      <c r="F4"/>
      <c r="G4" t="s">
        <v>47</v>
      </c>
      <c r="H4"/>
      <c r="I4" s="155">
        <v>46301.405671296299</v>
      </c>
      <c r="J4" t="s">
        <v>531</v>
      </c>
      <c r="K4" t="s">
        <v>388</v>
      </c>
      <c r="L4" s="154">
        <v>46299</v>
      </c>
      <c r="M4" t="s">
        <v>530</v>
      </c>
      <c r="N4" t="s">
        <v>178</v>
      </c>
      <c r="O4" t="s">
        <v>179</v>
      </c>
      <c r="P4">
        <v>3</v>
      </c>
      <c r="Q4" t="s">
        <v>194</v>
      </c>
    </row>
    <row r="5" spans="1:17" s="3" customFormat="1" hidden="1">
      <c r="A5" s="82">
        <v>6.1732523043981483E-2</v>
      </c>
      <c r="B5" t="s">
        <v>44</v>
      </c>
      <c r="C5" t="s">
        <v>549</v>
      </c>
      <c r="D5"/>
      <c r="E5" t="s">
        <v>60</v>
      </c>
      <c r="F5"/>
      <c r="G5" t="s">
        <v>47</v>
      </c>
      <c r="H5"/>
      <c r="I5" s="155">
        <v>46301.405393518522</v>
      </c>
      <c r="J5" t="s">
        <v>531</v>
      </c>
      <c r="K5" t="s">
        <v>388</v>
      </c>
      <c r="L5" s="154">
        <v>46299</v>
      </c>
      <c r="M5" t="s">
        <v>530</v>
      </c>
      <c r="N5" t="s">
        <v>178</v>
      </c>
      <c r="O5" t="s">
        <v>179</v>
      </c>
      <c r="P5">
        <v>3</v>
      </c>
      <c r="Q5" t="s">
        <v>194</v>
      </c>
    </row>
    <row r="6" spans="1:17" s="3" customFormat="1" hidden="1">
      <c r="A6" s="82">
        <v>6.1643333761574076E-2</v>
      </c>
      <c r="B6" t="s">
        <v>44</v>
      </c>
      <c r="C6"/>
      <c r="D6"/>
      <c r="E6" t="s">
        <v>53</v>
      </c>
      <c r="F6"/>
      <c r="G6" t="s">
        <v>47</v>
      </c>
      <c r="H6"/>
      <c r="I6" s="155">
        <v>46301.405034722222</v>
      </c>
      <c r="J6" t="s">
        <v>531</v>
      </c>
      <c r="K6" t="s">
        <v>388</v>
      </c>
      <c r="L6" s="154">
        <v>46299</v>
      </c>
      <c r="M6" t="s">
        <v>530</v>
      </c>
      <c r="N6" t="s">
        <v>178</v>
      </c>
      <c r="O6" t="s">
        <v>179</v>
      </c>
      <c r="P6">
        <v>3</v>
      </c>
      <c r="Q6" t="s">
        <v>194</v>
      </c>
    </row>
    <row r="7" spans="1:17" s="3" customFormat="1" hidden="1">
      <c r="A7" s="82">
        <v>6.1187150300925926E-2</v>
      </c>
      <c r="B7" t="s">
        <v>44</v>
      </c>
      <c r="C7"/>
      <c r="D7"/>
      <c r="E7" t="s">
        <v>37</v>
      </c>
      <c r="F7"/>
      <c r="G7" t="s">
        <v>47</v>
      </c>
      <c r="H7"/>
      <c r="I7" s="155">
        <v>46301.404988425929</v>
      </c>
      <c r="J7" t="s">
        <v>531</v>
      </c>
      <c r="K7" t="s">
        <v>388</v>
      </c>
      <c r="L7" s="154">
        <v>46299</v>
      </c>
      <c r="M7" t="s">
        <v>530</v>
      </c>
      <c r="N7" t="s">
        <v>178</v>
      </c>
      <c r="O7" t="s">
        <v>179</v>
      </c>
      <c r="P7">
        <v>3</v>
      </c>
      <c r="Q7" t="s">
        <v>194</v>
      </c>
    </row>
    <row r="8" spans="1:17" s="3" customFormat="1" hidden="1">
      <c r="A8" s="82">
        <v>6.1134825104166665E-2</v>
      </c>
      <c r="B8" t="s">
        <v>44</v>
      </c>
      <c r="C8"/>
      <c r="D8"/>
      <c r="E8" t="s">
        <v>133</v>
      </c>
      <c r="F8"/>
      <c r="G8" t="s">
        <v>47</v>
      </c>
      <c r="H8"/>
      <c r="I8" s="155">
        <v>46301.404930555553</v>
      </c>
      <c r="J8" t="s">
        <v>531</v>
      </c>
      <c r="K8" t="s">
        <v>388</v>
      </c>
      <c r="L8" s="154">
        <v>46299</v>
      </c>
      <c r="M8" t="s">
        <v>530</v>
      </c>
      <c r="N8" t="s">
        <v>178</v>
      </c>
      <c r="O8" t="s">
        <v>179</v>
      </c>
      <c r="P8">
        <v>3</v>
      </c>
      <c r="Q8" t="s">
        <v>194</v>
      </c>
    </row>
    <row r="9" spans="1:17" s="3" customFormat="1" hidden="1">
      <c r="A9" s="82">
        <v>6.1061110185185181E-2</v>
      </c>
      <c r="B9" t="s">
        <v>44</v>
      </c>
      <c r="C9"/>
      <c r="D9"/>
      <c r="E9" t="s">
        <v>135</v>
      </c>
      <c r="F9"/>
      <c r="G9" t="s">
        <v>47</v>
      </c>
      <c r="H9"/>
      <c r="I9" s="155">
        <v>46301.404861111114</v>
      </c>
      <c r="J9" t="s">
        <v>531</v>
      </c>
      <c r="K9" t="s">
        <v>388</v>
      </c>
      <c r="L9" s="154">
        <v>46299</v>
      </c>
      <c r="M9" t="s">
        <v>530</v>
      </c>
      <c r="N9" t="s">
        <v>178</v>
      </c>
      <c r="O9" t="s">
        <v>179</v>
      </c>
      <c r="P9">
        <v>3</v>
      </c>
      <c r="Q9" t="s">
        <v>194</v>
      </c>
    </row>
    <row r="10" spans="1:17" s="3" customFormat="1" hidden="1">
      <c r="A10" s="82">
        <v>6.1042678136574074E-2</v>
      </c>
      <c r="B10" t="s">
        <v>44</v>
      </c>
      <c r="C10"/>
      <c r="D10"/>
      <c r="E10" t="s">
        <v>133</v>
      </c>
      <c r="F10"/>
      <c r="G10" t="s">
        <v>113</v>
      </c>
      <c r="H10"/>
      <c r="I10" s="155">
        <v>46301.404849537037</v>
      </c>
      <c r="J10" t="s">
        <v>531</v>
      </c>
      <c r="K10" t="s">
        <v>388</v>
      </c>
      <c r="L10" s="154">
        <v>46299</v>
      </c>
      <c r="M10" t="s">
        <v>530</v>
      </c>
      <c r="N10" t="s">
        <v>178</v>
      </c>
      <c r="O10" t="s">
        <v>179</v>
      </c>
      <c r="P10">
        <v>3</v>
      </c>
      <c r="Q10" t="s">
        <v>194</v>
      </c>
    </row>
    <row r="11" spans="1:17" s="3" customFormat="1" hidden="1">
      <c r="A11" s="82">
        <v>6.1062441759259262E-2</v>
      </c>
      <c r="B11" t="s">
        <v>44</v>
      </c>
      <c r="C11"/>
      <c r="D11"/>
      <c r="E11" t="s">
        <v>50</v>
      </c>
      <c r="F11"/>
      <c r="G11" t="s">
        <v>113</v>
      </c>
      <c r="H11"/>
      <c r="I11" s="155">
        <v>46301.404722222222</v>
      </c>
      <c r="J11" t="s">
        <v>531</v>
      </c>
      <c r="K11" t="s">
        <v>388</v>
      </c>
      <c r="L11" s="154">
        <v>46299</v>
      </c>
      <c r="M11" t="s">
        <v>530</v>
      </c>
      <c r="N11" t="s">
        <v>178</v>
      </c>
      <c r="O11" t="s">
        <v>179</v>
      </c>
      <c r="P11">
        <v>3</v>
      </c>
      <c r="Q11" t="s">
        <v>194</v>
      </c>
    </row>
    <row r="12" spans="1:17" s="3" customFormat="1" hidden="1">
      <c r="A12" s="82">
        <v>6.0845962581018515E-2</v>
      </c>
      <c r="B12" t="s">
        <v>44</v>
      </c>
      <c r="C12"/>
      <c r="D12"/>
      <c r="E12" t="s">
        <v>37</v>
      </c>
      <c r="F12"/>
      <c r="G12" t="s">
        <v>113</v>
      </c>
      <c r="H12"/>
      <c r="I12" s="155">
        <v>46301.40457175926</v>
      </c>
      <c r="J12" t="s">
        <v>531</v>
      </c>
      <c r="K12" t="s">
        <v>388</v>
      </c>
      <c r="L12" s="154">
        <v>46299</v>
      </c>
      <c r="M12" t="s">
        <v>530</v>
      </c>
      <c r="N12" t="s">
        <v>178</v>
      </c>
      <c r="O12" t="s">
        <v>179</v>
      </c>
      <c r="P12">
        <v>3</v>
      </c>
      <c r="Q12" t="s">
        <v>194</v>
      </c>
    </row>
    <row r="13" spans="1:17" s="3" customFormat="1">
      <c r="A13" s="82">
        <v>6.0847164270833337E-2</v>
      </c>
      <c r="B13" t="s">
        <v>44</v>
      </c>
      <c r="C13"/>
      <c r="D13"/>
      <c r="E13" t="s">
        <v>61</v>
      </c>
      <c r="F13"/>
      <c r="G13" t="s">
        <v>47</v>
      </c>
      <c r="H13"/>
      <c r="I13" s="155">
        <v>46301.40384259259</v>
      </c>
      <c r="J13" t="s">
        <v>531</v>
      </c>
      <c r="K13" t="s">
        <v>388</v>
      </c>
      <c r="L13" s="154">
        <v>46299</v>
      </c>
      <c r="M13" t="s">
        <v>530</v>
      </c>
      <c r="N13" t="s">
        <v>178</v>
      </c>
      <c r="O13" t="s">
        <v>179</v>
      </c>
      <c r="P13">
        <v>3</v>
      </c>
      <c r="Q13" t="s">
        <v>194</v>
      </c>
    </row>
    <row r="14" spans="1:17" s="3" customFormat="1" hidden="1">
      <c r="A14" s="82">
        <v>6.0804159212962963E-2</v>
      </c>
      <c r="B14" t="s">
        <v>44</v>
      </c>
      <c r="C14"/>
      <c r="D14"/>
      <c r="E14" t="s">
        <v>53</v>
      </c>
      <c r="F14"/>
      <c r="G14" t="s">
        <v>47</v>
      </c>
      <c r="H14"/>
      <c r="I14" s="155">
        <v>46301.403668981482</v>
      </c>
      <c r="J14" t="s">
        <v>531</v>
      </c>
      <c r="K14" t="s">
        <v>388</v>
      </c>
      <c r="L14" s="154">
        <v>46299</v>
      </c>
      <c r="M14" t="s">
        <v>530</v>
      </c>
      <c r="N14" t="s">
        <v>178</v>
      </c>
      <c r="O14" t="s">
        <v>179</v>
      </c>
      <c r="P14">
        <v>3</v>
      </c>
      <c r="Q14" t="s">
        <v>194</v>
      </c>
    </row>
    <row r="15" spans="1:17" s="3" customFormat="1" hidden="1">
      <c r="A15" s="82">
        <v>6.0189094340277777E-2</v>
      </c>
      <c r="B15" t="s">
        <v>44</v>
      </c>
      <c r="C15"/>
      <c r="D15"/>
      <c r="E15" t="s">
        <v>221</v>
      </c>
      <c r="F15"/>
      <c r="G15" t="s">
        <v>113</v>
      </c>
      <c r="H15"/>
      <c r="I15" s="155">
        <v>46301.403275462966</v>
      </c>
      <c r="J15" t="s">
        <v>531</v>
      </c>
      <c r="K15" t="s">
        <v>388</v>
      </c>
      <c r="L15" s="154">
        <v>46299</v>
      </c>
      <c r="M15" t="s">
        <v>530</v>
      </c>
      <c r="N15" t="s">
        <v>178</v>
      </c>
      <c r="O15" t="s">
        <v>179</v>
      </c>
      <c r="P15">
        <v>3</v>
      </c>
      <c r="Q15" t="s">
        <v>194</v>
      </c>
    </row>
    <row r="16" spans="1:17" s="3" customFormat="1" hidden="1">
      <c r="A16" s="82">
        <v>6.0118963912037034E-2</v>
      </c>
      <c r="B16" t="s">
        <v>44</v>
      </c>
      <c r="C16"/>
      <c r="D16"/>
      <c r="E16" t="s">
        <v>53</v>
      </c>
      <c r="F16"/>
      <c r="G16" t="s">
        <v>113</v>
      </c>
      <c r="H16"/>
      <c r="I16" s="155">
        <v>46301.403009259258</v>
      </c>
      <c r="J16" t="s">
        <v>531</v>
      </c>
      <c r="K16" t="s">
        <v>388</v>
      </c>
      <c r="L16" s="154">
        <v>46299</v>
      </c>
      <c r="M16" t="s">
        <v>530</v>
      </c>
      <c r="N16" t="s">
        <v>178</v>
      </c>
      <c r="O16" t="s">
        <v>179</v>
      </c>
      <c r="P16">
        <v>3</v>
      </c>
      <c r="Q16" t="s">
        <v>194</v>
      </c>
    </row>
    <row r="17" spans="1:17" s="3" customFormat="1" hidden="1">
      <c r="A17" s="82">
        <v>5.974488055555556E-2</v>
      </c>
      <c r="B17" t="s">
        <v>44</v>
      </c>
      <c r="C17"/>
      <c r="D17"/>
      <c r="E17" t="s">
        <v>37</v>
      </c>
      <c r="F17"/>
      <c r="G17" t="s">
        <v>113</v>
      </c>
      <c r="H17"/>
      <c r="I17" s="155">
        <v>46301.402939814812</v>
      </c>
      <c r="J17" t="s">
        <v>531</v>
      </c>
      <c r="K17" t="s">
        <v>388</v>
      </c>
      <c r="L17" s="154">
        <v>46299</v>
      </c>
      <c r="M17" t="s">
        <v>530</v>
      </c>
      <c r="N17" t="s">
        <v>178</v>
      </c>
      <c r="O17" t="s">
        <v>179</v>
      </c>
      <c r="P17">
        <v>3</v>
      </c>
      <c r="Q17" t="s">
        <v>194</v>
      </c>
    </row>
    <row r="18" spans="1:17" s="3" customFormat="1" hidden="1">
      <c r="A18" s="82">
        <v>5.9711082337962962E-2</v>
      </c>
      <c r="B18" t="s">
        <v>44</v>
      </c>
      <c r="C18"/>
      <c r="D18"/>
      <c r="E18" t="s">
        <v>133</v>
      </c>
      <c r="F18"/>
      <c r="G18" t="s">
        <v>113</v>
      </c>
      <c r="H18"/>
      <c r="I18" s="155">
        <v>46301.402916666666</v>
      </c>
      <c r="J18" t="s">
        <v>531</v>
      </c>
      <c r="K18" t="s">
        <v>388</v>
      </c>
      <c r="L18" s="154">
        <v>46299</v>
      </c>
      <c r="M18" t="s">
        <v>530</v>
      </c>
      <c r="N18" t="s">
        <v>178</v>
      </c>
      <c r="O18" t="s">
        <v>179</v>
      </c>
      <c r="P18">
        <v>3</v>
      </c>
      <c r="Q18" t="s">
        <v>194</v>
      </c>
    </row>
    <row r="19" spans="1:17" s="3" customFormat="1" hidden="1">
      <c r="A19" s="82">
        <v>5.9640538275462958E-2</v>
      </c>
      <c r="B19" t="s">
        <v>44</v>
      </c>
      <c r="C19" t="s">
        <v>600</v>
      </c>
      <c r="D19"/>
      <c r="E19" t="s">
        <v>57</v>
      </c>
      <c r="F19"/>
      <c r="G19" t="s">
        <v>113</v>
      </c>
      <c r="H19"/>
      <c r="I19" s="155">
        <v>46301.402766203704</v>
      </c>
      <c r="J19" t="s">
        <v>531</v>
      </c>
      <c r="K19" t="s">
        <v>388</v>
      </c>
      <c r="L19" s="154">
        <v>46299</v>
      </c>
      <c r="M19" t="s">
        <v>530</v>
      </c>
      <c r="N19" t="s">
        <v>178</v>
      </c>
      <c r="O19" t="s">
        <v>179</v>
      </c>
      <c r="P19">
        <v>3</v>
      </c>
      <c r="Q19" t="s">
        <v>194</v>
      </c>
    </row>
    <row r="20" spans="1:17" s="3" customFormat="1" hidden="1">
      <c r="A20" s="82">
        <v>5.9635435115740744E-2</v>
      </c>
      <c r="B20" t="s">
        <v>44</v>
      </c>
      <c r="C20"/>
      <c r="D20"/>
      <c r="E20" t="s">
        <v>137</v>
      </c>
      <c r="F20"/>
      <c r="G20" t="s">
        <v>113</v>
      </c>
      <c r="H20"/>
      <c r="I20" s="155">
        <v>46301.402349537035</v>
      </c>
      <c r="J20" t="s">
        <v>531</v>
      </c>
      <c r="K20" t="s">
        <v>388</v>
      </c>
      <c r="L20" s="154">
        <v>46299</v>
      </c>
      <c r="M20" t="s">
        <v>530</v>
      </c>
      <c r="N20" t="s">
        <v>178</v>
      </c>
      <c r="O20" t="s">
        <v>179</v>
      </c>
      <c r="P20">
        <v>3</v>
      </c>
      <c r="Q20" t="s">
        <v>194</v>
      </c>
    </row>
    <row r="21" spans="1:17" s="3" customFormat="1" hidden="1">
      <c r="A21" s="82">
        <v>5.9606443726851852E-2</v>
      </c>
      <c r="B21" t="s">
        <v>44</v>
      </c>
      <c r="C21"/>
      <c r="D21"/>
      <c r="E21" t="s">
        <v>133</v>
      </c>
      <c r="F21"/>
      <c r="G21" t="s">
        <v>47</v>
      </c>
      <c r="H21"/>
      <c r="I21" s="155">
        <v>46301.402291666665</v>
      </c>
      <c r="J21" t="s">
        <v>531</v>
      </c>
      <c r="K21" t="s">
        <v>388</v>
      </c>
      <c r="L21" s="154">
        <v>46299</v>
      </c>
      <c r="M21" t="s">
        <v>530</v>
      </c>
      <c r="N21" t="s">
        <v>178</v>
      </c>
      <c r="O21" t="s">
        <v>179</v>
      </c>
      <c r="P21">
        <v>3</v>
      </c>
      <c r="Q21" t="s">
        <v>194</v>
      </c>
    </row>
    <row r="22" spans="1:17" s="3" customFormat="1" hidden="1">
      <c r="A22" s="82">
        <v>5.9543957453703701E-2</v>
      </c>
      <c r="B22" t="s">
        <v>44</v>
      </c>
      <c r="C22"/>
      <c r="D22"/>
      <c r="E22" t="s">
        <v>135</v>
      </c>
      <c r="F22"/>
      <c r="G22" t="s">
        <v>47</v>
      </c>
      <c r="H22"/>
      <c r="I22" s="155">
        <v>46301.402222222219</v>
      </c>
      <c r="J22" t="s">
        <v>531</v>
      </c>
      <c r="K22" t="s">
        <v>388</v>
      </c>
      <c r="L22" s="154">
        <v>46299</v>
      </c>
      <c r="M22" t="s">
        <v>530</v>
      </c>
      <c r="N22" t="s">
        <v>178</v>
      </c>
      <c r="O22" t="s">
        <v>179</v>
      </c>
      <c r="P22">
        <v>3</v>
      </c>
      <c r="Q22" t="s">
        <v>194</v>
      </c>
    </row>
    <row r="23" spans="1:17" s="3" customFormat="1" hidden="1">
      <c r="A23" s="82">
        <v>5.9513247337962961E-2</v>
      </c>
      <c r="B23" t="s">
        <v>44</v>
      </c>
      <c r="C23"/>
      <c r="D23"/>
      <c r="E23" t="s">
        <v>133</v>
      </c>
      <c r="F23"/>
      <c r="G23" t="s">
        <v>113</v>
      </c>
      <c r="H23"/>
      <c r="I23" s="155">
        <v>46301.402199074073</v>
      </c>
      <c r="J23" t="s">
        <v>531</v>
      </c>
      <c r="K23" t="s">
        <v>388</v>
      </c>
      <c r="L23" s="154">
        <v>46299</v>
      </c>
      <c r="M23" t="s">
        <v>530</v>
      </c>
      <c r="N23" t="s">
        <v>178</v>
      </c>
      <c r="O23" t="s">
        <v>179</v>
      </c>
      <c r="P23">
        <v>3</v>
      </c>
      <c r="Q23" t="s">
        <v>194</v>
      </c>
    </row>
    <row r="24" spans="1:17" s="3" customFormat="1" hidden="1">
      <c r="A24" s="82">
        <v>5.9427165868055562E-2</v>
      </c>
      <c r="B24" t="s">
        <v>44</v>
      </c>
      <c r="C24" t="s">
        <v>32</v>
      </c>
      <c r="D24"/>
      <c r="E24" t="s">
        <v>57</v>
      </c>
      <c r="F24"/>
      <c r="G24" t="s">
        <v>113</v>
      </c>
      <c r="H24"/>
      <c r="I24" s="155">
        <v>46301.402083333334</v>
      </c>
      <c r="J24" t="s">
        <v>531</v>
      </c>
      <c r="K24" t="s">
        <v>388</v>
      </c>
      <c r="L24" s="154">
        <v>46299</v>
      </c>
      <c r="M24" t="s">
        <v>530</v>
      </c>
      <c r="N24" t="s">
        <v>178</v>
      </c>
      <c r="O24" t="s">
        <v>179</v>
      </c>
      <c r="P24">
        <v>3</v>
      </c>
      <c r="Q24" t="s">
        <v>194</v>
      </c>
    </row>
    <row r="25" spans="1:17" s="3" customFormat="1" hidden="1">
      <c r="A25" s="82">
        <v>5.9396430567129635E-2</v>
      </c>
      <c r="B25" t="s">
        <v>44</v>
      </c>
      <c r="C25" t="s">
        <v>549</v>
      </c>
      <c r="D25"/>
      <c r="E25" t="s">
        <v>58</v>
      </c>
      <c r="F25"/>
      <c r="G25" t="s">
        <v>47</v>
      </c>
      <c r="H25"/>
      <c r="I25" s="155">
        <v>46301.401990740742</v>
      </c>
      <c r="J25" t="s">
        <v>531</v>
      </c>
      <c r="K25" t="s">
        <v>388</v>
      </c>
      <c r="L25" s="154">
        <v>46299</v>
      </c>
      <c r="M25" t="s">
        <v>530</v>
      </c>
      <c r="N25" t="s">
        <v>178</v>
      </c>
      <c r="O25" t="s">
        <v>179</v>
      </c>
      <c r="P25">
        <v>3</v>
      </c>
      <c r="Q25" t="s">
        <v>194</v>
      </c>
    </row>
    <row r="26" spans="1:17" s="3" customFormat="1" hidden="1">
      <c r="A26" s="82">
        <v>5.9305417025462964E-2</v>
      </c>
      <c r="B26" t="s">
        <v>44</v>
      </c>
      <c r="C26"/>
      <c r="D26"/>
      <c r="E26" t="s">
        <v>53</v>
      </c>
      <c r="F26"/>
      <c r="G26" t="s">
        <v>47</v>
      </c>
      <c r="H26"/>
      <c r="I26" s="155">
        <v>46301.40152777778</v>
      </c>
      <c r="J26" t="s">
        <v>531</v>
      </c>
      <c r="K26" t="s">
        <v>388</v>
      </c>
      <c r="L26" s="154">
        <v>46299</v>
      </c>
      <c r="M26" t="s">
        <v>530</v>
      </c>
      <c r="N26" t="s">
        <v>178</v>
      </c>
      <c r="O26" t="s">
        <v>179</v>
      </c>
      <c r="P26">
        <v>3</v>
      </c>
      <c r="Q26" t="s">
        <v>194</v>
      </c>
    </row>
    <row r="27" spans="1:17" s="3" customFormat="1" hidden="1">
      <c r="A27" s="82">
        <v>5.8308642650462962E-2</v>
      </c>
      <c r="B27" t="s">
        <v>44</v>
      </c>
      <c r="C27"/>
      <c r="D27"/>
      <c r="E27" t="s">
        <v>37</v>
      </c>
      <c r="F27"/>
      <c r="G27" t="s">
        <v>47</v>
      </c>
      <c r="H27"/>
      <c r="I27" s="155">
        <v>46301.401354166665</v>
      </c>
      <c r="J27" t="s">
        <v>531</v>
      </c>
      <c r="K27" t="s">
        <v>388</v>
      </c>
      <c r="L27" s="154">
        <v>46299</v>
      </c>
      <c r="M27" t="s">
        <v>530</v>
      </c>
      <c r="N27" t="s">
        <v>178</v>
      </c>
      <c r="O27" t="s">
        <v>179</v>
      </c>
      <c r="P27">
        <v>3</v>
      </c>
      <c r="Q27" t="s">
        <v>194</v>
      </c>
    </row>
    <row r="28" spans="1:17" s="3" customFormat="1" hidden="1">
      <c r="A28" s="82">
        <v>5.8308642650462962E-2</v>
      </c>
      <c r="B28" t="s">
        <v>44</v>
      </c>
      <c r="C28"/>
      <c r="D28"/>
      <c r="E28" t="s">
        <v>160</v>
      </c>
      <c r="F28" t="s">
        <v>167</v>
      </c>
      <c r="G28" t="s">
        <v>47</v>
      </c>
      <c r="H28"/>
      <c r="I28" s="155">
        <v>46301.401354166665</v>
      </c>
      <c r="J28" t="s">
        <v>531</v>
      </c>
      <c r="K28" t="s">
        <v>388</v>
      </c>
      <c r="L28" s="154">
        <v>46299</v>
      </c>
      <c r="M28" t="s">
        <v>530</v>
      </c>
      <c r="N28" t="s">
        <v>178</v>
      </c>
      <c r="O28" t="s">
        <v>179</v>
      </c>
      <c r="P28">
        <v>3</v>
      </c>
      <c r="Q28" t="s">
        <v>194</v>
      </c>
    </row>
    <row r="29" spans="1:17" s="3" customFormat="1" hidden="1">
      <c r="A29" s="82">
        <v>5.8238281597222219E-2</v>
      </c>
      <c r="B29" t="s">
        <v>44</v>
      </c>
      <c r="C29"/>
      <c r="D29"/>
      <c r="E29" t="s">
        <v>137</v>
      </c>
      <c r="F29"/>
      <c r="G29" t="s">
        <v>113</v>
      </c>
      <c r="H29"/>
      <c r="I29" s="155">
        <v>46301.40121527778</v>
      </c>
      <c r="J29" t="s">
        <v>531</v>
      </c>
      <c r="K29" t="s">
        <v>388</v>
      </c>
      <c r="L29" s="154">
        <v>46299</v>
      </c>
      <c r="M29" t="s">
        <v>530</v>
      </c>
      <c r="N29" t="s">
        <v>178</v>
      </c>
      <c r="O29" t="s">
        <v>179</v>
      </c>
      <c r="P29">
        <v>3</v>
      </c>
      <c r="Q29" t="s">
        <v>194</v>
      </c>
    </row>
    <row r="30" spans="1:17" s="3" customFormat="1" hidden="1">
      <c r="A30" s="82">
        <v>5.8207169467592593E-2</v>
      </c>
      <c r="B30" t="s">
        <v>44</v>
      </c>
      <c r="C30"/>
      <c r="D30"/>
      <c r="E30" t="s">
        <v>133</v>
      </c>
      <c r="F30"/>
      <c r="G30" t="s">
        <v>47</v>
      </c>
      <c r="H30"/>
      <c r="I30" s="155">
        <v>46301.401180555556</v>
      </c>
      <c r="J30" t="s">
        <v>531</v>
      </c>
      <c r="K30" t="s">
        <v>388</v>
      </c>
      <c r="L30" s="154">
        <v>46299</v>
      </c>
      <c r="M30" t="s">
        <v>530</v>
      </c>
      <c r="N30" t="s">
        <v>178</v>
      </c>
      <c r="O30" t="s">
        <v>179</v>
      </c>
      <c r="P30">
        <v>3</v>
      </c>
      <c r="Q30" t="s">
        <v>194</v>
      </c>
    </row>
    <row r="31" spans="1:17" s="3" customFormat="1" hidden="1">
      <c r="A31" s="82">
        <v>5.8182367071759257E-2</v>
      </c>
      <c r="B31" t="s">
        <v>44</v>
      </c>
      <c r="C31"/>
      <c r="D31"/>
      <c r="E31" t="s">
        <v>225</v>
      </c>
      <c r="F31"/>
      <c r="G31" t="s">
        <v>47</v>
      </c>
      <c r="H31"/>
      <c r="I31" s="155">
        <v>46301.401145833333</v>
      </c>
      <c r="J31" t="s">
        <v>531</v>
      </c>
      <c r="K31" t="s">
        <v>388</v>
      </c>
      <c r="L31" s="154">
        <v>46299</v>
      </c>
      <c r="M31" t="s">
        <v>530</v>
      </c>
      <c r="N31" t="s">
        <v>178</v>
      </c>
      <c r="O31" t="s">
        <v>179</v>
      </c>
      <c r="P31">
        <v>3</v>
      </c>
      <c r="Q31" t="s">
        <v>194</v>
      </c>
    </row>
    <row r="32" spans="1:17" s="3" customFormat="1" hidden="1">
      <c r="A32" s="82">
        <v>5.8002285682870365E-2</v>
      </c>
      <c r="B32" t="s">
        <v>44</v>
      </c>
      <c r="C32"/>
      <c r="D32"/>
      <c r="E32" t="s">
        <v>54</v>
      </c>
      <c r="F32"/>
      <c r="G32" t="s">
        <v>47</v>
      </c>
      <c r="H32"/>
      <c r="I32" s="155">
        <v>46301.400879629633</v>
      </c>
      <c r="J32" t="s">
        <v>531</v>
      </c>
      <c r="K32" t="s">
        <v>388</v>
      </c>
      <c r="L32" s="154">
        <v>46299</v>
      </c>
      <c r="M32" t="s">
        <v>530</v>
      </c>
      <c r="N32" t="s">
        <v>178</v>
      </c>
      <c r="O32" t="s">
        <v>179</v>
      </c>
      <c r="P32">
        <v>3</v>
      </c>
      <c r="Q32" t="s">
        <v>194</v>
      </c>
    </row>
    <row r="33" spans="1:17" s="3" customFormat="1" hidden="1">
      <c r="A33" s="82">
        <v>5.7225926458333333E-2</v>
      </c>
      <c r="B33" t="s">
        <v>44</v>
      </c>
      <c r="C33"/>
      <c r="D33"/>
      <c r="E33" t="s">
        <v>37</v>
      </c>
      <c r="F33"/>
      <c r="G33" t="s">
        <v>47</v>
      </c>
      <c r="H33"/>
      <c r="I33" s="155">
        <v>46301.400729166664</v>
      </c>
      <c r="J33" t="s">
        <v>531</v>
      </c>
      <c r="K33" t="s">
        <v>388</v>
      </c>
      <c r="L33" s="154">
        <v>46299</v>
      </c>
      <c r="M33" t="s">
        <v>530</v>
      </c>
      <c r="N33" t="s">
        <v>178</v>
      </c>
      <c r="O33" t="s">
        <v>179</v>
      </c>
      <c r="P33">
        <v>3</v>
      </c>
      <c r="Q33" t="s">
        <v>194</v>
      </c>
    </row>
    <row r="34" spans="1:17" s="3" customFormat="1" hidden="1">
      <c r="A34" s="82">
        <v>5.7198275601851853E-2</v>
      </c>
      <c r="B34" t="s">
        <v>44</v>
      </c>
      <c r="C34"/>
      <c r="D34"/>
      <c r="E34" t="s">
        <v>132</v>
      </c>
      <c r="F34"/>
      <c r="G34" t="s">
        <v>113</v>
      </c>
      <c r="H34"/>
      <c r="I34" s="155">
        <v>46301.400706018518</v>
      </c>
      <c r="J34" t="s">
        <v>531</v>
      </c>
      <c r="K34" t="s">
        <v>388</v>
      </c>
      <c r="L34" s="154">
        <v>46299</v>
      </c>
      <c r="M34" t="s">
        <v>530</v>
      </c>
      <c r="N34" t="s">
        <v>178</v>
      </c>
      <c r="O34" t="s">
        <v>179</v>
      </c>
      <c r="P34">
        <v>3</v>
      </c>
      <c r="Q34" t="s">
        <v>194</v>
      </c>
    </row>
    <row r="35" spans="1:17" s="3" customFormat="1" hidden="1">
      <c r="A35" s="82">
        <v>5.7150992962962964E-2</v>
      </c>
      <c r="B35" t="s">
        <v>44</v>
      </c>
      <c r="C35"/>
      <c r="D35"/>
      <c r="E35" t="s">
        <v>137</v>
      </c>
      <c r="F35"/>
      <c r="G35" t="s">
        <v>113</v>
      </c>
      <c r="H35"/>
      <c r="I35" s="155">
        <v>46301.400659722225</v>
      </c>
      <c r="J35" t="s">
        <v>531</v>
      </c>
      <c r="K35" t="s">
        <v>388</v>
      </c>
      <c r="L35" s="154">
        <v>46299</v>
      </c>
      <c r="M35" t="s">
        <v>530</v>
      </c>
      <c r="N35" t="s">
        <v>178</v>
      </c>
      <c r="O35" t="s">
        <v>179</v>
      </c>
      <c r="P35">
        <v>3</v>
      </c>
      <c r="Q35" t="s">
        <v>194</v>
      </c>
    </row>
    <row r="36" spans="1:17" s="3" customFormat="1" hidden="1">
      <c r="A36" s="82">
        <v>5.7118293923611112E-2</v>
      </c>
      <c r="B36" t="s">
        <v>44</v>
      </c>
      <c r="C36"/>
      <c r="D36"/>
      <c r="E36" t="s">
        <v>133</v>
      </c>
      <c r="F36"/>
      <c r="G36" t="s">
        <v>47</v>
      </c>
      <c r="H36"/>
      <c r="I36" s="155">
        <v>46301.400625000002</v>
      </c>
      <c r="J36" t="s">
        <v>531</v>
      </c>
      <c r="K36" t="s">
        <v>388</v>
      </c>
      <c r="L36" s="154">
        <v>46299</v>
      </c>
      <c r="M36" t="s">
        <v>530</v>
      </c>
      <c r="N36" t="s">
        <v>178</v>
      </c>
      <c r="O36" t="s">
        <v>179</v>
      </c>
      <c r="P36">
        <v>3</v>
      </c>
      <c r="Q36" t="s">
        <v>194</v>
      </c>
    </row>
    <row r="37" spans="1:17" s="3" customFormat="1" hidden="1">
      <c r="A37" s="82">
        <v>5.7039313564814821E-2</v>
      </c>
      <c r="B37" t="s">
        <v>44</v>
      </c>
      <c r="C37" t="s">
        <v>549</v>
      </c>
      <c r="D37"/>
      <c r="E37" t="s">
        <v>59</v>
      </c>
      <c r="F37"/>
      <c r="G37" t="s">
        <v>113</v>
      </c>
      <c r="H37"/>
      <c r="I37" s="155">
        <v>46301.400439814817</v>
      </c>
      <c r="J37" t="s">
        <v>531</v>
      </c>
      <c r="K37" t="s">
        <v>388</v>
      </c>
      <c r="L37" s="154">
        <v>46299</v>
      </c>
      <c r="M37" t="s">
        <v>530</v>
      </c>
      <c r="N37" t="s">
        <v>178</v>
      </c>
      <c r="O37" t="s">
        <v>179</v>
      </c>
      <c r="P37">
        <v>3</v>
      </c>
      <c r="Q37" t="s">
        <v>194</v>
      </c>
    </row>
    <row r="38" spans="1:17" s="3" customFormat="1" hidden="1">
      <c r="A38" s="82">
        <v>5.6988258368055551E-2</v>
      </c>
      <c r="B38" t="s">
        <v>44</v>
      </c>
      <c r="C38"/>
      <c r="D38"/>
      <c r="E38" t="s">
        <v>53</v>
      </c>
      <c r="F38"/>
      <c r="G38" t="s">
        <v>113</v>
      </c>
      <c r="H38"/>
      <c r="I38" s="155">
        <v>46301.400034722225</v>
      </c>
      <c r="J38" t="s">
        <v>531</v>
      </c>
      <c r="K38" t="s">
        <v>388</v>
      </c>
      <c r="L38" s="154">
        <v>46299</v>
      </c>
      <c r="M38" t="s">
        <v>530</v>
      </c>
      <c r="N38" t="s">
        <v>178</v>
      </c>
      <c r="O38" t="s">
        <v>179</v>
      </c>
      <c r="P38">
        <v>3</v>
      </c>
      <c r="Q38" t="s">
        <v>194</v>
      </c>
    </row>
    <row r="39" spans="1:17" s="3" customFormat="1" hidden="1">
      <c r="A39" s="82">
        <v>5.6295444525462965E-2</v>
      </c>
      <c r="B39" t="s">
        <v>44</v>
      </c>
      <c r="C39"/>
      <c r="D39"/>
      <c r="E39" t="s">
        <v>37</v>
      </c>
      <c r="F39"/>
      <c r="G39" t="s">
        <v>113</v>
      </c>
      <c r="H39"/>
      <c r="I39" s="155">
        <v>46301.399918981479</v>
      </c>
      <c r="J39" t="s">
        <v>531</v>
      </c>
      <c r="K39" t="s">
        <v>388</v>
      </c>
      <c r="L39" s="154">
        <v>46299</v>
      </c>
      <c r="M39" t="s">
        <v>530</v>
      </c>
      <c r="N39" t="s">
        <v>178</v>
      </c>
      <c r="O39" t="s">
        <v>179</v>
      </c>
      <c r="P39">
        <v>3</v>
      </c>
      <c r="Q39" t="s">
        <v>194</v>
      </c>
    </row>
    <row r="40" spans="1:17" s="3" customFormat="1" hidden="1">
      <c r="A40" s="82">
        <v>5.6295444525462965E-2</v>
      </c>
      <c r="B40" t="s">
        <v>44</v>
      </c>
      <c r="C40" t="s">
        <v>545</v>
      </c>
      <c r="D40" t="s">
        <v>169</v>
      </c>
      <c r="E40" t="s">
        <v>161</v>
      </c>
      <c r="F40" t="s">
        <v>617</v>
      </c>
      <c r="G40" t="s">
        <v>113</v>
      </c>
      <c r="H40"/>
      <c r="I40" s="155">
        <v>46301.399918981479</v>
      </c>
      <c r="J40" t="s">
        <v>531</v>
      </c>
      <c r="K40" t="s">
        <v>388</v>
      </c>
      <c r="L40" s="154">
        <v>46299</v>
      </c>
      <c r="M40" t="s">
        <v>530</v>
      </c>
      <c r="N40" t="s">
        <v>178</v>
      </c>
      <c r="O40" t="s">
        <v>179</v>
      </c>
      <c r="P40">
        <v>3</v>
      </c>
      <c r="Q40" t="s">
        <v>194</v>
      </c>
    </row>
    <row r="41" spans="1:17" s="3" customFormat="1" hidden="1">
      <c r="A41" s="82">
        <v>5.6191103993055561E-2</v>
      </c>
      <c r="B41" t="s">
        <v>44</v>
      </c>
      <c r="C41" t="s">
        <v>546</v>
      </c>
      <c r="D41"/>
      <c r="E41" t="s">
        <v>57</v>
      </c>
      <c r="F41"/>
      <c r="G41" t="s">
        <v>113</v>
      </c>
      <c r="H41"/>
      <c r="I41" s="155">
        <v>46301.399641203701</v>
      </c>
      <c r="J41" t="s">
        <v>531</v>
      </c>
      <c r="K41" t="s">
        <v>388</v>
      </c>
      <c r="L41" s="154">
        <v>46299</v>
      </c>
      <c r="M41" t="s">
        <v>530</v>
      </c>
      <c r="N41" t="s">
        <v>178</v>
      </c>
      <c r="O41" t="s">
        <v>179</v>
      </c>
      <c r="P41">
        <v>3</v>
      </c>
      <c r="Q41" t="s">
        <v>194</v>
      </c>
    </row>
    <row r="42" spans="1:17" s="3" customFormat="1" hidden="1">
      <c r="A42" s="82">
        <v>5.6075233240740742E-2</v>
      </c>
      <c r="B42" t="s">
        <v>44</v>
      </c>
      <c r="C42"/>
      <c r="D42"/>
      <c r="E42" t="s">
        <v>50</v>
      </c>
      <c r="F42"/>
      <c r="G42" t="s">
        <v>113</v>
      </c>
      <c r="H42"/>
      <c r="I42" s="155">
        <v>46301.399467592593</v>
      </c>
      <c r="J42" t="s">
        <v>531</v>
      </c>
      <c r="K42" t="s">
        <v>388</v>
      </c>
      <c r="L42" s="154">
        <v>46299</v>
      </c>
      <c r="M42" t="s">
        <v>530</v>
      </c>
      <c r="N42" t="s">
        <v>178</v>
      </c>
      <c r="O42" t="s">
        <v>179</v>
      </c>
      <c r="P42">
        <v>3</v>
      </c>
      <c r="Q42" t="s">
        <v>194</v>
      </c>
    </row>
    <row r="43" spans="1:17" s="3" customFormat="1" hidden="1">
      <c r="A43" s="82">
        <v>5.6067769270833331E-2</v>
      </c>
      <c r="B43" t="s">
        <v>44</v>
      </c>
      <c r="C43" t="s">
        <v>32</v>
      </c>
      <c r="D43" t="s">
        <v>32</v>
      </c>
      <c r="E43" t="s">
        <v>491</v>
      </c>
      <c r="F43" t="s">
        <v>593</v>
      </c>
      <c r="G43" t="s">
        <v>113</v>
      </c>
      <c r="H43"/>
      <c r="I43" s="155">
        <v>46301.399351851855</v>
      </c>
      <c r="J43" t="s">
        <v>531</v>
      </c>
      <c r="K43" t="s">
        <v>388</v>
      </c>
      <c r="L43" s="154">
        <v>46299</v>
      </c>
      <c r="M43" t="s">
        <v>530</v>
      </c>
      <c r="N43" t="s">
        <v>178</v>
      </c>
      <c r="O43" t="s">
        <v>179</v>
      </c>
      <c r="P43">
        <v>3</v>
      </c>
      <c r="Q43" t="s">
        <v>194</v>
      </c>
    </row>
    <row r="44" spans="1:17" s="3" customFormat="1" hidden="1">
      <c r="A44" s="82">
        <v>5.5960754699074071E-2</v>
      </c>
      <c r="B44" t="s">
        <v>44</v>
      </c>
      <c r="C44"/>
      <c r="D44"/>
      <c r="E44" t="s">
        <v>54</v>
      </c>
      <c r="F44"/>
      <c r="G44" t="s">
        <v>113</v>
      </c>
      <c r="H44"/>
      <c r="I44" s="155">
        <v>46301.399074074077</v>
      </c>
      <c r="J44" t="s">
        <v>531</v>
      </c>
      <c r="K44" t="s">
        <v>388</v>
      </c>
      <c r="L44" s="154">
        <v>46299</v>
      </c>
      <c r="M44" t="s">
        <v>530</v>
      </c>
      <c r="N44" t="s">
        <v>178</v>
      </c>
      <c r="O44" t="s">
        <v>179</v>
      </c>
      <c r="P44">
        <v>3</v>
      </c>
      <c r="Q44" t="s">
        <v>194</v>
      </c>
    </row>
    <row r="45" spans="1:17" s="3" customFormat="1" hidden="1">
      <c r="A45" s="82">
        <v>5.5592088032407408E-2</v>
      </c>
      <c r="B45" t="s">
        <v>44</v>
      </c>
      <c r="C45"/>
      <c r="D45"/>
      <c r="E45" t="s">
        <v>37</v>
      </c>
      <c r="F45"/>
      <c r="G45" t="s">
        <v>113</v>
      </c>
      <c r="H45"/>
      <c r="I45" s="155">
        <v>46301.398993055554</v>
      </c>
      <c r="J45" t="s">
        <v>531</v>
      </c>
      <c r="K45" t="s">
        <v>388</v>
      </c>
      <c r="L45" s="154">
        <v>46299</v>
      </c>
      <c r="M45" t="s">
        <v>530</v>
      </c>
      <c r="N45" t="s">
        <v>178</v>
      </c>
      <c r="O45" t="s">
        <v>179</v>
      </c>
      <c r="P45">
        <v>3</v>
      </c>
      <c r="Q45" t="s">
        <v>194</v>
      </c>
    </row>
    <row r="46" spans="1:17" s="3" customFormat="1" hidden="1">
      <c r="A46" s="82">
        <v>5.5545736967592588E-2</v>
      </c>
      <c r="B46" t="s">
        <v>44</v>
      </c>
      <c r="C46" t="s">
        <v>545</v>
      </c>
      <c r="D46"/>
      <c r="E46" t="s">
        <v>132</v>
      </c>
      <c r="F46"/>
      <c r="G46" t="s">
        <v>47</v>
      </c>
      <c r="H46"/>
      <c r="I46" s="155">
        <v>46301.398958333331</v>
      </c>
      <c r="J46" t="s">
        <v>531</v>
      </c>
      <c r="K46" t="s">
        <v>388</v>
      </c>
      <c r="L46" s="154">
        <v>46299</v>
      </c>
      <c r="M46" t="s">
        <v>530</v>
      </c>
      <c r="N46" t="s">
        <v>178</v>
      </c>
      <c r="O46" t="s">
        <v>179</v>
      </c>
      <c r="P46">
        <v>3</v>
      </c>
      <c r="Q46" t="s">
        <v>194</v>
      </c>
    </row>
    <row r="47" spans="1:17" s="3" customFormat="1" hidden="1">
      <c r="A47" s="82">
        <v>5.541854054398148E-2</v>
      </c>
      <c r="B47" t="s">
        <v>44</v>
      </c>
      <c r="C47" t="s">
        <v>540</v>
      </c>
      <c r="D47"/>
      <c r="E47" t="s">
        <v>407</v>
      </c>
      <c r="F47"/>
      <c r="G47" t="s">
        <v>47</v>
      </c>
      <c r="H47"/>
      <c r="I47" s="155">
        <v>46301.398796296293</v>
      </c>
      <c r="J47" t="s">
        <v>531</v>
      </c>
      <c r="K47" t="s">
        <v>388</v>
      </c>
      <c r="L47" s="154">
        <v>46299</v>
      </c>
      <c r="M47" t="s">
        <v>530</v>
      </c>
      <c r="N47" t="s">
        <v>178</v>
      </c>
      <c r="O47" t="s">
        <v>179</v>
      </c>
      <c r="P47">
        <v>3</v>
      </c>
      <c r="Q47" t="s">
        <v>194</v>
      </c>
    </row>
    <row r="48" spans="1:17" s="3" customFormat="1" hidden="1">
      <c r="A48" s="82">
        <v>5.5371540150462965E-2</v>
      </c>
      <c r="B48" t="s">
        <v>44</v>
      </c>
      <c r="C48" t="s">
        <v>541</v>
      </c>
      <c r="D48"/>
      <c r="E48" t="s">
        <v>407</v>
      </c>
      <c r="F48"/>
      <c r="G48" t="s">
        <v>47</v>
      </c>
      <c r="H48"/>
      <c r="I48" s="155">
        <v>46301.398692129631</v>
      </c>
      <c r="J48" t="s">
        <v>531</v>
      </c>
      <c r="K48" t="s">
        <v>388</v>
      </c>
      <c r="L48" s="154">
        <v>46299</v>
      </c>
      <c r="M48" t="s">
        <v>530</v>
      </c>
      <c r="N48" t="s">
        <v>178</v>
      </c>
      <c r="O48" t="s">
        <v>179</v>
      </c>
      <c r="P48">
        <v>3</v>
      </c>
      <c r="Q48" t="s">
        <v>194</v>
      </c>
    </row>
    <row r="49" spans="1:17" s="3" customFormat="1" hidden="1">
      <c r="A49" s="82">
        <v>5.5382858182870372E-2</v>
      </c>
      <c r="B49" t="s">
        <v>44</v>
      </c>
      <c r="C49"/>
      <c r="D49"/>
      <c r="E49" t="s">
        <v>225</v>
      </c>
      <c r="F49"/>
      <c r="G49" t="s">
        <v>47</v>
      </c>
      <c r="H49"/>
      <c r="I49" s="155">
        <v>46301.398495370369</v>
      </c>
      <c r="J49" t="s">
        <v>531</v>
      </c>
      <c r="K49" t="s">
        <v>388</v>
      </c>
      <c r="L49" s="154">
        <v>46299</v>
      </c>
      <c r="M49" t="s">
        <v>530</v>
      </c>
      <c r="N49" t="s">
        <v>178</v>
      </c>
      <c r="O49" t="s">
        <v>179</v>
      </c>
      <c r="P49">
        <v>3</v>
      </c>
      <c r="Q49" t="s">
        <v>194</v>
      </c>
    </row>
    <row r="50" spans="1:17" s="3" customFormat="1" hidden="1">
      <c r="A50" s="82">
        <v>5.5266055740740748E-2</v>
      </c>
      <c r="B50" t="s">
        <v>44</v>
      </c>
      <c r="C50"/>
      <c r="D50"/>
      <c r="E50" t="s">
        <v>54</v>
      </c>
      <c r="F50"/>
      <c r="G50" t="s">
        <v>47</v>
      </c>
      <c r="H50"/>
      <c r="I50" s="155">
        <v>46301.398206018515</v>
      </c>
      <c r="J50" t="s">
        <v>531</v>
      </c>
      <c r="K50" t="s">
        <v>388</v>
      </c>
      <c r="L50" s="154">
        <v>46299</v>
      </c>
      <c r="M50" t="s">
        <v>530</v>
      </c>
      <c r="N50" t="s">
        <v>178</v>
      </c>
      <c r="O50" t="s">
        <v>179</v>
      </c>
      <c r="P50">
        <v>3</v>
      </c>
      <c r="Q50" t="s">
        <v>194</v>
      </c>
    </row>
    <row r="51" spans="1:17" s="3" customFormat="1" hidden="1">
      <c r="A51" s="82">
        <v>5.4874115034722226E-2</v>
      </c>
      <c r="B51" t="s">
        <v>44</v>
      </c>
      <c r="C51"/>
      <c r="D51"/>
      <c r="E51" t="s">
        <v>37</v>
      </c>
      <c r="F51"/>
      <c r="G51" t="s">
        <v>47</v>
      </c>
      <c r="H51"/>
      <c r="I51" s="155">
        <v>46301.398125</v>
      </c>
      <c r="J51" t="s">
        <v>531</v>
      </c>
      <c r="K51" t="s">
        <v>388</v>
      </c>
      <c r="L51" s="154">
        <v>46299</v>
      </c>
      <c r="M51" t="s">
        <v>530</v>
      </c>
      <c r="N51" t="s">
        <v>178</v>
      </c>
      <c r="O51" t="s">
        <v>179</v>
      </c>
      <c r="P51">
        <v>3</v>
      </c>
      <c r="Q51" t="s">
        <v>194</v>
      </c>
    </row>
    <row r="52" spans="1:17" s="3" customFormat="1" hidden="1">
      <c r="A52" s="82">
        <v>5.4849550775462962E-2</v>
      </c>
      <c r="B52" t="s">
        <v>44</v>
      </c>
      <c r="C52"/>
      <c r="D52"/>
      <c r="E52" t="s">
        <v>132</v>
      </c>
      <c r="F52"/>
      <c r="G52" t="s">
        <v>113</v>
      </c>
      <c r="H52"/>
      <c r="I52" s="155">
        <v>46301.398101851853</v>
      </c>
      <c r="J52" t="s">
        <v>531</v>
      </c>
      <c r="K52" t="s">
        <v>388</v>
      </c>
      <c r="L52" s="154">
        <v>46299</v>
      </c>
      <c r="M52" t="s">
        <v>530</v>
      </c>
      <c r="N52" t="s">
        <v>178</v>
      </c>
      <c r="O52" t="s">
        <v>179</v>
      </c>
      <c r="P52">
        <v>3</v>
      </c>
      <c r="Q52" t="s">
        <v>194</v>
      </c>
    </row>
    <row r="53" spans="1:17" s="3" customFormat="1" hidden="1">
      <c r="A53" s="82">
        <v>5.4680491458333334E-2</v>
      </c>
      <c r="B53" t="s">
        <v>44</v>
      </c>
      <c r="C53" t="s">
        <v>546</v>
      </c>
      <c r="D53"/>
      <c r="E53" t="s">
        <v>57</v>
      </c>
      <c r="F53"/>
      <c r="G53" t="s">
        <v>113</v>
      </c>
      <c r="H53"/>
      <c r="I53" s="155">
        <v>46301.397893518515</v>
      </c>
      <c r="J53" t="s">
        <v>531</v>
      </c>
      <c r="K53" t="s">
        <v>388</v>
      </c>
      <c r="L53" s="154">
        <v>46299</v>
      </c>
      <c r="M53" t="s">
        <v>530</v>
      </c>
      <c r="N53" t="s">
        <v>178</v>
      </c>
      <c r="O53" t="s">
        <v>179</v>
      </c>
      <c r="P53">
        <v>3</v>
      </c>
      <c r="Q53" t="s">
        <v>194</v>
      </c>
    </row>
    <row r="54" spans="1:17" s="3" customFormat="1" hidden="1">
      <c r="A54" s="82">
        <v>5.4673146701388883E-2</v>
      </c>
      <c r="B54" t="s">
        <v>44</v>
      </c>
      <c r="C54"/>
      <c r="D54"/>
      <c r="E54" t="s">
        <v>137</v>
      </c>
      <c r="F54"/>
      <c r="G54" t="s">
        <v>113</v>
      </c>
      <c r="H54"/>
      <c r="I54" s="155">
        <v>46301.397731481484</v>
      </c>
      <c r="J54" t="s">
        <v>531</v>
      </c>
      <c r="K54" t="s">
        <v>388</v>
      </c>
      <c r="L54" s="154">
        <v>46299</v>
      </c>
      <c r="M54" t="s">
        <v>530</v>
      </c>
      <c r="N54" t="s">
        <v>178</v>
      </c>
      <c r="O54" t="s">
        <v>179</v>
      </c>
      <c r="P54">
        <v>3</v>
      </c>
      <c r="Q54" t="s">
        <v>194</v>
      </c>
    </row>
    <row r="55" spans="1:17" s="3" customFormat="1" hidden="1">
      <c r="A55" s="82">
        <v>5.46270996875E-2</v>
      </c>
      <c r="B55" t="s">
        <v>44</v>
      </c>
      <c r="C55"/>
      <c r="D55"/>
      <c r="E55" t="s">
        <v>133</v>
      </c>
      <c r="F55"/>
      <c r="G55" t="s">
        <v>47</v>
      </c>
      <c r="H55"/>
      <c r="I55" s="155">
        <v>46301.397685185184</v>
      </c>
      <c r="J55" t="s">
        <v>531</v>
      </c>
      <c r="K55" t="s">
        <v>388</v>
      </c>
      <c r="L55" s="154">
        <v>46299</v>
      </c>
      <c r="M55" t="s">
        <v>530</v>
      </c>
      <c r="N55" t="s">
        <v>178</v>
      </c>
      <c r="O55" t="s">
        <v>179</v>
      </c>
      <c r="P55">
        <v>3</v>
      </c>
      <c r="Q55" t="s">
        <v>194</v>
      </c>
    </row>
    <row r="56" spans="1:17" s="3" customFormat="1" hidden="1">
      <c r="A56" s="82">
        <v>5.4593572118055551E-2</v>
      </c>
      <c r="B56" t="s">
        <v>44</v>
      </c>
      <c r="C56"/>
      <c r="D56"/>
      <c r="E56" t="s">
        <v>225</v>
      </c>
      <c r="F56"/>
      <c r="G56" t="s">
        <v>47</v>
      </c>
      <c r="H56"/>
      <c r="I56" s="155">
        <v>46301.397638888891</v>
      </c>
      <c r="J56" t="s">
        <v>531</v>
      </c>
      <c r="K56" t="s">
        <v>388</v>
      </c>
      <c r="L56" s="154">
        <v>46299</v>
      </c>
      <c r="M56" t="s">
        <v>530</v>
      </c>
      <c r="N56" t="s">
        <v>178</v>
      </c>
      <c r="O56" t="s">
        <v>179</v>
      </c>
      <c r="P56">
        <v>3</v>
      </c>
      <c r="Q56" t="s">
        <v>194</v>
      </c>
    </row>
    <row r="57" spans="1:17" s="3" customFormat="1" hidden="1">
      <c r="A57" s="82">
        <v>5.4461375393518516E-2</v>
      </c>
      <c r="B57" t="s">
        <v>44</v>
      </c>
      <c r="C57"/>
      <c r="D57"/>
      <c r="E57" t="s">
        <v>54</v>
      </c>
      <c r="F57"/>
      <c r="G57" t="s">
        <v>47</v>
      </c>
      <c r="H57"/>
      <c r="I57" s="155">
        <v>46301.397326388891</v>
      </c>
      <c r="J57" t="s">
        <v>531</v>
      </c>
      <c r="K57" t="s">
        <v>388</v>
      </c>
      <c r="L57" s="154">
        <v>46299</v>
      </c>
      <c r="M57" t="s">
        <v>530</v>
      </c>
      <c r="N57" t="s">
        <v>178</v>
      </c>
      <c r="O57" t="s">
        <v>179</v>
      </c>
      <c r="P57">
        <v>3</v>
      </c>
      <c r="Q57" t="s">
        <v>194</v>
      </c>
    </row>
    <row r="58" spans="1:17" s="3" customFormat="1" hidden="1">
      <c r="A58" s="82">
        <v>5.4173943680555552E-2</v>
      </c>
      <c r="B58" t="s">
        <v>44</v>
      </c>
      <c r="C58"/>
      <c r="D58"/>
      <c r="E58" t="s">
        <v>37</v>
      </c>
      <c r="F58"/>
      <c r="G58" t="s">
        <v>47</v>
      </c>
      <c r="H58"/>
      <c r="I58" s="155">
        <v>46301.396747685183</v>
      </c>
      <c r="J58" t="s">
        <v>531</v>
      </c>
      <c r="K58" t="s">
        <v>388</v>
      </c>
      <c r="L58" s="154">
        <v>46299</v>
      </c>
      <c r="M58" t="s">
        <v>530</v>
      </c>
      <c r="N58" t="s">
        <v>178</v>
      </c>
      <c r="O58" t="s">
        <v>179</v>
      </c>
      <c r="P58">
        <v>3</v>
      </c>
      <c r="Q58" t="s">
        <v>194</v>
      </c>
    </row>
    <row r="59" spans="1:17" s="3" customFormat="1" hidden="1">
      <c r="A59" s="82">
        <v>5.414935672453703E-2</v>
      </c>
      <c r="B59" t="s">
        <v>44</v>
      </c>
      <c r="C59"/>
      <c r="D59"/>
      <c r="E59" t="s">
        <v>132</v>
      </c>
      <c r="F59"/>
      <c r="G59" t="s">
        <v>113</v>
      </c>
      <c r="H59"/>
      <c r="I59" s="155">
        <v>46301.396724537037</v>
      </c>
      <c r="J59" t="s">
        <v>531</v>
      </c>
      <c r="K59" t="s">
        <v>388</v>
      </c>
      <c r="L59" s="154">
        <v>46299</v>
      </c>
      <c r="M59" t="s">
        <v>530</v>
      </c>
      <c r="N59" t="s">
        <v>178</v>
      </c>
      <c r="O59" t="s">
        <v>179</v>
      </c>
      <c r="P59">
        <v>3</v>
      </c>
      <c r="Q59" t="s">
        <v>194</v>
      </c>
    </row>
    <row r="60" spans="1:17" s="3" customFormat="1" hidden="1">
      <c r="A60" s="82">
        <v>5.4066351562499997E-2</v>
      </c>
      <c r="B60" t="s">
        <v>44</v>
      </c>
      <c r="C60" t="s">
        <v>538</v>
      </c>
      <c r="D60"/>
      <c r="E60" t="s">
        <v>57</v>
      </c>
      <c r="F60"/>
      <c r="G60" t="s">
        <v>113</v>
      </c>
      <c r="H60"/>
      <c r="I60" s="155">
        <v>46301.396608796298</v>
      </c>
      <c r="J60" t="s">
        <v>531</v>
      </c>
      <c r="K60" t="s">
        <v>388</v>
      </c>
      <c r="L60" s="154">
        <v>46299</v>
      </c>
      <c r="M60" t="s">
        <v>530</v>
      </c>
      <c r="N60" t="s">
        <v>178</v>
      </c>
      <c r="O60" t="s">
        <v>179</v>
      </c>
      <c r="P60">
        <v>3</v>
      </c>
      <c r="Q60" t="s">
        <v>194</v>
      </c>
    </row>
    <row r="61" spans="1:17" s="3" customFormat="1" hidden="1">
      <c r="A61" s="82">
        <v>5.3950591747685191E-2</v>
      </c>
      <c r="B61" t="s">
        <v>44</v>
      </c>
      <c r="C61" t="s">
        <v>547</v>
      </c>
      <c r="D61"/>
      <c r="E61" t="s">
        <v>57</v>
      </c>
      <c r="F61"/>
      <c r="G61" t="s">
        <v>113</v>
      </c>
      <c r="H61"/>
      <c r="I61" s="155">
        <v>46301.396435185183</v>
      </c>
      <c r="J61" t="s">
        <v>531</v>
      </c>
      <c r="K61" t="s">
        <v>388</v>
      </c>
      <c r="L61" s="154">
        <v>46299</v>
      </c>
      <c r="M61" t="s">
        <v>530</v>
      </c>
      <c r="N61" t="s">
        <v>178</v>
      </c>
      <c r="O61" t="s">
        <v>179</v>
      </c>
      <c r="P61">
        <v>3</v>
      </c>
      <c r="Q61" t="s">
        <v>194</v>
      </c>
    </row>
    <row r="62" spans="1:17" s="3" customFormat="1" hidden="1">
      <c r="A62" s="82">
        <v>5.3897659039351856E-2</v>
      </c>
      <c r="B62" t="s">
        <v>44</v>
      </c>
      <c r="C62" t="s">
        <v>538</v>
      </c>
      <c r="D62"/>
      <c r="E62" t="s">
        <v>57</v>
      </c>
      <c r="F62"/>
      <c r="G62" t="s">
        <v>113</v>
      </c>
      <c r="H62"/>
      <c r="I62" s="155">
        <v>46301.396099537036</v>
      </c>
      <c r="J62" t="s">
        <v>531</v>
      </c>
      <c r="K62" t="s">
        <v>388</v>
      </c>
      <c r="L62" s="154">
        <v>46299</v>
      </c>
      <c r="M62" t="s">
        <v>530</v>
      </c>
      <c r="N62" t="s">
        <v>178</v>
      </c>
      <c r="O62" t="s">
        <v>179</v>
      </c>
      <c r="P62">
        <v>3</v>
      </c>
      <c r="Q62" t="s">
        <v>194</v>
      </c>
    </row>
    <row r="63" spans="1:17" s="3" customFormat="1" hidden="1">
      <c r="A63" s="82">
        <v>5.3878554942129626E-2</v>
      </c>
      <c r="B63" t="s">
        <v>44</v>
      </c>
      <c r="C63"/>
      <c r="D63"/>
      <c r="E63" t="s">
        <v>50</v>
      </c>
      <c r="F63"/>
      <c r="G63" t="s">
        <v>113</v>
      </c>
      <c r="H63"/>
      <c r="I63" s="155">
        <v>46301.395856481482</v>
      </c>
      <c r="J63" t="s">
        <v>531</v>
      </c>
      <c r="K63" t="s">
        <v>388</v>
      </c>
      <c r="L63" s="154">
        <v>46299</v>
      </c>
      <c r="M63" t="s">
        <v>530</v>
      </c>
      <c r="N63" t="s">
        <v>178</v>
      </c>
      <c r="O63" t="s">
        <v>179</v>
      </c>
      <c r="P63">
        <v>3</v>
      </c>
      <c r="Q63" t="s">
        <v>194</v>
      </c>
    </row>
    <row r="64" spans="1:17" s="3" customFormat="1" hidden="1">
      <c r="A64" s="82">
        <v>5.3809405914351856E-2</v>
      </c>
      <c r="B64" t="s">
        <v>44</v>
      </c>
      <c r="C64" t="s">
        <v>32</v>
      </c>
      <c r="D64" t="s">
        <v>32</v>
      </c>
      <c r="E64" t="s">
        <v>491</v>
      </c>
      <c r="F64" t="s">
        <v>595</v>
      </c>
      <c r="G64" t="s">
        <v>113</v>
      </c>
      <c r="H64" t="s">
        <v>603</v>
      </c>
      <c r="I64" s="155">
        <v>46301.390810185185</v>
      </c>
      <c r="J64" t="s">
        <v>531</v>
      </c>
      <c r="K64" t="s">
        <v>388</v>
      </c>
      <c r="L64" s="154">
        <v>46299</v>
      </c>
      <c r="M64" t="s">
        <v>530</v>
      </c>
      <c r="N64" t="s">
        <v>178</v>
      </c>
      <c r="O64" t="s">
        <v>179</v>
      </c>
      <c r="P64">
        <v>3</v>
      </c>
      <c r="Q64" t="s">
        <v>194</v>
      </c>
    </row>
    <row r="65" spans="1:17" s="3" customFormat="1" hidden="1">
      <c r="A65" s="82">
        <v>5.3815295462962966E-2</v>
      </c>
      <c r="B65" t="s">
        <v>44</v>
      </c>
      <c r="C65" t="s">
        <v>542</v>
      </c>
      <c r="D65" t="s">
        <v>169</v>
      </c>
      <c r="E65" t="s">
        <v>491</v>
      </c>
      <c r="F65" t="s">
        <v>594</v>
      </c>
      <c r="G65" t="s">
        <v>113</v>
      </c>
      <c r="H65"/>
      <c r="I65" s="155">
        <v>46301.390520833331</v>
      </c>
      <c r="J65" t="s">
        <v>531</v>
      </c>
      <c r="K65" t="s">
        <v>388</v>
      </c>
      <c r="L65" s="154">
        <v>46299</v>
      </c>
      <c r="M65" t="s">
        <v>530</v>
      </c>
      <c r="N65" t="s">
        <v>178</v>
      </c>
      <c r="O65" t="s">
        <v>179</v>
      </c>
      <c r="P65">
        <v>3</v>
      </c>
      <c r="Q65" t="s">
        <v>194</v>
      </c>
    </row>
    <row r="66" spans="1:17" s="3" customFormat="1" hidden="1">
      <c r="A66" s="82">
        <v>5.3695418356481478E-2</v>
      </c>
      <c r="B66" t="s">
        <v>44</v>
      </c>
      <c r="C66"/>
      <c r="D66"/>
      <c r="E66" t="s">
        <v>54</v>
      </c>
      <c r="F66"/>
      <c r="G66" t="s">
        <v>47</v>
      </c>
      <c r="H66"/>
      <c r="I66" s="155">
        <v>46301.390300925923</v>
      </c>
      <c r="J66" t="s">
        <v>531</v>
      </c>
      <c r="K66" t="s">
        <v>388</v>
      </c>
      <c r="L66" s="154">
        <v>46299</v>
      </c>
      <c r="M66" t="s">
        <v>530</v>
      </c>
      <c r="N66" t="s">
        <v>178</v>
      </c>
      <c r="O66" t="s">
        <v>179</v>
      </c>
      <c r="P66">
        <v>3</v>
      </c>
      <c r="Q66" t="s">
        <v>194</v>
      </c>
    </row>
    <row r="67" spans="1:17" s="3" customFormat="1" hidden="1">
      <c r="A67" s="82">
        <v>5.3265835567129632E-2</v>
      </c>
      <c r="B67" t="s">
        <v>44</v>
      </c>
      <c r="C67"/>
      <c r="D67"/>
      <c r="E67" t="s">
        <v>37</v>
      </c>
      <c r="F67"/>
      <c r="G67" t="s">
        <v>47</v>
      </c>
      <c r="H67"/>
      <c r="I67" s="155">
        <v>46301.390162037038</v>
      </c>
      <c r="J67" t="s">
        <v>531</v>
      </c>
      <c r="K67" t="s">
        <v>388</v>
      </c>
      <c r="L67" s="154">
        <v>46299</v>
      </c>
      <c r="M67" t="s">
        <v>530</v>
      </c>
      <c r="N67" t="s">
        <v>178</v>
      </c>
      <c r="O67" t="s">
        <v>179</v>
      </c>
      <c r="P67">
        <v>3</v>
      </c>
      <c r="Q67" t="s">
        <v>194</v>
      </c>
    </row>
    <row r="68" spans="1:17" s="3" customFormat="1" hidden="1">
      <c r="A68" s="82">
        <v>5.3265835567129632E-2</v>
      </c>
      <c r="B68" t="s">
        <v>44</v>
      </c>
      <c r="C68"/>
      <c r="D68"/>
      <c r="E68" t="s">
        <v>160</v>
      </c>
      <c r="F68" t="s">
        <v>502</v>
      </c>
      <c r="G68" t="s">
        <v>47</v>
      </c>
      <c r="H68"/>
      <c r="I68" s="155">
        <v>46301.390162037038</v>
      </c>
      <c r="J68" t="s">
        <v>531</v>
      </c>
      <c r="K68" t="s">
        <v>388</v>
      </c>
      <c r="L68" s="154">
        <v>46299</v>
      </c>
      <c r="M68" t="s">
        <v>530</v>
      </c>
      <c r="N68" t="s">
        <v>178</v>
      </c>
      <c r="O68" t="s">
        <v>179</v>
      </c>
      <c r="P68">
        <v>3</v>
      </c>
      <c r="Q68" t="s">
        <v>194</v>
      </c>
    </row>
    <row r="69" spans="1:17" s="3" customFormat="1" hidden="1">
      <c r="A69" s="82">
        <v>5.3099638125000001E-2</v>
      </c>
      <c r="B69" t="s">
        <v>44</v>
      </c>
      <c r="C69" t="s">
        <v>548</v>
      </c>
      <c r="D69"/>
      <c r="E69" t="s">
        <v>406</v>
      </c>
      <c r="F69"/>
      <c r="G69" t="s">
        <v>47</v>
      </c>
      <c r="H69"/>
      <c r="I69" s="155">
        <v>46301.389872685184</v>
      </c>
      <c r="J69" t="s">
        <v>531</v>
      </c>
      <c r="K69" t="s">
        <v>388</v>
      </c>
      <c r="L69" s="154">
        <v>46299</v>
      </c>
      <c r="M69" t="s">
        <v>530</v>
      </c>
      <c r="N69" t="s">
        <v>178</v>
      </c>
      <c r="O69" t="s">
        <v>179</v>
      </c>
      <c r="P69">
        <v>3</v>
      </c>
      <c r="Q69" t="s">
        <v>194</v>
      </c>
    </row>
    <row r="70" spans="1:17" s="3" customFormat="1" hidden="1">
      <c r="A70" s="82">
        <v>5.3021470451388886E-2</v>
      </c>
      <c r="B70" t="s">
        <v>44</v>
      </c>
      <c r="C70" t="s">
        <v>546</v>
      </c>
      <c r="D70"/>
      <c r="E70" t="s">
        <v>406</v>
      </c>
      <c r="F70"/>
      <c r="G70" t="s">
        <v>47</v>
      </c>
      <c r="H70"/>
      <c r="I70" s="155">
        <v>46301.389513888891</v>
      </c>
      <c r="J70" t="s">
        <v>531</v>
      </c>
      <c r="K70" t="s">
        <v>388</v>
      </c>
      <c r="L70" s="154">
        <v>46299</v>
      </c>
      <c r="M70" t="s">
        <v>530</v>
      </c>
      <c r="N70" t="s">
        <v>178</v>
      </c>
      <c r="O70" t="s">
        <v>179</v>
      </c>
      <c r="P70">
        <v>3</v>
      </c>
      <c r="Q70" t="s">
        <v>194</v>
      </c>
    </row>
    <row r="71" spans="1:17" s="3" customFormat="1" hidden="1">
      <c r="A71" s="82">
        <v>5.2954375567129633E-2</v>
      </c>
      <c r="B71" t="s">
        <v>44</v>
      </c>
      <c r="C71" t="s">
        <v>549</v>
      </c>
      <c r="D71"/>
      <c r="E71" t="s">
        <v>60</v>
      </c>
      <c r="F71"/>
      <c r="G71" t="s">
        <v>47</v>
      </c>
      <c r="H71"/>
      <c r="I71" s="155">
        <v>46301.389108796298</v>
      </c>
      <c r="J71" t="s">
        <v>531</v>
      </c>
      <c r="K71" t="s">
        <v>388</v>
      </c>
      <c r="L71" s="154">
        <v>46299</v>
      </c>
      <c r="M71" t="s">
        <v>530</v>
      </c>
      <c r="N71" t="s">
        <v>178</v>
      </c>
      <c r="O71" t="s">
        <v>179</v>
      </c>
      <c r="P71">
        <v>3</v>
      </c>
      <c r="Q71" t="s">
        <v>194</v>
      </c>
    </row>
    <row r="72" spans="1:17" s="3" customFormat="1" hidden="1">
      <c r="A72" s="82">
        <v>5.2911883564814813E-2</v>
      </c>
      <c r="B72" t="s">
        <v>44</v>
      </c>
      <c r="C72"/>
      <c r="D72"/>
      <c r="E72" t="s">
        <v>53</v>
      </c>
      <c r="F72"/>
      <c r="G72" t="s">
        <v>47</v>
      </c>
      <c r="H72"/>
      <c r="I72" s="155">
        <v>46301.38863425926</v>
      </c>
      <c r="J72" t="s">
        <v>531</v>
      </c>
      <c r="K72" t="s">
        <v>388</v>
      </c>
      <c r="L72" s="154">
        <v>46299</v>
      </c>
      <c r="M72" t="s">
        <v>530</v>
      </c>
      <c r="N72" t="s">
        <v>178</v>
      </c>
      <c r="O72" t="s">
        <v>179</v>
      </c>
      <c r="P72">
        <v>3</v>
      </c>
      <c r="Q72" t="s">
        <v>194</v>
      </c>
    </row>
    <row r="73" spans="1:17" s="3" customFormat="1" hidden="1">
      <c r="A73" s="82">
        <v>5.2198635081018518E-2</v>
      </c>
      <c r="B73" t="s">
        <v>44</v>
      </c>
      <c r="C73"/>
      <c r="D73"/>
      <c r="E73" t="s">
        <v>160</v>
      </c>
      <c r="F73" t="s">
        <v>501</v>
      </c>
      <c r="G73" t="s">
        <v>47</v>
      </c>
      <c r="H73"/>
      <c r="I73" s="155">
        <v>46301.388541666667</v>
      </c>
      <c r="J73" t="s">
        <v>531</v>
      </c>
      <c r="K73" t="s">
        <v>388</v>
      </c>
      <c r="L73" s="154">
        <v>46299</v>
      </c>
      <c r="M73" t="s">
        <v>530</v>
      </c>
      <c r="N73" t="s">
        <v>178</v>
      </c>
      <c r="O73" t="s">
        <v>179</v>
      </c>
      <c r="P73">
        <v>3</v>
      </c>
      <c r="Q73" t="s">
        <v>194</v>
      </c>
    </row>
    <row r="74" spans="1:17" s="3" customFormat="1" hidden="1">
      <c r="A74" s="82">
        <v>5.2045843981481481E-2</v>
      </c>
      <c r="B74" t="s">
        <v>44</v>
      </c>
      <c r="C74"/>
      <c r="D74"/>
      <c r="E74" t="s">
        <v>37</v>
      </c>
      <c r="F74"/>
      <c r="G74" t="s">
        <v>47</v>
      </c>
      <c r="H74"/>
      <c r="I74" s="155">
        <v>46301.388391203705</v>
      </c>
      <c r="J74" t="s">
        <v>531</v>
      </c>
      <c r="K74" t="s">
        <v>388</v>
      </c>
      <c r="L74" s="154">
        <v>46299</v>
      </c>
      <c r="M74" t="s">
        <v>530</v>
      </c>
      <c r="N74" t="s">
        <v>178</v>
      </c>
      <c r="O74" t="s">
        <v>179</v>
      </c>
      <c r="P74">
        <v>3</v>
      </c>
      <c r="Q74" t="s">
        <v>194</v>
      </c>
    </row>
    <row r="75" spans="1:17" s="3" customFormat="1" hidden="1">
      <c r="A75" s="82">
        <v>5.1988001643518522E-2</v>
      </c>
      <c r="B75" t="s">
        <v>44</v>
      </c>
      <c r="C75"/>
      <c r="D75"/>
      <c r="E75" t="s">
        <v>133</v>
      </c>
      <c r="F75"/>
      <c r="G75" t="s">
        <v>47</v>
      </c>
      <c r="H75"/>
      <c r="I75" s="155">
        <v>46301.388333333336</v>
      </c>
      <c r="J75" t="s">
        <v>531</v>
      </c>
      <c r="K75" t="s">
        <v>388</v>
      </c>
      <c r="L75" s="154">
        <v>46299</v>
      </c>
      <c r="M75" t="s">
        <v>530</v>
      </c>
      <c r="N75" t="s">
        <v>178</v>
      </c>
      <c r="O75" t="s">
        <v>179</v>
      </c>
      <c r="P75">
        <v>3</v>
      </c>
      <c r="Q75" t="s">
        <v>194</v>
      </c>
    </row>
    <row r="76" spans="1:17" s="3" customFormat="1" hidden="1">
      <c r="A76" s="82">
        <v>5.1953323877314814E-2</v>
      </c>
      <c r="B76" t="s">
        <v>44</v>
      </c>
      <c r="C76"/>
      <c r="D76"/>
      <c r="E76" t="s">
        <v>219</v>
      </c>
      <c r="F76"/>
      <c r="G76" t="s">
        <v>113</v>
      </c>
      <c r="H76"/>
      <c r="I76" s="155">
        <v>46301.388252314813</v>
      </c>
      <c r="J76" t="s">
        <v>531</v>
      </c>
      <c r="K76" t="s">
        <v>388</v>
      </c>
      <c r="L76" s="154">
        <v>46299</v>
      </c>
      <c r="M76" t="s">
        <v>530</v>
      </c>
      <c r="N76" t="s">
        <v>178</v>
      </c>
      <c r="O76" t="s">
        <v>179</v>
      </c>
      <c r="P76">
        <v>3</v>
      </c>
      <c r="Q76" t="s">
        <v>194</v>
      </c>
    </row>
    <row r="77" spans="1:17" s="3" customFormat="1" hidden="1">
      <c r="A77" s="82">
        <v>5.1789330694444441E-2</v>
      </c>
      <c r="B77" t="s">
        <v>44</v>
      </c>
      <c r="C77" t="s">
        <v>540</v>
      </c>
      <c r="D77"/>
      <c r="E77" t="s">
        <v>57</v>
      </c>
      <c r="F77"/>
      <c r="G77" t="s">
        <v>113</v>
      </c>
      <c r="H77"/>
      <c r="I77" s="155">
        <v>46301.387997685182</v>
      </c>
      <c r="J77" t="s">
        <v>531</v>
      </c>
      <c r="K77" t="s">
        <v>388</v>
      </c>
      <c r="L77" s="154">
        <v>46299</v>
      </c>
      <c r="M77" t="s">
        <v>530</v>
      </c>
      <c r="N77" t="s">
        <v>178</v>
      </c>
      <c r="O77" t="s">
        <v>179</v>
      </c>
      <c r="P77">
        <v>3</v>
      </c>
      <c r="Q77" t="s">
        <v>194</v>
      </c>
    </row>
    <row r="78" spans="1:17" s="3" customFormat="1" hidden="1">
      <c r="A78" s="82">
        <v>5.1776347511574075E-2</v>
      </c>
      <c r="B78" t="s">
        <v>44</v>
      </c>
      <c r="C78" t="s">
        <v>543</v>
      </c>
      <c r="D78"/>
      <c r="E78" t="s">
        <v>9</v>
      </c>
      <c r="F78"/>
      <c r="G78" t="s">
        <v>113</v>
      </c>
      <c r="H78"/>
      <c r="I78" s="155">
        <v>46301.387673611112</v>
      </c>
      <c r="J78" t="s">
        <v>531</v>
      </c>
      <c r="K78" t="s">
        <v>388</v>
      </c>
      <c r="L78" s="154">
        <v>46299</v>
      </c>
      <c r="M78" t="s">
        <v>530</v>
      </c>
      <c r="N78" t="s">
        <v>178</v>
      </c>
      <c r="O78" t="s">
        <v>179</v>
      </c>
      <c r="P78">
        <v>3</v>
      </c>
      <c r="Q78" t="s">
        <v>194</v>
      </c>
    </row>
    <row r="79" spans="1:17" s="3" customFormat="1" hidden="1">
      <c r="A79" s="82">
        <v>5.1731820416666664E-2</v>
      </c>
      <c r="B79" t="s">
        <v>44</v>
      </c>
      <c r="C79" t="s">
        <v>549</v>
      </c>
      <c r="D79"/>
      <c r="E79" t="s">
        <v>58</v>
      </c>
      <c r="F79"/>
      <c r="G79" t="s">
        <v>47</v>
      </c>
      <c r="H79"/>
      <c r="I79" s="155">
        <v>46301.387488425928</v>
      </c>
      <c r="J79" t="s">
        <v>531</v>
      </c>
      <c r="K79" t="s">
        <v>388</v>
      </c>
      <c r="L79" s="154">
        <v>46299</v>
      </c>
      <c r="M79" t="s">
        <v>530</v>
      </c>
      <c r="N79" t="s">
        <v>178</v>
      </c>
      <c r="O79" t="s">
        <v>179</v>
      </c>
      <c r="P79">
        <v>3</v>
      </c>
      <c r="Q79" t="s">
        <v>194</v>
      </c>
    </row>
    <row r="80" spans="1:17" s="3" customFormat="1" hidden="1">
      <c r="A80" s="82">
        <v>5.1709172395833329E-2</v>
      </c>
      <c r="B80" t="s">
        <v>44</v>
      </c>
      <c r="C80"/>
      <c r="D80"/>
      <c r="E80" t="s">
        <v>53</v>
      </c>
      <c r="F80"/>
      <c r="G80" t="s">
        <v>47</v>
      </c>
      <c r="H80"/>
      <c r="I80" s="155">
        <v>46301.386562500003</v>
      </c>
      <c r="J80" t="s">
        <v>531</v>
      </c>
      <c r="K80" t="s">
        <v>388</v>
      </c>
      <c r="L80" s="154">
        <v>46299</v>
      </c>
      <c r="M80" t="s">
        <v>530</v>
      </c>
      <c r="N80" t="s">
        <v>178</v>
      </c>
      <c r="O80" t="s">
        <v>179</v>
      </c>
      <c r="P80">
        <v>3</v>
      </c>
      <c r="Q80" t="s">
        <v>194</v>
      </c>
    </row>
    <row r="81" spans="1:17" s="3" customFormat="1" hidden="1">
      <c r="A81" s="82">
        <v>5.0970816689814812E-2</v>
      </c>
      <c r="B81" t="s">
        <v>44</v>
      </c>
      <c r="C81"/>
      <c r="D81"/>
      <c r="E81" t="s">
        <v>37</v>
      </c>
      <c r="F81"/>
      <c r="G81" t="s">
        <v>47</v>
      </c>
      <c r="H81"/>
      <c r="I81" s="155">
        <v>46301.385682870372</v>
      </c>
      <c r="J81" t="s">
        <v>531</v>
      </c>
      <c r="K81" t="s">
        <v>388</v>
      </c>
      <c r="L81" s="154">
        <v>46299</v>
      </c>
      <c r="M81" t="s">
        <v>530</v>
      </c>
      <c r="N81" t="s">
        <v>178</v>
      </c>
      <c r="O81" t="s">
        <v>179</v>
      </c>
      <c r="P81">
        <v>3</v>
      </c>
      <c r="Q81" t="s">
        <v>194</v>
      </c>
    </row>
    <row r="82" spans="1:17" s="3" customFormat="1" hidden="1">
      <c r="A82" s="82">
        <v>5.0970816689814812E-2</v>
      </c>
      <c r="B82" t="s">
        <v>44</v>
      </c>
      <c r="C82"/>
      <c r="D82"/>
      <c r="E82" t="s">
        <v>160</v>
      </c>
      <c r="F82" t="s">
        <v>501</v>
      </c>
      <c r="G82" t="s">
        <v>47</v>
      </c>
      <c r="H82"/>
      <c r="I82" s="155">
        <v>46301.385682870372</v>
      </c>
      <c r="J82" t="s">
        <v>531</v>
      </c>
      <c r="K82" t="s">
        <v>388</v>
      </c>
      <c r="L82" s="154">
        <v>46299</v>
      </c>
      <c r="M82" t="s">
        <v>530</v>
      </c>
      <c r="N82" t="s">
        <v>178</v>
      </c>
      <c r="O82" t="s">
        <v>179</v>
      </c>
      <c r="P82">
        <v>3</v>
      </c>
      <c r="Q82" t="s">
        <v>194</v>
      </c>
    </row>
    <row r="83" spans="1:17" s="3" customFormat="1" hidden="1">
      <c r="A83" s="82">
        <v>5.0857239594907407E-2</v>
      </c>
      <c r="B83" t="s">
        <v>44</v>
      </c>
      <c r="C83" t="s">
        <v>536</v>
      </c>
      <c r="D83"/>
      <c r="E83" t="s">
        <v>57</v>
      </c>
      <c r="F83"/>
      <c r="G83" t="s">
        <v>113</v>
      </c>
      <c r="H83"/>
      <c r="I83" s="155">
        <v>46301.385462962964</v>
      </c>
      <c r="J83" t="s">
        <v>531</v>
      </c>
      <c r="K83" t="s">
        <v>388</v>
      </c>
      <c r="L83" s="154">
        <v>46299</v>
      </c>
      <c r="M83" t="s">
        <v>530</v>
      </c>
      <c r="N83" t="s">
        <v>178</v>
      </c>
      <c r="O83" t="s">
        <v>179</v>
      </c>
      <c r="P83">
        <v>3</v>
      </c>
      <c r="Q83" t="s">
        <v>194</v>
      </c>
    </row>
    <row r="84" spans="1:17" s="3" customFormat="1" hidden="1">
      <c r="A84" s="82">
        <v>5.0758276979166669E-2</v>
      </c>
      <c r="B84" t="s">
        <v>44</v>
      </c>
      <c r="C84" t="s">
        <v>548</v>
      </c>
      <c r="D84"/>
      <c r="E84" t="s">
        <v>82</v>
      </c>
      <c r="F84"/>
      <c r="G84" t="s">
        <v>113</v>
      </c>
      <c r="H84"/>
      <c r="I84" s="155">
        <v>46301.384953703702</v>
      </c>
      <c r="J84" t="s">
        <v>531</v>
      </c>
      <c r="K84" t="s">
        <v>388</v>
      </c>
      <c r="L84" s="154">
        <v>46299</v>
      </c>
      <c r="M84" t="s">
        <v>530</v>
      </c>
      <c r="N84" t="s">
        <v>178</v>
      </c>
      <c r="O84" t="s">
        <v>179</v>
      </c>
      <c r="P84">
        <v>3</v>
      </c>
      <c r="Q84" t="s">
        <v>194</v>
      </c>
    </row>
    <row r="85" spans="1:17" s="3" customFormat="1" hidden="1">
      <c r="A85" s="82">
        <v>5.0758276979166669E-2</v>
      </c>
      <c r="B85" t="s">
        <v>44</v>
      </c>
      <c r="C85" t="s">
        <v>538</v>
      </c>
      <c r="D85"/>
      <c r="E85" t="s">
        <v>82</v>
      </c>
      <c r="F85"/>
      <c r="G85" t="s">
        <v>113</v>
      </c>
      <c r="H85"/>
      <c r="I85" s="155">
        <v>46301.384942129633</v>
      </c>
      <c r="J85" t="s">
        <v>531</v>
      </c>
      <c r="K85" t="s">
        <v>388</v>
      </c>
      <c r="L85" s="154">
        <v>46299</v>
      </c>
      <c r="M85" t="s">
        <v>530</v>
      </c>
      <c r="N85" t="s">
        <v>178</v>
      </c>
      <c r="O85" t="s">
        <v>179</v>
      </c>
      <c r="P85">
        <v>3</v>
      </c>
      <c r="Q85" t="s">
        <v>194</v>
      </c>
    </row>
    <row r="86" spans="1:17" s="3" customFormat="1" hidden="1">
      <c r="A86" s="82">
        <v>4.8654831956018517E-2</v>
      </c>
      <c r="B86" t="s">
        <v>44</v>
      </c>
      <c r="C86" t="s">
        <v>541</v>
      </c>
      <c r="D86"/>
      <c r="E86" t="s">
        <v>516</v>
      </c>
      <c r="F86"/>
      <c r="G86" t="s">
        <v>113</v>
      </c>
      <c r="H86"/>
      <c r="I86" s="155">
        <v>46301.384201388886</v>
      </c>
      <c r="J86" t="s">
        <v>531</v>
      </c>
      <c r="K86" t="s">
        <v>388</v>
      </c>
      <c r="L86" s="154">
        <v>46299</v>
      </c>
      <c r="M86" t="s">
        <v>530</v>
      </c>
      <c r="N86" t="s">
        <v>178</v>
      </c>
      <c r="O86" t="s">
        <v>179</v>
      </c>
      <c r="P86">
        <v>3</v>
      </c>
      <c r="Q86" t="s">
        <v>194</v>
      </c>
    </row>
    <row r="87" spans="1:17" s="3" customFormat="1" hidden="1">
      <c r="A87" s="82">
        <v>5.0656656851851854E-2</v>
      </c>
      <c r="B87" t="s">
        <v>44</v>
      </c>
      <c r="C87" t="s">
        <v>544</v>
      </c>
      <c r="D87"/>
      <c r="E87" t="s">
        <v>57</v>
      </c>
      <c r="F87"/>
      <c r="G87" t="s">
        <v>113</v>
      </c>
      <c r="H87"/>
      <c r="I87" s="155">
        <v>46301.379027777781</v>
      </c>
      <c r="J87" t="s">
        <v>531</v>
      </c>
      <c r="K87" t="s">
        <v>388</v>
      </c>
      <c r="L87" s="154">
        <v>46299</v>
      </c>
      <c r="M87" t="s">
        <v>530</v>
      </c>
      <c r="N87" t="s">
        <v>178</v>
      </c>
      <c r="O87" t="s">
        <v>179</v>
      </c>
      <c r="P87">
        <v>3</v>
      </c>
      <c r="Q87" t="s">
        <v>194</v>
      </c>
    </row>
    <row r="88" spans="1:17" s="3" customFormat="1" hidden="1">
      <c r="A88" s="82">
        <v>5.0656656851851854E-2</v>
      </c>
      <c r="B88" t="s">
        <v>44</v>
      </c>
      <c r="C88" t="s">
        <v>546</v>
      </c>
      <c r="D88"/>
      <c r="E88" t="s">
        <v>9</v>
      </c>
      <c r="F88"/>
      <c r="G88" t="s">
        <v>113</v>
      </c>
      <c r="H88"/>
      <c r="I88" s="155">
        <v>46301.378958333335</v>
      </c>
      <c r="J88" t="s">
        <v>531</v>
      </c>
      <c r="K88" t="s">
        <v>388</v>
      </c>
      <c r="L88" s="154">
        <v>46299</v>
      </c>
      <c r="M88" t="s">
        <v>530</v>
      </c>
      <c r="N88" t="s">
        <v>178</v>
      </c>
      <c r="O88" t="s">
        <v>179</v>
      </c>
      <c r="P88">
        <v>3</v>
      </c>
      <c r="Q88" t="s">
        <v>194</v>
      </c>
    </row>
    <row r="89" spans="1:17" s="3" customFormat="1" hidden="1">
      <c r="A89" s="82">
        <v>5.058023650462963E-2</v>
      </c>
      <c r="B89" t="s">
        <v>44</v>
      </c>
      <c r="C89" t="s">
        <v>545</v>
      </c>
      <c r="D89"/>
      <c r="E89" t="s">
        <v>57</v>
      </c>
      <c r="F89"/>
      <c r="G89" t="s">
        <v>113</v>
      </c>
      <c r="H89"/>
      <c r="I89" s="155">
        <v>46301.378680555557</v>
      </c>
      <c r="J89" t="s">
        <v>531</v>
      </c>
      <c r="K89" t="s">
        <v>388</v>
      </c>
      <c r="L89" s="154">
        <v>46299</v>
      </c>
      <c r="M89" t="s">
        <v>530</v>
      </c>
      <c r="N89" t="s">
        <v>178</v>
      </c>
      <c r="O89" t="s">
        <v>179</v>
      </c>
      <c r="P89">
        <v>3</v>
      </c>
      <c r="Q89" t="s">
        <v>194</v>
      </c>
    </row>
    <row r="90" spans="1:17" s="3" customFormat="1" hidden="1">
      <c r="A90" s="82">
        <v>5.0571480451388887E-2</v>
      </c>
      <c r="B90" t="s">
        <v>44</v>
      </c>
      <c r="C90" t="s">
        <v>543</v>
      </c>
      <c r="D90"/>
      <c r="E90" t="s">
        <v>57</v>
      </c>
      <c r="F90"/>
      <c r="G90" t="s">
        <v>113</v>
      </c>
      <c r="H90"/>
      <c r="I90" s="155">
        <v>46301.378587962965</v>
      </c>
      <c r="J90" t="s">
        <v>531</v>
      </c>
      <c r="K90" t="s">
        <v>388</v>
      </c>
      <c r="L90" s="154">
        <v>46299</v>
      </c>
      <c r="M90" t="s">
        <v>530</v>
      </c>
      <c r="N90" t="s">
        <v>178</v>
      </c>
      <c r="O90" t="s">
        <v>179</v>
      </c>
      <c r="P90">
        <v>3</v>
      </c>
      <c r="Q90" t="s">
        <v>194</v>
      </c>
    </row>
    <row r="91" spans="1:17" s="3" customFormat="1" hidden="1">
      <c r="A91" s="82">
        <v>5.0482227708333334E-2</v>
      </c>
      <c r="B91" t="s">
        <v>44</v>
      </c>
      <c r="C91" t="s">
        <v>540</v>
      </c>
      <c r="D91"/>
      <c r="E91" t="s">
        <v>57</v>
      </c>
      <c r="F91"/>
      <c r="G91" t="s">
        <v>113</v>
      </c>
      <c r="H91"/>
      <c r="I91" s="155">
        <v>46301.378310185188</v>
      </c>
      <c r="J91" t="s">
        <v>531</v>
      </c>
      <c r="K91" t="s">
        <v>388</v>
      </c>
      <c r="L91" s="154">
        <v>46299</v>
      </c>
      <c r="M91" t="s">
        <v>530</v>
      </c>
      <c r="N91" t="s">
        <v>178</v>
      </c>
      <c r="O91" t="s">
        <v>179</v>
      </c>
      <c r="P91">
        <v>3</v>
      </c>
      <c r="Q91" t="s">
        <v>194</v>
      </c>
    </row>
    <row r="92" spans="1:17" s="3" customFormat="1" hidden="1">
      <c r="A92" s="82">
        <v>5.0482227708333334E-2</v>
      </c>
      <c r="B92" t="s">
        <v>44</v>
      </c>
      <c r="C92" t="s">
        <v>548</v>
      </c>
      <c r="D92"/>
      <c r="E92" t="s">
        <v>57</v>
      </c>
      <c r="F92"/>
      <c r="G92" t="s">
        <v>113</v>
      </c>
      <c r="H92"/>
      <c r="I92" s="155">
        <v>46301.378275462965</v>
      </c>
      <c r="J92" t="s">
        <v>531</v>
      </c>
      <c r="K92" t="s">
        <v>388</v>
      </c>
      <c r="L92" s="154">
        <v>46299</v>
      </c>
      <c r="M92" t="s">
        <v>530</v>
      </c>
      <c r="N92" t="s">
        <v>178</v>
      </c>
      <c r="O92" t="s">
        <v>179</v>
      </c>
      <c r="P92">
        <v>3</v>
      </c>
      <c r="Q92" t="s">
        <v>194</v>
      </c>
    </row>
    <row r="93" spans="1:17" s="3" customFormat="1" hidden="1">
      <c r="A93" s="82">
        <v>5.044892489583333E-2</v>
      </c>
      <c r="B93" t="s">
        <v>44</v>
      </c>
      <c r="C93"/>
      <c r="D93"/>
      <c r="E93" t="s">
        <v>50</v>
      </c>
      <c r="F93"/>
      <c r="G93" t="s">
        <v>113</v>
      </c>
      <c r="H93"/>
      <c r="I93" s="155">
        <v>46301.37809027778</v>
      </c>
      <c r="J93" t="s">
        <v>531</v>
      </c>
      <c r="K93" t="s">
        <v>388</v>
      </c>
      <c r="L93" s="154">
        <v>46299</v>
      </c>
      <c r="M93" t="s">
        <v>530</v>
      </c>
      <c r="N93" t="s">
        <v>178</v>
      </c>
      <c r="O93" t="s">
        <v>179</v>
      </c>
      <c r="P93">
        <v>3</v>
      </c>
      <c r="Q93" t="s">
        <v>194</v>
      </c>
    </row>
    <row r="94" spans="1:17" s="3" customFormat="1" hidden="1">
      <c r="A94" s="82">
        <v>5.0395539340277774E-2</v>
      </c>
      <c r="B94" t="s">
        <v>44</v>
      </c>
      <c r="C94" t="s">
        <v>32</v>
      </c>
      <c r="D94" t="s">
        <v>32</v>
      </c>
      <c r="E94" t="s">
        <v>491</v>
      </c>
      <c r="F94" t="s">
        <v>595</v>
      </c>
      <c r="G94" t="s">
        <v>113</v>
      </c>
      <c r="H94"/>
      <c r="I94" s="155">
        <v>46301.377997685187</v>
      </c>
      <c r="J94" t="s">
        <v>531</v>
      </c>
      <c r="K94" t="s">
        <v>388</v>
      </c>
      <c r="L94" s="154">
        <v>46299</v>
      </c>
      <c r="M94" t="s">
        <v>530</v>
      </c>
      <c r="N94" t="s">
        <v>178</v>
      </c>
      <c r="O94" t="s">
        <v>179</v>
      </c>
      <c r="P94">
        <v>3</v>
      </c>
      <c r="Q94" t="s">
        <v>194</v>
      </c>
    </row>
    <row r="95" spans="1:17" s="3" customFormat="1">
      <c r="A95" s="82">
        <v>5.0269583680555549E-2</v>
      </c>
      <c r="B95" t="s">
        <v>44</v>
      </c>
      <c r="C95" t="s">
        <v>497</v>
      </c>
      <c r="D95"/>
      <c r="E95" t="s">
        <v>61</v>
      </c>
      <c r="F95"/>
      <c r="G95" t="s">
        <v>47</v>
      </c>
      <c r="H95"/>
      <c r="I95" s="155">
        <v>46301.377314814818</v>
      </c>
      <c r="J95" t="s">
        <v>531</v>
      </c>
      <c r="K95" t="s">
        <v>388</v>
      </c>
      <c r="L95" s="154">
        <v>46299</v>
      </c>
      <c r="M95" t="s">
        <v>530</v>
      </c>
      <c r="N95" t="s">
        <v>178</v>
      </c>
      <c r="O95" t="s">
        <v>179</v>
      </c>
      <c r="P95">
        <v>3</v>
      </c>
      <c r="Q95" t="s">
        <v>194</v>
      </c>
    </row>
    <row r="96" spans="1:17" s="3" customFormat="1" hidden="1">
      <c r="A96" s="82">
        <v>5.0127188773148153E-2</v>
      </c>
      <c r="B96" t="s">
        <v>44</v>
      </c>
      <c r="C96"/>
      <c r="D96"/>
      <c r="E96" t="s">
        <v>53</v>
      </c>
      <c r="F96"/>
      <c r="G96" t="s">
        <v>47</v>
      </c>
      <c r="H96"/>
      <c r="I96" s="155">
        <v>46301.376851851855</v>
      </c>
      <c r="J96" t="s">
        <v>531</v>
      </c>
      <c r="K96" t="s">
        <v>388</v>
      </c>
      <c r="L96" s="154">
        <v>46299</v>
      </c>
      <c r="M96" t="s">
        <v>530</v>
      </c>
      <c r="N96" t="s">
        <v>178</v>
      </c>
      <c r="O96" t="s">
        <v>179</v>
      </c>
      <c r="P96">
        <v>3</v>
      </c>
      <c r="Q96" t="s">
        <v>194</v>
      </c>
    </row>
    <row r="97" spans="1:17" s="3" customFormat="1" hidden="1">
      <c r="A97" s="82">
        <v>4.9791529791666671E-2</v>
      </c>
      <c r="B97" t="s">
        <v>44</v>
      </c>
      <c r="C97"/>
      <c r="D97"/>
      <c r="E97" t="s">
        <v>37</v>
      </c>
      <c r="F97"/>
      <c r="G97" t="s">
        <v>113</v>
      </c>
      <c r="H97"/>
      <c r="I97" s="155">
        <v>46301.376516203702</v>
      </c>
      <c r="J97" t="s">
        <v>531</v>
      </c>
      <c r="K97" t="s">
        <v>388</v>
      </c>
      <c r="L97" s="154">
        <v>46299</v>
      </c>
      <c r="M97" t="s">
        <v>530</v>
      </c>
      <c r="N97" t="s">
        <v>178</v>
      </c>
      <c r="O97" t="s">
        <v>179</v>
      </c>
      <c r="P97">
        <v>3</v>
      </c>
      <c r="Q97" t="s">
        <v>194</v>
      </c>
    </row>
    <row r="98" spans="1:17" s="3" customFormat="1" hidden="1">
      <c r="A98" s="82">
        <v>4.9710592361111111E-2</v>
      </c>
      <c r="B98" t="s">
        <v>44</v>
      </c>
      <c r="C98"/>
      <c r="D98"/>
      <c r="E98" t="s">
        <v>133</v>
      </c>
      <c r="F98"/>
      <c r="G98" t="s">
        <v>113</v>
      </c>
      <c r="H98"/>
      <c r="I98" s="155">
        <v>46301.37641203704</v>
      </c>
      <c r="J98" t="s">
        <v>531</v>
      </c>
      <c r="K98" t="s">
        <v>388</v>
      </c>
      <c r="L98" s="154">
        <v>46299</v>
      </c>
      <c r="M98" t="s">
        <v>530</v>
      </c>
      <c r="N98" t="s">
        <v>178</v>
      </c>
      <c r="O98" t="s">
        <v>179</v>
      </c>
      <c r="P98">
        <v>3</v>
      </c>
      <c r="Q98" t="s">
        <v>194</v>
      </c>
    </row>
    <row r="99" spans="1:17" s="3" customFormat="1" hidden="1">
      <c r="A99" s="82">
        <v>4.9655646527777784E-2</v>
      </c>
      <c r="B99" t="s">
        <v>44</v>
      </c>
      <c r="C99"/>
      <c r="D99"/>
      <c r="E99" t="s">
        <v>62</v>
      </c>
      <c r="F99"/>
      <c r="G99" t="s">
        <v>113</v>
      </c>
      <c r="H99"/>
      <c r="I99" s="155">
        <v>46301.375810185185</v>
      </c>
      <c r="J99" t="s">
        <v>531</v>
      </c>
      <c r="K99" t="s">
        <v>388</v>
      </c>
      <c r="L99" s="154">
        <v>46299</v>
      </c>
      <c r="M99" t="s">
        <v>530</v>
      </c>
      <c r="N99" t="s">
        <v>178</v>
      </c>
      <c r="O99" t="s">
        <v>179</v>
      </c>
      <c r="P99">
        <v>3</v>
      </c>
      <c r="Q99" t="s">
        <v>194</v>
      </c>
    </row>
    <row r="100" spans="1:17" s="3" customFormat="1" hidden="1">
      <c r="A100" s="82">
        <v>4.9632509108796304E-2</v>
      </c>
      <c r="B100" t="s">
        <v>44</v>
      </c>
      <c r="C100"/>
      <c r="D100"/>
      <c r="E100" t="s">
        <v>53</v>
      </c>
      <c r="F100"/>
      <c r="G100" t="s">
        <v>113</v>
      </c>
      <c r="H100"/>
      <c r="I100" s="155">
        <v>46301.375127314815</v>
      </c>
      <c r="J100" t="s">
        <v>531</v>
      </c>
      <c r="K100" t="s">
        <v>388</v>
      </c>
      <c r="L100" s="154">
        <v>46299</v>
      </c>
      <c r="M100" t="s">
        <v>530</v>
      </c>
      <c r="N100" t="s">
        <v>178</v>
      </c>
      <c r="O100" t="s">
        <v>179</v>
      </c>
      <c r="P100">
        <v>3</v>
      </c>
      <c r="Q100" t="s">
        <v>194</v>
      </c>
    </row>
    <row r="101" spans="1:17" s="3" customFormat="1" hidden="1">
      <c r="A101" s="82">
        <v>4.9130736423611113E-2</v>
      </c>
      <c r="B101" t="s">
        <v>44</v>
      </c>
      <c r="C101"/>
      <c r="D101"/>
      <c r="E101" t="s">
        <v>37</v>
      </c>
      <c r="F101"/>
      <c r="G101" t="s">
        <v>113</v>
      </c>
      <c r="H101"/>
      <c r="I101" s="155">
        <v>46300.863935185182</v>
      </c>
      <c r="J101" t="s">
        <v>531</v>
      </c>
      <c r="K101" t="s">
        <v>388</v>
      </c>
      <c r="L101" s="154">
        <v>46299</v>
      </c>
      <c r="M101" t="s">
        <v>530</v>
      </c>
      <c r="N101" t="s">
        <v>178</v>
      </c>
      <c r="O101" t="s">
        <v>179</v>
      </c>
      <c r="P101">
        <v>3</v>
      </c>
      <c r="Q101" t="s">
        <v>194</v>
      </c>
    </row>
    <row r="102" spans="1:17" s="3" customFormat="1" hidden="1">
      <c r="A102" s="82">
        <v>4.9130736423611113E-2</v>
      </c>
      <c r="B102" t="s">
        <v>44</v>
      </c>
      <c r="C102" t="s">
        <v>497</v>
      </c>
      <c r="D102" t="s">
        <v>153</v>
      </c>
      <c r="E102" t="s">
        <v>161</v>
      </c>
      <c r="F102" t="s">
        <v>502</v>
      </c>
      <c r="G102" t="s">
        <v>113</v>
      </c>
      <c r="H102"/>
      <c r="I102" s="155">
        <v>46300.863935185182</v>
      </c>
      <c r="J102" t="s">
        <v>531</v>
      </c>
      <c r="K102" t="s">
        <v>388</v>
      </c>
      <c r="L102" s="154">
        <v>46299</v>
      </c>
      <c r="M102" t="s">
        <v>530</v>
      </c>
      <c r="N102" t="s">
        <v>178</v>
      </c>
      <c r="O102" t="s">
        <v>179</v>
      </c>
      <c r="P102">
        <v>3</v>
      </c>
      <c r="Q102" t="s">
        <v>194</v>
      </c>
    </row>
    <row r="103" spans="1:17" s="3" customFormat="1" hidden="1">
      <c r="A103" s="82">
        <v>4.9001557349537039E-2</v>
      </c>
      <c r="B103" t="s">
        <v>44</v>
      </c>
      <c r="C103" t="s">
        <v>497</v>
      </c>
      <c r="D103"/>
      <c r="E103" t="s">
        <v>57</v>
      </c>
      <c r="F103"/>
      <c r="G103" t="s">
        <v>113</v>
      </c>
      <c r="H103"/>
      <c r="I103" s="155">
        <v>46300.863680555558</v>
      </c>
      <c r="J103" t="s">
        <v>531</v>
      </c>
      <c r="K103" t="s">
        <v>388</v>
      </c>
      <c r="L103" s="154">
        <v>46299</v>
      </c>
      <c r="M103" t="s">
        <v>530</v>
      </c>
      <c r="N103" t="s">
        <v>178</v>
      </c>
      <c r="O103" t="s">
        <v>179</v>
      </c>
      <c r="P103">
        <v>3</v>
      </c>
      <c r="Q103" t="s">
        <v>194</v>
      </c>
    </row>
    <row r="104" spans="1:17" s="3" customFormat="1" hidden="1">
      <c r="A104" s="82">
        <v>4.8851130289351848E-2</v>
      </c>
      <c r="B104" t="s">
        <v>44</v>
      </c>
      <c r="C104" t="s">
        <v>549</v>
      </c>
      <c r="D104"/>
      <c r="E104" t="s">
        <v>57</v>
      </c>
      <c r="F104"/>
      <c r="G104" t="s">
        <v>113</v>
      </c>
      <c r="H104"/>
      <c r="I104" s="155">
        <v>46300.863483796296</v>
      </c>
      <c r="J104" t="s">
        <v>531</v>
      </c>
      <c r="K104" t="s">
        <v>388</v>
      </c>
      <c r="L104" s="154">
        <v>46299</v>
      </c>
      <c r="M104" t="s">
        <v>530</v>
      </c>
      <c r="N104" t="s">
        <v>178</v>
      </c>
      <c r="O104" t="s">
        <v>179</v>
      </c>
      <c r="P104">
        <v>3</v>
      </c>
      <c r="Q104" t="s">
        <v>194</v>
      </c>
    </row>
    <row r="105" spans="1:17" s="3" customFormat="1" hidden="1">
      <c r="A105" s="82">
        <v>4.882793019675926E-2</v>
      </c>
      <c r="B105" t="s">
        <v>44</v>
      </c>
      <c r="C105" t="s">
        <v>548</v>
      </c>
      <c r="D105"/>
      <c r="E105" t="s">
        <v>57</v>
      </c>
      <c r="F105"/>
      <c r="G105" t="s">
        <v>113</v>
      </c>
      <c r="H105"/>
      <c r="I105" s="155">
        <v>46300.863402777781</v>
      </c>
      <c r="J105" t="s">
        <v>531</v>
      </c>
      <c r="K105" t="s">
        <v>388</v>
      </c>
      <c r="L105" s="154">
        <v>46299</v>
      </c>
      <c r="M105" t="s">
        <v>530</v>
      </c>
      <c r="N105" t="s">
        <v>178</v>
      </c>
      <c r="O105" t="s">
        <v>179</v>
      </c>
      <c r="P105">
        <v>3</v>
      </c>
      <c r="Q105" t="s">
        <v>194</v>
      </c>
    </row>
    <row r="106" spans="1:17" s="3" customFormat="1" hidden="1">
      <c r="A106" s="82">
        <v>4.8788726932870369E-2</v>
      </c>
      <c r="B106" t="s">
        <v>44</v>
      </c>
      <c r="C106"/>
      <c r="D106"/>
      <c r="E106" t="s">
        <v>58</v>
      </c>
      <c r="F106"/>
      <c r="G106" t="s">
        <v>47</v>
      </c>
      <c r="H106"/>
      <c r="I106" s="155">
        <v>46300.863171296296</v>
      </c>
      <c r="J106" t="s">
        <v>531</v>
      </c>
      <c r="K106" t="s">
        <v>388</v>
      </c>
      <c r="L106" s="154">
        <v>46299</v>
      </c>
      <c r="M106" t="s">
        <v>530</v>
      </c>
      <c r="N106" t="s">
        <v>178</v>
      </c>
      <c r="O106" t="s">
        <v>179</v>
      </c>
      <c r="P106">
        <v>3</v>
      </c>
      <c r="Q106" t="s">
        <v>194</v>
      </c>
    </row>
    <row r="107" spans="1:17" s="3" customFormat="1" hidden="1">
      <c r="A107" s="82">
        <v>4.8715491851851846E-2</v>
      </c>
      <c r="B107" t="s">
        <v>44</v>
      </c>
      <c r="C107"/>
      <c r="D107"/>
      <c r="E107" t="s">
        <v>53</v>
      </c>
      <c r="F107"/>
      <c r="G107" t="s">
        <v>47</v>
      </c>
      <c r="H107"/>
      <c r="I107" s="155">
        <v>46300.862233796295</v>
      </c>
      <c r="J107" t="s">
        <v>531</v>
      </c>
      <c r="K107" t="s">
        <v>388</v>
      </c>
      <c r="L107" s="154">
        <v>46299</v>
      </c>
      <c r="M107" t="s">
        <v>530</v>
      </c>
      <c r="N107" t="s">
        <v>178</v>
      </c>
      <c r="O107" t="s">
        <v>179</v>
      </c>
      <c r="P107">
        <v>3</v>
      </c>
      <c r="Q107" t="s">
        <v>194</v>
      </c>
    </row>
    <row r="108" spans="1:17" s="3" customFormat="1" hidden="1">
      <c r="A108" s="82">
        <v>4.8137610011574072E-2</v>
      </c>
      <c r="B108" t="s">
        <v>44</v>
      </c>
      <c r="C108"/>
      <c r="D108"/>
      <c r="E108" t="s">
        <v>37</v>
      </c>
      <c r="F108"/>
      <c r="G108" t="s">
        <v>47</v>
      </c>
      <c r="H108"/>
      <c r="I108" s="155">
        <v>46300.862175925926</v>
      </c>
      <c r="J108" t="s">
        <v>531</v>
      </c>
      <c r="K108" t="s">
        <v>388</v>
      </c>
      <c r="L108" s="154">
        <v>46299</v>
      </c>
      <c r="M108" t="s">
        <v>530</v>
      </c>
      <c r="N108" t="s">
        <v>178</v>
      </c>
      <c r="O108" t="s">
        <v>179</v>
      </c>
      <c r="P108">
        <v>3</v>
      </c>
      <c r="Q108" t="s">
        <v>194</v>
      </c>
    </row>
    <row r="109" spans="1:17" s="3" customFormat="1" hidden="1">
      <c r="A109" s="82">
        <v>4.8094596793981481E-2</v>
      </c>
      <c r="B109" t="s">
        <v>44</v>
      </c>
      <c r="C109"/>
      <c r="D109"/>
      <c r="E109" t="s">
        <v>49</v>
      </c>
      <c r="F109"/>
      <c r="G109" t="s">
        <v>47</v>
      </c>
      <c r="H109"/>
      <c r="I109" s="155">
        <v>46300.862129629626</v>
      </c>
      <c r="J109" t="s">
        <v>531</v>
      </c>
      <c r="K109" t="s">
        <v>388</v>
      </c>
      <c r="L109" s="154">
        <v>46299</v>
      </c>
      <c r="M109" t="s">
        <v>530</v>
      </c>
      <c r="N109" t="s">
        <v>178</v>
      </c>
      <c r="O109" t="s">
        <v>179</v>
      </c>
      <c r="P109">
        <v>3</v>
      </c>
      <c r="Q109" t="s">
        <v>194</v>
      </c>
    </row>
    <row r="110" spans="1:17" s="3" customFormat="1" hidden="1">
      <c r="A110" s="82">
        <v>4.775008290509259E-2</v>
      </c>
      <c r="B110" t="s">
        <v>44</v>
      </c>
      <c r="C110"/>
      <c r="D110"/>
      <c r="E110" t="s">
        <v>37</v>
      </c>
      <c r="F110"/>
      <c r="G110" t="s">
        <v>47</v>
      </c>
      <c r="H110"/>
      <c r="I110" s="155">
        <v>46300.861805555556</v>
      </c>
      <c r="J110" t="s">
        <v>531</v>
      </c>
      <c r="K110" t="s">
        <v>388</v>
      </c>
      <c r="L110" s="154">
        <v>46299</v>
      </c>
      <c r="M110" t="s">
        <v>530</v>
      </c>
      <c r="N110" t="s">
        <v>178</v>
      </c>
      <c r="O110" t="s">
        <v>179</v>
      </c>
      <c r="P110">
        <v>3</v>
      </c>
      <c r="Q110" t="s">
        <v>194</v>
      </c>
    </row>
    <row r="111" spans="1:17" s="3" customFormat="1" hidden="1">
      <c r="A111" s="82">
        <v>4.7825620300925922E-2</v>
      </c>
      <c r="B111" t="s">
        <v>44</v>
      </c>
      <c r="C111"/>
      <c r="D111"/>
      <c r="E111" t="s">
        <v>221</v>
      </c>
      <c r="F111"/>
      <c r="G111" t="s">
        <v>113</v>
      </c>
      <c r="H111"/>
      <c r="I111" s="155">
        <v>46300.861759259256</v>
      </c>
      <c r="J111" t="s">
        <v>531</v>
      </c>
      <c r="K111" t="s">
        <v>388</v>
      </c>
      <c r="L111" s="154">
        <v>46299</v>
      </c>
      <c r="M111" t="s">
        <v>530</v>
      </c>
      <c r="N111" t="s">
        <v>178</v>
      </c>
      <c r="O111" t="s">
        <v>179</v>
      </c>
      <c r="P111">
        <v>3</v>
      </c>
      <c r="Q111" t="s">
        <v>194</v>
      </c>
    </row>
    <row r="112" spans="1:17" s="3" customFormat="1" hidden="1">
      <c r="A112" s="82">
        <v>4.7707569675925925E-2</v>
      </c>
      <c r="B112" t="s">
        <v>44</v>
      </c>
      <c r="C112"/>
      <c r="D112"/>
      <c r="E112" t="s">
        <v>53</v>
      </c>
      <c r="F112"/>
      <c r="G112" t="s">
        <v>113</v>
      </c>
      <c r="H112"/>
      <c r="I112" s="155">
        <v>46300.861226851855</v>
      </c>
      <c r="J112" t="s">
        <v>531</v>
      </c>
      <c r="K112" t="s">
        <v>388</v>
      </c>
      <c r="L112" s="154">
        <v>46299</v>
      </c>
      <c r="M112" t="s">
        <v>530</v>
      </c>
      <c r="N112" t="s">
        <v>178</v>
      </c>
      <c r="O112" t="s">
        <v>179</v>
      </c>
      <c r="P112">
        <v>3</v>
      </c>
      <c r="Q112" t="s">
        <v>194</v>
      </c>
    </row>
    <row r="113" spans="1:17" s="3" customFormat="1" hidden="1">
      <c r="A113" s="82">
        <v>4.7500329328703704E-2</v>
      </c>
      <c r="B113" t="s">
        <v>44</v>
      </c>
      <c r="C113"/>
      <c r="D113"/>
      <c r="E113" t="s">
        <v>37</v>
      </c>
      <c r="F113"/>
      <c r="G113" t="s">
        <v>113</v>
      </c>
      <c r="H113"/>
      <c r="I113" s="155">
        <v>46300.861018518517</v>
      </c>
      <c r="J113" t="s">
        <v>531</v>
      </c>
      <c r="K113" t="s">
        <v>388</v>
      </c>
      <c r="L113" s="154">
        <v>46299</v>
      </c>
      <c r="M113" t="s">
        <v>530</v>
      </c>
      <c r="N113" t="s">
        <v>178</v>
      </c>
      <c r="O113" t="s">
        <v>179</v>
      </c>
      <c r="P113">
        <v>3</v>
      </c>
      <c r="Q113" t="s">
        <v>194</v>
      </c>
    </row>
    <row r="114" spans="1:17" s="3" customFormat="1" hidden="1">
      <c r="A114" s="82">
        <v>4.7395772974537037E-2</v>
      </c>
      <c r="B114" t="s">
        <v>44</v>
      </c>
      <c r="C114"/>
      <c r="D114"/>
      <c r="E114" t="s">
        <v>49</v>
      </c>
      <c r="F114"/>
      <c r="G114" t="s">
        <v>113</v>
      </c>
      <c r="H114"/>
      <c r="I114" s="155">
        <v>46300.860914351855</v>
      </c>
      <c r="J114" t="s">
        <v>531</v>
      </c>
      <c r="K114" t="s">
        <v>388</v>
      </c>
      <c r="L114" s="154">
        <v>46299</v>
      </c>
      <c r="M114" t="s">
        <v>530</v>
      </c>
      <c r="N114" t="s">
        <v>178</v>
      </c>
      <c r="O114" t="s">
        <v>179</v>
      </c>
      <c r="P114">
        <v>3</v>
      </c>
      <c r="Q114" t="s">
        <v>194</v>
      </c>
    </row>
    <row r="115" spans="1:17" s="3" customFormat="1" hidden="1">
      <c r="A115" s="82">
        <v>4.7003853877314816E-2</v>
      </c>
      <c r="B115" t="s">
        <v>44</v>
      </c>
      <c r="C115" t="s">
        <v>542</v>
      </c>
      <c r="D115"/>
      <c r="E115" t="s">
        <v>64</v>
      </c>
      <c r="F115"/>
      <c r="G115" t="s">
        <v>47</v>
      </c>
      <c r="H115"/>
      <c r="I115" s="155">
        <v>46300.859409722223</v>
      </c>
      <c r="J115" t="s">
        <v>531</v>
      </c>
      <c r="K115" t="s">
        <v>388</v>
      </c>
      <c r="L115" s="154">
        <v>46299</v>
      </c>
      <c r="M115" t="s">
        <v>530</v>
      </c>
      <c r="N115" t="s">
        <v>178</v>
      </c>
      <c r="O115" t="s">
        <v>179</v>
      </c>
      <c r="P115">
        <v>3</v>
      </c>
      <c r="Q115" t="s">
        <v>194</v>
      </c>
    </row>
    <row r="116" spans="1:17" s="3" customFormat="1" hidden="1">
      <c r="A116" s="82">
        <v>4.6348561099537035E-2</v>
      </c>
      <c r="B116" t="s">
        <v>44</v>
      </c>
      <c r="C116"/>
      <c r="D116"/>
      <c r="E116" t="s">
        <v>37</v>
      </c>
      <c r="F116"/>
      <c r="G116" t="s">
        <v>113</v>
      </c>
      <c r="H116"/>
      <c r="I116" s="155">
        <v>46300.859178240738</v>
      </c>
      <c r="J116" t="s">
        <v>531</v>
      </c>
      <c r="K116" t="s">
        <v>388</v>
      </c>
      <c r="L116" s="154">
        <v>46299</v>
      </c>
      <c r="M116" t="s">
        <v>530</v>
      </c>
      <c r="N116" t="s">
        <v>178</v>
      </c>
      <c r="O116" t="s">
        <v>179</v>
      </c>
      <c r="P116">
        <v>3</v>
      </c>
      <c r="Q116" t="s">
        <v>194</v>
      </c>
    </row>
    <row r="117" spans="1:17" s="3" customFormat="1" hidden="1">
      <c r="A117" s="82">
        <v>4.6348561099537035E-2</v>
      </c>
      <c r="B117" t="s">
        <v>44</v>
      </c>
      <c r="C117" t="s">
        <v>543</v>
      </c>
      <c r="D117"/>
      <c r="E117" t="s">
        <v>52</v>
      </c>
      <c r="F117"/>
      <c r="G117" t="s">
        <v>47</v>
      </c>
      <c r="H117"/>
      <c r="I117" s="155">
        <v>46300.859178240738</v>
      </c>
      <c r="J117" t="s">
        <v>531</v>
      </c>
      <c r="K117" t="s">
        <v>388</v>
      </c>
      <c r="L117" s="154">
        <v>46299</v>
      </c>
      <c r="M117" t="s">
        <v>530</v>
      </c>
      <c r="N117" t="s">
        <v>178</v>
      </c>
      <c r="O117" t="s">
        <v>179</v>
      </c>
      <c r="P117">
        <v>3</v>
      </c>
      <c r="Q117" t="s">
        <v>194</v>
      </c>
    </row>
    <row r="118" spans="1:17" s="3" customFormat="1" hidden="1">
      <c r="A118" s="82">
        <v>4.6315894594907404E-2</v>
      </c>
      <c r="B118" t="s">
        <v>44</v>
      </c>
      <c r="C118"/>
      <c r="D118"/>
      <c r="E118" t="s">
        <v>225</v>
      </c>
      <c r="F118"/>
      <c r="G118" t="s">
        <v>47</v>
      </c>
      <c r="H118"/>
      <c r="I118" s="155">
        <v>46300.859120370369</v>
      </c>
      <c r="J118" t="s">
        <v>531</v>
      </c>
      <c r="K118" t="s">
        <v>388</v>
      </c>
      <c r="L118" s="154">
        <v>46299</v>
      </c>
      <c r="M118" t="s">
        <v>530</v>
      </c>
      <c r="N118" t="s">
        <v>178</v>
      </c>
      <c r="O118" t="s">
        <v>179</v>
      </c>
      <c r="P118">
        <v>3</v>
      </c>
      <c r="Q118" t="s">
        <v>194</v>
      </c>
    </row>
    <row r="119" spans="1:17" s="3" customFormat="1" hidden="1">
      <c r="A119" s="82">
        <v>4.6237757685185184E-2</v>
      </c>
      <c r="B119" t="s">
        <v>44</v>
      </c>
      <c r="C119"/>
      <c r="D119"/>
      <c r="E119" t="s">
        <v>54</v>
      </c>
      <c r="F119"/>
      <c r="G119" t="s">
        <v>47</v>
      </c>
      <c r="H119"/>
      <c r="I119" s="155">
        <v>46300.858541666668</v>
      </c>
      <c r="J119" t="s">
        <v>531</v>
      </c>
      <c r="K119" t="s">
        <v>388</v>
      </c>
      <c r="L119" s="154">
        <v>46299</v>
      </c>
      <c r="M119" t="s">
        <v>530</v>
      </c>
      <c r="N119" t="s">
        <v>178</v>
      </c>
      <c r="O119" t="s">
        <v>179</v>
      </c>
      <c r="P119">
        <v>3</v>
      </c>
      <c r="Q119" t="s">
        <v>194</v>
      </c>
    </row>
    <row r="120" spans="1:17" s="3" customFormat="1" hidden="1">
      <c r="A120" s="82">
        <v>4.527907630787037E-2</v>
      </c>
      <c r="B120" t="s">
        <v>44</v>
      </c>
      <c r="C120"/>
      <c r="D120"/>
      <c r="E120" t="s">
        <v>37</v>
      </c>
      <c r="F120"/>
      <c r="G120" t="s">
        <v>47</v>
      </c>
      <c r="H120"/>
      <c r="I120" s="155">
        <v>46300.858449074076</v>
      </c>
      <c r="J120" t="s">
        <v>531</v>
      </c>
      <c r="K120" t="s">
        <v>388</v>
      </c>
      <c r="L120" s="154">
        <v>46299</v>
      </c>
      <c r="M120" t="s">
        <v>530</v>
      </c>
      <c r="N120" t="s">
        <v>178</v>
      </c>
      <c r="O120" t="s">
        <v>179</v>
      </c>
      <c r="P120">
        <v>3</v>
      </c>
      <c r="Q120" t="s">
        <v>194</v>
      </c>
    </row>
    <row r="121" spans="1:17" s="3" customFormat="1" hidden="1">
      <c r="A121" s="82">
        <v>4.527907630787037E-2</v>
      </c>
      <c r="B121" t="s">
        <v>44</v>
      </c>
      <c r="C121"/>
      <c r="D121"/>
      <c r="E121" t="s">
        <v>160</v>
      </c>
      <c r="F121" t="s">
        <v>501</v>
      </c>
      <c r="G121" t="s">
        <v>47</v>
      </c>
      <c r="H121"/>
      <c r="I121" s="155">
        <v>46300.858449074076</v>
      </c>
      <c r="J121" t="s">
        <v>531</v>
      </c>
      <c r="K121" t="s">
        <v>388</v>
      </c>
      <c r="L121" s="154">
        <v>46299</v>
      </c>
      <c r="M121" t="s">
        <v>530</v>
      </c>
      <c r="N121" t="s">
        <v>178</v>
      </c>
      <c r="O121" t="s">
        <v>179</v>
      </c>
      <c r="P121">
        <v>3</v>
      </c>
      <c r="Q121" t="s">
        <v>194</v>
      </c>
    </row>
    <row r="122" spans="1:17" s="3" customFormat="1" hidden="1">
      <c r="A122" s="82">
        <v>4.5225012418981483E-2</v>
      </c>
      <c r="B122" t="s">
        <v>44</v>
      </c>
      <c r="C122" t="s">
        <v>544</v>
      </c>
      <c r="D122"/>
      <c r="E122" t="s">
        <v>57</v>
      </c>
      <c r="F122"/>
      <c r="G122" t="s">
        <v>113</v>
      </c>
      <c r="H122"/>
      <c r="I122" s="155">
        <v>46300.85701388889</v>
      </c>
      <c r="J122" t="s">
        <v>531</v>
      </c>
      <c r="K122" t="s">
        <v>388</v>
      </c>
      <c r="L122" s="154">
        <v>46299</v>
      </c>
      <c r="M122" t="s">
        <v>530</v>
      </c>
      <c r="N122" t="s">
        <v>178</v>
      </c>
      <c r="O122" t="s">
        <v>179</v>
      </c>
      <c r="P122">
        <v>3</v>
      </c>
      <c r="Q122" t="s">
        <v>194</v>
      </c>
    </row>
    <row r="123" spans="1:17" s="3" customFormat="1" hidden="1">
      <c r="A123" s="82">
        <v>4.5182670335648149E-2</v>
      </c>
      <c r="B123" t="s">
        <v>44</v>
      </c>
      <c r="C123"/>
      <c r="D123"/>
      <c r="E123" t="s">
        <v>137</v>
      </c>
      <c r="F123"/>
      <c r="G123" t="s">
        <v>113</v>
      </c>
      <c r="H123"/>
      <c r="I123" s="155">
        <v>46300.856770833336</v>
      </c>
      <c r="J123" t="s">
        <v>531</v>
      </c>
      <c r="K123" t="s">
        <v>388</v>
      </c>
      <c r="L123" s="154">
        <v>46299</v>
      </c>
      <c r="M123" t="s">
        <v>530</v>
      </c>
      <c r="N123" t="s">
        <v>178</v>
      </c>
      <c r="O123" t="s">
        <v>179</v>
      </c>
      <c r="P123">
        <v>3</v>
      </c>
      <c r="Q123" t="s">
        <v>194</v>
      </c>
    </row>
    <row r="124" spans="1:17" s="3" customFormat="1" hidden="1">
      <c r="A124" s="82">
        <v>4.5182670335648149E-2</v>
      </c>
      <c r="B124" t="s">
        <v>44</v>
      </c>
      <c r="C124"/>
      <c r="D124"/>
      <c r="E124" t="s">
        <v>133</v>
      </c>
      <c r="F124"/>
      <c r="G124" t="s">
        <v>47</v>
      </c>
      <c r="H124"/>
      <c r="I124" s="155">
        <v>46300.856736111113</v>
      </c>
      <c r="J124" t="s">
        <v>531</v>
      </c>
      <c r="K124" t="s">
        <v>388</v>
      </c>
      <c r="L124" s="154">
        <v>46299</v>
      </c>
      <c r="M124" t="s">
        <v>530</v>
      </c>
      <c r="N124" t="s">
        <v>178</v>
      </c>
      <c r="O124" t="s">
        <v>179</v>
      </c>
      <c r="P124">
        <v>3</v>
      </c>
      <c r="Q124" t="s">
        <v>194</v>
      </c>
    </row>
    <row r="125" spans="1:17" s="3" customFormat="1" hidden="1">
      <c r="A125" s="82">
        <v>4.5182670335648149E-2</v>
      </c>
      <c r="B125" t="s">
        <v>44</v>
      </c>
      <c r="C125"/>
      <c r="D125"/>
      <c r="E125" t="s">
        <v>49</v>
      </c>
      <c r="F125"/>
      <c r="G125" t="s">
        <v>47</v>
      </c>
      <c r="H125"/>
      <c r="I125" s="155">
        <v>46300.856712962966</v>
      </c>
      <c r="J125" t="s">
        <v>531</v>
      </c>
      <c r="K125" t="s">
        <v>388</v>
      </c>
      <c r="L125" s="154">
        <v>46299</v>
      </c>
      <c r="M125" t="s">
        <v>530</v>
      </c>
      <c r="N125" t="s">
        <v>178</v>
      </c>
      <c r="O125" t="s">
        <v>179</v>
      </c>
      <c r="P125">
        <v>3</v>
      </c>
      <c r="Q125" t="s">
        <v>194</v>
      </c>
    </row>
    <row r="126" spans="1:17" s="3" customFormat="1" hidden="1">
      <c r="A126" s="82">
        <v>4.442267777777778E-2</v>
      </c>
      <c r="B126" t="s">
        <v>44</v>
      </c>
      <c r="C126"/>
      <c r="D126"/>
      <c r="E126" t="s">
        <v>37</v>
      </c>
      <c r="F126"/>
      <c r="G126" t="s">
        <v>47</v>
      </c>
      <c r="H126"/>
      <c r="I126" s="155">
        <v>46300.85633101852</v>
      </c>
      <c r="J126" t="s">
        <v>531</v>
      </c>
      <c r="K126" t="s">
        <v>388</v>
      </c>
      <c r="L126" s="154">
        <v>46299</v>
      </c>
      <c r="M126" t="s">
        <v>530</v>
      </c>
      <c r="N126" t="s">
        <v>178</v>
      </c>
      <c r="O126" t="s">
        <v>179</v>
      </c>
      <c r="P126">
        <v>3</v>
      </c>
      <c r="Q126" t="s">
        <v>194</v>
      </c>
    </row>
    <row r="127" spans="1:17" s="3" customFormat="1" hidden="1">
      <c r="A127" s="82">
        <v>4.442267777777778E-2</v>
      </c>
      <c r="B127" t="s">
        <v>44</v>
      </c>
      <c r="C127"/>
      <c r="D127"/>
      <c r="E127" t="s">
        <v>160</v>
      </c>
      <c r="F127" t="s">
        <v>502</v>
      </c>
      <c r="G127" t="s">
        <v>47</v>
      </c>
      <c r="H127"/>
      <c r="I127" s="155">
        <v>46300.85633101852</v>
      </c>
      <c r="J127" t="s">
        <v>531</v>
      </c>
      <c r="K127" t="s">
        <v>388</v>
      </c>
      <c r="L127" s="154">
        <v>46299</v>
      </c>
      <c r="M127" t="s">
        <v>530</v>
      </c>
      <c r="N127" t="s">
        <v>178</v>
      </c>
      <c r="O127" t="s">
        <v>179</v>
      </c>
      <c r="P127">
        <v>3</v>
      </c>
      <c r="Q127" t="s">
        <v>194</v>
      </c>
    </row>
    <row r="128" spans="1:17" s="3" customFormat="1" hidden="1">
      <c r="A128" s="82">
        <v>4.4283702615740744E-2</v>
      </c>
      <c r="B128" t="s">
        <v>44</v>
      </c>
      <c r="C128" t="s">
        <v>544</v>
      </c>
      <c r="D128"/>
      <c r="E128" t="s">
        <v>407</v>
      </c>
      <c r="F128"/>
      <c r="G128" t="s">
        <v>47</v>
      </c>
      <c r="H128"/>
      <c r="I128" s="155">
        <v>46300.856111111112</v>
      </c>
      <c r="J128" t="s">
        <v>531</v>
      </c>
      <c r="K128" t="s">
        <v>388</v>
      </c>
      <c r="L128" s="154">
        <v>46299</v>
      </c>
      <c r="M128" t="s">
        <v>530</v>
      </c>
      <c r="N128" t="s">
        <v>178</v>
      </c>
      <c r="O128" t="s">
        <v>179</v>
      </c>
      <c r="P128">
        <v>3</v>
      </c>
      <c r="Q128" t="s">
        <v>194</v>
      </c>
    </row>
    <row r="129" spans="1:17" s="3" customFormat="1" hidden="1">
      <c r="A129" s="82">
        <v>4.4168040266203704E-2</v>
      </c>
      <c r="B129" t="s">
        <v>44</v>
      </c>
      <c r="C129" t="s">
        <v>536</v>
      </c>
      <c r="D129"/>
      <c r="E129" t="s">
        <v>407</v>
      </c>
      <c r="F129"/>
      <c r="G129" t="s">
        <v>47</v>
      </c>
      <c r="H129"/>
      <c r="I129" s="155">
        <v>46300.855914351851</v>
      </c>
      <c r="J129" t="s">
        <v>531</v>
      </c>
      <c r="K129" t="s">
        <v>388</v>
      </c>
      <c r="L129" s="154">
        <v>46299</v>
      </c>
      <c r="M129" t="s">
        <v>530</v>
      </c>
      <c r="N129" t="s">
        <v>178</v>
      </c>
      <c r="O129" t="s">
        <v>179</v>
      </c>
      <c r="P129">
        <v>3</v>
      </c>
      <c r="Q129" t="s">
        <v>194</v>
      </c>
    </row>
    <row r="130" spans="1:17" s="3" customFormat="1" hidden="1">
      <c r="A130" s="82">
        <v>4.4056238414351849E-2</v>
      </c>
      <c r="B130" t="s">
        <v>44</v>
      </c>
      <c r="C130" t="s">
        <v>497</v>
      </c>
      <c r="D130"/>
      <c r="E130" t="s">
        <v>406</v>
      </c>
      <c r="F130"/>
      <c r="G130" t="s">
        <v>47</v>
      </c>
      <c r="H130"/>
      <c r="I130" s="155">
        <v>46300.855439814812</v>
      </c>
      <c r="J130" t="s">
        <v>531</v>
      </c>
      <c r="K130" t="s">
        <v>388</v>
      </c>
      <c r="L130" s="154">
        <v>46299</v>
      </c>
      <c r="M130" t="s">
        <v>530</v>
      </c>
      <c r="N130" t="s">
        <v>178</v>
      </c>
      <c r="O130" t="s">
        <v>179</v>
      </c>
      <c r="P130">
        <v>3</v>
      </c>
      <c r="Q130" t="s">
        <v>194</v>
      </c>
    </row>
    <row r="131" spans="1:17" s="3" customFormat="1" hidden="1">
      <c r="A131" s="82">
        <v>4.3963513587962959E-2</v>
      </c>
      <c r="B131" t="s">
        <v>44</v>
      </c>
      <c r="C131" t="s">
        <v>547</v>
      </c>
      <c r="D131"/>
      <c r="E131" t="s">
        <v>406</v>
      </c>
      <c r="F131"/>
      <c r="G131" t="s">
        <v>47</v>
      </c>
      <c r="H131"/>
      <c r="I131" s="155">
        <v>46300.85527777778</v>
      </c>
      <c r="J131" t="s">
        <v>531</v>
      </c>
      <c r="K131" t="s">
        <v>388</v>
      </c>
      <c r="L131" s="154">
        <v>46299</v>
      </c>
      <c r="M131" t="s">
        <v>530</v>
      </c>
      <c r="N131" t="s">
        <v>178</v>
      </c>
      <c r="O131" t="s">
        <v>179</v>
      </c>
      <c r="P131">
        <v>3</v>
      </c>
      <c r="Q131" t="s">
        <v>194</v>
      </c>
    </row>
    <row r="132" spans="1:17" s="3" customFormat="1" hidden="1">
      <c r="A132" s="82">
        <v>4.3963513587962959E-2</v>
      </c>
      <c r="B132" t="s">
        <v>44</v>
      </c>
      <c r="C132" t="s">
        <v>483</v>
      </c>
      <c r="D132"/>
      <c r="E132" t="s">
        <v>406</v>
      </c>
      <c r="F132"/>
      <c r="G132" t="s">
        <v>47</v>
      </c>
      <c r="H132"/>
      <c r="I132" s="155">
        <v>46300.855254629627</v>
      </c>
      <c r="J132" t="s">
        <v>531</v>
      </c>
      <c r="K132" t="s">
        <v>388</v>
      </c>
      <c r="L132" s="154">
        <v>46299</v>
      </c>
      <c r="M132" t="s">
        <v>530</v>
      </c>
      <c r="N132" t="s">
        <v>178</v>
      </c>
      <c r="O132" t="s">
        <v>179</v>
      </c>
      <c r="P132">
        <v>3</v>
      </c>
      <c r="Q132" t="s">
        <v>194</v>
      </c>
    </row>
    <row r="133" spans="1:17" s="3" customFormat="1" hidden="1">
      <c r="A133" s="82">
        <v>4.3905663148148144E-2</v>
      </c>
      <c r="B133" t="s">
        <v>44</v>
      </c>
      <c r="C133"/>
      <c r="D133"/>
      <c r="E133" t="s">
        <v>135</v>
      </c>
      <c r="F133"/>
      <c r="G133" t="s">
        <v>47</v>
      </c>
      <c r="H133"/>
      <c r="I133" s="155">
        <v>46300.855023148149</v>
      </c>
      <c r="J133" t="s">
        <v>531</v>
      </c>
      <c r="K133" t="s">
        <v>388</v>
      </c>
      <c r="L133" s="154">
        <v>46299</v>
      </c>
      <c r="M133" t="s">
        <v>530</v>
      </c>
      <c r="N133" t="s">
        <v>178</v>
      </c>
      <c r="O133" t="s">
        <v>179</v>
      </c>
      <c r="P133">
        <v>3</v>
      </c>
      <c r="Q133" t="s">
        <v>194</v>
      </c>
    </row>
    <row r="134" spans="1:17" s="3" customFormat="1" hidden="1">
      <c r="A134" s="82">
        <v>4.384730388888889E-2</v>
      </c>
      <c r="B134" t="s">
        <v>44</v>
      </c>
      <c r="C134"/>
      <c r="D134"/>
      <c r="E134" t="s">
        <v>49</v>
      </c>
      <c r="F134"/>
      <c r="G134" t="s">
        <v>113</v>
      </c>
      <c r="H134"/>
      <c r="I134" s="155">
        <v>46300.85496527778</v>
      </c>
      <c r="J134" t="s">
        <v>531</v>
      </c>
      <c r="K134" t="s">
        <v>388</v>
      </c>
      <c r="L134" s="154">
        <v>46299</v>
      </c>
      <c r="M134" t="s">
        <v>530</v>
      </c>
      <c r="N134" t="s">
        <v>178</v>
      </c>
      <c r="O134" t="s">
        <v>179</v>
      </c>
      <c r="P134">
        <v>3</v>
      </c>
      <c r="Q134" t="s">
        <v>194</v>
      </c>
    </row>
    <row r="135" spans="1:17" s="3" customFormat="1" hidden="1">
      <c r="A135" s="82">
        <v>4.2713931666666663E-2</v>
      </c>
      <c r="B135" t="s">
        <v>44</v>
      </c>
      <c r="C135"/>
      <c r="D135"/>
      <c r="E135" t="s">
        <v>37</v>
      </c>
      <c r="F135"/>
      <c r="G135" t="s">
        <v>47</v>
      </c>
      <c r="H135"/>
      <c r="I135" s="155">
        <v>46300.853807870371</v>
      </c>
      <c r="J135" t="s">
        <v>531</v>
      </c>
      <c r="K135" t="s">
        <v>388</v>
      </c>
      <c r="L135" s="154">
        <v>46299</v>
      </c>
      <c r="M135" t="s">
        <v>530</v>
      </c>
      <c r="N135" t="s">
        <v>178</v>
      </c>
      <c r="O135" t="s">
        <v>179</v>
      </c>
      <c r="P135">
        <v>3</v>
      </c>
      <c r="Q135" t="s">
        <v>194</v>
      </c>
    </row>
    <row r="136" spans="1:17" s="3" customFormat="1" hidden="1">
      <c r="A136" s="82">
        <v>4.2713931666666663E-2</v>
      </c>
      <c r="B136" t="s">
        <v>44</v>
      </c>
      <c r="C136"/>
      <c r="D136"/>
      <c r="E136" t="s">
        <v>160</v>
      </c>
      <c r="F136" t="s">
        <v>504</v>
      </c>
      <c r="G136" t="s">
        <v>47</v>
      </c>
      <c r="H136"/>
      <c r="I136" s="155">
        <v>46300.853807870371</v>
      </c>
      <c r="J136" t="s">
        <v>531</v>
      </c>
      <c r="K136" t="s">
        <v>388</v>
      </c>
      <c r="L136" s="154">
        <v>46299</v>
      </c>
      <c r="M136" t="s">
        <v>530</v>
      </c>
      <c r="N136" t="s">
        <v>178</v>
      </c>
      <c r="O136" t="s">
        <v>179</v>
      </c>
      <c r="P136">
        <v>3</v>
      </c>
      <c r="Q136" t="s">
        <v>194</v>
      </c>
    </row>
    <row r="137" spans="1:17" s="3" customFormat="1" hidden="1">
      <c r="A137" s="82">
        <v>4.262577708333333E-2</v>
      </c>
      <c r="B137" t="s">
        <v>44</v>
      </c>
      <c r="C137" t="s">
        <v>534</v>
      </c>
      <c r="D137"/>
      <c r="E137" t="s">
        <v>406</v>
      </c>
      <c r="F137"/>
      <c r="G137" t="s">
        <v>47</v>
      </c>
      <c r="H137"/>
      <c r="I137" s="155">
        <v>46300.853634259256</v>
      </c>
      <c r="J137" t="s">
        <v>531</v>
      </c>
      <c r="K137" t="s">
        <v>388</v>
      </c>
      <c r="L137" s="154">
        <v>46299</v>
      </c>
      <c r="M137" t="s">
        <v>530</v>
      </c>
      <c r="N137" t="s">
        <v>178</v>
      </c>
      <c r="O137" t="s">
        <v>179</v>
      </c>
      <c r="P137">
        <v>3</v>
      </c>
      <c r="Q137" t="s">
        <v>194</v>
      </c>
    </row>
    <row r="138" spans="1:17" s="3" customFormat="1" hidden="1">
      <c r="A138" s="82">
        <v>4.2535708854166666E-2</v>
      </c>
      <c r="B138" t="s">
        <v>44</v>
      </c>
      <c r="C138" t="s">
        <v>539</v>
      </c>
      <c r="D138"/>
      <c r="E138" t="s">
        <v>406</v>
      </c>
      <c r="F138"/>
      <c r="G138" t="s">
        <v>47</v>
      </c>
      <c r="H138"/>
      <c r="I138" s="155">
        <v>46300.85297453704</v>
      </c>
      <c r="J138" t="s">
        <v>531</v>
      </c>
      <c r="K138" t="s">
        <v>388</v>
      </c>
      <c r="L138" s="154">
        <v>46299</v>
      </c>
      <c r="M138" t="s">
        <v>530</v>
      </c>
      <c r="N138" t="s">
        <v>178</v>
      </c>
      <c r="O138" t="s">
        <v>179</v>
      </c>
      <c r="P138">
        <v>3</v>
      </c>
      <c r="Q138" t="s">
        <v>194</v>
      </c>
    </row>
    <row r="139" spans="1:17" s="3" customFormat="1" hidden="1">
      <c r="A139" s="82">
        <v>4.2490726412037036E-2</v>
      </c>
      <c r="B139" t="s">
        <v>44</v>
      </c>
      <c r="C139"/>
      <c r="D139"/>
      <c r="E139" t="s">
        <v>50</v>
      </c>
      <c r="F139"/>
      <c r="G139" t="s">
        <v>47</v>
      </c>
      <c r="H139"/>
      <c r="I139" s="155">
        <v>46300.852893518517</v>
      </c>
      <c r="J139" t="s">
        <v>531</v>
      </c>
      <c r="K139" t="s">
        <v>388</v>
      </c>
      <c r="L139" s="154">
        <v>46299</v>
      </c>
      <c r="M139" t="s">
        <v>530</v>
      </c>
      <c r="N139" t="s">
        <v>178</v>
      </c>
      <c r="O139" t="s">
        <v>179</v>
      </c>
      <c r="P139">
        <v>3</v>
      </c>
      <c r="Q139" t="s">
        <v>194</v>
      </c>
    </row>
    <row r="140" spans="1:17" s="3" customFormat="1" hidden="1">
      <c r="A140" s="82">
        <v>4.2200920856481479E-2</v>
      </c>
      <c r="B140" t="s">
        <v>44</v>
      </c>
      <c r="C140"/>
      <c r="D140"/>
      <c r="E140" t="s">
        <v>37</v>
      </c>
      <c r="F140"/>
      <c r="G140" t="s">
        <v>113</v>
      </c>
      <c r="H140"/>
      <c r="I140" s="155">
        <v>46300.852766203701</v>
      </c>
      <c r="J140" t="s">
        <v>531</v>
      </c>
      <c r="K140" t="s">
        <v>388</v>
      </c>
      <c r="L140" s="154">
        <v>46299</v>
      </c>
      <c r="M140" t="s">
        <v>530</v>
      </c>
      <c r="N140" t="s">
        <v>178</v>
      </c>
      <c r="O140" t="s">
        <v>179</v>
      </c>
      <c r="P140">
        <v>3</v>
      </c>
      <c r="Q140" t="s">
        <v>194</v>
      </c>
    </row>
    <row r="141" spans="1:17" s="3" customFormat="1" hidden="1">
      <c r="A141" s="82">
        <v>4.2351832800925929E-2</v>
      </c>
      <c r="B141" t="s">
        <v>44</v>
      </c>
      <c r="C141"/>
      <c r="D141"/>
      <c r="E141" t="s">
        <v>221</v>
      </c>
      <c r="F141"/>
      <c r="G141" t="s">
        <v>47</v>
      </c>
      <c r="H141"/>
      <c r="I141" s="155">
        <v>46300.852442129632</v>
      </c>
      <c r="J141" t="s">
        <v>531</v>
      </c>
      <c r="K141" t="s">
        <v>388</v>
      </c>
      <c r="L141" s="154">
        <v>46299</v>
      </c>
      <c r="M141" t="s">
        <v>530</v>
      </c>
      <c r="N141" t="s">
        <v>178</v>
      </c>
      <c r="O141" t="s">
        <v>179</v>
      </c>
      <c r="P141">
        <v>3</v>
      </c>
      <c r="Q141" t="s">
        <v>194</v>
      </c>
    </row>
    <row r="142" spans="1:17" s="3" customFormat="1" hidden="1">
      <c r="A142" s="82">
        <v>4.2254158958333329E-2</v>
      </c>
      <c r="B142" t="s">
        <v>44</v>
      </c>
      <c r="C142"/>
      <c r="D142"/>
      <c r="E142" t="s">
        <v>490</v>
      </c>
      <c r="F142" t="s">
        <v>596</v>
      </c>
      <c r="G142" t="s">
        <v>47</v>
      </c>
      <c r="H142"/>
      <c r="I142" s="155">
        <v>46300.851400462961</v>
      </c>
      <c r="J142" t="s">
        <v>531</v>
      </c>
      <c r="K142" t="s">
        <v>388</v>
      </c>
      <c r="L142" s="154">
        <v>46299</v>
      </c>
      <c r="M142" t="s">
        <v>530</v>
      </c>
      <c r="N142" t="s">
        <v>178</v>
      </c>
      <c r="O142" t="s">
        <v>179</v>
      </c>
      <c r="P142">
        <v>3</v>
      </c>
      <c r="Q142" t="s">
        <v>194</v>
      </c>
    </row>
    <row r="143" spans="1:17" s="3" customFormat="1" hidden="1">
      <c r="A143" s="82">
        <v>4.2112981666666667E-2</v>
      </c>
      <c r="B143" t="s">
        <v>44</v>
      </c>
      <c r="C143"/>
      <c r="D143"/>
      <c r="E143" t="s">
        <v>53</v>
      </c>
      <c r="F143"/>
      <c r="G143" t="s">
        <v>113</v>
      </c>
      <c r="H143"/>
      <c r="I143" s="155">
        <v>46300.851122685184</v>
      </c>
      <c r="J143" t="s">
        <v>531</v>
      </c>
      <c r="K143" t="s">
        <v>388</v>
      </c>
      <c r="L143" s="154">
        <v>46299</v>
      </c>
      <c r="M143" t="s">
        <v>530</v>
      </c>
      <c r="N143" t="s">
        <v>178</v>
      </c>
      <c r="O143" t="s">
        <v>179</v>
      </c>
      <c r="P143">
        <v>3</v>
      </c>
      <c r="Q143" t="s">
        <v>194</v>
      </c>
    </row>
    <row r="144" spans="1:17" s="3" customFormat="1" hidden="1">
      <c r="A144" s="82">
        <v>4.1666749537037036E-2</v>
      </c>
      <c r="B144" t="s">
        <v>44</v>
      </c>
      <c r="C144" t="s">
        <v>541</v>
      </c>
      <c r="D144" t="s">
        <v>153</v>
      </c>
      <c r="E144" t="s">
        <v>161</v>
      </c>
      <c r="F144" t="s">
        <v>503</v>
      </c>
      <c r="G144" t="s">
        <v>113</v>
      </c>
      <c r="H144"/>
      <c r="I144" s="155">
        <v>46300.849988425929</v>
      </c>
      <c r="J144" t="s">
        <v>531</v>
      </c>
      <c r="K144" t="s">
        <v>388</v>
      </c>
      <c r="L144" s="154">
        <v>46299</v>
      </c>
      <c r="M144" t="s">
        <v>530</v>
      </c>
      <c r="N144" t="s">
        <v>178</v>
      </c>
      <c r="O144" t="s">
        <v>179</v>
      </c>
      <c r="P144">
        <v>3</v>
      </c>
      <c r="Q144" t="s">
        <v>194</v>
      </c>
    </row>
    <row r="145" spans="1:17" s="3" customFormat="1" hidden="1">
      <c r="A145" s="82">
        <v>4.1479158657407408E-2</v>
      </c>
      <c r="B145" t="s">
        <v>44</v>
      </c>
      <c r="C145" t="s">
        <v>541</v>
      </c>
      <c r="D145"/>
      <c r="E145" t="s">
        <v>260</v>
      </c>
      <c r="F145"/>
      <c r="G145" t="s">
        <v>113</v>
      </c>
      <c r="H145"/>
      <c r="I145" s="155">
        <v>46300.849606481483</v>
      </c>
      <c r="J145" t="s">
        <v>531</v>
      </c>
      <c r="K145" t="s">
        <v>388</v>
      </c>
      <c r="L145" s="154">
        <v>46299</v>
      </c>
      <c r="M145" t="s">
        <v>530</v>
      </c>
      <c r="N145" t="s">
        <v>178</v>
      </c>
      <c r="O145" t="s">
        <v>179</v>
      </c>
      <c r="P145">
        <v>3</v>
      </c>
      <c r="Q145" t="s">
        <v>194</v>
      </c>
    </row>
    <row r="146" spans="1:17" s="3" customFormat="1" hidden="1">
      <c r="A146" s="82">
        <v>4.0912649016203707E-2</v>
      </c>
      <c r="B146" t="s">
        <v>44</v>
      </c>
      <c r="C146"/>
      <c r="D146"/>
      <c r="E146" t="s">
        <v>37</v>
      </c>
      <c r="F146"/>
      <c r="G146" t="s">
        <v>113</v>
      </c>
      <c r="H146"/>
      <c r="I146" s="155">
        <v>46300.849293981482</v>
      </c>
      <c r="J146" t="s">
        <v>531</v>
      </c>
      <c r="K146" t="s">
        <v>388</v>
      </c>
      <c r="L146" s="154">
        <v>46299</v>
      </c>
      <c r="M146" t="s">
        <v>530</v>
      </c>
      <c r="N146" t="s">
        <v>178</v>
      </c>
      <c r="O146" t="s">
        <v>179</v>
      </c>
      <c r="P146">
        <v>3</v>
      </c>
      <c r="Q146" t="s">
        <v>194</v>
      </c>
    </row>
    <row r="147" spans="1:17" s="3" customFormat="1" hidden="1">
      <c r="A147" s="82">
        <v>4.0823577581018518E-2</v>
      </c>
      <c r="B147" t="s">
        <v>44</v>
      </c>
      <c r="C147" t="s">
        <v>549</v>
      </c>
      <c r="D147"/>
      <c r="E147" t="s">
        <v>57</v>
      </c>
      <c r="F147"/>
      <c r="G147" t="s">
        <v>113</v>
      </c>
      <c r="H147"/>
      <c r="I147" s="155">
        <v>46300.849143518521</v>
      </c>
      <c r="J147" t="s">
        <v>531</v>
      </c>
      <c r="K147" t="s">
        <v>388</v>
      </c>
      <c r="L147" s="154">
        <v>46299</v>
      </c>
      <c r="M147" t="s">
        <v>530</v>
      </c>
      <c r="N147" t="s">
        <v>178</v>
      </c>
      <c r="O147" t="s">
        <v>179</v>
      </c>
      <c r="P147">
        <v>3</v>
      </c>
      <c r="Q147" t="s">
        <v>194</v>
      </c>
    </row>
    <row r="148" spans="1:17" s="3" customFormat="1" hidden="1">
      <c r="A148" s="82">
        <v>4.0794676064814815E-2</v>
      </c>
      <c r="B148" t="s">
        <v>44</v>
      </c>
      <c r="C148" t="s">
        <v>32</v>
      </c>
      <c r="D148"/>
      <c r="E148" t="s">
        <v>399</v>
      </c>
      <c r="F148"/>
      <c r="G148" t="s">
        <v>47</v>
      </c>
      <c r="H148"/>
      <c r="I148" s="155">
        <v>46300.849120370367</v>
      </c>
      <c r="J148" t="s">
        <v>531</v>
      </c>
      <c r="K148" t="s">
        <v>388</v>
      </c>
      <c r="L148" s="154">
        <v>46299</v>
      </c>
      <c r="M148" t="s">
        <v>530</v>
      </c>
      <c r="N148" t="s">
        <v>178</v>
      </c>
      <c r="O148" t="s">
        <v>179</v>
      </c>
      <c r="P148">
        <v>3</v>
      </c>
      <c r="Q148" t="s">
        <v>194</v>
      </c>
    </row>
    <row r="149" spans="1:17" s="3" customFormat="1" hidden="1">
      <c r="A149" s="82">
        <v>4.0737938738425926E-2</v>
      </c>
      <c r="B149" t="s">
        <v>44</v>
      </c>
      <c r="C149" t="s">
        <v>541</v>
      </c>
      <c r="D149"/>
      <c r="E149" t="s">
        <v>407</v>
      </c>
      <c r="F149"/>
      <c r="G149" t="s">
        <v>47</v>
      </c>
      <c r="H149"/>
      <c r="I149" s="155">
        <v>46300.848749999997</v>
      </c>
      <c r="J149" t="s">
        <v>531</v>
      </c>
      <c r="K149" t="s">
        <v>388</v>
      </c>
      <c r="L149" s="154">
        <v>46299</v>
      </c>
      <c r="M149" t="s">
        <v>530</v>
      </c>
      <c r="N149" t="s">
        <v>178</v>
      </c>
      <c r="O149" t="s">
        <v>179</v>
      </c>
      <c r="P149">
        <v>3</v>
      </c>
      <c r="Q149" t="s">
        <v>194</v>
      </c>
    </row>
    <row r="150" spans="1:17" s="3" customFormat="1" hidden="1">
      <c r="A150" s="82">
        <v>4.0668567824074076E-2</v>
      </c>
      <c r="B150" t="s">
        <v>44</v>
      </c>
      <c r="C150"/>
      <c r="D150"/>
      <c r="E150" t="s">
        <v>225</v>
      </c>
      <c r="F150"/>
      <c r="G150" t="s">
        <v>47</v>
      </c>
      <c r="H150"/>
      <c r="I150" s="155">
        <v>46300.848541666666</v>
      </c>
      <c r="J150" t="s">
        <v>531</v>
      </c>
      <c r="K150" t="s">
        <v>388</v>
      </c>
      <c r="L150" s="154">
        <v>46299</v>
      </c>
      <c r="M150" t="s">
        <v>530</v>
      </c>
      <c r="N150" t="s">
        <v>178</v>
      </c>
      <c r="O150" t="s">
        <v>179</v>
      </c>
      <c r="P150">
        <v>3</v>
      </c>
      <c r="Q150" t="s">
        <v>194</v>
      </c>
    </row>
    <row r="151" spans="1:17" s="3" customFormat="1" hidden="1">
      <c r="A151" s="82">
        <v>4.0587591736111109E-2</v>
      </c>
      <c r="B151" t="s">
        <v>44</v>
      </c>
      <c r="C151"/>
      <c r="D151"/>
      <c r="E151" t="s">
        <v>54</v>
      </c>
      <c r="F151"/>
      <c r="G151" t="s">
        <v>47</v>
      </c>
      <c r="H151"/>
      <c r="I151" s="155">
        <v>46300.848252314812</v>
      </c>
      <c r="J151" t="s">
        <v>531</v>
      </c>
      <c r="K151" t="s">
        <v>388</v>
      </c>
      <c r="L151" s="154">
        <v>46299</v>
      </c>
      <c r="M151" t="s">
        <v>530</v>
      </c>
      <c r="N151" t="s">
        <v>178</v>
      </c>
      <c r="O151" t="s">
        <v>179</v>
      </c>
      <c r="P151">
        <v>3</v>
      </c>
      <c r="Q151" t="s">
        <v>194</v>
      </c>
    </row>
    <row r="152" spans="1:17" s="3" customFormat="1" hidden="1">
      <c r="A152" s="82">
        <v>3.9859501782407408E-2</v>
      </c>
      <c r="B152" t="s">
        <v>44</v>
      </c>
      <c r="C152"/>
      <c r="D152"/>
      <c r="E152" t="s">
        <v>37</v>
      </c>
      <c r="F152"/>
      <c r="G152" t="s">
        <v>47</v>
      </c>
      <c r="H152"/>
      <c r="I152" s="155">
        <v>46300.848032407404</v>
      </c>
      <c r="J152" t="s">
        <v>531</v>
      </c>
      <c r="K152" t="s">
        <v>388</v>
      </c>
      <c r="L152" s="154">
        <v>46299</v>
      </c>
      <c r="M152" t="s">
        <v>530</v>
      </c>
      <c r="N152" t="s">
        <v>178</v>
      </c>
      <c r="O152" t="s">
        <v>179</v>
      </c>
      <c r="P152">
        <v>3</v>
      </c>
      <c r="Q152" t="s">
        <v>194</v>
      </c>
    </row>
    <row r="153" spans="1:17" s="3" customFormat="1" hidden="1">
      <c r="A153" s="82">
        <v>3.9859501782407408E-2</v>
      </c>
      <c r="B153" t="s">
        <v>44</v>
      </c>
      <c r="C153"/>
      <c r="D153"/>
      <c r="E153" t="s">
        <v>160</v>
      </c>
      <c r="F153" t="s">
        <v>507</v>
      </c>
      <c r="G153" t="s">
        <v>47</v>
      </c>
      <c r="H153"/>
      <c r="I153" s="155">
        <v>46300.848032407404</v>
      </c>
      <c r="J153" t="s">
        <v>531</v>
      </c>
      <c r="K153" t="s">
        <v>388</v>
      </c>
      <c r="L153" s="154">
        <v>46299</v>
      </c>
      <c r="M153" t="s">
        <v>530</v>
      </c>
      <c r="N153" t="s">
        <v>178</v>
      </c>
      <c r="O153" t="s">
        <v>179</v>
      </c>
      <c r="P153">
        <v>3</v>
      </c>
      <c r="Q153" t="s">
        <v>194</v>
      </c>
    </row>
    <row r="154" spans="1:17" s="3" customFormat="1" hidden="1">
      <c r="A154" s="82">
        <v>3.9776379016203699E-2</v>
      </c>
      <c r="B154" t="s">
        <v>44</v>
      </c>
      <c r="C154"/>
      <c r="D154"/>
      <c r="E154" t="s">
        <v>133</v>
      </c>
      <c r="F154"/>
      <c r="G154" t="s">
        <v>47</v>
      </c>
      <c r="H154"/>
      <c r="I154" s="155">
        <v>46300.847824074073</v>
      </c>
      <c r="J154" t="s">
        <v>531</v>
      </c>
      <c r="K154" t="s">
        <v>388</v>
      </c>
      <c r="L154" s="154">
        <v>46299</v>
      </c>
      <c r="M154" t="s">
        <v>530</v>
      </c>
      <c r="N154" t="s">
        <v>178</v>
      </c>
      <c r="O154" t="s">
        <v>179</v>
      </c>
      <c r="P154">
        <v>3</v>
      </c>
      <c r="Q154" t="s">
        <v>194</v>
      </c>
    </row>
    <row r="155" spans="1:17" s="3" customFormat="1" hidden="1">
      <c r="A155" s="82">
        <v>3.9745950231481482E-2</v>
      </c>
      <c r="B155" t="s">
        <v>44</v>
      </c>
      <c r="C155"/>
      <c r="D155"/>
      <c r="E155" t="s">
        <v>50</v>
      </c>
      <c r="F155"/>
      <c r="G155" t="s">
        <v>47</v>
      </c>
      <c r="H155"/>
      <c r="I155" s="155">
        <v>46300.847638888888</v>
      </c>
      <c r="J155" t="s">
        <v>531</v>
      </c>
      <c r="K155" t="s">
        <v>388</v>
      </c>
      <c r="L155" s="154">
        <v>46299</v>
      </c>
      <c r="M155" t="s">
        <v>530</v>
      </c>
      <c r="N155" t="s">
        <v>178</v>
      </c>
      <c r="O155" t="s">
        <v>179</v>
      </c>
      <c r="P155">
        <v>3</v>
      </c>
      <c r="Q155" t="s">
        <v>194</v>
      </c>
    </row>
    <row r="156" spans="1:17" s="3" customFormat="1" hidden="1">
      <c r="A156" s="82">
        <v>3.9737705486111115E-2</v>
      </c>
      <c r="B156" t="s">
        <v>44</v>
      </c>
      <c r="C156"/>
      <c r="D156"/>
      <c r="E156" t="s">
        <v>490</v>
      </c>
      <c r="F156" t="s">
        <v>167</v>
      </c>
      <c r="G156" t="s">
        <v>47</v>
      </c>
      <c r="H156"/>
      <c r="I156" s="155">
        <v>46300.847488425927</v>
      </c>
      <c r="J156" t="s">
        <v>531</v>
      </c>
      <c r="K156" t="s">
        <v>388</v>
      </c>
      <c r="L156" s="154">
        <v>46299</v>
      </c>
      <c r="M156" t="s">
        <v>530</v>
      </c>
      <c r="N156" t="s">
        <v>178</v>
      </c>
      <c r="O156" t="s">
        <v>179</v>
      </c>
      <c r="P156">
        <v>3</v>
      </c>
      <c r="Q156" t="s">
        <v>194</v>
      </c>
    </row>
    <row r="157" spans="1:17" s="3" customFormat="1" hidden="1">
      <c r="A157" s="82">
        <v>3.9642467893518517E-2</v>
      </c>
      <c r="B157" t="s">
        <v>44</v>
      </c>
      <c r="C157"/>
      <c r="D157"/>
      <c r="E157" t="s">
        <v>50</v>
      </c>
      <c r="F157"/>
      <c r="G157" t="s">
        <v>113</v>
      </c>
      <c r="H157"/>
      <c r="I157" s="155">
        <v>46300.846759259257</v>
      </c>
      <c r="J157" t="s">
        <v>531</v>
      </c>
      <c r="K157" t="s">
        <v>388</v>
      </c>
      <c r="L157" s="154">
        <v>46299</v>
      </c>
      <c r="M157" t="s">
        <v>530</v>
      </c>
      <c r="N157" t="s">
        <v>178</v>
      </c>
      <c r="O157" t="s">
        <v>179</v>
      </c>
      <c r="P157">
        <v>3</v>
      </c>
      <c r="Q157" t="s">
        <v>194</v>
      </c>
    </row>
    <row r="158" spans="1:17" s="3" customFormat="1">
      <c r="A158" s="82">
        <v>3.940507094907407E-2</v>
      </c>
      <c r="B158" t="s">
        <v>44</v>
      </c>
      <c r="C158" t="s">
        <v>497</v>
      </c>
      <c r="D158"/>
      <c r="E158" t="s">
        <v>61</v>
      </c>
      <c r="F158"/>
      <c r="G158" t="s">
        <v>47</v>
      </c>
      <c r="H158"/>
      <c r="I158" s="155">
        <v>46300.846550925926</v>
      </c>
      <c r="J158" t="s">
        <v>531</v>
      </c>
      <c r="K158" t="s">
        <v>388</v>
      </c>
      <c r="L158" s="154">
        <v>46299</v>
      </c>
      <c r="M158" t="s">
        <v>530</v>
      </c>
      <c r="N158" t="s">
        <v>178</v>
      </c>
      <c r="O158" t="s">
        <v>179</v>
      </c>
      <c r="P158">
        <v>3</v>
      </c>
      <c r="Q158" t="s">
        <v>194</v>
      </c>
    </row>
    <row r="159" spans="1:17" s="3" customFormat="1" hidden="1">
      <c r="A159" s="82">
        <v>3.9274106736111113E-2</v>
      </c>
      <c r="B159" t="s">
        <v>44</v>
      </c>
      <c r="C159"/>
      <c r="D159"/>
      <c r="E159" t="s">
        <v>53</v>
      </c>
      <c r="F159"/>
      <c r="G159" t="s">
        <v>47</v>
      </c>
      <c r="H159"/>
      <c r="I159" s="155">
        <v>46300.845520833333</v>
      </c>
      <c r="J159" t="s">
        <v>531</v>
      </c>
      <c r="K159" t="s">
        <v>388</v>
      </c>
      <c r="L159" s="154">
        <v>46299</v>
      </c>
      <c r="M159" t="s">
        <v>530</v>
      </c>
      <c r="N159" t="s">
        <v>178</v>
      </c>
      <c r="O159" t="s">
        <v>179</v>
      </c>
      <c r="P159">
        <v>3</v>
      </c>
      <c r="Q159" t="s">
        <v>194</v>
      </c>
    </row>
    <row r="160" spans="1:17" s="3" customFormat="1" hidden="1">
      <c r="A160" s="82">
        <v>3.8936686365740741E-2</v>
      </c>
      <c r="B160" t="s">
        <v>44</v>
      </c>
      <c r="C160"/>
      <c r="D160"/>
      <c r="E160" t="s">
        <v>37</v>
      </c>
      <c r="F160"/>
      <c r="G160" t="s">
        <v>47</v>
      </c>
      <c r="H160"/>
      <c r="I160" s="155">
        <v>46300.845381944448</v>
      </c>
      <c r="J160" t="s">
        <v>531</v>
      </c>
      <c r="K160" t="s">
        <v>388</v>
      </c>
      <c r="L160" s="154">
        <v>46299</v>
      </c>
      <c r="M160" t="s">
        <v>530</v>
      </c>
      <c r="N160" t="s">
        <v>178</v>
      </c>
      <c r="O160" t="s">
        <v>179</v>
      </c>
      <c r="P160">
        <v>3</v>
      </c>
      <c r="Q160" t="s">
        <v>194</v>
      </c>
    </row>
    <row r="161" spans="1:17" s="3" customFormat="1" hidden="1">
      <c r="A161" s="82">
        <v>3.8841323506944442E-2</v>
      </c>
      <c r="B161" t="s">
        <v>44</v>
      </c>
      <c r="C161"/>
      <c r="D161"/>
      <c r="E161" t="s">
        <v>133</v>
      </c>
      <c r="F161"/>
      <c r="G161" t="s">
        <v>47</v>
      </c>
      <c r="H161"/>
      <c r="I161" s="155">
        <v>46300.845289351855</v>
      </c>
      <c r="J161" t="s">
        <v>531</v>
      </c>
      <c r="K161" t="s">
        <v>388</v>
      </c>
      <c r="L161" s="154">
        <v>46299</v>
      </c>
      <c r="M161" t="s">
        <v>530</v>
      </c>
      <c r="N161" t="s">
        <v>178</v>
      </c>
      <c r="O161" t="s">
        <v>179</v>
      </c>
      <c r="P161">
        <v>3</v>
      </c>
      <c r="Q161" t="s">
        <v>194</v>
      </c>
    </row>
    <row r="162" spans="1:17" s="3" customFormat="1" hidden="1">
      <c r="A162" s="82">
        <v>3.8749083425925923E-2</v>
      </c>
      <c r="B162" t="s">
        <v>44</v>
      </c>
      <c r="C162"/>
      <c r="D162"/>
      <c r="E162" t="s">
        <v>135</v>
      </c>
      <c r="F162"/>
      <c r="G162" t="s">
        <v>47</v>
      </c>
      <c r="H162"/>
      <c r="I162" s="155">
        <v>46300.845196759263</v>
      </c>
      <c r="J162" t="s">
        <v>531</v>
      </c>
      <c r="K162" t="s">
        <v>388</v>
      </c>
      <c r="L162" s="154">
        <v>46299</v>
      </c>
      <c r="M162" t="s">
        <v>530</v>
      </c>
      <c r="N162" t="s">
        <v>178</v>
      </c>
      <c r="O162" t="s">
        <v>179</v>
      </c>
      <c r="P162">
        <v>3</v>
      </c>
      <c r="Q162" t="s">
        <v>194</v>
      </c>
    </row>
    <row r="163" spans="1:17" s="3" customFormat="1" hidden="1">
      <c r="A163" s="82">
        <v>3.8672434004629629E-2</v>
      </c>
      <c r="B163" t="s">
        <v>44</v>
      </c>
      <c r="C163"/>
      <c r="D163"/>
      <c r="E163" t="s">
        <v>49</v>
      </c>
      <c r="F163"/>
      <c r="G163" t="s">
        <v>113</v>
      </c>
      <c r="H163"/>
      <c r="I163" s="155">
        <v>46300.845069444447</v>
      </c>
      <c r="J163" t="s">
        <v>531</v>
      </c>
      <c r="K163" t="s">
        <v>388</v>
      </c>
      <c r="L163" s="154">
        <v>46299</v>
      </c>
      <c r="M163" t="s">
        <v>530</v>
      </c>
      <c r="N163" t="s">
        <v>178</v>
      </c>
      <c r="O163" t="s">
        <v>179</v>
      </c>
      <c r="P163">
        <v>3</v>
      </c>
      <c r="Q163" t="s">
        <v>194</v>
      </c>
    </row>
    <row r="164" spans="1:17" s="3" customFormat="1" hidden="1">
      <c r="A164" s="82">
        <v>3.8383803344907402E-2</v>
      </c>
      <c r="B164" t="s">
        <v>44</v>
      </c>
      <c r="C164" t="s">
        <v>542</v>
      </c>
      <c r="D164"/>
      <c r="E164" t="s">
        <v>65</v>
      </c>
      <c r="F164"/>
      <c r="G164" t="s">
        <v>47</v>
      </c>
      <c r="H164"/>
      <c r="I164" s="155">
        <v>46300.843136574076</v>
      </c>
      <c r="J164" t="s">
        <v>531</v>
      </c>
      <c r="K164" t="s">
        <v>388</v>
      </c>
      <c r="L164" s="154">
        <v>46299</v>
      </c>
      <c r="M164" t="s">
        <v>530</v>
      </c>
      <c r="N164" t="s">
        <v>178</v>
      </c>
      <c r="O164" t="s">
        <v>179</v>
      </c>
      <c r="P164">
        <v>3</v>
      </c>
      <c r="Q164" t="s">
        <v>194</v>
      </c>
    </row>
    <row r="165" spans="1:17" s="3" customFormat="1" hidden="1">
      <c r="A165" s="82">
        <v>3.7787272997685188E-2</v>
      </c>
      <c r="B165" t="s">
        <v>44</v>
      </c>
      <c r="C165"/>
      <c r="D165"/>
      <c r="E165" t="s">
        <v>160</v>
      </c>
      <c r="F165" t="s">
        <v>167</v>
      </c>
      <c r="G165" t="s">
        <v>47</v>
      </c>
      <c r="H165"/>
      <c r="I165" s="155">
        <v>46300.842546296299</v>
      </c>
      <c r="J165" t="s">
        <v>531</v>
      </c>
      <c r="K165" t="s">
        <v>388</v>
      </c>
      <c r="L165" s="154">
        <v>46299</v>
      </c>
      <c r="M165" t="s">
        <v>530</v>
      </c>
      <c r="N165" t="s">
        <v>178</v>
      </c>
      <c r="O165" t="s">
        <v>179</v>
      </c>
      <c r="P165">
        <v>3</v>
      </c>
      <c r="Q165" t="s">
        <v>194</v>
      </c>
    </row>
    <row r="166" spans="1:17" s="3" customFormat="1" hidden="1">
      <c r="A166" s="82">
        <v>3.7602856770833332E-2</v>
      </c>
      <c r="B166" t="s">
        <v>44</v>
      </c>
      <c r="C166"/>
      <c r="D166"/>
      <c r="E166" t="s">
        <v>37</v>
      </c>
      <c r="F166"/>
      <c r="G166" t="s">
        <v>47</v>
      </c>
      <c r="H166"/>
      <c r="I166" s="155">
        <v>46300.842326388891</v>
      </c>
      <c r="J166" t="s">
        <v>531</v>
      </c>
      <c r="K166" t="s">
        <v>388</v>
      </c>
      <c r="L166" s="154">
        <v>46299</v>
      </c>
      <c r="M166" t="s">
        <v>530</v>
      </c>
      <c r="N166" t="s">
        <v>178</v>
      </c>
      <c r="O166" t="s">
        <v>179</v>
      </c>
      <c r="P166">
        <v>3</v>
      </c>
      <c r="Q166" t="s">
        <v>194</v>
      </c>
    </row>
    <row r="167" spans="1:17" s="3" customFormat="1" hidden="1">
      <c r="A167" s="82">
        <v>3.7516743680555555E-2</v>
      </c>
      <c r="B167" t="s">
        <v>44</v>
      </c>
      <c r="C167"/>
      <c r="D167"/>
      <c r="E167" t="s">
        <v>133</v>
      </c>
      <c r="F167"/>
      <c r="G167" t="s">
        <v>47</v>
      </c>
      <c r="H167"/>
      <c r="I167" s="155">
        <v>46300.842199074075</v>
      </c>
      <c r="J167" t="s">
        <v>531</v>
      </c>
      <c r="K167" t="s">
        <v>388</v>
      </c>
      <c r="L167" s="154">
        <v>46299</v>
      </c>
      <c r="M167" t="s">
        <v>530</v>
      </c>
      <c r="N167" t="s">
        <v>178</v>
      </c>
      <c r="O167" t="s">
        <v>179</v>
      </c>
      <c r="P167">
        <v>3</v>
      </c>
      <c r="Q167" t="s">
        <v>194</v>
      </c>
    </row>
    <row r="168" spans="1:17" s="3" customFormat="1" hidden="1">
      <c r="A168" s="82">
        <v>3.7343358912037036E-2</v>
      </c>
      <c r="B168" t="s">
        <v>44</v>
      </c>
      <c r="C168" t="s">
        <v>540</v>
      </c>
      <c r="D168"/>
      <c r="E168" t="s">
        <v>406</v>
      </c>
      <c r="F168"/>
      <c r="G168" t="s">
        <v>47</v>
      </c>
      <c r="H168"/>
      <c r="I168" s="155">
        <v>46300.841944444444</v>
      </c>
      <c r="J168" t="s">
        <v>531</v>
      </c>
      <c r="K168" t="s">
        <v>388</v>
      </c>
      <c r="L168" s="154">
        <v>46299</v>
      </c>
      <c r="M168" t="s">
        <v>530</v>
      </c>
      <c r="N168" t="s">
        <v>178</v>
      </c>
      <c r="O168" t="s">
        <v>179</v>
      </c>
      <c r="P168">
        <v>3</v>
      </c>
      <c r="Q168" t="s">
        <v>194</v>
      </c>
    </row>
    <row r="169" spans="1:17" s="3" customFormat="1" hidden="1">
      <c r="A169" s="82">
        <v>3.7343358912037036E-2</v>
      </c>
      <c r="B169" t="s">
        <v>44</v>
      </c>
      <c r="C169" t="s">
        <v>483</v>
      </c>
      <c r="D169"/>
      <c r="E169" t="s">
        <v>406</v>
      </c>
      <c r="F169"/>
      <c r="G169" t="s">
        <v>47</v>
      </c>
      <c r="H169"/>
      <c r="I169" s="155">
        <v>46300.841643518521</v>
      </c>
      <c r="J169" t="s">
        <v>531</v>
      </c>
      <c r="K169" t="s">
        <v>388</v>
      </c>
      <c r="L169" s="154">
        <v>46299</v>
      </c>
      <c r="M169" t="s">
        <v>530</v>
      </c>
      <c r="N169" t="s">
        <v>178</v>
      </c>
      <c r="O169" t="s">
        <v>179</v>
      </c>
      <c r="P169">
        <v>3</v>
      </c>
      <c r="Q169" t="s">
        <v>194</v>
      </c>
    </row>
    <row r="170" spans="1:17" s="3" customFormat="1" hidden="1">
      <c r="A170" s="82">
        <v>3.7276705104166662E-2</v>
      </c>
      <c r="B170" t="s">
        <v>44</v>
      </c>
      <c r="C170"/>
      <c r="D170"/>
      <c r="E170" t="s">
        <v>225</v>
      </c>
      <c r="F170"/>
      <c r="G170" t="s">
        <v>47</v>
      </c>
      <c r="H170"/>
      <c r="I170" s="155">
        <v>46300.840949074074</v>
      </c>
      <c r="J170" t="s">
        <v>531</v>
      </c>
      <c r="K170" t="s">
        <v>388</v>
      </c>
      <c r="L170" s="154">
        <v>46299</v>
      </c>
      <c r="M170" t="s">
        <v>530</v>
      </c>
      <c r="N170" t="s">
        <v>178</v>
      </c>
      <c r="O170" t="s">
        <v>179</v>
      </c>
      <c r="P170">
        <v>3</v>
      </c>
      <c r="Q170" t="s">
        <v>194</v>
      </c>
    </row>
    <row r="171" spans="1:17" s="3" customFormat="1" hidden="1">
      <c r="A171" s="82">
        <v>3.7201936458333335E-2</v>
      </c>
      <c r="B171" t="s">
        <v>44</v>
      </c>
      <c r="C171"/>
      <c r="D171"/>
      <c r="E171" t="s">
        <v>54</v>
      </c>
      <c r="F171"/>
      <c r="G171" t="s">
        <v>47</v>
      </c>
      <c r="H171"/>
      <c r="I171" s="155">
        <v>46300.840578703705</v>
      </c>
      <c r="J171" t="s">
        <v>531</v>
      </c>
      <c r="K171" t="s">
        <v>388</v>
      </c>
      <c r="L171" s="154">
        <v>46299</v>
      </c>
      <c r="M171" t="s">
        <v>530</v>
      </c>
      <c r="N171" t="s">
        <v>178</v>
      </c>
      <c r="O171" t="s">
        <v>179</v>
      </c>
      <c r="P171">
        <v>3</v>
      </c>
      <c r="Q171" t="s">
        <v>194</v>
      </c>
    </row>
    <row r="172" spans="1:17" s="3" customFormat="1" hidden="1">
      <c r="A172" s="82">
        <v>3.6798916215277776E-2</v>
      </c>
      <c r="B172" t="s">
        <v>44</v>
      </c>
      <c r="C172"/>
      <c r="D172"/>
      <c r="E172" t="s">
        <v>37</v>
      </c>
      <c r="F172"/>
      <c r="G172" t="s">
        <v>113</v>
      </c>
      <c r="H172"/>
      <c r="I172" s="155">
        <v>46300.840497685182</v>
      </c>
      <c r="J172" t="s">
        <v>531</v>
      </c>
      <c r="K172" t="s">
        <v>388</v>
      </c>
      <c r="L172" s="154">
        <v>46299</v>
      </c>
      <c r="M172" t="s">
        <v>530</v>
      </c>
      <c r="N172" t="s">
        <v>178</v>
      </c>
      <c r="O172" t="s">
        <v>179</v>
      </c>
      <c r="P172">
        <v>3</v>
      </c>
      <c r="Q172" t="s">
        <v>194</v>
      </c>
    </row>
    <row r="173" spans="1:17" s="3" customFormat="1" hidden="1">
      <c r="A173" s="82">
        <v>3.6811374259259261E-2</v>
      </c>
      <c r="B173" t="s">
        <v>44</v>
      </c>
      <c r="C173"/>
      <c r="D173"/>
      <c r="E173" t="s">
        <v>221</v>
      </c>
      <c r="F173"/>
      <c r="G173" t="s">
        <v>113</v>
      </c>
      <c r="H173"/>
      <c r="I173" s="155">
        <v>46300.840416666666</v>
      </c>
      <c r="J173" t="s">
        <v>531</v>
      </c>
      <c r="K173" t="s">
        <v>388</v>
      </c>
      <c r="L173" s="154">
        <v>46299</v>
      </c>
      <c r="M173" t="s">
        <v>530</v>
      </c>
      <c r="N173" t="s">
        <v>178</v>
      </c>
      <c r="O173" t="s">
        <v>179</v>
      </c>
      <c r="P173">
        <v>3</v>
      </c>
      <c r="Q173" t="s">
        <v>194</v>
      </c>
    </row>
    <row r="174" spans="1:17" s="3" customFormat="1" hidden="1">
      <c r="A174" s="82">
        <v>3.6722297037037034E-2</v>
      </c>
      <c r="B174" t="s">
        <v>44</v>
      </c>
      <c r="C174"/>
      <c r="D174"/>
      <c r="E174" t="s">
        <v>53</v>
      </c>
      <c r="F174"/>
      <c r="G174" t="s">
        <v>113</v>
      </c>
      <c r="H174"/>
      <c r="I174" s="155">
        <v>46300.839953703704</v>
      </c>
      <c r="J174" t="s">
        <v>531</v>
      </c>
      <c r="K174" t="s">
        <v>388</v>
      </c>
      <c r="L174" s="154">
        <v>46299</v>
      </c>
      <c r="M174" t="s">
        <v>530</v>
      </c>
      <c r="N174" t="s">
        <v>178</v>
      </c>
      <c r="O174" t="s">
        <v>179</v>
      </c>
      <c r="P174">
        <v>3</v>
      </c>
      <c r="Q174" t="s">
        <v>194</v>
      </c>
    </row>
    <row r="175" spans="1:17" s="3" customFormat="1" hidden="1">
      <c r="A175" s="82">
        <v>3.5852998981481476E-2</v>
      </c>
      <c r="B175" t="s">
        <v>44</v>
      </c>
      <c r="C175"/>
      <c r="D175"/>
      <c r="E175" t="s">
        <v>37</v>
      </c>
      <c r="F175"/>
      <c r="G175" t="s">
        <v>47</v>
      </c>
      <c r="H175"/>
      <c r="I175" s="155">
        <v>46300.839861111112</v>
      </c>
      <c r="J175" t="s">
        <v>531</v>
      </c>
      <c r="K175" t="s">
        <v>388</v>
      </c>
      <c r="L175" s="154">
        <v>46299</v>
      </c>
      <c r="M175" t="s">
        <v>530</v>
      </c>
      <c r="N175" t="s">
        <v>178</v>
      </c>
      <c r="O175" t="s">
        <v>179</v>
      </c>
      <c r="P175">
        <v>3</v>
      </c>
      <c r="Q175" t="s">
        <v>194</v>
      </c>
    </row>
    <row r="176" spans="1:17" s="3" customFormat="1" hidden="1">
      <c r="A176" s="82">
        <v>3.5816301134259258E-2</v>
      </c>
      <c r="B176" t="s">
        <v>44</v>
      </c>
      <c r="C176"/>
      <c r="D176"/>
      <c r="E176" t="s">
        <v>133</v>
      </c>
      <c r="F176"/>
      <c r="G176" t="s">
        <v>47</v>
      </c>
      <c r="H176"/>
      <c r="I176" s="155">
        <v>46300.839826388888</v>
      </c>
      <c r="J176" t="s">
        <v>531</v>
      </c>
      <c r="K176" t="s">
        <v>388</v>
      </c>
      <c r="L176" s="154">
        <v>46299</v>
      </c>
      <c r="M176" t="s">
        <v>530</v>
      </c>
      <c r="N176" t="s">
        <v>178</v>
      </c>
      <c r="O176" t="s">
        <v>179</v>
      </c>
      <c r="P176">
        <v>3</v>
      </c>
      <c r="Q176" t="s">
        <v>194</v>
      </c>
    </row>
    <row r="177" spans="1:17" s="3" customFormat="1" hidden="1">
      <c r="A177" s="82">
        <v>3.5776078425925922E-2</v>
      </c>
      <c r="B177" t="s">
        <v>44</v>
      </c>
      <c r="C177"/>
      <c r="D177"/>
      <c r="E177" t="s">
        <v>135</v>
      </c>
      <c r="F177"/>
      <c r="G177" t="s">
        <v>47</v>
      </c>
      <c r="H177"/>
      <c r="I177" s="155">
        <v>46300.839791666665</v>
      </c>
      <c r="J177" t="s">
        <v>531</v>
      </c>
      <c r="K177" t="s">
        <v>388</v>
      </c>
      <c r="L177" s="154">
        <v>46299</v>
      </c>
      <c r="M177" t="s">
        <v>530</v>
      </c>
      <c r="N177" t="s">
        <v>178</v>
      </c>
      <c r="O177" t="s">
        <v>179</v>
      </c>
      <c r="P177">
        <v>3</v>
      </c>
      <c r="Q177" t="s">
        <v>194</v>
      </c>
    </row>
    <row r="178" spans="1:17" s="3" customFormat="1" hidden="1">
      <c r="A178" s="82">
        <v>3.5742308738425925E-2</v>
      </c>
      <c r="B178" t="s">
        <v>44</v>
      </c>
      <c r="C178"/>
      <c r="D178"/>
      <c r="E178" t="s">
        <v>133</v>
      </c>
      <c r="F178"/>
      <c r="G178" t="s">
        <v>113</v>
      </c>
      <c r="H178"/>
      <c r="I178" s="155">
        <v>46300.839756944442</v>
      </c>
      <c r="J178" t="s">
        <v>531</v>
      </c>
      <c r="K178" t="s">
        <v>388</v>
      </c>
      <c r="L178" s="154">
        <v>46299</v>
      </c>
      <c r="M178" t="s">
        <v>530</v>
      </c>
      <c r="N178" t="s">
        <v>178</v>
      </c>
      <c r="O178" t="s">
        <v>179</v>
      </c>
      <c r="P178">
        <v>3</v>
      </c>
      <c r="Q178" t="s">
        <v>194</v>
      </c>
    </row>
    <row r="179" spans="1:17" s="3" customFormat="1" hidden="1">
      <c r="A179" s="82">
        <v>3.5671555775462958E-2</v>
      </c>
      <c r="B179" t="s">
        <v>44</v>
      </c>
      <c r="C179" t="s">
        <v>538</v>
      </c>
      <c r="D179"/>
      <c r="E179" t="s">
        <v>57</v>
      </c>
      <c r="F179"/>
      <c r="G179" t="s">
        <v>113</v>
      </c>
      <c r="H179"/>
      <c r="I179" s="155">
        <v>46300.839629629627</v>
      </c>
      <c r="J179" t="s">
        <v>531</v>
      </c>
      <c r="K179" t="s">
        <v>388</v>
      </c>
      <c r="L179" s="154">
        <v>46299</v>
      </c>
      <c r="M179" t="s">
        <v>530</v>
      </c>
      <c r="N179" t="s">
        <v>178</v>
      </c>
      <c r="O179" t="s">
        <v>179</v>
      </c>
      <c r="P179">
        <v>3</v>
      </c>
      <c r="Q179" t="s">
        <v>194</v>
      </c>
    </row>
    <row r="180" spans="1:17" s="3" customFormat="1" hidden="1">
      <c r="A180" s="82">
        <v>3.5543672581018523E-2</v>
      </c>
      <c r="B180" t="s">
        <v>44</v>
      </c>
      <c r="C180" t="s">
        <v>497</v>
      </c>
      <c r="D180"/>
      <c r="E180" t="s">
        <v>57</v>
      </c>
      <c r="F180"/>
      <c r="G180" t="s">
        <v>113</v>
      </c>
      <c r="H180"/>
      <c r="I180" s="155">
        <v>46300.839409722219</v>
      </c>
      <c r="J180" t="s">
        <v>531</v>
      </c>
      <c r="K180" t="s">
        <v>388</v>
      </c>
      <c r="L180" s="154">
        <v>46299</v>
      </c>
      <c r="M180" t="s">
        <v>530</v>
      </c>
      <c r="N180" t="s">
        <v>178</v>
      </c>
      <c r="O180" t="s">
        <v>179</v>
      </c>
      <c r="P180">
        <v>3</v>
      </c>
      <c r="Q180" t="s">
        <v>194</v>
      </c>
    </row>
    <row r="181" spans="1:17" s="3" customFormat="1" hidden="1">
      <c r="A181" s="82">
        <v>3.5508884803240742E-2</v>
      </c>
      <c r="B181" t="s">
        <v>44</v>
      </c>
      <c r="C181" t="s">
        <v>544</v>
      </c>
      <c r="D181"/>
      <c r="E181" t="s">
        <v>9</v>
      </c>
      <c r="F181"/>
      <c r="G181" t="s">
        <v>113</v>
      </c>
      <c r="H181"/>
      <c r="I181" s="155">
        <v>46300.839282407411</v>
      </c>
      <c r="J181" t="s">
        <v>531</v>
      </c>
      <c r="K181" t="s">
        <v>388</v>
      </c>
      <c r="L181" s="154">
        <v>46299</v>
      </c>
      <c r="M181" t="s">
        <v>530</v>
      </c>
      <c r="N181" t="s">
        <v>178</v>
      </c>
      <c r="O181" t="s">
        <v>179</v>
      </c>
      <c r="P181">
        <v>3</v>
      </c>
      <c r="Q181" t="s">
        <v>194</v>
      </c>
    </row>
    <row r="182" spans="1:17" s="3" customFormat="1" hidden="1">
      <c r="A182" s="82">
        <v>3.5463645208333332E-2</v>
      </c>
      <c r="B182" t="s">
        <v>44</v>
      </c>
      <c r="C182"/>
      <c r="D182"/>
      <c r="E182" t="s">
        <v>137</v>
      </c>
      <c r="F182"/>
      <c r="G182" t="s">
        <v>113</v>
      </c>
      <c r="H182"/>
      <c r="I182" s="155">
        <v>46300.839166666665</v>
      </c>
      <c r="J182" t="s">
        <v>531</v>
      </c>
      <c r="K182" t="s">
        <v>388</v>
      </c>
      <c r="L182" s="154">
        <v>46299</v>
      </c>
      <c r="M182" t="s">
        <v>530</v>
      </c>
      <c r="N182" t="s">
        <v>178</v>
      </c>
      <c r="O182" t="s">
        <v>179</v>
      </c>
      <c r="P182">
        <v>3</v>
      </c>
      <c r="Q182" t="s">
        <v>194</v>
      </c>
    </row>
    <row r="183" spans="1:17" s="3" customFormat="1" hidden="1">
      <c r="A183" s="82">
        <v>3.5429845543981486E-2</v>
      </c>
      <c r="B183" t="s">
        <v>44</v>
      </c>
      <c r="C183"/>
      <c r="D183"/>
      <c r="E183" t="s">
        <v>133</v>
      </c>
      <c r="F183"/>
      <c r="G183" t="s">
        <v>47</v>
      </c>
      <c r="H183"/>
      <c r="I183" s="155">
        <v>46300.839131944442</v>
      </c>
      <c r="J183" t="s">
        <v>531</v>
      </c>
      <c r="K183" t="s">
        <v>388</v>
      </c>
      <c r="L183" s="154">
        <v>46299</v>
      </c>
      <c r="M183" t="s">
        <v>530</v>
      </c>
      <c r="N183" t="s">
        <v>178</v>
      </c>
      <c r="O183" t="s">
        <v>179</v>
      </c>
      <c r="P183">
        <v>3</v>
      </c>
      <c r="Q183" t="s">
        <v>194</v>
      </c>
    </row>
    <row r="184" spans="1:17" s="3" customFormat="1" hidden="1">
      <c r="A184" s="82">
        <v>3.5346781469907405E-2</v>
      </c>
      <c r="B184" t="s">
        <v>44</v>
      </c>
      <c r="C184" t="s">
        <v>534</v>
      </c>
      <c r="D184"/>
      <c r="E184" t="s">
        <v>406</v>
      </c>
      <c r="F184"/>
      <c r="G184" t="s">
        <v>47</v>
      </c>
      <c r="H184"/>
      <c r="I184" s="155">
        <v>46300.839004629626</v>
      </c>
      <c r="J184" t="s">
        <v>531</v>
      </c>
      <c r="K184" t="s">
        <v>388</v>
      </c>
      <c r="L184" s="154">
        <v>46299</v>
      </c>
      <c r="M184" t="s">
        <v>530</v>
      </c>
      <c r="N184" t="s">
        <v>178</v>
      </c>
      <c r="O184" t="s">
        <v>179</v>
      </c>
      <c r="P184">
        <v>3</v>
      </c>
      <c r="Q184" t="s">
        <v>194</v>
      </c>
    </row>
    <row r="185" spans="1:17" s="3" customFormat="1" hidden="1">
      <c r="A185" s="82">
        <v>3.5332049467592594E-2</v>
      </c>
      <c r="B185" t="s">
        <v>44</v>
      </c>
      <c r="C185" t="s">
        <v>549</v>
      </c>
      <c r="D185"/>
      <c r="E185" t="s">
        <v>60</v>
      </c>
      <c r="F185"/>
      <c r="G185" t="s">
        <v>47</v>
      </c>
      <c r="H185"/>
      <c r="I185" s="155">
        <v>46300.837627314817</v>
      </c>
      <c r="J185" t="s">
        <v>531</v>
      </c>
      <c r="K185" t="s">
        <v>388</v>
      </c>
      <c r="L185" s="154">
        <v>46299</v>
      </c>
      <c r="M185" t="s">
        <v>530</v>
      </c>
      <c r="N185" t="s">
        <v>178</v>
      </c>
      <c r="O185" t="s">
        <v>179</v>
      </c>
      <c r="P185">
        <v>3</v>
      </c>
      <c r="Q185" t="s">
        <v>194</v>
      </c>
    </row>
    <row r="186" spans="1:17" s="3" customFormat="1" hidden="1">
      <c r="A186" s="82">
        <v>3.5245062280092596E-2</v>
      </c>
      <c r="B186" t="s">
        <v>44</v>
      </c>
      <c r="C186"/>
      <c r="D186"/>
      <c r="E186" t="s">
        <v>53</v>
      </c>
      <c r="F186"/>
      <c r="G186" t="s">
        <v>47</v>
      </c>
      <c r="H186"/>
      <c r="I186" s="155">
        <v>46300.836608796293</v>
      </c>
      <c r="J186" t="s">
        <v>531</v>
      </c>
      <c r="K186" t="s">
        <v>388</v>
      </c>
      <c r="L186" s="154">
        <v>46299</v>
      </c>
      <c r="M186" t="s">
        <v>530</v>
      </c>
      <c r="N186" t="s">
        <v>178</v>
      </c>
      <c r="O186" t="s">
        <v>179</v>
      </c>
      <c r="P186">
        <v>3</v>
      </c>
      <c r="Q186" t="s">
        <v>194</v>
      </c>
    </row>
    <row r="187" spans="1:17" s="3" customFormat="1" hidden="1">
      <c r="A187" s="82">
        <v>3.4920420023148151E-2</v>
      </c>
      <c r="B187" t="s">
        <v>44</v>
      </c>
      <c r="C187"/>
      <c r="D187"/>
      <c r="E187" t="s">
        <v>37</v>
      </c>
      <c r="F187"/>
      <c r="G187" t="s">
        <v>113</v>
      </c>
      <c r="H187"/>
      <c r="I187" s="155">
        <v>46300.836527777778</v>
      </c>
      <c r="J187" t="s">
        <v>531</v>
      </c>
      <c r="K187" t="s">
        <v>388</v>
      </c>
      <c r="L187" s="154">
        <v>46299</v>
      </c>
      <c r="M187" t="s">
        <v>530</v>
      </c>
      <c r="N187" t="s">
        <v>178</v>
      </c>
      <c r="O187" t="s">
        <v>179</v>
      </c>
      <c r="P187">
        <v>3</v>
      </c>
      <c r="Q187" t="s">
        <v>194</v>
      </c>
    </row>
    <row r="188" spans="1:17" s="3" customFormat="1" hidden="1">
      <c r="A188" s="82">
        <v>3.4840666249999999E-2</v>
      </c>
      <c r="B188" t="s">
        <v>44</v>
      </c>
      <c r="C188"/>
      <c r="D188"/>
      <c r="E188" t="s">
        <v>49</v>
      </c>
      <c r="F188"/>
      <c r="G188" t="s">
        <v>113</v>
      </c>
      <c r="H188"/>
      <c r="I188" s="155">
        <v>46300.836435185185</v>
      </c>
      <c r="J188" t="s">
        <v>531</v>
      </c>
      <c r="K188" t="s">
        <v>388</v>
      </c>
      <c r="L188" s="154">
        <v>46299</v>
      </c>
      <c r="M188" t="s">
        <v>530</v>
      </c>
      <c r="N188" t="s">
        <v>178</v>
      </c>
      <c r="O188" t="s">
        <v>179</v>
      </c>
      <c r="P188">
        <v>3</v>
      </c>
      <c r="Q188" t="s">
        <v>194</v>
      </c>
    </row>
    <row r="189" spans="1:17" s="3" customFormat="1" hidden="1">
      <c r="A189" s="82">
        <v>3.4536901446759256E-2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55">
        <v>46300.8362037037</v>
      </c>
      <c r="J189" t="s">
        <v>531</v>
      </c>
      <c r="K189" t="s">
        <v>388</v>
      </c>
      <c r="L189" s="154">
        <v>46299</v>
      </c>
      <c r="M189" t="s">
        <v>530</v>
      </c>
      <c r="N189" t="s">
        <v>178</v>
      </c>
      <c r="O189" t="s">
        <v>179</v>
      </c>
      <c r="P189">
        <v>3</v>
      </c>
      <c r="Q189" t="s">
        <v>194</v>
      </c>
    </row>
    <row r="190" spans="1:17" s="3" customFormat="1" hidden="1">
      <c r="A190" s="82">
        <v>3.448424827546296E-2</v>
      </c>
      <c r="B190" t="s">
        <v>44</v>
      </c>
      <c r="C190"/>
      <c r="D190"/>
      <c r="E190" t="s">
        <v>133</v>
      </c>
      <c r="F190"/>
      <c r="G190" t="s">
        <v>47</v>
      </c>
      <c r="H190"/>
      <c r="I190" s="155">
        <v>46300.835659722223</v>
      </c>
      <c r="J190" t="s">
        <v>531</v>
      </c>
      <c r="K190" t="s">
        <v>388</v>
      </c>
      <c r="L190" s="154">
        <v>46299</v>
      </c>
      <c r="M190" t="s">
        <v>530</v>
      </c>
      <c r="N190" t="s">
        <v>178</v>
      </c>
      <c r="O190" t="s">
        <v>179</v>
      </c>
      <c r="P190">
        <v>3</v>
      </c>
      <c r="Q190" t="s">
        <v>194</v>
      </c>
    </row>
    <row r="191" spans="1:17" s="3" customFormat="1" hidden="1">
      <c r="A191" s="82">
        <v>3.4397355324074078E-2</v>
      </c>
      <c r="B191" t="s">
        <v>44</v>
      </c>
      <c r="C191" t="s">
        <v>32</v>
      </c>
      <c r="D191"/>
      <c r="E191" t="s">
        <v>406</v>
      </c>
      <c r="F191"/>
      <c r="G191" t="s">
        <v>47</v>
      </c>
      <c r="H191"/>
      <c r="I191" s="155">
        <v>46300.835370370369</v>
      </c>
      <c r="J191" t="s">
        <v>531</v>
      </c>
      <c r="K191" t="s">
        <v>388</v>
      </c>
      <c r="L191" s="154">
        <v>46299</v>
      </c>
      <c r="M191" t="s">
        <v>530</v>
      </c>
      <c r="N191" t="s">
        <v>178</v>
      </c>
      <c r="O191" t="s">
        <v>179</v>
      </c>
      <c r="P191">
        <v>3</v>
      </c>
      <c r="Q191" t="s">
        <v>194</v>
      </c>
    </row>
    <row r="192" spans="1:17" s="3" customFormat="1" hidden="1">
      <c r="A192" s="82">
        <v>3.4368103576388885E-2</v>
      </c>
      <c r="B192" t="s">
        <v>44</v>
      </c>
      <c r="C192" t="s">
        <v>32</v>
      </c>
      <c r="D192"/>
      <c r="E192" t="s">
        <v>10</v>
      </c>
      <c r="F192"/>
      <c r="G192" t="s">
        <v>113</v>
      </c>
      <c r="H192"/>
      <c r="I192" s="155">
        <v>46300.835173611114</v>
      </c>
      <c r="J192" t="s">
        <v>531</v>
      </c>
      <c r="K192" t="s">
        <v>388</v>
      </c>
      <c r="L192" s="154">
        <v>46299</v>
      </c>
      <c r="M192" t="s">
        <v>530</v>
      </c>
      <c r="N192" t="s">
        <v>178</v>
      </c>
      <c r="O192" t="s">
        <v>179</v>
      </c>
      <c r="P192">
        <v>3</v>
      </c>
      <c r="Q192" t="s">
        <v>194</v>
      </c>
    </row>
    <row r="193" spans="1:17" s="3" customFormat="1" hidden="1">
      <c r="A193" s="82">
        <v>3.4286904525462965E-2</v>
      </c>
      <c r="B193" t="s">
        <v>44</v>
      </c>
      <c r="C193" t="s">
        <v>549</v>
      </c>
      <c r="D193"/>
      <c r="E193" t="s">
        <v>57</v>
      </c>
      <c r="F193"/>
      <c r="G193" t="s">
        <v>113</v>
      </c>
      <c r="H193"/>
      <c r="I193" s="155">
        <v>46300.83494212963</v>
      </c>
      <c r="J193" t="s">
        <v>531</v>
      </c>
      <c r="K193" t="s">
        <v>388</v>
      </c>
      <c r="L193" s="154">
        <v>46299</v>
      </c>
      <c r="M193" t="s">
        <v>530</v>
      </c>
      <c r="N193" t="s">
        <v>178</v>
      </c>
      <c r="O193" t="s">
        <v>179</v>
      </c>
      <c r="P193">
        <v>3</v>
      </c>
      <c r="Q193" t="s">
        <v>194</v>
      </c>
    </row>
    <row r="194" spans="1:17" s="3" customFormat="1" hidden="1">
      <c r="A194" s="82">
        <v>3.4241152118055555E-2</v>
      </c>
      <c r="B194" t="s">
        <v>44</v>
      </c>
      <c r="C194"/>
      <c r="D194"/>
      <c r="E194" t="s">
        <v>137</v>
      </c>
      <c r="F194"/>
      <c r="G194" t="s">
        <v>113</v>
      </c>
      <c r="H194"/>
      <c r="I194" s="155">
        <v>46300.834780092591</v>
      </c>
      <c r="J194" t="s">
        <v>531</v>
      </c>
      <c r="K194" t="s">
        <v>388</v>
      </c>
      <c r="L194" s="154">
        <v>46299</v>
      </c>
      <c r="M194" t="s">
        <v>530</v>
      </c>
      <c r="N194" t="s">
        <v>178</v>
      </c>
      <c r="O194" t="s">
        <v>179</v>
      </c>
      <c r="P194">
        <v>3</v>
      </c>
      <c r="Q194" t="s">
        <v>194</v>
      </c>
    </row>
    <row r="195" spans="1:17" s="3" customFormat="1" hidden="1">
      <c r="A195" s="82">
        <v>3.4179257361111111E-2</v>
      </c>
      <c r="B195" t="s">
        <v>44</v>
      </c>
      <c r="C195"/>
      <c r="D195"/>
      <c r="E195" t="s">
        <v>49</v>
      </c>
      <c r="F195"/>
      <c r="G195" t="s">
        <v>47</v>
      </c>
      <c r="H195"/>
      <c r="I195" s="155">
        <v>46300.831412037034</v>
      </c>
      <c r="J195" t="s">
        <v>531</v>
      </c>
      <c r="K195" t="s">
        <v>388</v>
      </c>
      <c r="L195" s="154">
        <v>46299</v>
      </c>
      <c r="M195" t="s">
        <v>530</v>
      </c>
      <c r="N195" t="s">
        <v>178</v>
      </c>
      <c r="O195" t="s">
        <v>179</v>
      </c>
      <c r="P195">
        <v>3</v>
      </c>
      <c r="Q195" t="s">
        <v>194</v>
      </c>
    </row>
    <row r="196" spans="1:17" s="3" customFormat="1" hidden="1">
      <c r="A196" s="82">
        <v>3.0765521284722222E-2</v>
      </c>
      <c r="B196" t="s">
        <v>46</v>
      </c>
      <c r="C196"/>
      <c r="D196"/>
      <c r="E196" t="s">
        <v>37</v>
      </c>
      <c r="F196"/>
      <c r="G196" t="s">
        <v>47</v>
      </c>
      <c r="H196"/>
      <c r="I196" s="155">
        <v>46300.831180555557</v>
      </c>
      <c r="J196" t="s">
        <v>531</v>
      </c>
      <c r="K196" t="s">
        <v>388</v>
      </c>
      <c r="L196" s="154">
        <v>46299</v>
      </c>
      <c r="M196" t="s">
        <v>530</v>
      </c>
      <c r="N196" t="s">
        <v>178</v>
      </c>
      <c r="O196" t="s">
        <v>179</v>
      </c>
      <c r="P196">
        <v>3</v>
      </c>
      <c r="Q196" t="s">
        <v>194</v>
      </c>
    </row>
    <row r="197" spans="1:17" s="3" customFormat="1" hidden="1">
      <c r="A197" s="82">
        <v>3.0717190902777778E-2</v>
      </c>
      <c r="B197" t="s">
        <v>46</v>
      </c>
      <c r="C197"/>
      <c r="D197"/>
      <c r="E197" t="s">
        <v>225</v>
      </c>
      <c r="F197"/>
      <c r="G197" t="s">
        <v>47</v>
      </c>
      <c r="H197"/>
      <c r="I197" s="155">
        <v>46300.831122685187</v>
      </c>
      <c r="J197" t="s">
        <v>531</v>
      </c>
      <c r="K197" t="s">
        <v>388</v>
      </c>
      <c r="L197" s="154">
        <v>46299</v>
      </c>
      <c r="M197" t="s">
        <v>530</v>
      </c>
      <c r="N197" t="s">
        <v>178</v>
      </c>
      <c r="O197" t="s">
        <v>179</v>
      </c>
      <c r="P197">
        <v>3</v>
      </c>
      <c r="Q197" t="s">
        <v>194</v>
      </c>
    </row>
    <row r="198" spans="1:17" s="3" customFormat="1" hidden="1">
      <c r="A198" s="82">
        <v>3.0624936967592591E-2</v>
      </c>
      <c r="B198" t="s">
        <v>46</v>
      </c>
      <c r="C198"/>
      <c r="D198"/>
      <c r="E198" t="s">
        <v>54</v>
      </c>
      <c r="F198"/>
      <c r="G198" t="s">
        <v>47</v>
      </c>
      <c r="H198"/>
      <c r="I198" s="155">
        <v>46300.830868055556</v>
      </c>
      <c r="J198" t="s">
        <v>531</v>
      </c>
      <c r="K198" t="s">
        <v>388</v>
      </c>
      <c r="L198" s="154">
        <v>46299</v>
      </c>
      <c r="M198" t="s">
        <v>530</v>
      </c>
      <c r="N198" t="s">
        <v>178</v>
      </c>
      <c r="O198" t="s">
        <v>179</v>
      </c>
      <c r="P198">
        <v>3</v>
      </c>
      <c r="Q198" t="s">
        <v>194</v>
      </c>
    </row>
    <row r="199" spans="1:17" s="3" customFormat="1" hidden="1">
      <c r="A199" s="82">
        <v>3.0277739178240743E-2</v>
      </c>
      <c r="B199" t="s">
        <v>46</v>
      </c>
      <c r="C199"/>
      <c r="D199"/>
      <c r="E199" t="s">
        <v>37</v>
      </c>
      <c r="F199"/>
      <c r="G199" t="s">
        <v>47</v>
      </c>
      <c r="H199"/>
      <c r="I199" s="155">
        <v>46300.83079861111</v>
      </c>
      <c r="J199" t="s">
        <v>531</v>
      </c>
      <c r="K199" t="s">
        <v>388</v>
      </c>
      <c r="L199" s="154">
        <v>46299</v>
      </c>
      <c r="M199" t="s">
        <v>530</v>
      </c>
      <c r="N199" t="s">
        <v>178</v>
      </c>
      <c r="O199" t="s">
        <v>179</v>
      </c>
      <c r="P199">
        <v>3</v>
      </c>
      <c r="Q199" t="s">
        <v>194</v>
      </c>
    </row>
    <row r="200" spans="1:17" s="3" customFormat="1" hidden="1">
      <c r="A200" s="82">
        <v>3.0319582268518518E-2</v>
      </c>
      <c r="B200" t="s">
        <v>46</v>
      </c>
      <c r="C200"/>
      <c r="D200"/>
      <c r="E200" t="s">
        <v>221</v>
      </c>
      <c r="F200"/>
      <c r="G200" t="s">
        <v>113</v>
      </c>
      <c r="H200"/>
      <c r="I200" s="155">
        <v>46300.830694444441</v>
      </c>
      <c r="J200" t="s">
        <v>531</v>
      </c>
      <c r="K200" t="s">
        <v>388</v>
      </c>
      <c r="L200" s="154">
        <v>46299</v>
      </c>
      <c r="M200" t="s">
        <v>530</v>
      </c>
      <c r="N200" t="s">
        <v>178</v>
      </c>
      <c r="O200" t="s">
        <v>179</v>
      </c>
      <c r="P200">
        <v>3</v>
      </c>
      <c r="Q200" t="s">
        <v>194</v>
      </c>
    </row>
    <row r="201" spans="1:17" s="3" customFormat="1" hidden="1">
      <c r="A201" s="82">
        <v>3.0199675023148149E-2</v>
      </c>
      <c r="B201" t="s">
        <v>46</v>
      </c>
      <c r="C201"/>
      <c r="D201"/>
      <c r="E201" t="s">
        <v>53</v>
      </c>
      <c r="F201"/>
      <c r="G201" t="s">
        <v>113</v>
      </c>
      <c r="H201"/>
      <c r="I201" s="155">
        <v>46300.830046296294</v>
      </c>
      <c r="J201" t="s">
        <v>531</v>
      </c>
      <c r="K201" t="s">
        <v>388</v>
      </c>
      <c r="L201" s="154">
        <v>46299</v>
      </c>
      <c r="M201" t="s">
        <v>530</v>
      </c>
      <c r="N201" t="s">
        <v>178</v>
      </c>
      <c r="O201" t="s">
        <v>179</v>
      </c>
      <c r="P201">
        <v>3</v>
      </c>
      <c r="Q201" t="s">
        <v>194</v>
      </c>
    </row>
    <row r="202" spans="1:17" s="3" customFormat="1" hidden="1">
      <c r="A202" s="82">
        <v>2.9867105115740741E-2</v>
      </c>
      <c r="B202" t="s">
        <v>46</v>
      </c>
      <c r="C202"/>
      <c r="D202"/>
      <c r="E202" t="s">
        <v>37</v>
      </c>
      <c r="F202"/>
      <c r="G202" t="s">
        <v>47</v>
      </c>
      <c r="H202"/>
      <c r="I202" s="155">
        <v>46300.829965277779</v>
      </c>
      <c r="J202" t="s">
        <v>531</v>
      </c>
      <c r="K202" t="s">
        <v>388</v>
      </c>
      <c r="L202" s="154">
        <v>46299</v>
      </c>
      <c r="M202" t="s">
        <v>530</v>
      </c>
      <c r="N202" t="s">
        <v>178</v>
      </c>
      <c r="O202" t="s">
        <v>179</v>
      </c>
      <c r="P202">
        <v>3</v>
      </c>
      <c r="Q202" t="s">
        <v>194</v>
      </c>
    </row>
    <row r="203" spans="1:17" s="3" customFormat="1" hidden="1">
      <c r="A203" s="82">
        <v>2.9836379606481483E-2</v>
      </c>
      <c r="B203" t="s">
        <v>46</v>
      </c>
      <c r="C203"/>
      <c r="D203"/>
      <c r="E203" t="s">
        <v>133</v>
      </c>
      <c r="F203"/>
      <c r="G203" t="s">
        <v>47</v>
      </c>
      <c r="H203"/>
      <c r="I203" s="155">
        <v>46300.829930555556</v>
      </c>
      <c r="J203" t="s">
        <v>531</v>
      </c>
      <c r="K203" t="s">
        <v>388</v>
      </c>
      <c r="L203" s="154">
        <v>46299</v>
      </c>
      <c r="M203" t="s">
        <v>530</v>
      </c>
      <c r="N203" t="s">
        <v>178</v>
      </c>
      <c r="O203" t="s">
        <v>179</v>
      </c>
      <c r="P203">
        <v>3</v>
      </c>
      <c r="Q203" t="s">
        <v>194</v>
      </c>
    </row>
    <row r="204" spans="1:17" s="3" customFormat="1" hidden="1">
      <c r="A204" s="82">
        <v>2.9638042835648148E-2</v>
      </c>
      <c r="B204" t="s">
        <v>46</v>
      </c>
      <c r="C204" t="s">
        <v>549</v>
      </c>
      <c r="D204"/>
      <c r="E204" t="s">
        <v>59</v>
      </c>
      <c r="F204"/>
      <c r="G204" t="s">
        <v>113</v>
      </c>
      <c r="H204"/>
      <c r="I204" s="155">
        <v>46300.829687500001</v>
      </c>
      <c r="J204" t="s">
        <v>531</v>
      </c>
      <c r="K204" t="s">
        <v>388</v>
      </c>
      <c r="L204" s="154">
        <v>46299</v>
      </c>
      <c r="M204" t="s">
        <v>530</v>
      </c>
      <c r="N204" t="s">
        <v>178</v>
      </c>
      <c r="O204" t="s">
        <v>179</v>
      </c>
      <c r="P204">
        <v>3</v>
      </c>
      <c r="Q204" t="s">
        <v>194</v>
      </c>
    </row>
    <row r="205" spans="1:17" s="3" customFormat="1" hidden="1">
      <c r="A205" s="82">
        <v>2.9571588912037039E-2</v>
      </c>
      <c r="B205" t="s">
        <v>46</v>
      </c>
      <c r="C205"/>
      <c r="D205"/>
      <c r="E205" t="s">
        <v>53</v>
      </c>
      <c r="F205"/>
      <c r="G205" t="s">
        <v>113</v>
      </c>
      <c r="H205"/>
      <c r="I205" s="155">
        <v>46300.828530092593</v>
      </c>
      <c r="J205" t="s">
        <v>531</v>
      </c>
      <c r="K205" t="s">
        <v>388</v>
      </c>
      <c r="L205" s="154">
        <v>46299</v>
      </c>
      <c r="M205" t="s">
        <v>530</v>
      </c>
      <c r="N205" t="s">
        <v>178</v>
      </c>
      <c r="O205" t="s">
        <v>179</v>
      </c>
      <c r="P205">
        <v>3</v>
      </c>
      <c r="Q205" t="s">
        <v>194</v>
      </c>
    </row>
    <row r="206" spans="1:17" s="3" customFormat="1" hidden="1">
      <c r="A206" s="82">
        <v>2.8912921990740744E-2</v>
      </c>
      <c r="B206" t="s">
        <v>46</v>
      </c>
      <c r="C206"/>
      <c r="D206"/>
      <c r="E206" t="s">
        <v>37</v>
      </c>
      <c r="F206"/>
      <c r="G206" t="s">
        <v>113</v>
      </c>
      <c r="H206"/>
      <c r="I206" s="155">
        <v>46300.828356481485</v>
      </c>
      <c r="J206" t="s">
        <v>531</v>
      </c>
      <c r="K206" t="s">
        <v>388</v>
      </c>
      <c r="L206" s="154">
        <v>46299</v>
      </c>
      <c r="M206" t="s">
        <v>530</v>
      </c>
      <c r="N206" t="s">
        <v>178</v>
      </c>
      <c r="O206" t="s">
        <v>179</v>
      </c>
      <c r="P206">
        <v>3</v>
      </c>
      <c r="Q206" t="s">
        <v>194</v>
      </c>
    </row>
    <row r="207" spans="1:17" s="3" customFormat="1" hidden="1">
      <c r="A207" s="82">
        <v>2.8912921990740744E-2</v>
      </c>
      <c r="B207" t="s">
        <v>46</v>
      </c>
      <c r="C207" t="s">
        <v>32</v>
      </c>
      <c r="D207" t="s">
        <v>32</v>
      </c>
      <c r="E207" t="s">
        <v>161</v>
      </c>
      <c r="F207" t="s">
        <v>167</v>
      </c>
      <c r="G207" t="s">
        <v>113</v>
      </c>
      <c r="H207"/>
      <c r="I207" s="155">
        <v>46300.828356481485</v>
      </c>
      <c r="J207" t="s">
        <v>531</v>
      </c>
      <c r="K207" t="s">
        <v>388</v>
      </c>
      <c r="L207" s="154">
        <v>46299</v>
      </c>
      <c r="M207" t="s">
        <v>530</v>
      </c>
      <c r="N207" t="s">
        <v>178</v>
      </c>
      <c r="O207" t="s">
        <v>179</v>
      </c>
      <c r="P207">
        <v>3</v>
      </c>
      <c r="Q207" t="s">
        <v>194</v>
      </c>
    </row>
    <row r="208" spans="1:17" s="3" customFormat="1" hidden="1">
      <c r="A208" s="82">
        <v>2.8774714571759258E-2</v>
      </c>
      <c r="B208" t="s">
        <v>46</v>
      </c>
      <c r="C208" t="s">
        <v>547</v>
      </c>
      <c r="D208"/>
      <c r="E208" t="s">
        <v>57</v>
      </c>
      <c r="F208"/>
      <c r="G208" t="s">
        <v>113</v>
      </c>
      <c r="H208"/>
      <c r="I208" s="155">
        <v>46300.827233796299</v>
      </c>
      <c r="J208" t="s">
        <v>531</v>
      </c>
      <c r="K208" t="s">
        <v>388</v>
      </c>
      <c r="L208" s="154">
        <v>46299</v>
      </c>
      <c r="M208" t="s">
        <v>530</v>
      </c>
      <c r="N208" t="s">
        <v>178</v>
      </c>
      <c r="O208" t="s">
        <v>179</v>
      </c>
      <c r="P208">
        <v>3</v>
      </c>
      <c r="Q208" t="s">
        <v>194</v>
      </c>
    </row>
    <row r="209" spans="1:17" s="3" customFormat="1" hidden="1">
      <c r="A209" s="82">
        <v>2.8681044884259259E-2</v>
      </c>
      <c r="B209" t="s">
        <v>46</v>
      </c>
      <c r="C209"/>
      <c r="D209"/>
      <c r="E209" t="s">
        <v>62</v>
      </c>
      <c r="F209"/>
      <c r="G209" t="s">
        <v>113</v>
      </c>
      <c r="H209"/>
      <c r="I209" s="155">
        <v>46300.827002314814</v>
      </c>
      <c r="J209" t="s">
        <v>531</v>
      </c>
      <c r="K209" t="s">
        <v>388</v>
      </c>
      <c r="L209" s="154">
        <v>46299</v>
      </c>
      <c r="M209" t="s">
        <v>530</v>
      </c>
      <c r="N209" t="s">
        <v>178</v>
      </c>
      <c r="O209" t="s">
        <v>179</v>
      </c>
      <c r="P209">
        <v>3</v>
      </c>
      <c r="Q209" t="s">
        <v>194</v>
      </c>
    </row>
    <row r="210" spans="1:17" s="3" customFormat="1" hidden="1">
      <c r="A210" s="82">
        <v>2.8617537245370368E-2</v>
      </c>
      <c r="B210" t="s">
        <v>46</v>
      </c>
      <c r="C210"/>
      <c r="D210"/>
      <c r="E210" t="s">
        <v>53</v>
      </c>
      <c r="F210"/>
      <c r="G210" t="s">
        <v>113</v>
      </c>
      <c r="H210"/>
      <c r="I210" s="155">
        <v>46300.826377314814</v>
      </c>
      <c r="J210" t="s">
        <v>531</v>
      </c>
      <c r="K210" t="s">
        <v>388</v>
      </c>
      <c r="L210" s="154">
        <v>46299</v>
      </c>
      <c r="M210" t="s">
        <v>530</v>
      </c>
      <c r="N210" t="s">
        <v>178</v>
      </c>
      <c r="O210" t="s">
        <v>179</v>
      </c>
      <c r="P210">
        <v>3</v>
      </c>
      <c r="Q210" t="s">
        <v>194</v>
      </c>
    </row>
    <row r="211" spans="1:17" s="3" customFormat="1" hidden="1">
      <c r="A211" s="82">
        <v>2.8280695416666668E-2</v>
      </c>
      <c r="B211" t="s">
        <v>46</v>
      </c>
      <c r="C211"/>
      <c r="D211"/>
      <c r="E211" t="s">
        <v>37</v>
      </c>
      <c r="F211"/>
      <c r="G211" t="s">
        <v>47</v>
      </c>
      <c r="H211"/>
      <c r="I211" s="155">
        <v>46300.826238425929</v>
      </c>
      <c r="J211" t="s">
        <v>531</v>
      </c>
      <c r="K211" t="s">
        <v>388</v>
      </c>
      <c r="L211" s="154">
        <v>46299</v>
      </c>
      <c r="M211" t="s">
        <v>530</v>
      </c>
      <c r="N211" t="s">
        <v>178</v>
      </c>
      <c r="O211" t="s">
        <v>179</v>
      </c>
      <c r="P211">
        <v>3</v>
      </c>
      <c r="Q211" t="s">
        <v>194</v>
      </c>
    </row>
    <row r="212" spans="1:17" s="3" customFormat="1" hidden="1">
      <c r="A212" s="82">
        <v>2.8243720578703703E-2</v>
      </c>
      <c r="B212" t="s">
        <v>46</v>
      </c>
      <c r="C212"/>
      <c r="D212"/>
      <c r="E212" t="s">
        <v>133</v>
      </c>
      <c r="F212"/>
      <c r="G212" t="s">
        <v>47</v>
      </c>
      <c r="H212"/>
      <c r="I212" s="155">
        <v>46300.826203703706</v>
      </c>
      <c r="J212" t="s">
        <v>531</v>
      </c>
      <c r="K212" t="s">
        <v>388</v>
      </c>
      <c r="L212" s="154">
        <v>46299</v>
      </c>
      <c r="M212" t="s">
        <v>530</v>
      </c>
      <c r="N212" t="s">
        <v>178</v>
      </c>
      <c r="O212" t="s">
        <v>179</v>
      </c>
      <c r="P212">
        <v>3</v>
      </c>
      <c r="Q212" t="s">
        <v>194</v>
      </c>
    </row>
    <row r="213" spans="1:17" s="3" customFormat="1" hidden="1">
      <c r="A213" s="82">
        <v>2.8222221643518518E-2</v>
      </c>
      <c r="B213" t="s">
        <v>46</v>
      </c>
      <c r="C213"/>
      <c r="D213"/>
      <c r="E213" t="s">
        <v>135</v>
      </c>
      <c r="F213"/>
      <c r="G213" t="s">
        <v>47</v>
      </c>
      <c r="H213"/>
      <c r="I213" s="155">
        <v>46300.826180555552</v>
      </c>
      <c r="J213" t="s">
        <v>531</v>
      </c>
      <c r="K213" t="s">
        <v>388</v>
      </c>
      <c r="L213" s="154">
        <v>46299</v>
      </c>
      <c r="M213" t="s">
        <v>530</v>
      </c>
      <c r="N213" t="s">
        <v>178</v>
      </c>
      <c r="O213" t="s">
        <v>179</v>
      </c>
      <c r="P213">
        <v>3</v>
      </c>
      <c r="Q213" t="s">
        <v>194</v>
      </c>
    </row>
    <row r="214" spans="1:17" s="3" customFormat="1" hidden="1">
      <c r="A214" s="82">
        <v>2.8173067523148146E-2</v>
      </c>
      <c r="B214" t="s">
        <v>46</v>
      </c>
      <c r="C214"/>
      <c r="D214"/>
      <c r="E214" t="s">
        <v>49</v>
      </c>
      <c r="F214"/>
      <c r="G214" t="s">
        <v>113</v>
      </c>
      <c r="H214"/>
      <c r="I214" s="155">
        <v>46300.826122685183</v>
      </c>
      <c r="J214" t="s">
        <v>531</v>
      </c>
      <c r="K214" t="s">
        <v>388</v>
      </c>
      <c r="L214" s="154">
        <v>46299</v>
      </c>
      <c r="M214" t="s">
        <v>530</v>
      </c>
      <c r="N214" t="s">
        <v>178</v>
      </c>
      <c r="O214" t="s">
        <v>179</v>
      </c>
      <c r="P214">
        <v>3</v>
      </c>
      <c r="Q214" t="s">
        <v>194</v>
      </c>
    </row>
    <row r="215" spans="1:17" s="3" customFormat="1" hidden="1">
      <c r="A215" s="82">
        <v>2.784151922453704E-2</v>
      </c>
      <c r="B215" t="s">
        <v>46</v>
      </c>
      <c r="C215" t="s">
        <v>542</v>
      </c>
      <c r="D215"/>
      <c r="E215" t="s">
        <v>65</v>
      </c>
      <c r="F215"/>
      <c r="G215" t="s">
        <v>47</v>
      </c>
      <c r="H215"/>
      <c r="I215" s="155">
        <v>46300.825543981482</v>
      </c>
      <c r="J215" t="s">
        <v>531</v>
      </c>
      <c r="K215" t="s">
        <v>388</v>
      </c>
      <c r="L215" s="154">
        <v>46299</v>
      </c>
      <c r="M215" t="s">
        <v>530</v>
      </c>
      <c r="N215" t="s">
        <v>178</v>
      </c>
      <c r="O215" t="s">
        <v>179</v>
      </c>
      <c r="P215">
        <v>3</v>
      </c>
      <c r="Q215" t="s">
        <v>194</v>
      </c>
    </row>
    <row r="216" spans="1:17" s="3" customFormat="1" hidden="1">
      <c r="A216" s="82">
        <v>2.6957184861111108E-2</v>
      </c>
      <c r="B216" t="s">
        <v>46</v>
      </c>
      <c r="C216"/>
      <c r="D216"/>
      <c r="E216" t="s">
        <v>37</v>
      </c>
      <c r="F216"/>
      <c r="G216" t="s">
        <v>47</v>
      </c>
      <c r="H216"/>
      <c r="I216" s="155">
        <v>46300.825324074074</v>
      </c>
      <c r="J216" t="s">
        <v>531</v>
      </c>
      <c r="K216" t="s">
        <v>388</v>
      </c>
      <c r="L216" s="154">
        <v>46299</v>
      </c>
      <c r="M216" t="s">
        <v>530</v>
      </c>
      <c r="N216" t="s">
        <v>178</v>
      </c>
      <c r="O216" t="s">
        <v>179</v>
      </c>
      <c r="P216">
        <v>3</v>
      </c>
      <c r="Q216" t="s">
        <v>194</v>
      </c>
    </row>
    <row r="217" spans="1:17" s="3" customFormat="1" hidden="1">
      <c r="A217" s="82">
        <v>2.6957184861111108E-2</v>
      </c>
      <c r="B217" t="s">
        <v>46</v>
      </c>
      <c r="C217"/>
      <c r="D217"/>
      <c r="E217" t="s">
        <v>160</v>
      </c>
      <c r="F217" t="s">
        <v>156</v>
      </c>
      <c r="G217" t="s">
        <v>47</v>
      </c>
      <c r="H217"/>
      <c r="I217" s="155">
        <v>46300.825324074074</v>
      </c>
      <c r="J217" t="s">
        <v>531</v>
      </c>
      <c r="K217" t="s">
        <v>388</v>
      </c>
      <c r="L217" s="154">
        <v>46299</v>
      </c>
      <c r="M217" t="s">
        <v>530</v>
      </c>
      <c r="N217" t="s">
        <v>178</v>
      </c>
      <c r="O217" t="s">
        <v>179</v>
      </c>
      <c r="P217">
        <v>3</v>
      </c>
      <c r="Q217" t="s">
        <v>194</v>
      </c>
    </row>
    <row r="218" spans="1:17" s="3" customFormat="1" hidden="1">
      <c r="A218" s="82">
        <v>2.6784977928240739E-2</v>
      </c>
      <c r="B218" t="s">
        <v>46</v>
      </c>
      <c r="C218" t="s">
        <v>549</v>
      </c>
      <c r="D218"/>
      <c r="E218" t="s">
        <v>406</v>
      </c>
      <c r="F218"/>
      <c r="G218" t="s">
        <v>47</v>
      </c>
      <c r="H218"/>
      <c r="I218" s="155">
        <v>46300.824907407405</v>
      </c>
      <c r="J218" t="s">
        <v>531</v>
      </c>
      <c r="K218" t="s">
        <v>388</v>
      </c>
      <c r="L218" s="154">
        <v>46299</v>
      </c>
      <c r="M218" t="s">
        <v>530</v>
      </c>
      <c r="N218" t="s">
        <v>178</v>
      </c>
      <c r="O218" t="s">
        <v>179</v>
      </c>
      <c r="P218">
        <v>3</v>
      </c>
      <c r="Q218" t="s">
        <v>194</v>
      </c>
    </row>
    <row r="219" spans="1:17" s="3" customFormat="1" hidden="1">
      <c r="A219" s="82">
        <v>2.6588071979166666E-2</v>
      </c>
      <c r="B219" t="s">
        <v>46</v>
      </c>
      <c r="C219" t="s">
        <v>538</v>
      </c>
      <c r="D219"/>
      <c r="E219" t="s">
        <v>406</v>
      </c>
      <c r="F219"/>
      <c r="G219" t="s">
        <v>47</v>
      </c>
      <c r="H219"/>
      <c r="I219" s="155">
        <v>46300.824652777781</v>
      </c>
      <c r="J219" t="s">
        <v>531</v>
      </c>
      <c r="K219" t="s">
        <v>388</v>
      </c>
      <c r="L219" s="154">
        <v>46299</v>
      </c>
      <c r="M219" t="s">
        <v>530</v>
      </c>
      <c r="N219" t="s">
        <v>178</v>
      </c>
      <c r="O219" t="s">
        <v>179</v>
      </c>
      <c r="P219">
        <v>3</v>
      </c>
      <c r="Q219" t="s">
        <v>194</v>
      </c>
    </row>
    <row r="220" spans="1:17" s="3" customFormat="1" hidden="1">
      <c r="A220" s="82">
        <v>2.6425977881944448E-2</v>
      </c>
      <c r="B220" t="s">
        <v>46</v>
      </c>
      <c r="C220" t="s">
        <v>543</v>
      </c>
      <c r="D220"/>
      <c r="E220" t="s">
        <v>249</v>
      </c>
      <c r="F220"/>
      <c r="G220" t="s">
        <v>47</v>
      </c>
      <c r="H220"/>
      <c r="I220" s="155">
        <v>46300.82439814815</v>
      </c>
      <c r="J220" t="s">
        <v>531</v>
      </c>
      <c r="K220" t="s">
        <v>388</v>
      </c>
      <c r="L220" s="154">
        <v>46299</v>
      </c>
      <c r="M220" t="s">
        <v>530</v>
      </c>
      <c r="N220" t="s">
        <v>178</v>
      </c>
      <c r="O220" t="s">
        <v>179</v>
      </c>
      <c r="P220">
        <v>3</v>
      </c>
      <c r="Q220" t="s">
        <v>194</v>
      </c>
    </row>
    <row r="221" spans="1:17" s="3" customFormat="1" hidden="1">
      <c r="A221" s="82">
        <v>2.640842709490741E-2</v>
      </c>
      <c r="B221" t="s">
        <v>46</v>
      </c>
      <c r="C221"/>
      <c r="D221"/>
      <c r="E221" t="s">
        <v>225</v>
      </c>
      <c r="F221"/>
      <c r="G221" t="s">
        <v>47</v>
      </c>
      <c r="H221"/>
      <c r="I221" s="155">
        <v>46300.824247685188</v>
      </c>
      <c r="J221" t="s">
        <v>531</v>
      </c>
      <c r="K221" t="s">
        <v>388</v>
      </c>
      <c r="L221" s="154">
        <v>46299</v>
      </c>
      <c r="M221" t="s">
        <v>530</v>
      </c>
      <c r="N221" t="s">
        <v>178</v>
      </c>
      <c r="O221" t="s">
        <v>179</v>
      </c>
      <c r="P221">
        <v>3</v>
      </c>
      <c r="Q221" t="s">
        <v>194</v>
      </c>
    </row>
    <row r="222" spans="1:17" s="3" customFormat="1" hidden="1">
      <c r="A222" s="82">
        <v>2.6319208541666667E-2</v>
      </c>
      <c r="B222" t="s">
        <v>46</v>
      </c>
      <c r="C222"/>
      <c r="D222"/>
      <c r="E222" t="s">
        <v>54</v>
      </c>
      <c r="F222"/>
      <c r="G222" t="s">
        <v>47</v>
      </c>
      <c r="H222"/>
      <c r="I222" s="155">
        <v>46300.823993055557</v>
      </c>
      <c r="J222" t="s">
        <v>531</v>
      </c>
      <c r="K222" t="s">
        <v>388</v>
      </c>
      <c r="L222" s="154">
        <v>46299</v>
      </c>
      <c r="M222" t="s">
        <v>530</v>
      </c>
      <c r="N222" t="s">
        <v>178</v>
      </c>
      <c r="O222" t="s">
        <v>179</v>
      </c>
      <c r="P222">
        <v>3</v>
      </c>
      <c r="Q222" t="s">
        <v>194</v>
      </c>
    </row>
    <row r="223" spans="1:17" s="3" customFormat="1" hidden="1">
      <c r="A223" s="82">
        <v>2.5969846539351853E-2</v>
      </c>
      <c r="B223" t="s">
        <v>46</v>
      </c>
      <c r="C223"/>
      <c r="D223"/>
      <c r="E223" t="s">
        <v>37</v>
      </c>
      <c r="F223"/>
      <c r="G223" t="s">
        <v>47</v>
      </c>
      <c r="H223"/>
      <c r="I223" s="155">
        <v>46300.823946759258</v>
      </c>
      <c r="J223" t="s">
        <v>531</v>
      </c>
      <c r="K223" t="s">
        <v>388</v>
      </c>
      <c r="L223" s="154">
        <v>46299</v>
      </c>
      <c r="M223" t="s">
        <v>530</v>
      </c>
      <c r="N223" t="s">
        <v>178</v>
      </c>
      <c r="O223" t="s">
        <v>179</v>
      </c>
      <c r="P223">
        <v>3</v>
      </c>
      <c r="Q223" t="s">
        <v>194</v>
      </c>
    </row>
    <row r="224" spans="1:17" s="3" customFormat="1" hidden="1">
      <c r="A224" s="82">
        <v>2.5948320451388888E-2</v>
      </c>
      <c r="B224" t="s">
        <v>46</v>
      </c>
      <c r="C224"/>
      <c r="D224"/>
      <c r="E224" t="s">
        <v>132</v>
      </c>
      <c r="F224"/>
      <c r="G224" t="s">
        <v>113</v>
      </c>
      <c r="H224"/>
      <c r="I224" s="155">
        <v>46300.823923611111</v>
      </c>
      <c r="J224" t="s">
        <v>531</v>
      </c>
      <c r="K224" t="s">
        <v>388</v>
      </c>
      <c r="L224" s="154">
        <v>46299</v>
      </c>
      <c r="M224" t="s">
        <v>530</v>
      </c>
      <c r="N224" t="s">
        <v>178</v>
      </c>
      <c r="O224" t="s">
        <v>179</v>
      </c>
      <c r="P224">
        <v>3</v>
      </c>
      <c r="Q224" t="s">
        <v>194</v>
      </c>
    </row>
    <row r="225" spans="1:17" s="3" customFormat="1" hidden="1">
      <c r="A225" s="82">
        <v>2.5834604108796295E-2</v>
      </c>
      <c r="B225" t="s">
        <v>46</v>
      </c>
      <c r="C225" t="s">
        <v>539</v>
      </c>
      <c r="D225"/>
      <c r="E225" t="s">
        <v>57</v>
      </c>
      <c r="F225"/>
      <c r="G225" t="s">
        <v>113</v>
      </c>
      <c r="H225"/>
      <c r="I225" s="155">
        <v>46300.823773148149</v>
      </c>
      <c r="J225" t="s">
        <v>531</v>
      </c>
      <c r="K225" t="s">
        <v>388</v>
      </c>
      <c r="L225" s="154">
        <v>46299</v>
      </c>
      <c r="M225" t="s">
        <v>530</v>
      </c>
      <c r="N225" t="s">
        <v>178</v>
      </c>
      <c r="O225" t="s">
        <v>179</v>
      </c>
      <c r="P225">
        <v>3</v>
      </c>
      <c r="Q225" t="s">
        <v>194</v>
      </c>
    </row>
    <row r="226" spans="1:17" s="3" customFormat="1" hidden="1">
      <c r="A226" s="82">
        <v>2.5833507754629628E-2</v>
      </c>
      <c r="B226" t="s">
        <v>46</v>
      </c>
      <c r="C226" t="s">
        <v>543</v>
      </c>
      <c r="D226"/>
      <c r="E226" t="s">
        <v>57</v>
      </c>
      <c r="F226"/>
      <c r="G226" t="s">
        <v>113</v>
      </c>
      <c r="H226"/>
      <c r="I226" s="155">
        <v>46300.823541666665</v>
      </c>
      <c r="J226" t="s">
        <v>531</v>
      </c>
      <c r="K226" t="s">
        <v>388</v>
      </c>
      <c r="L226" s="154">
        <v>46299</v>
      </c>
      <c r="M226" t="s">
        <v>530</v>
      </c>
      <c r="N226" t="s">
        <v>178</v>
      </c>
      <c r="O226" t="s">
        <v>179</v>
      </c>
      <c r="P226">
        <v>3</v>
      </c>
      <c r="Q226" t="s">
        <v>194</v>
      </c>
    </row>
    <row r="227" spans="1:17" s="3" customFormat="1" hidden="1">
      <c r="A227" s="82">
        <v>2.5762481030092592E-2</v>
      </c>
      <c r="B227" t="s">
        <v>46</v>
      </c>
      <c r="C227" t="s">
        <v>534</v>
      </c>
      <c r="D227"/>
      <c r="E227" t="s">
        <v>132</v>
      </c>
      <c r="F227"/>
      <c r="G227" t="s">
        <v>47</v>
      </c>
      <c r="H227"/>
      <c r="I227" s="155">
        <v>46300.82335648148</v>
      </c>
      <c r="J227" t="s">
        <v>531</v>
      </c>
      <c r="K227" t="s">
        <v>388</v>
      </c>
      <c r="L227" s="154">
        <v>46299</v>
      </c>
      <c r="M227" t="s">
        <v>530</v>
      </c>
      <c r="N227" t="s">
        <v>178</v>
      </c>
      <c r="O227" t="s">
        <v>179</v>
      </c>
      <c r="P227">
        <v>3</v>
      </c>
      <c r="Q227" t="s">
        <v>194</v>
      </c>
    </row>
    <row r="228" spans="1:17" s="3" customFormat="1" hidden="1">
      <c r="A228" s="82">
        <v>2.5777344467592594E-2</v>
      </c>
      <c r="B228" t="s">
        <v>46</v>
      </c>
      <c r="C228"/>
      <c r="D228"/>
      <c r="E228" t="s">
        <v>62</v>
      </c>
      <c r="F228"/>
      <c r="G228" t="s">
        <v>113</v>
      </c>
      <c r="H228"/>
      <c r="I228" s="155">
        <v>46300.823159722226</v>
      </c>
      <c r="J228" t="s">
        <v>531</v>
      </c>
      <c r="K228" t="s">
        <v>388</v>
      </c>
      <c r="L228" s="154">
        <v>46299</v>
      </c>
      <c r="M228" t="s">
        <v>530</v>
      </c>
      <c r="N228" t="s">
        <v>178</v>
      </c>
      <c r="O228" t="s">
        <v>179</v>
      </c>
      <c r="P228">
        <v>3</v>
      </c>
      <c r="Q228" t="s">
        <v>194</v>
      </c>
    </row>
    <row r="229" spans="1:17" s="3" customFormat="1" hidden="1">
      <c r="A229" s="82">
        <v>2.5674224432870367E-2</v>
      </c>
      <c r="B229" t="s">
        <v>46</v>
      </c>
      <c r="C229"/>
      <c r="D229"/>
      <c r="E229" t="s">
        <v>53</v>
      </c>
      <c r="F229"/>
      <c r="G229" t="s">
        <v>113</v>
      </c>
      <c r="H229"/>
      <c r="I229" s="155">
        <v>46300.822523148148</v>
      </c>
      <c r="J229" t="s">
        <v>531</v>
      </c>
      <c r="K229" t="s">
        <v>388</v>
      </c>
      <c r="L229" s="154">
        <v>46299</v>
      </c>
      <c r="M229" t="s">
        <v>530</v>
      </c>
      <c r="N229" t="s">
        <v>178</v>
      </c>
      <c r="O229" t="s">
        <v>179</v>
      </c>
      <c r="P229">
        <v>3</v>
      </c>
      <c r="Q229" t="s">
        <v>194</v>
      </c>
    </row>
    <row r="230" spans="1:17" s="3" customFormat="1" hidden="1">
      <c r="A230" s="82">
        <v>2.4825254444444445E-2</v>
      </c>
      <c r="B230" t="s">
        <v>46</v>
      </c>
      <c r="C230"/>
      <c r="D230"/>
      <c r="E230" t="s">
        <v>37</v>
      </c>
      <c r="F230"/>
      <c r="G230" t="s">
        <v>113</v>
      </c>
      <c r="H230"/>
      <c r="I230" s="155">
        <v>46300.822430555556</v>
      </c>
      <c r="J230" t="s">
        <v>531</v>
      </c>
      <c r="K230" t="s">
        <v>388</v>
      </c>
      <c r="L230" s="154">
        <v>46299</v>
      </c>
      <c r="M230" t="s">
        <v>530</v>
      </c>
      <c r="N230" t="s">
        <v>178</v>
      </c>
      <c r="O230" t="s">
        <v>179</v>
      </c>
      <c r="P230">
        <v>3</v>
      </c>
      <c r="Q230" t="s">
        <v>194</v>
      </c>
    </row>
    <row r="231" spans="1:17" s="3" customFormat="1" hidden="1">
      <c r="A231" s="82">
        <v>2.4825254444444445E-2</v>
      </c>
      <c r="B231" t="s">
        <v>46</v>
      </c>
      <c r="C231" t="s">
        <v>545</v>
      </c>
      <c r="D231" t="s">
        <v>169</v>
      </c>
      <c r="E231" t="s">
        <v>161</v>
      </c>
      <c r="F231" t="s">
        <v>501</v>
      </c>
      <c r="G231" t="s">
        <v>113</v>
      </c>
      <c r="H231"/>
      <c r="I231" s="155">
        <v>46300.822430555556</v>
      </c>
      <c r="J231" t="s">
        <v>531</v>
      </c>
      <c r="K231" t="s">
        <v>388</v>
      </c>
      <c r="L231" s="154">
        <v>46299</v>
      </c>
      <c r="M231" t="s">
        <v>530</v>
      </c>
      <c r="N231" t="s">
        <v>178</v>
      </c>
      <c r="O231" t="s">
        <v>179</v>
      </c>
      <c r="P231">
        <v>3</v>
      </c>
      <c r="Q231" t="s">
        <v>194</v>
      </c>
    </row>
    <row r="232" spans="1:17" s="3" customFormat="1" hidden="1">
      <c r="A232" s="82">
        <v>2.4766246377314817E-2</v>
      </c>
      <c r="B232" t="s">
        <v>46</v>
      </c>
      <c r="C232" t="s">
        <v>545</v>
      </c>
      <c r="D232"/>
      <c r="E232" t="s">
        <v>407</v>
      </c>
      <c r="F232"/>
      <c r="G232" t="s">
        <v>47</v>
      </c>
      <c r="H232" t="s">
        <v>588</v>
      </c>
      <c r="I232" s="155">
        <v>46300.819803240738</v>
      </c>
      <c r="J232" t="s">
        <v>531</v>
      </c>
      <c r="K232" t="s">
        <v>388</v>
      </c>
      <c r="L232" s="154">
        <v>46299</v>
      </c>
      <c r="M232" t="s">
        <v>530</v>
      </c>
      <c r="N232" t="s">
        <v>178</v>
      </c>
      <c r="O232" t="s">
        <v>179</v>
      </c>
      <c r="P232">
        <v>3</v>
      </c>
      <c r="Q232" t="s">
        <v>194</v>
      </c>
    </row>
    <row r="233" spans="1:17" s="3" customFormat="1" hidden="1">
      <c r="A233" s="82">
        <v>2.455613859953704E-2</v>
      </c>
      <c r="B233" t="s">
        <v>46</v>
      </c>
      <c r="C233" t="s">
        <v>549</v>
      </c>
      <c r="D233"/>
      <c r="E233" t="s">
        <v>60</v>
      </c>
      <c r="F233"/>
      <c r="G233" t="s">
        <v>47</v>
      </c>
      <c r="H233"/>
      <c r="I233" s="155">
        <v>46300.819374999999</v>
      </c>
      <c r="J233" t="s">
        <v>531</v>
      </c>
      <c r="K233" t="s">
        <v>388</v>
      </c>
      <c r="L233" s="154">
        <v>46299</v>
      </c>
      <c r="M233" t="s">
        <v>530</v>
      </c>
      <c r="N233" t="s">
        <v>178</v>
      </c>
      <c r="O233" t="s">
        <v>179</v>
      </c>
      <c r="P233">
        <v>3</v>
      </c>
      <c r="Q233" t="s">
        <v>194</v>
      </c>
    </row>
    <row r="234" spans="1:17" s="3" customFormat="1" hidden="1">
      <c r="A234" s="82">
        <v>2.4575568148148149E-2</v>
      </c>
      <c r="B234" t="s">
        <v>46</v>
      </c>
      <c r="C234"/>
      <c r="D234"/>
      <c r="E234" t="s">
        <v>53</v>
      </c>
      <c r="F234"/>
      <c r="G234" t="s">
        <v>47</v>
      </c>
      <c r="H234"/>
      <c r="I234" s="155">
        <v>46300.818356481483</v>
      </c>
      <c r="J234" t="s">
        <v>531</v>
      </c>
      <c r="K234" t="s">
        <v>388</v>
      </c>
      <c r="L234" s="154">
        <v>46299</v>
      </c>
      <c r="M234" t="s">
        <v>530</v>
      </c>
      <c r="N234" t="s">
        <v>178</v>
      </c>
      <c r="O234" t="s">
        <v>179</v>
      </c>
      <c r="P234">
        <v>3</v>
      </c>
      <c r="Q234" t="s">
        <v>194</v>
      </c>
    </row>
    <row r="235" spans="1:17" s="3" customFormat="1" hidden="1">
      <c r="A235" s="82">
        <v>2.3842382106481486E-2</v>
      </c>
      <c r="B235" t="s">
        <v>46</v>
      </c>
      <c r="C235"/>
      <c r="D235"/>
      <c r="E235" t="s">
        <v>37</v>
      </c>
      <c r="F235"/>
      <c r="G235" t="s">
        <v>47</v>
      </c>
      <c r="H235"/>
      <c r="I235" s="155">
        <v>46300.818252314813</v>
      </c>
      <c r="J235" t="s">
        <v>531</v>
      </c>
      <c r="K235" t="s">
        <v>388</v>
      </c>
      <c r="L235" s="154">
        <v>46299</v>
      </c>
      <c r="M235" t="s">
        <v>530</v>
      </c>
      <c r="N235" t="s">
        <v>178</v>
      </c>
      <c r="O235" t="s">
        <v>179</v>
      </c>
      <c r="P235">
        <v>3</v>
      </c>
      <c r="Q235" t="s">
        <v>194</v>
      </c>
    </row>
    <row r="236" spans="1:17" s="3" customFormat="1" hidden="1">
      <c r="A236" s="82">
        <v>2.3842382106481486E-2</v>
      </c>
      <c r="B236" t="s">
        <v>46</v>
      </c>
      <c r="C236"/>
      <c r="D236"/>
      <c r="E236" t="s">
        <v>160</v>
      </c>
      <c r="F236" t="s">
        <v>505</v>
      </c>
      <c r="G236" t="s">
        <v>47</v>
      </c>
      <c r="H236"/>
      <c r="I236" s="155">
        <v>46300.818252314813</v>
      </c>
      <c r="J236" t="s">
        <v>531</v>
      </c>
      <c r="K236" t="s">
        <v>388</v>
      </c>
      <c r="L236" s="154">
        <v>46299</v>
      </c>
      <c r="M236" t="s">
        <v>530</v>
      </c>
      <c r="N236" t="s">
        <v>178</v>
      </c>
      <c r="O236" t="s">
        <v>179</v>
      </c>
      <c r="P236">
        <v>3</v>
      </c>
      <c r="Q236" t="s">
        <v>194</v>
      </c>
    </row>
    <row r="237" spans="1:17" s="3" customFormat="1" hidden="1">
      <c r="A237" s="82">
        <v>2.3719336539351852E-2</v>
      </c>
      <c r="B237" t="s">
        <v>46</v>
      </c>
      <c r="C237" t="s">
        <v>546</v>
      </c>
      <c r="D237"/>
      <c r="E237" t="s">
        <v>407</v>
      </c>
      <c r="F237"/>
      <c r="G237" t="s">
        <v>47</v>
      </c>
      <c r="H237"/>
      <c r="I237" s="155">
        <v>46300.817523148151</v>
      </c>
      <c r="J237" t="s">
        <v>531</v>
      </c>
      <c r="K237" t="s">
        <v>388</v>
      </c>
      <c r="L237" s="154">
        <v>46299</v>
      </c>
      <c r="M237" t="s">
        <v>530</v>
      </c>
      <c r="N237" t="s">
        <v>178</v>
      </c>
      <c r="O237" t="s">
        <v>179</v>
      </c>
      <c r="P237">
        <v>3</v>
      </c>
      <c r="Q237" t="s">
        <v>194</v>
      </c>
    </row>
    <row r="238" spans="1:17" s="3" customFormat="1" hidden="1">
      <c r="A238" s="82">
        <v>2.3665356087962962E-2</v>
      </c>
      <c r="B238" t="s">
        <v>46</v>
      </c>
      <c r="C238" t="s">
        <v>549</v>
      </c>
      <c r="D238"/>
      <c r="E238" t="s">
        <v>406</v>
      </c>
      <c r="F238"/>
      <c r="G238" t="s">
        <v>47</v>
      </c>
      <c r="H238"/>
      <c r="I238" s="155">
        <v>46300.817164351851</v>
      </c>
      <c r="J238" t="s">
        <v>531</v>
      </c>
      <c r="K238" t="s">
        <v>388</v>
      </c>
      <c r="L238" s="154">
        <v>46299</v>
      </c>
      <c r="M238" t="s">
        <v>530</v>
      </c>
      <c r="N238" t="s">
        <v>178</v>
      </c>
      <c r="O238" t="s">
        <v>179</v>
      </c>
      <c r="P238">
        <v>3</v>
      </c>
      <c r="Q238" t="s">
        <v>194</v>
      </c>
    </row>
    <row r="239" spans="1:17" s="3" customFormat="1" hidden="1">
      <c r="A239" s="82">
        <v>2.362486923611111E-2</v>
      </c>
      <c r="B239" t="s">
        <v>46</v>
      </c>
      <c r="C239"/>
      <c r="D239"/>
      <c r="E239" t="s">
        <v>132</v>
      </c>
      <c r="F239"/>
      <c r="G239" t="s">
        <v>113</v>
      </c>
      <c r="H239"/>
      <c r="I239" s="155">
        <v>46300.817048611112</v>
      </c>
      <c r="J239" t="s">
        <v>531</v>
      </c>
      <c r="K239" t="s">
        <v>388</v>
      </c>
      <c r="L239" s="154">
        <v>46299</v>
      </c>
      <c r="M239" t="s">
        <v>530</v>
      </c>
      <c r="N239" t="s">
        <v>178</v>
      </c>
      <c r="O239" t="s">
        <v>179</v>
      </c>
      <c r="P239">
        <v>3</v>
      </c>
      <c r="Q239" t="s">
        <v>194</v>
      </c>
    </row>
    <row r="240" spans="1:17" s="3" customFormat="1" hidden="1">
      <c r="A240" s="82">
        <v>2.3601596666666665E-2</v>
      </c>
      <c r="B240" t="s">
        <v>46</v>
      </c>
      <c r="C240" t="s">
        <v>549</v>
      </c>
      <c r="D240"/>
      <c r="E240" t="s">
        <v>57</v>
      </c>
      <c r="F240"/>
      <c r="G240" t="s">
        <v>113</v>
      </c>
      <c r="H240"/>
      <c r="I240" s="155">
        <v>46300.816944444443</v>
      </c>
      <c r="J240" t="s">
        <v>531</v>
      </c>
      <c r="K240" t="s">
        <v>388</v>
      </c>
      <c r="L240" s="154">
        <v>46299</v>
      </c>
      <c r="M240" t="s">
        <v>530</v>
      </c>
      <c r="N240" t="s">
        <v>178</v>
      </c>
      <c r="O240" t="s">
        <v>179</v>
      </c>
      <c r="P240">
        <v>3</v>
      </c>
      <c r="Q240" t="s">
        <v>194</v>
      </c>
    </row>
    <row r="241" spans="1:17" s="3" customFormat="1" hidden="1">
      <c r="A241" s="82">
        <v>2.3577325462962963E-2</v>
      </c>
      <c r="B241" t="s">
        <v>46</v>
      </c>
      <c r="C241" t="s">
        <v>543</v>
      </c>
      <c r="D241"/>
      <c r="E241" t="s">
        <v>57</v>
      </c>
      <c r="F241"/>
      <c r="G241" t="s">
        <v>113</v>
      </c>
      <c r="H241"/>
      <c r="I241" s="155">
        <v>46300.816689814812</v>
      </c>
      <c r="J241" t="s">
        <v>531</v>
      </c>
      <c r="K241" t="s">
        <v>388</v>
      </c>
      <c r="L241" s="154">
        <v>46299</v>
      </c>
      <c r="M241" t="s">
        <v>530</v>
      </c>
      <c r="N241" t="s">
        <v>178</v>
      </c>
      <c r="O241" t="s">
        <v>179</v>
      </c>
      <c r="P241">
        <v>3</v>
      </c>
      <c r="Q241" t="s">
        <v>194</v>
      </c>
    </row>
    <row r="242" spans="1:17" s="3" customFormat="1" hidden="1">
      <c r="A242" s="82">
        <v>2.3555047881944444E-2</v>
      </c>
      <c r="B242" t="s">
        <v>46</v>
      </c>
      <c r="C242"/>
      <c r="D242"/>
      <c r="E242" t="s">
        <v>231</v>
      </c>
      <c r="F242"/>
      <c r="G242" t="s">
        <v>113</v>
      </c>
      <c r="H242"/>
      <c r="I242" s="155">
        <v>46300.816481481481</v>
      </c>
      <c r="J242" t="s">
        <v>531</v>
      </c>
      <c r="K242" t="s">
        <v>388</v>
      </c>
      <c r="L242" s="154">
        <v>46299</v>
      </c>
      <c r="M242" t="s">
        <v>530</v>
      </c>
      <c r="N242" t="s">
        <v>178</v>
      </c>
      <c r="O242" t="s">
        <v>179</v>
      </c>
      <c r="P242">
        <v>3</v>
      </c>
      <c r="Q242" t="s">
        <v>194</v>
      </c>
    </row>
    <row r="243" spans="1:17" s="3" customFormat="1" hidden="1">
      <c r="A243" s="82">
        <v>2.3478259884259257E-2</v>
      </c>
      <c r="B243" t="s">
        <v>46</v>
      </c>
      <c r="C243"/>
      <c r="D243"/>
      <c r="E243" t="s">
        <v>54</v>
      </c>
      <c r="F243"/>
      <c r="G243" t="s">
        <v>113</v>
      </c>
      <c r="H243"/>
      <c r="I243" s="155">
        <v>46300.81621527778</v>
      </c>
      <c r="J243" t="s">
        <v>531</v>
      </c>
      <c r="K243" t="s">
        <v>388</v>
      </c>
      <c r="L243" s="154">
        <v>46299</v>
      </c>
      <c r="M243" t="s">
        <v>530</v>
      </c>
      <c r="N243" t="s">
        <v>178</v>
      </c>
      <c r="O243" t="s">
        <v>179</v>
      </c>
      <c r="P243">
        <v>3</v>
      </c>
      <c r="Q243" t="s">
        <v>194</v>
      </c>
    </row>
    <row r="244" spans="1:17" s="3" customFormat="1" hidden="1">
      <c r="A244" s="82">
        <v>2.295209684027778E-2</v>
      </c>
      <c r="B244" t="s">
        <v>46</v>
      </c>
      <c r="C244"/>
      <c r="D244"/>
      <c r="E244" t="s">
        <v>37</v>
      </c>
      <c r="F244"/>
      <c r="G244" t="s">
        <v>113</v>
      </c>
      <c r="H244"/>
      <c r="I244" s="155">
        <v>46300.816145833334</v>
      </c>
      <c r="J244" t="s">
        <v>531</v>
      </c>
      <c r="K244" t="s">
        <v>388</v>
      </c>
      <c r="L244" s="154">
        <v>46299</v>
      </c>
      <c r="M244" t="s">
        <v>530</v>
      </c>
      <c r="N244" t="s">
        <v>178</v>
      </c>
      <c r="O244" t="s">
        <v>179</v>
      </c>
      <c r="P244">
        <v>3</v>
      </c>
      <c r="Q244" t="s">
        <v>194</v>
      </c>
    </row>
    <row r="245" spans="1:17" s="3" customFormat="1" hidden="1">
      <c r="A245" s="82">
        <v>2.2915105601851851E-2</v>
      </c>
      <c r="B245" t="s">
        <v>46</v>
      </c>
      <c r="C245" t="s">
        <v>544</v>
      </c>
      <c r="D245"/>
      <c r="E245" t="s">
        <v>132</v>
      </c>
      <c r="F245"/>
      <c r="G245" t="s">
        <v>47</v>
      </c>
      <c r="H245"/>
      <c r="I245" s="155">
        <v>46300.816111111111</v>
      </c>
      <c r="J245" t="s">
        <v>531</v>
      </c>
      <c r="K245" t="s">
        <v>388</v>
      </c>
      <c r="L245" s="154">
        <v>46299</v>
      </c>
      <c r="M245" t="s">
        <v>530</v>
      </c>
      <c r="N245" t="s">
        <v>178</v>
      </c>
      <c r="O245" t="s">
        <v>179</v>
      </c>
      <c r="P245">
        <v>3</v>
      </c>
      <c r="Q245" t="s">
        <v>194</v>
      </c>
    </row>
    <row r="246" spans="1:17" s="3" customFormat="1" hidden="1">
      <c r="A246" s="82">
        <v>2.2856739201388889E-2</v>
      </c>
      <c r="B246" t="s">
        <v>46</v>
      </c>
      <c r="C246"/>
      <c r="D246"/>
      <c r="E246" t="s">
        <v>135</v>
      </c>
      <c r="F246"/>
      <c r="G246" t="s">
        <v>47</v>
      </c>
      <c r="H246"/>
      <c r="I246" s="155">
        <v>46300.815937500003</v>
      </c>
      <c r="J246" t="s">
        <v>531</v>
      </c>
      <c r="K246" t="s">
        <v>388</v>
      </c>
      <c r="L246" s="154">
        <v>46299</v>
      </c>
      <c r="M246" t="s">
        <v>530</v>
      </c>
      <c r="N246" t="s">
        <v>178</v>
      </c>
      <c r="O246" t="s">
        <v>179</v>
      </c>
      <c r="P246">
        <v>3</v>
      </c>
      <c r="Q246" t="s">
        <v>194</v>
      </c>
    </row>
    <row r="247" spans="1:17" s="3" customFormat="1" hidden="1">
      <c r="A247" s="82">
        <v>2.2829105046296299E-2</v>
      </c>
      <c r="B247" t="s">
        <v>46</v>
      </c>
      <c r="C247"/>
      <c r="D247"/>
      <c r="E247" t="s">
        <v>133</v>
      </c>
      <c r="F247"/>
      <c r="G247" t="s">
        <v>113</v>
      </c>
      <c r="H247"/>
      <c r="I247" s="155">
        <v>46300.81590277778</v>
      </c>
      <c r="J247" t="s">
        <v>531</v>
      </c>
      <c r="K247" t="s">
        <v>388</v>
      </c>
      <c r="L247" s="154">
        <v>46299</v>
      </c>
      <c r="M247" t="s">
        <v>530</v>
      </c>
      <c r="N247" t="s">
        <v>178</v>
      </c>
      <c r="O247" t="s">
        <v>179</v>
      </c>
      <c r="P247">
        <v>3</v>
      </c>
      <c r="Q247" t="s">
        <v>194</v>
      </c>
    </row>
    <row r="248" spans="1:17" s="3" customFormat="1" hidden="1">
      <c r="A248" s="82">
        <v>2.2751172164351852E-2</v>
      </c>
      <c r="B248" t="s">
        <v>46</v>
      </c>
      <c r="C248"/>
      <c r="D248"/>
      <c r="E248" t="s">
        <v>137</v>
      </c>
      <c r="F248"/>
      <c r="G248" t="s">
        <v>113</v>
      </c>
      <c r="H248"/>
      <c r="I248" s="155">
        <v>46300.815671296295</v>
      </c>
      <c r="J248" t="s">
        <v>531</v>
      </c>
      <c r="K248" t="s">
        <v>388</v>
      </c>
      <c r="L248" s="154">
        <v>46299</v>
      </c>
      <c r="M248" t="s">
        <v>530</v>
      </c>
      <c r="N248" t="s">
        <v>178</v>
      </c>
      <c r="O248" t="s">
        <v>179</v>
      </c>
      <c r="P248">
        <v>3</v>
      </c>
      <c r="Q248" t="s">
        <v>194</v>
      </c>
    </row>
    <row r="249" spans="1:17" s="3" customFormat="1" hidden="1">
      <c r="A249" s="82">
        <v>2.271630990740741E-2</v>
      </c>
      <c r="B249" t="s">
        <v>46</v>
      </c>
      <c r="C249"/>
      <c r="D249"/>
      <c r="E249" t="s">
        <v>49</v>
      </c>
      <c r="F249"/>
      <c r="G249" t="s">
        <v>113</v>
      </c>
      <c r="H249"/>
      <c r="I249" s="155">
        <v>46300.815555555557</v>
      </c>
      <c r="J249" t="s">
        <v>531</v>
      </c>
      <c r="K249" t="s">
        <v>388</v>
      </c>
      <c r="L249" s="154">
        <v>46299</v>
      </c>
      <c r="M249" t="s">
        <v>530</v>
      </c>
      <c r="N249" t="s">
        <v>178</v>
      </c>
      <c r="O249" t="s">
        <v>179</v>
      </c>
      <c r="P249">
        <v>3</v>
      </c>
      <c r="Q249" t="s">
        <v>194</v>
      </c>
    </row>
    <row r="250" spans="1:17" s="3" customFormat="1" hidden="1">
      <c r="A250" s="82">
        <v>2.2686153773148147E-2</v>
      </c>
      <c r="B250" t="s">
        <v>46</v>
      </c>
      <c r="C250"/>
      <c r="D250"/>
      <c r="E250" t="s">
        <v>37</v>
      </c>
      <c r="F250"/>
      <c r="G250" t="s">
        <v>113</v>
      </c>
      <c r="H250"/>
      <c r="I250" s="155">
        <v>46300.815162037034</v>
      </c>
      <c r="J250" t="s">
        <v>531</v>
      </c>
      <c r="K250" t="s">
        <v>388</v>
      </c>
      <c r="L250" s="154">
        <v>46299</v>
      </c>
      <c r="M250" t="s">
        <v>530</v>
      </c>
      <c r="N250" t="s">
        <v>178</v>
      </c>
      <c r="O250" t="s">
        <v>179</v>
      </c>
      <c r="P250">
        <v>3</v>
      </c>
      <c r="Q250" t="s">
        <v>194</v>
      </c>
    </row>
    <row r="251" spans="1:17" s="3" customFormat="1" hidden="1">
      <c r="A251" s="82">
        <v>2.2651443090277779E-2</v>
      </c>
      <c r="B251" t="s">
        <v>46</v>
      </c>
      <c r="C251"/>
      <c r="D251"/>
      <c r="E251" t="s">
        <v>137</v>
      </c>
      <c r="F251"/>
      <c r="G251" t="s">
        <v>113</v>
      </c>
      <c r="H251"/>
      <c r="I251" s="155">
        <v>46300.815104166664</v>
      </c>
      <c r="J251" t="s">
        <v>531</v>
      </c>
      <c r="K251" t="s">
        <v>388</v>
      </c>
      <c r="L251" s="154">
        <v>46299</v>
      </c>
      <c r="M251" t="s">
        <v>530</v>
      </c>
      <c r="N251" t="s">
        <v>178</v>
      </c>
      <c r="O251" t="s">
        <v>179</v>
      </c>
      <c r="P251">
        <v>3</v>
      </c>
      <c r="Q251" t="s">
        <v>194</v>
      </c>
    </row>
    <row r="252" spans="1:17" s="3" customFormat="1" hidden="1">
      <c r="A252" s="82">
        <v>2.2651443090277779E-2</v>
      </c>
      <c r="B252" t="s">
        <v>46</v>
      </c>
      <c r="C252"/>
      <c r="D252"/>
      <c r="E252" t="s">
        <v>133</v>
      </c>
      <c r="F252"/>
      <c r="G252" t="s">
        <v>47</v>
      </c>
      <c r="H252"/>
      <c r="I252" s="155">
        <v>46300.815092592595</v>
      </c>
      <c r="J252" t="s">
        <v>531</v>
      </c>
      <c r="K252" t="s">
        <v>388</v>
      </c>
      <c r="L252" s="154">
        <v>46299</v>
      </c>
      <c r="M252" t="s">
        <v>530</v>
      </c>
      <c r="N252" t="s">
        <v>178</v>
      </c>
      <c r="O252" t="s">
        <v>179</v>
      </c>
      <c r="P252">
        <v>3</v>
      </c>
      <c r="Q252" t="s">
        <v>194</v>
      </c>
    </row>
    <row r="253" spans="1:17" s="3" customFormat="1" hidden="1">
      <c r="A253" s="82">
        <v>2.2534732928240743E-2</v>
      </c>
      <c r="B253" t="s">
        <v>46</v>
      </c>
      <c r="C253" t="s">
        <v>536</v>
      </c>
      <c r="D253"/>
      <c r="E253" t="s">
        <v>406</v>
      </c>
      <c r="F253"/>
      <c r="G253" t="s">
        <v>47</v>
      </c>
      <c r="H253"/>
      <c r="I253" s="155">
        <v>46300.814675925925</v>
      </c>
      <c r="J253" t="s">
        <v>531</v>
      </c>
      <c r="K253" t="s">
        <v>388</v>
      </c>
      <c r="L253" s="154">
        <v>46299</v>
      </c>
      <c r="M253" t="s">
        <v>530</v>
      </c>
      <c r="N253" t="s">
        <v>178</v>
      </c>
      <c r="O253" t="s">
        <v>179</v>
      </c>
      <c r="P253">
        <v>3</v>
      </c>
      <c r="Q253" t="s">
        <v>194</v>
      </c>
    </row>
    <row r="254" spans="1:17" s="3" customFormat="1" hidden="1">
      <c r="A254" s="82">
        <v>2.2435359386574073E-2</v>
      </c>
      <c r="B254" t="s">
        <v>46</v>
      </c>
      <c r="C254" t="s">
        <v>538</v>
      </c>
      <c r="D254"/>
      <c r="E254" t="s">
        <v>406</v>
      </c>
      <c r="F254"/>
      <c r="G254" t="s">
        <v>47</v>
      </c>
      <c r="H254"/>
      <c r="I254" s="155">
        <v>46300.814386574071</v>
      </c>
      <c r="J254" t="s">
        <v>531</v>
      </c>
      <c r="K254" t="s">
        <v>388</v>
      </c>
      <c r="L254" s="154">
        <v>46299</v>
      </c>
      <c r="M254" t="s">
        <v>530</v>
      </c>
      <c r="N254" t="s">
        <v>178</v>
      </c>
      <c r="O254" t="s">
        <v>179</v>
      </c>
      <c r="P254">
        <v>3</v>
      </c>
      <c r="Q254" t="s">
        <v>194</v>
      </c>
    </row>
    <row r="255" spans="1:17" s="3" customFormat="1" hidden="1">
      <c r="A255" s="82">
        <v>2.2415418460648148E-2</v>
      </c>
      <c r="B255" t="s">
        <v>46</v>
      </c>
      <c r="C255"/>
      <c r="D255"/>
      <c r="E255" t="s">
        <v>225</v>
      </c>
      <c r="F255"/>
      <c r="G255" t="s">
        <v>47</v>
      </c>
      <c r="H255"/>
      <c r="I255" s="155">
        <v>46300.814317129632</v>
      </c>
      <c r="J255" t="s">
        <v>531</v>
      </c>
      <c r="K255" t="s">
        <v>388</v>
      </c>
      <c r="L255" s="154">
        <v>46299</v>
      </c>
      <c r="M255" t="s">
        <v>530</v>
      </c>
      <c r="N255" t="s">
        <v>178</v>
      </c>
      <c r="O255" t="s">
        <v>179</v>
      </c>
      <c r="P255">
        <v>3</v>
      </c>
      <c r="Q255" t="s">
        <v>194</v>
      </c>
    </row>
    <row r="256" spans="1:17" s="3" customFormat="1" hidden="1">
      <c r="A256" s="82">
        <v>2.2329316944444445E-2</v>
      </c>
      <c r="B256" t="s">
        <v>46</v>
      </c>
      <c r="C256"/>
      <c r="D256"/>
      <c r="E256" t="s">
        <v>54</v>
      </c>
      <c r="F256"/>
      <c r="G256" t="s">
        <v>47</v>
      </c>
      <c r="H256"/>
      <c r="I256" s="155">
        <v>46300.814016203702</v>
      </c>
      <c r="J256" t="s">
        <v>531</v>
      </c>
      <c r="K256" t="s">
        <v>388</v>
      </c>
      <c r="L256" s="154">
        <v>46299</v>
      </c>
      <c r="M256" t="s">
        <v>530</v>
      </c>
      <c r="N256" t="s">
        <v>178</v>
      </c>
      <c r="O256" t="s">
        <v>179</v>
      </c>
      <c r="P256">
        <v>3</v>
      </c>
      <c r="Q256" t="s">
        <v>194</v>
      </c>
    </row>
    <row r="257" spans="1:17" s="3" customFormat="1" hidden="1">
      <c r="A257" s="82">
        <v>2.2088868761574072E-2</v>
      </c>
      <c r="B257" t="s">
        <v>46</v>
      </c>
      <c r="C257"/>
      <c r="D257"/>
      <c r="E257" t="s">
        <v>37</v>
      </c>
      <c r="F257"/>
      <c r="G257" t="s">
        <v>113</v>
      </c>
      <c r="H257"/>
      <c r="I257" s="155">
        <v>46300.81355324074</v>
      </c>
      <c r="J257" t="s">
        <v>531</v>
      </c>
      <c r="K257" t="s">
        <v>388</v>
      </c>
      <c r="L257" s="154">
        <v>46299</v>
      </c>
      <c r="M257" t="s">
        <v>530</v>
      </c>
      <c r="N257" t="s">
        <v>178</v>
      </c>
      <c r="O257" t="s">
        <v>179</v>
      </c>
      <c r="P257">
        <v>3</v>
      </c>
      <c r="Q257" t="s">
        <v>194</v>
      </c>
    </row>
    <row r="258" spans="1:17" s="3" customFormat="1" hidden="1">
      <c r="A258" s="82">
        <v>2.2039743425925924E-2</v>
      </c>
      <c r="B258" t="s">
        <v>46</v>
      </c>
      <c r="C258" t="s">
        <v>32</v>
      </c>
      <c r="D258"/>
      <c r="E258" t="s">
        <v>132</v>
      </c>
      <c r="F258"/>
      <c r="G258" t="s">
        <v>47</v>
      </c>
      <c r="H258"/>
      <c r="I258" s="155">
        <v>46300.81354166667</v>
      </c>
      <c r="J258" t="s">
        <v>531</v>
      </c>
      <c r="K258" t="s">
        <v>388</v>
      </c>
      <c r="L258" s="154">
        <v>46299</v>
      </c>
      <c r="M258" t="s">
        <v>530</v>
      </c>
      <c r="N258" t="s">
        <v>178</v>
      </c>
      <c r="O258" t="s">
        <v>179</v>
      </c>
      <c r="P258">
        <v>3</v>
      </c>
      <c r="Q258" t="s">
        <v>194</v>
      </c>
    </row>
    <row r="259" spans="1:17" s="3" customFormat="1" hidden="1">
      <c r="A259" s="82">
        <v>2.1945250439814813E-2</v>
      </c>
      <c r="B259" t="s">
        <v>46</v>
      </c>
      <c r="C259" t="s">
        <v>534</v>
      </c>
      <c r="D259"/>
      <c r="E259" t="s">
        <v>407</v>
      </c>
      <c r="F259"/>
      <c r="G259" t="s">
        <v>47</v>
      </c>
      <c r="H259"/>
      <c r="I259" s="155">
        <v>46300.813333333332</v>
      </c>
      <c r="J259" t="s">
        <v>531</v>
      </c>
      <c r="K259" t="s">
        <v>388</v>
      </c>
      <c r="L259" s="154">
        <v>46299</v>
      </c>
      <c r="M259" t="s">
        <v>530</v>
      </c>
      <c r="N259" t="s">
        <v>178</v>
      </c>
      <c r="O259" t="s">
        <v>179</v>
      </c>
      <c r="P259">
        <v>3</v>
      </c>
      <c r="Q259" t="s">
        <v>194</v>
      </c>
    </row>
    <row r="260" spans="1:17" s="3" customFormat="1" hidden="1">
      <c r="A260" s="82">
        <v>2.1908718599537039E-2</v>
      </c>
      <c r="B260" t="s">
        <v>46</v>
      </c>
      <c r="C260" t="s">
        <v>549</v>
      </c>
      <c r="D260"/>
      <c r="E260" t="s">
        <v>60</v>
      </c>
      <c r="F260"/>
      <c r="G260" t="s">
        <v>47</v>
      </c>
      <c r="H260"/>
      <c r="I260" s="155">
        <v>46300.813148148147</v>
      </c>
      <c r="J260" t="s">
        <v>531</v>
      </c>
      <c r="K260" t="s">
        <v>388</v>
      </c>
      <c r="L260" s="154">
        <v>46299</v>
      </c>
      <c r="M260" t="s">
        <v>530</v>
      </c>
      <c r="N260" t="s">
        <v>178</v>
      </c>
      <c r="O260" t="s">
        <v>179</v>
      </c>
      <c r="P260">
        <v>3</v>
      </c>
      <c r="Q260" t="s">
        <v>194</v>
      </c>
    </row>
    <row r="261" spans="1:17" s="3" customFormat="1" hidden="1">
      <c r="A261" s="82">
        <v>2.1842212881944444E-2</v>
      </c>
      <c r="B261" t="s">
        <v>46</v>
      </c>
      <c r="C261"/>
      <c r="D261"/>
      <c r="E261" t="s">
        <v>53</v>
      </c>
      <c r="F261"/>
      <c r="G261" t="s">
        <v>47</v>
      </c>
      <c r="H261"/>
      <c r="I261" s="155">
        <v>46300.812268518515</v>
      </c>
      <c r="J261" t="s">
        <v>531</v>
      </c>
      <c r="K261" t="s">
        <v>388</v>
      </c>
      <c r="L261" s="154">
        <v>46299</v>
      </c>
      <c r="M261" t="s">
        <v>530</v>
      </c>
      <c r="N261" t="s">
        <v>178</v>
      </c>
      <c r="O261" t="s">
        <v>179</v>
      </c>
      <c r="P261">
        <v>3</v>
      </c>
      <c r="Q261" t="s">
        <v>194</v>
      </c>
    </row>
    <row r="262" spans="1:17" s="3" customFormat="1" hidden="1">
      <c r="A262" s="82">
        <v>2.158131190972222E-2</v>
      </c>
      <c r="B262" t="s">
        <v>46</v>
      </c>
      <c r="C262"/>
      <c r="D262"/>
      <c r="E262" t="s">
        <v>37</v>
      </c>
      <c r="F262"/>
      <c r="G262" t="s">
        <v>113</v>
      </c>
      <c r="H262"/>
      <c r="I262" s="155">
        <v>46300.804756944446</v>
      </c>
      <c r="J262" t="s">
        <v>531</v>
      </c>
      <c r="K262" t="s">
        <v>388</v>
      </c>
      <c r="L262" s="154">
        <v>46299</v>
      </c>
      <c r="M262" t="s">
        <v>530</v>
      </c>
      <c r="N262" t="s">
        <v>178</v>
      </c>
      <c r="O262" t="s">
        <v>179</v>
      </c>
      <c r="P262">
        <v>3</v>
      </c>
      <c r="Q262" t="s">
        <v>194</v>
      </c>
    </row>
    <row r="263" spans="1:17" s="3" customFormat="1" hidden="1">
      <c r="A263" s="82">
        <v>2.1484715833333334E-2</v>
      </c>
      <c r="B263" t="s">
        <v>46</v>
      </c>
      <c r="C263"/>
      <c r="D263"/>
      <c r="E263" t="s">
        <v>231</v>
      </c>
      <c r="F263"/>
      <c r="G263" t="s">
        <v>113</v>
      </c>
      <c r="H263"/>
      <c r="I263" s="155">
        <v>46300.804699074077</v>
      </c>
      <c r="J263" t="s">
        <v>531</v>
      </c>
      <c r="K263" t="s">
        <v>388</v>
      </c>
      <c r="L263" s="154">
        <v>46299</v>
      </c>
      <c r="M263" t="s">
        <v>530</v>
      </c>
      <c r="N263" t="s">
        <v>178</v>
      </c>
      <c r="O263" t="s">
        <v>179</v>
      </c>
      <c r="P263">
        <v>3</v>
      </c>
      <c r="Q263" t="s">
        <v>194</v>
      </c>
    </row>
    <row r="264" spans="1:17" s="3" customFormat="1" hidden="1">
      <c r="A264" s="82">
        <v>2.1435368229166668E-2</v>
      </c>
      <c r="B264" t="s">
        <v>46</v>
      </c>
      <c r="C264"/>
      <c r="D264"/>
      <c r="E264" t="s">
        <v>54</v>
      </c>
      <c r="F264"/>
      <c r="G264" t="s">
        <v>113</v>
      </c>
      <c r="H264"/>
      <c r="I264" s="155">
        <v>46300.804375</v>
      </c>
      <c r="J264" t="s">
        <v>531</v>
      </c>
      <c r="K264" t="s">
        <v>388</v>
      </c>
      <c r="L264" s="154">
        <v>46299</v>
      </c>
      <c r="M264" t="s">
        <v>530</v>
      </c>
      <c r="N264" t="s">
        <v>178</v>
      </c>
      <c r="O264" t="s">
        <v>179</v>
      </c>
      <c r="P264">
        <v>3</v>
      </c>
      <c r="Q264" t="s">
        <v>194</v>
      </c>
    </row>
    <row r="265" spans="1:17" s="3" customFormat="1" hidden="1">
      <c r="A265" s="82">
        <v>2.1040204999999999E-2</v>
      </c>
      <c r="B265" t="s">
        <v>46</v>
      </c>
      <c r="C265"/>
      <c r="D265"/>
      <c r="E265" t="s">
        <v>132</v>
      </c>
      <c r="F265"/>
      <c r="G265" t="s">
        <v>113</v>
      </c>
      <c r="H265"/>
      <c r="I265" s="155">
        <v>46300.801701388889</v>
      </c>
      <c r="J265" t="s">
        <v>531</v>
      </c>
      <c r="K265" t="s">
        <v>388</v>
      </c>
      <c r="L265" s="154">
        <v>46299</v>
      </c>
      <c r="M265" t="s">
        <v>530</v>
      </c>
      <c r="N265" t="s">
        <v>178</v>
      </c>
      <c r="O265" t="s">
        <v>179</v>
      </c>
      <c r="P265">
        <v>3</v>
      </c>
      <c r="Q265" t="s">
        <v>194</v>
      </c>
    </row>
    <row r="266" spans="1:17" s="3" customFormat="1" hidden="1">
      <c r="A266" s="82">
        <v>2.0991788298611112E-2</v>
      </c>
      <c r="B266" t="s">
        <v>46</v>
      </c>
      <c r="C266"/>
      <c r="D266"/>
      <c r="E266" t="s">
        <v>50</v>
      </c>
      <c r="F266"/>
      <c r="G266" t="s">
        <v>113</v>
      </c>
      <c r="H266"/>
      <c r="I266" s="155">
        <v>46300.801620370374</v>
      </c>
      <c r="J266" t="s">
        <v>531</v>
      </c>
      <c r="K266" t="s">
        <v>388</v>
      </c>
      <c r="L266" s="154">
        <v>46299</v>
      </c>
      <c r="M266" t="s">
        <v>530</v>
      </c>
      <c r="N266" t="s">
        <v>178</v>
      </c>
      <c r="O266" t="s">
        <v>179</v>
      </c>
      <c r="P266">
        <v>3</v>
      </c>
      <c r="Q266" t="s">
        <v>194</v>
      </c>
    </row>
    <row r="267" spans="1:17" s="3" customFormat="1" hidden="1">
      <c r="A267" s="82">
        <v>2.0971741145833334E-2</v>
      </c>
      <c r="B267" t="s">
        <v>46</v>
      </c>
      <c r="C267"/>
      <c r="D267"/>
      <c r="E267" t="s">
        <v>37</v>
      </c>
      <c r="F267"/>
      <c r="G267" t="s">
        <v>47</v>
      </c>
      <c r="H267"/>
      <c r="I267" s="155">
        <v>46300.801458333335</v>
      </c>
      <c r="J267" t="s">
        <v>531</v>
      </c>
      <c r="K267" t="s">
        <v>388</v>
      </c>
      <c r="L267" s="154">
        <v>46299</v>
      </c>
      <c r="M267" t="s">
        <v>530</v>
      </c>
      <c r="N267" t="s">
        <v>178</v>
      </c>
      <c r="O267" t="s">
        <v>179</v>
      </c>
      <c r="P267">
        <v>3</v>
      </c>
      <c r="Q267" t="s">
        <v>194</v>
      </c>
    </row>
    <row r="268" spans="1:17" s="3" customFormat="1" hidden="1">
      <c r="A268" s="82">
        <v>2.0937954004629632E-2</v>
      </c>
      <c r="B268" t="s">
        <v>46</v>
      </c>
      <c r="C268"/>
      <c r="D268"/>
      <c r="E268" t="s">
        <v>133</v>
      </c>
      <c r="F268"/>
      <c r="G268" t="s">
        <v>47</v>
      </c>
      <c r="H268"/>
      <c r="I268" s="155">
        <v>46300.801423611112</v>
      </c>
      <c r="J268" t="s">
        <v>531</v>
      </c>
      <c r="K268" t="s">
        <v>388</v>
      </c>
      <c r="L268" s="154">
        <v>46299</v>
      </c>
      <c r="M268" t="s">
        <v>530</v>
      </c>
      <c r="N268" t="s">
        <v>178</v>
      </c>
      <c r="O268" t="s">
        <v>179</v>
      </c>
      <c r="P268">
        <v>3</v>
      </c>
      <c r="Q268" t="s">
        <v>194</v>
      </c>
    </row>
    <row r="269" spans="1:17" s="3" customFormat="1" hidden="1">
      <c r="A269" s="82">
        <v>2.0841098229166667E-2</v>
      </c>
      <c r="B269" t="s">
        <v>46</v>
      </c>
      <c r="C269" t="s">
        <v>543</v>
      </c>
      <c r="D269"/>
      <c r="E269" t="s">
        <v>249</v>
      </c>
      <c r="F269"/>
      <c r="G269" t="s">
        <v>47</v>
      </c>
      <c r="H269"/>
      <c r="I269" s="155">
        <v>46300.801296296297</v>
      </c>
      <c r="J269" t="s">
        <v>531</v>
      </c>
      <c r="K269" t="s">
        <v>388</v>
      </c>
      <c r="L269" s="154">
        <v>46299</v>
      </c>
      <c r="M269" t="s">
        <v>530</v>
      </c>
      <c r="N269" t="s">
        <v>178</v>
      </c>
      <c r="O269" t="s">
        <v>179</v>
      </c>
      <c r="P269">
        <v>3</v>
      </c>
      <c r="Q269" t="s">
        <v>194</v>
      </c>
    </row>
    <row r="270" spans="1:17" s="3" customFormat="1" hidden="1">
      <c r="A270" s="82">
        <v>2.0788893807870371E-2</v>
      </c>
      <c r="B270" t="s">
        <v>46</v>
      </c>
      <c r="C270"/>
      <c r="D270"/>
      <c r="E270" t="s">
        <v>135</v>
      </c>
      <c r="F270"/>
      <c r="G270" t="s">
        <v>47</v>
      </c>
      <c r="H270"/>
      <c r="I270" s="155">
        <v>46300.801076388889</v>
      </c>
      <c r="J270" t="s">
        <v>531</v>
      </c>
      <c r="K270" t="s">
        <v>388</v>
      </c>
      <c r="L270" s="154">
        <v>46299</v>
      </c>
      <c r="M270" t="s">
        <v>530</v>
      </c>
      <c r="N270" t="s">
        <v>178</v>
      </c>
      <c r="O270" t="s">
        <v>179</v>
      </c>
      <c r="P270">
        <v>3</v>
      </c>
      <c r="Q270" t="s">
        <v>194</v>
      </c>
    </row>
    <row r="271" spans="1:17" s="3" customFormat="1" hidden="1">
      <c r="A271" s="82">
        <v>2.0788893807870371E-2</v>
      </c>
      <c r="B271" t="s">
        <v>46</v>
      </c>
      <c r="C271"/>
      <c r="D271"/>
      <c r="E271" t="s">
        <v>133</v>
      </c>
      <c r="F271"/>
      <c r="G271" t="s">
        <v>113</v>
      </c>
      <c r="H271"/>
      <c r="I271" s="155">
        <v>46300.801064814812</v>
      </c>
      <c r="J271" t="s">
        <v>531</v>
      </c>
      <c r="K271" t="s">
        <v>388</v>
      </c>
      <c r="L271" s="154">
        <v>46299</v>
      </c>
      <c r="M271" t="s">
        <v>530</v>
      </c>
      <c r="N271" t="s">
        <v>178</v>
      </c>
      <c r="O271" t="s">
        <v>179</v>
      </c>
      <c r="P271">
        <v>3</v>
      </c>
      <c r="Q271" t="s">
        <v>194</v>
      </c>
    </row>
    <row r="272" spans="1:17" s="3" customFormat="1" hidden="1">
      <c r="A272" s="82">
        <v>2.0788893807870371E-2</v>
      </c>
      <c r="B272" t="s">
        <v>46</v>
      </c>
      <c r="C272"/>
      <c r="D272"/>
      <c r="E272" t="s">
        <v>50</v>
      </c>
      <c r="F272"/>
      <c r="G272" t="s">
        <v>113</v>
      </c>
      <c r="H272"/>
      <c r="I272" s="155">
        <v>46300.801041666666</v>
      </c>
      <c r="J272" t="s">
        <v>531</v>
      </c>
      <c r="K272" t="s">
        <v>388</v>
      </c>
      <c r="L272" s="154">
        <v>46299</v>
      </c>
      <c r="M272" t="s">
        <v>530</v>
      </c>
      <c r="N272" t="s">
        <v>178</v>
      </c>
      <c r="O272" t="s">
        <v>179</v>
      </c>
      <c r="P272">
        <v>3</v>
      </c>
      <c r="Q272" t="s">
        <v>194</v>
      </c>
    </row>
    <row r="273" spans="1:17" s="3" customFormat="1" hidden="1">
      <c r="A273" s="82">
        <v>2.0232183587962964E-2</v>
      </c>
      <c r="B273" t="s">
        <v>46</v>
      </c>
      <c r="C273"/>
      <c r="D273"/>
      <c r="E273" t="s">
        <v>37</v>
      </c>
      <c r="F273"/>
      <c r="G273" t="s">
        <v>113</v>
      </c>
      <c r="H273"/>
      <c r="I273" s="155">
        <v>46300.800659722219</v>
      </c>
      <c r="J273" t="s">
        <v>531</v>
      </c>
      <c r="K273" t="s">
        <v>388</v>
      </c>
      <c r="L273" s="154">
        <v>46299</v>
      </c>
      <c r="M273" t="s">
        <v>530</v>
      </c>
      <c r="N273" t="s">
        <v>178</v>
      </c>
      <c r="O273" t="s">
        <v>179</v>
      </c>
      <c r="P273">
        <v>3</v>
      </c>
      <c r="Q273" t="s">
        <v>194</v>
      </c>
    </row>
    <row r="274" spans="1:17" s="3" customFormat="1" hidden="1">
      <c r="A274" s="82">
        <v>2.0232183587962964E-2</v>
      </c>
      <c r="B274" t="s">
        <v>46</v>
      </c>
      <c r="C274" t="s">
        <v>42</v>
      </c>
      <c r="D274" t="s">
        <v>32</v>
      </c>
      <c r="E274" t="s">
        <v>161</v>
      </c>
      <c r="F274" t="s">
        <v>156</v>
      </c>
      <c r="G274" t="s">
        <v>113</v>
      </c>
      <c r="H274"/>
      <c r="I274" s="155">
        <v>46300.800659722219</v>
      </c>
      <c r="J274" t="s">
        <v>531</v>
      </c>
      <c r="K274" t="s">
        <v>388</v>
      </c>
      <c r="L274" s="154">
        <v>46299</v>
      </c>
      <c r="M274" t="s">
        <v>530</v>
      </c>
      <c r="N274" t="s">
        <v>178</v>
      </c>
      <c r="O274" t="s">
        <v>179</v>
      </c>
      <c r="P274">
        <v>3</v>
      </c>
      <c r="Q274" t="s">
        <v>194</v>
      </c>
    </row>
    <row r="275" spans="1:17" s="3" customFormat="1" hidden="1">
      <c r="A275" s="82">
        <v>2.0232183587962964E-2</v>
      </c>
      <c r="B275" t="s">
        <v>46</v>
      </c>
      <c r="C275" t="s">
        <v>545</v>
      </c>
      <c r="D275"/>
      <c r="E275" t="s">
        <v>57</v>
      </c>
      <c r="F275"/>
      <c r="G275" t="s">
        <v>113</v>
      </c>
      <c r="H275"/>
      <c r="I275" s="155">
        <v>46300.800219907411</v>
      </c>
      <c r="J275" t="s">
        <v>531</v>
      </c>
      <c r="K275" t="s">
        <v>388</v>
      </c>
      <c r="L275" s="154">
        <v>46299</v>
      </c>
      <c r="M275" t="s">
        <v>530</v>
      </c>
      <c r="N275" t="s">
        <v>178</v>
      </c>
      <c r="O275" t="s">
        <v>179</v>
      </c>
      <c r="P275">
        <v>3</v>
      </c>
      <c r="Q275" t="s">
        <v>194</v>
      </c>
    </row>
    <row r="276" spans="1:17" s="3" customFormat="1" hidden="1">
      <c r="A276" s="82">
        <v>2.0232183587962964E-2</v>
      </c>
      <c r="B276" t="s">
        <v>46</v>
      </c>
      <c r="C276" t="s">
        <v>544</v>
      </c>
      <c r="D276"/>
      <c r="E276" t="s">
        <v>9</v>
      </c>
      <c r="F276"/>
      <c r="G276" t="s">
        <v>113</v>
      </c>
      <c r="H276"/>
      <c r="I276" s="155">
        <v>46300.799699074072</v>
      </c>
      <c r="J276" t="s">
        <v>531</v>
      </c>
      <c r="K276" t="s">
        <v>388</v>
      </c>
      <c r="L276" s="154">
        <v>46299</v>
      </c>
      <c r="M276" t="s">
        <v>530</v>
      </c>
      <c r="N276" t="s">
        <v>178</v>
      </c>
      <c r="O276" t="s">
        <v>179</v>
      </c>
      <c r="P276">
        <v>3</v>
      </c>
      <c r="Q276" t="s">
        <v>194</v>
      </c>
    </row>
    <row r="277" spans="1:17" s="3" customFormat="1" hidden="1">
      <c r="A277" s="82">
        <v>2.0232183587962964E-2</v>
      </c>
      <c r="B277" t="s">
        <v>46</v>
      </c>
      <c r="C277" t="s">
        <v>543</v>
      </c>
      <c r="D277"/>
      <c r="E277" t="s">
        <v>57</v>
      </c>
      <c r="F277"/>
      <c r="G277" t="s">
        <v>113</v>
      </c>
      <c r="H277"/>
      <c r="I277" s="155">
        <v>46300.799317129633</v>
      </c>
      <c r="J277" t="s">
        <v>531</v>
      </c>
      <c r="K277" t="s">
        <v>388</v>
      </c>
      <c r="L277" s="154">
        <v>46299</v>
      </c>
      <c r="M277" t="s">
        <v>530</v>
      </c>
      <c r="N277" t="s">
        <v>178</v>
      </c>
      <c r="O277" t="s">
        <v>179</v>
      </c>
      <c r="P277">
        <v>3</v>
      </c>
      <c r="Q277" t="s">
        <v>194</v>
      </c>
    </row>
    <row r="278" spans="1:17" s="3" customFormat="1">
      <c r="A278" s="82">
        <v>1.9997827581018517E-2</v>
      </c>
      <c r="B278" t="s">
        <v>46</v>
      </c>
      <c r="C278" t="s">
        <v>535</v>
      </c>
      <c r="D278"/>
      <c r="E278" t="s">
        <v>61</v>
      </c>
      <c r="F278"/>
      <c r="G278" t="s">
        <v>47</v>
      </c>
      <c r="H278"/>
      <c r="I278" s="155">
        <v>46300.796944444446</v>
      </c>
      <c r="J278" t="s">
        <v>531</v>
      </c>
      <c r="K278" t="s">
        <v>388</v>
      </c>
      <c r="L278" s="154">
        <v>46299</v>
      </c>
      <c r="M278" t="s">
        <v>530</v>
      </c>
      <c r="N278" t="s">
        <v>178</v>
      </c>
      <c r="O278" t="s">
        <v>179</v>
      </c>
      <c r="P278">
        <v>3</v>
      </c>
      <c r="Q278" t="s">
        <v>194</v>
      </c>
    </row>
    <row r="279" spans="1:17" s="3" customFormat="1" hidden="1">
      <c r="A279" s="82">
        <v>1.9953874317129628E-2</v>
      </c>
      <c r="B279" t="s">
        <v>46</v>
      </c>
      <c r="C279"/>
      <c r="D279"/>
      <c r="E279" t="s">
        <v>53</v>
      </c>
      <c r="F279"/>
      <c r="G279" t="s">
        <v>113</v>
      </c>
      <c r="H279"/>
      <c r="I279" s="155">
        <v>46300.79587962963</v>
      </c>
      <c r="J279" t="s">
        <v>531</v>
      </c>
      <c r="K279" t="s">
        <v>388</v>
      </c>
      <c r="L279" s="154">
        <v>46299</v>
      </c>
      <c r="M279" t="s">
        <v>530</v>
      </c>
      <c r="N279" t="s">
        <v>178</v>
      </c>
      <c r="O279" t="s">
        <v>179</v>
      </c>
      <c r="P279">
        <v>3</v>
      </c>
      <c r="Q279" t="s">
        <v>194</v>
      </c>
    </row>
    <row r="280" spans="1:17" s="3" customFormat="1" hidden="1">
      <c r="A280" s="82">
        <v>1.8256876168981483E-2</v>
      </c>
      <c r="B280" t="s">
        <v>46</v>
      </c>
      <c r="C280"/>
      <c r="D280"/>
      <c r="E280" t="s">
        <v>37</v>
      </c>
      <c r="F280"/>
      <c r="G280" t="s">
        <v>113</v>
      </c>
      <c r="H280"/>
      <c r="I280" s="155">
        <v>46300.795810185184</v>
      </c>
      <c r="J280" t="s">
        <v>531</v>
      </c>
      <c r="K280" t="s">
        <v>388</v>
      </c>
      <c r="L280" s="154">
        <v>46299</v>
      </c>
      <c r="M280" t="s">
        <v>530</v>
      </c>
      <c r="N280" t="s">
        <v>178</v>
      </c>
      <c r="O280" t="s">
        <v>179</v>
      </c>
      <c r="P280">
        <v>3</v>
      </c>
      <c r="Q280" t="s">
        <v>194</v>
      </c>
    </row>
    <row r="281" spans="1:17" s="3" customFormat="1" hidden="1">
      <c r="A281" s="82">
        <v>1.8206262638888887E-2</v>
      </c>
      <c r="B281" t="s">
        <v>46</v>
      </c>
      <c r="C281"/>
      <c r="D281"/>
      <c r="E281" t="s">
        <v>231</v>
      </c>
      <c r="F281"/>
      <c r="G281" t="s">
        <v>113</v>
      </c>
      <c r="H281"/>
      <c r="I281" s="155">
        <v>46300.795752314814</v>
      </c>
      <c r="J281" t="s">
        <v>531</v>
      </c>
      <c r="K281" t="s">
        <v>388</v>
      </c>
      <c r="L281" s="154">
        <v>46299</v>
      </c>
      <c r="M281" t="s">
        <v>530</v>
      </c>
      <c r="N281" t="s">
        <v>178</v>
      </c>
      <c r="O281" t="s">
        <v>179</v>
      </c>
      <c r="P281">
        <v>3</v>
      </c>
      <c r="Q281" t="s">
        <v>194</v>
      </c>
    </row>
    <row r="282" spans="1:17" s="3" customFormat="1" hidden="1">
      <c r="A282" s="82">
        <v>1.8101708738425926E-2</v>
      </c>
      <c r="B282" t="s">
        <v>46</v>
      </c>
      <c r="C282"/>
      <c r="D282"/>
      <c r="E282" t="s">
        <v>54</v>
      </c>
      <c r="F282"/>
      <c r="G282" t="s">
        <v>113</v>
      </c>
      <c r="H282"/>
      <c r="I282" s="155">
        <v>46300.795486111114</v>
      </c>
      <c r="J282" t="s">
        <v>531</v>
      </c>
      <c r="K282" t="s">
        <v>388</v>
      </c>
      <c r="L282" s="154">
        <v>46299</v>
      </c>
      <c r="M282" t="s">
        <v>530</v>
      </c>
      <c r="N282" t="s">
        <v>178</v>
      </c>
      <c r="O282" t="s">
        <v>179</v>
      </c>
      <c r="P282">
        <v>3</v>
      </c>
      <c r="Q282" t="s">
        <v>194</v>
      </c>
    </row>
    <row r="283" spans="1:17" s="3" customFormat="1" hidden="1">
      <c r="A283" s="82">
        <v>1.7714623472222222E-2</v>
      </c>
      <c r="B283" t="s">
        <v>46</v>
      </c>
      <c r="C283"/>
      <c r="D283"/>
      <c r="E283" t="s">
        <v>37</v>
      </c>
      <c r="F283"/>
      <c r="G283" t="s">
        <v>113</v>
      </c>
      <c r="H283"/>
      <c r="I283" s="155">
        <v>46300.795428240737</v>
      </c>
      <c r="J283" t="s">
        <v>531</v>
      </c>
      <c r="K283" t="s">
        <v>388</v>
      </c>
      <c r="L283" s="154">
        <v>46299</v>
      </c>
      <c r="M283" t="s">
        <v>530</v>
      </c>
      <c r="N283" t="s">
        <v>178</v>
      </c>
      <c r="O283" t="s">
        <v>179</v>
      </c>
      <c r="P283">
        <v>3</v>
      </c>
      <c r="Q283" t="s">
        <v>194</v>
      </c>
    </row>
    <row r="284" spans="1:17" s="3" customFormat="1" hidden="1">
      <c r="A284" s="82">
        <v>1.7673959421296296E-2</v>
      </c>
      <c r="B284" t="s">
        <v>46</v>
      </c>
      <c r="C284" t="s">
        <v>545</v>
      </c>
      <c r="D284"/>
      <c r="E284" t="s">
        <v>132</v>
      </c>
      <c r="F284"/>
      <c r="G284" t="s">
        <v>47</v>
      </c>
      <c r="H284"/>
      <c r="I284" s="155">
        <v>46300.795347222222</v>
      </c>
      <c r="J284" t="s">
        <v>531</v>
      </c>
      <c r="K284" t="s">
        <v>388</v>
      </c>
      <c r="L284" s="154">
        <v>46299</v>
      </c>
      <c r="M284" t="s">
        <v>530</v>
      </c>
      <c r="N284" t="s">
        <v>178</v>
      </c>
      <c r="O284" t="s">
        <v>179</v>
      </c>
      <c r="P284">
        <v>3</v>
      </c>
      <c r="Q284" t="s">
        <v>194</v>
      </c>
    </row>
    <row r="285" spans="1:17" s="3" customFormat="1" hidden="1">
      <c r="A285" s="82">
        <v>1.7638124351851855E-2</v>
      </c>
      <c r="B285" t="s">
        <v>46</v>
      </c>
      <c r="C285" t="s">
        <v>541</v>
      </c>
      <c r="D285"/>
      <c r="E285" t="s">
        <v>407</v>
      </c>
      <c r="F285"/>
      <c r="G285" t="s">
        <v>47</v>
      </c>
      <c r="H285"/>
      <c r="I285" s="155">
        <v>46300.795092592591</v>
      </c>
      <c r="J285" t="s">
        <v>531</v>
      </c>
      <c r="K285" t="s">
        <v>388</v>
      </c>
      <c r="L285" s="154">
        <v>46299</v>
      </c>
      <c r="M285" t="s">
        <v>530</v>
      </c>
      <c r="N285" t="s">
        <v>178</v>
      </c>
      <c r="O285" t="s">
        <v>179</v>
      </c>
      <c r="P285">
        <v>3</v>
      </c>
      <c r="Q285" t="s">
        <v>194</v>
      </c>
    </row>
    <row r="286" spans="1:17" s="3" customFormat="1" hidden="1">
      <c r="A286" s="82">
        <v>1.7616837094907408E-2</v>
      </c>
      <c r="B286" t="s">
        <v>46</v>
      </c>
      <c r="C286"/>
      <c r="D286"/>
      <c r="E286" t="s">
        <v>225</v>
      </c>
      <c r="F286"/>
      <c r="G286" t="s">
        <v>47</v>
      </c>
      <c r="H286"/>
      <c r="I286" s="155">
        <v>46300.794930555552</v>
      </c>
      <c r="J286" t="s">
        <v>531</v>
      </c>
      <c r="K286" t="s">
        <v>388</v>
      </c>
      <c r="L286" s="154">
        <v>46299</v>
      </c>
      <c r="M286" t="s">
        <v>530</v>
      </c>
      <c r="N286" t="s">
        <v>178</v>
      </c>
      <c r="O286" t="s">
        <v>179</v>
      </c>
      <c r="P286">
        <v>3</v>
      </c>
      <c r="Q286" t="s">
        <v>194</v>
      </c>
    </row>
    <row r="287" spans="1:17" s="3" customFormat="1" hidden="1">
      <c r="A287" s="82">
        <v>1.7500113750000001E-2</v>
      </c>
      <c r="B287" t="s">
        <v>46</v>
      </c>
      <c r="C287"/>
      <c r="D287"/>
      <c r="E287" t="s">
        <v>54</v>
      </c>
      <c r="F287"/>
      <c r="G287" t="s">
        <v>47</v>
      </c>
      <c r="H287"/>
      <c r="I287" s="155">
        <v>46300.794629629629</v>
      </c>
      <c r="J287" t="s">
        <v>531</v>
      </c>
      <c r="K287" t="s">
        <v>388</v>
      </c>
      <c r="L287" s="154">
        <v>46299</v>
      </c>
      <c r="M287" t="s">
        <v>530</v>
      </c>
      <c r="N287" t="s">
        <v>178</v>
      </c>
      <c r="O287" t="s">
        <v>179</v>
      </c>
      <c r="P287">
        <v>3</v>
      </c>
      <c r="Q287" t="s">
        <v>194</v>
      </c>
    </row>
    <row r="288" spans="1:17" s="3" customFormat="1" hidden="1">
      <c r="A288" s="82">
        <v>1.7225074212962963E-2</v>
      </c>
      <c r="B288" t="s">
        <v>46</v>
      </c>
      <c r="C288"/>
      <c r="D288"/>
      <c r="E288" t="s">
        <v>37</v>
      </c>
      <c r="F288"/>
      <c r="G288" t="s">
        <v>47</v>
      </c>
      <c r="H288"/>
      <c r="I288" s="155">
        <v>46300.794548611113</v>
      </c>
      <c r="J288" t="s">
        <v>531</v>
      </c>
      <c r="K288" t="s">
        <v>388</v>
      </c>
      <c r="L288" s="154">
        <v>46299</v>
      </c>
      <c r="M288" t="s">
        <v>530</v>
      </c>
      <c r="N288" t="s">
        <v>178</v>
      </c>
      <c r="O288" t="s">
        <v>179</v>
      </c>
      <c r="P288">
        <v>3</v>
      </c>
      <c r="Q288" t="s">
        <v>194</v>
      </c>
    </row>
    <row r="289" spans="1:17" s="3" customFormat="1" hidden="1">
      <c r="A289" s="82">
        <v>1.7206626967592592E-2</v>
      </c>
      <c r="B289" t="s">
        <v>46</v>
      </c>
      <c r="C289"/>
      <c r="D289"/>
      <c r="E289" t="s">
        <v>132</v>
      </c>
      <c r="F289"/>
      <c r="G289" t="s">
        <v>113</v>
      </c>
      <c r="H289"/>
      <c r="I289" s="155">
        <v>46300.794537037036</v>
      </c>
      <c r="J289" t="s">
        <v>531</v>
      </c>
      <c r="K289" t="s">
        <v>388</v>
      </c>
      <c r="L289" s="154">
        <v>46299</v>
      </c>
      <c r="M289" t="s">
        <v>530</v>
      </c>
      <c r="N289" t="s">
        <v>178</v>
      </c>
      <c r="O289" t="s">
        <v>179</v>
      </c>
      <c r="P289">
        <v>3</v>
      </c>
      <c r="Q289" t="s">
        <v>194</v>
      </c>
    </row>
    <row r="290" spans="1:17" s="3" customFormat="1" hidden="1">
      <c r="A290" s="82">
        <v>1.716155210648148E-2</v>
      </c>
      <c r="B290" t="s">
        <v>46</v>
      </c>
      <c r="C290" t="s">
        <v>535</v>
      </c>
      <c r="D290"/>
      <c r="E290" t="s">
        <v>57</v>
      </c>
      <c r="F290"/>
      <c r="G290" t="s">
        <v>113</v>
      </c>
      <c r="H290"/>
      <c r="I290" s="155">
        <v>46300.79446759259</v>
      </c>
      <c r="J290" t="s">
        <v>531</v>
      </c>
      <c r="K290" t="s">
        <v>388</v>
      </c>
      <c r="L290" s="154">
        <v>46299</v>
      </c>
      <c r="M290" t="s">
        <v>530</v>
      </c>
      <c r="N290" t="s">
        <v>178</v>
      </c>
      <c r="O290" t="s">
        <v>179</v>
      </c>
      <c r="P290">
        <v>3</v>
      </c>
      <c r="Q290" t="s">
        <v>194</v>
      </c>
    </row>
    <row r="291" spans="1:17" s="3" customFormat="1" hidden="1">
      <c r="A291" s="82">
        <v>1.717372585648148E-2</v>
      </c>
      <c r="B291" t="s">
        <v>46</v>
      </c>
      <c r="C291" t="s">
        <v>537</v>
      </c>
      <c r="D291"/>
      <c r="E291" t="s">
        <v>59</v>
      </c>
      <c r="F291"/>
      <c r="G291" t="s">
        <v>113</v>
      </c>
      <c r="H291"/>
      <c r="I291" s="155">
        <v>46300.780763888892</v>
      </c>
      <c r="J291" t="s">
        <v>531</v>
      </c>
      <c r="K291" t="s">
        <v>388</v>
      </c>
      <c r="L291" s="154">
        <v>46299</v>
      </c>
      <c r="M291" t="s">
        <v>530</v>
      </c>
      <c r="N291" t="s">
        <v>178</v>
      </c>
      <c r="O291" t="s">
        <v>179</v>
      </c>
      <c r="P291">
        <v>3</v>
      </c>
      <c r="Q291" t="s">
        <v>194</v>
      </c>
    </row>
    <row r="292" spans="1:17" s="3" customFormat="1" hidden="1">
      <c r="A292" s="82">
        <v>1.7097805787037037E-2</v>
      </c>
      <c r="B292" t="s">
        <v>46</v>
      </c>
      <c r="C292"/>
      <c r="D292"/>
      <c r="E292" t="s">
        <v>53</v>
      </c>
      <c r="F292"/>
      <c r="G292" t="s">
        <v>113</v>
      </c>
      <c r="H292"/>
      <c r="I292" s="155">
        <v>46300.78</v>
      </c>
      <c r="J292" t="s">
        <v>531</v>
      </c>
      <c r="K292" t="s">
        <v>388</v>
      </c>
      <c r="L292" s="154">
        <v>46299</v>
      </c>
      <c r="M292" t="s">
        <v>530</v>
      </c>
      <c r="N292" t="s">
        <v>178</v>
      </c>
      <c r="O292" t="s">
        <v>179</v>
      </c>
      <c r="P292">
        <v>3</v>
      </c>
      <c r="Q292" t="s">
        <v>194</v>
      </c>
    </row>
    <row r="293" spans="1:17" s="3" customFormat="1" hidden="1">
      <c r="A293" s="82">
        <v>1.6749747962962962E-2</v>
      </c>
      <c r="B293" t="s">
        <v>46</v>
      </c>
      <c r="C293"/>
      <c r="D293"/>
      <c r="E293" t="s">
        <v>37</v>
      </c>
      <c r="F293"/>
      <c r="G293" t="s">
        <v>47</v>
      </c>
      <c r="H293"/>
      <c r="I293" s="155">
        <v>46300.779930555553</v>
      </c>
      <c r="J293" t="s">
        <v>531</v>
      </c>
      <c r="K293" t="s">
        <v>388</v>
      </c>
      <c r="L293" s="154">
        <v>46299</v>
      </c>
      <c r="M293" t="s">
        <v>530</v>
      </c>
      <c r="N293" t="s">
        <v>178</v>
      </c>
      <c r="O293" t="s">
        <v>179</v>
      </c>
      <c r="P293">
        <v>3</v>
      </c>
      <c r="Q293" t="s">
        <v>194</v>
      </c>
    </row>
    <row r="294" spans="1:17" s="3" customFormat="1" hidden="1">
      <c r="A294" s="82">
        <v>1.6700419918981482E-2</v>
      </c>
      <c r="B294" t="s">
        <v>46</v>
      </c>
      <c r="C294"/>
      <c r="D294"/>
      <c r="E294" t="s">
        <v>133</v>
      </c>
      <c r="F294"/>
      <c r="G294" t="s">
        <v>47</v>
      </c>
      <c r="H294"/>
      <c r="I294" s="155">
        <v>46300.77983796296</v>
      </c>
      <c r="J294" t="s">
        <v>531</v>
      </c>
      <c r="K294" t="s">
        <v>388</v>
      </c>
      <c r="L294" s="154">
        <v>46299</v>
      </c>
      <c r="M294" t="s">
        <v>530</v>
      </c>
      <c r="N294" t="s">
        <v>178</v>
      </c>
      <c r="O294" t="s">
        <v>179</v>
      </c>
      <c r="P294">
        <v>3</v>
      </c>
      <c r="Q294" t="s">
        <v>194</v>
      </c>
    </row>
    <row r="295" spans="1:17" s="3" customFormat="1" hidden="1">
      <c r="A295" s="82">
        <v>1.658456914351852E-2</v>
      </c>
      <c r="B295" t="s">
        <v>46</v>
      </c>
      <c r="C295" t="s">
        <v>546</v>
      </c>
      <c r="D295"/>
      <c r="E295" t="s">
        <v>406</v>
      </c>
      <c r="F295"/>
      <c r="G295" t="s">
        <v>47</v>
      </c>
      <c r="H295"/>
      <c r="I295" s="155">
        <v>46300.779664351852</v>
      </c>
      <c r="J295" t="s">
        <v>531</v>
      </c>
      <c r="K295" t="s">
        <v>388</v>
      </c>
      <c r="L295" s="154">
        <v>46299</v>
      </c>
      <c r="M295" t="s">
        <v>530</v>
      </c>
      <c r="N295" t="s">
        <v>178</v>
      </c>
      <c r="O295" t="s">
        <v>179</v>
      </c>
      <c r="P295">
        <v>3</v>
      </c>
      <c r="Q295" t="s">
        <v>194</v>
      </c>
    </row>
    <row r="296" spans="1:17" s="3" customFormat="1" hidden="1">
      <c r="A296" s="82">
        <v>1.6525867905092591E-2</v>
      </c>
      <c r="B296" t="s">
        <v>46</v>
      </c>
      <c r="C296"/>
      <c r="D296"/>
      <c r="E296" t="s">
        <v>135</v>
      </c>
      <c r="F296"/>
      <c r="G296" t="s">
        <v>47</v>
      </c>
      <c r="H296"/>
      <c r="I296" s="155">
        <v>46300.779131944444</v>
      </c>
      <c r="J296" t="s">
        <v>531</v>
      </c>
      <c r="K296" t="s">
        <v>388</v>
      </c>
      <c r="L296" s="154">
        <v>46299</v>
      </c>
      <c r="M296" t="s">
        <v>530</v>
      </c>
      <c r="N296" t="s">
        <v>178</v>
      </c>
      <c r="O296" t="s">
        <v>179</v>
      </c>
      <c r="P296">
        <v>3</v>
      </c>
      <c r="Q296" t="s">
        <v>194</v>
      </c>
    </row>
    <row r="297" spans="1:17" s="3" customFormat="1" hidden="1">
      <c r="A297" s="82">
        <v>1.6499445972222221E-2</v>
      </c>
      <c r="B297" t="s">
        <v>46</v>
      </c>
      <c r="C297"/>
      <c r="D297"/>
      <c r="E297" t="s">
        <v>133</v>
      </c>
      <c r="F297"/>
      <c r="G297" t="s">
        <v>113</v>
      </c>
      <c r="H297"/>
      <c r="I297" s="155">
        <v>46300.779108796298</v>
      </c>
      <c r="J297" t="s">
        <v>531</v>
      </c>
      <c r="K297" t="s">
        <v>388</v>
      </c>
      <c r="L297" s="154">
        <v>46299</v>
      </c>
      <c r="M297" t="s">
        <v>530</v>
      </c>
      <c r="N297" t="s">
        <v>178</v>
      </c>
      <c r="O297" t="s">
        <v>179</v>
      </c>
      <c r="P297">
        <v>3</v>
      </c>
      <c r="Q297" t="s">
        <v>194</v>
      </c>
    </row>
    <row r="298" spans="1:17" s="3" customFormat="1" hidden="1">
      <c r="A298" s="82">
        <v>1.6444780601851852E-2</v>
      </c>
      <c r="B298" t="s">
        <v>46</v>
      </c>
      <c r="C298"/>
      <c r="D298"/>
      <c r="E298" t="s">
        <v>137</v>
      </c>
      <c r="F298"/>
      <c r="G298" t="s">
        <v>113</v>
      </c>
      <c r="H298"/>
      <c r="I298" s="155">
        <v>46300.779050925928</v>
      </c>
      <c r="J298" t="s">
        <v>531</v>
      </c>
      <c r="K298" t="s">
        <v>388</v>
      </c>
      <c r="L298" s="154">
        <v>46299</v>
      </c>
      <c r="M298" t="s">
        <v>530</v>
      </c>
      <c r="N298" t="s">
        <v>178</v>
      </c>
      <c r="O298" t="s">
        <v>179</v>
      </c>
      <c r="P298">
        <v>3</v>
      </c>
      <c r="Q298" t="s">
        <v>194</v>
      </c>
    </row>
    <row r="299" spans="1:17" s="3" customFormat="1" hidden="1">
      <c r="A299" s="82">
        <v>1.6391834328703704E-2</v>
      </c>
      <c r="B299" t="s">
        <v>46</v>
      </c>
      <c r="C299"/>
      <c r="D299"/>
      <c r="E299" t="s">
        <v>133</v>
      </c>
      <c r="F299"/>
      <c r="G299" t="s">
        <v>47</v>
      </c>
      <c r="H299"/>
      <c r="I299" s="155">
        <v>46300.778993055559</v>
      </c>
      <c r="J299" t="s">
        <v>531</v>
      </c>
      <c r="K299" t="s">
        <v>388</v>
      </c>
      <c r="L299" s="154">
        <v>46299</v>
      </c>
      <c r="M299" t="s">
        <v>530</v>
      </c>
      <c r="N299" t="s">
        <v>178</v>
      </c>
      <c r="O299" t="s">
        <v>179</v>
      </c>
      <c r="P299">
        <v>3</v>
      </c>
      <c r="Q299" t="s">
        <v>194</v>
      </c>
    </row>
    <row r="300" spans="1:17" s="3" customFormat="1" hidden="1">
      <c r="A300" s="82">
        <v>1.6358230497685186E-2</v>
      </c>
      <c r="B300" t="s">
        <v>46</v>
      </c>
      <c r="C300"/>
      <c r="D300"/>
      <c r="E300" t="s">
        <v>135</v>
      </c>
      <c r="F300"/>
      <c r="G300" t="s">
        <v>47</v>
      </c>
      <c r="H300"/>
      <c r="I300" s="155">
        <v>46300.778946759259</v>
      </c>
      <c r="J300" t="s">
        <v>531</v>
      </c>
      <c r="K300" t="s">
        <v>388</v>
      </c>
      <c r="L300" s="154">
        <v>46299</v>
      </c>
      <c r="M300" t="s">
        <v>530</v>
      </c>
      <c r="N300" t="s">
        <v>178</v>
      </c>
      <c r="O300" t="s">
        <v>179</v>
      </c>
      <c r="P300">
        <v>3</v>
      </c>
      <c r="Q300" t="s">
        <v>194</v>
      </c>
    </row>
    <row r="301" spans="1:17" s="3" customFormat="1" hidden="1">
      <c r="A301" s="82">
        <v>1.6306034965277778E-2</v>
      </c>
      <c r="B301" t="s">
        <v>46</v>
      </c>
      <c r="C301"/>
      <c r="D301"/>
      <c r="E301" t="s">
        <v>49</v>
      </c>
      <c r="F301"/>
      <c r="G301" t="s">
        <v>113</v>
      </c>
      <c r="H301"/>
      <c r="I301" s="155">
        <v>46300.778831018521</v>
      </c>
      <c r="J301" t="s">
        <v>531</v>
      </c>
      <c r="K301" t="s">
        <v>388</v>
      </c>
      <c r="L301" s="154">
        <v>46299</v>
      </c>
      <c r="M301" t="s">
        <v>530</v>
      </c>
      <c r="N301" t="s">
        <v>178</v>
      </c>
      <c r="O301" t="s">
        <v>179</v>
      </c>
      <c r="P301">
        <v>3</v>
      </c>
      <c r="Q301" t="s">
        <v>194</v>
      </c>
    </row>
    <row r="302" spans="1:17" s="3" customFormat="1" hidden="1">
      <c r="A302" s="82">
        <v>1.5251046828703704E-2</v>
      </c>
      <c r="B302" t="s">
        <v>46</v>
      </c>
      <c r="C302"/>
      <c r="D302"/>
      <c r="E302" t="s">
        <v>63</v>
      </c>
      <c r="F302"/>
      <c r="G302" t="s">
        <v>47</v>
      </c>
      <c r="H302"/>
      <c r="I302" s="155">
        <v>46300.778391203705</v>
      </c>
      <c r="J302" t="s">
        <v>531</v>
      </c>
      <c r="K302" t="s">
        <v>388</v>
      </c>
      <c r="L302" s="154">
        <v>46299</v>
      </c>
      <c r="M302" t="s">
        <v>530</v>
      </c>
      <c r="N302" t="s">
        <v>178</v>
      </c>
      <c r="O302" t="s">
        <v>179</v>
      </c>
      <c r="P302">
        <v>3</v>
      </c>
      <c r="Q302" t="s">
        <v>194</v>
      </c>
    </row>
    <row r="303" spans="1:17" s="3" customFormat="1" hidden="1">
      <c r="A303" s="82">
        <v>1.5251046828703704E-2</v>
      </c>
      <c r="B303" t="s">
        <v>46</v>
      </c>
      <c r="C303"/>
      <c r="D303"/>
      <c r="E303" t="s">
        <v>133</v>
      </c>
      <c r="F303"/>
      <c r="G303" t="s">
        <v>47</v>
      </c>
      <c r="H303"/>
      <c r="I303" s="155">
        <v>46300.778171296297</v>
      </c>
      <c r="J303" t="s">
        <v>531</v>
      </c>
      <c r="K303" t="s">
        <v>388</v>
      </c>
      <c r="L303" s="154">
        <v>46299</v>
      </c>
      <c r="M303" t="s">
        <v>530</v>
      </c>
      <c r="N303" t="s">
        <v>178</v>
      </c>
      <c r="O303" t="s">
        <v>179</v>
      </c>
      <c r="P303">
        <v>3</v>
      </c>
      <c r="Q303" t="s">
        <v>194</v>
      </c>
    </row>
    <row r="304" spans="1:17" s="3" customFormat="1" hidden="1">
      <c r="A304" s="82">
        <v>1.5251046828703704E-2</v>
      </c>
      <c r="B304" t="s">
        <v>46</v>
      </c>
      <c r="C304" t="s">
        <v>536</v>
      </c>
      <c r="D304"/>
      <c r="E304" t="s">
        <v>406</v>
      </c>
      <c r="F304"/>
      <c r="G304" t="s">
        <v>47</v>
      </c>
      <c r="H304"/>
      <c r="I304" s="155">
        <v>46300.777997685182</v>
      </c>
      <c r="J304" t="s">
        <v>531</v>
      </c>
      <c r="K304" t="s">
        <v>388</v>
      </c>
      <c r="L304" s="154">
        <v>46299</v>
      </c>
      <c r="M304" t="s">
        <v>530</v>
      </c>
      <c r="N304" t="s">
        <v>178</v>
      </c>
      <c r="O304" t="s">
        <v>179</v>
      </c>
      <c r="P304">
        <v>3</v>
      </c>
      <c r="Q304" t="s">
        <v>194</v>
      </c>
    </row>
    <row r="305" spans="1:17" s="3" customFormat="1" hidden="1">
      <c r="A305" s="82">
        <v>1.5251046828703704E-2</v>
      </c>
      <c r="B305" t="s">
        <v>46</v>
      </c>
      <c r="C305" t="s">
        <v>545</v>
      </c>
      <c r="D305"/>
      <c r="E305" t="s">
        <v>406</v>
      </c>
      <c r="F305"/>
      <c r="G305" t="s">
        <v>47</v>
      </c>
      <c r="H305"/>
      <c r="I305" s="155">
        <v>46300.777789351851</v>
      </c>
      <c r="J305" t="s">
        <v>531</v>
      </c>
      <c r="K305" t="s">
        <v>388</v>
      </c>
      <c r="L305" s="154">
        <v>46299</v>
      </c>
      <c r="M305" t="s">
        <v>530</v>
      </c>
      <c r="N305" t="s">
        <v>178</v>
      </c>
      <c r="O305" t="s">
        <v>179</v>
      </c>
      <c r="P305">
        <v>3</v>
      </c>
      <c r="Q305" t="s">
        <v>194</v>
      </c>
    </row>
    <row r="306" spans="1:17" s="3" customFormat="1" hidden="1">
      <c r="A306" s="82">
        <v>1.5251046828703704E-2</v>
      </c>
      <c r="B306" t="s">
        <v>46</v>
      </c>
      <c r="C306" t="s">
        <v>540</v>
      </c>
      <c r="D306"/>
      <c r="E306" t="s">
        <v>407</v>
      </c>
      <c r="F306"/>
      <c r="G306" t="s">
        <v>47</v>
      </c>
      <c r="H306"/>
      <c r="I306" s="155">
        <v>46300.777499999997</v>
      </c>
      <c r="J306" t="s">
        <v>531</v>
      </c>
      <c r="K306" t="s">
        <v>388</v>
      </c>
      <c r="L306" s="154">
        <v>46299</v>
      </c>
      <c r="M306" t="s">
        <v>530</v>
      </c>
      <c r="N306" t="s">
        <v>178</v>
      </c>
      <c r="O306" t="s">
        <v>179</v>
      </c>
      <c r="P306">
        <v>3</v>
      </c>
      <c r="Q306" t="s">
        <v>194</v>
      </c>
    </row>
    <row r="307" spans="1:17" s="3" customFormat="1" hidden="1">
      <c r="A307" s="82">
        <v>1.5251046828703704E-2</v>
      </c>
      <c r="B307" t="s">
        <v>46</v>
      </c>
      <c r="C307" t="s">
        <v>538</v>
      </c>
      <c r="D307"/>
      <c r="E307" t="s">
        <v>406</v>
      </c>
      <c r="F307"/>
      <c r="G307" t="s">
        <v>47</v>
      </c>
      <c r="H307"/>
      <c r="I307" s="155">
        <v>46300.776886574073</v>
      </c>
      <c r="J307" t="s">
        <v>531</v>
      </c>
      <c r="K307" t="s">
        <v>388</v>
      </c>
      <c r="L307" s="154">
        <v>46299</v>
      </c>
      <c r="M307" t="s">
        <v>530</v>
      </c>
      <c r="N307" t="s">
        <v>178</v>
      </c>
      <c r="O307" t="s">
        <v>179</v>
      </c>
      <c r="P307">
        <v>3</v>
      </c>
      <c r="Q307" t="s">
        <v>194</v>
      </c>
    </row>
    <row r="308" spans="1:17" s="3" customFormat="1" hidden="1">
      <c r="A308" s="82">
        <v>1.5251046828703704E-2</v>
      </c>
      <c r="B308" t="s">
        <v>46</v>
      </c>
      <c r="C308" t="s">
        <v>483</v>
      </c>
      <c r="D308"/>
      <c r="E308" t="s">
        <v>407</v>
      </c>
      <c r="F308"/>
      <c r="G308" t="s">
        <v>47</v>
      </c>
      <c r="H308"/>
      <c r="I308" s="155">
        <v>46300.77652777778</v>
      </c>
      <c r="J308" t="s">
        <v>531</v>
      </c>
      <c r="K308" t="s">
        <v>388</v>
      </c>
      <c r="L308" s="154">
        <v>46299</v>
      </c>
      <c r="M308" t="s">
        <v>530</v>
      </c>
      <c r="N308" t="s">
        <v>178</v>
      </c>
      <c r="O308" t="s">
        <v>179</v>
      </c>
      <c r="P308">
        <v>3</v>
      </c>
      <c r="Q308" t="s">
        <v>194</v>
      </c>
    </row>
    <row r="309" spans="1:17" s="3" customFormat="1" hidden="1">
      <c r="A309" s="82">
        <v>1.5178653009259259E-2</v>
      </c>
      <c r="B309" t="s">
        <v>46</v>
      </c>
      <c r="C309" t="s">
        <v>535</v>
      </c>
      <c r="D309"/>
      <c r="E309" t="s">
        <v>407</v>
      </c>
      <c r="F309"/>
      <c r="G309" t="s">
        <v>47</v>
      </c>
      <c r="H309"/>
      <c r="I309" s="155">
        <v>46300.775335648148</v>
      </c>
      <c r="J309" t="s">
        <v>531</v>
      </c>
      <c r="K309" t="s">
        <v>388</v>
      </c>
      <c r="L309" s="154">
        <v>46299</v>
      </c>
      <c r="M309" t="s">
        <v>530</v>
      </c>
      <c r="N309" t="s">
        <v>178</v>
      </c>
      <c r="O309" t="s">
        <v>179</v>
      </c>
      <c r="P309">
        <v>3</v>
      </c>
      <c r="Q309" t="s">
        <v>194</v>
      </c>
    </row>
    <row r="310" spans="1:17" s="3" customFormat="1" hidden="1">
      <c r="A310" s="82">
        <v>1.5062616099537036E-2</v>
      </c>
      <c r="B310" t="s">
        <v>46</v>
      </c>
      <c r="C310" t="s">
        <v>540</v>
      </c>
      <c r="D310"/>
      <c r="E310" t="s">
        <v>407</v>
      </c>
      <c r="F310"/>
      <c r="G310" t="s">
        <v>47</v>
      </c>
      <c r="H310"/>
      <c r="I310" s="155">
        <v>46300.77516203704</v>
      </c>
      <c r="J310" t="s">
        <v>531</v>
      </c>
      <c r="K310" t="s">
        <v>388</v>
      </c>
      <c r="L310" s="154">
        <v>46299</v>
      </c>
      <c r="M310" t="s">
        <v>530</v>
      </c>
      <c r="N310" t="s">
        <v>178</v>
      </c>
      <c r="O310" t="s">
        <v>179</v>
      </c>
      <c r="P310">
        <v>3</v>
      </c>
      <c r="Q310" t="s">
        <v>194</v>
      </c>
    </row>
    <row r="311" spans="1:17" s="3" customFormat="1" hidden="1">
      <c r="A311" s="82">
        <v>1.5045286701388889E-2</v>
      </c>
      <c r="B311" t="s">
        <v>46</v>
      </c>
      <c r="C311" t="s">
        <v>541</v>
      </c>
      <c r="D311"/>
      <c r="E311" t="s">
        <v>407</v>
      </c>
      <c r="F311"/>
      <c r="G311" t="s">
        <v>47</v>
      </c>
      <c r="H311"/>
      <c r="I311" s="155">
        <v>46300.775057870371</v>
      </c>
      <c r="J311" t="s">
        <v>531</v>
      </c>
      <c r="K311" t="s">
        <v>388</v>
      </c>
      <c r="L311" s="154">
        <v>46299</v>
      </c>
      <c r="M311" t="s">
        <v>530</v>
      </c>
      <c r="N311" t="s">
        <v>178</v>
      </c>
      <c r="O311" t="s">
        <v>179</v>
      </c>
      <c r="P311">
        <v>3</v>
      </c>
      <c r="Q311" t="s">
        <v>194</v>
      </c>
    </row>
    <row r="312" spans="1:17" s="3" customFormat="1" hidden="1">
      <c r="A312" s="82">
        <v>1.4991888587962963E-2</v>
      </c>
      <c r="B312" t="s">
        <v>46</v>
      </c>
      <c r="C312"/>
      <c r="D312"/>
      <c r="E312" t="s">
        <v>225</v>
      </c>
      <c r="F312"/>
      <c r="G312" t="s">
        <v>47</v>
      </c>
      <c r="H312"/>
      <c r="I312" s="155">
        <v>46300.77484953704</v>
      </c>
      <c r="J312" t="s">
        <v>531</v>
      </c>
      <c r="K312" t="s">
        <v>388</v>
      </c>
      <c r="L312" s="154">
        <v>46299</v>
      </c>
      <c r="M312" t="s">
        <v>530</v>
      </c>
      <c r="N312" t="s">
        <v>178</v>
      </c>
      <c r="O312" t="s">
        <v>179</v>
      </c>
      <c r="P312">
        <v>3</v>
      </c>
      <c r="Q312" t="s">
        <v>194</v>
      </c>
    </row>
    <row r="313" spans="1:17" s="3" customFormat="1" hidden="1">
      <c r="A313" s="82">
        <v>1.4933410601851852E-2</v>
      </c>
      <c r="B313" t="s">
        <v>46</v>
      </c>
      <c r="C313"/>
      <c r="D313"/>
      <c r="E313" t="s">
        <v>54</v>
      </c>
      <c r="F313"/>
      <c r="G313" t="s">
        <v>47</v>
      </c>
      <c r="H313"/>
      <c r="I313" s="155">
        <v>46300.774571759262</v>
      </c>
      <c r="J313" t="s">
        <v>531</v>
      </c>
      <c r="K313" t="s">
        <v>388</v>
      </c>
      <c r="L313" s="154">
        <v>46299</v>
      </c>
      <c r="M313" t="s">
        <v>530</v>
      </c>
      <c r="N313" t="s">
        <v>178</v>
      </c>
      <c r="O313" t="s">
        <v>179</v>
      </c>
      <c r="P313">
        <v>3</v>
      </c>
      <c r="Q313" t="s">
        <v>194</v>
      </c>
    </row>
    <row r="314" spans="1:17" s="3" customFormat="1" hidden="1">
      <c r="A314" s="82">
        <v>1.4486774016203704E-2</v>
      </c>
      <c r="B314" t="s">
        <v>46</v>
      </c>
      <c r="C314"/>
      <c r="D314"/>
      <c r="E314" t="s">
        <v>37</v>
      </c>
      <c r="F314"/>
      <c r="G314" t="s">
        <v>47</v>
      </c>
      <c r="H314"/>
      <c r="I314" s="155">
        <v>46300.774502314816</v>
      </c>
      <c r="J314" t="s">
        <v>531</v>
      </c>
      <c r="K314" t="s">
        <v>388</v>
      </c>
      <c r="L314" s="154">
        <v>46299</v>
      </c>
      <c r="M314" t="s">
        <v>530</v>
      </c>
      <c r="N314" t="s">
        <v>178</v>
      </c>
      <c r="O314" t="s">
        <v>179</v>
      </c>
      <c r="P314">
        <v>3</v>
      </c>
      <c r="Q314" t="s">
        <v>194</v>
      </c>
    </row>
    <row r="315" spans="1:17" s="3" customFormat="1" hidden="1">
      <c r="A315" s="82">
        <v>1.4394234930555557E-2</v>
      </c>
      <c r="B315" t="s">
        <v>46</v>
      </c>
      <c r="C315" t="s">
        <v>537</v>
      </c>
      <c r="D315"/>
      <c r="E315" t="s">
        <v>221</v>
      </c>
      <c r="F315"/>
      <c r="G315" t="s">
        <v>113</v>
      </c>
      <c r="H315"/>
      <c r="I315" s="155">
        <v>46300.774398148147</v>
      </c>
      <c r="J315" t="s">
        <v>531</v>
      </c>
      <c r="K315" t="s">
        <v>388</v>
      </c>
      <c r="L315" s="154">
        <v>46299</v>
      </c>
      <c r="M315" t="s">
        <v>530</v>
      </c>
      <c r="N315" t="s">
        <v>178</v>
      </c>
      <c r="O315" t="s">
        <v>179</v>
      </c>
      <c r="P315">
        <v>3</v>
      </c>
      <c r="Q315" t="s">
        <v>194</v>
      </c>
    </row>
    <row r="316" spans="1:17" s="3" customFormat="1" hidden="1">
      <c r="A316" s="82">
        <v>1.4286281122685186E-2</v>
      </c>
      <c r="B316" t="s">
        <v>46</v>
      </c>
      <c r="C316"/>
      <c r="D316"/>
      <c r="E316" t="s">
        <v>53</v>
      </c>
      <c r="F316"/>
      <c r="G316" t="s">
        <v>113</v>
      </c>
      <c r="H316"/>
      <c r="I316" s="155">
        <v>46300.773935185185</v>
      </c>
      <c r="J316" t="s">
        <v>531</v>
      </c>
      <c r="K316" t="s">
        <v>388</v>
      </c>
      <c r="L316" s="154">
        <v>46299</v>
      </c>
      <c r="M316" t="s">
        <v>530</v>
      </c>
      <c r="N316" t="s">
        <v>178</v>
      </c>
      <c r="O316" t="s">
        <v>179</v>
      </c>
      <c r="P316">
        <v>3</v>
      </c>
      <c r="Q316" t="s">
        <v>194</v>
      </c>
    </row>
    <row r="317" spans="1:17" s="3" customFormat="1" hidden="1">
      <c r="A317" s="82">
        <v>1.3888658506944443E-2</v>
      </c>
      <c r="B317" t="s">
        <v>46</v>
      </c>
      <c r="C317"/>
      <c r="D317"/>
      <c r="E317" t="s">
        <v>37</v>
      </c>
      <c r="F317"/>
      <c r="G317" t="s">
        <v>47</v>
      </c>
      <c r="H317"/>
      <c r="I317" s="155">
        <v>46300.773819444446</v>
      </c>
      <c r="J317" t="s">
        <v>531</v>
      </c>
      <c r="K317" t="s">
        <v>388</v>
      </c>
      <c r="L317" s="154">
        <v>46299</v>
      </c>
      <c r="M317" t="s">
        <v>530</v>
      </c>
      <c r="N317" t="s">
        <v>178</v>
      </c>
      <c r="O317" t="s">
        <v>179</v>
      </c>
      <c r="P317">
        <v>3</v>
      </c>
      <c r="Q317" t="s">
        <v>194</v>
      </c>
    </row>
    <row r="318" spans="1:17" s="3" customFormat="1" hidden="1">
      <c r="A318" s="82">
        <v>1.3778416458333333E-2</v>
      </c>
      <c r="B318" t="s">
        <v>46</v>
      </c>
      <c r="C318"/>
      <c r="D318"/>
      <c r="E318" t="s">
        <v>49</v>
      </c>
      <c r="F318"/>
      <c r="G318" t="s">
        <v>47</v>
      </c>
      <c r="H318"/>
      <c r="I318" s="155">
        <v>46300.773715277777</v>
      </c>
      <c r="J318" t="s">
        <v>531</v>
      </c>
      <c r="K318" t="s">
        <v>388</v>
      </c>
      <c r="L318" s="154">
        <v>46299</v>
      </c>
      <c r="M318" t="s">
        <v>530</v>
      </c>
      <c r="N318" t="s">
        <v>178</v>
      </c>
      <c r="O318" t="s">
        <v>179</v>
      </c>
      <c r="P318">
        <v>3</v>
      </c>
      <c r="Q318" t="s">
        <v>194</v>
      </c>
    </row>
    <row r="319" spans="1:17" s="3" customFormat="1" hidden="1">
      <c r="A319" s="82">
        <v>1.3428746678240741E-2</v>
      </c>
      <c r="B319" t="s">
        <v>46</v>
      </c>
      <c r="C319"/>
      <c r="D319"/>
      <c r="E319" t="s">
        <v>65</v>
      </c>
      <c r="F319"/>
      <c r="G319" t="s">
        <v>113</v>
      </c>
      <c r="H319"/>
      <c r="I319" s="155">
        <v>46300.773576388892</v>
      </c>
      <c r="J319" t="s">
        <v>531</v>
      </c>
      <c r="K319" t="s">
        <v>388</v>
      </c>
      <c r="L319" s="154">
        <v>46299</v>
      </c>
      <c r="M319" t="s">
        <v>530</v>
      </c>
      <c r="N319" t="s">
        <v>178</v>
      </c>
      <c r="O319" t="s">
        <v>179</v>
      </c>
      <c r="P319">
        <v>3</v>
      </c>
      <c r="Q319" t="s">
        <v>194</v>
      </c>
    </row>
    <row r="320" spans="1:17" s="3" customFormat="1" hidden="1">
      <c r="A320" s="82">
        <v>1.2755562175925926E-2</v>
      </c>
      <c r="B320" t="s">
        <v>46</v>
      </c>
      <c r="C320"/>
      <c r="D320"/>
      <c r="E320" t="s">
        <v>37</v>
      </c>
      <c r="F320"/>
      <c r="G320" t="s">
        <v>113</v>
      </c>
      <c r="H320"/>
      <c r="I320" s="155">
        <v>46300.773194444446</v>
      </c>
      <c r="J320" t="s">
        <v>531</v>
      </c>
      <c r="K320" t="s">
        <v>388</v>
      </c>
      <c r="L320" s="154">
        <v>46299</v>
      </c>
      <c r="M320" t="s">
        <v>530</v>
      </c>
      <c r="N320" t="s">
        <v>178</v>
      </c>
      <c r="O320" t="s">
        <v>179</v>
      </c>
      <c r="P320">
        <v>3</v>
      </c>
      <c r="Q320" t="s">
        <v>194</v>
      </c>
    </row>
    <row r="321" spans="1:17" s="3" customFormat="1" hidden="1">
      <c r="A321" s="82">
        <v>1.2755562175925926E-2</v>
      </c>
      <c r="B321" t="s">
        <v>46</v>
      </c>
      <c r="C321" t="s">
        <v>32</v>
      </c>
      <c r="D321" t="s">
        <v>32</v>
      </c>
      <c r="E321" t="s">
        <v>161</v>
      </c>
      <c r="F321" t="s">
        <v>156</v>
      </c>
      <c r="G321" t="s">
        <v>113</v>
      </c>
      <c r="H321"/>
      <c r="I321" s="155">
        <v>46300.773194444446</v>
      </c>
      <c r="J321" t="s">
        <v>531</v>
      </c>
      <c r="K321" t="s">
        <v>388</v>
      </c>
      <c r="L321" s="154">
        <v>46299</v>
      </c>
      <c r="M321" t="s">
        <v>530</v>
      </c>
      <c r="N321" t="s">
        <v>178</v>
      </c>
      <c r="O321" t="s">
        <v>179</v>
      </c>
      <c r="P321">
        <v>3</v>
      </c>
      <c r="Q321" t="s">
        <v>194</v>
      </c>
    </row>
    <row r="322" spans="1:17" s="3" customFormat="1" hidden="1">
      <c r="A322" s="82">
        <v>1.2641844351851851E-2</v>
      </c>
      <c r="B322" t="s">
        <v>46</v>
      </c>
      <c r="C322" t="s">
        <v>547</v>
      </c>
      <c r="D322"/>
      <c r="E322" t="s">
        <v>57</v>
      </c>
      <c r="F322"/>
      <c r="G322" t="s">
        <v>113</v>
      </c>
      <c r="H322"/>
      <c r="I322" s="155">
        <v>46300.772986111115</v>
      </c>
      <c r="J322" t="s">
        <v>531</v>
      </c>
      <c r="K322" t="s">
        <v>388</v>
      </c>
      <c r="L322" s="154">
        <v>46299</v>
      </c>
      <c r="M322" t="s">
        <v>530</v>
      </c>
      <c r="N322" t="s">
        <v>178</v>
      </c>
      <c r="O322" t="s">
        <v>179</v>
      </c>
      <c r="P322">
        <v>3</v>
      </c>
      <c r="Q322" t="s">
        <v>194</v>
      </c>
    </row>
    <row r="323" spans="1:17" s="3" customFormat="1" hidden="1">
      <c r="A323" s="82">
        <v>1.2611810289351853E-2</v>
      </c>
      <c r="B323" t="s">
        <v>46</v>
      </c>
      <c r="C323" t="s">
        <v>545</v>
      </c>
      <c r="D323"/>
      <c r="E323" t="s">
        <v>57</v>
      </c>
      <c r="F323"/>
      <c r="G323" t="s">
        <v>113</v>
      </c>
      <c r="H323"/>
      <c r="I323" s="155">
        <v>46300.772789351853</v>
      </c>
      <c r="J323" t="s">
        <v>531</v>
      </c>
      <c r="K323" t="s">
        <v>388</v>
      </c>
      <c r="L323" s="154">
        <v>46299</v>
      </c>
      <c r="M323" t="s">
        <v>530</v>
      </c>
      <c r="N323" t="s">
        <v>178</v>
      </c>
      <c r="O323" t="s">
        <v>179</v>
      </c>
      <c r="P323">
        <v>3</v>
      </c>
      <c r="Q323" t="s">
        <v>194</v>
      </c>
    </row>
    <row r="324" spans="1:17" s="3" customFormat="1" hidden="1">
      <c r="A324" s="82">
        <v>1.2541417094907406E-2</v>
      </c>
      <c r="B324" t="s">
        <v>46</v>
      </c>
      <c r="C324" t="s">
        <v>541</v>
      </c>
      <c r="D324"/>
      <c r="E324" t="s">
        <v>57</v>
      </c>
      <c r="F324"/>
      <c r="G324" t="s">
        <v>113</v>
      </c>
      <c r="H324"/>
      <c r="I324" s="155">
        <v>46300.772546296299</v>
      </c>
      <c r="J324" t="s">
        <v>531</v>
      </c>
      <c r="K324" t="s">
        <v>388</v>
      </c>
      <c r="L324" s="154">
        <v>46299</v>
      </c>
      <c r="M324" t="s">
        <v>530</v>
      </c>
      <c r="N324" t="s">
        <v>178</v>
      </c>
      <c r="O324" t="s">
        <v>179</v>
      </c>
      <c r="P324">
        <v>3</v>
      </c>
      <c r="Q324" t="s">
        <v>194</v>
      </c>
    </row>
    <row r="325" spans="1:17" s="3" customFormat="1" hidden="1">
      <c r="A325" s="82">
        <v>1.2422220486111109E-2</v>
      </c>
      <c r="B325" t="s">
        <v>46</v>
      </c>
      <c r="C325" t="s">
        <v>537</v>
      </c>
      <c r="D325"/>
      <c r="E325" t="s">
        <v>57</v>
      </c>
      <c r="F325"/>
      <c r="G325" t="s">
        <v>113</v>
      </c>
      <c r="H325"/>
      <c r="I325" s="155">
        <v>46300.77207175926</v>
      </c>
      <c r="J325" t="s">
        <v>531</v>
      </c>
      <c r="K325" t="s">
        <v>388</v>
      </c>
      <c r="L325" s="154">
        <v>46299</v>
      </c>
      <c r="M325" t="s">
        <v>530</v>
      </c>
      <c r="N325" t="s">
        <v>178</v>
      </c>
      <c r="O325" t="s">
        <v>179</v>
      </c>
      <c r="P325">
        <v>3</v>
      </c>
      <c r="Q325" t="s">
        <v>194</v>
      </c>
    </row>
    <row r="326" spans="1:17" s="3" customFormat="1" hidden="1">
      <c r="A326" s="82">
        <v>1.2407953009259258E-2</v>
      </c>
      <c r="B326" t="s">
        <v>46</v>
      </c>
      <c r="C326" t="s">
        <v>535</v>
      </c>
      <c r="D326"/>
      <c r="E326" t="s">
        <v>57</v>
      </c>
      <c r="F326"/>
      <c r="G326" t="s">
        <v>113</v>
      </c>
      <c r="H326"/>
      <c r="I326" s="155">
        <v>46300.771979166668</v>
      </c>
      <c r="J326" t="s">
        <v>531</v>
      </c>
      <c r="K326" t="s">
        <v>388</v>
      </c>
      <c r="L326" s="154">
        <v>46299</v>
      </c>
      <c r="M326" t="s">
        <v>530</v>
      </c>
      <c r="N326" t="s">
        <v>178</v>
      </c>
      <c r="O326" t="s">
        <v>179</v>
      </c>
      <c r="P326">
        <v>3</v>
      </c>
      <c r="Q326" t="s">
        <v>194</v>
      </c>
    </row>
    <row r="327" spans="1:17" s="3" customFormat="1" hidden="1">
      <c r="A327" s="82">
        <v>1.2335717511574074E-2</v>
      </c>
      <c r="B327" t="s">
        <v>46</v>
      </c>
      <c r="C327" t="s">
        <v>546</v>
      </c>
      <c r="D327"/>
      <c r="E327" t="s">
        <v>57</v>
      </c>
      <c r="F327"/>
      <c r="G327" t="s">
        <v>113</v>
      </c>
      <c r="H327"/>
      <c r="I327" s="155">
        <v>46300.768946759257</v>
      </c>
      <c r="J327" t="s">
        <v>531</v>
      </c>
      <c r="K327" t="s">
        <v>388</v>
      </c>
      <c r="L327" s="154">
        <v>46299</v>
      </c>
      <c r="M327" t="s">
        <v>530</v>
      </c>
      <c r="N327" t="s">
        <v>178</v>
      </c>
      <c r="O327" t="s">
        <v>179</v>
      </c>
      <c r="P327">
        <v>3</v>
      </c>
      <c r="Q327" t="s">
        <v>194</v>
      </c>
    </row>
    <row r="328" spans="1:17" s="3" customFormat="1" hidden="1">
      <c r="A328" s="82">
        <v>1.2295257430555555E-2</v>
      </c>
      <c r="B328" t="s">
        <v>46</v>
      </c>
      <c r="C328" t="s">
        <v>539</v>
      </c>
      <c r="D328"/>
      <c r="E328" t="s">
        <v>57</v>
      </c>
      <c r="F328"/>
      <c r="G328" t="s">
        <v>113</v>
      </c>
      <c r="H328"/>
      <c r="I328" s="155">
        <v>46300.768807870372</v>
      </c>
      <c r="J328" t="s">
        <v>531</v>
      </c>
      <c r="K328" t="s">
        <v>388</v>
      </c>
      <c r="L328" s="154">
        <v>46299</v>
      </c>
      <c r="M328" t="s">
        <v>530</v>
      </c>
      <c r="N328" t="s">
        <v>178</v>
      </c>
      <c r="O328" t="s">
        <v>179</v>
      </c>
      <c r="P328">
        <v>3</v>
      </c>
      <c r="Q328" t="s">
        <v>194</v>
      </c>
    </row>
    <row r="329" spans="1:17" s="3" customFormat="1" hidden="1">
      <c r="A329" s="82">
        <v>1.2247975567129629E-2</v>
      </c>
      <c r="B329" t="s">
        <v>46</v>
      </c>
      <c r="C329" t="s">
        <v>546</v>
      </c>
      <c r="D329"/>
      <c r="E329" t="s">
        <v>57</v>
      </c>
      <c r="F329"/>
      <c r="G329" t="s">
        <v>113</v>
      </c>
      <c r="H329"/>
      <c r="I329" s="155">
        <v>46300.767233796294</v>
      </c>
      <c r="J329" t="s">
        <v>531</v>
      </c>
      <c r="K329" t="s">
        <v>388</v>
      </c>
      <c r="L329" s="154">
        <v>46299</v>
      </c>
      <c r="M329" t="s">
        <v>530</v>
      </c>
      <c r="N329" t="s">
        <v>178</v>
      </c>
      <c r="O329" t="s">
        <v>179</v>
      </c>
      <c r="P329">
        <v>3</v>
      </c>
      <c r="Q329" t="s">
        <v>194</v>
      </c>
    </row>
    <row r="330" spans="1:17" s="3" customFormat="1" hidden="1">
      <c r="A330" s="82">
        <v>1.2213300590277778E-2</v>
      </c>
      <c r="B330" t="s">
        <v>46</v>
      </c>
      <c r="C330" t="s">
        <v>545</v>
      </c>
      <c r="D330"/>
      <c r="E330" t="s">
        <v>57</v>
      </c>
      <c r="F330"/>
      <c r="G330" t="s">
        <v>113</v>
      </c>
      <c r="H330"/>
      <c r="I330" s="155">
        <v>46300.767152777778</v>
      </c>
      <c r="J330" t="s">
        <v>531</v>
      </c>
      <c r="K330" t="s">
        <v>388</v>
      </c>
      <c r="L330" s="154">
        <v>46299</v>
      </c>
      <c r="M330" t="s">
        <v>530</v>
      </c>
      <c r="N330" t="s">
        <v>178</v>
      </c>
      <c r="O330" t="s">
        <v>179</v>
      </c>
      <c r="P330">
        <v>3</v>
      </c>
      <c r="Q330" t="s">
        <v>194</v>
      </c>
    </row>
    <row r="331" spans="1:17" s="3" customFormat="1" hidden="1">
      <c r="A331" s="82">
        <v>1.2177914618055554E-2</v>
      </c>
      <c r="B331" t="s">
        <v>46</v>
      </c>
      <c r="C331" t="s">
        <v>541</v>
      </c>
      <c r="D331"/>
      <c r="E331" t="s">
        <v>57</v>
      </c>
      <c r="F331"/>
      <c r="G331" t="s">
        <v>113</v>
      </c>
      <c r="H331"/>
      <c r="I331" s="155">
        <v>46300.764664351853</v>
      </c>
      <c r="J331" t="s">
        <v>531</v>
      </c>
      <c r="K331" t="s">
        <v>388</v>
      </c>
      <c r="L331" s="154">
        <v>46299</v>
      </c>
      <c r="M331" t="s">
        <v>530</v>
      </c>
      <c r="N331" t="s">
        <v>178</v>
      </c>
      <c r="O331" t="s">
        <v>179</v>
      </c>
      <c r="P331">
        <v>3</v>
      </c>
      <c r="Q331" t="s">
        <v>194</v>
      </c>
    </row>
    <row r="332" spans="1:17" s="3" customFormat="1" hidden="1">
      <c r="A332" s="82">
        <v>1.2163736678240739E-2</v>
      </c>
      <c r="B332" t="s">
        <v>46</v>
      </c>
      <c r="C332" t="s">
        <v>541</v>
      </c>
      <c r="D332"/>
      <c r="E332" t="s">
        <v>84</v>
      </c>
      <c r="F332"/>
      <c r="G332" t="s">
        <v>113</v>
      </c>
      <c r="H332"/>
      <c r="I332" s="155">
        <v>46300.764537037037</v>
      </c>
      <c r="J332" t="s">
        <v>531</v>
      </c>
      <c r="K332" t="s">
        <v>388</v>
      </c>
      <c r="L332" s="154">
        <v>46299</v>
      </c>
      <c r="M332" t="s">
        <v>530</v>
      </c>
      <c r="N332" t="s">
        <v>178</v>
      </c>
      <c r="O332" t="s">
        <v>179</v>
      </c>
      <c r="P332">
        <v>3</v>
      </c>
      <c r="Q332" t="s">
        <v>194</v>
      </c>
    </row>
    <row r="333" spans="1:17" s="3" customFormat="1" hidden="1">
      <c r="A333" s="82">
        <v>1.2137042245370372E-2</v>
      </c>
      <c r="B333" t="s">
        <v>46</v>
      </c>
      <c r="C333" t="s">
        <v>544</v>
      </c>
      <c r="D333"/>
      <c r="E333" t="s">
        <v>9</v>
      </c>
      <c r="F333"/>
      <c r="G333" t="s">
        <v>113</v>
      </c>
      <c r="H333"/>
      <c r="I333" s="155">
        <v>46300.764062499999</v>
      </c>
      <c r="J333" t="s">
        <v>531</v>
      </c>
      <c r="K333" t="s">
        <v>388</v>
      </c>
      <c r="L333" s="154">
        <v>46299</v>
      </c>
      <c r="M333" t="s">
        <v>530</v>
      </c>
      <c r="N333" t="s">
        <v>178</v>
      </c>
      <c r="O333" t="s">
        <v>179</v>
      </c>
      <c r="P333">
        <v>3</v>
      </c>
      <c r="Q333" t="s">
        <v>194</v>
      </c>
    </row>
    <row r="334" spans="1:17" s="3" customFormat="1" hidden="1">
      <c r="A334" s="82">
        <v>1.2110082847222222E-2</v>
      </c>
      <c r="B334" t="s">
        <v>46</v>
      </c>
      <c r="C334" t="s">
        <v>483</v>
      </c>
      <c r="D334"/>
      <c r="E334" t="s">
        <v>57</v>
      </c>
      <c r="F334"/>
      <c r="G334" t="s">
        <v>113</v>
      </c>
      <c r="H334"/>
      <c r="I334" s="155">
        <v>46300.762152777781</v>
      </c>
      <c r="J334" t="s">
        <v>531</v>
      </c>
      <c r="K334" t="s">
        <v>388</v>
      </c>
      <c r="L334" s="154">
        <v>46299</v>
      </c>
      <c r="M334" t="s">
        <v>530</v>
      </c>
      <c r="N334" t="s">
        <v>178</v>
      </c>
      <c r="O334" t="s">
        <v>179</v>
      </c>
      <c r="P334">
        <v>3</v>
      </c>
      <c r="Q334" t="s">
        <v>194</v>
      </c>
    </row>
    <row r="335" spans="1:17" s="3" customFormat="1" hidden="1">
      <c r="A335" s="82">
        <v>1.2082053275462962E-2</v>
      </c>
      <c r="B335" t="s">
        <v>46</v>
      </c>
      <c r="C335"/>
      <c r="D335"/>
      <c r="E335" t="s">
        <v>137</v>
      </c>
      <c r="F335"/>
      <c r="G335" t="s">
        <v>113</v>
      </c>
      <c r="H335"/>
      <c r="I335" s="155">
        <v>46300.760289351849</v>
      </c>
      <c r="J335" t="s">
        <v>531</v>
      </c>
      <c r="K335" t="s">
        <v>388</v>
      </c>
      <c r="L335" s="154">
        <v>46299</v>
      </c>
      <c r="M335" t="s">
        <v>530</v>
      </c>
      <c r="N335" t="s">
        <v>178</v>
      </c>
      <c r="O335" t="s">
        <v>179</v>
      </c>
      <c r="P335">
        <v>3</v>
      </c>
      <c r="Q335" t="s">
        <v>194</v>
      </c>
    </row>
    <row r="336" spans="1:17" s="3" customFormat="1" hidden="1">
      <c r="A336" s="82">
        <v>1.2037475636574074E-2</v>
      </c>
      <c r="B336" t="s">
        <v>46</v>
      </c>
      <c r="C336"/>
      <c r="D336"/>
      <c r="E336" t="s">
        <v>49</v>
      </c>
      <c r="F336"/>
      <c r="G336" t="s">
        <v>47</v>
      </c>
      <c r="H336"/>
      <c r="I336" s="155">
        <v>46300.76021990741</v>
      </c>
      <c r="J336" t="s">
        <v>531</v>
      </c>
      <c r="K336" t="s">
        <v>388</v>
      </c>
      <c r="L336" s="154">
        <v>46299</v>
      </c>
      <c r="M336" t="s">
        <v>530</v>
      </c>
      <c r="N336" t="s">
        <v>178</v>
      </c>
      <c r="O336" t="s">
        <v>179</v>
      </c>
      <c r="P336">
        <v>3</v>
      </c>
      <c r="Q336" t="s">
        <v>194</v>
      </c>
    </row>
    <row r="337" spans="1:17" s="3" customFormat="1" hidden="1">
      <c r="A337" s="82">
        <v>1.1698807233796295E-2</v>
      </c>
      <c r="B337" t="s">
        <v>46</v>
      </c>
      <c r="C337"/>
      <c r="D337"/>
      <c r="E337" t="s">
        <v>37</v>
      </c>
      <c r="F337"/>
      <c r="G337" t="s">
        <v>113</v>
      </c>
      <c r="H337"/>
      <c r="I337" s="155">
        <v>46300.75949074074</v>
      </c>
      <c r="J337" t="s">
        <v>531</v>
      </c>
      <c r="K337" t="s">
        <v>388</v>
      </c>
      <c r="L337" s="154">
        <v>46299</v>
      </c>
      <c r="M337" t="s">
        <v>530</v>
      </c>
      <c r="N337" t="s">
        <v>178</v>
      </c>
      <c r="O337" t="s">
        <v>179</v>
      </c>
      <c r="P337">
        <v>3</v>
      </c>
      <c r="Q337" t="s">
        <v>194</v>
      </c>
    </row>
    <row r="338" spans="1:17" s="3" customFormat="1" hidden="1">
      <c r="A338" s="82">
        <v>1.1591398819444444E-2</v>
      </c>
      <c r="B338" t="s">
        <v>46</v>
      </c>
      <c r="C338"/>
      <c r="D338"/>
      <c r="E338" t="s">
        <v>133</v>
      </c>
      <c r="F338"/>
      <c r="G338" t="s">
        <v>113</v>
      </c>
      <c r="H338"/>
      <c r="I338" s="155">
        <v>46300.759363425925</v>
      </c>
      <c r="J338" t="s">
        <v>531</v>
      </c>
      <c r="K338" t="s">
        <v>388</v>
      </c>
      <c r="L338" s="154">
        <v>46299</v>
      </c>
      <c r="M338" t="s">
        <v>530</v>
      </c>
      <c r="N338" t="s">
        <v>178</v>
      </c>
      <c r="O338" t="s">
        <v>179</v>
      </c>
      <c r="P338">
        <v>3</v>
      </c>
      <c r="Q338" t="s">
        <v>194</v>
      </c>
    </row>
    <row r="339" spans="1:17" s="3" customFormat="1" hidden="1">
      <c r="A339" s="82">
        <v>1.1574145092592593E-2</v>
      </c>
      <c r="B339" t="s">
        <v>46</v>
      </c>
      <c r="C339"/>
      <c r="D339"/>
      <c r="E339" t="s">
        <v>137</v>
      </c>
      <c r="F339"/>
      <c r="G339" t="s">
        <v>113</v>
      </c>
      <c r="H339"/>
      <c r="I339" s="155">
        <v>46300.759305555555</v>
      </c>
      <c r="J339" t="s">
        <v>531</v>
      </c>
      <c r="K339" t="s">
        <v>388</v>
      </c>
      <c r="L339" s="154">
        <v>46299</v>
      </c>
      <c r="M339" t="s">
        <v>530</v>
      </c>
      <c r="N339" t="s">
        <v>178</v>
      </c>
      <c r="O339" t="s">
        <v>179</v>
      </c>
      <c r="P339">
        <v>3</v>
      </c>
      <c r="Q339" t="s">
        <v>194</v>
      </c>
    </row>
    <row r="340" spans="1:17" s="3" customFormat="1" hidden="1">
      <c r="A340" s="82">
        <v>1.1521357777777777E-2</v>
      </c>
      <c r="B340" t="s">
        <v>46</v>
      </c>
      <c r="C340"/>
      <c r="D340"/>
      <c r="E340" t="s">
        <v>133</v>
      </c>
      <c r="F340"/>
      <c r="G340" t="s">
        <v>47</v>
      </c>
      <c r="H340"/>
      <c r="I340" s="155">
        <v>46300.759189814817</v>
      </c>
      <c r="J340" t="s">
        <v>531</v>
      </c>
      <c r="K340" t="s">
        <v>388</v>
      </c>
      <c r="L340" s="154">
        <v>46299</v>
      </c>
      <c r="M340" t="s">
        <v>530</v>
      </c>
      <c r="N340" t="s">
        <v>178</v>
      </c>
      <c r="O340" t="s">
        <v>179</v>
      </c>
      <c r="P340">
        <v>3</v>
      </c>
      <c r="Q340" t="s">
        <v>194</v>
      </c>
    </row>
    <row r="341" spans="1:17" s="3" customFormat="1" hidden="1">
      <c r="A341" s="82">
        <v>1.1521357777777777E-2</v>
      </c>
      <c r="B341" t="s">
        <v>46</v>
      </c>
      <c r="C341"/>
      <c r="D341"/>
      <c r="E341" t="s">
        <v>132</v>
      </c>
      <c r="F341"/>
      <c r="G341" t="s">
        <v>113</v>
      </c>
      <c r="H341"/>
      <c r="I341" s="155">
        <v>46300.759166666663</v>
      </c>
      <c r="J341" t="s">
        <v>531</v>
      </c>
      <c r="K341" t="s">
        <v>388</v>
      </c>
      <c r="L341" s="154">
        <v>46299</v>
      </c>
      <c r="M341" t="s">
        <v>530</v>
      </c>
      <c r="N341" t="s">
        <v>178</v>
      </c>
      <c r="O341" t="s">
        <v>179</v>
      </c>
      <c r="P341">
        <v>3</v>
      </c>
      <c r="Q341" t="s">
        <v>194</v>
      </c>
    </row>
    <row r="342" spans="1:17" s="3" customFormat="1" hidden="1">
      <c r="A342" s="82">
        <v>1.1502754444444445E-2</v>
      </c>
      <c r="B342" t="s">
        <v>46</v>
      </c>
      <c r="C342" t="s">
        <v>545</v>
      </c>
      <c r="D342"/>
      <c r="E342" t="s">
        <v>57</v>
      </c>
      <c r="F342"/>
      <c r="G342" t="s">
        <v>113</v>
      </c>
      <c r="H342"/>
      <c r="I342" s="155">
        <v>46300.758888888886</v>
      </c>
      <c r="J342" t="s">
        <v>531</v>
      </c>
      <c r="K342" t="s">
        <v>388</v>
      </c>
      <c r="L342" s="154">
        <v>46299</v>
      </c>
      <c r="M342" t="s">
        <v>530</v>
      </c>
      <c r="N342" t="s">
        <v>178</v>
      </c>
      <c r="O342" t="s">
        <v>179</v>
      </c>
      <c r="P342">
        <v>3</v>
      </c>
      <c r="Q342" t="s">
        <v>194</v>
      </c>
    </row>
    <row r="343" spans="1:17" s="3" customFormat="1" hidden="1">
      <c r="A343" s="82">
        <v>1.1473751712962962E-2</v>
      </c>
      <c r="B343" t="s">
        <v>46</v>
      </c>
      <c r="C343" t="s">
        <v>544</v>
      </c>
      <c r="D343"/>
      <c r="E343" t="s">
        <v>9</v>
      </c>
      <c r="F343"/>
      <c r="G343" t="s">
        <v>113</v>
      </c>
      <c r="H343"/>
      <c r="I343" s="155">
        <v>46300.758784722224</v>
      </c>
      <c r="J343" t="s">
        <v>531</v>
      </c>
      <c r="K343" t="s">
        <v>388</v>
      </c>
      <c r="L343" s="154">
        <v>46299</v>
      </c>
      <c r="M343" t="s">
        <v>530</v>
      </c>
      <c r="N343" t="s">
        <v>178</v>
      </c>
      <c r="O343" t="s">
        <v>179</v>
      </c>
      <c r="P343">
        <v>3</v>
      </c>
      <c r="Q343" t="s">
        <v>194</v>
      </c>
    </row>
    <row r="344" spans="1:17" s="3" customFormat="1" hidden="1">
      <c r="A344" s="82">
        <v>1.1430104513888888E-2</v>
      </c>
      <c r="B344" t="s">
        <v>46</v>
      </c>
      <c r="C344"/>
      <c r="D344"/>
      <c r="E344" t="s">
        <v>231</v>
      </c>
      <c r="F344"/>
      <c r="G344" t="s">
        <v>113</v>
      </c>
      <c r="H344"/>
      <c r="I344" s="155">
        <v>46300.758506944447</v>
      </c>
      <c r="J344" t="s">
        <v>531</v>
      </c>
      <c r="K344" t="s">
        <v>388</v>
      </c>
      <c r="L344" s="154">
        <v>46299</v>
      </c>
      <c r="M344" t="s">
        <v>530</v>
      </c>
      <c r="N344" t="s">
        <v>178</v>
      </c>
      <c r="O344" t="s">
        <v>179</v>
      </c>
      <c r="P344">
        <v>3</v>
      </c>
      <c r="Q344" t="s">
        <v>194</v>
      </c>
    </row>
    <row r="345" spans="1:17" s="3" customFormat="1" hidden="1">
      <c r="A345" s="82">
        <v>1.1343284212962964E-2</v>
      </c>
      <c r="B345" t="s">
        <v>46</v>
      </c>
      <c r="C345"/>
      <c r="D345"/>
      <c r="E345" t="s">
        <v>54</v>
      </c>
      <c r="F345"/>
      <c r="G345" t="s">
        <v>113</v>
      </c>
      <c r="H345"/>
      <c r="I345" s="155">
        <v>46300.758194444446</v>
      </c>
      <c r="J345" t="s">
        <v>531</v>
      </c>
      <c r="K345" t="s">
        <v>388</v>
      </c>
      <c r="L345" s="154">
        <v>46299</v>
      </c>
      <c r="M345" t="s">
        <v>530</v>
      </c>
      <c r="N345" t="s">
        <v>178</v>
      </c>
      <c r="O345" t="s">
        <v>179</v>
      </c>
      <c r="P345">
        <v>3</v>
      </c>
      <c r="Q345" t="s">
        <v>194</v>
      </c>
    </row>
    <row r="346" spans="1:17" s="3" customFormat="1" hidden="1">
      <c r="A346" s="82">
        <v>1.004559101851852E-2</v>
      </c>
      <c r="B346" t="s">
        <v>46</v>
      </c>
      <c r="C346"/>
      <c r="D346"/>
      <c r="E346" t="s">
        <v>37</v>
      </c>
      <c r="F346"/>
      <c r="G346" t="s">
        <v>113</v>
      </c>
      <c r="H346"/>
      <c r="I346" s="155">
        <v>46300.757928240739</v>
      </c>
      <c r="J346" t="s">
        <v>531</v>
      </c>
      <c r="K346" t="s">
        <v>388</v>
      </c>
      <c r="L346" s="154">
        <v>46299</v>
      </c>
      <c r="M346" t="s">
        <v>530</v>
      </c>
      <c r="N346" t="s">
        <v>178</v>
      </c>
      <c r="O346" t="s">
        <v>179</v>
      </c>
      <c r="P346">
        <v>3</v>
      </c>
      <c r="Q346" t="s">
        <v>194</v>
      </c>
    </row>
    <row r="347" spans="1:17" s="3" customFormat="1" hidden="1">
      <c r="A347" s="82">
        <v>1.004559101851852E-2</v>
      </c>
      <c r="B347" t="s">
        <v>46</v>
      </c>
      <c r="C347" t="s">
        <v>542</v>
      </c>
      <c r="D347"/>
      <c r="E347" t="s">
        <v>132</v>
      </c>
      <c r="F347"/>
      <c r="G347" t="s">
        <v>47</v>
      </c>
      <c r="H347"/>
      <c r="I347" s="155">
        <v>46300.757604166669</v>
      </c>
      <c r="J347" t="s">
        <v>531</v>
      </c>
      <c r="K347" t="s">
        <v>388</v>
      </c>
      <c r="L347" s="154">
        <v>46299</v>
      </c>
      <c r="M347" t="s">
        <v>530</v>
      </c>
      <c r="N347" t="s">
        <v>178</v>
      </c>
      <c r="O347" t="s">
        <v>179</v>
      </c>
      <c r="P347">
        <v>3</v>
      </c>
      <c r="Q347" t="s">
        <v>194</v>
      </c>
    </row>
    <row r="348" spans="1:17" s="3" customFormat="1" hidden="1">
      <c r="A348" s="82">
        <v>9.9731548495370359E-3</v>
      </c>
      <c r="B348" t="s">
        <v>46</v>
      </c>
      <c r="C348" t="s">
        <v>546</v>
      </c>
      <c r="D348"/>
      <c r="E348" t="s">
        <v>57</v>
      </c>
      <c r="F348"/>
      <c r="G348" t="s">
        <v>113</v>
      </c>
      <c r="H348"/>
      <c r="I348" s="155">
        <v>46300.756747685184</v>
      </c>
      <c r="J348" t="s">
        <v>531</v>
      </c>
      <c r="K348" t="s">
        <v>388</v>
      </c>
      <c r="L348" s="154">
        <v>46299</v>
      </c>
      <c r="M348" t="s">
        <v>530</v>
      </c>
      <c r="N348" t="s">
        <v>178</v>
      </c>
      <c r="O348" t="s">
        <v>179</v>
      </c>
      <c r="P348">
        <v>3</v>
      </c>
      <c r="Q348" t="s">
        <v>194</v>
      </c>
    </row>
    <row r="349" spans="1:17" s="3" customFormat="1" hidden="1">
      <c r="A349" s="82">
        <v>9.7858286574074079E-3</v>
      </c>
      <c r="B349" t="s">
        <v>46</v>
      </c>
      <c r="C349" t="s">
        <v>545</v>
      </c>
      <c r="D349"/>
      <c r="E349" t="s">
        <v>57</v>
      </c>
      <c r="F349"/>
      <c r="G349" t="s">
        <v>113</v>
      </c>
      <c r="H349"/>
      <c r="I349" s="155">
        <v>46300.755104166667</v>
      </c>
      <c r="J349" t="s">
        <v>531</v>
      </c>
      <c r="K349" t="s">
        <v>388</v>
      </c>
      <c r="L349" s="154">
        <v>46299</v>
      </c>
      <c r="M349" t="s">
        <v>530</v>
      </c>
      <c r="N349" t="s">
        <v>178</v>
      </c>
      <c r="O349" t="s">
        <v>179</v>
      </c>
      <c r="P349">
        <v>3</v>
      </c>
      <c r="Q349" t="s">
        <v>194</v>
      </c>
    </row>
    <row r="350" spans="1:17" s="3" customFormat="1" hidden="1">
      <c r="A350" s="82">
        <v>9.9084868518518523E-3</v>
      </c>
      <c r="B350" t="s">
        <v>46</v>
      </c>
      <c r="C350" t="s">
        <v>537</v>
      </c>
      <c r="D350"/>
      <c r="E350" t="s">
        <v>82</v>
      </c>
      <c r="F350"/>
      <c r="G350" t="s">
        <v>113</v>
      </c>
      <c r="H350"/>
      <c r="I350" s="155">
        <v>46300.529872685183</v>
      </c>
      <c r="J350" t="s">
        <v>531</v>
      </c>
      <c r="K350" t="s">
        <v>388</v>
      </c>
      <c r="L350" s="154">
        <v>46299</v>
      </c>
      <c r="M350" t="s">
        <v>530</v>
      </c>
      <c r="N350" t="s">
        <v>178</v>
      </c>
      <c r="O350" t="s">
        <v>179</v>
      </c>
      <c r="P350">
        <v>3</v>
      </c>
      <c r="Q350" t="s">
        <v>194</v>
      </c>
    </row>
    <row r="351" spans="1:17" s="3" customFormat="1" hidden="1">
      <c r="A351" s="82">
        <v>9.9078964814814808E-3</v>
      </c>
      <c r="B351" t="s">
        <v>46</v>
      </c>
      <c r="C351" t="s">
        <v>538</v>
      </c>
      <c r="D351"/>
      <c r="E351" t="s">
        <v>82</v>
      </c>
      <c r="F351"/>
      <c r="G351" t="s">
        <v>113</v>
      </c>
      <c r="H351"/>
      <c r="I351" s="155">
        <v>46300.527372685188</v>
      </c>
      <c r="J351" t="s">
        <v>531</v>
      </c>
      <c r="K351" t="s">
        <v>388</v>
      </c>
      <c r="L351" s="154">
        <v>46299</v>
      </c>
      <c r="M351" t="s">
        <v>530</v>
      </c>
      <c r="N351" t="s">
        <v>178</v>
      </c>
      <c r="O351" t="s">
        <v>179</v>
      </c>
      <c r="P351">
        <v>3</v>
      </c>
      <c r="Q351" t="s">
        <v>194</v>
      </c>
    </row>
    <row r="352" spans="1:17" s="3" customFormat="1" hidden="1">
      <c r="A352" s="82">
        <v>9.7903597337962965E-3</v>
      </c>
      <c r="B352" t="s">
        <v>46</v>
      </c>
      <c r="C352" t="s">
        <v>544</v>
      </c>
      <c r="D352"/>
      <c r="E352" t="s">
        <v>57</v>
      </c>
      <c r="F352"/>
      <c r="G352" t="s">
        <v>113</v>
      </c>
      <c r="H352"/>
      <c r="I352" s="155">
        <v>46300.526875000003</v>
      </c>
      <c r="J352" t="s">
        <v>531</v>
      </c>
      <c r="K352" t="s">
        <v>388</v>
      </c>
      <c r="L352" s="154">
        <v>46299</v>
      </c>
      <c r="M352" t="s">
        <v>530</v>
      </c>
      <c r="N352" t="s">
        <v>178</v>
      </c>
      <c r="O352" t="s">
        <v>179</v>
      </c>
      <c r="P352">
        <v>3</v>
      </c>
      <c r="Q352" t="s">
        <v>194</v>
      </c>
    </row>
    <row r="353" spans="1:17" s="3" customFormat="1" hidden="1">
      <c r="A353" s="82">
        <v>9.7268586111111111E-3</v>
      </c>
      <c r="B353" t="s">
        <v>46</v>
      </c>
      <c r="C353" t="s">
        <v>546</v>
      </c>
      <c r="D353"/>
      <c r="E353" t="s">
        <v>9</v>
      </c>
      <c r="F353"/>
      <c r="G353" t="s">
        <v>113</v>
      </c>
      <c r="H353"/>
      <c r="I353" s="155">
        <v>46300.526689814818</v>
      </c>
      <c r="J353" t="s">
        <v>531</v>
      </c>
      <c r="K353" t="s">
        <v>388</v>
      </c>
      <c r="L353" s="154">
        <v>46299</v>
      </c>
      <c r="M353" t="s">
        <v>530</v>
      </c>
      <c r="N353" t="s">
        <v>178</v>
      </c>
      <c r="O353" t="s">
        <v>179</v>
      </c>
      <c r="P353">
        <v>3</v>
      </c>
      <c r="Q353" t="s">
        <v>194</v>
      </c>
    </row>
    <row r="354" spans="1:17" s="3" customFormat="1" hidden="1">
      <c r="A354" s="82">
        <v>9.6064914699074064E-3</v>
      </c>
      <c r="B354" t="s">
        <v>46</v>
      </c>
      <c r="C354" t="s">
        <v>541</v>
      </c>
      <c r="D354"/>
      <c r="E354" t="s">
        <v>57</v>
      </c>
      <c r="F354"/>
      <c r="G354" t="s">
        <v>113</v>
      </c>
      <c r="H354"/>
      <c r="I354" s="155">
        <v>46300.526122685187</v>
      </c>
      <c r="J354" t="s">
        <v>531</v>
      </c>
      <c r="K354" t="s">
        <v>388</v>
      </c>
      <c r="L354" s="154">
        <v>46299</v>
      </c>
      <c r="M354" t="s">
        <v>530</v>
      </c>
      <c r="N354" t="s">
        <v>178</v>
      </c>
      <c r="O354" t="s">
        <v>179</v>
      </c>
      <c r="P354">
        <v>3</v>
      </c>
      <c r="Q354" t="s">
        <v>194</v>
      </c>
    </row>
    <row r="355" spans="1:17" s="3" customFormat="1" hidden="1">
      <c r="A355" s="82">
        <v>9.5889383101851848E-3</v>
      </c>
      <c r="B355" t="s">
        <v>46</v>
      </c>
      <c r="C355"/>
      <c r="D355"/>
      <c r="E355" t="s">
        <v>62</v>
      </c>
      <c r="F355"/>
      <c r="G355" t="s">
        <v>113</v>
      </c>
      <c r="H355"/>
      <c r="I355" s="155">
        <v>46300.525370370371</v>
      </c>
      <c r="J355" t="s">
        <v>531</v>
      </c>
      <c r="K355" t="s">
        <v>388</v>
      </c>
      <c r="L355" s="154">
        <v>46299</v>
      </c>
      <c r="M355" t="s">
        <v>530</v>
      </c>
      <c r="N355" t="s">
        <v>178</v>
      </c>
      <c r="O355" t="s">
        <v>179</v>
      </c>
      <c r="P355">
        <v>3</v>
      </c>
      <c r="Q355" t="s">
        <v>194</v>
      </c>
    </row>
    <row r="356" spans="1:17" s="3" customFormat="1" hidden="1">
      <c r="A356" s="82">
        <v>9.5096290856481469E-3</v>
      </c>
      <c r="B356" t="s">
        <v>46</v>
      </c>
      <c r="C356"/>
      <c r="D356"/>
      <c r="E356" t="s">
        <v>53</v>
      </c>
      <c r="F356"/>
      <c r="G356" t="s">
        <v>113</v>
      </c>
      <c r="H356"/>
      <c r="I356" s="155">
        <v>46300.524502314816</v>
      </c>
      <c r="J356" t="s">
        <v>531</v>
      </c>
      <c r="K356" t="s">
        <v>388</v>
      </c>
      <c r="L356" s="154">
        <v>46299</v>
      </c>
      <c r="M356" t="s">
        <v>530</v>
      </c>
      <c r="N356" t="s">
        <v>178</v>
      </c>
      <c r="O356" t="s">
        <v>179</v>
      </c>
      <c r="P356">
        <v>3</v>
      </c>
      <c r="Q356" t="s">
        <v>194</v>
      </c>
    </row>
    <row r="357" spans="1:17" s="3" customFormat="1" hidden="1">
      <c r="A357" s="82">
        <v>9.196090925925925E-3</v>
      </c>
      <c r="B357" t="s">
        <v>46</v>
      </c>
      <c r="C357"/>
      <c r="D357"/>
      <c r="E357" t="s">
        <v>37</v>
      </c>
      <c r="F357"/>
      <c r="G357" t="s">
        <v>47</v>
      </c>
      <c r="H357"/>
      <c r="I357" s="155">
        <v>46300.524189814816</v>
      </c>
      <c r="J357" t="s">
        <v>531</v>
      </c>
      <c r="K357" t="s">
        <v>388</v>
      </c>
      <c r="L357" s="154">
        <v>46299</v>
      </c>
      <c r="M357" t="s">
        <v>530</v>
      </c>
      <c r="N357" t="s">
        <v>178</v>
      </c>
      <c r="O357" t="s">
        <v>179</v>
      </c>
      <c r="P357">
        <v>3</v>
      </c>
      <c r="Q357" t="s">
        <v>194</v>
      </c>
    </row>
    <row r="358" spans="1:17" s="3" customFormat="1" hidden="1">
      <c r="A358" s="82">
        <v>9.1132477893518509E-3</v>
      </c>
      <c r="B358" t="s">
        <v>46</v>
      </c>
      <c r="C358"/>
      <c r="D358"/>
      <c r="E358" t="s">
        <v>133</v>
      </c>
      <c r="F358"/>
      <c r="G358" t="s">
        <v>47</v>
      </c>
      <c r="H358"/>
      <c r="I358" s="155">
        <v>46300.524108796293</v>
      </c>
      <c r="J358" t="s">
        <v>531</v>
      </c>
      <c r="K358" t="s">
        <v>388</v>
      </c>
      <c r="L358" s="154">
        <v>46299</v>
      </c>
      <c r="M358" t="s">
        <v>530</v>
      </c>
      <c r="N358" t="s">
        <v>178</v>
      </c>
      <c r="O358" t="s">
        <v>179</v>
      </c>
      <c r="P358">
        <v>3</v>
      </c>
      <c r="Q358" t="s">
        <v>194</v>
      </c>
    </row>
    <row r="359" spans="1:17" s="3" customFormat="1" hidden="1">
      <c r="A359" s="82">
        <v>9.0708255787037041E-3</v>
      </c>
      <c r="B359" t="s">
        <v>46</v>
      </c>
      <c r="C359"/>
      <c r="D359"/>
      <c r="E359" t="s">
        <v>50</v>
      </c>
      <c r="F359"/>
      <c r="G359" t="s">
        <v>47</v>
      </c>
      <c r="H359"/>
      <c r="I359" s="155">
        <v>46300.524039351854</v>
      </c>
      <c r="J359" t="s">
        <v>531</v>
      </c>
      <c r="K359" t="s">
        <v>388</v>
      </c>
      <c r="L359" s="154">
        <v>46299</v>
      </c>
      <c r="M359" t="s">
        <v>530</v>
      </c>
      <c r="N359" t="s">
        <v>178</v>
      </c>
      <c r="O359" t="s">
        <v>179</v>
      </c>
      <c r="P359">
        <v>3</v>
      </c>
      <c r="Q359" t="s">
        <v>194</v>
      </c>
    </row>
    <row r="360" spans="1:17" s="3" customFormat="1" hidden="1">
      <c r="A360" s="82">
        <v>9.0708255787037041E-3</v>
      </c>
      <c r="B360" t="s">
        <v>46</v>
      </c>
      <c r="C360"/>
      <c r="D360"/>
      <c r="E360" t="s">
        <v>37</v>
      </c>
      <c r="F360"/>
      <c r="G360" t="s">
        <v>113</v>
      </c>
      <c r="H360"/>
      <c r="I360" s="155">
        <v>46300.523935185185</v>
      </c>
      <c r="J360" t="s">
        <v>531</v>
      </c>
      <c r="K360" t="s">
        <v>388</v>
      </c>
      <c r="L360" s="154">
        <v>46299</v>
      </c>
      <c r="M360" t="s">
        <v>530</v>
      </c>
      <c r="N360" t="s">
        <v>178</v>
      </c>
      <c r="O360" t="s">
        <v>179</v>
      </c>
      <c r="P360">
        <v>3</v>
      </c>
      <c r="Q360" t="s">
        <v>194</v>
      </c>
    </row>
    <row r="361" spans="1:17" s="3" customFormat="1" hidden="1">
      <c r="A361" s="82">
        <v>9.0723248842592592E-3</v>
      </c>
      <c r="B361" t="s">
        <v>46</v>
      </c>
      <c r="C361" t="s">
        <v>541</v>
      </c>
      <c r="D361"/>
      <c r="E361" t="s">
        <v>57</v>
      </c>
      <c r="F361"/>
      <c r="G361" t="s">
        <v>113</v>
      </c>
      <c r="H361"/>
      <c r="I361" s="155">
        <v>46300.523622685185</v>
      </c>
      <c r="J361" t="s">
        <v>531</v>
      </c>
      <c r="K361" t="s">
        <v>388</v>
      </c>
      <c r="L361" s="154">
        <v>46299</v>
      </c>
      <c r="M361" t="s">
        <v>530</v>
      </c>
      <c r="N361" t="s">
        <v>178</v>
      </c>
      <c r="O361" t="s">
        <v>179</v>
      </c>
      <c r="P361">
        <v>3</v>
      </c>
      <c r="Q361" t="s">
        <v>194</v>
      </c>
    </row>
    <row r="362" spans="1:17" s="3" customFormat="1" hidden="1">
      <c r="A362" s="82">
        <v>9.022327835648148E-3</v>
      </c>
      <c r="B362" t="s">
        <v>46</v>
      </c>
      <c r="C362" t="s">
        <v>547</v>
      </c>
      <c r="D362"/>
      <c r="E362" t="s">
        <v>57</v>
      </c>
      <c r="F362"/>
      <c r="G362" t="s">
        <v>113</v>
      </c>
      <c r="H362"/>
      <c r="I362" s="155">
        <v>46300.5234375</v>
      </c>
      <c r="J362" t="s">
        <v>531</v>
      </c>
      <c r="K362" t="s">
        <v>388</v>
      </c>
      <c r="L362" s="154">
        <v>46299</v>
      </c>
      <c r="M362" t="s">
        <v>530</v>
      </c>
      <c r="N362" t="s">
        <v>178</v>
      </c>
      <c r="O362" t="s">
        <v>179</v>
      </c>
      <c r="P362">
        <v>3</v>
      </c>
      <c r="Q362" t="s">
        <v>194</v>
      </c>
    </row>
    <row r="363" spans="1:17" s="3" customFormat="1" hidden="1">
      <c r="A363" s="82">
        <v>8.9926290277777786E-3</v>
      </c>
      <c r="B363" t="s">
        <v>46</v>
      </c>
      <c r="C363"/>
      <c r="D363"/>
      <c r="E363" t="s">
        <v>231</v>
      </c>
      <c r="F363"/>
      <c r="G363" t="s">
        <v>113</v>
      </c>
      <c r="H363"/>
      <c r="I363" s="155">
        <v>46300.523217592592</v>
      </c>
      <c r="J363" t="s">
        <v>531</v>
      </c>
      <c r="K363" t="s">
        <v>388</v>
      </c>
      <c r="L363" s="154">
        <v>46299</v>
      </c>
      <c r="M363" t="s">
        <v>530</v>
      </c>
      <c r="N363" t="s">
        <v>178</v>
      </c>
      <c r="O363" t="s">
        <v>179</v>
      </c>
      <c r="P363">
        <v>3</v>
      </c>
      <c r="Q363" t="s">
        <v>194</v>
      </c>
    </row>
    <row r="364" spans="1:17" s="3" customFormat="1" hidden="1">
      <c r="A364" s="82">
        <v>8.9003694791666664E-3</v>
      </c>
      <c r="B364" t="s">
        <v>46</v>
      </c>
      <c r="C364"/>
      <c r="D364"/>
      <c r="E364" t="s">
        <v>54</v>
      </c>
      <c r="F364"/>
      <c r="G364" t="s">
        <v>113</v>
      </c>
      <c r="H364"/>
      <c r="I364" s="155">
        <v>46300.522928240738</v>
      </c>
      <c r="J364" t="s">
        <v>531</v>
      </c>
      <c r="K364" t="s">
        <v>388</v>
      </c>
      <c r="L364" s="154">
        <v>46299</v>
      </c>
      <c r="M364" t="s">
        <v>530</v>
      </c>
      <c r="N364" t="s">
        <v>178</v>
      </c>
      <c r="O364" t="s">
        <v>179</v>
      </c>
      <c r="P364">
        <v>3</v>
      </c>
      <c r="Q364" t="s">
        <v>194</v>
      </c>
    </row>
    <row r="365" spans="1:17" s="3" customFormat="1" hidden="1">
      <c r="A365" s="82">
        <v>8.6599411574074074E-3</v>
      </c>
      <c r="B365" t="s">
        <v>46</v>
      </c>
      <c r="C365"/>
      <c r="D365"/>
      <c r="E365" t="s">
        <v>37</v>
      </c>
      <c r="F365"/>
      <c r="G365" t="s">
        <v>113</v>
      </c>
      <c r="H365"/>
      <c r="I365" s="155">
        <v>46300.522881944446</v>
      </c>
      <c r="J365" t="s">
        <v>531</v>
      </c>
      <c r="K365" t="s">
        <v>388</v>
      </c>
      <c r="L365" s="154">
        <v>46299</v>
      </c>
      <c r="M365" t="s">
        <v>530</v>
      </c>
      <c r="N365" t="s">
        <v>178</v>
      </c>
      <c r="O365" t="s">
        <v>179</v>
      </c>
      <c r="P365">
        <v>3</v>
      </c>
      <c r="Q365" t="s">
        <v>194</v>
      </c>
    </row>
    <row r="366" spans="1:17" s="3" customFormat="1" hidden="1">
      <c r="A366" s="82">
        <v>8.470079895833333E-3</v>
      </c>
      <c r="B366" t="s">
        <v>46</v>
      </c>
      <c r="C366"/>
      <c r="D366"/>
      <c r="E366" t="s">
        <v>62</v>
      </c>
      <c r="F366"/>
      <c r="G366" t="s">
        <v>113</v>
      </c>
      <c r="H366"/>
      <c r="I366" s="155">
        <v>46300.522060185183</v>
      </c>
      <c r="J366" t="s">
        <v>531</v>
      </c>
      <c r="K366" t="s">
        <v>388</v>
      </c>
      <c r="L366" s="154">
        <v>46299</v>
      </c>
      <c r="M366" t="s">
        <v>530</v>
      </c>
      <c r="N366" t="s">
        <v>178</v>
      </c>
      <c r="O366" t="s">
        <v>179</v>
      </c>
      <c r="P366">
        <v>3</v>
      </c>
      <c r="Q366" t="s">
        <v>194</v>
      </c>
    </row>
    <row r="367" spans="1:17" s="3" customFormat="1" hidden="1">
      <c r="A367" s="82">
        <v>8.374308217592592E-3</v>
      </c>
      <c r="B367" t="s">
        <v>46</v>
      </c>
      <c r="C367"/>
      <c r="D367"/>
      <c r="E367" t="s">
        <v>53</v>
      </c>
      <c r="F367"/>
      <c r="G367" t="s">
        <v>113</v>
      </c>
      <c r="H367"/>
      <c r="I367" s="155">
        <v>46300.521631944444</v>
      </c>
      <c r="J367" t="s">
        <v>531</v>
      </c>
      <c r="K367" t="s">
        <v>388</v>
      </c>
      <c r="L367" s="154">
        <v>46299</v>
      </c>
      <c r="M367" t="s">
        <v>530</v>
      </c>
      <c r="N367" t="s">
        <v>178</v>
      </c>
      <c r="O367" t="s">
        <v>179</v>
      </c>
      <c r="P367">
        <v>3</v>
      </c>
      <c r="Q367" t="s">
        <v>194</v>
      </c>
    </row>
    <row r="368" spans="1:17" s="3" customFormat="1" hidden="1">
      <c r="A368" s="82">
        <v>8.0195534259259252E-3</v>
      </c>
      <c r="B368" t="s">
        <v>46</v>
      </c>
      <c r="C368"/>
      <c r="D368"/>
      <c r="E368" t="s">
        <v>37</v>
      </c>
      <c r="F368"/>
      <c r="G368" t="s">
        <v>113</v>
      </c>
      <c r="H368"/>
      <c r="I368" s="155">
        <v>46300.521365740744</v>
      </c>
      <c r="J368" t="s">
        <v>531</v>
      </c>
      <c r="K368" t="s">
        <v>388</v>
      </c>
      <c r="L368" s="154">
        <v>46299</v>
      </c>
      <c r="M368" t="s">
        <v>530</v>
      </c>
      <c r="N368" t="s">
        <v>178</v>
      </c>
      <c r="O368" t="s">
        <v>179</v>
      </c>
      <c r="P368">
        <v>3</v>
      </c>
      <c r="Q368" t="s">
        <v>194</v>
      </c>
    </row>
    <row r="369" spans="1:17" s="3" customFormat="1" hidden="1">
      <c r="A369" s="82">
        <v>8.0195534259259252E-3</v>
      </c>
      <c r="B369" t="s">
        <v>46</v>
      </c>
      <c r="C369" t="s">
        <v>32</v>
      </c>
      <c r="D369" t="s">
        <v>32</v>
      </c>
      <c r="E369" t="s">
        <v>161</v>
      </c>
      <c r="F369" t="s">
        <v>167</v>
      </c>
      <c r="G369" t="s">
        <v>113</v>
      </c>
      <c r="H369"/>
      <c r="I369" s="155">
        <v>46300.521365740744</v>
      </c>
      <c r="J369" t="s">
        <v>531</v>
      </c>
      <c r="K369" t="s">
        <v>388</v>
      </c>
      <c r="L369" s="154">
        <v>46299</v>
      </c>
      <c r="M369" t="s">
        <v>530</v>
      </c>
      <c r="N369" t="s">
        <v>178</v>
      </c>
      <c r="O369" t="s">
        <v>179</v>
      </c>
      <c r="P369">
        <v>3</v>
      </c>
      <c r="Q369" t="s">
        <v>194</v>
      </c>
    </row>
    <row r="370" spans="1:17" s="3" customFormat="1" hidden="1">
      <c r="A370" s="82">
        <v>7.7201552893518526E-3</v>
      </c>
      <c r="B370" t="s">
        <v>46</v>
      </c>
      <c r="C370" t="s">
        <v>537</v>
      </c>
      <c r="D370"/>
      <c r="E370" t="s">
        <v>62</v>
      </c>
      <c r="F370"/>
      <c r="G370" t="s">
        <v>113</v>
      </c>
      <c r="H370"/>
      <c r="I370" s="155">
        <v>46300.520844907405</v>
      </c>
      <c r="J370" t="s">
        <v>531</v>
      </c>
      <c r="K370" t="s">
        <v>388</v>
      </c>
      <c r="L370" s="154">
        <v>46299</v>
      </c>
      <c r="M370" t="s">
        <v>530</v>
      </c>
      <c r="N370" t="s">
        <v>178</v>
      </c>
      <c r="O370" t="s">
        <v>179</v>
      </c>
      <c r="P370">
        <v>3</v>
      </c>
      <c r="Q370" t="s">
        <v>194</v>
      </c>
    </row>
    <row r="371" spans="1:17" s="3" customFormat="1" hidden="1">
      <c r="A371" s="82">
        <v>7.6617937615740738E-3</v>
      </c>
      <c r="B371" t="s">
        <v>46</v>
      </c>
      <c r="C371"/>
      <c r="D371"/>
      <c r="E371" t="s">
        <v>53</v>
      </c>
      <c r="F371"/>
      <c r="G371" t="s">
        <v>113</v>
      </c>
      <c r="H371"/>
      <c r="I371" s="155">
        <v>46300.520532407405</v>
      </c>
      <c r="J371" t="s">
        <v>531</v>
      </c>
      <c r="K371" t="s">
        <v>388</v>
      </c>
      <c r="L371" s="154">
        <v>46299</v>
      </c>
      <c r="M371" t="s">
        <v>530</v>
      </c>
      <c r="N371" t="s">
        <v>178</v>
      </c>
      <c r="O371" t="s">
        <v>179</v>
      </c>
      <c r="P371">
        <v>3</v>
      </c>
      <c r="Q371" t="s">
        <v>194</v>
      </c>
    </row>
    <row r="372" spans="1:17" s="3" customFormat="1" hidden="1">
      <c r="A372" s="82">
        <v>7.1941010185185188E-3</v>
      </c>
      <c r="B372" t="s">
        <v>46</v>
      </c>
      <c r="C372"/>
      <c r="D372"/>
      <c r="E372" t="s">
        <v>37</v>
      </c>
      <c r="F372"/>
      <c r="G372" t="s">
        <v>113</v>
      </c>
      <c r="H372"/>
      <c r="I372" s="155">
        <v>46300.518472222226</v>
      </c>
      <c r="J372" t="s">
        <v>531</v>
      </c>
      <c r="K372" t="s">
        <v>388</v>
      </c>
      <c r="L372" s="154">
        <v>46299</v>
      </c>
      <c r="M372" t="s">
        <v>530</v>
      </c>
      <c r="N372" t="s">
        <v>178</v>
      </c>
      <c r="O372" t="s">
        <v>179</v>
      </c>
      <c r="P372">
        <v>3</v>
      </c>
      <c r="Q372" t="s">
        <v>194</v>
      </c>
    </row>
    <row r="373" spans="1:17" s="3" customFormat="1" hidden="1">
      <c r="A373" s="82">
        <v>7.1941010185185188E-3</v>
      </c>
      <c r="B373" t="s">
        <v>46</v>
      </c>
      <c r="C373" t="s">
        <v>535</v>
      </c>
      <c r="D373" t="s">
        <v>153</v>
      </c>
      <c r="E373" t="s">
        <v>161</v>
      </c>
      <c r="F373" t="s">
        <v>500</v>
      </c>
      <c r="G373" t="s">
        <v>113</v>
      </c>
      <c r="H373"/>
      <c r="I373" s="155">
        <v>46300.518472222226</v>
      </c>
      <c r="J373" t="s">
        <v>531</v>
      </c>
      <c r="K373" t="s">
        <v>388</v>
      </c>
      <c r="L373" s="154">
        <v>46299</v>
      </c>
      <c r="M373" t="s">
        <v>530</v>
      </c>
      <c r="N373" t="s">
        <v>178</v>
      </c>
      <c r="O373" t="s">
        <v>179</v>
      </c>
      <c r="P373">
        <v>3</v>
      </c>
      <c r="Q373" t="s">
        <v>194</v>
      </c>
    </row>
    <row r="374" spans="1:17" s="3" customFormat="1" hidden="1">
      <c r="A374" s="82">
        <v>6.9981153240740741E-3</v>
      </c>
      <c r="B374" t="s">
        <v>46</v>
      </c>
      <c r="C374"/>
      <c r="D374"/>
      <c r="E374" t="s">
        <v>62</v>
      </c>
      <c r="F374"/>
      <c r="G374" t="s">
        <v>113</v>
      </c>
      <c r="H374"/>
      <c r="I374" s="155">
        <v>46300.518136574072</v>
      </c>
      <c r="J374" t="s">
        <v>531</v>
      </c>
      <c r="K374" t="s">
        <v>388</v>
      </c>
      <c r="L374" s="154">
        <v>46299</v>
      </c>
      <c r="M374" t="s">
        <v>530</v>
      </c>
      <c r="N374" t="s">
        <v>178</v>
      </c>
      <c r="O374" t="s">
        <v>179</v>
      </c>
      <c r="P374">
        <v>3</v>
      </c>
      <c r="Q374" t="s">
        <v>194</v>
      </c>
    </row>
    <row r="375" spans="1:17" s="3" customFormat="1" hidden="1">
      <c r="A375" s="82">
        <v>6.9365714467592597E-3</v>
      </c>
      <c r="B375" t="s">
        <v>46</v>
      </c>
      <c r="C375"/>
      <c r="D375"/>
      <c r="E375" t="s">
        <v>53</v>
      </c>
      <c r="F375"/>
      <c r="G375" t="s">
        <v>113</v>
      </c>
      <c r="H375"/>
      <c r="I375" s="155">
        <v>46300.517847222225</v>
      </c>
      <c r="J375" t="s">
        <v>531</v>
      </c>
      <c r="K375" t="s">
        <v>388</v>
      </c>
      <c r="L375" s="154">
        <v>46299</v>
      </c>
      <c r="M375" t="s">
        <v>530</v>
      </c>
      <c r="N375" t="s">
        <v>178</v>
      </c>
      <c r="O375" t="s">
        <v>179</v>
      </c>
      <c r="P375">
        <v>3</v>
      </c>
      <c r="Q375" t="s">
        <v>194</v>
      </c>
    </row>
    <row r="376" spans="1:17" s="3" customFormat="1" hidden="1">
      <c r="A376" s="82">
        <v>6.6611845370370369E-3</v>
      </c>
      <c r="B376" t="s">
        <v>46</v>
      </c>
      <c r="C376"/>
      <c r="D376"/>
      <c r="E376" t="s">
        <v>37</v>
      </c>
      <c r="F376"/>
      <c r="G376" t="s">
        <v>47</v>
      </c>
      <c r="H376"/>
      <c r="I376" s="155">
        <v>46300.517453703702</v>
      </c>
      <c r="J376" t="s">
        <v>531</v>
      </c>
      <c r="K376" t="s">
        <v>388</v>
      </c>
      <c r="L376" s="154">
        <v>46299</v>
      </c>
      <c r="M376" t="s">
        <v>530</v>
      </c>
      <c r="N376" t="s">
        <v>178</v>
      </c>
      <c r="O376" t="s">
        <v>179</v>
      </c>
      <c r="P376">
        <v>3</v>
      </c>
      <c r="Q376" t="s">
        <v>194</v>
      </c>
    </row>
    <row r="377" spans="1:17" s="3" customFormat="1" hidden="1">
      <c r="A377" s="82">
        <v>6.6225322685185186E-3</v>
      </c>
      <c r="B377" t="s">
        <v>46</v>
      </c>
      <c r="C377"/>
      <c r="D377"/>
      <c r="E377" t="s">
        <v>133</v>
      </c>
      <c r="F377"/>
      <c r="G377" t="s">
        <v>47</v>
      </c>
      <c r="H377"/>
      <c r="I377" s="155">
        <v>46300.517418981479</v>
      </c>
      <c r="J377" t="s">
        <v>531</v>
      </c>
      <c r="K377" t="s">
        <v>388</v>
      </c>
      <c r="L377" s="154">
        <v>46299</v>
      </c>
      <c r="M377" t="s">
        <v>530</v>
      </c>
      <c r="N377" t="s">
        <v>178</v>
      </c>
      <c r="O377" t="s">
        <v>179</v>
      </c>
      <c r="P377">
        <v>3</v>
      </c>
      <c r="Q377" t="s">
        <v>194</v>
      </c>
    </row>
    <row r="378" spans="1:17" s="3" customFormat="1" hidden="1">
      <c r="A378" s="82">
        <v>6.5703055787037033E-3</v>
      </c>
      <c r="B378" t="s">
        <v>46</v>
      </c>
      <c r="C378"/>
      <c r="D378"/>
      <c r="E378" t="s">
        <v>135</v>
      </c>
      <c r="F378"/>
      <c r="G378" t="s">
        <v>47</v>
      </c>
      <c r="H378"/>
      <c r="I378" s="155">
        <v>46300.517361111109</v>
      </c>
      <c r="J378" t="s">
        <v>531</v>
      </c>
      <c r="K378" t="s">
        <v>388</v>
      </c>
      <c r="L378" s="154">
        <v>46299</v>
      </c>
      <c r="M378" t="s">
        <v>530</v>
      </c>
      <c r="N378" t="s">
        <v>178</v>
      </c>
      <c r="O378" t="s">
        <v>179</v>
      </c>
      <c r="P378">
        <v>3</v>
      </c>
      <c r="Q378" t="s">
        <v>194</v>
      </c>
    </row>
    <row r="379" spans="1:17" s="3" customFormat="1" hidden="1">
      <c r="A379" s="82">
        <v>6.5242488773148153E-3</v>
      </c>
      <c r="B379" t="s">
        <v>46</v>
      </c>
      <c r="C379"/>
      <c r="D379"/>
      <c r="E379" t="s">
        <v>133</v>
      </c>
      <c r="F379"/>
      <c r="G379" t="s">
        <v>113</v>
      </c>
      <c r="H379"/>
      <c r="I379" s="155">
        <v>46300.517314814817</v>
      </c>
      <c r="J379" t="s">
        <v>531</v>
      </c>
      <c r="K379" t="s">
        <v>388</v>
      </c>
      <c r="L379" s="154">
        <v>46299</v>
      </c>
      <c r="M379" t="s">
        <v>530</v>
      </c>
      <c r="N379" t="s">
        <v>178</v>
      </c>
      <c r="O379" t="s">
        <v>179</v>
      </c>
      <c r="P379">
        <v>3</v>
      </c>
      <c r="Q379" t="s">
        <v>194</v>
      </c>
    </row>
    <row r="380" spans="1:17" s="3" customFormat="1" hidden="1">
      <c r="A380" s="82">
        <v>6.4903153124999998E-3</v>
      </c>
      <c r="B380" t="s">
        <v>46</v>
      </c>
      <c r="C380"/>
      <c r="D380"/>
      <c r="E380" t="s">
        <v>137</v>
      </c>
      <c r="F380"/>
      <c r="G380" t="s">
        <v>113</v>
      </c>
      <c r="H380"/>
      <c r="I380" s="155">
        <v>46300.517280092594</v>
      </c>
      <c r="J380" t="s">
        <v>531</v>
      </c>
      <c r="K380" t="s">
        <v>388</v>
      </c>
      <c r="L380" s="154">
        <v>46299</v>
      </c>
      <c r="M380" t="s">
        <v>530</v>
      </c>
      <c r="N380" t="s">
        <v>178</v>
      </c>
      <c r="O380" t="s">
        <v>179</v>
      </c>
      <c r="P380">
        <v>3</v>
      </c>
      <c r="Q380" t="s">
        <v>194</v>
      </c>
    </row>
    <row r="381" spans="1:17" s="3" customFormat="1" hidden="1">
      <c r="A381" s="82">
        <v>6.4503801736111111E-3</v>
      </c>
      <c r="B381" t="s">
        <v>46</v>
      </c>
      <c r="C381"/>
      <c r="D381"/>
      <c r="E381" t="s">
        <v>133</v>
      </c>
      <c r="F381"/>
      <c r="G381" t="s">
        <v>47</v>
      </c>
      <c r="H381"/>
      <c r="I381" s="155">
        <v>46300.517245370371</v>
      </c>
      <c r="J381" t="s">
        <v>531</v>
      </c>
      <c r="K381" t="s">
        <v>388</v>
      </c>
      <c r="L381" s="154">
        <v>46299</v>
      </c>
      <c r="M381" t="s">
        <v>530</v>
      </c>
      <c r="N381" t="s">
        <v>178</v>
      </c>
      <c r="O381" t="s">
        <v>179</v>
      </c>
      <c r="P381">
        <v>3</v>
      </c>
      <c r="Q381" t="s">
        <v>194</v>
      </c>
    </row>
    <row r="382" spans="1:17" s="3" customFormat="1" hidden="1">
      <c r="A382" s="82">
        <v>6.342700868055556E-3</v>
      </c>
      <c r="B382" t="s">
        <v>46</v>
      </c>
      <c r="C382" t="s">
        <v>483</v>
      </c>
      <c r="D382"/>
      <c r="E382" t="s">
        <v>407</v>
      </c>
      <c r="F382"/>
      <c r="G382" t="s">
        <v>47</v>
      </c>
      <c r="H382"/>
      <c r="I382" s="155">
        <v>46300.517106481479</v>
      </c>
      <c r="J382" t="s">
        <v>531</v>
      </c>
      <c r="K382" t="s">
        <v>388</v>
      </c>
      <c r="L382" s="154">
        <v>46299</v>
      </c>
      <c r="M382" t="s">
        <v>530</v>
      </c>
      <c r="N382" t="s">
        <v>178</v>
      </c>
      <c r="O382" t="s">
        <v>179</v>
      </c>
      <c r="P382">
        <v>3</v>
      </c>
      <c r="Q382" t="s">
        <v>194</v>
      </c>
    </row>
    <row r="383" spans="1:17" s="3" customFormat="1" hidden="1">
      <c r="A383" s="82">
        <v>6.2485406597222225E-3</v>
      </c>
      <c r="B383" t="s">
        <v>46</v>
      </c>
      <c r="C383"/>
      <c r="D383"/>
      <c r="E383" t="s">
        <v>135</v>
      </c>
      <c r="F383"/>
      <c r="G383" t="s">
        <v>47</v>
      </c>
      <c r="H383"/>
      <c r="I383" s="155">
        <v>46300.516817129632</v>
      </c>
      <c r="J383" t="s">
        <v>531</v>
      </c>
      <c r="K383" t="s">
        <v>388</v>
      </c>
      <c r="L383" s="154">
        <v>46299</v>
      </c>
      <c r="M383" t="s">
        <v>530</v>
      </c>
      <c r="N383" t="s">
        <v>178</v>
      </c>
      <c r="O383" t="s">
        <v>179</v>
      </c>
      <c r="P383">
        <v>3</v>
      </c>
      <c r="Q383" t="s">
        <v>194</v>
      </c>
    </row>
    <row r="384" spans="1:17" s="3" customFormat="1" hidden="1">
      <c r="A384" s="82">
        <v>6.1963503935185188E-3</v>
      </c>
      <c r="B384" t="s">
        <v>46</v>
      </c>
      <c r="C384"/>
      <c r="D384"/>
      <c r="E384" t="s">
        <v>49</v>
      </c>
      <c r="F384"/>
      <c r="G384" t="s">
        <v>113</v>
      </c>
      <c r="H384"/>
      <c r="I384" s="155">
        <v>46300.516759259262</v>
      </c>
      <c r="J384" t="s">
        <v>531</v>
      </c>
      <c r="K384" t="s">
        <v>388</v>
      </c>
      <c r="L384" s="154">
        <v>46299</v>
      </c>
      <c r="M384" t="s">
        <v>530</v>
      </c>
      <c r="N384" t="s">
        <v>178</v>
      </c>
      <c r="O384" t="s">
        <v>179</v>
      </c>
      <c r="P384">
        <v>3</v>
      </c>
      <c r="Q384" t="s">
        <v>194</v>
      </c>
    </row>
    <row r="385" spans="1:17" s="3" customFormat="1" hidden="1">
      <c r="A385" s="82">
        <v>5.869145706018518E-3</v>
      </c>
      <c r="B385" t="s">
        <v>46</v>
      </c>
      <c r="C385"/>
      <c r="D385"/>
      <c r="E385" t="s">
        <v>37</v>
      </c>
      <c r="F385"/>
      <c r="G385" t="s">
        <v>47</v>
      </c>
      <c r="H385"/>
      <c r="I385" s="155">
        <v>46300.516493055555</v>
      </c>
      <c r="J385" t="s">
        <v>531</v>
      </c>
      <c r="K385" t="s">
        <v>388</v>
      </c>
      <c r="L385" s="154">
        <v>46299</v>
      </c>
      <c r="M385" t="s">
        <v>530</v>
      </c>
      <c r="N385" t="s">
        <v>178</v>
      </c>
      <c r="O385" t="s">
        <v>179</v>
      </c>
      <c r="P385">
        <v>3</v>
      </c>
      <c r="Q385" t="s">
        <v>194</v>
      </c>
    </row>
    <row r="386" spans="1:17" s="3" customFormat="1" hidden="1">
      <c r="A386" s="82">
        <v>5.7985593749999998E-3</v>
      </c>
      <c r="B386" t="s">
        <v>46</v>
      </c>
      <c r="C386"/>
      <c r="D386"/>
      <c r="E386" t="s">
        <v>133</v>
      </c>
      <c r="F386"/>
      <c r="G386" t="s">
        <v>47</v>
      </c>
      <c r="H386"/>
      <c r="I386" s="155">
        <v>46300.516400462962</v>
      </c>
      <c r="J386" t="s">
        <v>531</v>
      </c>
      <c r="K386" t="s">
        <v>388</v>
      </c>
      <c r="L386" s="154">
        <v>46299</v>
      </c>
      <c r="M386" t="s">
        <v>530</v>
      </c>
      <c r="N386" t="s">
        <v>178</v>
      </c>
      <c r="O386" t="s">
        <v>179</v>
      </c>
      <c r="P386">
        <v>3</v>
      </c>
      <c r="Q386" t="s">
        <v>194</v>
      </c>
    </row>
    <row r="387" spans="1:17" s="3" customFormat="1" hidden="1">
      <c r="A387" s="82">
        <v>5.7719990856481482E-3</v>
      </c>
      <c r="B387" t="s">
        <v>46</v>
      </c>
      <c r="C387" t="s">
        <v>538</v>
      </c>
      <c r="D387"/>
      <c r="E387" t="s">
        <v>407</v>
      </c>
      <c r="F387"/>
      <c r="G387" t="s">
        <v>47</v>
      </c>
      <c r="H387"/>
      <c r="I387" s="155">
        <v>46300.516238425924</v>
      </c>
      <c r="J387" t="s">
        <v>531</v>
      </c>
      <c r="K387" t="s">
        <v>388</v>
      </c>
      <c r="L387" s="154">
        <v>46299</v>
      </c>
      <c r="M387" t="s">
        <v>530</v>
      </c>
      <c r="N387" t="s">
        <v>178</v>
      </c>
      <c r="O387" t="s">
        <v>179</v>
      </c>
      <c r="P387">
        <v>3</v>
      </c>
      <c r="Q387" t="s">
        <v>194</v>
      </c>
    </row>
    <row r="388" spans="1:17" s="3" customFormat="1" hidden="1">
      <c r="A388" s="82">
        <v>5.6644416435185189E-3</v>
      </c>
      <c r="B388" t="s">
        <v>46</v>
      </c>
      <c r="C388" t="s">
        <v>546</v>
      </c>
      <c r="D388"/>
      <c r="E388" t="s">
        <v>406</v>
      </c>
      <c r="F388"/>
      <c r="G388" t="s">
        <v>47</v>
      </c>
      <c r="H388"/>
      <c r="I388" s="155">
        <v>46300.516111111108</v>
      </c>
      <c r="J388" t="s">
        <v>531</v>
      </c>
      <c r="K388" t="s">
        <v>388</v>
      </c>
      <c r="L388" s="154">
        <v>46299</v>
      </c>
      <c r="M388" t="s">
        <v>530</v>
      </c>
      <c r="N388" t="s">
        <v>178</v>
      </c>
      <c r="O388" t="s">
        <v>179</v>
      </c>
      <c r="P388">
        <v>3</v>
      </c>
      <c r="Q388" t="s">
        <v>194</v>
      </c>
    </row>
    <row r="389" spans="1:17" s="3" customFormat="1" hidden="1">
      <c r="A389" s="82">
        <v>5.6123247106481481E-3</v>
      </c>
      <c r="B389" t="s">
        <v>46</v>
      </c>
      <c r="C389"/>
      <c r="D389"/>
      <c r="E389" t="s">
        <v>50</v>
      </c>
      <c r="F389"/>
      <c r="G389" t="s">
        <v>47</v>
      </c>
      <c r="H389"/>
      <c r="I389" s="155">
        <v>46300.515983796293</v>
      </c>
      <c r="J389" t="s">
        <v>531</v>
      </c>
      <c r="K389" t="s">
        <v>388</v>
      </c>
      <c r="L389" s="154">
        <v>46299</v>
      </c>
      <c r="M389" t="s">
        <v>530</v>
      </c>
      <c r="N389" t="s">
        <v>178</v>
      </c>
      <c r="O389" t="s">
        <v>179</v>
      </c>
      <c r="P389">
        <v>3</v>
      </c>
      <c r="Q389" t="s">
        <v>194</v>
      </c>
    </row>
    <row r="390" spans="1:17" s="3" customFormat="1" hidden="1">
      <c r="A390" s="82">
        <v>5.5380472337962965E-3</v>
      </c>
      <c r="B390" t="s">
        <v>46</v>
      </c>
      <c r="C390"/>
      <c r="D390"/>
      <c r="E390" t="s">
        <v>37</v>
      </c>
      <c r="F390"/>
      <c r="G390" t="s">
        <v>47</v>
      </c>
      <c r="H390"/>
      <c r="I390" s="155">
        <v>46300.515868055554</v>
      </c>
      <c r="J390" t="s">
        <v>531</v>
      </c>
      <c r="K390" t="s">
        <v>388</v>
      </c>
      <c r="L390" s="154">
        <v>46299</v>
      </c>
      <c r="M390" t="s">
        <v>530</v>
      </c>
      <c r="N390" t="s">
        <v>178</v>
      </c>
      <c r="O390" t="s">
        <v>179</v>
      </c>
      <c r="P390">
        <v>3</v>
      </c>
      <c r="Q390" t="s">
        <v>194</v>
      </c>
    </row>
    <row r="391" spans="1:17" s="3" customFormat="1" hidden="1">
      <c r="A391" s="82">
        <v>5.5380472337962965E-3</v>
      </c>
      <c r="B391" t="s">
        <v>46</v>
      </c>
      <c r="C391"/>
      <c r="D391"/>
      <c r="E391" t="s">
        <v>160</v>
      </c>
      <c r="F391" t="s">
        <v>506</v>
      </c>
      <c r="G391" t="s">
        <v>47</v>
      </c>
      <c r="H391"/>
      <c r="I391" s="155">
        <v>46300.515868055554</v>
      </c>
      <c r="J391" t="s">
        <v>531</v>
      </c>
      <c r="K391" t="s">
        <v>388</v>
      </c>
      <c r="L391" s="154">
        <v>46299</v>
      </c>
      <c r="M391" t="s">
        <v>530</v>
      </c>
      <c r="N391" t="s">
        <v>178</v>
      </c>
      <c r="O391" t="s">
        <v>179</v>
      </c>
      <c r="P391">
        <v>3</v>
      </c>
      <c r="Q391" t="s">
        <v>194</v>
      </c>
    </row>
    <row r="392" spans="1:17" s="3" customFormat="1" hidden="1">
      <c r="A392" s="82">
        <v>5.519495185185185E-3</v>
      </c>
      <c r="B392" t="s">
        <v>46</v>
      </c>
      <c r="C392"/>
      <c r="D392"/>
      <c r="E392" t="s">
        <v>133</v>
      </c>
      <c r="F392"/>
      <c r="G392" t="s">
        <v>47</v>
      </c>
      <c r="H392"/>
      <c r="I392" s="155">
        <v>46300.515740740739</v>
      </c>
      <c r="J392" t="s">
        <v>531</v>
      </c>
      <c r="K392" t="s">
        <v>388</v>
      </c>
      <c r="L392" s="154">
        <v>46299</v>
      </c>
      <c r="M392" t="s">
        <v>530</v>
      </c>
      <c r="N392" t="s">
        <v>178</v>
      </c>
      <c r="O392" t="s">
        <v>179</v>
      </c>
      <c r="P392">
        <v>3</v>
      </c>
      <c r="Q392" t="s">
        <v>194</v>
      </c>
    </row>
    <row r="393" spans="1:17" s="3" customFormat="1" hidden="1">
      <c r="A393" s="82">
        <v>5.4826546180555555E-3</v>
      </c>
      <c r="B393" t="s">
        <v>46</v>
      </c>
      <c r="C393" t="s">
        <v>541</v>
      </c>
      <c r="D393"/>
      <c r="E393" t="s">
        <v>406</v>
      </c>
      <c r="F393"/>
      <c r="G393" t="s">
        <v>47</v>
      </c>
      <c r="H393"/>
      <c r="I393" s="155">
        <v>46300.515682870369</v>
      </c>
      <c r="J393" t="s">
        <v>531</v>
      </c>
      <c r="K393" t="s">
        <v>388</v>
      </c>
      <c r="L393" s="154">
        <v>46299</v>
      </c>
      <c r="M393" t="s">
        <v>530</v>
      </c>
      <c r="N393" t="s">
        <v>178</v>
      </c>
      <c r="O393" t="s">
        <v>179</v>
      </c>
      <c r="P393">
        <v>3</v>
      </c>
      <c r="Q393" t="s">
        <v>194</v>
      </c>
    </row>
    <row r="394" spans="1:17" s="3" customFormat="1" hidden="1">
      <c r="A394" s="82">
        <v>5.4329985995370369E-3</v>
      </c>
      <c r="B394" t="s">
        <v>46</v>
      </c>
      <c r="C394" t="s">
        <v>537</v>
      </c>
      <c r="D394"/>
      <c r="E394" t="s">
        <v>60</v>
      </c>
      <c r="F394"/>
      <c r="G394" t="s">
        <v>47</v>
      </c>
      <c r="H394"/>
      <c r="I394" s="155">
        <v>46300.515381944446</v>
      </c>
      <c r="J394" t="s">
        <v>531</v>
      </c>
      <c r="K394" t="s">
        <v>388</v>
      </c>
      <c r="L394" s="154">
        <v>46299</v>
      </c>
      <c r="M394" t="s">
        <v>530</v>
      </c>
      <c r="N394" t="s">
        <v>178</v>
      </c>
      <c r="O394" t="s">
        <v>179</v>
      </c>
      <c r="P394">
        <v>3</v>
      </c>
      <c r="Q394" t="s">
        <v>194</v>
      </c>
    </row>
    <row r="395" spans="1:17" s="3" customFormat="1" hidden="1">
      <c r="A395" s="82">
        <v>5.3499353356481483E-3</v>
      </c>
      <c r="B395" t="s">
        <v>46</v>
      </c>
      <c r="C395"/>
      <c r="D395"/>
      <c r="E395" t="s">
        <v>53</v>
      </c>
      <c r="F395"/>
      <c r="G395" t="s">
        <v>47</v>
      </c>
      <c r="H395"/>
      <c r="I395" s="155">
        <v>46300.515023148146</v>
      </c>
      <c r="J395" t="s">
        <v>531</v>
      </c>
      <c r="K395" t="s">
        <v>388</v>
      </c>
      <c r="L395" s="154">
        <v>46299</v>
      </c>
      <c r="M395" t="s">
        <v>530</v>
      </c>
      <c r="N395" t="s">
        <v>178</v>
      </c>
      <c r="O395" t="s">
        <v>179</v>
      </c>
      <c r="P395">
        <v>3</v>
      </c>
      <c r="Q395" t="s">
        <v>194</v>
      </c>
    </row>
    <row r="396" spans="1:17" s="3" customFormat="1" hidden="1">
      <c r="A396" s="82">
        <v>4.9819918287037036E-3</v>
      </c>
      <c r="B396" t="s">
        <v>46</v>
      </c>
      <c r="C396"/>
      <c r="D396"/>
      <c r="E396" t="s">
        <v>37</v>
      </c>
      <c r="F396"/>
      <c r="G396" t="s">
        <v>47</v>
      </c>
      <c r="H396"/>
      <c r="I396" s="155">
        <v>46300.512627314813</v>
      </c>
      <c r="J396" t="s">
        <v>531</v>
      </c>
      <c r="K396" t="s">
        <v>388</v>
      </c>
      <c r="L396" s="154">
        <v>46299</v>
      </c>
      <c r="M396" t="s">
        <v>530</v>
      </c>
      <c r="N396" t="s">
        <v>178</v>
      </c>
      <c r="O396" t="s">
        <v>179</v>
      </c>
      <c r="P396">
        <v>3</v>
      </c>
      <c r="Q396" t="s">
        <v>194</v>
      </c>
    </row>
    <row r="397" spans="1:17" s="3" customFormat="1" hidden="1">
      <c r="A397" s="82">
        <v>4.8405688078703704E-3</v>
      </c>
      <c r="B397" t="s">
        <v>46</v>
      </c>
      <c r="C397"/>
      <c r="D397"/>
      <c r="E397" t="s">
        <v>133</v>
      </c>
      <c r="F397"/>
      <c r="G397" t="s">
        <v>47</v>
      </c>
      <c r="H397"/>
      <c r="I397" s="155">
        <v>46300.512476851851</v>
      </c>
      <c r="J397" t="s">
        <v>531</v>
      </c>
      <c r="K397" t="s">
        <v>388</v>
      </c>
      <c r="L397" s="154">
        <v>46299</v>
      </c>
      <c r="M397" t="s">
        <v>530</v>
      </c>
      <c r="N397" t="s">
        <v>178</v>
      </c>
      <c r="O397" t="s">
        <v>179</v>
      </c>
      <c r="P397">
        <v>3</v>
      </c>
      <c r="Q397" t="s">
        <v>194</v>
      </c>
    </row>
    <row r="398" spans="1:17" s="3" customFormat="1" hidden="1">
      <c r="A398" s="82">
        <v>4.8006333796296293E-3</v>
      </c>
      <c r="B398" t="s">
        <v>46</v>
      </c>
      <c r="C398"/>
      <c r="D398"/>
      <c r="E398" t="s">
        <v>135</v>
      </c>
      <c r="F398"/>
      <c r="G398" t="s">
        <v>47</v>
      </c>
      <c r="H398"/>
      <c r="I398" s="155">
        <v>46300.512442129628</v>
      </c>
      <c r="J398" t="s">
        <v>531</v>
      </c>
      <c r="K398" t="s">
        <v>388</v>
      </c>
      <c r="L398" s="154">
        <v>46299</v>
      </c>
      <c r="M398" t="s">
        <v>530</v>
      </c>
      <c r="N398" t="s">
        <v>178</v>
      </c>
      <c r="O398" t="s">
        <v>179</v>
      </c>
      <c r="P398">
        <v>3</v>
      </c>
      <c r="Q398" t="s">
        <v>194</v>
      </c>
    </row>
    <row r="399" spans="1:17" s="3" customFormat="1" hidden="1">
      <c r="A399" s="82">
        <v>4.766846909722222E-3</v>
      </c>
      <c r="B399" t="s">
        <v>46</v>
      </c>
      <c r="C399"/>
      <c r="D399"/>
      <c r="E399" t="s">
        <v>133</v>
      </c>
      <c r="F399"/>
      <c r="G399" t="s">
        <v>113</v>
      </c>
      <c r="H399"/>
      <c r="I399" s="155">
        <v>46300.512395833335</v>
      </c>
      <c r="J399" t="s">
        <v>531</v>
      </c>
      <c r="K399" t="s">
        <v>388</v>
      </c>
      <c r="L399" s="154">
        <v>46299</v>
      </c>
      <c r="M399" t="s">
        <v>530</v>
      </c>
      <c r="N399" t="s">
        <v>178</v>
      </c>
      <c r="O399" t="s">
        <v>179</v>
      </c>
      <c r="P399">
        <v>3</v>
      </c>
      <c r="Q399" t="s">
        <v>194</v>
      </c>
    </row>
    <row r="400" spans="1:17" s="3" customFormat="1" hidden="1">
      <c r="A400" s="82">
        <v>4.7256282407407407E-3</v>
      </c>
      <c r="B400" t="s">
        <v>46</v>
      </c>
      <c r="C400"/>
      <c r="D400"/>
      <c r="E400" t="s">
        <v>137</v>
      </c>
      <c r="F400"/>
      <c r="G400" t="s">
        <v>113</v>
      </c>
      <c r="H400"/>
      <c r="I400" s="155">
        <v>46300.512326388889</v>
      </c>
      <c r="J400" t="s">
        <v>531</v>
      </c>
      <c r="K400" t="s">
        <v>388</v>
      </c>
      <c r="L400" s="154">
        <v>46299</v>
      </c>
      <c r="M400" t="s">
        <v>530</v>
      </c>
      <c r="N400" t="s">
        <v>178</v>
      </c>
      <c r="O400" t="s">
        <v>179</v>
      </c>
      <c r="P400">
        <v>3</v>
      </c>
      <c r="Q400" t="s">
        <v>194</v>
      </c>
    </row>
    <row r="401" spans="1:17" s="3" customFormat="1" hidden="1">
      <c r="A401" s="82">
        <v>4.6441787962962959E-3</v>
      </c>
      <c r="B401" t="s">
        <v>46</v>
      </c>
      <c r="C401"/>
      <c r="D401"/>
      <c r="E401" t="s">
        <v>133</v>
      </c>
      <c r="F401"/>
      <c r="G401" t="s">
        <v>47</v>
      </c>
      <c r="H401"/>
      <c r="I401" s="155">
        <v>46300.51222222222</v>
      </c>
      <c r="J401" t="s">
        <v>531</v>
      </c>
      <c r="K401" t="s">
        <v>388</v>
      </c>
      <c r="L401" s="154">
        <v>46299</v>
      </c>
      <c r="M401" t="s">
        <v>530</v>
      </c>
      <c r="N401" t="s">
        <v>178</v>
      </c>
      <c r="O401" t="s">
        <v>179</v>
      </c>
      <c r="P401">
        <v>3</v>
      </c>
      <c r="Q401" t="s">
        <v>194</v>
      </c>
    </row>
    <row r="402" spans="1:17" s="3" customFormat="1" hidden="1">
      <c r="A402" s="82">
        <v>4.6441787962962959E-3</v>
      </c>
      <c r="B402" t="s">
        <v>46</v>
      </c>
      <c r="C402"/>
      <c r="D402"/>
      <c r="E402" t="s">
        <v>59</v>
      </c>
      <c r="F402"/>
      <c r="G402" t="s">
        <v>113</v>
      </c>
      <c r="H402"/>
      <c r="I402" s="155">
        <v>46300.512129629627</v>
      </c>
      <c r="J402" t="s">
        <v>531</v>
      </c>
      <c r="K402" t="s">
        <v>388</v>
      </c>
      <c r="L402" s="154">
        <v>46299</v>
      </c>
      <c r="M402" t="s">
        <v>530</v>
      </c>
      <c r="N402" t="s">
        <v>178</v>
      </c>
      <c r="O402" t="s">
        <v>179</v>
      </c>
      <c r="P402">
        <v>3</v>
      </c>
      <c r="Q402" t="s">
        <v>194</v>
      </c>
    </row>
    <row r="403" spans="1:17" s="3" customFormat="1" hidden="1">
      <c r="A403" s="82">
        <v>4.5662921412037037E-3</v>
      </c>
      <c r="B403" t="s">
        <v>46</v>
      </c>
      <c r="C403"/>
      <c r="D403"/>
      <c r="E403" t="s">
        <v>53</v>
      </c>
      <c r="F403"/>
      <c r="G403" t="s">
        <v>113</v>
      </c>
      <c r="H403"/>
      <c r="I403" s="155">
        <v>46300.511770833335</v>
      </c>
      <c r="J403" t="s">
        <v>531</v>
      </c>
      <c r="K403" t="s">
        <v>388</v>
      </c>
      <c r="L403" s="154">
        <v>46299</v>
      </c>
      <c r="M403" t="s">
        <v>530</v>
      </c>
      <c r="N403" t="s">
        <v>178</v>
      </c>
      <c r="O403" t="s">
        <v>179</v>
      </c>
      <c r="P403">
        <v>3</v>
      </c>
      <c r="Q403" t="s">
        <v>194</v>
      </c>
    </row>
    <row r="404" spans="1:17" s="3" customFormat="1" hidden="1">
      <c r="A404" s="82">
        <v>4.0677856944444446E-3</v>
      </c>
      <c r="B404" t="s">
        <v>46</v>
      </c>
      <c r="C404"/>
      <c r="D404"/>
      <c r="E404" t="s">
        <v>37</v>
      </c>
      <c r="F404"/>
      <c r="G404" t="s">
        <v>113</v>
      </c>
      <c r="H404"/>
      <c r="I404" s="155">
        <v>46300.511678240742</v>
      </c>
      <c r="J404" t="s">
        <v>531</v>
      </c>
      <c r="K404" t="s">
        <v>388</v>
      </c>
      <c r="L404" s="154">
        <v>46299</v>
      </c>
      <c r="M404" t="s">
        <v>530</v>
      </c>
      <c r="N404" t="s">
        <v>178</v>
      </c>
      <c r="O404" t="s">
        <v>179</v>
      </c>
      <c r="P404">
        <v>3</v>
      </c>
      <c r="Q404" t="s">
        <v>194</v>
      </c>
    </row>
    <row r="405" spans="1:17" s="3" customFormat="1" hidden="1">
      <c r="A405" s="82">
        <v>4.0677856944444446E-3</v>
      </c>
      <c r="B405" t="s">
        <v>46</v>
      </c>
      <c r="C405" t="s">
        <v>540</v>
      </c>
      <c r="D405" t="s">
        <v>153</v>
      </c>
      <c r="E405" t="s">
        <v>161</v>
      </c>
      <c r="F405" t="s">
        <v>502</v>
      </c>
      <c r="G405" t="s">
        <v>113</v>
      </c>
      <c r="H405"/>
      <c r="I405" s="155">
        <v>46300.511678240742</v>
      </c>
      <c r="J405" t="s">
        <v>531</v>
      </c>
      <c r="K405" t="s">
        <v>388</v>
      </c>
      <c r="L405" s="154">
        <v>46299</v>
      </c>
      <c r="M405" t="s">
        <v>530</v>
      </c>
      <c r="N405" t="s">
        <v>178</v>
      </c>
      <c r="O405" t="s">
        <v>179</v>
      </c>
      <c r="P405">
        <v>3</v>
      </c>
      <c r="Q405" t="s">
        <v>194</v>
      </c>
    </row>
    <row r="406" spans="1:17" s="3" customFormat="1" hidden="1">
      <c r="A406" s="82">
        <v>3.8892894907407403E-3</v>
      </c>
      <c r="B406" t="s">
        <v>46</v>
      </c>
      <c r="C406" t="s">
        <v>540</v>
      </c>
      <c r="D406"/>
      <c r="E406" t="s">
        <v>57</v>
      </c>
      <c r="F406"/>
      <c r="G406" t="s">
        <v>113</v>
      </c>
      <c r="H406"/>
      <c r="I406" s="155">
        <v>46300.511342592596</v>
      </c>
      <c r="J406" t="s">
        <v>531</v>
      </c>
      <c r="K406" t="s">
        <v>388</v>
      </c>
      <c r="L406" s="154">
        <v>46299</v>
      </c>
      <c r="M406" t="s">
        <v>530</v>
      </c>
      <c r="N406" t="s">
        <v>178</v>
      </c>
      <c r="O406" t="s">
        <v>179</v>
      </c>
      <c r="P406">
        <v>3</v>
      </c>
      <c r="Q406" t="s">
        <v>194</v>
      </c>
    </row>
    <row r="407" spans="1:17" s="3" customFormat="1" hidden="1">
      <c r="A407" s="82">
        <v>3.8212998379629627E-3</v>
      </c>
      <c r="B407" t="s">
        <v>46</v>
      </c>
      <c r="C407" t="s">
        <v>535</v>
      </c>
      <c r="D407"/>
      <c r="E407" t="s">
        <v>58</v>
      </c>
      <c r="F407"/>
      <c r="G407" t="s">
        <v>47</v>
      </c>
      <c r="H407"/>
      <c r="I407" s="155">
        <v>46300.510729166665</v>
      </c>
      <c r="J407" t="s">
        <v>531</v>
      </c>
      <c r="K407" t="s">
        <v>388</v>
      </c>
      <c r="L407" s="154">
        <v>46299</v>
      </c>
      <c r="M407" t="s">
        <v>530</v>
      </c>
      <c r="N407" t="s">
        <v>178</v>
      </c>
      <c r="O407" t="s">
        <v>179</v>
      </c>
      <c r="P407">
        <v>3</v>
      </c>
      <c r="Q407" t="s">
        <v>194</v>
      </c>
    </row>
    <row r="408" spans="1:17" s="3" customFormat="1" hidden="1">
      <c r="A408" s="82">
        <v>3.753205787037037E-3</v>
      </c>
      <c r="B408" t="s">
        <v>46</v>
      </c>
      <c r="C408"/>
      <c r="D408"/>
      <c r="E408" t="s">
        <v>53</v>
      </c>
      <c r="F408"/>
      <c r="G408" t="s">
        <v>47</v>
      </c>
      <c r="H408"/>
      <c r="I408" s="155">
        <v>46300.509756944448</v>
      </c>
      <c r="J408" t="s">
        <v>531</v>
      </c>
      <c r="K408" t="s">
        <v>388</v>
      </c>
      <c r="L408" s="154">
        <v>46299</v>
      </c>
      <c r="M408" t="s">
        <v>530</v>
      </c>
      <c r="N408" t="s">
        <v>178</v>
      </c>
      <c r="O408" t="s">
        <v>179</v>
      </c>
      <c r="P408">
        <v>3</v>
      </c>
      <c r="Q408" t="s">
        <v>194</v>
      </c>
    </row>
    <row r="409" spans="1:17" s="3" customFormat="1" hidden="1">
      <c r="A409" s="82">
        <v>3.4209075578703705E-3</v>
      </c>
      <c r="B409" t="s">
        <v>46</v>
      </c>
      <c r="C409"/>
      <c r="D409"/>
      <c r="E409" t="s">
        <v>37</v>
      </c>
      <c r="F409"/>
      <c r="G409" t="s">
        <v>113</v>
      </c>
      <c r="H409"/>
      <c r="I409" s="155">
        <v>46300.509687500002</v>
      </c>
      <c r="J409" t="s">
        <v>531</v>
      </c>
      <c r="K409" t="s">
        <v>388</v>
      </c>
      <c r="L409" s="154">
        <v>46299</v>
      </c>
      <c r="M409" t="s">
        <v>530</v>
      </c>
      <c r="N409" t="s">
        <v>178</v>
      </c>
      <c r="O409" t="s">
        <v>179</v>
      </c>
      <c r="P409">
        <v>3</v>
      </c>
      <c r="Q409" t="s">
        <v>194</v>
      </c>
    </row>
    <row r="410" spans="1:17" s="3" customFormat="1" hidden="1">
      <c r="A410" s="82">
        <v>3.4086226967592593E-3</v>
      </c>
      <c r="B410" t="s">
        <v>46</v>
      </c>
      <c r="C410"/>
      <c r="D410"/>
      <c r="E410" t="s">
        <v>133</v>
      </c>
      <c r="F410"/>
      <c r="G410" t="s">
        <v>113</v>
      </c>
      <c r="H410"/>
      <c r="I410" s="155">
        <v>46300.509675925925</v>
      </c>
      <c r="J410" t="s">
        <v>531</v>
      </c>
      <c r="K410" t="s">
        <v>388</v>
      </c>
      <c r="L410" s="154">
        <v>46299</v>
      </c>
      <c r="M410" t="s">
        <v>530</v>
      </c>
      <c r="N410" t="s">
        <v>178</v>
      </c>
      <c r="O410" t="s">
        <v>179</v>
      </c>
      <c r="P410">
        <v>3</v>
      </c>
      <c r="Q410" t="s">
        <v>194</v>
      </c>
    </row>
    <row r="411" spans="1:17" s="3" customFormat="1" hidden="1">
      <c r="A411" s="82">
        <v>3.2702607870370368E-3</v>
      </c>
      <c r="B411" t="s">
        <v>46</v>
      </c>
      <c r="C411" t="s">
        <v>543</v>
      </c>
      <c r="D411"/>
      <c r="E411" t="s">
        <v>57</v>
      </c>
      <c r="F411"/>
      <c r="G411" t="s">
        <v>113</v>
      </c>
      <c r="H411"/>
      <c r="I411" s="155">
        <v>46300.509525462963</v>
      </c>
      <c r="J411" t="s">
        <v>531</v>
      </c>
      <c r="K411" t="s">
        <v>388</v>
      </c>
      <c r="L411" s="154">
        <v>46299</v>
      </c>
      <c r="M411" t="s">
        <v>530</v>
      </c>
      <c r="N411" t="s">
        <v>178</v>
      </c>
      <c r="O411" t="s">
        <v>179</v>
      </c>
      <c r="P411">
        <v>3</v>
      </c>
      <c r="Q411" t="s">
        <v>194</v>
      </c>
    </row>
    <row r="412" spans="1:17" s="3" customFormat="1" hidden="1">
      <c r="A412" s="82">
        <v>3.2623380208333329E-3</v>
      </c>
      <c r="B412" t="s">
        <v>46</v>
      </c>
      <c r="C412" t="s">
        <v>546</v>
      </c>
      <c r="D412"/>
      <c r="E412" t="s">
        <v>57</v>
      </c>
      <c r="F412"/>
      <c r="G412" t="s">
        <v>113</v>
      </c>
      <c r="H412"/>
      <c r="I412" s="155">
        <v>46300.509259259263</v>
      </c>
      <c r="J412" t="s">
        <v>531</v>
      </c>
      <c r="K412" t="s">
        <v>388</v>
      </c>
      <c r="L412" s="154">
        <v>46299</v>
      </c>
      <c r="M412" t="s">
        <v>530</v>
      </c>
      <c r="N412" t="s">
        <v>178</v>
      </c>
      <c r="O412" t="s">
        <v>179</v>
      </c>
      <c r="P412">
        <v>3</v>
      </c>
      <c r="Q412" t="s">
        <v>194</v>
      </c>
    </row>
    <row r="413" spans="1:17" s="3" customFormat="1" hidden="1">
      <c r="A413" s="82">
        <v>3.1655757523148145E-3</v>
      </c>
      <c r="B413" t="s">
        <v>46</v>
      </c>
      <c r="C413" t="s">
        <v>547</v>
      </c>
      <c r="D413"/>
      <c r="E413" t="s">
        <v>57</v>
      </c>
      <c r="F413"/>
      <c r="G413" t="s">
        <v>113</v>
      </c>
      <c r="H413"/>
      <c r="I413" s="155">
        <v>46300.507916666669</v>
      </c>
      <c r="J413" t="s">
        <v>531</v>
      </c>
      <c r="K413" t="s">
        <v>388</v>
      </c>
      <c r="L413" s="154">
        <v>46299</v>
      </c>
      <c r="M413" t="s">
        <v>530</v>
      </c>
      <c r="N413" t="s">
        <v>178</v>
      </c>
      <c r="O413" t="s">
        <v>179</v>
      </c>
      <c r="P413">
        <v>3</v>
      </c>
      <c r="Q413" t="s">
        <v>194</v>
      </c>
    </row>
    <row r="414" spans="1:17" s="3" customFormat="1" hidden="1">
      <c r="A414" s="82">
        <v>3.1415242361111108E-3</v>
      </c>
      <c r="B414" t="s">
        <v>46</v>
      </c>
      <c r="C414" t="s">
        <v>539</v>
      </c>
      <c r="D414"/>
      <c r="E414" t="s">
        <v>9</v>
      </c>
      <c r="F414"/>
      <c r="G414" t="s">
        <v>113</v>
      </c>
      <c r="H414"/>
      <c r="I414" s="155">
        <v>46300.507800925923</v>
      </c>
      <c r="J414" t="s">
        <v>531</v>
      </c>
      <c r="K414" t="s">
        <v>388</v>
      </c>
      <c r="L414" s="154">
        <v>46299</v>
      </c>
      <c r="M414" t="s">
        <v>530</v>
      </c>
      <c r="N414" t="s">
        <v>178</v>
      </c>
      <c r="O414" t="s">
        <v>179</v>
      </c>
      <c r="P414">
        <v>3</v>
      </c>
      <c r="Q414" t="s">
        <v>194</v>
      </c>
    </row>
    <row r="415" spans="1:17" s="3" customFormat="1" hidden="1">
      <c r="A415" s="82">
        <v>3.0574589699074073E-3</v>
      </c>
      <c r="B415" t="s">
        <v>46</v>
      </c>
      <c r="C415"/>
      <c r="D415"/>
      <c r="E415" t="s">
        <v>137</v>
      </c>
      <c r="F415"/>
      <c r="G415" t="s">
        <v>113</v>
      </c>
      <c r="H415"/>
      <c r="I415" s="155">
        <v>46300.507453703707</v>
      </c>
      <c r="J415" t="s">
        <v>531</v>
      </c>
      <c r="K415" t="s">
        <v>388</v>
      </c>
      <c r="L415" s="154">
        <v>46299</v>
      </c>
      <c r="M415" t="s">
        <v>530</v>
      </c>
      <c r="N415" t="s">
        <v>178</v>
      </c>
      <c r="O415" t="s">
        <v>179</v>
      </c>
      <c r="P415">
        <v>3</v>
      </c>
      <c r="Q415" t="s">
        <v>194</v>
      </c>
    </row>
    <row r="416" spans="1:17" s="3" customFormat="1" hidden="1">
      <c r="A416" s="82">
        <v>2.8536854398148151E-3</v>
      </c>
      <c r="B416" t="s">
        <v>46</v>
      </c>
      <c r="C416"/>
      <c r="D416"/>
      <c r="E416" t="s">
        <v>49</v>
      </c>
      <c r="F416"/>
      <c r="G416" t="s">
        <v>47</v>
      </c>
      <c r="H416"/>
      <c r="I416" s="155">
        <v>46300.507187499999</v>
      </c>
      <c r="J416" t="s">
        <v>531</v>
      </c>
      <c r="K416" t="s">
        <v>388</v>
      </c>
      <c r="L416" s="154">
        <v>46299</v>
      </c>
      <c r="M416" t="s">
        <v>530</v>
      </c>
      <c r="N416" t="s">
        <v>178</v>
      </c>
      <c r="O416" t="s">
        <v>179</v>
      </c>
      <c r="P416">
        <v>3</v>
      </c>
      <c r="Q416" t="s">
        <v>194</v>
      </c>
    </row>
    <row r="417" spans="1:17" s="3" customFormat="1" hidden="1">
      <c r="A417" s="82">
        <v>2.3134085995370371E-3</v>
      </c>
      <c r="B417" t="s">
        <v>46</v>
      </c>
      <c r="C417"/>
      <c r="D417"/>
      <c r="E417" t="s">
        <v>37</v>
      </c>
      <c r="F417"/>
      <c r="G417" t="s">
        <v>113</v>
      </c>
      <c r="H417"/>
      <c r="I417" s="155">
        <v>46300.506932870368</v>
      </c>
      <c r="J417" t="s">
        <v>531</v>
      </c>
      <c r="K417" t="s">
        <v>388</v>
      </c>
      <c r="L417" s="154">
        <v>46299</v>
      </c>
      <c r="M417" t="s">
        <v>530</v>
      </c>
      <c r="N417" t="s">
        <v>178</v>
      </c>
      <c r="O417" t="s">
        <v>179</v>
      </c>
      <c r="P417">
        <v>3</v>
      </c>
      <c r="Q417" t="s">
        <v>194</v>
      </c>
    </row>
    <row r="418" spans="1:17" s="3" customFormat="1" hidden="1">
      <c r="A418" s="82">
        <v>2.3134085995370371E-3</v>
      </c>
      <c r="B418" t="s">
        <v>46</v>
      </c>
      <c r="C418" t="s">
        <v>545</v>
      </c>
      <c r="D418" t="s">
        <v>169</v>
      </c>
      <c r="E418" t="s">
        <v>161</v>
      </c>
      <c r="F418" t="s">
        <v>505</v>
      </c>
      <c r="G418" t="s">
        <v>113</v>
      </c>
      <c r="H418"/>
      <c r="I418" s="155">
        <v>46300.506932870368</v>
      </c>
      <c r="J418" t="s">
        <v>531</v>
      </c>
      <c r="K418" t="s">
        <v>388</v>
      </c>
      <c r="L418" s="154">
        <v>46299</v>
      </c>
      <c r="M418" t="s">
        <v>530</v>
      </c>
      <c r="N418" t="s">
        <v>178</v>
      </c>
      <c r="O418" t="s">
        <v>179</v>
      </c>
      <c r="P418">
        <v>3</v>
      </c>
      <c r="Q418" t="s">
        <v>194</v>
      </c>
    </row>
    <row r="419" spans="1:17" s="3" customFormat="1" hidden="1">
      <c r="A419" s="82">
        <v>2.1442362152777777E-3</v>
      </c>
      <c r="B419" t="s">
        <v>46</v>
      </c>
      <c r="C419" t="s">
        <v>535</v>
      </c>
      <c r="D419"/>
      <c r="E419" t="s">
        <v>57</v>
      </c>
      <c r="F419"/>
      <c r="G419" t="s">
        <v>113</v>
      </c>
      <c r="H419"/>
      <c r="I419" s="155">
        <v>46300.506655092591</v>
      </c>
      <c r="J419" t="s">
        <v>531</v>
      </c>
      <c r="K419" t="s">
        <v>388</v>
      </c>
      <c r="L419" s="154">
        <v>46299</v>
      </c>
      <c r="M419" t="s">
        <v>530</v>
      </c>
      <c r="N419" t="s">
        <v>178</v>
      </c>
      <c r="O419" t="s">
        <v>179</v>
      </c>
      <c r="P419">
        <v>3</v>
      </c>
      <c r="Q419" t="s">
        <v>194</v>
      </c>
    </row>
    <row r="420" spans="1:17" s="3" customFormat="1" hidden="1">
      <c r="A420" s="82">
        <v>2.1489768981481482E-3</v>
      </c>
      <c r="B420" t="s">
        <v>46</v>
      </c>
      <c r="C420" t="s">
        <v>537</v>
      </c>
      <c r="D420"/>
      <c r="E420" t="s">
        <v>9</v>
      </c>
      <c r="F420"/>
      <c r="G420" t="s">
        <v>113</v>
      </c>
      <c r="H420"/>
      <c r="I420" s="155">
        <v>46300.506539351853</v>
      </c>
      <c r="J420" t="s">
        <v>531</v>
      </c>
      <c r="K420" t="s">
        <v>388</v>
      </c>
      <c r="L420" s="154">
        <v>46299</v>
      </c>
      <c r="M420" t="s">
        <v>530</v>
      </c>
      <c r="N420" t="s">
        <v>178</v>
      </c>
      <c r="O420" t="s">
        <v>179</v>
      </c>
      <c r="P420">
        <v>3</v>
      </c>
      <c r="Q420" t="s">
        <v>194</v>
      </c>
    </row>
    <row r="421" spans="1:17" s="3" customFormat="1" hidden="1">
      <c r="A421" s="82">
        <v>2.0311193402777778E-3</v>
      </c>
      <c r="B421" t="s">
        <v>46</v>
      </c>
      <c r="C421" t="s">
        <v>545</v>
      </c>
      <c r="D421"/>
      <c r="E421" t="s">
        <v>84</v>
      </c>
      <c r="F421"/>
      <c r="G421" t="s">
        <v>113</v>
      </c>
      <c r="H421"/>
      <c r="I421" s="155">
        <v>46300.50582175926</v>
      </c>
      <c r="J421" t="s">
        <v>531</v>
      </c>
      <c r="K421" t="s">
        <v>388</v>
      </c>
      <c r="L421" s="154">
        <v>46299</v>
      </c>
      <c r="M421" t="s">
        <v>530</v>
      </c>
      <c r="N421" t="s">
        <v>178</v>
      </c>
      <c r="O421" t="s">
        <v>179</v>
      </c>
      <c r="P421">
        <v>3</v>
      </c>
      <c r="Q421" t="s">
        <v>194</v>
      </c>
    </row>
    <row r="422" spans="1:17" s="3" customFormat="1" hidden="1">
      <c r="A422" s="82">
        <v>1.9369325694444444E-3</v>
      </c>
      <c r="B422" t="s">
        <v>46</v>
      </c>
      <c r="C422" t="s">
        <v>534</v>
      </c>
      <c r="D422"/>
      <c r="E422" t="s">
        <v>57</v>
      </c>
      <c r="F422"/>
      <c r="G422" t="s">
        <v>113</v>
      </c>
      <c r="H422"/>
      <c r="I422" s="155">
        <v>46300.505486111113</v>
      </c>
      <c r="J422" t="s">
        <v>531</v>
      </c>
      <c r="K422" t="s">
        <v>388</v>
      </c>
      <c r="L422" s="154">
        <v>46299</v>
      </c>
      <c r="M422" t="s">
        <v>530</v>
      </c>
      <c r="N422" t="s">
        <v>178</v>
      </c>
      <c r="O422" t="s">
        <v>179</v>
      </c>
      <c r="P422">
        <v>3</v>
      </c>
      <c r="Q422" t="s">
        <v>194</v>
      </c>
    </row>
    <row r="423" spans="1:17" s="3" customFormat="1" hidden="1">
      <c r="A423" s="82">
        <v>1.9619603703703702E-3</v>
      </c>
      <c r="B423" t="s">
        <v>46</v>
      </c>
      <c r="C423" t="s">
        <v>541</v>
      </c>
      <c r="D423"/>
      <c r="E423" t="s">
        <v>57</v>
      </c>
      <c r="F423"/>
      <c r="G423" t="s">
        <v>113</v>
      </c>
      <c r="H423"/>
      <c r="I423" s="155">
        <v>46300.504988425928</v>
      </c>
      <c r="J423" t="s">
        <v>531</v>
      </c>
      <c r="K423" t="s">
        <v>388</v>
      </c>
      <c r="L423" s="154">
        <v>46299</v>
      </c>
      <c r="M423" t="s">
        <v>530</v>
      </c>
      <c r="N423" t="s">
        <v>178</v>
      </c>
      <c r="O423" t="s">
        <v>179</v>
      </c>
      <c r="P423">
        <v>3</v>
      </c>
      <c r="Q423" t="s">
        <v>194</v>
      </c>
    </row>
    <row r="424" spans="1:17" s="3" customFormat="1" hidden="1">
      <c r="A424" s="82">
        <v>1.9223058333333331E-3</v>
      </c>
      <c r="B424" t="s">
        <v>46</v>
      </c>
      <c r="C424" t="s">
        <v>537</v>
      </c>
      <c r="D424"/>
      <c r="E424" t="s">
        <v>9</v>
      </c>
      <c r="F424"/>
      <c r="G424" t="s">
        <v>113</v>
      </c>
      <c r="H424"/>
      <c r="I424" s="155">
        <v>46300.50476851852</v>
      </c>
      <c r="J424" t="s">
        <v>531</v>
      </c>
      <c r="K424" t="s">
        <v>388</v>
      </c>
      <c r="L424" s="154">
        <v>46299</v>
      </c>
      <c r="M424" t="s">
        <v>530</v>
      </c>
      <c r="N424" t="s">
        <v>178</v>
      </c>
      <c r="O424" t="s">
        <v>179</v>
      </c>
      <c r="P424">
        <v>3</v>
      </c>
      <c r="Q424" t="s">
        <v>194</v>
      </c>
    </row>
    <row r="425" spans="1:17" s="3" customFormat="1" hidden="1">
      <c r="A425" s="82">
        <v>1.8399548263888887E-3</v>
      </c>
      <c r="B425" t="s">
        <v>46</v>
      </c>
      <c r="C425" t="s">
        <v>536</v>
      </c>
      <c r="D425"/>
      <c r="E425" t="s">
        <v>57</v>
      </c>
      <c r="F425"/>
      <c r="G425" t="s">
        <v>113</v>
      </c>
      <c r="H425"/>
      <c r="I425" s="155">
        <v>46300.50408564815</v>
      </c>
      <c r="J425" t="s">
        <v>531</v>
      </c>
      <c r="K425" t="s">
        <v>388</v>
      </c>
      <c r="L425" s="154">
        <v>46299</v>
      </c>
      <c r="M425" t="s">
        <v>530</v>
      </c>
      <c r="N425" t="s">
        <v>178</v>
      </c>
      <c r="O425" t="s">
        <v>179</v>
      </c>
      <c r="P425">
        <v>3</v>
      </c>
      <c r="Q425" t="s">
        <v>194</v>
      </c>
    </row>
    <row r="426" spans="1:17" s="3" customFormat="1" hidden="1">
      <c r="A426" s="82">
        <v>1.8041064236111112E-3</v>
      </c>
      <c r="B426" t="s">
        <v>46</v>
      </c>
      <c r="C426"/>
      <c r="D426"/>
      <c r="E426" t="s">
        <v>62</v>
      </c>
      <c r="F426"/>
      <c r="G426" t="s">
        <v>47</v>
      </c>
      <c r="H426"/>
      <c r="I426" s="155">
        <v>46300.503564814811</v>
      </c>
      <c r="J426" t="s">
        <v>531</v>
      </c>
      <c r="K426" t="s">
        <v>388</v>
      </c>
      <c r="L426" s="154">
        <v>46299</v>
      </c>
      <c r="M426" t="s">
        <v>530</v>
      </c>
      <c r="N426" t="s">
        <v>178</v>
      </c>
      <c r="O426" t="s">
        <v>179</v>
      </c>
      <c r="P426">
        <v>3</v>
      </c>
      <c r="Q426" t="s">
        <v>194</v>
      </c>
    </row>
    <row r="427" spans="1:17" s="3" customFormat="1" hidden="1">
      <c r="A427" s="82">
        <v>1.7539132175925928E-3</v>
      </c>
      <c r="B427" t="s">
        <v>46</v>
      </c>
      <c r="C427"/>
      <c r="D427"/>
      <c r="E427" t="s">
        <v>53</v>
      </c>
      <c r="F427"/>
      <c r="G427" t="s">
        <v>47</v>
      </c>
      <c r="H427"/>
      <c r="I427" s="155">
        <v>46300.502928240741</v>
      </c>
      <c r="J427" t="s">
        <v>531</v>
      </c>
      <c r="K427" t="s">
        <v>388</v>
      </c>
      <c r="L427" s="154">
        <v>46299</v>
      </c>
      <c r="M427" t="s">
        <v>530</v>
      </c>
      <c r="N427" t="s">
        <v>178</v>
      </c>
      <c r="O427" t="s">
        <v>179</v>
      </c>
      <c r="P427">
        <v>3</v>
      </c>
      <c r="Q427" t="s">
        <v>194</v>
      </c>
    </row>
    <row r="428" spans="1:17" s="3" customFormat="1" hidden="1">
      <c r="A428" s="82">
        <v>1.4370372800925925E-3</v>
      </c>
      <c r="B428" t="s">
        <v>46</v>
      </c>
      <c r="C428"/>
      <c r="D428"/>
      <c r="E428" t="s">
        <v>37</v>
      </c>
      <c r="F428"/>
      <c r="G428" t="s">
        <v>47</v>
      </c>
      <c r="H428"/>
      <c r="I428" s="155">
        <v>46300.502835648149</v>
      </c>
      <c r="J428" t="s">
        <v>531</v>
      </c>
      <c r="K428" t="s">
        <v>388</v>
      </c>
      <c r="L428" s="154">
        <v>46299</v>
      </c>
      <c r="M428" t="s">
        <v>530</v>
      </c>
      <c r="N428" t="s">
        <v>178</v>
      </c>
      <c r="O428" t="s">
        <v>179</v>
      </c>
      <c r="P428">
        <v>3</v>
      </c>
      <c r="Q428" t="s">
        <v>194</v>
      </c>
    </row>
    <row r="429" spans="1:17" s="3" customFormat="1" hidden="1">
      <c r="A429" s="82">
        <v>1.3724206018518518E-3</v>
      </c>
      <c r="B429" t="s">
        <v>46</v>
      </c>
      <c r="C429"/>
      <c r="D429"/>
      <c r="E429" t="s">
        <v>133</v>
      </c>
      <c r="F429"/>
      <c r="G429" t="s">
        <v>47</v>
      </c>
      <c r="H429"/>
      <c r="I429" s="155">
        <v>46300.502754629626</v>
      </c>
      <c r="J429" t="s">
        <v>531</v>
      </c>
      <c r="K429" t="s">
        <v>388</v>
      </c>
      <c r="L429" s="154">
        <v>46299</v>
      </c>
      <c r="M429" t="s">
        <v>530</v>
      </c>
      <c r="N429" t="s">
        <v>178</v>
      </c>
      <c r="O429" t="s">
        <v>179</v>
      </c>
      <c r="P429">
        <v>3</v>
      </c>
      <c r="Q429" t="s">
        <v>194</v>
      </c>
    </row>
    <row r="430" spans="1:17" s="3" customFormat="1" hidden="1">
      <c r="A430" s="82">
        <v>1.3724206018518518E-3</v>
      </c>
      <c r="B430" t="s">
        <v>46</v>
      </c>
      <c r="C430"/>
      <c r="D430"/>
      <c r="E430" t="s">
        <v>135</v>
      </c>
      <c r="F430"/>
      <c r="G430" t="s">
        <v>47</v>
      </c>
      <c r="H430"/>
      <c r="I430" s="155">
        <v>46300.502743055556</v>
      </c>
      <c r="J430" t="s">
        <v>531</v>
      </c>
      <c r="K430" t="s">
        <v>388</v>
      </c>
      <c r="L430" s="154">
        <v>46299</v>
      </c>
      <c r="M430" t="s">
        <v>530</v>
      </c>
      <c r="N430" t="s">
        <v>178</v>
      </c>
      <c r="O430" t="s">
        <v>179</v>
      </c>
      <c r="P430">
        <v>3</v>
      </c>
      <c r="Q430" t="s">
        <v>194</v>
      </c>
    </row>
    <row r="431" spans="1:17" s="3" customFormat="1" hidden="1">
      <c r="A431" s="82">
        <v>1.3079205787037038E-3</v>
      </c>
      <c r="B431" t="s">
        <v>46</v>
      </c>
      <c r="C431"/>
      <c r="D431"/>
      <c r="E431" t="s">
        <v>49</v>
      </c>
      <c r="F431"/>
      <c r="G431" t="s">
        <v>113</v>
      </c>
      <c r="H431"/>
      <c r="I431" s="155">
        <v>46300.502546296295</v>
      </c>
      <c r="J431" t="s">
        <v>531</v>
      </c>
      <c r="K431" t="s">
        <v>388</v>
      </c>
      <c r="L431" s="154">
        <v>46299</v>
      </c>
      <c r="M431" t="s">
        <v>530</v>
      </c>
      <c r="N431" t="s">
        <v>178</v>
      </c>
      <c r="O431" t="s">
        <v>179</v>
      </c>
      <c r="P431">
        <v>3</v>
      </c>
      <c r="Q431" t="s">
        <v>194</v>
      </c>
    </row>
    <row r="432" spans="1:17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</sheetData>
  <dataValidations count="6">
    <dataValidation type="list" allowBlank="1" showErrorMessage="1" sqref="B2:B431" xr:uid="{9C2999D4-A04D-EE41-8FE4-09BFF3496705}">
      <formula1>LISTE_MT_JOURNAL</formula1>
    </dataValidation>
    <dataValidation type="list" allowBlank="1" showErrorMessage="1" sqref="E2:E431" xr:uid="{60DB49F5-DE53-BE4F-9816-6CCB2076A6B9}">
      <formula1>LISTE_ACTIONS_JOURNAL</formula1>
    </dataValidation>
    <dataValidation type="list" allowBlank="1" showErrorMessage="1" sqref="G2:G431" xr:uid="{E940EEAA-6D58-5A45-886F-EF08472DB90E}">
      <formula1>LISTE_EQUIPES_JOURNAL</formula1>
    </dataValidation>
    <dataValidation type="list" allowBlank="1" showErrorMessage="1" sqref="F2:F431" xr:uid="{B8F1FFC3-2AEC-7146-BA2B-6BB4EAFFAE0F}">
      <formula1>LISTE_MOTIFS_PENALITE</formula1>
    </dataValidation>
    <dataValidation type="list" allowBlank="1" showInputMessage="1" showErrorMessage="1" sqref="D2:D431" xr:uid="{EACE573C-BE71-034E-97F4-7AC7A7772AA6}">
      <formula1>LISTE_GROUPES_FAUTIFS</formula1>
    </dataValidation>
    <dataValidation type="list" allowBlank="1" showErrorMessage="1" sqref="C2:C5" xr:uid="{9583A746-01BC-1844-9508-106777D7DBDB}">
      <formula1>LISTE_JOUEURS_JOURNAL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D5E97A-519A-CB40-8262-B06175C5B2CB}">
          <x14:formula1>
            <xm:f>Paramètres!$AA$1:$AA$22</xm:f>
          </x14:formula1>
          <xm:sqref>C6:C431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B17" workbookViewId="0">
      <selection activeCell="J52" sqref="J5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1"/>
    </row>
    <row r="4" spans="2:37" s="3" customFormat="1" ht="20" customHeight="1">
      <c r="B4" s="172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4"/>
    </row>
    <row r="5" spans="2:37" s="3" customFormat="1"/>
    <row r="6" spans="2:37" ht="14" customHeight="1">
      <c r="B6" s="179" t="s">
        <v>14</v>
      </c>
      <c r="C6" s="181" t="str">
        <f>ACT_PL_NORMAL</f>
        <v>Plaquage normal</v>
      </c>
      <c r="D6" s="176"/>
      <c r="E6" s="181" t="str">
        <f>ACT_PL_OFF</f>
        <v>Plaquage offensif</v>
      </c>
      <c r="F6" s="176"/>
      <c r="G6" s="181" t="str">
        <f>ACT_PL_RATE</f>
        <v>Plaquage raté</v>
      </c>
      <c r="H6" s="176"/>
      <c r="I6" s="181" t="str">
        <f>ACT_PL_A2</f>
        <v>Plaquage à 2</v>
      </c>
      <c r="J6" s="175"/>
      <c r="K6" s="175" t="str">
        <f>ACT_PL_HAUT</f>
        <v>Plaquage haut</v>
      </c>
      <c r="L6" s="176"/>
      <c r="M6" s="175" t="str">
        <f>ACT_GRATTAGE</f>
        <v>Grattage</v>
      </c>
      <c r="N6" s="176"/>
      <c r="O6" s="175" t="str">
        <f>ACT_FRANCHISSEMENT</f>
        <v>Franchissement</v>
      </c>
      <c r="P6" s="176"/>
      <c r="Q6" s="175" t="str">
        <f>ACT_AVANCEE</f>
        <v>Avancée au contact</v>
      </c>
      <c r="R6" s="176"/>
      <c r="S6" s="175" t="str">
        <f>ACT_ATT_NULLE</f>
        <v>Recul ou sans progression</v>
      </c>
      <c r="T6" s="176"/>
      <c r="U6" s="207" t="s">
        <v>232</v>
      </c>
      <c r="V6" s="208"/>
      <c r="W6" s="208"/>
      <c r="X6" s="208"/>
      <c r="Y6" s="208"/>
      <c r="Z6" s="209"/>
      <c r="AF6"/>
      <c r="AG6"/>
    </row>
    <row r="7" spans="2:37" ht="13" customHeight="1">
      <c r="B7" s="180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7">IFERROR(_xlfn._xlws.SORT(_xlfn._xlws.FILTER(COMPO[Nom du joueur],(COMPO[Nom du joueur]&lt;&gt;"")*(COMPO[Nom du joueur]&lt;&gt;"Collectif")*(COMPO[Nom du joueur]&lt;&gt;"?"))),"")</f>
        <v>BAQUE Lucas</v>
      </c>
      <c r="C8" s="33">
        <f>IF(COUNTIFS(JournalActions[Joueur],$B8,JournalActions[Action],$C$6,JournalActions[Mi-temps],C$7)=0,"",COUNTIFS(JournalActions[Joueur],$B8,JournalActions[Action],$C$6,JournalActions[Mi-temps],C$7))</f>
        <v>4</v>
      </c>
      <c r="D8" s="34">
        <f>IF(COUNTIFS(JournalActions[Joueur],$B8,JournalActions[Action],$C$6,JournalActions[Mi-temps],D$7)=0,"",COUNTIFS(JournalActions[Joueur],$B8,JournalActions[Action],$C$6,JournalActions[Mi-temps],D$7))</f>
        <v>1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>
        <f>IF(COUNTIFS(JournalActions[Joueur],$B8,JournalActions[Action],$G$6,JournalActions[Mi-temps],H$7)=0,"",COUNTIFS(JournalActions[Joueur],$B8,JournalActions[Action],$G$6,JournalActions[Mi-temps],H$7))</f>
        <v>1</v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>
        <f>IF(COUNTIFS(JournalActions[Joueur],$B8,JournalActions[Action],$O$6,JournalActions[Mi-temps],O$7)=0,"",COUNTIFS(JournalActions[Joueur],$B8,JournalActions[Action],$O$6,JournalActions[Mi-temps],O$7))</f>
        <v>2</v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BARRAILH Francois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BARTHIE Sebastien</v>
      </c>
      <c r="C10" s="28">
        <f>IF(COUNTIFS(JournalActions[Joueur],$B10,JournalActions[Action],$C$6,JournalActions[Mi-temps],C$7)=0,"",COUNTIFS(JournalActions[Joueur],$B10,JournalActions[Action],$C$6,JournalActions[Mi-temps],C$7))</f>
        <v>5</v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>
        <f>IF(COUNTIFS(JournalActions[Joueur],$B10,JournalActions[Action],$K$6,JournalActions[Mi-temps],K$7)=0,"",COUNTIFS(JournalActions[Joueur],$B10,JournalActions[Action],$K$6,JournalActions[Mi-temps],K$7))</f>
        <v>1</v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>
        <f>IF(COUNTIFS(JournalActions[Joueur],$B10,JournalActions[Action],$Q$6,JournalActions[Mi-temps],Q$7)=0,"",COUNTIFS(JournalActions[Joueur],$B10,JournalActions[Action],$Q$6,JournalActions[Mi-temps],Q$7))</f>
        <v>1</v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>
        <f>IF(COUNTIFS(JournalActions[Joueur],$B10,JournalActions[Action],$S$6,JournalActions[Mi-temps],S$7)=0,"",COUNTIFS(JournalActions[Joueur],$B10,JournalActions[Action],$S$6,JournalActions[Mi-temps],S$7))</f>
        <v>2</v>
      </c>
      <c r="T10" s="29">
        <f>IF(COUNTIFS(JournalActions[Joueur],$B10,JournalActions[Action],$S$6,JournalActions[Mi-temps],T$7)=0,"",COUNTIFS(JournalActions[Joueur],$B10,JournalActions[Action],$S$6,JournalActions[Mi-temps],T$7))</f>
        <v>2</v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BOISVIN Paul</v>
      </c>
      <c r="C11" s="28">
        <f>IF(COUNTIFS(JournalActions[Joueur],$B11,JournalActions[Action],$C$6,JournalActions[Mi-temps],C$7)=0,"",COUNTIFS(JournalActions[Joueur],$B11,JournalActions[Action],$C$6,JournalActions[Mi-temps],C$7))</f>
        <v>1</v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2</v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BOURREC Dorian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>
        <f>IF(COUNTIFS(JournalActions[Joueur],$B12,JournalActions[Action],$G$6,JournalActions[Mi-temps],G$7)=0,"",COUNTIFS(JournalActions[Joueur],$B12,JournalActions[Action],$G$6,JournalActions[Mi-temps],G$7))</f>
        <v>3</v>
      </c>
      <c r="H12" s="29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BOUTELOUP Romain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2</v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>
        <f>IF(COUNTIFS(JournalActions[Joueur],$B13,JournalActions[Action],$S$6,JournalActions[Mi-temps],T$7)=0,"",COUNTIFS(JournalActions[Joueur],$B13,JournalActions[Action],$S$6,JournalActions[Mi-temps],T$7))</f>
        <v>1</v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CARRAU Ludovic</v>
      </c>
      <c r="C14" s="28">
        <f>IF(COUNTIFS(JournalActions[Joueur],$B14,JournalActions[Action],$C$6,JournalActions[Mi-temps],C$7)=0,"",COUNTIFS(JournalActions[Joueur],$B14,JournalActions[Action],$C$6,JournalActions[Mi-temps],C$7))</f>
        <v>4</v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1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Simon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GALLINARO Pierrick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>
        <f>IF(COUNTIFS(JournalActions[Joueur],$B16,JournalActions[Action],$C$6,JournalActions[Mi-temps],D$7)=0,"",COUNTIFS(JournalActions[Joueur],$B16,JournalActions[Action],$C$6,JournalActions[Mi-temps],D$7))</f>
        <v>2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>
        <f>IF(COUNTIFS(JournalActions[Joueur],$B16,JournalActions[Action],$Q$6,JournalActions[Mi-temps],R$7)=0,"",COUNTIFS(JournalActions[Joueur],$B16,JournalActions[Action],$Q$6,JournalActions[Mi-temps],R$7))</f>
        <v>1</v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JOUNAUX Joris</v>
      </c>
      <c r="C17" s="28">
        <f>IF(COUNTIFS(JournalActions[Joueur],$B17,JournalActions[Action],$C$6,JournalActions[Mi-temps],C$7)=0,"",COUNTIFS(JournalActions[Joueur],$B17,JournalActions[Action],$C$6,JournalActions[Mi-temps],C$7))</f>
        <v>1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>
        <f>IF(COUNTIFS(JournalActions[Joueur],$B17,JournalActions[Action],$Q$6,JournalActions[Mi-temps],R$7)=0,"",COUNTIFS(JournalActions[Joueur],$B17,JournalActions[Action],$Q$6,JournalActions[Mi-temps],R$7))</f>
        <v>2</v>
      </c>
      <c r="S17" s="28">
        <f>IF(COUNTIFS(JournalActions[Joueur],$B17,JournalActions[Action],$S$6,JournalActions[Mi-temps],S$7)=0,"",COUNTIFS(JournalActions[Joueur],$B17,JournalActions[Action],$S$6,JournalActions[Mi-temps],S$7))</f>
        <v>2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KAPFER Ludovic</v>
      </c>
      <c r="C18" s="28">
        <f>IF(COUNTIFS(JournalActions[Joueur],$B18,JournalActions[Action],$C$6,JournalActions[Mi-temps],C$7)=0,"",COUNTIFS(JournalActions[Joueur],$B18,JournalActions[Action],$C$6,JournalActions[Mi-temps],C$7))</f>
        <v>2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>
        <f>IF(COUNTIFS(JournalActions[Joueur],$B18,JournalActions[Action],$G$6,JournalActions[Mi-temps],G$7)=0,"",COUNTIFS(JournalActions[Joueur],$B18,JournalActions[Action],$G$6,JournalActions[Mi-temps],G$7))</f>
        <v>1</v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>
        <f>IF(COUNTIFS(JournalActions[Joueur],$B18,JournalActions[Action],$Q$6,JournalActions[Mi-temps],R$7)=0,"",COUNTIFS(JournalActions[Joueur],$B18,JournalActions[Action],$Q$6,JournalActions[Mi-temps],R$7))</f>
        <v>1</v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LESPINASSE Lucas</v>
      </c>
      <c r="C19" s="28">
        <f>IF(COUNTIFS(JournalActions[Joueur],$B19,JournalActions[Action],$C$6,JournalActions[Mi-temps],C$7)=0,"",COUNTIFS(JournalActions[Joueur],$B19,JournalActions[Action],$C$6,JournalActions[Mi-temps],C$7))</f>
        <v>4</v>
      </c>
      <c r="D19" s="29">
        <f>IF(COUNTIFS(JournalActions[Joueur],$B19,JournalActions[Action],$C$6,JournalActions[Mi-temps],D$7)=0,"",COUNTIFS(JournalActions[Joueur],$B19,JournalActions[Action],$C$6,JournalActions[Mi-temps],D$7))</f>
        <v>2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>
        <f>IF(COUNTIFS(JournalActions[Joueur],$B19,JournalActions[Action],$G$6,JournalActions[Mi-temps],G$7)=0,"",COUNTIFS(JournalActions[Joueur],$B19,JournalActions[Action],$G$6,JournalActions[Mi-temps],G$7))</f>
        <v>1</v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>
        <f>IF(COUNTIFS(JournalActions[Joueur],$B19,JournalActions[Action],$Q$6,JournalActions[Mi-temps],Q$7)=0,"",COUNTIFS(JournalActions[Joueur],$B19,JournalActions[Action],$Q$6,JournalActions[Mi-temps],Q$7))</f>
        <v>2</v>
      </c>
      <c r="R19" s="29">
        <f>IF(COUNTIFS(JournalActions[Joueur],$B19,JournalActions[Action],$Q$6,JournalActions[Mi-temps],R$7)=0,"",COUNTIFS(JournalActions[Joueur],$B19,JournalActions[Action],$Q$6,JournalActions[Mi-temps],R$7))</f>
        <v>1</v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MULLIER Martin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>
        <f>IF(COUNTIFS(JournalActions[Joueur],$B20,JournalActions[Action],$I$6,JournalActions[Mi-temps],I$7)=0,"",COUNTIFS(JournalActions[Joueur],$B20,JournalActions[Action],$I$6,JournalActions[Mi-temps],I$7))</f>
        <v>1</v>
      </c>
      <c r="J20">
        <f>IF(COUNTIFS(JournalActions[Joueur],$B20,JournalActions[Action],$I$6,JournalActions[Mi-temps],J$7)=0,"",COUNTIFS(JournalActions[Joueur],$B20,JournalActions[Action],$I$6,JournalActions[Mi-temps],J$7))</f>
        <v>1</v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3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>
        <f>IF(COUNTIFS(JournalActions[Joueur],$B20,JournalActions[Action],$S$6,JournalActions[Mi-temps],S$7)=0,"",COUNTIFS(JournalActions[Joueur],$B20,JournalActions[Action],$S$6,JournalActions[Mi-temps],S$7))</f>
        <v>1</v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POUYADOU Julien</v>
      </c>
      <c r="C21" s="28">
        <f>IF(COUNTIFS(JournalActions[Joueur],$B21,JournalActions[Action],$C$6,JournalActions[Mi-temps],C$7)=0,"",COUNTIFS(JournalActions[Joueur],$B21,JournalActions[Action],$C$6,JournalActions[Mi-temps],C$7))</f>
        <v>3</v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1</v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RECURT Louis</v>
      </c>
      <c r="C22" s="28">
        <f>IF(COUNTIFS(JournalActions[Joueur],$B22,JournalActions[Action],$C$6,JournalActions[Mi-temps],C$7)=0,"",COUNTIFS(JournalActions[Joueur],$B22,JournalActions[Action],$C$6,JournalActions[Mi-temps],C$7))</f>
        <v>5</v>
      </c>
      <c r="D22" s="29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>
        <f>IF(COUNTIFS(JournalActions[Joueur],$B22,JournalActions[Action],$K$6,JournalActions[Mi-temps],K$7)=0,"",COUNTIFS(JournalActions[Joueur],$B22,JournalActions[Action],$K$6,JournalActions[Mi-temps],K$7))</f>
        <v>1</v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1</v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RICHARD Damien</v>
      </c>
      <c r="C23" s="28">
        <f>IF(COUNTIFS(JournalActions[Joueur],$B23,JournalActions[Action],$C$6,JournalActions[Mi-temps],C$7)=0,"",COUNTIFS(JournalActions[Joueur],$B23,JournalActions[Action],$C$6,JournalActions[Mi-temps],C$7))</f>
        <v>1</v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2</v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SCANU Benjamin</v>
      </c>
      <c r="C24" s="28">
        <f>IF(COUNTIFS(JournalActions[Joueur],$B24,JournalActions[Action],$C$6,JournalActions[Mi-temps],C$7)=0,"",COUNTIFS(JournalActions[Joueur],$B24,JournalActions[Action],$C$6,JournalActions[Mi-temps],C$7))</f>
        <v>1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>
        <f>IF(COUNTIFS(JournalActions[Joueur],$B24,JournalActions[Action],$Q$6,JournalActions[Mi-temps],R$7)=0,"",COUNTIFS(JournalActions[Joueur],$B24,JournalActions[Action],$Q$6,JournalActions[Mi-temps],R$7))</f>
        <v>2</v>
      </c>
      <c r="S24" s="28">
        <f>IF(COUNTIFS(JournalActions[Joueur],$B24,JournalActions[Action],$S$6,JournalActions[Mi-temps],S$7)=0,"",COUNTIFS(JournalActions[Joueur],$B24,JournalActions[Action],$S$6,JournalActions[Mi-temps],S$7))</f>
        <v>1</v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SIMOES Dylan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>
        <f>IF(COUNTIFS(JournalActions[Joueur],$B25,JournalActions[Action],$I$6,JournalActions[Mi-temps],J$7)=0,"",COUNTIFS(JournalActions[Joueur],$B25,JournalActions[Action],$I$6,JournalActions[Mi-temps],J$7))</f>
        <v>1</v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>
        <f>IF(COUNTIFS(JournalActions[Joueur],$B25,JournalActions[Action],$Q$6,JournalActions[Mi-temps],R$7)=0,"",COUNTIFS(JournalActions[Joueur],$B25,JournalActions[Action],$Q$6,JournalActions[Mi-temps],R$7))</f>
        <v>1</v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TOUVAT Dorian</v>
      </c>
      <c r="C26" s="28">
        <f>IF(COUNTIFS(JournalActions[Joueur],$B26,JournalActions[Action],$C$6,JournalActions[Mi-temps],C$7)=0,"",COUNTIFS(JournalActions[Joueur],$B26,JournalActions[Action],$C$6,JournalActions[Mi-temps],C$7))</f>
        <v>1</v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>
        <f>IF(COUNTIFS(JournalActions[Joueur],$B26,JournalActions[Action],$G$6,JournalActions[Mi-temps],G$7)=0,"",COUNTIFS(JournalActions[Joueur],$B26,JournalActions[Action],$G$6,JournalActions[Mi-temps],G$7))</f>
        <v>2</v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VINCENT Sebastien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>
        <f>IF(COUNTIFS(JournalActions[Joueur],$B31,JournalActions[Action],$M$6,JournalActions[Mi-temps],N$7)=0,"",COUNTIFS(JournalActions[Joueur],$B31,JournalActions[Action],$M$6,JournalActions[Mi-temps],N$7))</f>
        <v>1</v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>
        <f>IF(COUNTIFS(JournalActions[Joueur],$B31,JournalActions[Action],$Q$6,JournalActions[Mi-temps],R$7)=0,"",COUNTIFS(JournalActions[Joueur],$B31,JournalActions[Action],$Q$6,JournalActions[Mi-temps],R$7))</f>
        <v>1</v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34</v>
      </c>
      <c r="D32" s="54">
        <f t="shared" ref="D32:Z32" si="0">SUM(D8:D31)</f>
        <v>22</v>
      </c>
      <c r="E32" s="53">
        <f t="shared" si="0"/>
        <v>0</v>
      </c>
      <c r="F32" s="54">
        <f t="shared" si="0"/>
        <v>0</v>
      </c>
      <c r="G32" s="53">
        <f t="shared" si="0"/>
        <v>7</v>
      </c>
      <c r="H32" s="54">
        <f t="shared" si="0"/>
        <v>3</v>
      </c>
      <c r="I32" s="53">
        <f t="shared" si="0"/>
        <v>2</v>
      </c>
      <c r="J32" s="54">
        <f t="shared" si="0"/>
        <v>2</v>
      </c>
      <c r="K32" s="53">
        <f t="shared" si="0"/>
        <v>2</v>
      </c>
      <c r="L32" s="54">
        <f t="shared" si="0"/>
        <v>0</v>
      </c>
      <c r="M32" s="53">
        <f t="shared" si="0"/>
        <v>0</v>
      </c>
      <c r="N32" s="54">
        <f t="shared" si="0"/>
        <v>1</v>
      </c>
      <c r="O32" s="53">
        <f t="shared" ref="O32:P32" si="1">SUM(O8:O31)</f>
        <v>2</v>
      </c>
      <c r="P32" s="54">
        <f t="shared" si="1"/>
        <v>0</v>
      </c>
      <c r="Q32" s="53">
        <f t="shared" ref="Q32:T32" si="2">SUM(Q8:Q31)</f>
        <v>11</v>
      </c>
      <c r="R32" s="54">
        <f t="shared" si="2"/>
        <v>11</v>
      </c>
      <c r="S32" s="53">
        <f t="shared" si="2"/>
        <v>11</v>
      </c>
      <c r="T32" s="54">
        <f t="shared" si="2"/>
        <v>5</v>
      </c>
      <c r="U32" s="210">
        <f t="shared" si="0"/>
        <v>0</v>
      </c>
      <c r="V32" s="210">
        <f t="shared" si="0"/>
        <v>2</v>
      </c>
      <c r="W32" s="210">
        <f t="shared" si="0"/>
        <v>0</v>
      </c>
      <c r="X32" s="210">
        <f t="shared" si="0"/>
        <v>0</v>
      </c>
      <c r="Y32" s="210">
        <f t="shared" si="0"/>
        <v>0</v>
      </c>
      <c r="Z32" s="210">
        <f t="shared" si="0"/>
        <v>0</v>
      </c>
    </row>
    <row r="33" spans="2:33" s="41" customFormat="1" ht="25" customHeight="1">
      <c r="B33" s="55" t="s">
        <v>176</v>
      </c>
      <c r="C33" s="182">
        <f>C32+D32</f>
        <v>56</v>
      </c>
      <c r="D33" s="178"/>
      <c r="E33" s="177">
        <f t="shared" ref="E33" si="3">E32+F32</f>
        <v>0</v>
      </c>
      <c r="F33" s="177"/>
      <c r="G33" s="182">
        <f t="shared" ref="G33" si="4">G32+H32</f>
        <v>10</v>
      </c>
      <c r="H33" s="178"/>
      <c r="I33" s="182">
        <f>I32+J32</f>
        <v>4</v>
      </c>
      <c r="J33" s="178"/>
      <c r="K33" s="182">
        <f t="shared" ref="K33" si="5">K32+L32</f>
        <v>2</v>
      </c>
      <c r="L33" s="178"/>
      <c r="M33" s="177">
        <f t="shared" ref="M33" si="6">M32+N32</f>
        <v>1</v>
      </c>
      <c r="N33" s="178"/>
      <c r="O33" s="177">
        <f t="shared" ref="O33" si="7">O32+P32</f>
        <v>2</v>
      </c>
      <c r="P33" s="178"/>
      <c r="Q33" s="177">
        <f t="shared" ref="Q33" si="8">Q32+R32</f>
        <v>22</v>
      </c>
      <c r="R33" s="178"/>
      <c r="S33" s="177">
        <f t="shared" ref="S33" si="9">S32+T32</f>
        <v>16</v>
      </c>
      <c r="T33" s="178"/>
      <c r="U33" s="211"/>
      <c r="V33" s="211"/>
      <c r="W33" s="211"/>
      <c r="X33" s="211"/>
      <c r="Y33" s="211"/>
      <c r="Z33" s="211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477</v>
      </c>
      <c r="F36" s="3"/>
      <c r="G36" s="181" t="s">
        <v>171</v>
      </c>
      <c r="H36" s="176"/>
      <c r="I36" s="3"/>
      <c r="J36" s="3"/>
      <c r="K36" s="3"/>
      <c r="L36" s="181" t="s">
        <v>28</v>
      </c>
      <c r="M36" s="181" t="s">
        <v>147</v>
      </c>
      <c r="N36" s="175"/>
      <c r="O36" s="176"/>
      <c r="P36" s="176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7">
        <f>COUNTIFS(JournalActions[Action],ACT_TO_NS_P,JournalActions[Mi-temps],"MT1")</f>
        <v>1</v>
      </c>
      <c r="E37" s="37">
        <f>COUNTIFS(JournalActions[Action],ACT_TO_NS_PAS_DROIT,JournalActions[Mi-temps],"MT1")</f>
        <v>1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10</v>
      </c>
      <c r="I37" s="3"/>
      <c r="J37" s="3"/>
      <c r="K37" s="3"/>
      <c r="L37" s="206"/>
      <c r="M37" s="70" t="s">
        <v>153</v>
      </c>
      <c r="N37" s="66" t="s">
        <v>170</v>
      </c>
      <c r="O37" s="71" t="s">
        <v>32</v>
      </c>
      <c r="P37" s="212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7</v>
      </c>
      <c r="D38" s="108">
        <f>COUNTIFS(JournalActions[Action],ACT_TO_ADV_VOLEE,JournalActions[Mi-temps],"MT1")</f>
        <v>3</v>
      </c>
      <c r="E38" s="12">
        <f>COUNTIFS(JournalActions[Action],ACT_TO_ADV_PAS_DROIT,JournalActions[Mi-temps],"MT1")</f>
        <v>2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3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2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P38" s="34">
        <f>COUNTIFS(JournalActions[Action],ACT_PEN_CONTRE_ADV,JournalActions[Mi-temps],"MT1")</f>
        <v>3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2</v>
      </c>
      <c r="N39" s="12">
        <f>COUNTIFS(JournalActions[Action],ACT_PEN_CONTRE_NOUS,JournalActions[Mi-temps],"MT2",JournalActions[Groupe fautif],"Trois-quarts*")</f>
        <v>1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9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477</v>
      </c>
      <c r="F40" s="3"/>
      <c r="G40" s="181" t="s">
        <v>149</v>
      </c>
      <c r="H40" s="176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3</v>
      </c>
      <c r="D41" s="107">
        <f>COUNTIFS(JournalActions[Action],ACT_TO_NS_P,JournalActions[Mi-temps],"MT2")</f>
        <v>3</v>
      </c>
      <c r="E41" s="37">
        <f>COUNTIFS(JournalActions[Action],ACT_TO_NS_PAS_DROIT,JournalActions[Mi-temps],"MT2")</f>
        <v>3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27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1</v>
      </c>
      <c r="D42" s="108">
        <f>COUNTIFS(JournalActions[Action],ACT_TO_ADV_VOLEE,JournalActions[Mi-temps],"MT2")</f>
        <v>1</v>
      </c>
      <c r="E42" s="12">
        <f>COUNTIFS(JournalActions[Action],ACT_TO_ADV_PAS_DROIT,JournalActions[Mi-temps],"MT2")</f>
        <v>4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3</v>
      </c>
      <c r="I42" s="3"/>
      <c r="J42" s="3"/>
      <c r="K42" s="3"/>
      <c r="L42" s="193" t="s">
        <v>1</v>
      </c>
      <c r="M42" s="194"/>
      <c r="N42" s="38">
        <f>COUNTIFS(JournalActions[Action],ACT_PEN_CONTRE_NOUS,JournalActions[Motif penalite],"Maul*")</f>
        <v>1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91" t="s">
        <v>2</v>
      </c>
      <c r="M43" s="192"/>
      <c r="N43" s="13">
        <f>COUNTIFS(JournalActions[Action],ACT_PEN_CONTRE_NOUS,JournalActions[Motif penalite],"Ruck*")</f>
        <v>4</v>
      </c>
      <c r="O43" s="13">
        <f>COUNTIFS(JournalActions[Action],ACT_PEN_CONTRE_ADV,JournalActions[Motif penalite],"Ruck*")</f>
        <v>5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61" t="s">
        <v>629</v>
      </c>
      <c r="H44" s="166" t="s">
        <v>47</v>
      </c>
      <c r="I44" s="162" t="s">
        <v>630</v>
      </c>
      <c r="J44" s="168" t="s">
        <v>237</v>
      </c>
      <c r="K44" s="3"/>
      <c r="L44" s="193" t="s">
        <v>3</v>
      </c>
      <c r="M44" s="194"/>
      <c r="N44" s="38">
        <f>COUNTIFS(JournalActions[Action],ACT_PEN_CONTRE_NOUS,JournalActions[Motif penalite],"Hors-jeu")</f>
        <v>2</v>
      </c>
      <c r="O44" s="38">
        <f>COUNTIFS(JournalActions[Action],ACT_PEN_CONTRE_ADV,JournalActions[Motif penalite],"Hors-jeu")</f>
        <v>1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5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63">
        <v>6.1111022916666702E-3</v>
      </c>
      <c r="I45" s="77">
        <v>6.5695556597222277E-3</v>
      </c>
      <c r="J45" s="77">
        <v>1.26806579513889E-2</v>
      </c>
      <c r="K45" s="3"/>
      <c r="L45" s="191" t="s">
        <v>4</v>
      </c>
      <c r="M45" s="192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1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5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64">
        <v>5.0013061342592535E-3</v>
      </c>
      <c r="I46" s="78">
        <v>4.6838419212963042E-3</v>
      </c>
      <c r="J46" s="78">
        <v>9.6851480555555647E-3</v>
      </c>
      <c r="K46" s="3"/>
      <c r="L46" s="193" t="s">
        <v>5</v>
      </c>
      <c r="M46" s="194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1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7" t="s">
        <v>237</v>
      </c>
      <c r="H47" s="165">
        <v>1.1112408425925924E-2</v>
      </c>
      <c r="I47" s="79">
        <v>1.1253397581018532E-2</v>
      </c>
      <c r="J47" s="79">
        <v>2.2365806006944464E-2</v>
      </c>
      <c r="K47" s="3"/>
      <c r="L47" s="191" t="s">
        <v>167</v>
      </c>
      <c r="M47" s="192"/>
      <c r="N47" s="13">
        <f>COUNTIF(JournalActions[Action],ACT_PEN_CONTRE_NOUS)-SUM(N42:N46)</f>
        <v>3</v>
      </c>
      <c r="O47" s="13">
        <f>COUNTIF(JournalActions[Action],ACT_PEN_CONTRE_ADV)-SUM(O42:O46)</f>
        <v>4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6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170"/>
      <c r="D56" s="170"/>
      <c r="E56" s="170"/>
      <c r="F56" s="170"/>
      <c r="G56" s="170"/>
      <c r="H56" s="170"/>
      <c r="I56" s="170"/>
      <c r="J56" s="170"/>
      <c r="K56" s="171"/>
      <c r="L56" s="128"/>
      <c r="M56" s="128"/>
      <c r="N56" s="128"/>
      <c r="O56" s="128"/>
      <c r="P56" s="128"/>
      <c r="Q56" s="128"/>
      <c r="R56" s="128"/>
      <c r="S56" s="128"/>
      <c r="T56" s="128"/>
    </row>
    <row r="57" spans="2:20" s="3" customFormat="1" ht="13" customHeight="1">
      <c r="B57" s="172"/>
      <c r="C57" s="173"/>
      <c r="D57" s="173"/>
      <c r="E57" s="173"/>
      <c r="F57" s="173"/>
      <c r="G57" s="173"/>
      <c r="H57" s="173"/>
      <c r="I57" s="173"/>
      <c r="J57" s="173"/>
      <c r="K57" s="174"/>
      <c r="L57" s="128"/>
      <c r="M57" s="128"/>
      <c r="N57" s="128"/>
      <c r="O57" s="128"/>
      <c r="P57" s="128"/>
      <c r="Q57" s="128"/>
      <c r="R57" s="128"/>
      <c r="S57" s="128"/>
      <c r="T57" s="128"/>
    </row>
    <row r="58" spans="2:20" s="3" customFormat="1" ht="14" thickBot="1"/>
    <row r="59" spans="2:20" s="3" customFormat="1">
      <c r="B59" s="195" t="s">
        <v>235</v>
      </c>
      <c r="C59" s="196"/>
      <c r="D59" s="196"/>
      <c r="E59" s="196"/>
      <c r="F59" s="196"/>
      <c r="G59" s="196"/>
      <c r="H59" s="196"/>
      <c r="I59" s="196"/>
      <c r="J59" s="196"/>
      <c r="K59" s="197"/>
    </row>
    <row r="60" spans="2:20" s="3" customFormat="1">
      <c r="B60" s="198"/>
      <c r="C60" s="199"/>
      <c r="D60" s="199"/>
      <c r="E60" s="199"/>
      <c r="F60" s="199"/>
      <c r="G60" s="199"/>
      <c r="H60" s="199"/>
      <c r="I60" s="199"/>
      <c r="J60" s="199"/>
      <c r="K60" s="200"/>
    </row>
    <row r="61" spans="2:20" s="3" customFormat="1" ht="14" thickBot="1">
      <c r="B61" s="201"/>
      <c r="C61" s="202"/>
      <c r="D61" s="202"/>
      <c r="E61" s="202"/>
      <c r="F61" s="202"/>
      <c r="G61" s="202"/>
      <c r="H61" s="202"/>
      <c r="I61" s="202"/>
      <c r="J61" s="202"/>
      <c r="K61" s="203"/>
    </row>
    <row r="62" spans="2:20" s="3" customFormat="1"/>
    <row r="63" spans="2:20" s="3" customFormat="1" ht="14">
      <c r="B63" s="179" t="s">
        <v>14</v>
      </c>
      <c r="C63" s="181" t="str">
        <f>ACT_TO_NS_G</f>
        <v>Touche à nous conservée</v>
      </c>
      <c r="D63" s="176"/>
      <c r="E63" s="181" t="str">
        <f>ACT_TO_ADV_VOLEE</f>
        <v>Touche à eux volée</v>
      </c>
      <c r="F63" s="176"/>
      <c r="H63" s="204" t="str">
        <f>ACT_TO_NS_P</f>
        <v>Touche à nous perdue</v>
      </c>
      <c r="I63" s="205"/>
      <c r="J63" s="204" t="str">
        <f>ACT_TO_NS_PAS_DROIT</f>
        <v>Touche à nous pas droite</v>
      </c>
      <c r="K63" s="205"/>
    </row>
    <row r="64" spans="2:20" s="3" customFormat="1" ht="14">
      <c r="B64" s="180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4">IFERROR(_xlfn._xlws.SORT(_xlfn._xlws.FILTER(COMPO[Nom du joueur],(COMPO[Nom du joueur]&lt;&gt;"")*(COMPO[Nom du joueur]&lt;&gt;"Collectif")*(COMPO[Nom du joueur]&lt;&gt;"?"))),"")</f>
        <v>BAQUE Lucas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BARRAILH Francois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BARTHIE Sebastien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BOISVIN Paul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BOURREC Dorian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BOUTELOUP Romain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CARRAU Ludovic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Simon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GALLINARO Pierrick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>
        <f>IF(COUNTIFS(JournalActions[Joueur],$B73,JournalActions[Action],$J$63,JournalActions[Mi-temps],K$64)=0,"",COUNTIFS(JournalActions[Joueur],$B73,JournalActions[Action],$J$63,JournalActions[Mi-temps],K$64))</f>
        <v>2</v>
      </c>
    </row>
    <row r="74" spans="2:11" s="3" customFormat="1">
      <c r="B74" s="28" t="str">
        <v>JOUNAUX Joris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KAPFER Ludovic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LESPINASSE Lucas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MULLIER Martin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POUYADOU Julien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>
        <f>IF(COUNTIFS(JournalActions[Joueur],$B78,JournalActions[Action],$H$63,JournalActions[Mi-temps],H$64)=0,"",COUNTIFS(JournalActions[Joueur],$B78,JournalActions[Action],$H$63,JournalActions[Mi-temps],H$64))</f>
        <v>1</v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>
        <f>IF(COUNTIFS(JournalActions[Joueur],$B78,JournalActions[Action],$J$63,JournalActions[Mi-temps],J$64)=0,"",COUNTIFS(JournalActions[Joueur],$B78,JournalActions[Action],$J$63,JournalActions[Mi-temps],J$64))</f>
        <v>1</v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RECURT Louis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RICHARD Damien</v>
      </c>
      <c r="C80" s="28">
        <f>IF(COUNTIFS(JournalActions[Joueur],$B80,JournalActions[Action],$C$63,JournalActions[Mi-temps],C$64)=0,"",COUNTIFS(JournalActions[Joueur],$B80,JournalActions[Action],$C$63,JournalActions[Mi-temps],C$64))</f>
        <v>2</v>
      </c>
      <c r="D80" s="29">
        <f>IF(COUNTIFS(JournalActions[Joueur],$B80,JournalActions[Action],$C$63,JournalActions[Mi-temps],D$64)=0,"",COUNTIFS(JournalActions[Joueur],$B80,JournalActions[Action],$C$63,JournalActions[Mi-temps],D$64))</f>
        <v>3</v>
      </c>
      <c r="E80" s="28">
        <f>IF(COUNTIFS(JournalActions[Joueur],$B80,JournalActions[Action],$E$63,JournalActions[Mi-temps],E$64)=0,"",COUNTIFS(JournalActions[Joueur],$B80,JournalActions[Action],$E$63,JournalActions[Mi-temps],E$64))</f>
        <v>1</v>
      </c>
      <c r="F80" s="29">
        <f>IF(COUNTIFS(JournalActions[Joueur],$B80,JournalActions[Action],$E$63,JournalActions[Mi-temps],F$64)=0,"",COUNTIFS(JournalActions[Joueur],$B80,JournalActions[Action],$E$63,JournalActions[Mi-temps],F$64))</f>
        <v>1</v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>
        <f>IF(COUNTIFS(JournalActions[Joueur],$B80,JournalActions[Action],$H$63,JournalActions[Mi-temps],I$64)=0,"",COUNTIFS(JournalActions[Joueur],$B80,JournalActions[Action],$H$63,JournalActions[Mi-temps],I$64))</f>
        <v>2</v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SCANU Benjamin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SIMOES Dylan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TOUVAT Dorian</v>
      </c>
      <c r="C83" s="28">
        <f>IF(COUNTIFS(JournalActions[Joueur],$B83,JournalActions[Action],$C$63,JournalActions[Mi-temps],C$64)=0,"",COUNTIFS(JournalActions[Joueur],$B83,JournalActions[Action],$C$63,JournalActions[Mi-temps],C$64))</f>
        <v>1</v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>
        <f>IF(COUNTIFS(JournalActions[Joueur],$B83,JournalActions[Action],$E$63,JournalActions[Mi-temps],E$64)=0,"",COUNTIFS(JournalActions[Joueur],$B83,JournalActions[Action],$E$63,JournalActions[Mi-temps],E$64))</f>
        <v>1</v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VINCENT Sebastien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3</v>
      </c>
      <c r="D89" s="54">
        <f t="shared" ref="D89" si="10">SUM(D65:D88)</f>
        <v>3</v>
      </c>
      <c r="E89" s="53">
        <f>SUM(E65:E88)</f>
        <v>2</v>
      </c>
      <c r="F89" s="54">
        <f t="shared" ref="F89" si="11">SUM(F65:F88)</f>
        <v>1</v>
      </c>
      <c r="H89" s="74">
        <f>SUM(H65:H88)</f>
        <v>1</v>
      </c>
      <c r="I89" s="75">
        <f>SUM(I65:I88)</f>
        <v>2</v>
      </c>
      <c r="J89" s="74">
        <f>SUM(J65:J88)</f>
        <v>1</v>
      </c>
      <c r="K89" s="75">
        <f t="shared" ref="K89" si="12">SUM(K65:K88)</f>
        <v>2</v>
      </c>
    </row>
    <row r="90" spans="2:11" s="3" customFormat="1" ht="16">
      <c r="B90" s="55" t="s">
        <v>176</v>
      </c>
      <c r="C90" s="182">
        <f>C89+D89</f>
        <v>6</v>
      </c>
      <c r="D90" s="178"/>
      <c r="E90" s="182">
        <f>E89+F89</f>
        <v>3</v>
      </c>
      <c r="F90" s="178"/>
      <c r="H90" s="187">
        <f>H89+I89</f>
        <v>3</v>
      </c>
      <c r="I90" s="188"/>
      <c r="J90" s="187">
        <f>J89+K89</f>
        <v>3</v>
      </c>
      <c r="K90" s="188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9" t="s">
        <v>390</v>
      </c>
      <c r="C94" s="130" t="s">
        <v>47</v>
      </c>
      <c r="D94" s="131" t="s">
        <v>113</v>
      </c>
      <c r="F94" s="189" t="s">
        <v>391</v>
      </c>
      <c r="G94" s="190"/>
      <c r="H94" s="130" t="s">
        <v>46</v>
      </c>
      <c r="I94" s="130" t="s">
        <v>44</v>
      </c>
      <c r="J94" s="137" t="s">
        <v>237</v>
      </c>
    </row>
    <row r="95" spans="2:11" s="3" customFormat="1" ht="16">
      <c r="B95" s="132" t="s">
        <v>238</v>
      </c>
      <c r="C95" s="81">
        <v>49</v>
      </c>
      <c r="D95" s="133">
        <v>51</v>
      </c>
      <c r="F95" s="185" t="s">
        <v>238</v>
      </c>
      <c r="G95" s="186"/>
      <c r="H95" s="81">
        <v>12</v>
      </c>
      <c r="I95" s="81">
        <v>12</v>
      </c>
      <c r="J95" s="138">
        <v>24</v>
      </c>
    </row>
    <row r="96" spans="2:11" s="3" customFormat="1" ht="16">
      <c r="B96" s="132" t="s">
        <v>239</v>
      </c>
      <c r="C96" s="81">
        <v>13</v>
      </c>
      <c r="D96" s="133">
        <v>10</v>
      </c>
      <c r="F96" s="185" t="s">
        <v>239</v>
      </c>
      <c r="G96" s="186"/>
      <c r="H96" s="81">
        <v>16</v>
      </c>
      <c r="I96" s="81">
        <v>13</v>
      </c>
      <c r="J96" s="138">
        <v>29</v>
      </c>
    </row>
    <row r="97" spans="2:10" s="3" customFormat="1" ht="16">
      <c r="B97" s="132" t="s">
        <v>240</v>
      </c>
      <c r="C97" s="81">
        <v>2</v>
      </c>
      <c r="D97" s="133">
        <v>5</v>
      </c>
      <c r="F97" s="185" t="s">
        <v>240</v>
      </c>
      <c r="G97" s="186"/>
      <c r="H97" s="81">
        <v>6</v>
      </c>
      <c r="I97" s="81">
        <v>4</v>
      </c>
      <c r="J97" s="138">
        <v>10</v>
      </c>
    </row>
    <row r="98" spans="2:10" s="3" customFormat="1" ht="16">
      <c r="B98" s="132" t="s">
        <v>241</v>
      </c>
      <c r="C98" s="81">
        <v>0</v>
      </c>
      <c r="D98" s="133">
        <v>0</v>
      </c>
      <c r="F98" s="185" t="s">
        <v>241</v>
      </c>
      <c r="G98" s="186"/>
      <c r="H98" s="81">
        <v>1</v>
      </c>
      <c r="I98" s="81">
        <v>2</v>
      </c>
      <c r="J98" s="138">
        <v>3</v>
      </c>
    </row>
    <row r="99" spans="2:10" s="3" customFormat="1" ht="17" thickBot="1">
      <c r="B99" s="134" t="s">
        <v>242</v>
      </c>
      <c r="C99" s="135">
        <v>1</v>
      </c>
      <c r="D99" s="136">
        <v>0</v>
      </c>
      <c r="F99" s="185" t="s">
        <v>392</v>
      </c>
      <c r="G99" s="186"/>
      <c r="H99" s="81">
        <v>0</v>
      </c>
      <c r="I99" s="81">
        <v>0</v>
      </c>
      <c r="J99" s="138">
        <v>0</v>
      </c>
    </row>
    <row r="100" spans="2:10" s="3" customFormat="1" ht="16">
      <c r="F100" s="185" t="s">
        <v>393</v>
      </c>
      <c r="G100" s="186"/>
      <c r="H100" s="81">
        <v>0</v>
      </c>
      <c r="I100" s="81">
        <v>0</v>
      </c>
      <c r="J100" s="138">
        <v>0</v>
      </c>
    </row>
    <row r="101" spans="2:10" s="3" customFormat="1" ht="16">
      <c r="F101" s="185" t="s">
        <v>394</v>
      </c>
      <c r="G101" s="186"/>
      <c r="H101" s="81">
        <v>1</v>
      </c>
      <c r="I101" s="81">
        <v>0</v>
      </c>
      <c r="J101" s="138">
        <v>1</v>
      </c>
    </row>
    <row r="102" spans="2:10" s="3" customFormat="1" ht="17" thickBot="1">
      <c r="F102" s="183" t="s">
        <v>395</v>
      </c>
      <c r="G102" s="184"/>
      <c r="H102" s="135">
        <v>0</v>
      </c>
      <c r="I102" s="135">
        <v>0</v>
      </c>
      <c r="J102" s="139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M36:O36"/>
    <mergeCell ref="M33:N33"/>
    <mergeCell ref="U6:Z6"/>
    <mergeCell ref="U32:U33"/>
    <mergeCell ref="V32:V33"/>
    <mergeCell ref="W32:W33"/>
    <mergeCell ref="X32:X33"/>
    <mergeCell ref="Y32:Y33"/>
    <mergeCell ref="Z32:Z33"/>
    <mergeCell ref="P36:P37"/>
    <mergeCell ref="G33:H33"/>
    <mergeCell ref="I33:J33"/>
    <mergeCell ref="K33:L33"/>
    <mergeCell ref="G36:H36"/>
    <mergeCell ref="L36:L37"/>
    <mergeCell ref="G40:H40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C33:D33"/>
    <mergeCell ref="E33:F33"/>
  </mergeCells>
  <conditionalFormatting sqref="L38:P38 B8:Z31">
    <cfRule type="expression" dxfId="76" priority="6" stopIfTrue="1">
      <formula>ISEVEN(ROW())</formula>
    </cfRule>
  </conditionalFormatting>
  <conditionalFormatting sqref="B65:B88">
    <cfRule type="expression" dxfId="75" priority="5" stopIfTrue="1">
      <formula>ISEVEN(ROW())</formula>
    </cfRule>
  </conditionalFormatting>
  <conditionalFormatting sqref="C65:D88">
    <cfRule type="expression" dxfId="74" priority="4" stopIfTrue="1">
      <formula>ISEVEN(ROW())</formula>
    </cfRule>
  </conditionalFormatting>
  <conditionalFormatting sqref="H65:I88">
    <cfRule type="expression" dxfId="73" priority="3" stopIfTrue="1">
      <formula>ISEVEN(ROW())</formula>
    </cfRule>
  </conditionalFormatting>
  <conditionalFormatting sqref="J65:K88">
    <cfRule type="expression" dxfId="72" priority="2" stopIfTrue="1">
      <formula>ISEVEN(ROW())</formula>
    </cfRule>
  </conditionalFormatting>
  <conditionalFormatting sqref="E65:F88">
    <cfRule type="expression" dxfId="71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74"/>
  <sheetViews>
    <sheetView workbookViewId="0">
      <selection activeCell="C19" sqref="C19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47.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>
        <v>1.8041064236111112E-3</v>
      </c>
      <c r="B3" t="s">
        <v>46</v>
      </c>
      <c r="C3" t="s">
        <v>415</v>
      </c>
      <c r="D3" t="s">
        <v>418</v>
      </c>
      <c r="F3" t="s">
        <v>425</v>
      </c>
      <c r="H3" t="s">
        <v>434</v>
      </c>
      <c r="I3" t="s">
        <v>443</v>
      </c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>
        <v>3.8212998379629627E-3</v>
      </c>
      <c r="B4" t="s">
        <v>46</v>
      </c>
      <c r="C4" t="s">
        <v>414</v>
      </c>
      <c r="D4" t="s">
        <v>418</v>
      </c>
      <c r="E4" t="s">
        <v>540</v>
      </c>
      <c r="F4" t="s">
        <v>425</v>
      </c>
      <c r="H4" t="s">
        <v>436</v>
      </c>
      <c r="I4" t="s">
        <v>443</v>
      </c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82">
        <v>4.6441787962962959E-3</v>
      </c>
      <c r="B5" t="s">
        <v>46</v>
      </c>
      <c r="C5" t="s">
        <v>415</v>
      </c>
      <c r="D5" t="s">
        <v>417</v>
      </c>
      <c r="F5" t="s">
        <v>425</v>
      </c>
      <c r="H5" t="s">
        <v>433</v>
      </c>
      <c r="I5" t="s">
        <v>443</v>
      </c>
      <c r="Z5" t="s">
        <v>425</v>
      </c>
      <c r="AB5" t="s">
        <v>434</v>
      </c>
      <c r="AC5">
        <v>5</v>
      </c>
    </row>
    <row r="6" spans="1:32">
      <c r="A6" s="82">
        <v>5.466489861111111E-3</v>
      </c>
      <c r="B6" t="s">
        <v>46</v>
      </c>
      <c r="C6" t="s">
        <v>414</v>
      </c>
      <c r="D6" t="s">
        <v>417</v>
      </c>
      <c r="Z6" t="s">
        <v>426</v>
      </c>
      <c r="AB6" t="s">
        <v>435</v>
      </c>
      <c r="AC6">
        <v>6</v>
      </c>
    </row>
    <row r="7" spans="1:32">
      <c r="A7" s="82">
        <v>5.4329985995370369E-3</v>
      </c>
      <c r="B7" t="s">
        <v>46</v>
      </c>
      <c r="C7" t="s">
        <v>414</v>
      </c>
      <c r="D7" t="s">
        <v>417</v>
      </c>
      <c r="E7" t="s">
        <v>537</v>
      </c>
      <c r="F7" t="s">
        <v>423</v>
      </c>
      <c r="G7" t="s">
        <v>429</v>
      </c>
      <c r="H7" t="s">
        <v>438</v>
      </c>
      <c r="I7" t="s">
        <v>443</v>
      </c>
      <c r="AB7" t="s">
        <v>436</v>
      </c>
      <c r="AC7" t="s">
        <v>443</v>
      </c>
    </row>
    <row r="8" spans="1:32">
      <c r="A8" s="82">
        <v>6.9941005787037044E-3</v>
      </c>
      <c r="B8" t="s">
        <v>46</v>
      </c>
      <c r="C8" t="s">
        <v>414</v>
      </c>
      <c r="D8" t="s">
        <v>418</v>
      </c>
      <c r="AB8" t="s">
        <v>437</v>
      </c>
    </row>
    <row r="9" spans="1:32">
      <c r="A9" s="82">
        <v>6.9981153240740741E-3</v>
      </c>
      <c r="B9" t="s">
        <v>46</v>
      </c>
      <c r="C9" t="s">
        <v>415</v>
      </c>
      <c r="D9" t="s">
        <v>418</v>
      </c>
      <c r="F9" t="s">
        <v>425</v>
      </c>
      <c r="G9" t="s">
        <v>428</v>
      </c>
      <c r="H9" t="s">
        <v>434</v>
      </c>
      <c r="I9" t="s">
        <v>443</v>
      </c>
      <c r="AB9" t="s">
        <v>438</v>
      </c>
    </row>
    <row r="10" spans="1:32">
      <c r="A10" s="82">
        <v>7.7201552893518526E-3</v>
      </c>
      <c r="B10" t="s">
        <v>46</v>
      </c>
      <c r="C10" t="s">
        <v>415</v>
      </c>
      <c r="D10" t="s">
        <v>418</v>
      </c>
      <c r="E10" t="s">
        <v>537</v>
      </c>
      <c r="F10" t="s">
        <v>423</v>
      </c>
      <c r="G10" t="s">
        <v>428</v>
      </c>
      <c r="H10" t="s">
        <v>432</v>
      </c>
      <c r="I10" t="s">
        <v>443</v>
      </c>
      <c r="AB10" t="s">
        <v>439</v>
      </c>
    </row>
    <row r="11" spans="1:32">
      <c r="A11" s="82">
        <v>8.470079895833333E-3</v>
      </c>
      <c r="B11" t="s">
        <v>46</v>
      </c>
      <c r="C11" t="s">
        <v>415</v>
      </c>
      <c r="D11" t="s">
        <v>418</v>
      </c>
      <c r="H11" t="s">
        <v>431</v>
      </c>
      <c r="I11" t="s">
        <v>443</v>
      </c>
      <c r="AB11" t="s">
        <v>440</v>
      </c>
    </row>
    <row r="12" spans="1:32">
      <c r="A12" s="82">
        <v>9.5889383101851848E-3</v>
      </c>
      <c r="B12" t="s">
        <v>46</v>
      </c>
      <c r="C12" t="s">
        <v>415</v>
      </c>
      <c r="D12" t="s">
        <v>418</v>
      </c>
      <c r="F12" t="s">
        <v>426</v>
      </c>
      <c r="G12" t="s">
        <v>429</v>
      </c>
      <c r="H12" t="s">
        <v>435</v>
      </c>
      <c r="I12" t="s">
        <v>443</v>
      </c>
      <c r="AB12" t="s">
        <v>441</v>
      </c>
    </row>
    <row r="13" spans="1:32">
      <c r="A13" s="82">
        <v>1.4394234930555557E-2</v>
      </c>
      <c r="B13" t="s">
        <v>46</v>
      </c>
      <c r="C13" t="s">
        <v>415</v>
      </c>
      <c r="D13" t="s">
        <v>419</v>
      </c>
      <c r="E13" t="s">
        <v>537</v>
      </c>
      <c r="F13" t="s">
        <v>423</v>
      </c>
      <c r="H13" t="s">
        <v>440</v>
      </c>
      <c r="I13" t="s">
        <v>443</v>
      </c>
    </row>
    <row r="14" spans="1:32">
      <c r="A14" s="82">
        <v>1.717372585648148E-2</v>
      </c>
      <c r="B14" t="s">
        <v>46</v>
      </c>
      <c r="C14" t="s">
        <v>415</v>
      </c>
      <c r="D14" t="s">
        <v>417</v>
      </c>
      <c r="E14" t="s">
        <v>537</v>
      </c>
      <c r="F14" t="s">
        <v>423</v>
      </c>
      <c r="H14" t="s">
        <v>439</v>
      </c>
      <c r="I14" t="s">
        <v>443</v>
      </c>
      <c r="J14" t="s">
        <v>561</v>
      </c>
    </row>
    <row r="15" spans="1:32">
      <c r="A15" s="82">
        <v>1.9997827581018517E-2</v>
      </c>
      <c r="B15" t="s">
        <v>46</v>
      </c>
      <c r="C15" t="s">
        <v>414</v>
      </c>
      <c r="D15" t="s">
        <v>419</v>
      </c>
      <c r="F15" t="s">
        <v>425</v>
      </c>
      <c r="G15" t="s">
        <v>428</v>
      </c>
      <c r="H15" t="s">
        <v>437</v>
      </c>
      <c r="I15" t="s">
        <v>443</v>
      </c>
      <c r="J15" t="s">
        <v>562</v>
      </c>
    </row>
    <row r="16" spans="1:32">
      <c r="A16" s="82">
        <v>2.1908718599537039E-2</v>
      </c>
      <c r="B16" t="s">
        <v>46</v>
      </c>
      <c r="C16" t="s">
        <v>414</v>
      </c>
      <c r="D16" t="s">
        <v>417</v>
      </c>
      <c r="E16" t="s">
        <v>549</v>
      </c>
      <c r="F16" t="s">
        <v>425</v>
      </c>
      <c r="G16" t="s">
        <v>429</v>
      </c>
      <c r="H16" t="s">
        <v>439</v>
      </c>
      <c r="I16" t="s">
        <v>443</v>
      </c>
      <c r="J16" t="s">
        <v>586</v>
      </c>
    </row>
    <row r="17" spans="1:10">
      <c r="A17" s="82">
        <v>2.455613859953704E-2</v>
      </c>
      <c r="B17" t="s">
        <v>46</v>
      </c>
      <c r="C17" t="s">
        <v>414</v>
      </c>
      <c r="D17" t="s">
        <v>417</v>
      </c>
      <c r="E17" t="s">
        <v>549</v>
      </c>
      <c r="F17" t="s">
        <v>423</v>
      </c>
      <c r="G17" t="s">
        <v>429</v>
      </c>
      <c r="H17" t="s">
        <v>440</v>
      </c>
      <c r="I17" t="s">
        <v>443</v>
      </c>
      <c r="J17" t="s">
        <v>587</v>
      </c>
    </row>
    <row r="18" spans="1:10">
      <c r="A18" s="82">
        <v>2.5777344467592594E-2</v>
      </c>
      <c r="B18" t="s">
        <v>46</v>
      </c>
      <c r="C18" t="s">
        <v>415</v>
      </c>
      <c r="D18" t="s">
        <v>418</v>
      </c>
      <c r="F18" t="s">
        <v>425</v>
      </c>
      <c r="G18" t="s">
        <v>429</v>
      </c>
      <c r="H18" t="s">
        <v>437</v>
      </c>
      <c r="I18" t="s">
        <v>443</v>
      </c>
    </row>
    <row r="19" spans="1:10">
      <c r="A19" s="82">
        <v>2.8681044884259259E-2</v>
      </c>
      <c r="B19" t="s">
        <v>46</v>
      </c>
      <c r="C19" t="s">
        <v>415</v>
      </c>
      <c r="D19" t="s">
        <v>418</v>
      </c>
      <c r="F19" t="s">
        <v>426</v>
      </c>
      <c r="G19" t="s">
        <v>429</v>
      </c>
      <c r="H19" t="s">
        <v>435</v>
      </c>
      <c r="I19">
        <v>5</v>
      </c>
    </row>
    <row r="20" spans="1:10">
      <c r="A20" s="82">
        <v>2.9638042835648148E-2</v>
      </c>
      <c r="B20" t="s">
        <v>46</v>
      </c>
      <c r="C20" t="s">
        <v>415</v>
      </c>
      <c r="D20" t="s">
        <v>417</v>
      </c>
      <c r="E20" t="s">
        <v>549</v>
      </c>
      <c r="G20" t="s">
        <v>429</v>
      </c>
      <c r="H20" t="s">
        <v>432</v>
      </c>
      <c r="I20" t="s">
        <v>443</v>
      </c>
      <c r="J20" t="s">
        <v>590</v>
      </c>
    </row>
    <row r="21" spans="1:10">
      <c r="A21" s="82">
        <v>3.0319582268518518E-2</v>
      </c>
      <c r="B21" t="s">
        <v>46</v>
      </c>
      <c r="C21" t="s">
        <v>415</v>
      </c>
      <c r="D21" t="s">
        <v>419</v>
      </c>
      <c r="F21" t="s">
        <v>425</v>
      </c>
      <c r="H21" t="s">
        <v>434</v>
      </c>
      <c r="I21">
        <v>6</v>
      </c>
    </row>
    <row r="22" spans="1:10">
      <c r="A22" s="82">
        <v>3.5332049467592594E-2</v>
      </c>
      <c r="B22" t="s">
        <v>44</v>
      </c>
      <c r="C22" t="s">
        <v>414</v>
      </c>
      <c r="D22" t="s">
        <v>417</v>
      </c>
      <c r="E22" t="s">
        <v>549</v>
      </c>
      <c r="F22" t="s">
        <v>425</v>
      </c>
      <c r="G22" t="s">
        <v>429</v>
      </c>
      <c r="H22" t="s">
        <v>434</v>
      </c>
      <c r="I22" t="s">
        <v>443</v>
      </c>
      <c r="J22" t="s">
        <v>592</v>
      </c>
    </row>
    <row r="23" spans="1:10">
      <c r="A23" s="82">
        <v>3.6811374259259261E-2</v>
      </c>
      <c r="B23" t="s">
        <v>44</v>
      </c>
      <c r="C23" t="s">
        <v>415</v>
      </c>
      <c r="D23" t="s">
        <v>419</v>
      </c>
      <c r="F23" t="s">
        <v>426</v>
      </c>
      <c r="H23" t="s">
        <v>435</v>
      </c>
      <c r="I23">
        <v>5</v>
      </c>
    </row>
    <row r="24" spans="1:10">
      <c r="A24" s="82">
        <v>3.940507094907407E-2</v>
      </c>
      <c r="B24" t="s">
        <v>44</v>
      </c>
      <c r="C24" t="s">
        <v>414</v>
      </c>
      <c r="D24" t="s">
        <v>419</v>
      </c>
      <c r="E24" t="s">
        <v>549</v>
      </c>
      <c r="F24" t="s">
        <v>425</v>
      </c>
      <c r="H24" t="s">
        <v>437</v>
      </c>
      <c r="I24">
        <v>5</v>
      </c>
    </row>
    <row r="25" spans="1:10">
      <c r="A25" s="82">
        <v>4.2351832800925929E-2</v>
      </c>
      <c r="B25" t="s">
        <v>44</v>
      </c>
      <c r="C25" t="s">
        <v>415</v>
      </c>
      <c r="D25" t="s">
        <v>419</v>
      </c>
      <c r="F25" t="s">
        <v>422</v>
      </c>
      <c r="G25" t="s">
        <v>429</v>
      </c>
      <c r="H25" t="s">
        <v>436</v>
      </c>
      <c r="I25">
        <v>5</v>
      </c>
      <c r="J25" t="s">
        <v>597</v>
      </c>
    </row>
    <row r="26" spans="1:10">
      <c r="A26" s="82">
        <v>4.7825620300925922E-2</v>
      </c>
      <c r="B26" t="s">
        <v>44</v>
      </c>
      <c r="C26" t="s">
        <v>415</v>
      </c>
      <c r="D26" t="s">
        <v>419</v>
      </c>
      <c r="F26" t="s">
        <v>422</v>
      </c>
      <c r="H26" t="s">
        <v>434</v>
      </c>
      <c r="I26">
        <v>6</v>
      </c>
    </row>
    <row r="27" spans="1:10">
      <c r="A27" s="82">
        <v>4.8788726932870369E-2</v>
      </c>
      <c r="B27" t="s">
        <v>44</v>
      </c>
      <c r="C27" t="s">
        <v>414</v>
      </c>
      <c r="D27" t="s">
        <v>418</v>
      </c>
      <c r="F27" t="s">
        <v>426</v>
      </c>
      <c r="H27" t="s">
        <v>440</v>
      </c>
      <c r="I27" t="s">
        <v>443</v>
      </c>
      <c r="J27" t="s">
        <v>598</v>
      </c>
    </row>
    <row r="28" spans="1:10">
      <c r="A28" s="82">
        <v>4.9655646527777784E-2</v>
      </c>
      <c r="B28" t="s">
        <v>44</v>
      </c>
      <c r="C28" t="s">
        <v>415</v>
      </c>
      <c r="D28" t="s">
        <v>418</v>
      </c>
      <c r="F28" t="s">
        <v>426</v>
      </c>
      <c r="G28" t="s">
        <v>429</v>
      </c>
      <c r="H28" t="s">
        <v>437</v>
      </c>
      <c r="I28">
        <v>5</v>
      </c>
    </row>
    <row r="29" spans="1:10">
      <c r="A29" s="82">
        <v>5.0269583680555549E-2</v>
      </c>
      <c r="B29" t="s">
        <v>44</v>
      </c>
      <c r="C29" t="s">
        <v>414</v>
      </c>
      <c r="D29" t="s">
        <v>419</v>
      </c>
      <c r="E29" t="s">
        <v>549</v>
      </c>
      <c r="F29" t="s">
        <v>423</v>
      </c>
      <c r="H29" t="s">
        <v>437</v>
      </c>
      <c r="I29">
        <v>6</v>
      </c>
    </row>
    <row r="30" spans="1:10">
      <c r="A30" s="82">
        <v>5.1731820416666664E-2</v>
      </c>
      <c r="B30" t="s">
        <v>44</v>
      </c>
      <c r="C30" t="s">
        <v>414</v>
      </c>
      <c r="D30" t="s">
        <v>418</v>
      </c>
      <c r="E30" t="s">
        <v>549</v>
      </c>
      <c r="F30" t="s">
        <v>426</v>
      </c>
      <c r="G30" t="s">
        <v>429</v>
      </c>
      <c r="H30" t="s">
        <v>438</v>
      </c>
      <c r="I30" t="s">
        <v>443</v>
      </c>
    </row>
    <row r="31" spans="1:10">
      <c r="A31" s="82">
        <v>5.2954375567129633E-2</v>
      </c>
      <c r="B31" t="s">
        <v>44</v>
      </c>
      <c r="C31" t="s">
        <v>414</v>
      </c>
      <c r="D31" t="s">
        <v>417</v>
      </c>
      <c r="E31" t="s">
        <v>549</v>
      </c>
      <c r="F31" t="s">
        <v>423</v>
      </c>
      <c r="G31" t="s">
        <v>429</v>
      </c>
      <c r="H31" t="s">
        <v>439</v>
      </c>
      <c r="I31">
        <v>5</v>
      </c>
    </row>
    <row r="32" spans="1:10">
      <c r="A32" s="82">
        <v>5.7039313564814821E-2</v>
      </c>
      <c r="B32" t="s">
        <v>44</v>
      </c>
      <c r="C32" t="s">
        <v>415</v>
      </c>
      <c r="D32" t="s">
        <v>417</v>
      </c>
      <c r="E32" t="s">
        <v>549</v>
      </c>
      <c r="F32" t="s">
        <v>423</v>
      </c>
      <c r="G32" t="s">
        <v>429</v>
      </c>
      <c r="H32" t="s">
        <v>434</v>
      </c>
      <c r="I32">
        <v>6</v>
      </c>
    </row>
    <row r="33" spans="1:10">
      <c r="A33" s="82">
        <v>5.9396430567129635E-2</v>
      </c>
      <c r="B33" t="s">
        <v>44</v>
      </c>
      <c r="C33" t="s">
        <v>414</v>
      </c>
      <c r="D33" t="s">
        <v>418</v>
      </c>
      <c r="E33" t="s">
        <v>549</v>
      </c>
      <c r="F33" t="s">
        <v>423</v>
      </c>
      <c r="H33" t="s">
        <v>440</v>
      </c>
      <c r="I33" t="s">
        <v>443</v>
      </c>
    </row>
    <row r="34" spans="1:10">
      <c r="A34" s="82">
        <v>6.0189094340277777E-2</v>
      </c>
      <c r="B34" t="s">
        <v>44</v>
      </c>
      <c r="C34" t="s">
        <v>415</v>
      </c>
      <c r="D34" t="s">
        <v>419</v>
      </c>
      <c r="F34" t="s">
        <v>426</v>
      </c>
      <c r="H34" t="s">
        <v>438</v>
      </c>
      <c r="I34">
        <v>5</v>
      </c>
    </row>
    <row r="35" spans="1:10">
      <c r="A35" s="82">
        <v>6.0847164270833337E-2</v>
      </c>
      <c r="B35" t="s">
        <v>44</v>
      </c>
      <c r="C35" t="s">
        <v>414</v>
      </c>
      <c r="D35" t="s">
        <v>419</v>
      </c>
      <c r="E35" t="s">
        <v>549</v>
      </c>
      <c r="F35" t="s">
        <v>423</v>
      </c>
      <c r="H35" t="s">
        <v>440</v>
      </c>
      <c r="I35" t="s">
        <v>443</v>
      </c>
    </row>
    <row r="36" spans="1:10">
      <c r="A36" s="82">
        <v>6.1732523043981483E-2</v>
      </c>
      <c r="B36" t="s">
        <v>44</v>
      </c>
      <c r="C36" t="s">
        <v>414</v>
      </c>
      <c r="D36" t="s">
        <v>417</v>
      </c>
      <c r="E36" t="s">
        <v>549</v>
      </c>
      <c r="F36" t="s">
        <v>426</v>
      </c>
      <c r="G36" t="s">
        <v>428</v>
      </c>
      <c r="H36" t="s">
        <v>440</v>
      </c>
      <c r="I36">
        <v>5</v>
      </c>
    </row>
    <row r="37" spans="1:10">
      <c r="A37" s="82"/>
    </row>
    <row r="38" spans="1:10">
      <c r="A38" s="112" t="s">
        <v>222</v>
      </c>
      <c r="B38" s="113" t="s">
        <v>211</v>
      </c>
      <c r="C38" s="113" t="s">
        <v>144</v>
      </c>
      <c r="D38" s="113" t="s">
        <v>477</v>
      </c>
    </row>
    <row r="39" spans="1:10">
      <c r="A39" s="114" t="s">
        <v>142</v>
      </c>
      <c r="B39" s="115">
        <f>COUNTIFS(DetailTouches[Lance pour],"N",DetailTouches[Issue],"G")</f>
        <v>7</v>
      </c>
      <c r="C39" s="115">
        <f>COUNTIFS(DetailTouches[Lance pour],"N",DetailTouches[Issue],"P")</f>
        <v>5</v>
      </c>
      <c r="D39" s="115">
        <f>COUNTIFS(DetailTouches[Lance pour],"N",DetailTouches[Issue],"ND")</f>
        <v>4</v>
      </c>
    </row>
    <row r="40" spans="1:10">
      <c r="A40" s="110" t="s">
        <v>173</v>
      </c>
      <c r="B40" s="111">
        <f>COUNTIFS(DetailTouches[Lance pour],"E",DetailTouches[Issue],"P")</f>
        <v>8</v>
      </c>
      <c r="C40" s="111">
        <f>COUNTIFS(DetailTouches[Lance pour],"E",DetailTouches[Issue],"G")</f>
        <v>4</v>
      </c>
      <c r="D40" s="111">
        <f>COUNTIFS(DetailTouches[Lance pour],"E",DetailTouches[Issue],"ND")</f>
        <v>6</v>
      </c>
    </row>
    <row r="42" spans="1:10" ht="18">
      <c r="A42" s="98" t="s">
        <v>458</v>
      </c>
    </row>
    <row r="43" spans="1:10">
      <c r="A43" t="s">
        <v>449</v>
      </c>
      <c r="B43" t="s">
        <v>7</v>
      </c>
      <c r="C43" t="s">
        <v>476</v>
      </c>
      <c r="D43" t="s">
        <v>451</v>
      </c>
      <c r="E43" t="s">
        <v>459</v>
      </c>
      <c r="F43" t="s">
        <v>460</v>
      </c>
      <c r="G43" t="s">
        <v>461</v>
      </c>
      <c r="H43" t="s">
        <v>462</v>
      </c>
      <c r="I43" t="s">
        <v>463</v>
      </c>
      <c r="J43" t="s">
        <v>457</v>
      </c>
    </row>
    <row r="44" spans="1:10">
      <c r="A44" s="82">
        <v>8.9926290277777786E-3</v>
      </c>
      <c r="B44" t="s">
        <v>46</v>
      </c>
      <c r="C44" t="s">
        <v>415</v>
      </c>
      <c r="D44" t="s">
        <v>418</v>
      </c>
      <c r="E44" t="s">
        <v>432</v>
      </c>
      <c r="F44" t="s">
        <v>445</v>
      </c>
      <c r="G44" s="96" t="s">
        <v>551</v>
      </c>
      <c r="H44" s="96"/>
      <c r="I44" s="96"/>
    </row>
    <row r="45" spans="1:10">
      <c r="A45" s="82">
        <v>1.1430104513888888E-2</v>
      </c>
      <c r="B45" t="s">
        <v>46</v>
      </c>
      <c r="C45" t="s">
        <v>415</v>
      </c>
      <c r="D45" t="s">
        <v>418</v>
      </c>
      <c r="E45" t="s">
        <v>435</v>
      </c>
      <c r="F45" t="s">
        <v>445</v>
      </c>
      <c r="G45" s="96"/>
      <c r="H45" s="96" t="s">
        <v>551</v>
      </c>
      <c r="I45" s="96"/>
    </row>
    <row r="46" spans="1:10">
      <c r="A46" s="82">
        <v>1.4991888587962963E-2</v>
      </c>
      <c r="B46" t="s">
        <v>46</v>
      </c>
      <c r="C46" t="s">
        <v>414</v>
      </c>
      <c r="D46" t="s">
        <v>417</v>
      </c>
      <c r="E46" t="s">
        <v>440</v>
      </c>
      <c r="F46" t="s">
        <v>445</v>
      </c>
      <c r="G46" s="96" t="s">
        <v>551</v>
      </c>
      <c r="H46" s="96"/>
      <c r="I46" s="96"/>
    </row>
    <row r="47" spans="1:10">
      <c r="A47" s="82">
        <v>1.7616837094907408E-2</v>
      </c>
      <c r="B47" t="s">
        <v>46</v>
      </c>
      <c r="C47" t="s">
        <v>414</v>
      </c>
      <c r="D47" t="s">
        <v>417</v>
      </c>
      <c r="E47" t="s">
        <v>440</v>
      </c>
      <c r="F47" t="s">
        <v>445</v>
      </c>
      <c r="G47" s="96" t="s">
        <v>551</v>
      </c>
      <c r="H47" s="96"/>
      <c r="I47" s="96"/>
    </row>
    <row r="48" spans="1:10">
      <c r="A48" s="82">
        <v>1.8206262638888887E-2</v>
      </c>
      <c r="B48" t="s">
        <v>46</v>
      </c>
      <c r="C48" t="s">
        <v>415</v>
      </c>
      <c r="D48" t="s">
        <v>418</v>
      </c>
      <c r="E48" t="s">
        <v>439</v>
      </c>
      <c r="F48" t="s">
        <v>445</v>
      </c>
      <c r="G48" s="96"/>
      <c r="H48" s="96"/>
      <c r="I48" s="96" t="s">
        <v>551</v>
      </c>
    </row>
    <row r="49" spans="1:9">
      <c r="A49" s="82">
        <v>2.1484715833333334E-2</v>
      </c>
      <c r="B49" t="s">
        <v>46</v>
      </c>
      <c r="C49" t="s">
        <v>415</v>
      </c>
      <c r="D49" t="s">
        <v>418</v>
      </c>
      <c r="E49" t="s">
        <v>440</v>
      </c>
      <c r="F49" t="s">
        <v>445</v>
      </c>
      <c r="G49" s="96"/>
      <c r="H49" s="96"/>
      <c r="I49" s="96" t="s">
        <v>551</v>
      </c>
    </row>
    <row r="50" spans="1:9">
      <c r="A50" s="82">
        <v>2.2415418460648148E-2</v>
      </c>
      <c r="B50" t="s">
        <v>46</v>
      </c>
      <c r="C50" t="s">
        <v>414</v>
      </c>
      <c r="D50" t="s">
        <v>417</v>
      </c>
      <c r="E50" t="s">
        <v>439</v>
      </c>
      <c r="F50" t="s">
        <v>445</v>
      </c>
      <c r="G50" s="96" t="s">
        <v>551</v>
      </c>
      <c r="H50" s="96"/>
      <c r="I50" s="96"/>
    </row>
    <row r="51" spans="1:9">
      <c r="A51" s="82">
        <v>2.3555047881944444E-2</v>
      </c>
      <c r="B51" t="s">
        <v>46</v>
      </c>
      <c r="C51" t="s">
        <v>415</v>
      </c>
      <c r="D51" t="s">
        <v>418</v>
      </c>
      <c r="E51" t="s">
        <v>436</v>
      </c>
      <c r="F51" t="s">
        <v>447</v>
      </c>
      <c r="G51" s="96" t="s">
        <v>551</v>
      </c>
      <c r="H51" s="96"/>
      <c r="I51" s="96"/>
    </row>
    <row r="52" spans="1:9">
      <c r="A52" s="82">
        <v>2.640842709490741E-2</v>
      </c>
      <c r="B52" t="s">
        <v>46</v>
      </c>
      <c r="C52" t="s">
        <v>414</v>
      </c>
      <c r="D52" t="s">
        <v>417</v>
      </c>
      <c r="E52" t="s">
        <v>438</v>
      </c>
      <c r="F52" t="s">
        <v>446</v>
      </c>
      <c r="G52" s="96"/>
      <c r="H52" s="96" t="s">
        <v>551</v>
      </c>
      <c r="I52" s="96"/>
    </row>
    <row r="53" spans="1:9">
      <c r="A53" s="82">
        <v>3.0717190902777778E-2</v>
      </c>
      <c r="B53" t="s">
        <v>46</v>
      </c>
      <c r="C53" t="s">
        <v>414</v>
      </c>
      <c r="D53" t="s">
        <v>417</v>
      </c>
      <c r="E53" t="s">
        <v>434</v>
      </c>
      <c r="F53" t="s">
        <v>445</v>
      </c>
      <c r="G53" s="96"/>
      <c r="H53" s="96"/>
      <c r="I53" s="96" t="s">
        <v>551</v>
      </c>
    </row>
    <row r="54" spans="1:9">
      <c r="A54" s="82">
        <v>3.7276705104166662E-2</v>
      </c>
      <c r="B54" t="s">
        <v>44</v>
      </c>
      <c r="C54" t="s">
        <v>414</v>
      </c>
      <c r="D54" t="s">
        <v>417</v>
      </c>
      <c r="E54" t="s">
        <v>435</v>
      </c>
      <c r="F54" t="s">
        <v>447</v>
      </c>
      <c r="G54" s="96"/>
      <c r="H54" s="96" t="s">
        <v>551</v>
      </c>
      <c r="I54" s="96"/>
    </row>
    <row r="55" spans="1:9">
      <c r="A55" s="82">
        <v>4.0668567824074076E-2</v>
      </c>
      <c r="B55" t="s">
        <v>44</v>
      </c>
      <c r="C55" t="s">
        <v>414</v>
      </c>
      <c r="D55" t="s">
        <v>417</v>
      </c>
      <c r="E55" t="s">
        <v>440</v>
      </c>
      <c r="F55" t="s">
        <v>447</v>
      </c>
      <c r="G55" s="96"/>
      <c r="H55" s="96" t="s">
        <v>551</v>
      </c>
      <c r="I55" s="96"/>
    </row>
    <row r="56" spans="1:9">
      <c r="A56" s="82">
        <v>4.6315894594907404E-2</v>
      </c>
      <c r="B56" t="s">
        <v>44</v>
      </c>
      <c r="C56" t="s">
        <v>414</v>
      </c>
      <c r="D56" t="s">
        <v>417</v>
      </c>
      <c r="E56" t="s">
        <v>441</v>
      </c>
      <c r="F56" t="s">
        <v>447</v>
      </c>
      <c r="G56" s="96"/>
      <c r="H56" s="96" t="s">
        <v>551</v>
      </c>
      <c r="I56" s="96"/>
    </row>
    <row r="57" spans="1:9">
      <c r="A57" s="82">
        <v>5.4593572118055551E-2</v>
      </c>
      <c r="B57" t="s">
        <v>44</v>
      </c>
      <c r="C57" t="s">
        <v>414</v>
      </c>
      <c r="D57" t="s">
        <v>417</v>
      </c>
      <c r="E57" t="s">
        <v>435</v>
      </c>
      <c r="F57" t="s">
        <v>445</v>
      </c>
      <c r="G57" s="96"/>
      <c r="H57" s="96"/>
      <c r="I57" s="96" t="s">
        <v>551</v>
      </c>
    </row>
    <row r="58" spans="1:9">
      <c r="A58" s="82">
        <v>5.5382858182870372E-2</v>
      </c>
      <c r="B58" t="s">
        <v>44</v>
      </c>
      <c r="C58" t="s">
        <v>414</v>
      </c>
      <c r="D58" t="s">
        <v>417</v>
      </c>
      <c r="E58" t="s">
        <v>438</v>
      </c>
      <c r="F58" t="s">
        <v>447</v>
      </c>
      <c r="G58" s="96" t="s">
        <v>551</v>
      </c>
      <c r="H58" s="96"/>
      <c r="I58" s="96"/>
    </row>
    <row r="59" spans="1:9">
      <c r="A59" s="82">
        <v>5.8182367071759257E-2</v>
      </c>
      <c r="B59" t="s">
        <v>44</v>
      </c>
      <c r="C59" t="s">
        <v>414</v>
      </c>
      <c r="D59" t="s">
        <v>417</v>
      </c>
      <c r="E59" t="s">
        <v>437</v>
      </c>
      <c r="F59" t="s">
        <v>445</v>
      </c>
      <c r="G59" s="96"/>
      <c r="H59" s="96"/>
      <c r="I59" s="96" t="s">
        <v>551</v>
      </c>
    </row>
    <row r="60" spans="1:9">
      <c r="A60" s="82"/>
      <c r="G60" s="96"/>
      <c r="H60" s="96"/>
      <c r="I60" s="96"/>
    </row>
    <row r="61" spans="1:9">
      <c r="A61" s="116" t="s">
        <v>478</v>
      </c>
      <c r="B61" s="117" t="s">
        <v>211</v>
      </c>
      <c r="C61" s="117" t="s">
        <v>144</v>
      </c>
      <c r="G61" s="96"/>
      <c r="H61" s="96"/>
      <c r="I61" s="96"/>
    </row>
    <row r="62" spans="1:9">
      <c r="A62" s="118" t="s">
        <v>142</v>
      </c>
      <c r="B62" s="119">
        <f>COUNTIFS(DetailMelees[Introduction pour],"N",DetailMelees[Issue],"G")</f>
        <v>11</v>
      </c>
      <c r="C62" s="119">
        <f>COUNTIFS(DetailMelees[Introduction pour],"N",DetailMelees[Issue],"P")</f>
        <v>0</v>
      </c>
      <c r="G62" s="96"/>
      <c r="H62" s="96"/>
      <c r="I62" s="96"/>
    </row>
    <row r="63" spans="1:9">
      <c r="A63" s="110" t="s">
        <v>173</v>
      </c>
      <c r="B63" s="111">
        <f>COUNTIFS(DetailMelees[Introduction pour],"E",DetailMelees[Issue],"P")</f>
        <v>5</v>
      </c>
      <c r="C63" s="111">
        <f>COUNTIFS(DetailMelees[Introduction pour],"E",DetailMelees[Issue],"G")</f>
        <v>0</v>
      </c>
      <c r="G63" s="96"/>
      <c r="H63" s="96"/>
      <c r="I63" s="96"/>
    </row>
    <row r="64" spans="1:9">
      <c r="G64" s="96"/>
      <c r="H64" s="96"/>
      <c r="I64" s="96"/>
    </row>
    <row r="65" spans="1:9">
      <c r="A65" s="270" t="s">
        <v>508</v>
      </c>
      <c r="B65" s="270"/>
      <c r="G65" s="96"/>
      <c r="H65" s="96"/>
      <c r="I65" s="96"/>
    </row>
    <row r="66" spans="1:9">
      <c r="A66" s="270"/>
      <c r="B66" s="270"/>
      <c r="G66" s="96"/>
      <c r="H66" s="96"/>
      <c r="I66" s="96"/>
    </row>
    <row r="67" spans="1:9">
      <c r="G67" s="96"/>
      <c r="H67" s="96"/>
      <c r="I67" s="96"/>
    </row>
    <row r="68" spans="1:9">
      <c r="G68" s="96"/>
      <c r="H68" s="96"/>
      <c r="I68" s="96"/>
    </row>
    <row r="69" spans="1:9">
      <c r="G69" s="96"/>
      <c r="H69" s="96"/>
      <c r="I69" s="96"/>
    </row>
    <row r="70" spans="1:9">
      <c r="G70" s="96"/>
      <c r="H70" s="96"/>
      <c r="I70" s="96"/>
    </row>
    <row r="71" spans="1:9">
      <c r="G71" s="96"/>
      <c r="H71" s="96"/>
      <c r="I71" s="96"/>
    </row>
    <row r="72" spans="1:9">
      <c r="G72" s="96"/>
      <c r="H72" s="96"/>
      <c r="I72" s="96"/>
    </row>
    <row r="73" spans="1:9">
      <c r="G73" s="96"/>
      <c r="H73" s="96"/>
      <c r="I73" s="96"/>
    </row>
    <row r="74" spans="1:9">
      <c r="G74" s="96"/>
      <c r="H74" s="96"/>
      <c r="I74" s="96"/>
    </row>
  </sheetData>
  <mergeCells count="1">
    <mergeCell ref="A65:B66"/>
  </mergeCells>
  <conditionalFormatting sqref="D60">
    <cfRule type="expression" dxfId="55" priority="7" stopIfTrue="1">
      <formula>($C60&amp;$D60)="NP"</formula>
    </cfRule>
    <cfRule type="expression" dxfId="54" priority="8" stopIfTrue="1">
      <formula>($C60&amp;$D60)="EG"</formula>
    </cfRule>
  </conditionalFormatting>
  <conditionalFormatting sqref="A60:J60 E61:J74">
    <cfRule type="expression" dxfId="53" priority="19" stopIfTrue="1">
      <formula>$C60="N"</formula>
    </cfRule>
    <cfRule type="expression" dxfId="52" priority="20" stopIfTrue="1">
      <formula>$C60&lt;&gt;""</formula>
    </cfRule>
  </conditionalFormatting>
  <conditionalFormatting sqref="D3:D36">
    <cfRule type="expression" dxfId="51" priority="21" stopIfTrue="1">
      <formula>($C3&amp;$D3)="NP"</formula>
    </cfRule>
    <cfRule type="expression" dxfId="50" priority="22" stopIfTrue="1">
      <formula>($C3&amp;$D3)="EG"</formula>
    </cfRule>
  </conditionalFormatting>
  <conditionalFormatting sqref="G3:G36">
    <cfRule type="expression" dxfId="49" priority="23" stopIfTrue="1">
      <formula>$G3="F"</formula>
    </cfRule>
    <cfRule type="expression" dxfId="48" priority="24" stopIfTrue="1">
      <formula>$G3="C"</formula>
    </cfRule>
  </conditionalFormatting>
  <conditionalFormatting sqref="A3:J36">
    <cfRule type="expression" dxfId="47" priority="25" stopIfTrue="1">
      <formula>$C3="N"</formula>
    </cfRule>
    <cfRule type="expression" dxfId="46" priority="26" stopIfTrue="1">
      <formula>$C3&lt;&gt;""</formula>
    </cfRule>
  </conditionalFormatting>
  <conditionalFormatting sqref="D44:D59">
    <cfRule type="expression" dxfId="45" priority="27" stopIfTrue="1">
      <formula>($C44&amp;$D44)="NP"</formula>
    </cfRule>
  </conditionalFormatting>
  <conditionalFormatting sqref="D44:D59">
    <cfRule type="expression" dxfId="44" priority="28" stopIfTrue="1">
      <formula>($C44&amp;$D44)="EG"</formula>
    </cfRule>
  </conditionalFormatting>
  <conditionalFormatting sqref="A44:J59">
    <cfRule type="expression" dxfId="43" priority="29" stopIfTrue="1">
      <formula>$C44="N"</formula>
    </cfRule>
  </conditionalFormatting>
  <conditionalFormatting sqref="A44:J59">
    <cfRule type="expression" dxfId="42" priority="30" stopIfTrue="1">
      <formula>$C44&lt;&gt;""</formula>
    </cfRule>
  </conditionalFormatting>
  <dataValidations count="4">
    <dataValidation type="list" allowBlank="1" showInputMessage="1" showErrorMessage="1" sqref="E44:E74" xr:uid="{64A4C253-AEB6-0746-8088-408393901E28}">
      <formula1>$AB$2:$AB$12</formula1>
    </dataValidation>
    <dataValidation type="list" allowBlank="1" showInputMessage="1" showErrorMessage="1" sqref="C44:C60" xr:uid="{6B585E68-F1A1-7745-9643-1EF0153DEB7E}">
      <formula1>$W$2:$W$3</formula1>
    </dataValidation>
    <dataValidation type="list" allowBlank="1" showInputMessage="1" showErrorMessage="1" sqref="D44:D60" xr:uid="{A6C13FE2-5239-9B4C-9CE1-DC572AA10432}">
      <formula1>$Y$2:$Y$3</formula1>
    </dataValidation>
    <dataValidation type="list" allowBlank="1" showInputMessage="1" showErrorMessage="1" sqref="F44:F74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543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60" t="s">
        <v>534</v>
      </c>
      <c r="N2" t="s">
        <v>153</v>
      </c>
      <c r="Q2" s="18" t="s">
        <v>78</v>
      </c>
      <c r="R2" s="18" t="s">
        <v>8</v>
      </c>
      <c r="AA2" t="s">
        <v>542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60" t="s">
        <v>535</v>
      </c>
      <c r="N3" t="s">
        <v>169</v>
      </c>
      <c r="Q3" s="21" t="s">
        <v>79</v>
      </c>
      <c r="R3" s="21" t="s">
        <v>57</v>
      </c>
      <c r="AA3" t="s">
        <v>541</v>
      </c>
    </row>
    <row r="4" spans="1:27" ht="30" customHeight="1">
      <c r="C4" s="19" t="s">
        <v>189</v>
      </c>
      <c r="D4" s="19"/>
      <c r="F4" s="17" t="s">
        <v>102</v>
      </c>
      <c r="G4" s="5"/>
      <c r="K4" s="160" t="s">
        <v>536</v>
      </c>
      <c r="Q4" s="18" t="s">
        <v>80</v>
      </c>
      <c r="R4" s="18" t="s">
        <v>9</v>
      </c>
      <c r="AA4" t="s">
        <v>540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0" t="s">
        <v>537</v>
      </c>
      <c r="Q5" s="21" t="s">
        <v>81</v>
      </c>
      <c r="R5" s="21" t="s">
        <v>82</v>
      </c>
      <c r="AA5" t="s">
        <v>544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60" t="s">
        <v>538</v>
      </c>
      <c r="Q6" s="18" t="s">
        <v>83</v>
      </c>
      <c r="R6" s="18" t="s">
        <v>84</v>
      </c>
      <c r="AA6" t="s">
        <v>536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60" t="s">
        <v>539</v>
      </c>
      <c r="Q7" s="21" t="s">
        <v>85</v>
      </c>
      <c r="R7" s="21" t="s">
        <v>60</v>
      </c>
      <c r="AA7" t="s">
        <v>547</v>
      </c>
    </row>
    <row r="8" spans="1:27" ht="30" customHeight="1">
      <c r="C8" s="19" t="s">
        <v>191</v>
      </c>
      <c r="D8" s="19"/>
      <c r="F8" s="17" t="s">
        <v>106</v>
      </c>
      <c r="G8" s="2"/>
      <c r="K8" s="160" t="s">
        <v>540</v>
      </c>
      <c r="Q8" s="18" t="s">
        <v>86</v>
      </c>
      <c r="R8" s="18" t="s">
        <v>58</v>
      </c>
      <c r="AA8" t="s">
        <v>600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60" t="s">
        <v>541</v>
      </c>
      <c r="Q9" s="21" t="s">
        <v>87</v>
      </c>
      <c r="R9" s="21" t="s">
        <v>61</v>
      </c>
      <c r="AA9" s="15" t="s">
        <v>497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60" t="s">
        <v>542</v>
      </c>
      <c r="Q10" s="18" t="s">
        <v>88</v>
      </c>
      <c r="R10" s="18" t="s">
        <v>59</v>
      </c>
      <c r="AA10" t="s">
        <v>483</v>
      </c>
    </row>
    <row r="11" spans="1:27" s="15" customFormat="1" ht="30" customHeight="1">
      <c r="D11" s="19"/>
      <c r="F11" s="20" t="s">
        <v>245</v>
      </c>
      <c r="G11" s="83"/>
      <c r="K11" s="160" t="s">
        <v>543</v>
      </c>
      <c r="Q11" s="21" t="s">
        <v>89</v>
      </c>
      <c r="R11" s="21" t="s">
        <v>62</v>
      </c>
      <c r="AA11" s="15" t="s">
        <v>539</v>
      </c>
    </row>
    <row r="12" spans="1:27" ht="30" customHeight="1">
      <c r="C12" s="19" t="s">
        <v>193</v>
      </c>
      <c r="D12" s="19"/>
      <c r="F12" s="17" t="s">
        <v>246</v>
      </c>
      <c r="G12" s="84"/>
      <c r="K12" s="160" t="s">
        <v>544</v>
      </c>
      <c r="Q12" s="21" t="s">
        <v>220</v>
      </c>
      <c r="R12" s="21" t="s">
        <v>221</v>
      </c>
      <c r="AA12" t="s">
        <v>546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60" t="s">
        <v>545</v>
      </c>
      <c r="Q13" s="20" t="s">
        <v>175</v>
      </c>
      <c r="R13" s="65" t="s">
        <v>160</v>
      </c>
      <c r="AA13" s="15" t="s">
        <v>538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60" t="s">
        <v>546</v>
      </c>
      <c r="Q14" s="20" t="s">
        <v>174</v>
      </c>
      <c r="R14" s="65" t="s">
        <v>161</v>
      </c>
      <c r="AA14" t="s">
        <v>535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60" t="s">
        <v>547</v>
      </c>
      <c r="Q15" s="20" t="s">
        <v>90</v>
      </c>
      <c r="R15" s="65" t="s">
        <v>52</v>
      </c>
      <c r="AA15" s="15" t="s">
        <v>545</v>
      </c>
    </row>
    <row r="16" spans="1:27" ht="30" customHeight="1">
      <c r="C16" s="19"/>
      <c r="D16" s="19"/>
      <c r="I16" s="15" t="s">
        <v>120</v>
      </c>
      <c r="K16" s="160" t="s">
        <v>483</v>
      </c>
      <c r="Q16" s="20" t="s">
        <v>91</v>
      </c>
      <c r="R16" s="65" t="s">
        <v>63</v>
      </c>
      <c r="AA16" t="s">
        <v>549</v>
      </c>
    </row>
    <row r="17" spans="3:27" s="15" customFormat="1" ht="30" customHeight="1">
      <c r="C17" s="19" t="s">
        <v>202</v>
      </c>
      <c r="D17" s="19"/>
      <c r="F17" s="15" t="s">
        <v>481</v>
      </c>
      <c r="G17" s="151"/>
      <c r="I17" s="15" t="s">
        <v>121</v>
      </c>
      <c r="K17" s="160" t="s">
        <v>497</v>
      </c>
      <c r="Q17" s="20" t="s">
        <v>92</v>
      </c>
      <c r="R17" s="65" t="s">
        <v>64</v>
      </c>
      <c r="AA17" s="15" t="s">
        <v>534</v>
      </c>
    </row>
    <row r="18" spans="3:27" ht="30" customHeight="1">
      <c r="C18" s="19" t="s">
        <v>203</v>
      </c>
      <c r="D18" s="19"/>
      <c r="F18" s="15" t="s">
        <v>482</v>
      </c>
      <c r="G18" s="150"/>
      <c r="I18" s="15" t="s">
        <v>122</v>
      </c>
      <c r="K18" s="160" t="s">
        <v>548</v>
      </c>
      <c r="Q18" s="20" t="s">
        <v>93</v>
      </c>
      <c r="R18" s="65" t="s">
        <v>65</v>
      </c>
      <c r="AA18" t="s">
        <v>548</v>
      </c>
    </row>
    <row r="19" spans="3:27" ht="30" customHeight="1">
      <c r="C19" s="19" t="s">
        <v>204</v>
      </c>
      <c r="D19" s="19"/>
      <c r="F19" s="15"/>
      <c r="I19" s="15" t="s">
        <v>216</v>
      </c>
      <c r="K19" s="160" t="s">
        <v>549</v>
      </c>
      <c r="Q19" s="20" t="s">
        <v>94</v>
      </c>
      <c r="R19" s="65" t="s">
        <v>56</v>
      </c>
      <c r="AA19" t="s">
        <v>537</v>
      </c>
    </row>
    <row r="20" spans="3:27" ht="30" customHeight="1">
      <c r="C20" s="19" t="s">
        <v>205</v>
      </c>
      <c r="D20" s="19"/>
      <c r="I20" s="15" t="s">
        <v>217</v>
      </c>
      <c r="K20" s="160" t="s">
        <v>550</v>
      </c>
      <c r="Q20" s="20" t="s">
        <v>95</v>
      </c>
      <c r="R20" s="65" t="s">
        <v>53</v>
      </c>
      <c r="AA20" t="s">
        <v>550</v>
      </c>
    </row>
    <row r="21" spans="3:27" ht="30" customHeight="1">
      <c r="C21" s="19" t="s">
        <v>206</v>
      </c>
      <c r="D21" s="19"/>
      <c r="K21" s="160" t="s">
        <v>600</v>
      </c>
      <c r="Q21" s="20" t="s">
        <v>96</v>
      </c>
      <c r="R21" s="65" t="s">
        <v>54</v>
      </c>
      <c r="AA21" t="s">
        <v>42</v>
      </c>
    </row>
    <row r="22" spans="3:27" ht="30" customHeight="1">
      <c r="C22" s="19"/>
      <c r="D22" s="19"/>
      <c r="K22" s="160" t="s">
        <v>42</v>
      </c>
      <c r="Q22" s="20" t="s">
        <v>97</v>
      </c>
      <c r="R22" s="65" t="s">
        <v>49</v>
      </c>
      <c r="AA22" t="s">
        <v>32</v>
      </c>
    </row>
    <row r="23" spans="3:27" ht="30" customHeight="1">
      <c r="C23" s="19"/>
      <c r="D23" s="19"/>
      <c r="K23" s="160" t="s">
        <v>32</v>
      </c>
      <c r="Q23" s="20" t="s">
        <v>98</v>
      </c>
      <c r="R23" s="65" t="s">
        <v>50</v>
      </c>
    </row>
    <row r="24" spans="3:27" ht="30" customHeight="1">
      <c r="C24" s="19"/>
      <c r="D24" s="19"/>
      <c r="Q24" s="20" t="s">
        <v>99</v>
      </c>
      <c r="R24" s="65" t="s">
        <v>37</v>
      </c>
    </row>
    <row r="25" spans="3:27" ht="30" customHeight="1">
      <c r="K25" s="16" t="s">
        <v>409</v>
      </c>
      <c r="Q25" s="20" t="s">
        <v>130</v>
      </c>
      <c r="R25" s="65" t="s">
        <v>132</v>
      </c>
    </row>
    <row r="26" spans="3:27" ht="30" customHeight="1">
      <c r="K26" t="s">
        <v>410</v>
      </c>
      <c r="Q26" s="20" t="s">
        <v>131</v>
      </c>
      <c r="R26" s="65" t="s">
        <v>133</v>
      </c>
    </row>
    <row r="27" spans="3:27" ht="30" customHeight="1">
      <c r="K27" t="s">
        <v>411</v>
      </c>
      <c r="Q27" s="20" t="s">
        <v>134</v>
      </c>
      <c r="R27" s="65" t="s">
        <v>135</v>
      </c>
    </row>
    <row r="28" spans="3:27" ht="30" customHeight="1">
      <c r="Q28" s="20" t="s">
        <v>136</v>
      </c>
      <c r="R28" s="65" t="s">
        <v>137</v>
      </c>
    </row>
    <row r="29" spans="3:27" ht="30" customHeight="1"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488</v>
      </c>
      <c r="R55" s="126" t="s">
        <v>490</v>
      </c>
    </row>
    <row r="56" spans="17:18" ht="30" customHeight="1">
      <c r="Q56" s="127" t="s">
        <v>489</v>
      </c>
      <c r="R56" s="127" t="s">
        <v>491</v>
      </c>
    </row>
    <row r="57" spans="17:18" ht="30" customHeight="1">
      <c r="Q57" s="18" t="s">
        <v>511</v>
      </c>
      <c r="R57" s="18" t="s">
        <v>512</v>
      </c>
    </row>
    <row r="58" spans="17:18" ht="30" customHeight="1">
      <c r="Q58" s="18" t="s">
        <v>513</v>
      </c>
      <c r="R58" s="18" t="s">
        <v>514</v>
      </c>
    </row>
    <row r="59" spans="17:18" ht="30" customHeight="1">
      <c r="Q59" s="18" t="s">
        <v>515</v>
      </c>
      <c r="R59" s="18" t="s">
        <v>516</v>
      </c>
    </row>
    <row r="60" spans="17:18" ht="30" customHeight="1">
      <c r="Q60" s="18" t="s">
        <v>517</v>
      </c>
      <c r="R60" s="18" t="s">
        <v>518</v>
      </c>
    </row>
    <row r="61" spans="17:18" ht="30" customHeight="1">
      <c r="Q61" s="18" t="s">
        <v>519</v>
      </c>
      <c r="R61" s="18" t="s">
        <v>520</v>
      </c>
    </row>
    <row r="62" spans="17:18" ht="30" customHeight="1">
      <c r="Q62" s="18" t="s">
        <v>521</v>
      </c>
      <c r="R62" s="18" t="s">
        <v>522</v>
      </c>
    </row>
    <row r="63" spans="17:18" ht="30" customHeight="1">
      <c r="Q63" s="18" t="s">
        <v>523</v>
      </c>
      <c r="R63" s="18" t="s">
        <v>524</v>
      </c>
    </row>
    <row r="64" spans="17:18" ht="30" customHeight="1">
      <c r="Q64" s="152" t="s">
        <v>525</v>
      </c>
      <c r="R64" s="152" t="s">
        <v>526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1" t="s">
        <v>76</v>
      </c>
      <c r="D5" s="271"/>
      <c r="E5" s="271"/>
      <c r="F5" s="271"/>
      <c r="G5" s="271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0" t="s">
        <v>624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450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452</v>
      </c>
      <c r="C9" s="104" t="s">
        <v>549</v>
      </c>
    </row>
    <row r="10" spans="2:4">
      <c r="B10" s="101" t="s">
        <v>468</v>
      </c>
      <c r="C10" s="104" t="s">
        <v>426</v>
      </c>
    </row>
    <row r="11" spans="2:4">
      <c r="B11" s="101" t="s">
        <v>454</v>
      </c>
      <c r="C11" s="104" t="s">
        <v>474</v>
      </c>
    </row>
    <row r="12" spans="2:4">
      <c r="B12" s="101" t="s">
        <v>455</v>
      </c>
      <c r="C12" s="104" t="s">
        <v>440</v>
      </c>
    </row>
    <row r="13" spans="2:4">
      <c r="B13" s="101" t="s">
        <v>456</v>
      </c>
      <c r="C13" s="104">
        <v>5</v>
      </c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F2B4F116-0C7B-B448-A005-8DAE5BAF2EDA}">
          <x14:formula1>
            <xm:f>Paramètres!$AA$1:$AA$22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40" t="s">
        <v>623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476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459</v>
      </c>
      <c r="C9" s="104" t="s">
        <v>437</v>
      </c>
    </row>
    <row r="10" spans="2:4">
      <c r="B10" s="101" t="s">
        <v>460</v>
      </c>
      <c r="C10" s="104" t="s">
        <v>445</v>
      </c>
    </row>
    <row r="11" spans="2:4">
      <c r="B11" s="101" t="s">
        <v>472</v>
      </c>
      <c r="C11" s="104" t="s">
        <v>466</v>
      </c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topLeftCell="A6" workbookViewId="0">
      <selection activeCell="E32" sqref="E32:H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s="101" customFormat="1" ht="21">
      <c r="B2" s="100" t="s">
        <v>605</v>
      </c>
    </row>
    <row r="4" spans="2:21" s="101" customFormat="1" ht="14" customHeight="1">
      <c r="B4" s="102" t="s">
        <v>449</v>
      </c>
      <c r="C4" s="275"/>
      <c r="D4" s="275"/>
      <c r="E4" s="273" t="s">
        <v>11</v>
      </c>
      <c r="F4" s="273"/>
      <c r="K4" s="278" t="s">
        <v>631</v>
      </c>
      <c r="L4" s="278"/>
      <c r="M4" s="278"/>
      <c r="N4" s="278"/>
      <c r="O4" s="278"/>
      <c r="P4" s="278"/>
      <c r="Q4" s="278"/>
      <c r="R4" s="278"/>
      <c r="S4" s="278"/>
      <c r="T4" s="278"/>
      <c r="U4" s="278"/>
    </row>
    <row r="5" spans="2:21" s="101" customFormat="1" ht="15" customHeight="1">
      <c r="B5" s="102" t="s">
        <v>7</v>
      </c>
      <c r="C5" s="275"/>
      <c r="D5" s="275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</row>
    <row r="6" spans="2:21" s="101" customFormat="1">
      <c r="B6" s="102" t="s">
        <v>479</v>
      </c>
      <c r="C6" s="275"/>
      <c r="D6" s="275"/>
    </row>
    <row r="7" spans="2:21" s="101" customFormat="1" ht="20" customHeight="1">
      <c r="K7" s="280" t="s">
        <v>635</v>
      </c>
      <c r="L7" s="281"/>
      <c r="M7" s="281"/>
      <c r="O7" s="280" t="s">
        <v>636</v>
      </c>
      <c r="P7" s="281"/>
      <c r="Q7" s="281"/>
      <c r="S7" s="280" t="s">
        <v>637</v>
      </c>
      <c r="T7" s="281"/>
      <c r="U7" s="281"/>
    </row>
    <row r="8" spans="2:21" s="101" customFormat="1" ht="10" customHeight="1"/>
    <row r="9" spans="2:21" s="101" customFormat="1" ht="20" customHeight="1">
      <c r="B9" s="282" t="s">
        <v>606</v>
      </c>
      <c r="C9" s="282"/>
      <c r="E9" s="282" t="s">
        <v>612</v>
      </c>
      <c r="F9" s="282"/>
      <c r="H9" s="282" t="s">
        <v>503</v>
      </c>
      <c r="I9" s="282"/>
      <c r="M9" s="280" t="s">
        <v>638</v>
      </c>
      <c r="N9" s="281"/>
      <c r="O9" s="281"/>
      <c r="Q9" s="280" t="s">
        <v>639</v>
      </c>
      <c r="R9" s="281"/>
      <c r="S9" s="281"/>
    </row>
    <row r="10" spans="2:21" s="101" customFormat="1" ht="10" customHeight="1"/>
    <row r="11" spans="2:21" s="101" customFormat="1" ht="20" customHeight="1">
      <c r="B11" s="282" t="s">
        <v>632</v>
      </c>
      <c r="C11" s="282"/>
      <c r="E11" s="282" t="s">
        <v>613</v>
      </c>
      <c r="F11" s="282"/>
      <c r="H11" s="282" t="s">
        <v>504</v>
      </c>
      <c r="I11" s="282"/>
      <c r="K11" s="280" t="s">
        <v>640</v>
      </c>
      <c r="L11" s="281"/>
      <c r="M11" s="281"/>
      <c r="O11" s="280" t="s">
        <v>641</v>
      </c>
      <c r="P11" s="281"/>
      <c r="Q11" s="281"/>
      <c r="S11" s="280" t="s">
        <v>642</v>
      </c>
      <c r="T11" s="281"/>
      <c r="U11" s="281"/>
    </row>
    <row r="12" spans="2:21" s="101" customFormat="1" ht="10" customHeight="1"/>
    <row r="13" spans="2:21" s="101" customFormat="1" ht="20" customHeight="1">
      <c r="B13" s="282" t="s">
        <v>607</v>
      </c>
      <c r="C13" s="282"/>
      <c r="E13" s="282" t="s">
        <v>614</v>
      </c>
      <c r="F13" s="282"/>
      <c r="H13" s="282" t="s">
        <v>505</v>
      </c>
      <c r="I13" s="282"/>
      <c r="M13" s="280" t="s">
        <v>643</v>
      </c>
      <c r="N13" s="281"/>
      <c r="O13" s="281"/>
    </row>
    <row r="14" spans="2:21" s="101" customFormat="1" ht="10" customHeight="1"/>
    <row r="15" spans="2:21" s="101" customFormat="1" ht="20" customHeight="1">
      <c r="B15" s="282" t="s">
        <v>500</v>
      </c>
      <c r="C15" s="282"/>
      <c r="E15" s="282" t="s">
        <v>615</v>
      </c>
      <c r="F15" s="282"/>
      <c r="H15" s="282" t="s">
        <v>506</v>
      </c>
      <c r="I15" s="282"/>
      <c r="P15" s="280" t="s">
        <v>644</v>
      </c>
      <c r="Q15" s="281"/>
      <c r="R15" s="281"/>
    </row>
    <row r="16" spans="2:21" s="101" customFormat="1" ht="10" customHeight="1"/>
    <row r="17" spans="2:21" s="101" customFormat="1" ht="20" customHeight="1">
      <c r="B17" s="282" t="s">
        <v>608</v>
      </c>
      <c r="C17" s="282"/>
      <c r="E17" s="282" t="s">
        <v>501</v>
      </c>
      <c r="F17" s="282"/>
      <c r="H17" s="282" t="s">
        <v>507</v>
      </c>
      <c r="I17" s="282"/>
      <c r="M17" s="280" t="s">
        <v>645</v>
      </c>
      <c r="N17" s="281"/>
      <c r="O17" s="281"/>
      <c r="Q17" s="280" t="s">
        <v>646</v>
      </c>
      <c r="R17" s="281"/>
      <c r="S17" s="281"/>
    </row>
    <row r="18" spans="2:21" s="101" customFormat="1" ht="10" customHeight="1"/>
    <row r="19" spans="2:21" s="101" customFormat="1" ht="20" customHeight="1">
      <c r="E19" s="282" t="s">
        <v>616</v>
      </c>
      <c r="F19" s="282"/>
      <c r="H19" s="282" t="s">
        <v>621</v>
      </c>
      <c r="I19" s="282"/>
      <c r="K19" s="280" t="s">
        <v>647</v>
      </c>
      <c r="L19" s="281"/>
      <c r="M19" s="281"/>
      <c r="O19" s="280" t="s">
        <v>648</v>
      </c>
      <c r="P19" s="281"/>
      <c r="Q19" s="281"/>
      <c r="S19" s="280" t="s">
        <v>649</v>
      </c>
      <c r="T19" s="281"/>
      <c r="U19" s="281"/>
    </row>
    <row r="20" spans="2:21" s="101" customFormat="1" ht="10" customHeight="1"/>
    <row r="21" spans="2:21" s="101" customFormat="1" ht="20" customHeight="1">
      <c r="B21" s="282" t="s">
        <v>609</v>
      </c>
      <c r="C21" s="282"/>
      <c r="E21" s="282" t="s">
        <v>617</v>
      </c>
      <c r="F21" s="282"/>
      <c r="H21" s="282" t="s">
        <v>633</v>
      </c>
      <c r="I21" s="282"/>
      <c r="K21" s="280" t="s">
        <v>42</v>
      </c>
      <c r="L21" s="281"/>
      <c r="M21" s="281"/>
      <c r="S21" s="280" t="s">
        <v>32</v>
      </c>
      <c r="T21" s="281"/>
      <c r="U21" s="281"/>
    </row>
    <row r="22" spans="2:21" s="101" customFormat="1" ht="10" customHeight="1"/>
    <row r="23" spans="2:21" s="101" customFormat="1" ht="20" customHeight="1">
      <c r="B23" s="282" t="s">
        <v>610</v>
      </c>
      <c r="C23" s="282"/>
      <c r="E23" s="282" t="s">
        <v>618</v>
      </c>
      <c r="F23" s="282"/>
      <c r="H23" s="282" t="s">
        <v>499</v>
      </c>
      <c r="I23" s="282"/>
    </row>
    <row r="24" spans="2:21" s="101" customFormat="1" ht="10" customHeight="1"/>
    <row r="25" spans="2:21" s="101" customFormat="1" ht="20" customHeight="1">
      <c r="B25" s="282" t="s">
        <v>611</v>
      </c>
      <c r="C25" s="282"/>
      <c r="E25" s="282" t="s">
        <v>502</v>
      </c>
      <c r="F25" s="282"/>
      <c r="H25" s="282" t="s">
        <v>156</v>
      </c>
      <c r="I25" s="282"/>
    </row>
    <row r="26" spans="2:21" s="101" customFormat="1" ht="10" customHeight="1"/>
    <row r="27" spans="2:21" s="101" customFormat="1" ht="20" customHeight="1">
      <c r="B27" s="282" t="s">
        <v>167</v>
      </c>
      <c r="C27" s="282"/>
      <c r="E27" s="282" t="s">
        <v>619</v>
      </c>
      <c r="F27" s="282"/>
      <c r="H27" s="282" t="s">
        <v>622</v>
      </c>
      <c r="I27" s="282"/>
    </row>
    <row r="28" spans="2:21" s="101" customFormat="1" ht="10" customHeight="1"/>
    <row r="29" spans="2:21" s="101" customFormat="1" ht="20" customHeight="1">
      <c r="B29" s="282" t="s">
        <v>32</v>
      </c>
      <c r="C29" s="282"/>
      <c r="E29" s="282" t="s">
        <v>620</v>
      </c>
      <c r="F29" s="282"/>
      <c r="H29" s="282" t="s">
        <v>634</v>
      </c>
      <c r="I29" s="282"/>
    </row>
    <row r="30" spans="2:21" s="101" customFormat="1" ht="10" customHeight="1"/>
    <row r="31" spans="2:21" s="101" customFormat="1" ht="9" customHeight="1"/>
    <row r="32" spans="2:21" s="101" customFormat="1" ht="26" customHeight="1">
      <c r="B32" s="272" t="s">
        <v>470</v>
      </c>
      <c r="C32" s="272"/>
      <c r="D32" s="123"/>
      <c r="E32" s="273" t="s">
        <v>480</v>
      </c>
      <c r="F32" s="273"/>
      <c r="G32" s="273"/>
      <c r="H32" s="273"/>
      <c r="I32" s="123"/>
    </row>
  </sheetData>
  <mergeCells count="56">
    <mergeCell ref="B11:C11"/>
    <mergeCell ref="B27:C27"/>
    <mergeCell ref="B29:C29"/>
    <mergeCell ref="H21:I21"/>
    <mergeCell ref="E29:F29"/>
    <mergeCell ref="H13:I13"/>
    <mergeCell ref="H19:I19"/>
    <mergeCell ref="H23:I23"/>
    <mergeCell ref="H25:I25"/>
    <mergeCell ref="H27:I27"/>
    <mergeCell ref="H29:I29"/>
    <mergeCell ref="E19:F19"/>
    <mergeCell ref="E17:F17"/>
    <mergeCell ref="E15:F15"/>
    <mergeCell ref="H15:I15"/>
    <mergeCell ref="B21:C21"/>
    <mergeCell ref="B25:C25"/>
    <mergeCell ref="E21:F21"/>
    <mergeCell ref="E25:F25"/>
    <mergeCell ref="E27:F27"/>
    <mergeCell ref="E23:F23"/>
    <mergeCell ref="E11:F11"/>
    <mergeCell ref="K4:U5"/>
    <mergeCell ref="S7:U7"/>
    <mergeCell ref="M9:O9"/>
    <mergeCell ref="Q9:S9"/>
    <mergeCell ref="K11:M11"/>
    <mergeCell ref="O11:Q11"/>
    <mergeCell ref="S11:U11"/>
    <mergeCell ref="K7:M7"/>
    <mergeCell ref="O7:Q7"/>
    <mergeCell ref="M13:O13"/>
    <mergeCell ref="P15:R15"/>
    <mergeCell ref="M17:O17"/>
    <mergeCell ref="Q17:S17"/>
    <mergeCell ref="K21:M21"/>
    <mergeCell ref="S21:U21"/>
    <mergeCell ref="S19:U19"/>
    <mergeCell ref="K19:M19"/>
    <mergeCell ref="O19:Q19"/>
    <mergeCell ref="B32:C32"/>
    <mergeCell ref="E32:H32"/>
    <mergeCell ref="E4:F4"/>
    <mergeCell ref="B23:C23"/>
    <mergeCell ref="C4:D4"/>
    <mergeCell ref="C5:D5"/>
    <mergeCell ref="C6:D6"/>
    <mergeCell ref="B9:C9"/>
    <mergeCell ref="B17:C17"/>
    <mergeCell ref="B15:C15"/>
    <mergeCell ref="B13:C13"/>
    <mergeCell ref="E13:F13"/>
    <mergeCell ref="E9:F9"/>
    <mergeCell ref="H9:I9"/>
    <mergeCell ref="H17:I17"/>
    <mergeCell ref="H11:I1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565</v>
      </c>
      <c r="L1" s="101" t="s">
        <v>563</v>
      </c>
    </row>
    <row r="2" spans="2:12" ht="21">
      <c r="B2" s="100" t="s">
        <v>484</v>
      </c>
      <c r="J2" s="101" t="s">
        <v>567</v>
      </c>
      <c r="L2" s="101" t="s">
        <v>564</v>
      </c>
    </row>
    <row r="3" spans="2:12">
      <c r="J3" s="101" t="s">
        <v>568</v>
      </c>
      <c r="L3" s="101" t="s">
        <v>566</v>
      </c>
    </row>
    <row r="4" spans="2:12">
      <c r="B4" s="102" t="s">
        <v>449</v>
      </c>
      <c r="D4" s="140" t="s">
        <v>625</v>
      </c>
      <c r="E4" s="106" t="s">
        <v>11</v>
      </c>
      <c r="J4" s="101" t="s">
        <v>569</v>
      </c>
      <c r="L4" s="101" t="s">
        <v>573</v>
      </c>
    </row>
    <row r="5" spans="2:12">
      <c r="B5" s="120" t="s">
        <v>487</v>
      </c>
      <c r="D5" s="124">
        <v>72</v>
      </c>
      <c r="J5" s="101" t="s">
        <v>570</v>
      </c>
      <c r="L5" s="101" t="s">
        <v>577</v>
      </c>
    </row>
    <row r="6" spans="2:12">
      <c r="J6" s="101" t="s">
        <v>571</v>
      </c>
      <c r="L6" s="101">
        <v>21</v>
      </c>
    </row>
    <row r="7" spans="2:12">
      <c r="B7" s="120" t="s">
        <v>485</v>
      </c>
      <c r="D7" s="120" t="s">
        <v>486</v>
      </c>
      <c r="J7" s="101" t="s">
        <v>572</v>
      </c>
      <c r="L7" s="101">
        <v>22</v>
      </c>
    </row>
    <row r="8" spans="2:12">
      <c r="B8" s="125" t="s">
        <v>568</v>
      </c>
      <c r="D8" s="125" t="s">
        <v>564</v>
      </c>
      <c r="J8" s="101" t="s">
        <v>574</v>
      </c>
    </row>
    <row r="9" spans="2:12">
      <c r="B9" s="125"/>
      <c r="D9" s="125"/>
      <c r="J9" s="101" t="s">
        <v>575</v>
      </c>
    </row>
    <row r="10" spans="2:12">
      <c r="B10" s="125"/>
      <c r="D10" s="125"/>
      <c r="J10" s="101" t="s">
        <v>576</v>
      </c>
    </row>
    <row r="11" spans="2:12">
      <c r="B11" s="125"/>
      <c r="D11" s="125"/>
      <c r="J11" s="101" t="s">
        <v>578</v>
      </c>
    </row>
    <row r="12" spans="2:12">
      <c r="B12" s="125"/>
      <c r="D12" s="125"/>
      <c r="J12" s="101" t="s">
        <v>579</v>
      </c>
    </row>
    <row r="13" spans="2:12">
      <c r="J13" s="101" t="s">
        <v>580</v>
      </c>
    </row>
    <row r="14" spans="2:12" ht="26" customHeight="1">
      <c r="B14" s="105" t="s">
        <v>470</v>
      </c>
      <c r="C14" s="123"/>
      <c r="D14" s="106" t="s">
        <v>469</v>
      </c>
      <c r="J14" s="101" t="s">
        <v>581</v>
      </c>
    </row>
    <row r="15" spans="2:12">
      <c r="J15" s="101" t="s">
        <v>601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527</v>
      </c>
    </row>
    <row r="4" spans="2:8">
      <c r="B4" s="102" t="s">
        <v>528</v>
      </c>
      <c r="C4" s="274" t="s">
        <v>599</v>
      </c>
      <c r="D4" s="275"/>
      <c r="G4" s="273" t="s">
        <v>11</v>
      </c>
      <c r="H4" s="273"/>
    </row>
    <row r="5" spans="2:8">
      <c r="B5" s="102" t="s">
        <v>7</v>
      </c>
      <c r="C5" s="275" t="s">
        <v>44</v>
      </c>
      <c r="D5" s="275"/>
    </row>
    <row r="7" spans="2:8" ht="22" customHeight="1">
      <c r="B7" s="278" t="s">
        <v>529</v>
      </c>
      <c r="C7" s="278"/>
      <c r="D7" s="278"/>
      <c r="E7" s="278"/>
      <c r="F7" s="278"/>
      <c r="G7" s="278"/>
      <c r="H7" s="278"/>
    </row>
    <row r="9" spans="2:8" ht="22" customHeight="1">
      <c r="B9" s="276" t="s">
        <v>602</v>
      </c>
      <c r="C9" s="276"/>
      <c r="D9" s="276"/>
      <c r="E9" s="276"/>
      <c r="F9" s="276"/>
      <c r="G9" s="276"/>
      <c r="H9" s="276"/>
    </row>
    <row r="10" spans="2:8" ht="8" customHeight="1"/>
    <row r="11" spans="2:8" ht="22" customHeight="1">
      <c r="B11" s="277"/>
      <c r="C11" s="277"/>
      <c r="D11" s="277"/>
      <c r="E11" s="277"/>
      <c r="F11" s="277"/>
      <c r="G11" s="277"/>
      <c r="H11" s="277"/>
    </row>
    <row r="12" spans="2:8" ht="8" customHeight="1"/>
    <row r="13" spans="2:8" ht="22" customHeight="1">
      <c r="B13" s="279"/>
      <c r="C13" s="279"/>
      <c r="D13" s="279"/>
      <c r="E13" s="279"/>
      <c r="F13" s="279"/>
      <c r="G13" s="279"/>
      <c r="H13" s="279"/>
    </row>
    <row r="14" spans="2:8" ht="8" customHeight="1"/>
    <row r="15" spans="2:8" ht="22" customHeight="1">
      <c r="B15" s="279"/>
      <c r="C15" s="279"/>
      <c r="D15" s="279"/>
      <c r="E15" s="279"/>
      <c r="F15" s="279"/>
      <c r="G15" s="279"/>
      <c r="H15" s="279"/>
    </row>
    <row r="16" spans="2:8" ht="8" customHeight="1"/>
    <row r="17" spans="2:8" ht="22" customHeight="1">
      <c r="B17" s="279"/>
      <c r="C17" s="279"/>
      <c r="D17" s="279"/>
      <c r="E17" s="279"/>
      <c r="F17" s="279"/>
      <c r="G17" s="279"/>
      <c r="H17" s="279"/>
    </row>
    <row r="18" spans="2:8" ht="8" customHeight="1"/>
    <row r="19" spans="2:8" ht="22" customHeight="1">
      <c r="B19" s="279"/>
      <c r="C19" s="279"/>
      <c r="D19" s="279"/>
      <c r="E19" s="279"/>
      <c r="F19" s="279"/>
      <c r="G19" s="279"/>
      <c r="H19" s="279"/>
    </row>
    <row r="20" spans="2:8" ht="8" customHeight="1"/>
    <row r="21" spans="2:8" ht="22" customHeight="1">
      <c r="B21" s="279"/>
      <c r="C21" s="279"/>
      <c r="D21" s="279"/>
      <c r="E21" s="279"/>
      <c r="F21" s="279"/>
      <c r="G21" s="279"/>
      <c r="H21" s="279"/>
    </row>
    <row r="22" spans="2:8" ht="8" customHeight="1"/>
    <row r="23" spans="2:8" ht="22" customHeight="1">
      <c r="B23" s="279"/>
      <c r="C23" s="279"/>
      <c r="D23" s="279"/>
      <c r="E23" s="279"/>
      <c r="F23" s="279"/>
      <c r="G23" s="279"/>
      <c r="H23" s="279"/>
    </row>
    <row r="24" spans="2:8" ht="8" customHeight="1"/>
    <row r="25" spans="2:8" ht="22" customHeight="1">
      <c r="B25" s="279"/>
      <c r="C25" s="279"/>
      <c r="D25" s="279"/>
      <c r="E25" s="279"/>
      <c r="F25" s="279"/>
      <c r="G25" s="279"/>
      <c r="H25" s="279"/>
    </row>
    <row r="26" spans="2:8" ht="8" customHeight="1"/>
    <row r="27" spans="2:8" ht="22" customHeight="1">
      <c r="B27" s="279"/>
      <c r="C27" s="279"/>
      <c r="D27" s="279"/>
      <c r="E27" s="279"/>
      <c r="F27" s="279"/>
      <c r="G27" s="279"/>
      <c r="H27" s="279"/>
    </row>
    <row r="28" spans="2:8" ht="8" customHeight="1"/>
    <row r="29" spans="2:8" ht="26" customHeight="1">
      <c r="B29" s="272" t="s">
        <v>470</v>
      </c>
      <c r="C29" s="272"/>
      <c r="D29" s="123"/>
      <c r="E29" s="273" t="s">
        <v>480</v>
      </c>
      <c r="F29" s="273"/>
      <c r="G29" s="273"/>
      <c r="H29" s="273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2026-10-07T15:54:09Z</cp:lastPrinted>
  <dcterms:created xsi:type="dcterms:W3CDTF">2026-07-02T15:37:39Z</dcterms:created>
  <dcterms:modified xsi:type="dcterms:W3CDTF">2026-10-07T16:58:56Z</dcterms:modified>
</cp:coreProperties>
</file>