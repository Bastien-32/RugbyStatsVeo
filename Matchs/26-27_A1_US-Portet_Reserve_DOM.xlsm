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C34C8F9C-E929-F345-8F7D-9973229EC11D}" xr6:coauthVersionLast="47" xr6:coauthVersionMax="47" xr10:uidLastSave="{00000000-0000-0000-0000-000000000000}"/>
  <bookViews>
    <workbookView xWindow="360" yWindow="4120" windowWidth="27640" windowHeight="17960" activeTab="4" xr2:uid="{CA3281CD-E929-5A4C-AD72-41641DB20957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7" i="12" l="1"/>
  <c r="B3" i="12"/>
  <c r="F70" i="3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66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4" i="12"/>
  <c r="H64" i="12"/>
  <c r="E64" i="12"/>
  <c r="C64" i="12"/>
  <c r="D88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4" i="12"/>
  <c r="G22" i="12"/>
  <c r="U31" i="12"/>
  <c r="M31" i="12"/>
  <c r="H72" i="12"/>
  <c r="D80" i="12"/>
  <c r="C87" i="12"/>
  <c r="E31" i="12"/>
  <c r="I72" i="12"/>
  <c r="C81" i="12"/>
  <c r="D87" i="12"/>
  <c r="F31" i="12"/>
  <c r="H73" i="12"/>
  <c r="D81" i="12"/>
  <c r="C89" i="12"/>
  <c r="H67" i="12"/>
  <c r="C74" i="12"/>
  <c r="H81" i="12"/>
  <c r="D89" i="12"/>
  <c r="N31" i="12"/>
  <c r="C68" i="12"/>
  <c r="D74" i="12"/>
  <c r="I81" i="12"/>
  <c r="D68" i="12"/>
  <c r="C75" i="12"/>
  <c r="H82" i="12"/>
  <c r="C69" i="12"/>
  <c r="D75" i="12"/>
  <c r="C83" i="12"/>
  <c r="D69" i="12"/>
  <c r="C77" i="12"/>
  <c r="D83" i="12"/>
  <c r="M30" i="12"/>
  <c r="C71" i="12"/>
  <c r="D77" i="12"/>
  <c r="C84" i="12"/>
  <c r="D71" i="12"/>
  <c r="C78" i="12"/>
  <c r="D84" i="12"/>
  <c r="C72" i="12"/>
  <c r="D78" i="12"/>
  <c r="C86" i="12"/>
  <c r="D72" i="12"/>
  <c r="C80" i="12"/>
  <c r="D86" i="12"/>
  <c r="H76" i="12"/>
  <c r="H85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7" i="12"/>
  <c r="I76" i="12"/>
  <c r="I85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8" i="12"/>
  <c r="H87" i="12"/>
  <c r="K86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9" i="12"/>
  <c r="I78" i="12"/>
  <c r="I87" i="12"/>
  <c r="U13" i="12"/>
  <c r="G28" i="12"/>
  <c r="H12" i="12"/>
  <c r="I82" i="12"/>
  <c r="K89" i="12"/>
  <c r="J89" i="12"/>
  <c r="K88" i="12"/>
  <c r="J88" i="12"/>
  <c r="G14" i="12"/>
  <c r="H70" i="12"/>
  <c r="H79" i="12"/>
  <c r="H88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3" i="12"/>
  <c r="L31" i="12"/>
  <c r="K31" i="12"/>
  <c r="Z10" i="12"/>
  <c r="U15" i="12"/>
  <c r="K20" i="12"/>
  <c r="F25" i="12"/>
  <c r="K28" i="12"/>
  <c r="I70" i="12"/>
  <c r="I79" i="12"/>
  <c r="I88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5" i="12"/>
  <c r="K10" i="12"/>
  <c r="F15" i="12"/>
  <c r="K18" i="12"/>
  <c r="U21" i="12"/>
  <c r="Z24" i="12"/>
  <c r="U29" i="12"/>
  <c r="F88" i="12"/>
  <c r="E88" i="12"/>
  <c r="F89" i="12"/>
  <c r="E89" i="12"/>
  <c r="W13" i="12"/>
  <c r="M15" i="12"/>
  <c r="C17" i="12"/>
  <c r="L18" i="12"/>
  <c r="W21" i="12"/>
  <c r="M23" i="12"/>
  <c r="C25" i="12"/>
  <c r="L26" i="12"/>
  <c r="H28" i="12"/>
  <c r="W29" i="12"/>
  <c r="I89" i="12"/>
  <c r="H89" i="12"/>
  <c r="Y10" i="12"/>
  <c r="I12" i="12"/>
  <c r="N15" i="12"/>
  <c r="E17" i="12"/>
  <c r="N23" i="12"/>
  <c r="H69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5" i="12"/>
  <c r="I84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87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E68" i="12"/>
  <c r="J69" i="12"/>
  <c r="J72" i="12"/>
  <c r="J75" i="12"/>
  <c r="E77" i="12"/>
  <c r="J78" i="12"/>
  <c r="E80" i="12"/>
  <c r="J81" i="12"/>
  <c r="E83" i="12"/>
  <c r="J84" i="12"/>
  <c r="E86" i="12"/>
  <c r="J87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K87" i="12"/>
  <c r="E74" i="12"/>
  <c r="C67" i="12"/>
  <c r="H68" i="12"/>
  <c r="C70" i="12"/>
  <c r="H71" i="12"/>
  <c r="C73" i="12"/>
  <c r="H74" i="12"/>
  <c r="C76" i="12"/>
  <c r="H77" i="12"/>
  <c r="C79" i="12"/>
  <c r="H80" i="12"/>
  <c r="C82" i="12"/>
  <c r="H83" i="12"/>
  <c r="C85" i="12"/>
  <c r="H86" i="12"/>
  <c r="C88" i="12"/>
  <c r="E71" i="12"/>
  <c r="D67" i="12"/>
  <c r="I68" i="12"/>
  <c r="D70" i="12"/>
  <c r="I71" i="12"/>
  <c r="D73" i="12"/>
  <c r="I74" i="12"/>
  <c r="D76" i="12"/>
  <c r="I77" i="12"/>
  <c r="D79" i="12"/>
  <c r="I80" i="12"/>
  <c r="D82" i="12"/>
  <c r="I83" i="12"/>
  <c r="D85" i="12"/>
  <c r="I86" i="12"/>
  <c r="E67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30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B66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6" i="12"/>
  <c r="D90" i="12" s="1"/>
  <c r="C66" i="12"/>
  <c r="C90" i="12" s="1"/>
  <c r="J66" i="12"/>
  <c r="J90" i="12" s="1"/>
  <c r="K66" i="12"/>
  <c r="K90" i="12" s="1"/>
  <c r="F66" i="12"/>
  <c r="F90" i="12" s="1"/>
  <c r="E66" i="12"/>
  <c r="E90" i="12" s="1"/>
  <c r="I66" i="12"/>
  <c r="I90" i="12" s="1"/>
  <c r="H66" i="12"/>
  <c r="H90" i="12" s="1"/>
  <c r="Q33" i="12" l="1"/>
  <c r="S33" i="12"/>
  <c r="O33" i="12"/>
  <c r="I33" i="12"/>
  <c r="E91" i="12"/>
  <c r="M33" i="12"/>
  <c r="K33" i="12"/>
  <c r="C91" i="12"/>
  <c r="G33" i="12"/>
  <c r="E33" i="12"/>
  <c r="J91" i="12"/>
  <c r="H91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<sst xmlns="http://schemas.openxmlformats.org/spreadsheetml/2006/main" count="5111" uniqueCount="521">
  <si>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</si>
  <si>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</si>
  <si>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</si>
  <si>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</si>
  <si>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</si>
  <si>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</si>
  <si>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</si>
  <si>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</si>
  <si>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</si>
  <si>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</si>
  <si>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</si>
  <si>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</si>
  <si>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</si>
  <si>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</si>
  <si>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</si>
  <si>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</si>
  <si>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</si>
  <si>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</si>
  <si>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</si>
  <si>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</si>
  <si>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</si>
  <si>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</si>
  <si>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</si>
  <si>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</si>
  <si>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</si>
  <si>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</si>
  <si>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</si>
  <si>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</si>
  <si>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</si>
  <si>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</si>
  <si>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</si>
  <si>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</si>
  <si>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</si>
  <si>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</si>
  <si>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</si>
  <si>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</si>
  <si>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</si>
  <si>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</si>
  <si>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</si>
  <si>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</si>
  <si>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</si>
  <si>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</si>
  <si>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</si>
  <si>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</si>
  <si>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</si>
  <si>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</si>
  <si>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</si>
  <si>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</si>
  <si>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</si>
  <si>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</si>
  <si>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</si>
  <si>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</si>
  <si>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</si>
  <si>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</si>
  <si>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</si>
  <si>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</si>
  <si>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</si>
  <si>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</si>
  <si>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</si>
  <si>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</si>
  <si>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</si>
  <si>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</si>
  <si>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</si>
  <si>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</si>
  <si>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</si>
  <si>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</si>
  <si>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</si>
  <si>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</si>
  <si>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</si>
  <si>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</si>
  <si>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</si>
  <si>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</si>
  <si>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</si>
  <si>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</si>
  <si>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</si>
  <si>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</si>
  <si>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</si>
  <si>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</si>
  <si>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</si>
  <si>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</si>
  <si>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</si>
  <si>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</si>
  <si>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</si>
  <si>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</si>
  <si>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</si>
  <si>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</si>
  <si>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</si>
  <si>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</si>
  <si>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</si>
  <si>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</si>
  <si>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</si>
  <si>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</si>
  <si>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</si>
  <si>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</si>
  <si>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</si>
  <si>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</si>
  <si>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</si>
  <si>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</si>
  <si>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</si>
  <si>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</si>
  <si>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</si>
  <si>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</si>
  <si>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</si>
  <si>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</si>
  <si>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</si>
  <si>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</si>
  <si>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</si>
  <si>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</si>
  <si>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</si>
  <si>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</si>
  <si>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</si>
  <si>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</si>
  <si>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</si>
  <si>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</si>
  <si>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</si>
  <si>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</si>
  <si>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</si>
  <si>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</si>
  <si>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</si>
  <si>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</si>
  <si>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</si>
  <si>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</si>
  <si>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</si>
  <si>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</si>
  <si>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</si>
  <si>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</si>
  <si>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</si>
  <si>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</si>
  <si>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</si>
  <si>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</si>
  <si>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</si>
  <si>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</si>
  <si>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</si>
  <si>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</si>
  <si>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</si>
  <si>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</si>
  <si>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</si>
  <si>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</si>
  <si>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</si>
  <si>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</si>
  <si>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</si>
  <si>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</si>
  <si>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</si>
  <si>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</si>
  <si>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</si>
  <si>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</si>
  <si>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</si>
  <si>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</si>
  <si>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</si>
  <si>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</si>
  <si>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</si>
  <si>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</si>
  <si>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</si>
  <si>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</si>
  <si>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</si>
  <si>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</si>
  <si>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</si>
  <si>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</si>
  <si>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</si>
  <si>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</si>
  <si>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</si>
  <si>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</si>
  <si>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</si>
  <si>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</si>
  <si>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</si>
  <si>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</si>
  <si>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</si>
  <si>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</si>
  <si>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</si>
  <si>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</si>
  <si>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</si>
  <si>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</si>
  <si>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</si>
  <si>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</si>
  <si>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</si>
  <si>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</si>
  <si>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</si>
  <si>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</si>
  <si>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</si>
  <si>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</si>
  <si>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</si>
  <si>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</si>
  <si>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</si>
  <si>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</si>
  <si>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</si>
  <si>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</si>
  <si>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</si>
  <si>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</si>
  <si>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</si>
  <si>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</si>
  <si>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</si>
  <si>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</si>
  <si>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</si>
  <si>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</si>
  <si>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</si>
  <si>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</si>
  <si>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</si>
  <si>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</si>
  <si>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</si>
  <si>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</si>
  <si>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</si>
  <si>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</si>
  <si>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</si>
  <si>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</si>
  <si>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</si>
  <si>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</si>
  <si>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</si>
  <si>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</si>
  <si>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</si>
  <si>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</si>
  <si>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</si>
  <si>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</si>
  <si>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</si>
  <si>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</si>
  <si>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</si>
  <si>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</si>
  <si>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</si>
  <si>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</si>
  <si>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</si>
  <si>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</si>
  <si>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</si>
  <si>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</si>
  <si>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</si>
  <si>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</si>
  <si>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</si>
  <si>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</si>
  <si>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</si>
  <si>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</si>
  <si>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</si>
  <si>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</si>
  <si>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</si>
  <si>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</si>
  <si>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</si>
  <si>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</si>
  <si>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</si>
  <si>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</si>
  <si>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</si>
  <si>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</si>
  <si>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</si>
  <si>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</si>
  <si>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</si>
  <si>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</si>
  <si>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</si>
  <si>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</si>
  <si>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</si>
  <si>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</si>
  <si>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</si>
  <si>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</si>
  <si>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</si>
  <si>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</si>
  <si>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</si>
  <si>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</si>
  <si>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</si>
  <si>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</si>
  <si>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</si>
  <si>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</si>
  <si>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</si>
  <si>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</si>
  <si>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</si>
  <si>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</si>
  <si>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</si>
  <si>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</si>
  <si>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</si>
  <si>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</si>
  <si>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</si>
  <si>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</si>
  <si>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</si>
  <si>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</si>
  <si>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</si>
  <si>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</si>
  <si>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</si>
  <si>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</si>
  <si>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</si>
  <si>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</si>
  <si>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</si>
  <si>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</si>
  <si>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</si>
  <si>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</si>
  <si>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</si>
  <si>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</si>
  <si>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</si>
  <si>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</si>
  <si>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</si>
  <si>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</si>
  <si>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</si>
  <si>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</si>
  <si>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</si>
  <si>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</si>
  <si>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</si>
  <si>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</si>
  <si>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</si>
  <si>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</si>
  <si>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</si>
  <si>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</si>
  <si>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</si>
  <si>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</si>
  <si>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</si>
  <si>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</si>
  <si>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</si>
  <si>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</si>
  <si>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</si>
  <si>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</si>
  <si>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</si>
  <si>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</si>
  <si>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</si>
  <si>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</si>
  <si>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</si>
  <si>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</si>
  <si>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</si>
  <si>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</si>
  <si>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</si>
  <si>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</si>
  <si>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</si>
  <si>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</si>
  <si>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</si>
  <si>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</si>
  <si>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</si>
  <si>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</si>
  <si>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</si>
  <si>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</si>
  <si>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</si>
  <si>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</si>
  <si>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</si>
  <si>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</si>
  <si>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</si>
  <si>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</si>
  <si>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</si>
  <si>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</si>
  <si>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</si>
  <si>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</si>
  <si>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</si>
  <si>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</si>
  <si>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</si>
  <si>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</si>
  <si>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</si>
  <si>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</si>
  <si>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</si>
  <si>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</si>
  <si>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</si>
  <si>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</si>
  <si>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</si>
  <si>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</si>
  <si>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</si>
  <si>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</si>
  <si>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</si>
  <si>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</si>
  <si>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</si>
  <si>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</si>
  <si>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</si>
  <si>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</si>
  <si>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</si>
  <si>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</si>
  <si>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</si>
  <si>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</si>
  <si>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</si>
  <si>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</si>
  <si>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</si>
  <si>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</si>
  <si>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</si>
  <si>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</si>
  <si>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</si>
  <si>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</si>
  <si>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</si>
  <si>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</si>
  <si>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</si>
  <si>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</si>
  <si>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</si>
  <si>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</si>
  <si>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</si>
  <si>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</si>
  <si>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</si>
  <si>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</si>
  <si>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</si>
  <si>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</si>
  <si>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</si>
  <si>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</si>
  <si>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</si>
  <si>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</si>
  <si>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</si>
  <si>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</si>
  <si>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</si>
  <si>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</si>
  <si>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</si>
  <si>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</si>
  <si>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</si>
  <si>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</si>
  <si>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</si>
  <si>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</si>
  <si>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</si>
  <si>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</si>
  <si>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</si>
  <si>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</si>
  <si>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</si>
  <si>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</si>
  <si>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</si>
  <si>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</si>
  <si>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</si>
  <si>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</si>
  <si>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</si>
  <si>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</si>
  <si>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</si>
  <si>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</si>
  <si>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</si>
  <si>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</si>
  <si>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</si>
  <si>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</si>
  <si>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</si>
  <si>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</si>
  <si>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</si>
  <si>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</si>
  <si>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</si>
  <si>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</si>
  <si>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</si>
  <si>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</si>
  <si>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</si>
  <si>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</si>
  <si>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</si>
  <si>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</si>
  <si>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</si>
  <si>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</si>
  <si>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</si>
  <si>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</si>
  <si>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</si>
  <si>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</si>
  <si>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</si>
  <si>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</si>
  <si>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</si>
  <si>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</si>
  <si>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</si>
  <si>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</si>
  <si>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</si>
  <si>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</si>
  <si>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</si>
  <si>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</si>
  <si>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</si>
  <si>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</si>
  <si>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</si>
  <si>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</si>
  <si>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</si>
  <si>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</si>
  <si>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</si>
  <si>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</si>
  <si>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</si>
  <si>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</si>
  <si>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</si>
  <si>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</si>
  <si>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</si>
  <si>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</si>
  <si>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</si>
  <si>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</si>
  <si>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</si>
  <si>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</si>
  <si>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</si>
  <si>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</si>
  <si>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</si>
  <si>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</si>
  <si>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</si>
  <si>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</si>
  <si>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</si>
  <si>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</si>
  <si>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</si>
  <si>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</si>
  <si>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</si>
  <si>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</si>
  <si>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</si>
  <si>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</si>
  <si>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</si>
  <si>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</si>
  <si>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</si>
  <si>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</si>
  <si>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BAQUE Mickael</t>
  </si>
  <si>
    <r>
      <t xml:space="preserve">1
</t>
    </r>
    <r>
      <rPr>
        <sz val="9"/>
        <color rgb="FF000000"/>
        <rFont val="Arial"/>
        <family val="2"/>
      </rPr>
      <t>BAQUE</t>
    </r>
  </si>
  <si>
    <t>GALLINARO Pierrick</t>
  </si>
  <si>
    <r>
      <t xml:space="preserve">2
</t>
    </r>
    <r>
      <rPr>
        <sz val="9"/>
        <color rgb="FF000000"/>
        <rFont val="Arial"/>
        <family val="2"/>
      </rPr>
      <t>GALLINARO</t>
    </r>
  </si>
  <si>
    <t>POUYADOU Julien</t>
  </si>
  <si>
    <r>
      <t xml:space="preserve">3
</t>
    </r>
    <r>
      <rPr>
        <sz val="9"/>
        <color rgb="FF000000"/>
        <rFont val="Arial"/>
        <family val="2"/>
      </rPr>
      <t>POUYADOU</t>
    </r>
  </si>
  <si>
    <t>BOISVIN Paul</t>
  </si>
  <si>
    <r>
      <t xml:space="preserve">4
</t>
    </r>
    <r>
      <rPr>
        <sz val="9"/>
        <color rgb="FF000000"/>
        <rFont val="Arial"/>
        <family val="2"/>
      </rPr>
      <t>BOISVIN</t>
    </r>
  </si>
  <si>
    <t>BOUTELOUP Romain</t>
  </si>
  <si>
    <r>
      <t xml:space="preserve">5
</t>
    </r>
    <r>
      <rPr>
        <sz val="9"/>
        <color rgb="FF000000"/>
        <rFont val="Arial"/>
        <family val="2"/>
      </rPr>
      <t>BOUTELOUP</t>
    </r>
  </si>
  <si>
    <t>KAPFER Ludovic</t>
  </si>
  <si>
    <r>
      <t xml:space="preserve">6
</t>
    </r>
    <r>
      <rPr>
        <sz val="9"/>
        <color rgb="FF000000"/>
        <rFont val="Arial"/>
        <family val="2"/>
      </rPr>
      <t>KAPFER</t>
    </r>
  </si>
  <si>
    <t>DUTREY Thomas</t>
  </si>
  <si>
    <r>
      <t xml:space="preserve">7
</t>
    </r>
    <r>
      <rPr>
        <sz val="9"/>
        <color rgb="FF000000"/>
        <rFont val="Arial"/>
        <family val="2"/>
      </rPr>
      <t>DUTREY</t>
    </r>
  </si>
  <si>
    <t>GABRELLE Neot</t>
  </si>
  <si>
    <r>
      <t xml:space="preserve">8
</t>
    </r>
    <r>
      <rPr>
        <sz val="9"/>
        <color rgb="FF000000"/>
        <rFont val="Arial"/>
        <family val="2"/>
      </rPr>
      <t>GABRELLE</t>
    </r>
  </si>
  <si>
    <t>CESCA Sacha</t>
  </si>
  <si>
    <r>
      <t xml:space="preserve">9
</t>
    </r>
    <r>
      <rPr>
        <sz val="9"/>
        <color rgb="FF000000"/>
        <rFont val="Arial"/>
        <family val="2"/>
      </rPr>
      <t>CESCA</t>
    </r>
  </si>
  <si>
    <t>BAQUE Lucas</t>
  </si>
  <si>
    <r>
      <t xml:space="preserve">10
</t>
    </r>
    <r>
      <rPr>
        <sz val="9"/>
        <color rgb="FF000000"/>
        <rFont val="Arial"/>
        <family val="2"/>
      </rPr>
      <t>BAQUE</t>
    </r>
  </si>
  <si>
    <t>BOURREC Dorian</t>
  </si>
  <si>
    <r>
      <t xml:space="preserve">11
</t>
    </r>
    <r>
      <rPr>
        <sz val="9"/>
        <color rgb="FF000000"/>
        <rFont val="Arial"/>
        <family val="2"/>
      </rPr>
      <t>BOURREC</t>
    </r>
  </si>
  <si>
    <t>RECURT Louis</t>
  </si>
  <si>
    <r>
      <t xml:space="preserve">12
</t>
    </r>
    <r>
      <rPr>
        <sz val="9"/>
        <color rgb="FF000000"/>
        <rFont val="Arial"/>
        <family val="2"/>
      </rPr>
      <t>RECURT</t>
    </r>
  </si>
  <si>
    <t>LESPINASSE Lucas</t>
  </si>
  <si>
    <r>
      <t xml:space="preserve">13
</t>
    </r>
    <r>
      <rPr>
        <sz val="9"/>
        <color rgb="FF000000"/>
        <rFont val="Arial"/>
        <family val="2"/>
      </rPr>
      <t>LESPINASSE</t>
    </r>
  </si>
  <si>
    <t>SUSPENE Gatien</t>
  </si>
  <si>
    <r>
      <t xml:space="preserve">14
</t>
    </r>
    <r>
      <rPr>
        <sz val="9"/>
        <color rgb="FF000000"/>
        <rFont val="Arial"/>
        <family val="2"/>
      </rPr>
      <t>SUSPENE</t>
    </r>
  </si>
  <si>
    <t>SOUVILLE Quentin</t>
  </si>
  <si>
    <r>
      <t xml:space="preserve">15
</t>
    </r>
    <r>
      <rPr>
        <sz val="9"/>
        <color rgb="FF000000"/>
        <rFont val="Arial"/>
        <family val="2"/>
      </rPr>
      <t>SOUVILLE</t>
    </r>
  </si>
  <si>
    <t>BARTHIE Sebastien</t>
  </si>
  <si>
    <r>
      <t xml:space="preserve">16
</t>
    </r>
    <r>
      <rPr>
        <sz val="9"/>
        <color rgb="FF000000"/>
        <rFont val="Arial"/>
        <family val="2"/>
      </rPr>
      <t>BARTHIE</t>
    </r>
  </si>
  <si>
    <t>ROUSSEL Mathis</t>
  </si>
  <si>
    <r>
      <t xml:space="preserve">17
</t>
    </r>
    <r>
      <rPr>
        <sz val="9"/>
        <color rgb="FF000000"/>
        <rFont val="Arial"/>
        <family val="2"/>
      </rPr>
      <t>ROUSSEL</t>
    </r>
  </si>
  <si>
    <t>TOUVAT Dorian</t>
  </si>
  <si>
    <r>
      <t xml:space="preserve">18
</t>
    </r>
    <r>
      <rPr>
        <sz val="9"/>
        <color rgb="FF000000"/>
        <rFont val="Arial"/>
        <family val="2"/>
      </rPr>
      <t>TOUVAT</t>
    </r>
  </si>
  <si>
    <t>NGUYEN Tomy Lee</t>
  </si>
  <si>
    <r>
      <t xml:space="preserve">19
</t>
    </r>
    <r>
      <rPr>
        <sz val="9"/>
        <color rgb="FF000000"/>
        <rFont val="Arial"/>
        <family val="2"/>
      </rPr>
      <t>NGUYEN</t>
    </r>
  </si>
  <si>
    <t>BARRAILH Francois</t>
  </si>
  <si>
    <r>
      <t xml:space="preserve">20
</t>
    </r>
    <r>
      <rPr>
        <sz val="9"/>
        <color rgb="FF000000"/>
        <rFont val="Arial"/>
        <family val="2"/>
      </rPr>
      <t>BARRAILH</t>
    </r>
  </si>
  <si>
    <t>CASTERA Tom</t>
  </si>
  <si>
    <r>
      <t xml:space="preserve">21
</t>
    </r>
    <r>
      <rPr>
        <sz val="9"/>
        <color rgb="FF000000"/>
        <rFont val="Arial"/>
        <family val="2"/>
      </rPr>
      <t>CASTERA</t>
    </r>
  </si>
  <si>
    <t>CARRAU Ludovic</t>
  </si>
  <si>
    <r>
      <t xml:space="preserve">22
</t>
    </r>
    <r>
      <rPr>
        <sz val="9"/>
        <color rgb="FF000000"/>
        <rFont val="Arial"/>
        <family val="2"/>
      </rPr>
      <t>CARRAU</t>
    </r>
  </si>
  <si>
    <t>En avant repris devant</t>
  </si>
  <si>
    <t>Délier de la mêlée</t>
  </si>
  <si>
    <t>Suite la progression du ballon</t>
  </si>
  <si>
    <t>Plaquage à retardement</t>
  </si>
  <si>
    <t>Bras cassé, poussée avant l'introduction</t>
  </si>
  <si>
    <t>Attrape le bras du sauteur en touche</t>
  </si>
  <si>
    <t>En avant volontaire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</si>
</sst>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7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  <font>
      <b/>
      <sz val="16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</fills>
  <borders count="10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7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8" fillId="30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3" xfId="0" applyFill="1" applyBorder="1" applyAlignment="1">
      <alignment horizontal="center" vertical="center" wrapText="1"/>
    </xf>
    <xf numFmtId="0" fontId="0" fillId="17" borderId="43" xfId="0" applyFill="1" applyBorder="1" applyAlignment="1">
      <alignment horizontal="center" vertical="center" wrapText="1"/>
    </xf>
    <xf numFmtId="0" fontId="0" fillId="32" borderId="43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8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42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43" xfId="0" applyFill="1" applyBorder="1"/>
    <xf numFmtId="0" fontId="0" fillId="0" borderId="2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5" xfId="0" applyBorder="1"/>
    <xf numFmtId="0" fontId="0" fillId="0" borderId="52" xfId="0" applyBorder="1"/>
    <xf numFmtId="0" fontId="0" fillId="0" borderId="51" xfId="0" applyBorder="1"/>
    <xf numFmtId="0" fontId="0" fillId="0" borderId="53" xfId="0" applyBorder="1"/>
    <xf numFmtId="0" fontId="0" fillId="0" borderId="63" xfId="0" applyBorder="1"/>
    <xf numFmtId="0" fontId="0" fillId="0" borderId="72" xfId="0" applyBorder="1"/>
    <xf numFmtId="0" fontId="0" fillId="0" borderId="70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88" xfId="0" applyBorder="1"/>
    <xf numFmtId="0" fontId="0" fillId="17" borderId="72" xfId="0" applyFill="1" applyBorder="1"/>
    <xf numFmtId="0" fontId="0" fillId="17" borderId="87" xfId="0" applyFill="1" applyBorder="1"/>
    <xf numFmtId="0" fontId="0" fillId="0" borderId="45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6" xfId="0" applyBorder="1"/>
    <xf numFmtId="0" fontId="0" fillId="0" borderId="60" xfId="0" applyBorder="1"/>
    <xf numFmtId="0" fontId="8" fillId="10" borderId="0" xfId="0" applyFont="1" applyFill="1" applyAlignment="1">
      <alignment horizontal="center" vertical="center" wrapText="1"/>
    </xf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19" fillId="10" borderId="0" xfId="0" applyFont="1" applyFill="1" applyAlignment="1">
      <alignment horizontal="center" vertical="center" wrapText="1"/>
    </xf>
    <xf numFmtId="0" fontId="0" fillId="0" borderId="62" xfId="0" applyBorder="1"/>
    <xf numFmtId="0" fontId="0" fillId="0" borderId="90" xfId="0" applyBorder="1"/>
    <xf numFmtId="0" fontId="0" fillId="0" borderId="89" xfId="0" applyBorder="1"/>
    <xf numFmtId="0" fontId="0" fillId="0" borderId="77" xfId="0" applyBorder="1"/>
    <xf numFmtId="0" fontId="39" fillId="16" borderId="0" xfId="0" applyFont="1" applyFill="1" applyAlignment="1">
      <alignment horizontal="left" vertical="center"/>
    </xf>
    <xf numFmtId="0" fontId="0" fillId="0" borderId="78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25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45" fillId="17" borderId="0" xfId="0" applyFont="1" applyFill="1"/>
    <xf numFmtId="0" fontId="46" fillId="33" borderId="0" xfId="0" applyFont="1" applyFill="1" applyAlignment="1">
      <alignment vertical="center" wrapText="1"/>
    </xf>
    <xf numFmtId="0" fontId="37" fillId="30" borderId="93" xfId="0" applyFont="1" applyFill="1" applyBorder="1" applyAlignment="1">
      <alignment horizontal="center" vertical="center"/>
    </xf>
    <xf numFmtId="0" fontId="37" fillId="30" borderId="94" xfId="0" applyFont="1" applyFill="1" applyBorder="1" applyAlignment="1">
      <alignment horizontal="center" vertical="center"/>
    </xf>
    <xf numFmtId="0" fontId="38" fillId="30" borderId="96" xfId="0" applyFont="1" applyFill="1" applyBorder="1" applyAlignment="1">
      <alignment horizontal="center" vertical="center"/>
    </xf>
    <xf numFmtId="0" fontId="38" fillId="30" borderId="99" xfId="0" applyFont="1" applyFill="1" applyBorder="1" applyAlignment="1">
      <alignment horizontal="center" vertical="center"/>
    </xf>
    <xf numFmtId="0" fontId="38" fillId="30" borderId="100" xfId="0" applyFont="1" applyFill="1" applyBorder="1" applyAlignment="1">
      <alignment horizontal="center" vertical="center"/>
    </xf>
    <xf numFmtId="0" fontId="35" fillId="29" borderId="101" xfId="0" applyFont="1" applyFill="1" applyBorder="1" applyAlignment="1">
      <alignment horizontal="center" vertical="center"/>
    </xf>
    <xf numFmtId="0" fontId="37" fillId="16" borderId="94" xfId="0" applyFont="1" applyFill="1" applyBorder="1" applyAlignment="1">
      <alignment horizontal="center" vertical="center"/>
    </xf>
    <xf numFmtId="0" fontId="36" fillId="29" borderId="102" xfId="0" applyFont="1" applyFill="1" applyBorder="1" applyAlignment="1">
      <alignment horizontal="center" vertical="center"/>
    </xf>
    <xf numFmtId="0" fontId="38" fillId="16" borderId="96" xfId="0" applyFont="1" applyFill="1" applyBorder="1" applyAlignment="1">
      <alignment horizontal="center" vertical="center"/>
    </xf>
    <xf numFmtId="0" fontId="36" fillId="29" borderId="103" xfId="0" applyFont="1" applyFill="1" applyBorder="1" applyAlignment="1">
      <alignment horizontal="center" vertical="center"/>
    </xf>
    <xf numFmtId="0" fontId="38" fillId="16" borderId="100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36" fillId="29" borderId="95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98" xfId="0" applyFont="1" applyFill="1" applyBorder="1" applyAlignment="1">
      <alignment horizontal="center" vertical="center"/>
    </xf>
    <xf numFmtId="0" fontId="35" fillId="29" borderId="91" xfId="0" applyFont="1" applyFill="1" applyBorder="1" applyAlignment="1">
      <alignment horizontal="center" vertical="center"/>
    </xf>
    <xf numFmtId="0" fontId="35" fillId="29" borderId="92" xfId="0" applyFont="1" applyFill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52" xfId="0" applyNumberFormat="1" applyFont="1" applyFill="1" applyBorder="1" applyAlignment="1">
      <alignment horizontal="center" vertical="center"/>
    </xf>
    <xf numFmtId="165" fontId="40" fillId="10" borderId="63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52" xfId="0" applyFont="1" applyFill="1" applyBorder="1" applyAlignment="1">
      <alignment horizontal="left" vertical="center" wrapText="1"/>
    </xf>
    <xf numFmtId="0" fontId="19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8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match'!$C$97:$C$101</c:f>
              <c:numCache>
                <c:formatCode>General</c:formatCode>
                <c:ptCount val="5"/>
                <c:pt idx="0">
                  <c:v>45</c:v>
                </c:pt>
                <c:pt idx="1">
                  <c:v>15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match'!$D$97:$D$101</c:f>
              <c:numCache>
                <c:formatCode>General</c:formatCode>
                <c:ptCount val="5"/>
                <c:pt idx="0">
                  <c:v>56</c:v>
                </c:pt>
                <c:pt idx="1">
                  <c:v>13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113</xdr:row>
      <xdr:rowOff>0</xdr:rowOff>
    </xdr:from>
    <xdr:to>
      <xdr:col>8</xdr:col>
      <xdr:colOff>762000</xdr:colOff>
      <xdr:row>136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51" dataDxfId="50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49"/>
    <tableColumn id="2" xr3:uid="{0C1B8A30-A3B8-DA4D-B893-C4C99FF33E90}" name="nom" dataDxfId="48"/>
    <tableColumn id="3" xr3:uid="{8AE5AF32-0026-9B41-8B0B-16B9ED0F3727}" name="prenom" dataDxfId="47"/>
    <tableColumn id="6" xr3:uid="{D5D3A7D0-7C7D-684B-8AA7-DABBCC7051CF}" name="1ère ligne" dataDxfId="46"/>
    <tableColumn id="4" xr3:uid="{4CE41A86-7158-6B42-B932-A5275F10AB48}" name="prenom NOM" dataDxfId="45">
      <calculatedColumnFormula>LstEffectif[[#This Row],[prenom]] &amp; " " &amp; LstEffectif[[#This Row],[nom]]</calculatedColumnFormula>
    </tableColumn>
    <tableColumn id="5" xr3:uid="{EB017694-E6D2-7440-91BF-61113926AB7D}" name="NOM Prénom" dataDxfId="44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43" dataDxfId="42">
  <autoFilter ref="J1:J11" xr:uid="{037D6424-D1EC-894D-B963-D36ABCA682C4}"/>
  <tableColumns count="1">
    <tableColumn id="1" xr3:uid="{63806632-B9ED-294D-800A-F2FDB2EC48D2}" name="EQUIPES_A_AFFRONTER" dataDxfId="4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0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65" totalsRowShown="0">
  <autoFilter ref="A1:Q465" xr:uid="{274E98FB-BCE1-0347-AD79-C8025C407DEC}">
    <filterColumn colId="4">
      <filters>
        <filter val="Mêlée à eux perdue"/>
        <filter val="Mêlée à nous gagnée"/>
        <filter val="Reprise du jeu sur melée"/>
      </filters>
    </filterColumn>
  </autoFilter>
  <tableColumns count="17">
    <tableColumn id="1" xr3:uid="{1C6F1113-17EB-A449-86BF-30B1CE9CAC0A}" name="temps video" dataDxfId="39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8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7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6" dataDxfId="34" headerRowBorderDxfId="35" tableBorderDxfId="33" totalsRowBorderDxfId="32">
  <autoFilter ref="Q1:R5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193" t="s">
        <v>121</v>
      </c>
      <c r="C1" s="193" t="s">
        <v>122</v>
      </c>
      <c r="D1" s="193" t="s">
        <v>464</v>
      </c>
      <c r="E1" s="193" t="s">
        <v>123</v>
      </c>
      <c r="F1" s="193" t="s">
        <v>163</v>
      </c>
      <c r="J1" t="s">
        <v>442</v>
      </c>
    </row>
    <row r="2" spans="1:10" ht="14">
      <c r="A2">
        <v>1</v>
      </c>
      <c r="B2" s="143" t="s">
        <v>324</v>
      </c>
      <c r="C2" s="143" t="s">
        <v>325</v>
      </c>
      <c r="D2" s="143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43" t="s">
        <v>324</v>
      </c>
      <c r="C3" s="143" t="s">
        <v>326</v>
      </c>
      <c r="D3" s="143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43" t="s">
        <v>324</v>
      </c>
      <c r="C4" s="143" t="s">
        <v>124</v>
      </c>
      <c r="D4" s="143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43" t="s">
        <v>327</v>
      </c>
      <c r="C5" s="143" t="s">
        <v>328</v>
      </c>
      <c r="D5" s="143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43" t="s">
        <v>329</v>
      </c>
      <c r="C6" s="143" t="s">
        <v>330</v>
      </c>
      <c r="D6" s="143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68</v>
      </c>
      <c r="B7" s="143" t="s">
        <v>329</v>
      </c>
      <c r="C7" s="143" t="s">
        <v>469</v>
      </c>
      <c r="D7" s="143" t="s">
        <v>466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438</v>
      </c>
    </row>
    <row r="8" spans="1:10" ht="14">
      <c r="A8">
        <v>6</v>
      </c>
      <c r="B8" s="143" t="s">
        <v>331</v>
      </c>
      <c r="C8" s="143" t="s">
        <v>332</v>
      </c>
      <c r="D8" s="143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40" t="s">
        <v>439</v>
      </c>
    </row>
    <row r="9" spans="1:10" ht="14">
      <c r="A9">
        <v>7</v>
      </c>
      <c r="B9" s="143" t="s">
        <v>333</v>
      </c>
      <c r="C9" s="143" t="s">
        <v>334</v>
      </c>
      <c r="D9" s="143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440</v>
      </c>
    </row>
    <row r="10" spans="1:10" ht="14">
      <c r="A10">
        <v>8</v>
      </c>
      <c r="B10" s="143" t="s">
        <v>335</v>
      </c>
      <c r="C10" s="143" t="s">
        <v>336</v>
      </c>
      <c r="D10" s="143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441</v>
      </c>
    </row>
    <row r="11" spans="1:10" ht="14">
      <c r="A11">
        <v>9</v>
      </c>
      <c r="B11" s="143" t="s">
        <v>337</v>
      </c>
      <c r="C11" s="143" t="s">
        <v>338</v>
      </c>
      <c r="D11" s="143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443</v>
      </c>
    </row>
    <row r="12" spans="1:10" ht="14">
      <c r="A12">
        <v>10</v>
      </c>
      <c r="B12" s="143" t="s">
        <v>339</v>
      </c>
      <c r="C12" s="143" t="s">
        <v>340</v>
      </c>
      <c r="D12" s="143" t="s">
        <v>466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43" t="s">
        <v>341</v>
      </c>
      <c r="C13" s="143" t="s">
        <v>342</v>
      </c>
      <c r="D13" s="143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43" t="s">
        <v>343</v>
      </c>
      <c r="C14" s="143" t="s">
        <v>344</v>
      </c>
      <c r="D14" s="143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43" t="s">
        <v>345</v>
      </c>
      <c r="C15" s="143" t="s">
        <v>346</v>
      </c>
      <c r="D15" s="143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43" t="s">
        <v>347</v>
      </c>
      <c r="C16" s="143" t="s">
        <v>348</v>
      </c>
      <c r="D16" s="143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43" t="s">
        <v>349</v>
      </c>
      <c r="C17" s="143" t="s">
        <v>350</v>
      </c>
      <c r="D17" s="143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43" t="s">
        <v>349</v>
      </c>
      <c r="C18" s="143" t="s">
        <v>351</v>
      </c>
      <c r="D18" s="143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43" t="s">
        <v>352</v>
      </c>
      <c r="C19" s="143" t="s">
        <v>353</v>
      </c>
      <c r="D19" s="143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43" t="s">
        <v>354</v>
      </c>
      <c r="C20" s="143" t="s">
        <v>355</v>
      </c>
      <c r="D20" s="143" t="s">
        <v>466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43" t="s">
        <v>356</v>
      </c>
      <c r="C21" s="143" t="s">
        <v>355</v>
      </c>
      <c r="D21" s="143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43" t="s">
        <v>357</v>
      </c>
      <c r="C22" s="143" t="s">
        <v>358</v>
      </c>
      <c r="D22" s="143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43" t="s">
        <v>359</v>
      </c>
      <c r="C23" s="143" t="s">
        <v>360</v>
      </c>
      <c r="D23" s="143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43" t="s">
        <v>361</v>
      </c>
      <c r="C24" s="143" t="s">
        <v>362</v>
      </c>
      <c r="D24" s="143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43" t="s">
        <v>361</v>
      </c>
      <c r="C25" s="143" t="s">
        <v>363</v>
      </c>
      <c r="D25" s="143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43" t="s">
        <v>364</v>
      </c>
      <c r="C26" s="143" t="s">
        <v>365</v>
      </c>
      <c r="D26" s="143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43" t="s">
        <v>366</v>
      </c>
      <c r="C27" s="143" t="s">
        <v>355</v>
      </c>
      <c r="D27" s="143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43" t="s">
        <v>367</v>
      </c>
      <c r="C28" s="143" t="s">
        <v>368</v>
      </c>
      <c r="D28" s="143" t="s">
        <v>466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43" t="s">
        <v>369</v>
      </c>
      <c r="C29" s="143" t="s">
        <v>124</v>
      </c>
      <c r="D29" s="143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43" t="s">
        <v>370</v>
      </c>
      <c r="C30" s="143" t="s">
        <v>371</v>
      </c>
      <c r="D30" s="143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43" t="s">
        <v>372</v>
      </c>
      <c r="C31" s="143" t="s">
        <v>373</v>
      </c>
      <c r="D31" s="143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43" t="s">
        <v>374</v>
      </c>
      <c r="C32" s="143" t="s">
        <v>375</v>
      </c>
      <c r="D32" s="143" t="s">
        <v>466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43" t="s">
        <v>376</v>
      </c>
      <c r="C33" s="143" t="s">
        <v>338</v>
      </c>
      <c r="D33" s="143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43" t="s">
        <v>377</v>
      </c>
      <c r="C34" s="143" t="s">
        <v>322</v>
      </c>
      <c r="D34" s="143" t="s">
        <v>466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43" t="s">
        <v>378</v>
      </c>
      <c r="C35" s="143" t="s">
        <v>379</v>
      </c>
      <c r="D35" s="143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43" t="s">
        <v>380</v>
      </c>
      <c r="C36" s="143" t="s">
        <v>381</v>
      </c>
      <c r="D36" s="143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43" t="s">
        <v>380</v>
      </c>
      <c r="C37" s="143" t="s">
        <v>382</v>
      </c>
      <c r="D37" s="143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43" t="s">
        <v>383</v>
      </c>
      <c r="C38" s="143" t="s">
        <v>340</v>
      </c>
      <c r="D38" s="143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43" t="s">
        <v>384</v>
      </c>
      <c r="C39" s="143" t="s">
        <v>353</v>
      </c>
      <c r="D39" s="143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43" t="s">
        <v>385</v>
      </c>
      <c r="C40" s="143" t="s">
        <v>386</v>
      </c>
      <c r="D40" s="143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43" t="s">
        <v>387</v>
      </c>
      <c r="C41" s="143" t="s">
        <v>330</v>
      </c>
      <c r="D41" s="143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43" t="s">
        <v>388</v>
      </c>
      <c r="C42" s="143" t="s">
        <v>389</v>
      </c>
      <c r="D42" s="143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43" t="s">
        <v>390</v>
      </c>
      <c r="C43" s="143" t="s">
        <v>348</v>
      </c>
      <c r="D43" s="143" t="s">
        <v>466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43" t="s">
        <v>391</v>
      </c>
      <c r="C44" s="143" t="s">
        <v>392</v>
      </c>
      <c r="D44" s="143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43" t="s">
        <v>393</v>
      </c>
      <c r="C45" s="143" t="s">
        <v>394</v>
      </c>
      <c r="D45" s="143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43" t="s">
        <v>395</v>
      </c>
      <c r="C46" s="143" t="s">
        <v>396</v>
      </c>
      <c r="D46" s="143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43" t="s">
        <v>397</v>
      </c>
      <c r="C47" s="143" t="s">
        <v>398</v>
      </c>
      <c r="D47" s="143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43" t="s">
        <v>399</v>
      </c>
      <c r="C48" s="143" t="s">
        <v>400</v>
      </c>
      <c r="D48" s="143" t="s">
        <v>466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43" t="s">
        <v>399</v>
      </c>
      <c r="C49" s="143" t="s">
        <v>401</v>
      </c>
      <c r="D49" s="143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43" t="s">
        <v>402</v>
      </c>
      <c r="C50" s="143" t="s">
        <v>403</v>
      </c>
      <c r="D50" s="143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43" t="s">
        <v>404</v>
      </c>
      <c r="C51" s="143" t="s">
        <v>405</v>
      </c>
      <c r="D51" s="143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43" t="s">
        <v>406</v>
      </c>
      <c r="C52" s="143" t="s">
        <v>379</v>
      </c>
      <c r="D52" s="143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43" t="s">
        <v>407</v>
      </c>
      <c r="C53" s="143" t="s">
        <v>408</v>
      </c>
      <c r="D53" s="143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43" t="s">
        <v>409</v>
      </c>
      <c r="C54" s="143" t="s">
        <v>353</v>
      </c>
      <c r="D54" s="143" t="s">
        <v>466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43" t="s">
        <v>410</v>
      </c>
      <c r="C55" s="143" t="s">
        <v>323</v>
      </c>
      <c r="D55" s="143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43" t="s">
        <v>411</v>
      </c>
      <c r="C56" s="143" t="s">
        <v>412</v>
      </c>
      <c r="D56" s="143" t="s">
        <v>466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43" t="s">
        <v>413</v>
      </c>
      <c r="C57" s="143" t="s">
        <v>290</v>
      </c>
      <c r="D57" s="143" t="s">
        <v>466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43" t="s">
        <v>414</v>
      </c>
      <c r="C58" s="143" t="s">
        <v>415</v>
      </c>
      <c r="D58" s="143" t="s">
        <v>466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43" t="s">
        <v>416</v>
      </c>
      <c r="C59" s="143" t="s">
        <v>417</v>
      </c>
      <c r="D59" s="143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43" t="s">
        <v>418</v>
      </c>
      <c r="C60" s="143" t="s">
        <v>419</v>
      </c>
      <c r="D60" s="143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43" t="s">
        <v>418</v>
      </c>
      <c r="C61" s="143" t="s">
        <v>351</v>
      </c>
      <c r="D61" s="143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43" t="s">
        <v>420</v>
      </c>
      <c r="C62" s="143" t="s">
        <v>421</v>
      </c>
      <c r="D62" s="143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43" t="s">
        <v>422</v>
      </c>
      <c r="C63" s="143" t="s">
        <v>326</v>
      </c>
      <c r="D63" s="143" t="s">
        <v>466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43" t="s">
        <v>423</v>
      </c>
      <c r="C64" s="143" t="s">
        <v>424</v>
      </c>
      <c r="D64" s="143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43" t="s">
        <v>425</v>
      </c>
      <c r="C65" s="143" t="s">
        <v>426</v>
      </c>
      <c r="D65" s="143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43" t="s">
        <v>427</v>
      </c>
      <c r="C66" s="143" t="s">
        <v>351</v>
      </c>
      <c r="D66" s="143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43" t="s">
        <v>428</v>
      </c>
      <c r="C67" s="143" t="s">
        <v>429</v>
      </c>
      <c r="D67" s="143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43" t="s">
        <v>430</v>
      </c>
      <c r="C68" s="143" t="s">
        <v>338</v>
      </c>
      <c r="D68" s="143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43" t="s">
        <v>431</v>
      </c>
      <c r="C69" s="143" t="s">
        <v>432</v>
      </c>
      <c r="D69" s="143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43" t="s">
        <v>383</v>
      </c>
      <c r="C70" s="143" t="s">
        <v>358</v>
      </c>
      <c r="D70" s="143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25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1" width="4.1640625" style="25" bestFit="1" customWidth="1"/>
    <col min="12" max="12" width="4" style="25" bestFit="1" customWidth="1"/>
    <col min="13" max="13" width="3.5" style="25" customWidth="1"/>
    <col min="14" max="417" width="10.83203125" style="25"/>
  </cols>
  <sheetData>
    <row r="1" spans="1:8" s="25" customFormat="1" ht="14" thickBot="1">
      <c r="A1" s="91"/>
    </row>
    <row r="2" spans="1:8" ht="19" customHeight="1">
      <c r="B2" s="251" t="s">
        <v>254</v>
      </c>
      <c r="C2" s="251"/>
      <c r="E2" s="252" t="s">
        <v>255</v>
      </c>
      <c r="F2" s="253"/>
      <c r="G2" s="253"/>
      <c r="H2" s="254"/>
    </row>
    <row r="3" spans="1:8" ht="19" customHeight="1">
      <c r="B3" s="251"/>
      <c r="C3" s="251"/>
      <c r="E3" s="255"/>
      <c r="F3" s="256"/>
      <c r="G3" s="256"/>
      <c r="H3" s="257"/>
    </row>
    <row r="4" spans="1:8" ht="19" customHeight="1" thickBot="1">
      <c r="B4" s="251"/>
      <c r="C4" s="251"/>
      <c r="E4" s="258"/>
      <c r="F4" s="259"/>
      <c r="G4" s="259"/>
      <c r="H4" s="260"/>
    </row>
    <row r="5" spans="1:8" s="25" customFormat="1">
      <c r="A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470</v>
      </c>
      <c r="G7" t="s">
        <v>204</v>
      </c>
      <c r="H7">
        <v>46</v>
      </c>
    </row>
    <row r="8" spans="1:8">
      <c r="B8" s="70" t="s">
        <v>263</v>
      </c>
      <c r="C8" s="71">
        <v>46285</v>
      </c>
      <c r="E8">
        <v>2</v>
      </c>
      <c r="F8" t="s">
        <v>472</v>
      </c>
      <c r="G8" t="s">
        <v>204</v>
      </c>
      <c r="H8">
        <v>72</v>
      </c>
    </row>
    <row r="9" spans="1:8">
      <c r="B9" s="25"/>
      <c r="C9" s="25"/>
      <c r="E9">
        <v>3</v>
      </c>
      <c r="F9" t="s">
        <v>474</v>
      </c>
      <c r="G9" t="s">
        <v>204</v>
      </c>
      <c r="H9">
        <v>64</v>
      </c>
    </row>
    <row r="10" spans="1:8">
      <c r="B10" s="70" t="s">
        <v>235</v>
      </c>
      <c r="C10" s="71" t="s">
        <v>439</v>
      </c>
      <c r="E10">
        <v>4</v>
      </c>
      <c r="F10" t="s">
        <v>476</v>
      </c>
      <c r="G10" t="s">
        <v>204</v>
      </c>
      <c r="H10">
        <v>68</v>
      </c>
    </row>
    <row r="11" spans="1:8">
      <c r="B11" s="25"/>
      <c r="C11" s="25"/>
      <c r="E11">
        <v>5</v>
      </c>
      <c r="F11" t="s">
        <v>478</v>
      </c>
      <c r="G11" t="s">
        <v>204</v>
      </c>
      <c r="H11">
        <v>80</v>
      </c>
    </row>
    <row r="12" spans="1:8">
      <c r="B12" s="70" t="s">
        <v>262</v>
      </c>
      <c r="C12" s="71" t="s">
        <v>231</v>
      </c>
      <c r="E12">
        <v>6</v>
      </c>
      <c r="F12" t="s">
        <v>480</v>
      </c>
      <c r="G12" t="s">
        <v>204</v>
      </c>
      <c r="H12">
        <v>74</v>
      </c>
    </row>
    <row r="13" spans="1:8">
      <c r="B13" s="25"/>
      <c r="C13" s="25"/>
      <c r="E13">
        <v>7</v>
      </c>
      <c r="F13" t="s">
        <v>482</v>
      </c>
      <c r="G13" t="s">
        <v>204</v>
      </c>
      <c r="H13">
        <v>50</v>
      </c>
    </row>
    <row r="14" spans="1:8">
      <c r="B14" s="70" t="s">
        <v>236</v>
      </c>
      <c r="C14" s="71" t="s">
        <v>232</v>
      </c>
      <c r="E14">
        <v>8</v>
      </c>
      <c r="F14" t="s">
        <v>484</v>
      </c>
      <c r="G14" t="s">
        <v>204</v>
      </c>
      <c r="H14">
        <v>50</v>
      </c>
    </row>
    <row r="15" spans="1:8">
      <c r="B15" s="25"/>
      <c r="C15" s="92"/>
      <c r="E15" s="63">
        <v>9</v>
      </c>
      <c r="F15" s="63" t="s">
        <v>486</v>
      </c>
      <c r="G15" s="63" t="s">
        <v>222</v>
      </c>
      <c r="H15" s="63">
        <v>80</v>
      </c>
    </row>
    <row r="16" spans="1:8">
      <c r="B16" s="70" t="s">
        <v>237</v>
      </c>
      <c r="C16" s="72">
        <v>1</v>
      </c>
      <c r="E16">
        <v>10</v>
      </c>
      <c r="F16" t="s">
        <v>488</v>
      </c>
      <c r="G16" t="s">
        <v>222</v>
      </c>
      <c r="H16">
        <v>40</v>
      </c>
    </row>
    <row r="17" spans="1:8">
      <c r="B17" s="25"/>
      <c r="C17" s="25"/>
      <c r="E17">
        <v>11</v>
      </c>
      <c r="F17" t="s">
        <v>490</v>
      </c>
      <c r="G17" t="s">
        <v>222</v>
      </c>
      <c r="H17">
        <v>50</v>
      </c>
    </row>
    <row r="18" spans="1:8">
      <c r="B18" s="70" t="s">
        <v>238</v>
      </c>
      <c r="C18" s="71" t="s">
        <v>247</v>
      </c>
      <c r="E18">
        <v>12</v>
      </c>
      <c r="F18" t="s">
        <v>492</v>
      </c>
      <c r="G18" t="s">
        <v>222</v>
      </c>
      <c r="H18">
        <v>80</v>
      </c>
    </row>
    <row r="19" spans="1:8">
      <c r="B19" s="25"/>
      <c r="C19" s="92"/>
      <c r="E19">
        <v>13</v>
      </c>
      <c r="F19" t="s">
        <v>494</v>
      </c>
      <c r="G19" t="s">
        <v>222</v>
      </c>
      <c r="H19">
        <v>65</v>
      </c>
    </row>
    <row r="20" spans="1:8">
      <c r="B20" s="70" t="s">
        <v>261</v>
      </c>
      <c r="C20" s="71" t="s">
        <v>258</v>
      </c>
      <c r="E20">
        <v>14</v>
      </c>
      <c r="F20" t="s">
        <v>496</v>
      </c>
      <c r="G20" t="s">
        <v>222</v>
      </c>
      <c r="H20">
        <v>40</v>
      </c>
    </row>
    <row r="21" spans="1:8">
      <c r="B21" s="25"/>
      <c r="C21" s="25"/>
      <c r="E21" s="58">
        <v>15</v>
      </c>
      <c r="F21" s="58" t="s">
        <v>498</v>
      </c>
      <c r="G21" s="58" t="s">
        <v>222</v>
      </c>
      <c r="H21" s="58">
        <v>58</v>
      </c>
    </row>
    <row r="22" spans="1:8">
      <c r="B22" s="25"/>
      <c r="C22" s="25"/>
      <c r="E22">
        <v>16</v>
      </c>
      <c r="F22" t="s">
        <v>500</v>
      </c>
      <c r="G22" t="s">
        <v>204</v>
      </c>
      <c r="H22">
        <v>41</v>
      </c>
    </row>
    <row r="23" spans="1:8">
      <c r="B23" s="25"/>
      <c r="C23" s="25"/>
      <c r="E23">
        <v>17</v>
      </c>
      <c r="F23" t="s">
        <v>502</v>
      </c>
      <c r="G23" t="s">
        <v>204</v>
      </c>
      <c r="H23">
        <v>40</v>
      </c>
    </row>
    <row r="24" spans="1:8">
      <c r="B24" s="25"/>
      <c r="C24" s="25"/>
      <c r="E24">
        <v>18</v>
      </c>
      <c r="F24" t="s">
        <v>504</v>
      </c>
      <c r="G24" t="s">
        <v>204</v>
      </c>
      <c r="H24">
        <v>50</v>
      </c>
    </row>
    <row r="25" spans="1:8">
      <c r="B25" s="25"/>
      <c r="C25" s="25"/>
      <c r="E25">
        <v>19</v>
      </c>
      <c r="F25" t="s">
        <v>506</v>
      </c>
      <c r="G25" t="s">
        <v>222</v>
      </c>
      <c r="H25">
        <v>22</v>
      </c>
    </row>
    <row r="26" spans="1:8">
      <c r="B26" s="25"/>
      <c r="C26" s="25"/>
      <c r="E26">
        <v>20</v>
      </c>
      <c r="F26" t="s">
        <v>508</v>
      </c>
      <c r="G26" t="s">
        <v>222</v>
      </c>
      <c r="H26">
        <v>40</v>
      </c>
    </row>
    <row r="27" spans="1:8">
      <c r="B27" s="25"/>
      <c r="C27" s="25"/>
      <c r="E27">
        <v>21</v>
      </c>
      <c r="F27" t="s">
        <v>510</v>
      </c>
      <c r="G27" t="s">
        <v>222</v>
      </c>
      <c r="H27">
        <v>40</v>
      </c>
    </row>
    <row r="28" spans="1:8">
      <c r="B28" s="25"/>
      <c r="C28" s="25"/>
      <c r="E28">
        <v>22</v>
      </c>
      <c r="F28" t="s">
        <v>512</v>
      </c>
      <c r="G28" t="s">
        <v>222</v>
      </c>
      <c r="H28">
        <v>30</v>
      </c>
    </row>
    <row r="29" spans="1:8" s="25" customFormat="1">
      <c r="A29" s="91"/>
    </row>
    <row r="30" spans="1:8" s="25" customFormat="1">
      <c r="A30" s="91"/>
    </row>
    <row r="31" spans="1:8" s="25" customFormat="1">
      <c r="A31" s="91"/>
    </row>
    <row r="32" spans="1:8" s="25" customFormat="1">
      <c r="A32" s="91"/>
    </row>
    <row r="33" spans="1:6" s="25" customFormat="1">
      <c r="A33" s="91"/>
    </row>
    <row r="34" spans="1:6" s="25" customFormat="1">
      <c r="A34" s="91"/>
      <c r="F34" s="194"/>
    </row>
    <row r="35" spans="1:6" s="25" customFormat="1">
      <c r="A35" s="91"/>
    </row>
    <row r="36" spans="1:6" s="25" customFormat="1">
      <c r="A36" s="91"/>
      <c r="F36" s="25" t="s">
        <v>117</v>
      </c>
    </row>
    <row r="37" spans="1:6" s="25" customFormat="1">
      <c r="A37" s="91"/>
    </row>
    <row r="38" spans="1:6" s="25" customFormat="1">
      <c r="A38" s="91"/>
    </row>
    <row r="39" spans="1:6" s="25" customFormat="1">
      <c r="A39" s="91"/>
    </row>
    <row r="40" spans="1:6" s="25" customFormat="1">
      <c r="A40" s="91"/>
    </row>
    <row r="41" spans="1:6" s="25" customFormat="1">
      <c r="A41" s="91"/>
    </row>
    <row r="42" spans="1:6" s="25" customFormat="1">
      <c r="A42" s="91"/>
    </row>
    <row r="43" spans="1:6" s="25" customFormat="1">
      <c r="A43" s="91"/>
    </row>
    <row r="44" spans="1:6" s="25" customFormat="1">
      <c r="A44" s="91"/>
    </row>
    <row r="45" spans="1:6" s="25" customFormat="1">
      <c r="A45" s="91"/>
    </row>
    <row r="46" spans="1:6" s="25" customFormat="1">
      <c r="A46" s="91"/>
    </row>
    <row r="47" spans="1:6" s="25" customFormat="1">
      <c r="A47" s="91"/>
    </row>
    <row r="48" spans="1:6" s="25" customFormat="1">
      <c r="A48" s="91"/>
    </row>
    <row r="49" spans="1:3" s="25" customFormat="1">
      <c r="A49" s="91"/>
    </row>
    <row r="50" spans="1:3" s="25" customFormat="1">
      <c r="A50" s="91"/>
    </row>
    <row r="51" spans="1:3" s="25" customFormat="1">
      <c r="A51" s="91"/>
    </row>
    <row r="52" spans="1:3" s="25" customFormat="1">
      <c r="A52" s="91"/>
    </row>
    <row r="53" spans="1:3" s="25" customFormat="1">
      <c r="A53" s="91"/>
    </row>
    <row r="54" spans="1:3" s="25" customFormat="1">
      <c r="A54" s="91"/>
    </row>
    <row r="55" spans="1:3" s="25" customFormat="1">
      <c r="A55" s="91"/>
    </row>
    <row r="56" spans="1:3" s="25" customFormat="1">
      <c r="A56" s="91"/>
    </row>
    <row r="57" spans="1:3" s="25" customFormat="1">
      <c r="A57" s="91"/>
    </row>
    <row r="58" spans="1:3" s="25" customFormat="1">
      <c r="A58" s="91"/>
    </row>
    <row r="59" spans="1:3" s="25" customFormat="1" hidden="1">
      <c r="A59" s="91"/>
      <c r="B59" s="25" t="s">
        <v>239</v>
      </c>
      <c r="C59" s="25" t="s">
        <v>468</v>
      </c>
    </row>
    <row r="60" spans="1:3" s="25" customFormat="1">
      <c r="A60" s="91"/>
    </row>
    <row r="61" spans="1:3" s="25" customFormat="1">
      <c r="A61" s="91"/>
    </row>
    <row r="62" spans="1:3" s="25" customFormat="1">
      <c r="A62" s="91"/>
    </row>
    <row r="63" spans="1:3" s="25" customFormat="1">
      <c r="A63" s="91"/>
    </row>
    <row r="64" spans="1:3" s="25" customFormat="1">
      <c r="A64" s="91"/>
    </row>
    <row r="65" spans="1:1" s="25" customFormat="1">
      <c r="A65" s="91"/>
    </row>
    <row r="66" spans="1:1" s="25" customFormat="1">
      <c r="A66" s="91"/>
    </row>
    <row r="67" spans="1:1" s="25" customFormat="1">
      <c r="A67" s="91"/>
    </row>
    <row r="68" spans="1:1" s="25" customFormat="1">
      <c r="A68" s="91"/>
    </row>
    <row r="69" spans="1:1" s="25" customFormat="1">
      <c r="A69" s="91"/>
    </row>
    <row r="70" spans="1:1" s="25" customFormat="1">
      <c r="A70" s="91"/>
    </row>
    <row r="71" spans="1:1" s="25" customFormat="1">
      <c r="A71" s="91"/>
    </row>
    <row r="72" spans="1:1" s="25" customFormat="1">
      <c r="A72" s="91"/>
    </row>
    <row r="73" spans="1:1" s="25" customFormat="1">
      <c r="A73" s="91"/>
    </row>
    <row r="74" spans="1:1" s="25" customFormat="1">
      <c r="A74" s="91"/>
    </row>
    <row r="75" spans="1:1" s="25" customFormat="1">
      <c r="A75" s="91"/>
    </row>
    <row r="76" spans="1:1" s="25" customFormat="1">
      <c r="A76" s="91"/>
    </row>
    <row r="77" spans="1:1" s="25" customFormat="1">
      <c r="A77" s="91"/>
    </row>
    <row r="78" spans="1:1" s="25" customFormat="1">
      <c r="A78" s="91"/>
    </row>
    <row r="79" spans="1:1" s="25" customFormat="1">
      <c r="A79" s="91"/>
    </row>
    <row r="80" spans="1:1" s="25" customFormat="1">
      <c r="A80" s="91"/>
    </row>
    <row r="81" spans="1:1" s="25" customFormat="1">
      <c r="A81" s="91"/>
    </row>
    <row r="82" spans="1:1" s="25" customFormat="1">
      <c r="A82" s="91"/>
    </row>
    <row r="83" spans="1:1" s="25" customFormat="1">
      <c r="A83" s="91"/>
    </row>
    <row r="84" spans="1:1" s="25" customFormat="1">
      <c r="A84" s="91"/>
    </row>
    <row r="85" spans="1:1" s="25" customFormat="1">
      <c r="A85" s="91"/>
    </row>
    <row r="86" spans="1:1" s="25" customFormat="1">
      <c r="A86" s="91"/>
    </row>
    <row r="87" spans="1:1" s="25" customFormat="1">
      <c r="A87" s="91"/>
    </row>
    <row r="88" spans="1:1" s="25" customFormat="1">
      <c r="A88" s="91"/>
    </row>
    <row r="89" spans="1:1" s="25" customFormat="1">
      <c r="A89" s="91"/>
    </row>
    <row r="90" spans="1:1" s="25" customFormat="1">
      <c r="A90" s="91"/>
    </row>
    <row r="91" spans="1:1" s="25" customFormat="1">
      <c r="A91" s="91"/>
    </row>
    <row r="92" spans="1:1" s="25" customFormat="1">
      <c r="A92" s="91"/>
    </row>
    <row r="93" spans="1:1" s="25" customFormat="1">
      <c r="A93" s="91"/>
    </row>
    <row r="94" spans="1:1" s="25" customFormat="1">
      <c r="A94" s="91"/>
    </row>
    <row r="95" spans="1:1" s="25" customFormat="1">
      <c r="A95" s="91"/>
    </row>
    <row r="96" spans="1:1" s="25" customFormat="1">
      <c r="A96" s="91"/>
    </row>
    <row r="97" spans="1:1" s="25" customFormat="1">
      <c r="A97" s="91"/>
    </row>
    <row r="98" spans="1:1" s="25" customFormat="1">
      <c r="A98" s="91"/>
    </row>
    <row r="99" spans="1:1" s="25" customFormat="1">
      <c r="A99" s="91"/>
    </row>
    <row r="100" spans="1:1" s="25" customFormat="1">
      <c r="A100" s="91"/>
    </row>
    <row r="101" spans="1:1" s="25" customFormat="1">
      <c r="A101" s="91"/>
    </row>
    <row r="102" spans="1:1" s="25" customFormat="1">
      <c r="A102" s="91"/>
    </row>
    <row r="103" spans="1:1" s="25" customFormat="1">
      <c r="A103" s="91"/>
    </row>
    <row r="104" spans="1:1" s="25" customFormat="1">
      <c r="A104" s="91"/>
    </row>
    <row r="105" spans="1:1" s="25" customFormat="1">
      <c r="A105" s="91"/>
    </row>
    <row r="106" spans="1:1" s="25" customFormat="1">
      <c r="A106" s="91"/>
    </row>
    <row r="107" spans="1:1" s="25" customFormat="1">
      <c r="A107" s="91"/>
    </row>
    <row r="108" spans="1:1" s="25" customFormat="1">
      <c r="A108" s="91"/>
    </row>
    <row r="109" spans="1:1" s="25" customFormat="1">
      <c r="A109" s="91"/>
    </row>
    <row r="110" spans="1:1" s="25" customFormat="1">
      <c r="A110" s="91"/>
    </row>
    <row r="111" spans="1:1" s="25" customFormat="1">
      <c r="A111" s="91"/>
    </row>
    <row r="112" spans="1:1" s="25" customFormat="1">
      <c r="A112" s="91"/>
    </row>
    <row r="113" spans="1:1" s="25" customFormat="1">
      <c r="A113" s="91"/>
    </row>
    <row r="114" spans="1:1" s="25" customFormat="1">
      <c r="A114" s="91"/>
    </row>
    <row r="115" spans="1:1" s="25" customFormat="1">
      <c r="A115" s="91"/>
    </row>
    <row r="116" spans="1:1" s="25" customFormat="1">
      <c r="A116" s="91"/>
    </row>
    <row r="117" spans="1:1" s="25" customFormat="1">
      <c r="A117" s="91"/>
    </row>
    <row r="118" spans="1:1" s="25" customFormat="1">
      <c r="A118" s="91"/>
    </row>
    <row r="119" spans="1:1" s="25" customFormat="1">
      <c r="A119" s="91"/>
    </row>
    <row r="120" spans="1:1" s="25" customFormat="1">
      <c r="A120" s="91"/>
    </row>
    <row r="121" spans="1:1" s="25" customFormat="1">
      <c r="A121" s="91"/>
    </row>
    <row r="122" spans="1:1" s="25" customFormat="1">
      <c r="A122" s="91"/>
    </row>
    <row r="123" spans="1:1" s="25" customFormat="1">
      <c r="A123" s="91"/>
    </row>
    <row r="124" spans="1:1" s="25" customFormat="1">
      <c r="A124" s="91"/>
    </row>
    <row r="125" spans="1:1" s="25" customFormat="1">
      <c r="A125" s="91"/>
    </row>
    <row r="126" spans="1:1" s="25" customFormat="1">
      <c r="A126" s="91"/>
    </row>
    <row r="127" spans="1:1" s="25" customFormat="1">
      <c r="A127" s="91"/>
    </row>
    <row r="128" spans="1:1" s="25" customFormat="1">
      <c r="A128" s="91"/>
    </row>
    <row r="129" spans="1:1" s="25" customFormat="1">
      <c r="A129" s="91"/>
    </row>
    <row r="130" spans="1:1" s="25" customFormat="1">
      <c r="A130" s="91"/>
    </row>
    <row r="131" spans="1:1" s="25" customFormat="1">
      <c r="A131" s="91"/>
    </row>
    <row r="132" spans="1:1" s="25" customFormat="1">
      <c r="A132" s="91"/>
    </row>
    <row r="133" spans="1:1" s="25" customFormat="1">
      <c r="A133" s="91"/>
    </row>
    <row r="134" spans="1:1" s="25" customFormat="1">
      <c r="A134" s="91"/>
    </row>
    <row r="135" spans="1:1" s="25" customFormat="1">
      <c r="A135" s="91"/>
    </row>
    <row r="136" spans="1:1" s="25" customFormat="1">
      <c r="A136" s="91"/>
    </row>
    <row r="137" spans="1:1" s="25" customFormat="1">
      <c r="A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/>
      <c r="C1" s="270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5"/>
      <c r="AZ1" s="168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16"/>
      <c r="E3" s="116"/>
      <c r="F3" s="115"/>
      <c r="G3" s="117"/>
      <c r="H3" s="115"/>
      <c r="I3" s="117"/>
      <c r="J3" s="117"/>
      <c r="K3" s="117"/>
      <c r="L3" s="115"/>
      <c r="M3" s="117"/>
      <c r="N3" s="115"/>
      <c r="O3" s="128"/>
      <c r="P3" s="140"/>
      <c r="Q3" s="154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6"/>
      <c r="AD3" s="163"/>
      <c r="AE3" s="159"/>
      <c r="AF3" s="159"/>
      <c r="AG3" s="159"/>
      <c r="AH3" s="159"/>
      <c r="AI3" s="162"/>
    </row>
    <row r="4" spans="1:52" ht="42" customHeight="1">
      <c r="A4" s="25"/>
      <c r="B4" s="25"/>
      <c r="C4" s="118"/>
      <c r="D4" s="271" t="s">
        <v>175</v>
      </c>
      <c r="E4" s="272"/>
      <c r="F4" s="35" t="s">
        <v>89</v>
      </c>
      <c r="G4" s="119"/>
      <c r="H4" s="35" t="s">
        <v>106</v>
      </c>
      <c r="I4" s="120"/>
      <c r="J4" s="121"/>
      <c r="K4" s="122"/>
      <c r="L4" s="28" t="s">
        <v>93</v>
      </c>
      <c r="M4" s="123"/>
      <c r="N4" s="28" t="s">
        <v>94</v>
      </c>
      <c r="O4" s="141"/>
      <c r="P4" s="140"/>
      <c r="Q4" s="157"/>
      <c r="R4" s="168" t="s">
        <v>88</v>
      </c>
      <c r="S4" s="163"/>
      <c r="T4" s="39" t="s">
        <v>79</v>
      </c>
      <c r="U4" s="163"/>
      <c r="V4" s="39" t="s">
        <v>102</v>
      </c>
      <c r="W4" s="163"/>
      <c r="X4" s="39" t="s">
        <v>192</v>
      </c>
      <c r="Y4" s="163"/>
      <c r="Z4" s="39" t="s">
        <v>80</v>
      </c>
      <c r="AA4" s="163"/>
      <c r="AB4" s="39" t="s">
        <v>81</v>
      </c>
      <c r="AC4" s="166"/>
      <c r="AD4" s="163"/>
      <c r="AE4" s="159"/>
      <c r="AF4" s="159"/>
      <c r="AG4" s="159"/>
      <c r="AH4" s="159"/>
      <c r="AI4" s="162"/>
    </row>
    <row r="5" spans="1:52" ht="10" customHeight="1" thickBot="1">
      <c r="A5" s="25"/>
      <c r="B5" s="25"/>
      <c r="C5" s="118"/>
      <c r="D5" s="124"/>
      <c r="E5" s="124"/>
      <c r="F5" s="125"/>
      <c r="G5" s="126"/>
      <c r="H5" s="125"/>
      <c r="I5" s="126"/>
      <c r="J5" s="126"/>
      <c r="K5" s="126"/>
      <c r="L5" s="125"/>
      <c r="M5" s="126"/>
      <c r="N5" s="127"/>
      <c r="O5" s="49"/>
      <c r="P5" s="140"/>
      <c r="Q5" s="160"/>
      <c r="R5" s="165"/>
      <c r="S5" s="161"/>
      <c r="T5" s="165"/>
      <c r="U5" s="161"/>
      <c r="V5" s="165"/>
      <c r="W5" s="161"/>
      <c r="X5" s="165"/>
      <c r="Y5" s="161"/>
      <c r="Z5" s="165"/>
      <c r="AA5" s="161"/>
      <c r="AB5" s="165"/>
      <c r="AC5" s="167"/>
      <c r="AD5" s="163"/>
      <c r="AE5" s="159"/>
      <c r="AF5" s="159"/>
      <c r="AG5" s="159"/>
      <c r="AH5" s="159"/>
      <c r="AI5" s="162"/>
    </row>
    <row r="6" spans="1:52" ht="10" customHeight="1" thickTop="1" thickBot="1">
      <c r="A6" s="25"/>
      <c r="B6" s="25"/>
      <c r="C6" s="128"/>
      <c r="D6" s="116"/>
      <c r="E6" s="116"/>
      <c r="F6" s="117"/>
      <c r="G6" s="117"/>
      <c r="H6" s="117"/>
      <c r="I6" s="117"/>
      <c r="J6" s="117"/>
      <c r="K6" s="117"/>
      <c r="L6" s="117"/>
      <c r="M6" s="117"/>
      <c r="N6" s="117"/>
      <c r="O6" s="128"/>
      <c r="P6" s="142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59"/>
      <c r="AE6" s="159"/>
      <c r="AF6" s="159"/>
      <c r="AG6" s="159"/>
      <c r="AH6" s="159"/>
      <c r="AI6" s="162"/>
    </row>
    <row r="7" spans="1:52" ht="10" customHeight="1" thickTop="1">
      <c r="A7" s="25"/>
      <c r="B7" s="25"/>
      <c r="C7" s="51"/>
      <c r="D7" s="130"/>
      <c r="E7" s="131"/>
      <c r="F7" s="129"/>
      <c r="G7" s="131"/>
      <c r="H7" s="129"/>
      <c r="I7" s="131"/>
      <c r="J7" s="129"/>
      <c r="K7" s="131"/>
      <c r="L7" s="129"/>
      <c r="M7" s="131"/>
      <c r="N7" s="131"/>
      <c r="O7" s="131"/>
      <c r="P7" s="140"/>
      <c r="Q7" s="154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6"/>
      <c r="AD7" s="163"/>
      <c r="AE7" s="159"/>
      <c r="AF7" s="159"/>
      <c r="AG7" s="159"/>
      <c r="AH7" s="159"/>
      <c r="AI7" s="162"/>
    </row>
    <row r="8" spans="1:52" ht="26" customHeight="1">
      <c r="A8" s="25"/>
      <c r="B8" s="25"/>
      <c r="C8" s="132"/>
      <c r="D8" s="133" t="s">
        <v>298</v>
      </c>
      <c r="E8" s="134"/>
      <c r="F8" s="33"/>
      <c r="G8" s="135"/>
      <c r="H8" s="112"/>
      <c r="I8" s="135"/>
      <c r="J8" s="113"/>
      <c r="K8" s="135"/>
      <c r="L8" s="114"/>
      <c r="M8" s="120"/>
      <c r="N8" s="126"/>
      <c r="O8" s="139"/>
      <c r="P8" s="140"/>
      <c r="Q8" s="157"/>
      <c r="R8" s="168" t="s">
        <v>99</v>
      </c>
      <c r="S8" s="163"/>
      <c r="T8" s="31" t="s">
        <v>83</v>
      </c>
      <c r="U8" s="163"/>
      <c r="V8" s="31" t="s">
        <v>84</v>
      </c>
      <c r="W8" s="163"/>
      <c r="X8" s="31" t="s">
        <v>85</v>
      </c>
      <c r="Y8" s="163"/>
      <c r="Z8" s="31" t="s">
        <v>86</v>
      </c>
      <c r="AA8" s="163"/>
      <c r="AB8" s="24" t="s">
        <v>87</v>
      </c>
      <c r="AC8" s="166"/>
      <c r="AD8" s="163"/>
      <c r="AE8" s="159"/>
      <c r="AF8" s="159"/>
      <c r="AG8" s="159"/>
      <c r="AH8" s="159"/>
      <c r="AI8" s="162"/>
    </row>
    <row r="9" spans="1:52" ht="10" customHeight="1" thickBot="1">
      <c r="A9" s="25"/>
      <c r="B9" s="25"/>
      <c r="C9" s="118"/>
      <c r="D9" s="136"/>
      <c r="E9" s="124"/>
      <c r="F9" s="125"/>
      <c r="G9" s="126"/>
      <c r="H9" s="125"/>
      <c r="I9" s="126"/>
      <c r="J9" s="125"/>
      <c r="K9" s="126"/>
      <c r="L9" s="125"/>
      <c r="M9" s="126"/>
      <c r="N9" s="137"/>
      <c r="O9" s="49"/>
      <c r="P9" s="140"/>
      <c r="Q9" s="160"/>
      <c r="R9" s="165"/>
      <c r="S9" s="161"/>
      <c r="T9" s="165"/>
      <c r="U9" s="161"/>
      <c r="V9" s="165"/>
      <c r="W9" s="161"/>
      <c r="X9" s="165"/>
      <c r="Y9" s="161"/>
      <c r="Z9" s="165"/>
      <c r="AA9" s="161"/>
      <c r="AB9" s="165"/>
      <c r="AC9" s="167"/>
      <c r="AD9" s="163"/>
      <c r="AE9" s="159"/>
      <c r="AF9" s="159"/>
      <c r="AG9" s="159"/>
      <c r="AH9" s="159"/>
      <c r="AI9" s="162"/>
    </row>
    <row r="10" spans="1:52" ht="10" customHeight="1" thickTop="1" thickBot="1">
      <c r="A10" s="25"/>
      <c r="B10" s="25"/>
      <c r="C10" s="131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1"/>
      <c r="P10" s="142"/>
      <c r="Q10" s="164"/>
      <c r="R10" s="164"/>
      <c r="S10" s="164"/>
      <c r="T10" s="164"/>
      <c r="U10" s="164"/>
      <c r="V10" s="164"/>
      <c r="W10" s="164"/>
      <c r="X10" s="164"/>
      <c r="Y10" s="164"/>
      <c r="Z10" s="164"/>
      <c r="AA10" s="164"/>
      <c r="AB10" s="164"/>
      <c r="AC10" s="164"/>
      <c r="AD10" s="159"/>
      <c r="AE10" s="159"/>
      <c r="AF10" s="159"/>
      <c r="AG10" s="159"/>
      <c r="AH10" s="159"/>
      <c r="AI10" s="162"/>
    </row>
    <row r="11" spans="1:52" ht="10" customHeight="1" thickTop="1">
      <c r="A11" s="25"/>
      <c r="B11" s="25" t="s">
        <v>95</v>
      </c>
      <c r="C11" s="154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73"/>
      <c r="O11" s="156"/>
      <c r="P11" s="171"/>
      <c r="Q11" s="154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</row>
    <row r="12" spans="1:52" ht="15" customHeight="1">
      <c r="A12" s="25"/>
      <c r="B12" s="25"/>
      <c r="C12" s="157"/>
      <c r="D12" s="273" t="s">
        <v>68</v>
      </c>
      <c r="E12" s="273"/>
      <c r="F12" s="273"/>
      <c r="G12" s="273"/>
      <c r="H12" s="273"/>
      <c r="I12" s="273"/>
      <c r="J12" s="273"/>
      <c r="K12" s="273"/>
      <c r="L12" s="273"/>
      <c r="M12" s="274"/>
      <c r="N12" s="275"/>
      <c r="O12" s="158"/>
      <c r="P12" s="171"/>
      <c r="Q12" s="157"/>
      <c r="R12" s="261" t="s">
        <v>69</v>
      </c>
      <c r="S12" s="261"/>
      <c r="T12" s="261"/>
      <c r="U12" s="261"/>
      <c r="V12" s="261"/>
      <c r="W12" s="261"/>
      <c r="X12" s="261"/>
      <c r="Y12" s="261"/>
      <c r="Z12" s="261"/>
      <c r="AA12" s="261"/>
      <c r="AB12" s="261"/>
      <c r="AC12" s="261"/>
      <c r="AD12" s="261"/>
      <c r="AE12" s="261"/>
      <c r="AF12" s="261"/>
      <c r="AG12" s="262"/>
      <c r="AH12" s="263"/>
      <c r="AI12" s="166"/>
    </row>
    <row r="13" spans="1:52">
      <c r="A13" s="25"/>
      <c r="B13" s="25"/>
      <c r="C13" s="157"/>
      <c r="D13" s="174"/>
      <c r="E13" s="159"/>
      <c r="F13" s="174"/>
      <c r="G13" s="159"/>
      <c r="H13" s="174"/>
      <c r="I13" s="159"/>
      <c r="J13" s="174"/>
      <c r="K13" s="159"/>
      <c r="L13" s="174"/>
      <c r="M13" s="159"/>
      <c r="N13" s="174"/>
      <c r="O13" s="158"/>
      <c r="P13" s="171"/>
      <c r="Q13" s="157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58"/>
    </row>
    <row r="14" spans="1:52" ht="42" customHeight="1">
      <c r="A14" s="25"/>
      <c r="B14" s="25"/>
      <c r="C14" s="178"/>
      <c r="D14" s="179" t="s">
        <v>471</v>
      </c>
      <c r="E14" s="181"/>
      <c r="F14" s="179" t="s">
        <v>473</v>
      </c>
      <c r="G14" s="181"/>
      <c r="H14" s="179" t="s">
        <v>475</v>
      </c>
      <c r="I14" s="181"/>
      <c r="J14" s="179" t="s">
        <v>477</v>
      </c>
      <c r="K14" s="181"/>
      <c r="L14" s="179" t="s">
        <v>479</v>
      </c>
      <c r="M14" s="181"/>
      <c r="N14" s="179" t="s">
        <v>481</v>
      </c>
      <c r="O14" s="182"/>
      <c r="P14" s="171"/>
      <c r="Q14" s="157"/>
      <c r="R14" s="168" t="s">
        <v>321</v>
      </c>
      <c r="S14" s="163"/>
      <c r="T14" s="29" t="s">
        <v>72</v>
      </c>
      <c r="U14" s="163"/>
      <c r="V14" s="29" t="s">
        <v>70</v>
      </c>
      <c r="W14" s="163"/>
      <c r="X14" s="29" t="s">
        <v>73</v>
      </c>
      <c r="Y14" s="163"/>
      <c r="Z14" s="29" t="s">
        <v>74</v>
      </c>
      <c r="AA14" s="163"/>
      <c r="AB14" s="29" t="s">
        <v>71</v>
      </c>
      <c r="AC14" s="163"/>
      <c r="AD14" s="168" t="s">
        <v>277</v>
      </c>
      <c r="AE14" s="163"/>
      <c r="AF14" s="29" t="s">
        <v>75</v>
      </c>
      <c r="AG14" s="163"/>
      <c r="AH14" s="29" t="s">
        <v>76</v>
      </c>
      <c r="AI14" s="166"/>
    </row>
    <row r="15" spans="1:52" ht="10" customHeight="1">
      <c r="A15" s="25"/>
      <c r="B15" s="25"/>
      <c r="C15" s="157"/>
      <c r="D15" s="180"/>
      <c r="E15" s="159"/>
      <c r="F15" s="180"/>
      <c r="G15" s="159"/>
      <c r="H15" s="180"/>
      <c r="I15" s="159"/>
      <c r="J15" s="180"/>
      <c r="K15" s="159"/>
      <c r="L15" s="180"/>
      <c r="M15" s="159"/>
      <c r="N15" s="180"/>
      <c r="O15" s="158"/>
      <c r="P15" s="171"/>
      <c r="Q15" s="157"/>
      <c r="R15" s="164"/>
      <c r="S15" s="159"/>
      <c r="T15" s="164"/>
      <c r="U15" s="159"/>
      <c r="V15" s="164"/>
      <c r="W15" s="159"/>
      <c r="X15" s="164"/>
      <c r="Y15" s="159"/>
      <c r="Z15" s="164"/>
      <c r="AA15" s="159"/>
      <c r="AB15" s="164"/>
      <c r="AC15" s="159"/>
      <c r="AD15" s="164"/>
      <c r="AE15" s="159"/>
      <c r="AF15" s="164"/>
      <c r="AG15" s="159"/>
      <c r="AH15" s="164"/>
      <c r="AI15" s="158"/>
    </row>
    <row r="16" spans="1:52" ht="42" customHeight="1">
      <c r="A16" s="25"/>
      <c r="B16" s="25"/>
      <c r="C16" s="178"/>
      <c r="D16" s="179" t="s">
        <v>483</v>
      </c>
      <c r="E16" s="181"/>
      <c r="F16" s="179" t="s">
        <v>485</v>
      </c>
      <c r="G16" s="181"/>
      <c r="H16" s="179" t="s">
        <v>487</v>
      </c>
      <c r="I16" s="181"/>
      <c r="J16" s="179" t="s">
        <v>489</v>
      </c>
      <c r="K16" s="181"/>
      <c r="L16" s="179" t="s">
        <v>491</v>
      </c>
      <c r="M16" s="181"/>
      <c r="N16" s="179" t="s">
        <v>493</v>
      </c>
      <c r="O16" s="182"/>
      <c r="P16" s="171"/>
      <c r="Q16" s="157"/>
      <c r="R16" s="168" t="s">
        <v>276</v>
      </c>
      <c r="S16" s="163"/>
      <c r="T16" s="29" t="s">
        <v>75</v>
      </c>
      <c r="U16" s="163"/>
      <c r="V16" s="29" t="s">
        <v>76</v>
      </c>
      <c r="W16" s="163"/>
      <c r="X16" s="29" t="s">
        <v>96</v>
      </c>
      <c r="Y16" s="163"/>
      <c r="Z16" s="159"/>
      <c r="AA16" s="159"/>
      <c r="AB16" s="169" t="s">
        <v>459</v>
      </c>
      <c r="AC16" s="163"/>
      <c r="AD16" s="39" t="s">
        <v>299</v>
      </c>
      <c r="AE16" s="163"/>
      <c r="AF16" s="39" t="s">
        <v>457</v>
      </c>
      <c r="AG16" s="163"/>
      <c r="AH16" s="39" t="s">
        <v>458</v>
      </c>
      <c r="AI16" s="166"/>
    </row>
    <row r="17" spans="1:35" ht="10" customHeight="1">
      <c r="A17" s="25"/>
      <c r="B17" s="25"/>
      <c r="C17" s="157"/>
      <c r="D17" s="180"/>
      <c r="E17" s="159"/>
      <c r="F17" s="180"/>
      <c r="G17" s="159"/>
      <c r="H17" s="180"/>
      <c r="I17" s="159"/>
      <c r="J17" s="180"/>
      <c r="K17" s="159"/>
      <c r="L17" s="180"/>
      <c r="M17" s="159"/>
      <c r="N17" s="180"/>
      <c r="O17" s="158"/>
      <c r="P17" s="171"/>
      <c r="Q17" s="157"/>
      <c r="R17" s="164"/>
      <c r="S17" s="159"/>
      <c r="T17" s="164"/>
      <c r="U17" s="159"/>
      <c r="V17" s="164"/>
      <c r="W17" s="159"/>
      <c r="X17" s="164"/>
      <c r="Y17" s="159"/>
      <c r="Z17" s="159"/>
      <c r="AA17" s="159"/>
      <c r="AB17" s="164"/>
      <c r="AC17" s="159"/>
      <c r="AD17" s="164"/>
      <c r="AE17" s="159"/>
      <c r="AF17" s="164"/>
      <c r="AG17" s="159"/>
      <c r="AH17" s="164"/>
      <c r="AI17" s="158"/>
    </row>
    <row r="18" spans="1:35" ht="42" customHeight="1">
      <c r="A18" s="25"/>
      <c r="B18" s="25"/>
      <c r="C18" s="178"/>
      <c r="D18" s="179" t="s">
        <v>495</v>
      </c>
      <c r="E18" s="181"/>
      <c r="F18" s="179" t="s">
        <v>497</v>
      </c>
      <c r="G18" s="181"/>
      <c r="H18" s="179" t="s">
        <v>499</v>
      </c>
      <c r="I18" s="181"/>
      <c r="J18" s="179" t="s">
        <v>501</v>
      </c>
      <c r="K18" s="181"/>
      <c r="L18" s="179" t="s">
        <v>503</v>
      </c>
      <c r="M18" s="181"/>
      <c r="N18" s="179" t="s">
        <v>505</v>
      </c>
      <c r="O18" s="182"/>
      <c r="P18" s="171"/>
      <c r="Q18" s="157"/>
      <c r="R18" s="168" t="s">
        <v>176</v>
      </c>
      <c r="S18" s="163"/>
      <c r="T18" s="29" t="s">
        <v>177</v>
      </c>
      <c r="U18" s="163"/>
      <c r="V18" s="29" t="s">
        <v>178</v>
      </c>
      <c r="W18" s="163"/>
      <c r="X18" s="29" t="s">
        <v>179</v>
      </c>
      <c r="Y18" s="163"/>
      <c r="Z18" s="29" t="s">
        <v>180</v>
      </c>
      <c r="AA18" s="163"/>
      <c r="AB18" s="29" t="s">
        <v>60</v>
      </c>
      <c r="AC18" s="163"/>
      <c r="AD18" s="29" t="s">
        <v>77</v>
      </c>
      <c r="AE18" s="163"/>
      <c r="AF18" s="29" t="s">
        <v>273</v>
      </c>
      <c r="AG18" s="163"/>
      <c r="AH18" s="29" t="s">
        <v>452</v>
      </c>
      <c r="AI18" s="166"/>
    </row>
    <row r="19" spans="1:35" s="25" customFormat="1" ht="10" customHeight="1">
      <c r="C19" s="157"/>
      <c r="D19" s="180"/>
      <c r="E19" s="159"/>
      <c r="F19" s="180"/>
      <c r="G19" s="159"/>
      <c r="H19" s="180"/>
      <c r="I19" s="159"/>
      <c r="J19" s="180"/>
      <c r="K19" s="159"/>
      <c r="L19" s="180"/>
      <c r="M19" s="159"/>
      <c r="N19" s="180"/>
      <c r="O19" s="158"/>
      <c r="P19" s="171"/>
      <c r="Q19" s="157"/>
      <c r="R19" s="164"/>
      <c r="S19" s="159"/>
      <c r="T19" s="164"/>
      <c r="U19" s="159"/>
      <c r="V19" s="164"/>
      <c r="W19" s="159"/>
      <c r="X19" s="164"/>
      <c r="Y19" s="159"/>
      <c r="Z19" s="164"/>
      <c r="AA19" s="159"/>
      <c r="AB19" s="164"/>
      <c r="AC19" s="159"/>
      <c r="AD19" s="164"/>
      <c r="AE19" s="159"/>
      <c r="AF19" s="164"/>
      <c r="AG19" s="159"/>
      <c r="AH19" s="164"/>
      <c r="AI19" s="158"/>
    </row>
    <row r="20" spans="1:35" ht="42" customHeight="1">
      <c r="A20" s="25"/>
      <c r="B20" s="25"/>
      <c r="C20" s="178"/>
      <c r="D20" s="179" t="s">
        <v>507</v>
      </c>
      <c r="E20" s="181"/>
      <c r="F20" s="179" t="s">
        <v>509</v>
      </c>
      <c r="G20" s="181"/>
      <c r="H20" s="179" t="s">
        <v>511</v>
      </c>
      <c r="I20" s="181"/>
      <c r="J20" s="179" t="s">
        <v>513</v>
      </c>
      <c r="K20" s="181"/>
      <c r="L20" s="183" t="s">
        <v>92</v>
      </c>
      <c r="M20" s="181"/>
      <c r="N20" s="183" t="s">
        <v>82</v>
      </c>
      <c r="O20" s="177"/>
      <c r="P20" s="171"/>
      <c r="Q20" s="157"/>
      <c r="R20" s="168" t="s">
        <v>116</v>
      </c>
      <c r="S20" s="163"/>
      <c r="T20" s="30" t="s">
        <v>210</v>
      </c>
      <c r="U20" s="163"/>
      <c r="V20" s="30" t="s">
        <v>211</v>
      </c>
      <c r="W20" s="163"/>
      <c r="X20" s="168" t="s">
        <v>205</v>
      </c>
      <c r="Y20" s="163"/>
      <c r="Z20" s="30" t="s">
        <v>206</v>
      </c>
      <c r="AA20" s="163"/>
      <c r="AB20" s="30" t="s">
        <v>207</v>
      </c>
      <c r="AC20" s="163"/>
      <c r="AD20" s="30" t="s">
        <v>208</v>
      </c>
      <c r="AE20" s="163"/>
      <c r="AF20" s="30" t="s">
        <v>209</v>
      </c>
      <c r="AG20" s="163"/>
      <c r="AH20" s="30" t="s">
        <v>135</v>
      </c>
      <c r="AI20" s="166"/>
    </row>
    <row r="21" spans="1:35" ht="10" customHeight="1" thickBot="1">
      <c r="A21" s="25"/>
      <c r="B21" s="25"/>
      <c r="C21" s="157"/>
      <c r="D21" s="184"/>
      <c r="E21" s="159"/>
      <c r="F21" s="184"/>
      <c r="G21" s="159"/>
      <c r="H21" s="184"/>
      <c r="I21" s="159"/>
      <c r="J21" s="184"/>
      <c r="K21" s="159"/>
      <c r="L21" s="184"/>
      <c r="M21" s="159"/>
      <c r="N21" s="185"/>
      <c r="O21" s="170"/>
      <c r="P21" s="172"/>
      <c r="Q21" s="160"/>
      <c r="R21" s="165"/>
      <c r="S21" s="161"/>
      <c r="T21" s="165"/>
      <c r="U21" s="161"/>
      <c r="V21" s="165"/>
      <c r="W21" s="161"/>
      <c r="X21" s="165"/>
      <c r="Y21" s="161"/>
      <c r="Z21" s="165"/>
      <c r="AA21" s="161"/>
      <c r="AB21" s="165"/>
      <c r="AC21" s="161"/>
      <c r="AD21" s="165"/>
      <c r="AE21" s="161"/>
      <c r="AF21" s="165"/>
      <c r="AG21" s="161"/>
      <c r="AH21" s="165"/>
      <c r="AI21" s="167"/>
    </row>
    <row r="22" spans="1:35" ht="10" customHeight="1" thickTop="1" thickBot="1">
      <c r="A22" s="25"/>
      <c r="B22" s="2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86"/>
      <c r="P22" s="25"/>
    </row>
    <row r="23" spans="1:35" ht="10" customHeight="1" thickTop="1">
      <c r="A23" s="25"/>
      <c r="B23" s="25"/>
      <c r="C23" s="154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73"/>
      <c r="O23" s="156"/>
      <c r="P23" s="25"/>
    </row>
    <row r="24" spans="1:35" ht="15" customHeight="1">
      <c r="A24" s="25"/>
      <c r="B24" s="25"/>
      <c r="C24" s="157"/>
      <c r="D24" s="264" t="s">
        <v>90</v>
      </c>
      <c r="E24" s="264"/>
      <c r="F24" s="264"/>
      <c r="G24" s="264"/>
      <c r="H24" s="264"/>
      <c r="I24" s="264"/>
      <c r="J24" s="264"/>
      <c r="K24" s="264"/>
      <c r="L24" s="264"/>
      <c r="M24" s="265"/>
      <c r="N24" s="266"/>
      <c r="O24" s="158"/>
      <c r="P24" s="25"/>
    </row>
    <row r="25" spans="1:35" s="25" customFormat="1" ht="10" customHeight="1">
      <c r="C25" s="157"/>
      <c r="D25" s="175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8"/>
    </row>
    <row r="26" spans="1:35" ht="15" customHeight="1">
      <c r="A26" s="25"/>
      <c r="B26" s="25"/>
      <c r="C26" s="187"/>
      <c r="D26" s="188" t="s">
        <v>91</v>
      </c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8"/>
      <c r="P26" s="25"/>
    </row>
    <row r="27" spans="1:35" ht="10" customHeight="1">
      <c r="A27" s="25"/>
      <c r="B27" s="25"/>
      <c r="C27" s="157"/>
      <c r="D27" s="159"/>
      <c r="E27" s="159"/>
      <c r="F27" s="175"/>
      <c r="G27" s="159"/>
      <c r="H27" s="174"/>
      <c r="I27" s="159"/>
      <c r="J27" s="174"/>
      <c r="K27" s="159"/>
      <c r="L27" s="174"/>
      <c r="M27" s="159"/>
      <c r="N27" s="174"/>
      <c r="O27" s="158"/>
      <c r="P27" s="25"/>
    </row>
    <row r="28" spans="1:35" ht="42" customHeight="1">
      <c r="A28" s="25"/>
      <c r="B28" s="25"/>
      <c r="C28" s="157"/>
      <c r="D28" s="267">
        <v>6.635214706018519E-2</v>
      </c>
      <c r="E28" s="268"/>
      <c r="F28" s="269"/>
      <c r="G28" s="189"/>
      <c r="H28" s="190" t="s">
        <v>62</v>
      </c>
      <c r="I28" s="181"/>
      <c r="J28" s="191" t="s">
        <v>61</v>
      </c>
      <c r="K28" s="181"/>
      <c r="L28" s="190" t="s">
        <v>169</v>
      </c>
      <c r="M28" s="181"/>
      <c r="N28" s="192" t="s">
        <v>63</v>
      </c>
      <c r="O28" s="177"/>
      <c r="P28" s="25"/>
      <c r="R28" s="25" t="s">
        <v>117</v>
      </c>
    </row>
    <row r="29" spans="1:35" ht="90" customHeight="1" thickBot="1">
      <c r="A29" s="25"/>
      <c r="B29" s="25"/>
      <c r="C29" s="157"/>
      <c r="D29" s="159"/>
      <c r="E29" s="159"/>
      <c r="F29" s="159"/>
      <c r="G29" s="159"/>
      <c r="H29" s="184"/>
      <c r="I29" s="159"/>
      <c r="J29" s="184"/>
      <c r="K29" s="159"/>
      <c r="L29" s="184"/>
      <c r="M29" s="159"/>
      <c r="N29" s="185"/>
      <c r="O29" s="170"/>
      <c r="P29" s="25"/>
    </row>
    <row r="30" spans="1:35" ht="106" customHeight="1" thickTop="1">
      <c r="A30" s="25"/>
      <c r="B30" s="2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86"/>
      <c r="P30" s="25"/>
    </row>
    <row r="31" spans="1:35" ht="10" customHeight="1">
      <c r="A31" s="25"/>
      <c r="B31" s="25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62"/>
      <c r="P31" s="25"/>
    </row>
    <row r="32" spans="1:35" ht="42" customHeight="1">
      <c r="A32" s="25"/>
      <c r="B32" s="25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62"/>
      <c r="P32" s="25"/>
    </row>
    <row r="33" spans="1:21" ht="15" customHeight="1">
      <c r="A33" s="25"/>
      <c r="B33" s="25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62"/>
      <c r="P33" s="25"/>
    </row>
    <row r="34" spans="1:21" ht="15" customHeight="1">
      <c r="A34" s="25"/>
      <c r="B34" s="25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62"/>
      <c r="P34" s="25"/>
    </row>
    <row r="35" spans="1:21" ht="15" customHeight="1">
      <c r="A35" s="25"/>
      <c r="B35" s="25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62"/>
      <c r="P35" s="25"/>
    </row>
    <row r="36" spans="1:21" ht="15" customHeight="1">
      <c r="A36" s="25"/>
      <c r="B36" s="25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62"/>
      <c r="P36" s="25"/>
    </row>
    <row r="37" spans="1:21" ht="15" customHeight="1">
      <c r="A37" s="25"/>
      <c r="B37" s="25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62"/>
      <c r="P37" s="25"/>
    </row>
    <row r="38" spans="1:21" ht="15" customHeight="1">
      <c r="A38" s="25"/>
      <c r="B38" s="25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62"/>
      <c r="P38" s="25"/>
    </row>
    <row r="39" spans="1:21" ht="15" customHeight="1">
      <c r="A39" s="25"/>
      <c r="B39" s="25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62"/>
      <c r="P39" s="25"/>
    </row>
    <row r="40" spans="1:21" ht="15" customHeight="1">
      <c r="A40" s="25"/>
      <c r="B40" s="25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62"/>
      <c r="P40" s="25"/>
      <c r="R40" s="26"/>
      <c r="S40" s="26"/>
    </row>
    <row r="41" spans="1:21" ht="15" customHeight="1">
      <c r="A41" s="25"/>
      <c r="B41" s="25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62"/>
      <c r="P41" s="25"/>
      <c r="R41" s="26"/>
      <c r="S41" s="26"/>
    </row>
    <row r="42" spans="1:21" ht="15" customHeight="1">
      <c r="A42" s="25"/>
      <c r="B42" s="25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62"/>
      <c r="P42" s="25"/>
    </row>
    <row r="43" spans="1:21" s="25" customFormat="1" ht="15" customHeight="1"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62"/>
    </row>
    <row r="44" spans="1:21" ht="15" customHeight="1">
      <c r="A44" s="25"/>
      <c r="B44" s="25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62"/>
      <c r="P44" s="25"/>
    </row>
    <row r="45" spans="1:21" ht="15" customHeight="1">
      <c r="A45" s="25"/>
      <c r="B45" s="25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62"/>
      <c r="P45" s="25"/>
      <c r="Q45" s="27"/>
      <c r="T45" s="26"/>
      <c r="U45" s="26"/>
    </row>
    <row r="46" spans="1:21" ht="15" customHeight="1">
      <c r="A46" s="25"/>
      <c r="B46" s="25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62"/>
      <c r="P46" s="25"/>
      <c r="U46" s="26"/>
    </row>
    <row r="47" spans="1:21" ht="15" customHeight="1">
      <c r="A47" s="25"/>
      <c r="B47" s="25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2"/>
      <c r="P47" s="25"/>
      <c r="U47" s="26"/>
    </row>
    <row r="48" spans="1:21" ht="15" customHeight="1">
      <c r="A48" s="25"/>
      <c r="B48" s="25"/>
      <c r="C48" s="159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62"/>
      <c r="P48" s="25"/>
      <c r="Q48" s="25" t="s">
        <v>117</v>
      </c>
      <c r="U48" s="26"/>
    </row>
    <row r="49" spans="1:18" ht="15" customHeight="1">
      <c r="A49" s="25"/>
      <c r="B49" s="25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62"/>
      <c r="P49" s="25"/>
    </row>
    <row r="50" spans="1:18" ht="15" customHeight="1">
      <c r="A50" s="25"/>
      <c r="B50" s="25"/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62"/>
      <c r="P50" s="25"/>
    </row>
    <row r="51" spans="1:18" ht="15" customHeight="1">
      <c r="A51" s="25"/>
      <c r="B51" s="25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62"/>
      <c r="P51" s="25"/>
      <c r="R51" s="25" t="s">
        <v>117</v>
      </c>
    </row>
    <row r="52" spans="1:18" ht="15" customHeight="1">
      <c r="A52" s="25"/>
      <c r="B52" s="25"/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62"/>
      <c r="P52" s="25"/>
    </row>
    <row r="53" spans="1:18" s="25" customFormat="1" ht="15" customHeight="1"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6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58"/>
  <sheetViews>
    <sheetView workbookViewId="0">
      <selection activeCell="E55" sqref="E5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 hidden="1">
      <c r="A2" s="111">
        <v>6.6201553043981481E-2</v>
      </c>
      <c r="B2" t="s">
        <v>94</v>
      </c>
      <c r="C2"/>
      <c r="D2"/>
      <c r="E2" t="s">
        <v>87</v>
      </c>
      <c r="F2"/>
      <c r="G2" t="s">
        <v>98</v>
      </c>
      <c r="H2"/>
      <c r="I2" s="197">
        <v>46287.761296296296</v>
      </c>
      <c r="J2" t="s">
        <v>468</v>
      </c>
      <c r="K2" t="s">
        <v>444</v>
      </c>
      <c r="L2" s="196">
        <v>46285</v>
      </c>
      <c r="M2" t="s">
        <v>439</v>
      </c>
      <c r="N2" t="s">
        <v>231</v>
      </c>
      <c r="O2" t="s">
        <v>232</v>
      </c>
      <c r="P2">
        <v>1</v>
      </c>
      <c r="Q2" t="s">
        <v>247</v>
      </c>
    </row>
    <row r="3" spans="1:17" s="25" customFormat="1" hidden="1">
      <c r="A3" s="111">
        <v>6.6130764201388886E-2</v>
      </c>
      <c r="B3" t="s">
        <v>94</v>
      </c>
      <c r="C3"/>
      <c r="D3"/>
      <c r="E3" t="s">
        <v>186</v>
      </c>
      <c r="F3"/>
      <c r="G3" t="s">
        <v>98</v>
      </c>
      <c r="H3"/>
      <c r="I3" s="197">
        <v>46287.76122685185</v>
      </c>
      <c r="J3" t="s">
        <v>468</v>
      </c>
      <c r="K3" t="s">
        <v>444</v>
      </c>
      <c r="L3" s="196">
        <v>46285</v>
      </c>
      <c r="M3" t="s">
        <v>439</v>
      </c>
      <c r="N3" t="s">
        <v>231</v>
      </c>
      <c r="O3" t="s">
        <v>232</v>
      </c>
      <c r="P3">
        <v>1</v>
      </c>
      <c r="Q3" t="s">
        <v>247</v>
      </c>
    </row>
    <row r="4" spans="1:17" s="25" customFormat="1" hidden="1">
      <c r="A4" s="111">
        <v>6.6112351446759268E-2</v>
      </c>
      <c r="B4" t="s">
        <v>94</v>
      </c>
      <c r="C4"/>
      <c r="D4"/>
      <c r="E4" t="s">
        <v>184</v>
      </c>
      <c r="F4"/>
      <c r="G4" t="s">
        <v>164</v>
      </c>
      <c r="H4"/>
      <c r="I4" s="197">
        <v>46287.761203703703</v>
      </c>
      <c r="J4" t="s">
        <v>468</v>
      </c>
      <c r="K4" t="s">
        <v>444</v>
      </c>
      <c r="L4" s="196">
        <v>46285</v>
      </c>
      <c r="M4" t="s">
        <v>439</v>
      </c>
      <c r="N4" t="s">
        <v>231</v>
      </c>
      <c r="O4" t="s">
        <v>232</v>
      </c>
      <c r="P4">
        <v>1</v>
      </c>
      <c r="Q4" t="s">
        <v>247</v>
      </c>
    </row>
    <row r="5" spans="1:17" s="25" customFormat="1" hidden="1">
      <c r="A5" s="111">
        <v>6.5986497013888895E-2</v>
      </c>
      <c r="B5" t="s">
        <v>94</v>
      </c>
      <c r="C5" t="s">
        <v>502</v>
      </c>
      <c r="D5"/>
      <c r="E5" t="s">
        <v>108</v>
      </c>
      <c r="F5"/>
      <c r="G5" t="s">
        <v>164</v>
      </c>
      <c r="H5"/>
      <c r="I5" s="197">
        <v>46287.761064814818</v>
      </c>
      <c r="J5" t="s">
        <v>468</v>
      </c>
      <c r="K5" t="s">
        <v>444</v>
      </c>
      <c r="L5" s="196">
        <v>46285</v>
      </c>
      <c r="M5" t="s">
        <v>439</v>
      </c>
      <c r="N5" t="s">
        <v>231</v>
      </c>
      <c r="O5" t="s">
        <v>232</v>
      </c>
      <c r="P5">
        <v>1</v>
      </c>
      <c r="Q5" t="s">
        <v>247</v>
      </c>
    </row>
    <row r="6" spans="1:17" s="25" customFormat="1" hidden="1">
      <c r="A6" s="111">
        <v>6.5944223750000003E-2</v>
      </c>
      <c r="B6" t="s">
        <v>94</v>
      </c>
      <c r="C6"/>
      <c r="D6"/>
      <c r="E6" t="s">
        <v>188</v>
      </c>
      <c r="F6"/>
      <c r="G6" t="s">
        <v>164</v>
      </c>
      <c r="H6"/>
      <c r="I6" s="197">
        <v>46287.760868055557</v>
      </c>
      <c r="J6" t="s">
        <v>468</v>
      </c>
      <c r="K6" t="s">
        <v>444</v>
      </c>
      <c r="L6" s="196">
        <v>46285</v>
      </c>
      <c r="M6" t="s">
        <v>439</v>
      </c>
      <c r="N6" t="s">
        <v>231</v>
      </c>
      <c r="O6" t="s">
        <v>232</v>
      </c>
      <c r="P6">
        <v>1</v>
      </c>
      <c r="Q6" t="s">
        <v>247</v>
      </c>
    </row>
    <row r="7" spans="1:17" s="25" customFormat="1" hidden="1">
      <c r="A7" s="111">
        <v>6.591633530092593E-2</v>
      </c>
      <c r="B7" t="s">
        <v>94</v>
      </c>
      <c r="C7"/>
      <c r="D7"/>
      <c r="E7" t="s">
        <v>184</v>
      </c>
      <c r="F7"/>
      <c r="G7" t="s">
        <v>164</v>
      </c>
      <c r="H7"/>
      <c r="I7" s="197">
        <v>46287.760752314818</v>
      </c>
      <c r="J7" t="s">
        <v>468</v>
      </c>
      <c r="K7" t="s">
        <v>444</v>
      </c>
      <c r="L7" s="196">
        <v>46285</v>
      </c>
      <c r="M7" t="s">
        <v>439</v>
      </c>
      <c r="N7" t="s">
        <v>231</v>
      </c>
      <c r="O7" t="s">
        <v>232</v>
      </c>
      <c r="P7">
        <v>1</v>
      </c>
      <c r="Q7" t="s">
        <v>247</v>
      </c>
    </row>
    <row r="8" spans="1:17" s="25" customFormat="1" hidden="1">
      <c r="A8" s="111">
        <v>6.588625715277778E-2</v>
      </c>
      <c r="B8" t="s">
        <v>94</v>
      </c>
      <c r="C8"/>
      <c r="D8"/>
      <c r="E8" t="s">
        <v>113</v>
      </c>
      <c r="F8"/>
      <c r="G8" t="s">
        <v>164</v>
      </c>
      <c r="H8"/>
      <c r="I8" s="197">
        <v>46287.760706018518</v>
      </c>
      <c r="J8" t="s">
        <v>468</v>
      </c>
      <c r="K8" t="s">
        <v>444</v>
      </c>
      <c r="L8" s="196">
        <v>46285</v>
      </c>
      <c r="M8" t="s">
        <v>439</v>
      </c>
      <c r="N8" t="s">
        <v>231</v>
      </c>
      <c r="O8" t="s">
        <v>232</v>
      </c>
      <c r="P8">
        <v>1</v>
      </c>
      <c r="Q8" t="s">
        <v>247</v>
      </c>
    </row>
    <row r="9" spans="1:17" s="25" customFormat="1" hidden="1">
      <c r="A9" s="111">
        <v>6.58185734837963E-2</v>
      </c>
      <c r="B9" t="s">
        <v>94</v>
      </c>
      <c r="C9"/>
      <c r="D9"/>
      <c r="E9" t="s">
        <v>104</v>
      </c>
      <c r="F9"/>
      <c r="G9" t="s">
        <v>164</v>
      </c>
      <c r="H9"/>
      <c r="I9" s="197">
        <v>46287.760636574072</v>
      </c>
      <c r="J9" t="s">
        <v>468</v>
      </c>
      <c r="K9" t="s">
        <v>444</v>
      </c>
      <c r="L9" s="196">
        <v>46285</v>
      </c>
      <c r="M9" t="s">
        <v>439</v>
      </c>
      <c r="N9" t="s">
        <v>231</v>
      </c>
      <c r="O9" t="s">
        <v>232</v>
      </c>
      <c r="P9">
        <v>1</v>
      </c>
      <c r="Q9" t="s">
        <v>247</v>
      </c>
    </row>
    <row r="10" spans="1:17" s="25" customFormat="1" hidden="1">
      <c r="A10" s="111">
        <v>6.5252542777777769E-2</v>
      </c>
      <c r="B10" t="s">
        <v>94</v>
      </c>
      <c r="C10"/>
      <c r="D10"/>
      <c r="E10" t="s">
        <v>87</v>
      </c>
      <c r="F10"/>
      <c r="G10" t="s">
        <v>164</v>
      </c>
      <c r="H10" t="s">
        <v>520</v>
      </c>
      <c r="I10" s="197">
        <v>46287.760138888887</v>
      </c>
      <c r="J10" t="s">
        <v>468</v>
      </c>
      <c r="K10" t="s">
        <v>444</v>
      </c>
      <c r="L10" s="196">
        <v>46285</v>
      </c>
      <c r="M10" t="s">
        <v>439</v>
      </c>
      <c r="N10" t="s">
        <v>231</v>
      </c>
      <c r="O10" t="s">
        <v>232</v>
      </c>
      <c r="P10">
        <v>1</v>
      </c>
      <c r="Q10" t="s">
        <v>247</v>
      </c>
    </row>
    <row r="11" spans="1:17" s="25" customFormat="1" hidden="1">
      <c r="A11" s="111">
        <v>6.5252542777777769E-2</v>
      </c>
      <c r="B11" t="s">
        <v>94</v>
      </c>
      <c r="C11" t="s">
        <v>486</v>
      </c>
      <c r="D11" t="s">
        <v>222</v>
      </c>
      <c r="E11" t="s">
        <v>214</v>
      </c>
      <c r="F11" t="s">
        <v>82</v>
      </c>
      <c r="G11" t="s">
        <v>164</v>
      </c>
      <c r="H11"/>
      <c r="I11" s="197">
        <v>46287.760138888887</v>
      </c>
      <c r="J11" t="s">
        <v>468</v>
      </c>
      <c r="K11" t="s">
        <v>444</v>
      </c>
      <c r="L11" s="196">
        <v>46285</v>
      </c>
      <c r="M11" t="s">
        <v>439</v>
      </c>
      <c r="N11" t="s">
        <v>231</v>
      </c>
      <c r="O11" t="s">
        <v>232</v>
      </c>
      <c r="P11">
        <v>1</v>
      </c>
      <c r="Q11" t="s">
        <v>247</v>
      </c>
    </row>
    <row r="12" spans="1:17" s="25" customFormat="1" hidden="1">
      <c r="A12" s="111">
        <v>6.5233839456018516E-2</v>
      </c>
      <c r="B12" t="s">
        <v>94</v>
      </c>
      <c r="C12"/>
      <c r="D12"/>
      <c r="E12" t="s">
        <v>60</v>
      </c>
      <c r="F12"/>
      <c r="G12" t="s">
        <v>98</v>
      </c>
      <c r="H12"/>
      <c r="I12" s="197">
        <v>46287.75986111111</v>
      </c>
      <c r="J12" t="s">
        <v>468</v>
      </c>
      <c r="K12" t="s">
        <v>444</v>
      </c>
      <c r="L12" s="196">
        <v>46285</v>
      </c>
      <c r="M12" t="s">
        <v>439</v>
      </c>
      <c r="N12" t="s">
        <v>231</v>
      </c>
      <c r="O12" t="s">
        <v>232</v>
      </c>
      <c r="P12">
        <v>1</v>
      </c>
      <c r="Q12" t="s">
        <v>247</v>
      </c>
    </row>
    <row r="13" spans="1:17" s="25" customFormat="1" hidden="1">
      <c r="A13" s="111">
        <v>6.5199269548611119E-2</v>
      </c>
      <c r="B13" t="s">
        <v>94</v>
      </c>
      <c r="C13" t="s">
        <v>512</v>
      </c>
      <c r="D13"/>
      <c r="E13" t="s">
        <v>463</v>
      </c>
      <c r="F13"/>
      <c r="G13" t="s">
        <v>98</v>
      </c>
      <c r="H13"/>
      <c r="I13" s="197">
        <v>46287.759756944448</v>
      </c>
      <c r="J13" t="s">
        <v>468</v>
      </c>
      <c r="K13" t="s">
        <v>444</v>
      </c>
      <c r="L13" s="196">
        <v>46285</v>
      </c>
      <c r="M13" t="s">
        <v>439</v>
      </c>
      <c r="N13" t="s">
        <v>231</v>
      </c>
      <c r="O13" t="s">
        <v>232</v>
      </c>
      <c r="P13">
        <v>1</v>
      </c>
      <c r="Q13" t="s">
        <v>247</v>
      </c>
    </row>
    <row r="14" spans="1:17" s="25" customFormat="1" hidden="1">
      <c r="A14" s="111">
        <v>6.510617572916666E-2</v>
      </c>
      <c r="B14" t="s">
        <v>94</v>
      </c>
      <c r="C14" t="s">
        <v>500</v>
      </c>
      <c r="D14"/>
      <c r="E14" t="s">
        <v>462</v>
      </c>
      <c r="F14"/>
      <c r="G14" t="s">
        <v>98</v>
      </c>
      <c r="H14"/>
      <c r="I14" s="197">
        <v>46287.759583333333</v>
      </c>
      <c r="J14" t="s">
        <v>468</v>
      </c>
      <c r="K14" t="s">
        <v>444</v>
      </c>
      <c r="L14" s="196">
        <v>46285</v>
      </c>
      <c r="M14" t="s">
        <v>439</v>
      </c>
      <c r="N14" t="s">
        <v>231</v>
      </c>
      <c r="O14" t="s">
        <v>232</v>
      </c>
      <c r="P14">
        <v>1</v>
      </c>
      <c r="Q14" t="s">
        <v>247</v>
      </c>
    </row>
    <row r="15" spans="1:17" s="25" customFormat="1" hidden="1">
      <c r="A15" s="111">
        <v>6.5057660081018515E-2</v>
      </c>
      <c r="B15" t="s">
        <v>94</v>
      </c>
      <c r="C15" t="s">
        <v>478</v>
      </c>
      <c r="D15"/>
      <c r="E15" t="s">
        <v>463</v>
      </c>
      <c r="F15"/>
      <c r="G15" t="s">
        <v>98</v>
      </c>
      <c r="H15"/>
      <c r="I15" s="197">
        <v>46287.759363425925</v>
      </c>
      <c r="J15" t="s">
        <v>468</v>
      </c>
      <c r="K15" t="s">
        <v>444</v>
      </c>
      <c r="L15" s="196">
        <v>46285</v>
      </c>
      <c r="M15" t="s">
        <v>439</v>
      </c>
      <c r="N15" t="s">
        <v>231</v>
      </c>
      <c r="O15" t="s">
        <v>232</v>
      </c>
      <c r="P15">
        <v>1</v>
      </c>
      <c r="Q15" t="s">
        <v>247</v>
      </c>
    </row>
    <row r="16" spans="1:17" s="25" customFormat="1" hidden="1">
      <c r="A16" s="111">
        <v>6.495915085648149E-2</v>
      </c>
      <c r="B16" t="s">
        <v>94</v>
      </c>
      <c r="C16" t="s">
        <v>502</v>
      </c>
      <c r="D16"/>
      <c r="E16" t="s">
        <v>463</v>
      </c>
      <c r="F16"/>
      <c r="G16" t="s">
        <v>98</v>
      </c>
      <c r="H16"/>
      <c r="I16" s="197">
        <v>46287.759143518517</v>
      </c>
      <c r="J16" t="s">
        <v>468</v>
      </c>
      <c r="K16" t="s">
        <v>444</v>
      </c>
      <c r="L16" s="196">
        <v>46285</v>
      </c>
      <c r="M16" t="s">
        <v>439</v>
      </c>
      <c r="N16" t="s">
        <v>231</v>
      </c>
      <c r="O16" t="s">
        <v>232</v>
      </c>
      <c r="P16">
        <v>1</v>
      </c>
      <c r="Q16" t="s">
        <v>247</v>
      </c>
    </row>
    <row r="17" spans="1:17" s="25" customFormat="1">
      <c r="A17" s="111">
        <v>6.4951526342592589E-2</v>
      </c>
      <c r="B17" t="s">
        <v>94</v>
      </c>
      <c r="C17"/>
      <c r="D17"/>
      <c r="E17" t="s">
        <v>279</v>
      </c>
      <c r="F17"/>
      <c r="G17" t="s">
        <v>98</v>
      </c>
      <c r="H17"/>
      <c r="I17" s="197">
        <v>46287.759004629632</v>
      </c>
      <c r="J17" t="s">
        <v>468</v>
      </c>
      <c r="K17" t="s">
        <v>444</v>
      </c>
      <c r="L17" s="196">
        <v>46285</v>
      </c>
      <c r="M17" t="s">
        <v>439</v>
      </c>
      <c r="N17" t="s">
        <v>231</v>
      </c>
      <c r="O17" t="s">
        <v>232</v>
      </c>
      <c r="P17">
        <v>1</v>
      </c>
      <c r="Q17" t="s">
        <v>247</v>
      </c>
    </row>
    <row r="18" spans="1:17" s="25" customFormat="1">
      <c r="A18" s="111">
        <v>6.491162710648149E-2</v>
      </c>
      <c r="B18" t="s">
        <v>94</v>
      </c>
      <c r="C18"/>
      <c r="D18"/>
      <c r="E18" t="s">
        <v>105</v>
      </c>
      <c r="F18"/>
      <c r="G18" t="s">
        <v>98</v>
      </c>
      <c r="H18"/>
      <c r="I18" s="197">
        <v>46287.758969907409</v>
      </c>
      <c r="J18" t="s">
        <v>468</v>
      </c>
      <c r="K18" t="s">
        <v>444</v>
      </c>
      <c r="L18" s="196">
        <v>46285</v>
      </c>
      <c r="M18" t="s">
        <v>439</v>
      </c>
      <c r="N18" t="s">
        <v>231</v>
      </c>
      <c r="O18" t="s">
        <v>232</v>
      </c>
      <c r="P18">
        <v>1</v>
      </c>
      <c r="Q18" t="s">
        <v>247</v>
      </c>
    </row>
    <row r="19" spans="1:17" s="25" customFormat="1" hidden="1">
      <c r="A19" s="111">
        <v>6.4187175185185186E-2</v>
      </c>
      <c r="B19" t="s">
        <v>94</v>
      </c>
      <c r="C19"/>
      <c r="D19"/>
      <c r="E19" t="s">
        <v>213</v>
      </c>
      <c r="F19" t="s">
        <v>135</v>
      </c>
      <c r="G19" t="s">
        <v>98</v>
      </c>
      <c r="H19"/>
      <c r="I19" s="197">
        <v>46287.758645833332</v>
      </c>
      <c r="J19" t="s">
        <v>468</v>
      </c>
      <c r="K19" t="s">
        <v>444</v>
      </c>
      <c r="L19" s="196">
        <v>46285</v>
      </c>
      <c r="M19" t="s">
        <v>439</v>
      </c>
      <c r="N19" t="s">
        <v>231</v>
      </c>
      <c r="O19" t="s">
        <v>232</v>
      </c>
      <c r="P19">
        <v>1</v>
      </c>
      <c r="Q19" t="s">
        <v>247</v>
      </c>
    </row>
    <row r="20" spans="1:17" s="25" customFormat="1" hidden="1">
      <c r="A20" s="111">
        <v>6.4106907986111114E-2</v>
      </c>
      <c r="B20" t="s">
        <v>94</v>
      </c>
      <c r="C20"/>
      <c r="D20"/>
      <c r="E20" t="s">
        <v>87</v>
      </c>
      <c r="F20"/>
      <c r="G20" t="s">
        <v>98</v>
      </c>
      <c r="H20"/>
      <c r="I20" s="197">
        <v>46287.758414351854</v>
      </c>
      <c r="J20" t="s">
        <v>468</v>
      </c>
      <c r="K20" t="s">
        <v>444</v>
      </c>
      <c r="L20" s="196">
        <v>46285</v>
      </c>
      <c r="M20" t="s">
        <v>439</v>
      </c>
      <c r="N20" t="s">
        <v>231</v>
      </c>
      <c r="O20" t="s">
        <v>232</v>
      </c>
      <c r="P20">
        <v>1</v>
      </c>
      <c r="Q20" t="s">
        <v>247</v>
      </c>
    </row>
    <row r="21" spans="1:17" s="25" customFormat="1" hidden="1">
      <c r="A21" s="111">
        <v>6.399004340277778E-2</v>
      </c>
      <c r="B21" t="s">
        <v>94</v>
      </c>
      <c r="C21" t="s">
        <v>486</v>
      </c>
      <c r="D21"/>
      <c r="E21" t="s">
        <v>304</v>
      </c>
      <c r="F21"/>
      <c r="G21" t="s">
        <v>98</v>
      </c>
      <c r="H21"/>
      <c r="I21" s="197">
        <v>46287.758252314816</v>
      </c>
      <c r="J21" t="s">
        <v>468</v>
      </c>
      <c r="K21" t="s">
        <v>444</v>
      </c>
      <c r="L21" s="196">
        <v>46285</v>
      </c>
      <c r="M21" t="s">
        <v>439</v>
      </c>
      <c r="N21" t="s">
        <v>231</v>
      </c>
      <c r="O21" t="s">
        <v>232</v>
      </c>
      <c r="P21">
        <v>1</v>
      </c>
      <c r="Q21" t="s">
        <v>247</v>
      </c>
    </row>
    <row r="22" spans="1:17" s="25" customFormat="1" hidden="1">
      <c r="A22" s="111">
        <v>6.3822245266203698E-2</v>
      </c>
      <c r="B22" t="s">
        <v>94</v>
      </c>
      <c r="C22" t="s">
        <v>502</v>
      </c>
      <c r="D22"/>
      <c r="E22" t="s">
        <v>111</v>
      </c>
      <c r="F22"/>
      <c r="G22" t="s">
        <v>98</v>
      </c>
      <c r="H22"/>
      <c r="I22" s="197">
        <v>46287.757997685185</v>
      </c>
      <c r="J22" t="s">
        <v>468</v>
      </c>
      <c r="K22" t="s">
        <v>444</v>
      </c>
      <c r="L22" s="196">
        <v>46285</v>
      </c>
      <c r="M22" t="s">
        <v>439</v>
      </c>
      <c r="N22" t="s">
        <v>231</v>
      </c>
      <c r="O22" t="s">
        <v>232</v>
      </c>
      <c r="P22">
        <v>1</v>
      </c>
      <c r="Q22" t="s">
        <v>247</v>
      </c>
    </row>
    <row r="23" spans="1:17" s="25" customFormat="1" hidden="1">
      <c r="A23" s="111">
        <v>6.3796068055555558E-2</v>
      </c>
      <c r="B23" t="s">
        <v>94</v>
      </c>
      <c r="C23"/>
      <c r="D23"/>
      <c r="E23" t="s">
        <v>104</v>
      </c>
      <c r="F23"/>
      <c r="G23" t="s">
        <v>98</v>
      </c>
      <c r="H23"/>
      <c r="I23" s="197">
        <v>46287.757939814815</v>
      </c>
      <c r="J23" t="s">
        <v>468</v>
      </c>
      <c r="K23" t="s">
        <v>444</v>
      </c>
      <c r="L23" s="196">
        <v>46285</v>
      </c>
      <c r="M23" t="s">
        <v>439</v>
      </c>
      <c r="N23" t="s">
        <v>231</v>
      </c>
      <c r="O23" t="s">
        <v>232</v>
      </c>
      <c r="P23">
        <v>1</v>
      </c>
      <c r="Q23" t="s">
        <v>247</v>
      </c>
    </row>
    <row r="24" spans="1:17" s="25" customFormat="1" hidden="1">
      <c r="A24" s="111">
        <v>6.3383654953703711E-2</v>
      </c>
      <c r="B24" t="s">
        <v>94</v>
      </c>
      <c r="C24"/>
      <c r="D24"/>
      <c r="E24" t="s">
        <v>87</v>
      </c>
      <c r="F24"/>
      <c r="G24" t="s">
        <v>164</v>
      </c>
      <c r="H24"/>
      <c r="I24" s="197">
        <v>46287.757835648146</v>
      </c>
      <c r="J24" t="s">
        <v>468</v>
      </c>
      <c r="K24" t="s">
        <v>444</v>
      </c>
      <c r="L24" s="196">
        <v>46285</v>
      </c>
      <c r="M24" t="s">
        <v>439</v>
      </c>
      <c r="N24" t="s">
        <v>231</v>
      </c>
      <c r="O24" t="s">
        <v>232</v>
      </c>
      <c r="P24">
        <v>1</v>
      </c>
      <c r="Q24" t="s">
        <v>247</v>
      </c>
    </row>
    <row r="25" spans="1:17" s="25" customFormat="1" hidden="1">
      <c r="A25" s="111">
        <v>6.3322133587962973E-2</v>
      </c>
      <c r="B25" t="s">
        <v>94</v>
      </c>
      <c r="C25"/>
      <c r="D25"/>
      <c r="E25" t="s">
        <v>184</v>
      </c>
      <c r="F25"/>
      <c r="G25" t="s">
        <v>164</v>
      </c>
      <c r="H25"/>
      <c r="I25" s="197">
        <v>46287.7577662037</v>
      </c>
      <c r="J25" t="s">
        <v>468</v>
      </c>
      <c r="K25" t="s">
        <v>444</v>
      </c>
      <c r="L25" s="196">
        <v>46285</v>
      </c>
      <c r="M25" t="s">
        <v>439</v>
      </c>
      <c r="N25" t="s">
        <v>231</v>
      </c>
      <c r="O25" t="s">
        <v>232</v>
      </c>
      <c r="P25">
        <v>1</v>
      </c>
      <c r="Q25" t="s">
        <v>247</v>
      </c>
    </row>
    <row r="26" spans="1:17" s="25" customFormat="1">
      <c r="A26" s="111">
        <v>6.328525677083334E-2</v>
      </c>
      <c r="B26" t="s">
        <v>94</v>
      </c>
      <c r="C26"/>
      <c r="D26"/>
      <c r="E26" t="s">
        <v>285</v>
      </c>
      <c r="F26"/>
      <c r="G26" t="s">
        <v>164</v>
      </c>
      <c r="H26"/>
      <c r="I26" s="197">
        <v>46287.757731481484</v>
      </c>
      <c r="J26" t="s">
        <v>468</v>
      </c>
      <c r="K26" t="s">
        <v>444</v>
      </c>
      <c r="L26" s="196">
        <v>46285</v>
      </c>
      <c r="M26" t="s">
        <v>439</v>
      </c>
      <c r="N26" t="s">
        <v>231</v>
      </c>
      <c r="O26" t="s">
        <v>232</v>
      </c>
      <c r="P26">
        <v>1</v>
      </c>
      <c r="Q26" t="s">
        <v>247</v>
      </c>
    </row>
    <row r="27" spans="1:17" s="25" customFormat="1">
      <c r="A27" s="111">
        <v>6.3242235289351856E-2</v>
      </c>
      <c r="B27" t="s">
        <v>94</v>
      </c>
      <c r="C27"/>
      <c r="D27"/>
      <c r="E27" t="s">
        <v>105</v>
      </c>
      <c r="F27"/>
      <c r="G27" t="s">
        <v>164</v>
      </c>
      <c r="H27"/>
      <c r="I27" s="197">
        <v>46287.757685185185</v>
      </c>
      <c r="J27" t="s">
        <v>468</v>
      </c>
      <c r="K27" t="s">
        <v>444</v>
      </c>
      <c r="L27" s="196">
        <v>46285</v>
      </c>
      <c r="M27" t="s">
        <v>439</v>
      </c>
      <c r="N27" t="s">
        <v>231</v>
      </c>
      <c r="O27" t="s">
        <v>232</v>
      </c>
      <c r="P27">
        <v>1</v>
      </c>
      <c r="Q27" t="s">
        <v>247</v>
      </c>
    </row>
    <row r="28" spans="1:17" s="25" customFormat="1" hidden="1">
      <c r="A28" s="111">
        <v>6.2580713750000003E-2</v>
      </c>
      <c r="B28" t="s">
        <v>94</v>
      </c>
      <c r="C28"/>
      <c r="D28"/>
      <c r="E28" t="s">
        <v>87</v>
      </c>
      <c r="F28"/>
      <c r="G28" t="s">
        <v>98</v>
      </c>
      <c r="H28"/>
      <c r="I28" s="197">
        <v>46287.757361111115</v>
      </c>
      <c r="J28" t="s">
        <v>468</v>
      </c>
      <c r="K28" t="s">
        <v>444</v>
      </c>
      <c r="L28" s="196">
        <v>46285</v>
      </c>
      <c r="M28" t="s">
        <v>439</v>
      </c>
      <c r="N28" t="s">
        <v>231</v>
      </c>
      <c r="O28" t="s">
        <v>232</v>
      </c>
      <c r="P28">
        <v>1</v>
      </c>
      <c r="Q28" t="s">
        <v>247</v>
      </c>
    </row>
    <row r="29" spans="1:17" s="25" customFormat="1" hidden="1">
      <c r="A29" s="111">
        <v>6.2301153101851851E-2</v>
      </c>
      <c r="B29" t="s">
        <v>94</v>
      </c>
      <c r="C29" t="s">
        <v>502</v>
      </c>
      <c r="D29"/>
      <c r="E29" t="s">
        <v>111</v>
      </c>
      <c r="F29"/>
      <c r="G29" t="s">
        <v>98</v>
      </c>
      <c r="H29"/>
      <c r="I29" s="197">
        <v>46287.757060185184</v>
      </c>
      <c r="J29" t="s">
        <v>468</v>
      </c>
      <c r="K29" t="s">
        <v>444</v>
      </c>
      <c r="L29" s="196">
        <v>46285</v>
      </c>
      <c r="M29" t="s">
        <v>439</v>
      </c>
      <c r="N29" t="s">
        <v>231</v>
      </c>
      <c r="O29" t="s">
        <v>232</v>
      </c>
      <c r="P29">
        <v>1</v>
      </c>
      <c r="Q29" t="s">
        <v>247</v>
      </c>
    </row>
    <row r="30" spans="1:17" s="25" customFormat="1" hidden="1">
      <c r="A30" s="111">
        <v>6.2243311863425924E-2</v>
      </c>
      <c r="B30" t="s">
        <v>94</v>
      </c>
      <c r="C30"/>
      <c r="D30"/>
      <c r="E30" t="s">
        <v>104</v>
      </c>
      <c r="F30"/>
      <c r="G30" t="s">
        <v>98</v>
      </c>
      <c r="H30"/>
      <c r="I30" s="197">
        <v>46287.756886574076</v>
      </c>
      <c r="J30" t="s">
        <v>468</v>
      </c>
      <c r="K30" t="s">
        <v>444</v>
      </c>
      <c r="L30" s="196">
        <v>46285</v>
      </c>
      <c r="M30" t="s">
        <v>439</v>
      </c>
      <c r="N30" t="s">
        <v>231</v>
      </c>
      <c r="O30" t="s">
        <v>232</v>
      </c>
      <c r="P30">
        <v>1</v>
      </c>
      <c r="Q30" t="s">
        <v>247</v>
      </c>
    </row>
    <row r="31" spans="1:17" s="25" customFormat="1" hidden="1">
      <c r="A31" s="111">
        <v>6.1612010254629632E-2</v>
      </c>
      <c r="B31" t="s">
        <v>94</v>
      </c>
      <c r="C31"/>
      <c r="D31"/>
      <c r="E31" t="s">
        <v>316</v>
      </c>
      <c r="F31"/>
      <c r="G31" t="s">
        <v>98</v>
      </c>
      <c r="H31"/>
      <c r="I31" s="197">
        <v>46287.756377314814</v>
      </c>
      <c r="J31" t="s">
        <v>468</v>
      </c>
      <c r="K31" t="s">
        <v>444</v>
      </c>
      <c r="L31" s="196">
        <v>46285</v>
      </c>
      <c r="M31" t="s">
        <v>439</v>
      </c>
      <c r="N31" t="s">
        <v>231</v>
      </c>
      <c r="O31" t="s">
        <v>232</v>
      </c>
      <c r="P31">
        <v>1</v>
      </c>
      <c r="Q31" t="s">
        <v>247</v>
      </c>
    </row>
    <row r="32" spans="1:17" s="25" customFormat="1" hidden="1">
      <c r="A32" s="111">
        <v>6.1451992222222224E-2</v>
      </c>
      <c r="B32" t="s">
        <v>94</v>
      </c>
      <c r="C32"/>
      <c r="D32"/>
      <c r="E32" t="s">
        <v>87</v>
      </c>
      <c r="F32"/>
      <c r="G32" t="s">
        <v>98</v>
      </c>
      <c r="H32"/>
      <c r="I32" s="197">
        <v>46287.756192129629</v>
      </c>
      <c r="J32" t="s">
        <v>468</v>
      </c>
      <c r="K32" t="s">
        <v>444</v>
      </c>
      <c r="L32" s="196">
        <v>46285</v>
      </c>
      <c r="M32" t="s">
        <v>439</v>
      </c>
      <c r="N32" t="s">
        <v>231</v>
      </c>
      <c r="O32" t="s">
        <v>232</v>
      </c>
      <c r="P32">
        <v>1</v>
      </c>
      <c r="Q32" t="s">
        <v>247</v>
      </c>
    </row>
    <row r="33" spans="1:17" s="25" customFormat="1" hidden="1">
      <c r="A33" s="111">
        <v>6.1451992222222224E-2</v>
      </c>
      <c r="B33" t="s">
        <v>94</v>
      </c>
      <c r="C33"/>
      <c r="D33"/>
      <c r="E33" t="s">
        <v>213</v>
      </c>
      <c r="F33" t="s">
        <v>135</v>
      </c>
      <c r="G33" t="s">
        <v>98</v>
      </c>
      <c r="H33"/>
      <c r="I33" s="197">
        <v>46287.756192129629</v>
      </c>
      <c r="J33" t="s">
        <v>468</v>
      </c>
      <c r="K33" t="s">
        <v>444</v>
      </c>
      <c r="L33" s="196">
        <v>46285</v>
      </c>
      <c r="M33" t="s">
        <v>439</v>
      </c>
      <c r="N33" t="s">
        <v>231</v>
      </c>
      <c r="O33" t="s">
        <v>232</v>
      </c>
      <c r="P33">
        <v>1</v>
      </c>
      <c r="Q33" t="s">
        <v>247</v>
      </c>
    </row>
    <row r="34" spans="1:17" s="25" customFormat="1" hidden="1">
      <c r="A34" s="111">
        <v>6.1382428449074079E-2</v>
      </c>
      <c r="B34" t="s">
        <v>94</v>
      </c>
      <c r="C34" t="s">
        <v>486</v>
      </c>
      <c r="D34"/>
      <c r="E34" t="s">
        <v>462</v>
      </c>
      <c r="F34"/>
      <c r="G34" t="s">
        <v>98</v>
      </c>
      <c r="H34"/>
      <c r="I34" s="197">
        <v>46287.756053240744</v>
      </c>
      <c r="J34" t="s">
        <v>468</v>
      </c>
      <c r="K34" t="s">
        <v>444</v>
      </c>
      <c r="L34" s="196">
        <v>46285</v>
      </c>
      <c r="M34" t="s">
        <v>439</v>
      </c>
      <c r="N34" t="s">
        <v>231</v>
      </c>
      <c r="O34" t="s">
        <v>232</v>
      </c>
      <c r="P34">
        <v>1</v>
      </c>
      <c r="Q34" t="s">
        <v>247</v>
      </c>
    </row>
    <row r="35" spans="1:17" s="25" customFormat="1" hidden="1">
      <c r="A35" s="111">
        <v>6.1357371689814817E-2</v>
      </c>
      <c r="B35" t="s">
        <v>94</v>
      </c>
      <c r="C35" t="s">
        <v>500</v>
      </c>
      <c r="D35"/>
      <c r="E35" t="s">
        <v>304</v>
      </c>
      <c r="F35"/>
      <c r="G35" t="s">
        <v>98</v>
      </c>
      <c r="H35"/>
      <c r="I35" s="197">
        <v>46287.755833333336</v>
      </c>
      <c r="J35" t="s">
        <v>468</v>
      </c>
      <c r="K35" t="s">
        <v>444</v>
      </c>
      <c r="L35" s="196">
        <v>46285</v>
      </c>
      <c r="M35" t="s">
        <v>439</v>
      </c>
      <c r="N35" t="s">
        <v>231</v>
      </c>
      <c r="O35" t="s">
        <v>232</v>
      </c>
      <c r="P35">
        <v>1</v>
      </c>
      <c r="Q35" t="s">
        <v>247</v>
      </c>
    </row>
    <row r="36" spans="1:17" s="25" customFormat="1">
      <c r="A36" s="111">
        <v>6.128276280092592E-2</v>
      </c>
      <c r="B36" t="s">
        <v>94</v>
      </c>
      <c r="C36"/>
      <c r="D36"/>
      <c r="E36" t="s">
        <v>279</v>
      </c>
      <c r="F36"/>
      <c r="G36" t="s">
        <v>98</v>
      </c>
      <c r="H36"/>
      <c r="I36" s="197">
        <v>46287.755706018521</v>
      </c>
      <c r="J36" t="s">
        <v>468</v>
      </c>
      <c r="K36" t="s">
        <v>444</v>
      </c>
      <c r="L36" s="196">
        <v>46285</v>
      </c>
      <c r="M36" t="s">
        <v>439</v>
      </c>
      <c r="N36" t="s">
        <v>231</v>
      </c>
      <c r="O36" t="s">
        <v>232</v>
      </c>
      <c r="P36">
        <v>1</v>
      </c>
      <c r="Q36" t="s">
        <v>247</v>
      </c>
    </row>
    <row r="37" spans="1:17" s="25" customFormat="1">
      <c r="A37" s="111">
        <v>6.1242840752314821E-2</v>
      </c>
      <c r="B37" t="s">
        <v>94</v>
      </c>
      <c r="C37"/>
      <c r="D37"/>
      <c r="E37" t="s">
        <v>105</v>
      </c>
      <c r="F37"/>
      <c r="G37" t="s">
        <v>98</v>
      </c>
      <c r="H37"/>
      <c r="I37" s="197">
        <v>46287.755671296298</v>
      </c>
      <c r="J37" t="s">
        <v>468</v>
      </c>
      <c r="K37" t="s">
        <v>444</v>
      </c>
      <c r="L37" s="196">
        <v>46285</v>
      </c>
      <c r="M37" t="s">
        <v>439</v>
      </c>
      <c r="N37" t="s">
        <v>231</v>
      </c>
      <c r="O37" t="s">
        <v>232</v>
      </c>
      <c r="P37">
        <v>1</v>
      </c>
      <c r="Q37" t="s">
        <v>247</v>
      </c>
    </row>
    <row r="38" spans="1:17" s="25" customFormat="1" hidden="1">
      <c r="A38" s="111">
        <v>6.0839756932870373E-2</v>
      </c>
      <c r="B38" t="s">
        <v>94</v>
      </c>
      <c r="C38"/>
      <c r="D38"/>
      <c r="E38" t="s">
        <v>87</v>
      </c>
      <c r="F38"/>
      <c r="G38" t="s">
        <v>98</v>
      </c>
      <c r="H38"/>
      <c r="I38" s="197">
        <v>46287.755509259259</v>
      </c>
      <c r="J38" t="s">
        <v>468</v>
      </c>
      <c r="K38" t="s">
        <v>444</v>
      </c>
      <c r="L38" s="196">
        <v>46285</v>
      </c>
      <c r="M38" t="s">
        <v>439</v>
      </c>
      <c r="N38" t="s">
        <v>231</v>
      </c>
      <c r="O38" t="s">
        <v>232</v>
      </c>
      <c r="P38">
        <v>1</v>
      </c>
      <c r="Q38" t="s">
        <v>247</v>
      </c>
    </row>
    <row r="39" spans="1:17" s="25" customFormat="1" hidden="1">
      <c r="A39" s="111">
        <v>6.0814713599537031E-2</v>
      </c>
      <c r="B39" t="s">
        <v>94</v>
      </c>
      <c r="C39"/>
      <c r="D39"/>
      <c r="E39" t="s">
        <v>275</v>
      </c>
      <c r="F39"/>
      <c r="G39" t="s">
        <v>164</v>
      </c>
      <c r="H39"/>
      <c r="I39" s="197">
        <v>46287.755486111113</v>
      </c>
      <c r="J39" t="s">
        <v>468</v>
      </c>
      <c r="K39" t="s">
        <v>444</v>
      </c>
      <c r="L39" s="196">
        <v>46285</v>
      </c>
      <c r="M39" t="s">
        <v>439</v>
      </c>
      <c r="N39" t="s">
        <v>231</v>
      </c>
      <c r="O39" t="s">
        <v>232</v>
      </c>
      <c r="P39">
        <v>1</v>
      </c>
      <c r="Q39" t="s">
        <v>247</v>
      </c>
    </row>
    <row r="40" spans="1:17" s="25" customFormat="1" hidden="1">
      <c r="A40" s="111">
        <v>6.0697910115740737E-2</v>
      </c>
      <c r="B40" t="s">
        <v>94</v>
      </c>
      <c r="C40"/>
      <c r="D40"/>
      <c r="E40" t="s">
        <v>104</v>
      </c>
      <c r="F40"/>
      <c r="G40" t="s">
        <v>164</v>
      </c>
      <c r="H40"/>
      <c r="I40" s="197">
        <v>46287.755370370367</v>
      </c>
      <c r="J40" t="s">
        <v>468</v>
      </c>
      <c r="K40" t="s">
        <v>444</v>
      </c>
      <c r="L40" s="196">
        <v>46285</v>
      </c>
      <c r="M40" t="s">
        <v>439</v>
      </c>
      <c r="N40" t="s">
        <v>231</v>
      </c>
      <c r="O40" t="s">
        <v>232</v>
      </c>
      <c r="P40">
        <v>1</v>
      </c>
      <c r="Q40" t="s">
        <v>247</v>
      </c>
    </row>
    <row r="41" spans="1:17" s="25" customFormat="1" hidden="1">
      <c r="A41" s="111">
        <v>6.0370487731481487E-2</v>
      </c>
      <c r="B41" t="s">
        <v>94</v>
      </c>
      <c r="C41"/>
      <c r="D41"/>
      <c r="E41" t="s">
        <v>87</v>
      </c>
      <c r="F41"/>
      <c r="G41" t="s">
        <v>98</v>
      </c>
      <c r="H41"/>
      <c r="I41" s="197">
        <v>46287.754976851851</v>
      </c>
      <c r="J41" t="s">
        <v>468</v>
      </c>
      <c r="K41" t="s">
        <v>444</v>
      </c>
      <c r="L41" s="196">
        <v>46285</v>
      </c>
      <c r="M41" t="s">
        <v>439</v>
      </c>
      <c r="N41" t="s">
        <v>231</v>
      </c>
      <c r="O41" t="s">
        <v>232</v>
      </c>
      <c r="P41">
        <v>1</v>
      </c>
      <c r="Q41" t="s">
        <v>247</v>
      </c>
    </row>
    <row r="42" spans="1:17" s="25" customFormat="1" hidden="1">
      <c r="A42" s="111">
        <v>6.0322421400462962E-2</v>
      </c>
      <c r="B42" t="s">
        <v>94</v>
      </c>
      <c r="C42"/>
      <c r="D42"/>
      <c r="E42" t="s">
        <v>184</v>
      </c>
      <c r="F42"/>
      <c r="G42" t="s">
        <v>98</v>
      </c>
      <c r="H42"/>
      <c r="I42" s="197">
        <v>46287.754918981482</v>
      </c>
      <c r="J42" t="s">
        <v>468</v>
      </c>
      <c r="K42" t="s">
        <v>444</v>
      </c>
      <c r="L42" s="196">
        <v>46285</v>
      </c>
      <c r="M42" t="s">
        <v>439</v>
      </c>
      <c r="N42" t="s">
        <v>231</v>
      </c>
      <c r="O42" t="s">
        <v>232</v>
      </c>
      <c r="P42">
        <v>1</v>
      </c>
      <c r="Q42" t="s">
        <v>247</v>
      </c>
    </row>
    <row r="43" spans="1:17" s="25" customFormat="1">
      <c r="A43" s="111">
        <v>6.0284310370370374E-2</v>
      </c>
      <c r="B43" t="s">
        <v>94</v>
      </c>
      <c r="C43"/>
      <c r="D43"/>
      <c r="E43" t="s">
        <v>279</v>
      </c>
      <c r="F43"/>
      <c r="G43" t="s">
        <v>98</v>
      </c>
      <c r="H43"/>
      <c r="I43" s="197">
        <v>46287.754884259259</v>
      </c>
      <c r="J43" t="s">
        <v>468</v>
      </c>
      <c r="K43" t="s">
        <v>444</v>
      </c>
      <c r="L43" s="196">
        <v>46285</v>
      </c>
      <c r="M43" t="s">
        <v>439</v>
      </c>
      <c r="N43" t="s">
        <v>231</v>
      </c>
      <c r="O43" t="s">
        <v>232</v>
      </c>
      <c r="P43">
        <v>1</v>
      </c>
      <c r="Q43" t="s">
        <v>247</v>
      </c>
    </row>
    <row r="44" spans="1:17" s="25" customFormat="1">
      <c r="A44" s="111">
        <v>6.0238247569444452E-2</v>
      </c>
      <c r="B44" t="s">
        <v>94</v>
      </c>
      <c r="C44"/>
      <c r="D44"/>
      <c r="E44" t="s">
        <v>105</v>
      </c>
      <c r="F44"/>
      <c r="G44" t="s">
        <v>98</v>
      </c>
      <c r="H44"/>
      <c r="I44" s="197">
        <v>46287.754837962966</v>
      </c>
      <c r="J44" t="s">
        <v>468</v>
      </c>
      <c r="K44" t="s">
        <v>444</v>
      </c>
      <c r="L44" s="196">
        <v>46285</v>
      </c>
      <c r="M44" t="s">
        <v>439</v>
      </c>
      <c r="N44" t="s">
        <v>231</v>
      </c>
      <c r="O44" t="s">
        <v>232</v>
      </c>
      <c r="P44">
        <v>1</v>
      </c>
      <c r="Q44" t="s">
        <v>247</v>
      </c>
    </row>
    <row r="45" spans="1:17" s="25" customFormat="1" hidden="1">
      <c r="A45" s="111">
        <v>5.9662753634259262E-2</v>
      </c>
      <c r="B45" t="s">
        <v>94</v>
      </c>
      <c r="C45" t="s">
        <v>504</v>
      </c>
      <c r="D45"/>
      <c r="E45" t="s">
        <v>108</v>
      </c>
      <c r="F45"/>
      <c r="G45" t="s">
        <v>164</v>
      </c>
      <c r="H45"/>
      <c r="I45" s="197">
        <v>46287.440555555557</v>
      </c>
      <c r="J45" t="s">
        <v>468</v>
      </c>
      <c r="K45" t="s">
        <v>444</v>
      </c>
      <c r="L45" s="196">
        <v>46285</v>
      </c>
      <c r="M45" t="s">
        <v>439</v>
      </c>
      <c r="N45" t="s">
        <v>231</v>
      </c>
      <c r="O45" t="s">
        <v>232</v>
      </c>
      <c r="P45">
        <v>1</v>
      </c>
      <c r="Q45" t="s">
        <v>247</v>
      </c>
    </row>
    <row r="46" spans="1:17" s="25" customFormat="1" hidden="1">
      <c r="A46" s="111">
        <v>5.9581795428240741E-2</v>
      </c>
      <c r="B46" t="s">
        <v>94</v>
      </c>
      <c r="C46" t="s">
        <v>474</v>
      </c>
      <c r="D46"/>
      <c r="E46" t="s">
        <v>108</v>
      </c>
      <c r="F46"/>
      <c r="G46" t="s">
        <v>164</v>
      </c>
      <c r="H46"/>
      <c r="I46" s="197">
        <v>46287.440381944441</v>
      </c>
      <c r="J46" t="s">
        <v>468</v>
      </c>
      <c r="K46" t="s">
        <v>444</v>
      </c>
      <c r="L46" s="196">
        <v>46285</v>
      </c>
      <c r="M46" t="s">
        <v>439</v>
      </c>
      <c r="N46" t="s">
        <v>231</v>
      </c>
      <c r="O46" t="s">
        <v>232</v>
      </c>
      <c r="P46">
        <v>1</v>
      </c>
      <c r="Q46" t="s">
        <v>247</v>
      </c>
    </row>
    <row r="47" spans="1:17" s="25" customFormat="1" hidden="1">
      <c r="A47" s="111">
        <v>5.9564493634259266E-2</v>
      </c>
      <c r="B47" t="s">
        <v>94</v>
      </c>
      <c r="C47" t="s">
        <v>472</v>
      </c>
      <c r="D47"/>
      <c r="E47" t="s">
        <v>59</v>
      </c>
      <c r="F47"/>
      <c r="G47" t="s">
        <v>164</v>
      </c>
      <c r="H47"/>
      <c r="I47" s="197">
        <v>46287.440289351849</v>
      </c>
      <c r="J47" t="s">
        <v>468</v>
      </c>
      <c r="K47" t="s">
        <v>444</v>
      </c>
      <c r="L47" s="196">
        <v>46285</v>
      </c>
      <c r="M47" t="s">
        <v>439</v>
      </c>
      <c r="N47" t="s">
        <v>231</v>
      </c>
      <c r="O47" t="s">
        <v>232</v>
      </c>
      <c r="P47">
        <v>1</v>
      </c>
      <c r="Q47" t="s">
        <v>247</v>
      </c>
    </row>
    <row r="48" spans="1:17" s="25" customFormat="1" hidden="1">
      <c r="A48" s="111">
        <v>5.9458930891203708E-2</v>
      </c>
      <c r="B48" t="s">
        <v>94</v>
      </c>
      <c r="C48" t="s">
        <v>506</v>
      </c>
      <c r="D48"/>
      <c r="E48" t="s">
        <v>108</v>
      </c>
      <c r="F48"/>
      <c r="G48" t="s">
        <v>164</v>
      </c>
      <c r="H48"/>
      <c r="I48" s="197">
        <v>46287.439976851849</v>
      </c>
      <c r="J48" t="s">
        <v>468</v>
      </c>
      <c r="K48" t="s">
        <v>444</v>
      </c>
      <c r="L48" s="196">
        <v>46285</v>
      </c>
      <c r="M48" t="s">
        <v>439</v>
      </c>
      <c r="N48" t="s">
        <v>231</v>
      </c>
      <c r="O48" t="s">
        <v>232</v>
      </c>
      <c r="P48">
        <v>1</v>
      </c>
      <c r="Q48" t="s">
        <v>247</v>
      </c>
    </row>
    <row r="49" spans="1:17" s="25" customFormat="1">
      <c r="A49" s="111">
        <v>5.8647920648148152E-2</v>
      </c>
      <c r="B49" t="s">
        <v>94</v>
      </c>
      <c r="C49"/>
      <c r="D49"/>
      <c r="E49" t="s">
        <v>279</v>
      </c>
      <c r="F49"/>
      <c r="G49" t="s">
        <v>98</v>
      </c>
      <c r="H49"/>
      <c r="I49" s="197">
        <v>46287.438877314817</v>
      </c>
      <c r="J49" t="s">
        <v>468</v>
      </c>
      <c r="K49" t="s">
        <v>444</v>
      </c>
      <c r="L49" s="196">
        <v>46285</v>
      </c>
      <c r="M49" t="s">
        <v>439</v>
      </c>
      <c r="N49" t="s">
        <v>231</v>
      </c>
      <c r="O49" t="s">
        <v>232</v>
      </c>
      <c r="P49">
        <v>1</v>
      </c>
      <c r="Q49" t="s">
        <v>247</v>
      </c>
    </row>
    <row r="50" spans="1:17" s="25" customFormat="1">
      <c r="A50" s="111">
        <v>5.9393011736111112E-2</v>
      </c>
      <c r="B50" t="s">
        <v>94</v>
      </c>
      <c r="C50"/>
      <c r="D50"/>
      <c r="E50" t="s">
        <v>285</v>
      </c>
      <c r="F50"/>
      <c r="G50" t="s">
        <v>164</v>
      </c>
      <c r="H50"/>
      <c r="I50" s="197">
        <v>46287.438692129632</v>
      </c>
      <c r="J50" t="s">
        <v>468</v>
      </c>
      <c r="K50" t="s">
        <v>444</v>
      </c>
      <c r="L50" s="196">
        <v>46285</v>
      </c>
      <c r="M50" t="s">
        <v>439</v>
      </c>
      <c r="N50" t="s">
        <v>231</v>
      </c>
      <c r="O50" t="s">
        <v>232</v>
      </c>
      <c r="P50">
        <v>1</v>
      </c>
      <c r="Q50" t="s">
        <v>247</v>
      </c>
    </row>
    <row r="51" spans="1:17" s="25" customFormat="1">
      <c r="A51" s="111">
        <v>5.9271924201388895E-2</v>
      </c>
      <c r="B51" t="s">
        <v>94</v>
      </c>
      <c r="C51"/>
      <c r="D51"/>
      <c r="E51" t="s">
        <v>105</v>
      </c>
      <c r="F51"/>
      <c r="G51" t="s">
        <v>164</v>
      </c>
      <c r="H51"/>
      <c r="I51" s="197">
        <v>46287.438506944447</v>
      </c>
      <c r="J51" t="s">
        <v>468</v>
      </c>
      <c r="K51" t="s">
        <v>444</v>
      </c>
      <c r="L51" s="196">
        <v>46285</v>
      </c>
      <c r="M51" t="s">
        <v>439</v>
      </c>
      <c r="N51" t="s">
        <v>231</v>
      </c>
      <c r="O51" t="s">
        <v>232</v>
      </c>
      <c r="P51">
        <v>1</v>
      </c>
      <c r="Q51" t="s">
        <v>247</v>
      </c>
    </row>
    <row r="52" spans="1:17" s="25" customFormat="1" hidden="1">
      <c r="A52" s="111">
        <v>5.8757181851851858E-2</v>
      </c>
      <c r="B52" t="s">
        <v>94</v>
      </c>
      <c r="C52"/>
      <c r="D52"/>
      <c r="E52" t="s">
        <v>87</v>
      </c>
      <c r="F52"/>
      <c r="G52" t="s">
        <v>164</v>
      </c>
      <c r="H52"/>
      <c r="I52" s="197">
        <v>46287.438368055555</v>
      </c>
      <c r="J52" t="s">
        <v>468</v>
      </c>
      <c r="K52" t="s">
        <v>444</v>
      </c>
      <c r="L52" s="196">
        <v>46285</v>
      </c>
      <c r="M52" t="s">
        <v>439</v>
      </c>
      <c r="N52" t="s">
        <v>231</v>
      </c>
      <c r="O52" t="s">
        <v>232</v>
      </c>
      <c r="P52">
        <v>1</v>
      </c>
      <c r="Q52" t="s">
        <v>247</v>
      </c>
    </row>
    <row r="53" spans="1:17" s="25" customFormat="1" hidden="1">
      <c r="A53" s="111">
        <v>5.8692758518518517E-2</v>
      </c>
      <c r="B53" t="s">
        <v>94</v>
      </c>
      <c r="C53" t="s">
        <v>508</v>
      </c>
      <c r="D53"/>
      <c r="E53" t="s">
        <v>183</v>
      </c>
      <c r="F53"/>
      <c r="G53" t="s">
        <v>98</v>
      </c>
      <c r="H53"/>
      <c r="I53" s="197">
        <v>46287.438263888886</v>
      </c>
      <c r="J53" t="s">
        <v>468</v>
      </c>
      <c r="K53" t="s">
        <v>444</v>
      </c>
      <c r="L53" s="196">
        <v>46285</v>
      </c>
      <c r="M53" t="s">
        <v>439</v>
      </c>
      <c r="N53" t="s">
        <v>231</v>
      </c>
      <c r="O53" t="s">
        <v>232</v>
      </c>
      <c r="P53">
        <v>1</v>
      </c>
      <c r="Q53" t="s">
        <v>247</v>
      </c>
    </row>
    <row r="54" spans="1:17" s="25" customFormat="1" hidden="1">
      <c r="A54" s="111">
        <v>5.7704145810185181E-2</v>
      </c>
      <c r="B54" t="s">
        <v>94</v>
      </c>
      <c r="C54" t="s">
        <v>472</v>
      </c>
      <c r="D54"/>
      <c r="E54" t="s">
        <v>108</v>
      </c>
      <c r="F54"/>
      <c r="G54" t="s">
        <v>164</v>
      </c>
      <c r="H54"/>
      <c r="I54" s="197">
        <v>46287.437685185185</v>
      </c>
      <c r="J54" t="s">
        <v>468</v>
      </c>
      <c r="K54" t="s">
        <v>444</v>
      </c>
      <c r="L54" s="196">
        <v>46285</v>
      </c>
      <c r="M54" t="s">
        <v>439</v>
      </c>
      <c r="N54" t="s">
        <v>231</v>
      </c>
      <c r="O54" t="s">
        <v>232</v>
      </c>
      <c r="P54">
        <v>1</v>
      </c>
      <c r="Q54" t="s">
        <v>247</v>
      </c>
    </row>
    <row r="55" spans="1:17" s="25" customFormat="1">
      <c r="A55" s="111">
        <v>5.8619407175925925E-2</v>
      </c>
      <c r="B55" t="s">
        <v>94</v>
      </c>
      <c r="C55"/>
      <c r="D55"/>
      <c r="E55" t="s">
        <v>279</v>
      </c>
      <c r="F55"/>
      <c r="G55" t="s">
        <v>98</v>
      </c>
      <c r="H55"/>
    </row>
    <row r="56" spans="1:17" s="25" customFormat="1">
      <c r="A56" s="111">
        <v>5.8619407175925925E-2</v>
      </c>
      <c r="B56" t="s">
        <v>94</v>
      </c>
      <c r="C56"/>
      <c r="D56"/>
      <c r="E56" t="s">
        <v>105</v>
      </c>
      <c r="F56"/>
      <c r="G56" t="s">
        <v>98</v>
      </c>
      <c r="H56"/>
      <c r="I56" s="197">
        <v>46287.436388888891</v>
      </c>
      <c r="J56" t="s">
        <v>468</v>
      </c>
      <c r="K56" t="s">
        <v>444</v>
      </c>
      <c r="L56" s="196">
        <v>46285</v>
      </c>
      <c r="M56" t="s">
        <v>439</v>
      </c>
      <c r="N56" t="s">
        <v>231</v>
      </c>
      <c r="O56" t="s">
        <v>232</v>
      </c>
      <c r="P56">
        <v>1</v>
      </c>
      <c r="Q56" t="s">
        <v>247</v>
      </c>
    </row>
    <row r="57" spans="1:17" s="25" customFormat="1" hidden="1">
      <c r="A57" s="111">
        <v>5.7898243726851858E-2</v>
      </c>
      <c r="B57" t="s">
        <v>94</v>
      </c>
      <c r="C57"/>
      <c r="D57"/>
      <c r="E57" t="s">
        <v>87</v>
      </c>
      <c r="F57"/>
      <c r="G57" t="s">
        <v>98</v>
      </c>
      <c r="H57"/>
      <c r="I57" s="197">
        <v>46287.43540509259</v>
      </c>
      <c r="J57" t="s">
        <v>468</v>
      </c>
      <c r="K57" t="s">
        <v>444</v>
      </c>
      <c r="L57" s="196">
        <v>46285</v>
      </c>
      <c r="M57" t="s">
        <v>439</v>
      </c>
      <c r="N57" t="s">
        <v>231</v>
      </c>
      <c r="O57" t="s">
        <v>232</v>
      </c>
      <c r="P57">
        <v>1</v>
      </c>
      <c r="Q57" t="s">
        <v>247</v>
      </c>
    </row>
    <row r="58" spans="1:17" s="25" customFormat="1" hidden="1">
      <c r="A58" s="111">
        <v>5.7884003530092584E-2</v>
      </c>
      <c r="B58" t="s">
        <v>94</v>
      </c>
      <c r="C58"/>
      <c r="D58"/>
      <c r="E58" t="s">
        <v>183</v>
      </c>
      <c r="F58"/>
      <c r="G58" t="s">
        <v>164</v>
      </c>
      <c r="H58"/>
      <c r="I58" s="197">
        <v>46287.435393518521</v>
      </c>
      <c r="J58" t="s">
        <v>468</v>
      </c>
      <c r="K58" t="s">
        <v>444</v>
      </c>
      <c r="L58" s="196">
        <v>46285</v>
      </c>
      <c r="M58" t="s">
        <v>439</v>
      </c>
      <c r="N58" t="s">
        <v>231</v>
      </c>
      <c r="O58" t="s">
        <v>232</v>
      </c>
      <c r="P58">
        <v>1</v>
      </c>
      <c r="Q58" t="s">
        <v>247</v>
      </c>
    </row>
    <row r="59" spans="1:17" s="25" customFormat="1" hidden="1">
      <c r="A59" s="111">
        <v>5.7854992256944439E-2</v>
      </c>
      <c r="B59" t="s">
        <v>94</v>
      </c>
      <c r="C59" t="s">
        <v>502</v>
      </c>
      <c r="D59"/>
      <c r="E59" t="s">
        <v>108</v>
      </c>
      <c r="F59"/>
      <c r="G59" t="s">
        <v>164</v>
      </c>
      <c r="H59"/>
      <c r="I59" s="197">
        <v>46287.435324074075</v>
      </c>
      <c r="J59" t="s">
        <v>468</v>
      </c>
      <c r="K59" t="s">
        <v>444</v>
      </c>
      <c r="L59" s="196">
        <v>46285</v>
      </c>
      <c r="M59" t="s">
        <v>439</v>
      </c>
      <c r="N59" t="s">
        <v>231</v>
      </c>
      <c r="O59" t="s">
        <v>232</v>
      </c>
      <c r="P59">
        <v>1</v>
      </c>
      <c r="Q59" t="s">
        <v>247</v>
      </c>
    </row>
    <row r="60" spans="1:17" s="25" customFormat="1" hidden="1">
      <c r="A60" s="111">
        <v>5.7689810474537036E-2</v>
      </c>
      <c r="B60" t="s">
        <v>94</v>
      </c>
      <c r="C60" t="s">
        <v>480</v>
      </c>
      <c r="D60"/>
      <c r="E60" t="s">
        <v>59</v>
      </c>
      <c r="F60"/>
      <c r="G60" t="s">
        <v>164</v>
      </c>
      <c r="H60"/>
      <c r="I60" s="197">
        <v>46287.434421296297</v>
      </c>
      <c r="J60" t="s">
        <v>468</v>
      </c>
      <c r="K60" t="s">
        <v>444</v>
      </c>
      <c r="L60" s="196">
        <v>46285</v>
      </c>
      <c r="M60" t="s">
        <v>439</v>
      </c>
      <c r="N60" t="s">
        <v>231</v>
      </c>
      <c r="O60" t="s">
        <v>232</v>
      </c>
      <c r="P60">
        <v>1</v>
      </c>
      <c r="Q60" t="s">
        <v>247</v>
      </c>
    </row>
    <row r="61" spans="1:17" s="25" customFormat="1" hidden="1">
      <c r="A61" s="111">
        <v>5.7664607766203704E-2</v>
      </c>
      <c r="B61" t="s">
        <v>94</v>
      </c>
      <c r="C61"/>
      <c r="D61"/>
      <c r="E61" t="s">
        <v>113</v>
      </c>
      <c r="F61"/>
      <c r="G61" t="s">
        <v>164</v>
      </c>
      <c r="H61"/>
      <c r="I61" s="197">
        <v>46287.433680555558</v>
      </c>
      <c r="J61" t="s">
        <v>468</v>
      </c>
      <c r="K61" t="s">
        <v>444</v>
      </c>
      <c r="L61" s="196">
        <v>46285</v>
      </c>
      <c r="M61" t="s">
        <v>439</v>
      </c>
      <c r="N61" t="s">
        <v>231</v>
      </c>
      <c r="O61" t="s">
        <v>232</v>
      </c>
      <c r="P61">
        <v>1</v>
      </c>
      <c r="Q61" t="s">
        <v>247</v>
      </c>
    </row>
    <row r="62" spans="1:17" s="25" customFormat="1" hidden="1">
      <c r="A62" s="111">
        <v>5.7597019953703699E-2</v>
      </c>
      <c r="B62" t="s">
        <v>94</v>
      </c>
      <c r="C62"/>
      <c r="D62"/>
      <c r="E62" t="s">
        <v>104</v>
      </c>
      <c r="F62"/>
      <c r="G62" t="s">
        <v>164</v>
      </c>
      <c r="H62"/>
      <c r="I62" s="197">
        <v>46287.433611111112</v>
      </c>
      <c r="J62" t="s">
        <v>468</v>
      </c>
      <c r="K62" t="s">
        <v>444</v>
      </c>
      <c r="L62" s="196">
        <v>46285</v>
      </c>
      <c r="M62" t="s">
        <v>439</v>
      </c>
      <c r="N62" t="s">
        <v>231</v>
      </c>
      <c r="O62" t="s">
        <v>232</v>
      </c>
      <c r="P62">
        <v>1</v>
      </c>
      <c r="Q62" t="s">
        <v>247</v>
      </c>
    </row>
    <row r="63" spans="1:17" s="25" customFormat="1" hidden="1">
      <c r="A63" s="111">
        <v>5.6956843819444443E-2</v>
      </c>
      <c r="B63" t="s">
        <v>94</v>
      </c>
      <c r="C63"/>
      <c r="D63"/>
      <c r="E63" t="s">
        <v>87</v>
      </c>
      <c r="F63"/>
      <c r="G63" t="s">
        <v>164</v>
      </c>
      <c r="H63"/>
      <c r="I63" s="197">
        <v>46287.433599537035</v>
      </c>
      <c r="J63" t="s">
        <v>468</v>
      </c>
      <c r="K63" t="s">
        <v>444</v>
      </c>
      <c r="L63" s="196">
        <v>46285</v>
      </c>
      <c r="M63" t="s">
        <v>439</v>
      </c>
      <c r="N63" t="s">
        <v>231</v>
      </c>
      <c r="O63" t="s">
        <v>232</v>
      </c>
      <c r="P63">
        <v>1</v>
      </c>
      <c r="Q63" t="s">
        <v>247</v>
      </c>
    </row>
    <row r="64" spans="1:17" s="25" customFormat="1" hidden="1">
      <c r="A64" s="111">
        <v>5.6956843819444443E-2</v>
      </c>
      <c r="B64" t="s">
        <v>94</v>
      </c>
      <c r="C64" t="s">
        <v>82</v>
      </c>
      <c r="D64" t="s">
        <v>82</v>
      </c>
      <c r="E64" t="s">
        <v>214</v>
      </c>
      <c r="F64" t="s">
        <v>207</v>
      </c>
      <c r="G64" t="s">
        <v>164</v>
      </c>
      <c r="H64"/>
      <c r="I64" s="197">
        <v>46287.433599537035</v>
      </c>
      <c r="J64" t="s">
        <v>468</v>
      </c>
      <c r="K64" t="s">
        <v>444</v>
      </c>
      <c r="L64" s="196">
        <v>46285</v>
      </c>
      <c r="M64" t="s">
        <v>439</v>
      </c>
      <c r="N64" t="s">
        <v>231</v>
      </c>
      <c r="O64" t="s">
        <v>232</v>
      </c>
      <c r="P64">
        <v>1</v>
      </c>
      <c r="Q64" t="s">
        <v>247</v>
      </c>
    </row>
    <row r="65" spans="1:17" s="25" customFormat="1" hidden="1">
      <c r="A65" s="111">
        <v>5.6892750324074079E-2</v>
      </c>
      <c r="B65" t="s">
        <v>94</v>
      </c>
      <c r="C65" t="s">
        <v>508</v>
      </c>
      <c r="D65"/>
      <c r="E65" t="s">
        <v>135</v>
      </c>
      <c r="F65"/>
      <c r="G65" t="s">
        <v>164</v>
      </c>
      <c r="H65"/>
      <c r="I65" s="197">
        <v>46287.432986111111</v>
      </c>
      <c r="J65" t="s">
        <v>468</v>
      </c>
      <c r="K65" t="s">
        <v>444</v>
      </c>
      <c r="L65" s="196">
        <v>46285</v>
      </c>
      <c r="M65" t="s">
        <v>439</v>
      </c>
      <c r="N65" t="s">
        <v>231</v>
      </c>
      <c r="O65" t="s">
        <v>232</v>
      </c>
      <c r="P65">
        <v>1</v>
      </c>
      <c r="Q65" t="s">
        <v>247</v>
      </c>
    </row>
    <row r="66" spans="1:17" s="25" customFormat="1" hidden="1">
      <c r="A66" s="111">
        <v>5.6829115995370376E-2</v>
      </c>
      <c r="B66" t="s">
        <v>94</v>
      </c>
      <c r="C66" t="s">
        <v>500</v>
      </c>
      <c r="D66"/>
      <c r="E66" t="s">
        <v>108</v>
      </c>
      <c r="F66"/>
      <c r="G66" t="s">
        <v>164</v>
      </c>
      <c r="H66"/>
      <c r="I66" s="197">
        <v>46287.432824074072</v>
      </c>
      <c r="J66" t="s">
        <v>468</v>
      </c>
      <c r="K66" t="s">
        <v>444</v>
      </c>
      <c r="L66" s="196">
        <v>46285</v>
      </c>
      <c r="M66" t="s">
        <v>439</v>
      </c>
      <c r="N66" t="s">
        <v>231</v>
      </c>
      <c r="O66" t="s">
        <v>232</v>
      </c>
      <c r="P66">
        <v>1</v>
      </c>
      <c r="Q66" t="s">
        <v>247</v>
      </c>
    </row>
    <row r="67" spans="1:17" s="25" customFormat="1" hidden="1">
      <c r="A67" s="111">
        <v>5.6799410243055556E-2</v>
      </c>
      <c r="B67" t="s">
        <v>94</v>
      </c>
      <c r="C67" t="s">
        <v>474</v>
      </c>
      <c r="D67"/>
      <c r="E67" t="s">
        <v>59</v>
      </c>
      <c r="F67"/>
      <c r="G67" t="s">
        <v>164</v>
      </c>
      <c r="H67"/>
      <c r="I67" s="197">
        <v>46287.430486111109</v>
      </c>
      <c r="J67" t="s">
        <v>468</v>
      </c>
      <c r="K67" t="s">
        <v>444</v>
      </c>
      <c r="L67" s="196">
        <v>46285</v>
      </c>
      <c r="M67" t="s">
        <v>439</v>
      </c>
      <c r="N67" t="s">
        <v>231</v>
      </c>
      <c r="O67" t="s">
        <v>232</v>
      </c>
      <c r="P67">
        <v>1</v>
      </c>
      <c r="Q67" t="s">
        <v>247</v>
      </c>
    </row>
    <row r="68" spans="1:17" s="25" customFormat="1" hidden="1">
      <c r="A68" s="111">
        <v>5.6786392314814818E-2</v>
      </c>
      <c r="B68" t="s">
        <v>94</v>
      </c>
      <c r="C68" t="s">
        <v>478</v>
      </c>
      <c r="D68"/>
      <c r="E68" t="s">
        <v>59</v>
      </c>
      <c r="F68"/>
      <c r="G68" t="s">
        <v>164</v>
      </c>
      <c r="H68"/>
      <c r="I68" s="197">
        <v>46287.430358796293</v>
      </c>
      <c r="J68" t="s">
        <v>468</v>
      </c>
      <c r="K68" t="s">
        <v>444</v>
      </c>
      <c r="L68" s="196">
        <v>46285</v>
      </c>
      <c r="M68" t="s">
        <v>439</v>
      </c>
      <c r="N68" t="s">
        <v>231</v>
      </c>
      <c r="O68" t="s">
        <v>232</v>
      </c>
      <c r="P68">
        <v>1</v>
      </c>
      <c r="Q68" t="s">
        <v>247</v>
      </c>
    </row>
    <row r="69" spans="1:17" s="25" customFormat="1" hidden="1">
      <c r="A69" s="111">
        <v>5.6749725486111118E-2</v>
      </c>
      <c r="B69" t="s">
        <v>94</v>
      </c>
      <c r="C69" t="s">
        <v>476</v>
      </c>
      <c r="D69"/>
      <c r="E69" t="s">
        <v>59</v>
      </c>
      <c r="F69"/>
      <c r="G69" t="s">
        <v>164</v>
      </c>
      <c r="H69"/>
      <c r="I69" s="197">
        <v>46287.429988425924</v>
      </c>
      <c r="J69" t="s">
        <v>468</v>
      </c>
      <c r="K69" t="s">
        <v>444</v>
      </c>
      <c r="L69" s="196">
        <v>46285</v>
      </c>
      <c r="M69" t="s">
        <v>439</v>
      </c>
      <c r="N69" t="s">
        <v>231</v>
      </c>
      <c r="O69" t="s">
        <v>232</v>
      </c>
      <c r="P69">
        <v>1</v>
      </c>
      <c r="Q69" t="s">
        <v>247</v>
      </c>
    </row>
    <row r="70" spans="1:17" s="25" customFormat="1" hidden="1">
      <c r="A70" s="111">
        <v>5.6735252314814813E-2</v>
      </c>
      <c r="B70" t="s">
        <v>94</v>
      </c>
      <c r="C70" t="s">
        <v>510</v>
      </c>
      <c r="D70"/>
      <c r="E70" t="s">
        <v>108</v>
      </c>
      <c r="F70"/>
      <c r="G70" t="s">
        <v>164</v>
      </c>
      <c r="H70"/>
      <c r="I70" s="197">
        <v>46287.429293981484</v>
      </c>
      <c r="J70" t="s">
        <v>468</v>
      </c>
      <c r="K70" t="s">
        <v>444</v>
      </c>
      <c r="L70" s="196">
        <v>46285</v>
      </c>
      <c r="M70" t="s">
        <v>439</v>
      </c>
      <c r="N70" t="s">
        <v>231</v>
      </c>
      <c r="O70" t="s">
        <v>232</v>
      </c>
      <c r="P70">
        <v>1</v>
      </c>
      <c r="Q70" t="s">
        <v>247</v>
      </c>
    </row>
    <row r="71" spans="1:17" s="25" customFormat="1" hidden="1">
      <c r="A71" s="111">
        <v>5.6679289907407414E-2</v>
      </c>
      <c r="B71" t="s">
        <v>94</v>
      </c>
      <c r="C71"/>
      <c r="D71"/>
      <c r="E71" t="s">
        <v>188</v>
      </c>
      <c r="F71"/>
      <c r="G71" t="s">
        <v>164</v>
      </c>
      <c r="H71"/>
      <c r="I71" s="197">
        <v>46287.429074074076</v>
      </c>
      <c r="J71" t="s">
        <v>468</v>
      </c>
      <c r="K71" t="s">
        <v>444</v>
      </c>
      <c r="L71" s="196">
        <v>46285</v>
      </c>
      <c r="M71" t="s">
        <v>439</v>
      </c>
      <c r="N71" t="s">
        <v>231</v>
      </c>
      <c r="O71" t="s">
        <v>232</v>
      </c>
      <c r="P71">
        <v>1</v>
      </c>
      <c r="Q71" t="s">
        <v>247</v>
      </c>
    </row>
    <row r="72" spans="1:17" s="25" customFormat="1" hidden="1">
      <c r="A72" s="111">
        <v>5.6638519085648154E-2</v>
      </c>
      <c r="B72" t="s">
        <v>94</v>
      </c>
      <c r="C72"/>
      <c r="D72"/>
      <c r="E72" t="s">
        <v>184</v>
      </c>
      <c r="F72"/>
      <c r="G72" t="s">
        <v>98</v>
      </c>
      <c r="H72"/>
      <c r="I72" s="197">
        <v>46287.429027777776</v>
      </c>
      <c r="J72" t="s">
        <v>468</v>
      </c>
      <c r="K72" t="s">
        <v>444</v>
      </c>
      <c r="L72" s="196">
        <v>46285</v>
      </c>
      <c r="M72" t="s">
        <v>439</v>
      </c>
      <c r="N72" t="s">
        <v>231</v>
      </c>
      <c r="O72" t="s">
        <v>232</v>
      </c>
      <c r="P72">
        <v>1</v>
      </c>
      <c r="Q72" t="s">
        <v>247</v>
      </c>
    </row>
    <row r="73" spans="1:17" s="25" customFormat="1" hidden="1">
      <c r="A73" s="111">
        <v>5.6615404224537036E-2</v>
      </c>
      <c r="B73" t="s">
        <v>94</v>
      </c>
      <c r="C73"/>
      <c r="D73"/>
      <c r="E73" t="s">
        <v>186</v>
      </c>
      <c r="F73"/>
      <c r="G73" t="s">
        <v>98</v>
      </c>
      <c r="H73"/>
      <c r="I73" s="197">
        <v>46287.42900462963</v>
      </c>
      <c r="J73" t="s">
        <v>468</v>
      </c>
      <c r="K73" t="s">
        <v>444</v>
      </c>
      <c r="L73" s="196">
        <v>46285</v>
      </c>
      <c r="M73" t="s">
        <v>439</v>
      </c>
      <c r="N73" t="s">
        <v>231</v>
      </c>
      <c r="O73" t="s">
        <v>232</v>
      </c>
      <c r="P73">
        <v>1</v>
      </c>
      <c r="Q73" t="s">
        <v>247</v>
      </c>
    </row>
    <row r="74" spans="1:17" s="25" customFormat="1" hidden="1">
      <c r="A74" s="111">
        <v>5.6522831250000002E-2</v>
      </c>
      <c r="B74" t="s">
        <v>94</v>
      </c>
      <c r="C74"/>
      <c r="D74"/>
      <c r="E74" t="s">
        <v>184</v>
      </c>
      <c r="F74"/>
      <c r="G74" t="s">
        <v>164</v>
      </c>
      <c r="H74"/>
      <c r="I74" s="197">
        <v>46287.428912037038</v>
      </c>
      <c r="J74" t="s">
        <v>468</v>
      </c>
      <c r="K74" t="s">
        <v>444</v>
      </c>
      <c r="L74" s="196">
        <v>46285</v>
      </c>
      <c r="M74" t="s">
        <v>439</v>
      </c>
      <c r="N74" t="s">
        <v>231</v>
      </c>
      <c r="O74" t="s">
        <v>232</v>
      </c>
      <c r="P74">
        <v>1</v>
      </c>
      <c r="Q74" t="s">
        <v>247</v>
      </c>
    </row>
    <row r="75" spans="1:17" s="25" customFormat="1" hidden="1">
      <c r="A75" s="111">
        <v>5.6504279027777771E-2</v>
      </c>
      <c r="B75" t="s">
        <v>94</v>
      </c>
      <c r="C75" t="s">
        <v>474</v>
      </c>
      <c r="D75"/>
      <c r="E75" t="s">
        <v>109</v>
      </c>
      <c r="F75"/>
      <c r="G75" t="s">
        <v>98</v>
      </c>
      <c r="H75"/>
      <c r="I75" s="197">
        <v>46287.428842592592</v>
      </c>
      <c r="J75" t="s">
        <v>468</v>
      </c>
      <c r="K75" t="s">
        <v>444</v>
      </c>
      <c r="L75" s="196">
        <v>46285</v>
      </c>
      <c r="M75" t="s">
        <v>439</v>
      </c>
      <c r="N75" t="s">
        <v>231</v>
      </c>
      <c r="O75" t="s">
        <v>232</v>
      </c>
      <c r="P75">
        <v>1</v>
      </c>
      <c r="Q75" t="s">
        <v>247</v>
      </c>
    </row>
    <row r="76" spans="1:17" s="25" customFormat="1" hidden="1">
      <c r="A76" s="111">
        <v>5.6432122881944442E-2</v>
      </c>
      <c r="B76" t="s">
        <v>94</v>
      </c>
      <c r="C76"/>
      <c r="D76"/>
      <c r="E76" t="s">
        <v>104</v>
      </c>
      <c r="F76"/>
      <c r="G76" t="s">
        <v>98</v>
      </c>
      <c r="H76"/>
      <c r="I76" s="197">
        <v>46287.428703703707</v>
      </c>
      <c r="J76" t="s">
        <v>468</v>
      </c>
      <c r="K76" t="s">
        <v>444</v>
      </c>
      <c r="L76" s="196">
        <v>46285</v>
      </c>
      <c r="M76" t="s">
        <v>439</v>
      </c>
      <c r="N76" t="s">
        <v>231</v>
      </c>
      <c r="O76" t="s">
        <v>232</v>
      </c>
      <c r="P76">
        <v>1</v>
      </c>
      <c r="Q76" t="s">
        <v>247</v>
      </c>
    </row>
    <row r="77" spans="1:17" s="25" customFormat="1" hidden="1">
      <c r="A77" s="111">
        <v>5.560032990740741E-2</v>
      </c>
      <c r="B77" t="s">
        <v>94</v>
      </c>
      <c r="C77"/>
      <c r="D77"/>
      <c r="E77" t="s">
        <v>316</v>
      </c>
      <c r="F77"/>
      <c r="G77" t="s">
        <v>98</v>
      </c>
      <c r="H77"/>
      <c r="I77" s="197">
        <v>46287.428611111114</v>
      </c>
      <c r="J77" t="s">
        <v>468</v>
      </c>
      <c r="K77" t="s">
        <v>444</v>
      </c>
      <c r="L77" s="196">
        <v>46285</v>
      </c>
      <c r="M77" t="s">
        <v>439</v>
      </c>
      <c r="N77" t="s">
        <v>231</v>
      </c>
      <c r="O77" t="s">
        <v>232</v>
      </c>
      <c r="P77">
        <v>1</v>
      </c>
      <c r="Q77" t="s">
        <v>247</v>
      </c>
    </row>
    <row r="78" spans="1:17" s="25" customFormat="1" hidden="1">
      <c r="A78" s="111">
        <v>5.5366498148148147E-2</v>
      </c>
      <c r="B78" t="s">
        <v>94</v>
      </c>
      <c r="C78"/>
      <c r="D78"/>
      <c r="E78" t="s">
        <v>87</v>
      </c>
      <c r="F78"/>
      <c r="G78" t="s">
        <v>98</v>
      </c>
      <c r="H78"/>
      <c r="I78" s="197">
        <v>46287.428368055553</v>
      </c>
      <c r="J78" t="s">
        <v>468</v>
      </c>
      <c r="K78" t="s">
        <v>444</v>
      </c>
      <c r="L78" s="196">
        <v>46285</v>
      </c>
      <c r="M78" t="s">
        <v>439</v>
      </c>
      <c r="N78" t="s">
        <v>231</v>
      </c>
      <c r="O78" t="s">
        <v>232</v>
      </c>
      <c r="P78">
        <v>1</v>
      </c>
      <c r="Q78" t="s">
        <v>247</v>
      </c>
    </row>
    <row r="79" spans="1:17" s="25" customFormat="1" hidden="1">
      <c r="A79" s="111">
        <v>5.5366498148148147E-2</v>
      </c>
      <c r="B79" t="s">
        <v>94</v>
      </c>
      <c r="C79"/>
      <c r="D79"/>
      <c r="E79" t="s">
        <v>213</v>
      </c>
      <c r="F79" t="s">
        <v>135</v>
      </c>
      <c r="G79" t="s">
        <v>98</v>
      </c>
      <c r="H79"/>
      <c r="I79" s="197">
        <v>46287.428368055553</v>
      </c>
      <c r="J79" t="s">
        <v>468</v>
      </c>
      <c r="K79" t="s">
        <v>444</v>
      </c>
      <c r="L79" s="196">
        <v>46285</v>
      </c>
      <c r="M79" t="s">
        <v>439</v>
      </c>
      <c r="N79" t="s">
        <v>231</v>
      </c>
      <c r="O79" t="s">
        <v>232</v>
      </c>
      <c r="P79">
        <v>1</v>
      </c>
      <c r="Q79" t="s">
        <v>247</v>
      </c>
    </row>
    <row r="80" spans="1:17" s="25" customFormat="1" hidden="1">
      <c r="A80" s="111">
        <v>5.5366498148148147E-2</v>
      </c>
      <c r="B80" t="s">
        <v>94</v>
      </c>
      <c r="C80" t="s">
        <v>494</v>
      </c>
      <c r="D80"/>
      <c r="E80" t="s">
        <v>463</v>
      </c>
      <c r="F80"/>
      <c r="G80" t="s">
        <v>98</v>
      </c>
      <c r="H80"/>
      <c r="I80" s="197">
        <v>46287.428310185183</v>
      </c>
      <c r="J80" t="s">
        <v>468</v>
      </c>
      <c r="K80" t="s">
        <v>444</v>
      </c>
      <c r="L80" s="196">
        <v>46285</v>
      </c>
      <c r="M80" t="s">
        <v>439</v>
      </c>
      <c r="N80" t="s">
        <v>231</v>
      </c>
      <c r="O80" t="s">
        <v>232</v>
      </c>
      <c r="P80">
        <v>1</v>
      </c>
      <c r="Q80" t="s">
        <v>247</v>
      </c>
    </row>
    <row r="81" spans="1:17" s="25" customFormat="1" hidden="1">
      <c r="A81" s="111">
        <v>5.5288127627314811E-2</v>
      </c>
      <c r="B81" t="s">
        <v>94</v>
      </c>
      <c r="C81"/>
      <c r="D81"/>
      <c r="E81" t="s">
        <v>186</v>
      </c>
      <c r="F81"/>
      <c r="G81" t="s">
        <v>98</v>
      </c>
      <c r="H81"/>
      <c r="I81" s="197">
        <v>46287.428067129629</v>
      </c>
      <c r="J81" t="s">
        <v>468</v>
      </c>
      <c r="K81" t="s">
        <v>444</v>
      </c>
      <c r="L81" s="196">
        <v>46285</v>
      </c>
      <c r="M81" t="s">
        <v>439</v>
      </c>
      <c r="N81" t="s">
        <v>231</v>
      </c>
      <c r="O81" t="s">
        <v>232</v>
      </c>
      <c r="P81">
        <v>1</v>
      </c>
      <c r="Q81" t="s">
        <v>247</v>
      </c>
    </row>
    <row r="82" spans="1:17" s="25" customFormat="1" hidden="1">
      <c r="A82" s="111">
        <v>5.5241928865740746E-2</v>
      </c>
      <c r="B82" t="s">
        <v>94</v>
      </c>
      <c r="C82"/>
      <c r="D82"/>
      <c r="E82" t="s">
        <v>184</v>
      </c>
      <c r="F82"/>
      <c r="G82" t="s">
        <v>164</v>
      </c>
      <c r="H82"/>
      <c r="I82" s="197">
        <v>46287.428020833337</v>
      </c>
      <c r="J82" t="s">
        <v>468</v>
      </c>
      <c r="K82" t="s">
        <v>444</v>
      </c>
      <c r="L82" s="196">
        <v>46285</v>
      </c>
      <c r="M82" t="s">
        <v>439</v>
      </c>
      <c r="N82" t="s">
        <v>231</v>
      </c>
      <c r="O82" t="s">
        <v>232</v>
      </c>
      <c r="P82">
        <v>1</v>
      </c>
      <c r="Q82" t="s">
        <v>247</v>
      </c>
    </row>
    <row r="83" spans="1:17" s="25" customFormat="1" hidden="1">
      <c r="A83" s="111">
        <v>5.5192774930555556E-2</v>
      </c>
      <c r="B83" t="s">
        <v>94</v>
      </c>
      <c r="C83"/>
      <c r="D83"/>
      <c r="E83" t="s">
        <v>188</v>
      </c>
      <c r="F83"/>
      <c r="G83" t="s">
        <v>164</v>
      </c>
      <c r="H83"/>
      <c r="I83" s="197">
        <v>46287.427974537037</v>
      </c>
      <c r="J83" t="s">
        <v>468</v>
      </c>
      <c r="K83" t="s">
        <v>444</v>
      </c>
      <c r="L83" s="196">
        <v>46285</v>
      </c>
      <c r="M83" t="s">
        <v>439</v>
      </c>
      <c r="N83" t="s">
        <v>231</v>
      </c>
      <c r="O83" t="s">
        <v>232</v>
      </c>
      <c r="P83">
        <v>1</v>
      </c>
      <c r="Q83" t="s">
        <v>247</v>
      </c>
    </row>
    <row r="84" spans="1:17" s="25" customFormat="1" hidden="1">
      <c r="A84" s="111">
        <v>5.5164483923611111E-2</v>
      </c>
      <c r="B84" t="s">
        <v>94</v>
      </c>
      <c r="C84"/>
      <c r="D84"/>
      <c r="E84" t="s">
        <v>184</v>
      </c>
      <c r="F84"/>
      <c r="G84" t="s">
        <v>98</v>
      </c>
      <c r="H84"/>
      <c r="I84" s="197">
        <v>46287.427939814814</v>
      </c>
      <c r="J84" t="s">
        <v>468</v>
      </c>
      <c r="K84" t="s">
        <v>444</v>
      </c>
      <c r="L84" s="196">
        <v>46285</v>
      </c>
      <c r="M84" t="s">
        <v>439</v>
      </c>
      <c r="N84" t="s">
        <v>231</v>
      </c>
      <c r="O84" t="s">
        <v>232</v>
      </c>
      <c r="P84">
        <v>1</v>
      </c>
      <c r="Q84" t="s">
        <v>247</v>
      </c>
    </row>
    <row r="85" spans="1:17" s="25" customFormat="1" hidden="1">
      <c r="A85" s="111">
        <v>5.5069799212962969E-2</v>
      </c>
      <c r="B85" t="s">
        <v>94</v>
      </c>
      <c r="C85"/>
      <c r="D85"/>
      <c r="E85" t="s">
        <v>186</v>
      </c>
      <c r="F85"/>
      <c r="G85" t="s">
        <v>98</v>
      </c>
      <c r="H85"/>
      <c r="I85" s="197">
        <v>46287.427847222221</v>
      </c>
      <c r="J85" t="s">
        <v>468</v>
      </c>
      <c r="K85" t="s">
        <v>444</v>
      </c>
      <c r="L85" s="196">
        <v>46285</v>
      </c>
      <c r="M85" t="s">
        <v>439</v>
      </c>
      <c r="N85" t="s">
        <v>231</v>
      </c>
      <c r="O85" t="s">
        <v>232</v>
      </c>
      <c r="P85">
        <v>1</v>
      </c>
      <c r="Q85" t="s">
        <v>247</v>
      </c>
    </row>
    <row r="86" spans="1:17" s="25" customFormat="1" hidden="1">
      <c r="A86" s="111">
        <v>5.5008172013888891E-2</v>
      </c>
      <c r="B86" t="s">
        <v>94</v>
      </c>
      <c r="C86"/>
      <c r="D86"/>
      <c r="E86" t="s">
        <v>184</v>
      </c>
      <c r="F86"/>
      <c r="G86" t="s">
        <v>164</v>
      </c>
      <c r="H86"/>
      <c r="I86" s="197">
        <v>46287.427754629629</v>
      </c>
      <c r="J86" t="s">
        <v>468</v>
      </c>
      <c r="K86" t="s">
        <v>444</v>
      </c>
      <c r="L86" s="196">
        <v>46285</v>
      </c>
      <c r="M86" t="s">
        <v>439</v>
      </c>
      <c r="N86" t="s">
        <v>231</v>
      </c>
      <c r="O86" t="s">
        <v>232</v>
      </c>
      <c r="P86">
        <v>1</v>
      </c>
      <c r="Q86" t="s">
        <v>247</v>
      </c>
    </row>
    <row r="87" spans="1:17" s="25" customFormat="1">
      <c r="A87" s="111">
        <v>5.4951705462962963E-2</v>
      </c>
      <c r="B87" t="s">
        <v>94</v>
      </c>
      <c r="C87"/>
      <c r="D87"/>
      <c r="E87" t="s">
        <v>285</v>
      </c>
      <c r="F87"/>
      <c r="G87" t="s">
        <v>164</v>
      </c>
      <c r="H87"/>
      <c r="I87" s="197">
        <v>46287.427384259259</v>
      </c>
      <c r="J87" t="s">
        <v>468</v>
      </c>
      <c r="K87" t="s">
        <v>444</v>
      </c>
      <c r="L87" s="196">
        <v>46285</v>
      </c>
      <c r="M87" t="s">
        <v>439</v>
      </c>
      <c r="N87" t="s">
        <v>231</v>
      </c>
      <c r="O87" t="s">
        <v>232</v>
      </c>
      <c r="P87">
        <v>1</v>
      </c>
      <c r="Q87" t="s">
        <v>247</v>
      </c>
    </row>
    <row r="88" spans="1:17" s="25" customFormat="1">
      <c r="A88" s="111">
        <v>5.4902599618055554E-2</v>
      </c>
      <c r="B88" t="s">
        <v>94</v>
      </c>
      <c r="C88"/>
      <c r="D88"/>
      <c r="E88" t="s">
        <v>105</v>
      </c>
      <c r="F88"/>
      <c r="G88" t="s">
        <v>164</v>
      </c>
      <c r="H88"/>
      <c r="I88" s="197">
        <v>46287.427337962959</v>
      </c>
      <c r="J88" t="s">
        <v>468</v>
      </c>
      <c r="K88" t="s">
        <v>444</v>
      </c>
      <c r="L88" s="196">
        <v>46285</v>
      </c>
      <c r="M88" t="s">
        <v>439</v>
      </c>
      <c r="N88" t="s">
        <v>231</v>
      </c>
      <c r="O88" t="s">
        <v>232</v>
      </c>
      <c r="P88">
        <v>1</v>
      </c>
      <c r="Q88" t="s">
        <v>247</v>
      </c>
    </row>
    <row r="89" spans="1:17" s="25" customFormat="1" hidden="1">
      <c r="A89" s="111">
        <v>5.4382444050925925E-2</v>
      </c>
      <c r="B89" t="s">
        <v>94</v>
      </c>
      <c r="C89"/>
      <c r="D89"/>
      <c r="E89" t="s">
        <v>87</v>
      </c>
      <c r="F89"/>
      <c r="G89" t="s">
        <v>164</v>
      </c>
      <c r="H89"/>
      <c r="I89" s="197">
        <v>46287.426157407404</v>
      </c>
      <c r="J89" t="s">
        <v>468</v>
      </c>
      <c r="K89" t="s">
        <v>444</v>
      </c>
      <c r="L89" s="196">
        <v>46285</v>
      </c>
      <c r="M89" t="s">
        <v>439</v>
      </c>
      <c r="N89" t="s">
        <v>231</v>
      </c>
      <c r="O89" t="s">
        <v>232</v>
      </c>
      <c r="P89">
        <v>1</v>
      </c>
      <c r="Q89" t="s">
        <v>247</v>
      </c>
    </row>
    <row r="90" spans="1:17" s="25" customFormat="1" hidden="1">
      <c r="A90" s="111">
        <v>5.4360697361111113E-2</v>
      </c>
      <c r="B90" t="s">
        <v>94</v>
      </c>
      <c r="C90" t="s">
        <v>508</v>
      </c>
      <c r="D90"/>
      <c r="E90" t="s">
        <v>183</v>
      </c>
      <c r="F90"/>
      <c r="G90" t="s">
        <v>98</v>
      </c>
      <c r="H90"/>
      <c r="I90" s="197">
        <v>46287.426122685189</v>
      </c>
      <c r="J90" t="s">
        <v>468</v>
      </c>
      <c r="K90" t="s">
        <v>444</v>
      </c>
      <c r="L90" s="196">
        <v>46285</v>
      </c>
      <c r="M90" t="s">
        <v>439</v>
      </c>
      <c r="N90" t="s">
        <v>231</v>
      </c>
      <c r="O90" t="s">
        <v>232</v>
      </c>
      <c r="P90">
        <v>1</v>
      </c>
      <c r="Q90" t="s">
        <v>247</v>
      </c>
    </row>
    <row r="91" spans="1:17" s="25" customFormat="1" hidden="1">
      <c r="A91" s="111">
        <v>5.4312044918981478E-2</v>
      </c>
      <c r="B91" t="s">
        <v>94</v>
      </c>
      <c r="C91"/>
      <c r="D91"/>
      <c r="E91" t="s">
        <v>186</v>
      </c>
      <c r="F91"/>
      <c r="G91" t="s">
        <v>98</v>
      </c>
      <c r="H91"/>
      <c r="I91" s="197">
        <v>46287.425625000003</v>
      </c>
      <c r="J91" t="s">
        <v>468</v>
      </c>
      <c r="K91" t="s">
        <v>444</v>
      </c>
      <c r="L91" s="196">
        <v>46285</v>
      </c>
      <c r="M91" t="s">
        <v>439</v>
      </c>
      <c r="N91" t="s">
        <v>231</v>
      </c>
      <c r="O91" t="s">
        <v>232</v>
      </c>
      <c r="P91">
        <v>1</v>
      </c>
      <c r="Q91" t="s">
        <v>247</v>
      </c>
    </row>
    <row r="92" spans="1:17" s="25" customFormat="1" hidden="1">
      <c r="A92" s="111">
        <v>5.4278282604166665E-2</v>
      </c>
      <c r="B92" t="s">
        <v>94</v>
      </c>
      <c r="C92"/>
      <c r="D92"/>
      <c r="E92" t="s">
        <v>184</v>
      </c>
      <c r="F92"/>
      <c r="G92" t="s">
        <v>164</v>
      </c>
      <c r="H92"/>
      <c r="I92" s="197">
        <v>46287.42559027778</v>
      </c>
      <c r="J92" t="s">
        <v>468</v>
      </c>
      <c r="K92" t="s">
        <v>444</v>
      </c>
      <c r="L92" s="196">
        <v>46285</v>
      </c>
      <c r="M92" t="s">
        <v>439</v>
      </c>
      <c r="N92" t="s">
        <v>231</v>
      </c>
      <c r="O92" t="s">
        <v>232</v>
      </c>
      <c r="P92">
        <v>1</v>
      </c>
      <c r="Q92" t="s">
        <v>247</v>
      </c>
    </row>
    <row r="93" spans="1:17" s="25" customFormat="1" hidden="1">
      <c r="A93" s="111">
        <v>5.4247539618055549E-2</v>
      </c>
      <c r="B93" t="s">
        <v>94</v>
      </c>
      <c r="C93"/>
      <c r="D93"/>
      <c r="E93" t="s">
        <v>188</v>
      </c>
      <c r="F93"/>
      <c r="G93" t="s">
        <v>164</v>
      </c>
      <c r="H93"/>
      <c r="I93" s="197">
        <v>46287.425543981481</v>
      </c>
      <c r="J93" t="s">
        <v>468</v>
      </c>
      <c r="K93" t="s">
        <v>444</v>
      </c>
      <c r="L93" s="196">
        <v>46285</v>
      </c>
      <c r="M93" t="s">
        <v>439</v>
      </c>
      <c r="N93" t="s">
        <v>231</v>
      </c>
      <c r="O93" t="s">
        <v>232</v>
      </c>
      <c r="P93">
        <v>1</v>
      </c>
      <c r="Q93" t="s">
        <v>247</v>
      </c>
    </row>
    <row r="94" spans="1:17" s="25" customFormat="1" hidden="1">
      <c r="A94" s="111">
        <v>5.420587265046297E-2</v>
      </c>
      <c r="B94" t="s">
        <v>94</v>
      </c>
      <c r="C94"/>
      <c r="D94"/>
      <c r="E94" t="s">
        <v>184</v>
      </c>
      <c r="F94"/>
      <c r="G94" t="s">
        <v>98</v>
      </c>
      <c r="H94"/>
      <c r="I94" s="197">
        <v>46287.425335648149</v>
      </c>
      <c r="J94" t="s">
        <v>468</v>
      </c>
      <c r="K94" t="s">
        <v>444</v>
      </c>
      <c r="L94" s="196">
        <v>46285</v>
      </c>
      <c r="M94" t="s">
        <v>439</v>
      </c>
      <c r="N94" t="s">
        <v>231</v>
      </c>
      <c r="O94" t="s">
        <v>232</v>
      </c>
      <c r="P94">
        <v>1</v>
      </c>
      <c r="Q94" t="s">
        <v>247</v>
      </c>
    </row>
    <row r="95" spans="1:17" s="25" customFormat="1" hidden="1">
      <c r="A95" s="111">
        <v>5.4153525659722222E-2</v>
      </c>
      <c r="B95" t="s">
        <v>94</v>
      </c>
      <c r="C95"/>
      <c r="D95"/>
      <c r="E95" t="s">
        <v>186</v>
      </c>
      <c r="F95"/>
      <c r="G95" t="s">
        <v>98</v>
      </c>
      <c r="H95"/>
      <c r="I95" s="197">
        <v>46287.42528935185</v>
      </c>
      <c r="J95" t="s">
        <v>468</v>
      </c>
      <c r="K95" t="s">
        <v>444</v>
      </c>
      <c r="L95" s="196">
        <v>46285</v>
      </c>
      <c r="M95" t="s">
        <v>439</v>
      </c>
      <c r="N95" t="s">
        <v>231</v>
      </c>
      <c r="O95" t="s">
        <v>232</v>
      </c>
      <c r="P95">
        <v>1</v>
      </c>
      <c r="Q95" t="s">
        <v>247</v>
      </c>
    </row>
    <row r="96" spans="1:17" s="25" customFormat="1" hidden="1">
      <c r="A96" s="111">
        <v>5.410745861111111E-2</v>
      </c>
      <c r="B96" t="s">
        <v>94</v>
      </c>
      <c r="C96"/>
      <c r="D96"/>
      <c r="E96" t="s">
        <v>100</v>
      </c>
      <c r="F96"/>
      <c r="G96" t="s">
        <v>98</v>
      </c>
      <c r="H96"/>
      <c r="I96" s="197">
        <v>46287.42523148148</v>
      </c>
      <c r="J96" t="s">
        <v>468</v>
      </c>
      <c r="K96" t="s">
        <v>444</v>
      </c>
      <c r="L96" s="196">
        <v>46285</v>
      </c>
      <c r="M96" t="s">
        <v>439</v>
      </c>
      <c r="N96" t="s">
        <v>231</v>
      </c>
      <c r="O96" t="s">
        <v>232</v>
      </c>
      <c r="P96">
        <v>1</v>
      </c>
      <c r="Q96" t="s">
        <v>247</v>
      </c>
    </row>
    <row r="97" spans="1:17" s="25" customFormat="1" hidden="1">
      <c r="A97" s="111">
        <v>5.2937704548611103E-2</v>
      </c>
      <c r="B97" t="s">
        <v>94</v>
      </c>
      <c r="C97"/>
      <c r="D97"/>
      <c r="E97" t="s">
        <v>87</v>
      </c>
      <c r="F97"/>
      <c r="G97" t="s">
        <v>98</v>
      </c>
      <c r="H97"/>
      <c r="I97" s="197">
        <v>46287.424814814818</v>
      </c>
      <c r="J97" t="s">
        <v>468</v>
      </c>
      <c r="K97" t="s">
        <v>444</v>
      </c>
      <c r="L97" s="196">
        <v>46285</v>
      </c>
      <c r="M97" t="s">
        <v>439</v>
      </c>
      <c r="N97" t="s">
        <v>231</v>
      </c>
      <c r="O97" t="s">
        <v>232</v>
      </c>
      <c r="P97">
        <v>1</v>
      </c>
      <c r="Q97" t="s">
        <v>247</v>
      </c>
    </row>
    <row r="98" spans="1:17" s="25" customFormat="1" hidden="1">
      <c r="A98" s="111">
        <v>5.2937704548611103E-2</v>
      </c>
      <c r="B98" t="s">
        <v>94</v>
      </c>
      <c r="C98"/>
      <c r="D98"/>
      <c r="E98" t="s">
        <v>213</v>
      </c>
      <c r="F98" t="s">
        <v>133</v>
      </c>
      <c r="G98" t="s">
        <v>98</v>
      </c>
      <c r="H98"/>
      <c r="I98" s="197">
        <v>46287.424814814818</v>
      </c>
      <c r="J98" t="s">
        <v>468</v>
      </c>
      <c r="K98" t="s">
        <v>444</v>
      </c>
      <c r="L98" s="196">
        <v>46285</v>
      </c>
      <c r="M98" t="s">
        <v>439</v>
      </c>
      <c r="N98" t="s">
        <v>231</v>
      </c>
      <c r="O98" t="s">
        <v>232</v>
      </c>
      <c r="P98">
        <v>1</v>
      </c>
      <c r="Q98" t="s">
        <v>247</v>
      </c>
    </row>
    <row r="99" spans="1:17" s="25" customFormat="1" hidden="1">
      <c r="A99" s="111">
        <v>5.2827812500000002E-2</v>
      </c>
      <c r="B99" t="s">
        <v>94</v>
      </c>
      <c r="C99" t="s">
        <v>512</v>
      </c>
      <c r="D99"/>
      <c r="E99" t="s">
        <v>462</v>
      </c>
      <c r="F99"/>
      <c r="G99" t="s">
        <v>98</v>
      </c>
      <c r="H99"/>
      <c r="I99" s="197">
        <v>46287.424618055556</v>
      </c>
      <c r="J99" t="s">
        <v>468</v>
      </c>
      <c r="K99" t="s">
        <v>444</v>
      </c>
      <c r="L99" s="196">
        <v>46285</v>
      </c>
      <c r="M99" t="s">
        <v>439</v>
      </c>
      <c r="N99" t="s">
        <v>231</v>
      </c>
      <c r="O99" t="s">
        <v>232</v>
      </c>
      <c r="P99">
        <v>1</v>
      </c>
      <c r="Q99" t="s">
        <v>247</v>
      </c>
    </row>
    <row r="100" spans="1:17" s="25" customFormat="1" hidden="1">
      <c r="A100" s="111">
        <v>5.2829163043981484E-2</v>
      </c>
      <c r="B100" t="s">
        <v>94</v>
      </c>
      <c r="C100"/>
      <c r="D100"/>
      <c r="E100" t="s">
        <v>183</v>
      </c>
      <c r="F100"/>
      <c r="G100" t="s">
        <v>164</v>
      </c>
      <c r="H100"/>
      <c r="I100" s="197">
        <v>46287.423946759256</v>
      </c>
      <c r="J100" t="s">
        <v>468</v>
      </c>
      <c r="K100" t="s">
        <v>444</v>
      </c>
      <c r="L100" s="196">
        <v>46285</v>
      </c>
      <c r="M100" t="s">
        <v>439</v>
      </c>
      <c r="N100" t="s">
        <v>231</v>
      </c>
      <c r="O100" t="s">
        <v>232</v>
      </c>
      <c r="P100">
        <v>1</v>
      </c>
      <c r="Q100" t="s">
        <v>247</v>
      </c>
    </row>
    <row r="101" spans="1:17" s="25" customFormat="1" hidden="1">
      <c r="A101" s="111">
        <v>5.2707700011574078E-2</v>
      </c>
      <c r="B101" t="s">
        <v>94</v>
      </c>
      <c r="C101"/>
      <c r="D101"/>
      <c r="E101" t="s">
        <v>188</v>
      </c>
      <c r="F101"/>
      <c r="G101" t="s">
        <v>164</v>
      </c>
      <c r="H101"/>
      <c r="I101" s="197">
        <v>46287.423784722225</v>
      </c>
      <c r="J101" t="s">
        <v>468</v>
      </c>
      <c r="K101" t="s">
        <v>444</v>
      </c>
      <c r="L101" s="196">
        <v>46285</v>
      </c>
      <c r="M101" t="s">
        <v>439</v>
      </c>
      <c r="N101" t="s">
        <v>231</v>
      </c>
      <c r="O101" t="s">
        <v>232</v>
      </c>
      <c r="P101">
        <v>1</v>
      </c>
      <c r="Q101" t="s">
        <v>247</v>
      </c>
    </row>
    <row r="102" spans="1:17" s="25" customFormat="1" hidden="1">
      <c r="A102" s="111">
        <v>5.2603427951388886E-2</v>
      </c>
      <c r="B102" t="s">
        <v>94</v>
      </c>
      <c r="C102"/>
      <c r="D102"/>
      <c r="E102" t="s">
        <v>100</v>
      </c>
      <c r="F102"/>
      <c r="G102" t="s">
        <v>98</v>
      </c>
      <c r="H102"/>
      <c r="I102" s="197">
        <v>46287.423657407409</v>
      </c>
      <c r="J102" t="s">
        <v>468</v>
      </c>
      <c r="K102" t="s">
        <v>444</v>
      </c>
      <c r="L102" s="196">
        <v>46285</v>
      </c>
      <c r="M102" t="s">
        <v>439</v>
      </c>
      <c r="N102" t="s">
        <v>231</v>
      </c>
      <c r="O102" t="s">
        <v>232</v>
      </c>
      <c r="P102">
        <v>1</v>
      </c>
      <c r="Q102" t="s">
        <v>247</v>
      </c>
    </row>
    <row r="103" spans="1:17" s="25" customFormat="1" hidden="1">
      <c r="A103" s="111">
        <v>5.0691739837962969E-2</v>
      </c>
      <c r="B103" t="s">
        <v>94</v>
      </c>
      <c r="C103"/>
      <c r="D103"/>
      <c r="E103" t="s">
        <v>116</v>
      </c>
      <c r="F103"/>
      <c r="G103" t="s">
        <v>164</v>
      </c>
      <c r="H103"/>
      <c r="I103" s="197">
        <v>46287.412870370368</v>
      </c>
      <c r="J103" t="s">
        <v>468</v>
      </c>
      <c r="K103" t="s">
        <v>444</v>
      </c>
      <c r="L103" s="196">
        <v>46285</v>
      </c>
      <c r="M103" t="s">
        <v>439</v>
      </c>
      <c r="N103" t="s">
        <v>231</v>
      </c>
      <c r="O103" t="s">
        <v>232</v>
      </c>
      <c r="P103">
        <v>1</v>
      </c>
      <c r="Q103" t="s">
        <v>247</v>
      </c>
    </row>
    <row r="104" spans="1:17" s="25" customFormat="1" hidden="1">
      <c r="A104" s="111">
        <v>4.9847491898148147E-2</v>
      </c>
      <c r="B104" t="s">
        <v>94</v>
      </c>
      <c r="C104" t="s">
        <v>472</v>
      </c>
      <c r="D104" t="s">
        <v>204</v>
      </c>
      <c r="E104" t="s">
        <v>214</v>
      </c>
      <c r="F104" t="s">
        <v>135</v>
      </c>
      <c r="G104" t="s">
        <v>164</v>
      </c>
      <c r="H104"/>
      <c r="I104" s="197">
        <v>46287.412673611114</v>
      </c>
      <c r="J104" t="s">
        <v>468</v>
      </c>
      <c r="K104" t="s">
        <v>444</v>
      </c>
      <c r="L104" s="196">
        <v>46285</v>
      </c>
      <c r="M104" t="s">
        <v>439</v>
      </c>
      <c r="N104" t="s">
        <v>231</v>
      </c>
      <c r="O104" t="s">
        <v>232</v>
      </c>
      <c r="P104">
        <v>1</v>
      </c>
      <c r="Q104" t="s">
        <v>247</v>
      </c>
    </row>
    <row r="105" spans="1:17" s="25" customFormat="1" hidden="1">
      <c r="A105" s="111">
        <v>4.9821604004629635E-2</v>
      </c>
      <c r="B105" t="s">
        <v>94</v>
      </c>
      <c r="C105"/>
      <c r="D105"/>
      <c r="E105" t="s">
        <v>87</v>
      </c>
      <c r="F105"/>
      <c r="G105" t="s">
        <v>98</v>
      </c>
      <c r="H105"/>
      <c r="I105" s="197">
        <v>46287.412233796298</v>
      </c>
      <c r="J105" t="s">
        <v>468</v>
      </c>
      <c r="K105" t="s">
        <v>444</v>
      </c>
      <c r="L105" s="196">
        <v>46285</v>
      </c>
      <c r="M105" t="s">
        <v>439</v>
      </c>
      <c r="N105" t="s">
        <v>231</v>
      </c>
      <c r="O105" t="s">
        <v>232</v>
      </c>
      <c r="P105">
        <v>1</v>
      </c>
      <c r="Q105" t="s">
        <v>247</v>
      </c>
    </row>
    <row r="106" spans="1:17" s="25" customFormat="1" hidden="1">
      <c r="A106" s="111">
        <v>4.9821604004629635E-2</v>
      </c>
      <c r="B106" t="s">
        <v>94</v>
      </c>
      <c r="C106"/>
      <c r="D106"/>
      <c r="E106" t="s">
        <v>183</v>
      </c>
      <c r="F106"/>
      <c r="G106" t="s">
        <v>164</v>
      </c>
      <c r="H106"/>
      <c r="I106" s="197">
        <v>46287.412210648145</v>
      </c>
      <c r="J106" t="s">
        <v>468</v>
      </c>
      <c r="K106" t="s">
        <v>444</v>
      </c>
      <c r="L106" s="196">
        <v>46285</v>
      </c>
      <c r="M106" t="s">
        <v>439</v>
      </c>
      <c r="N106" t="s">
        <v>231</v>
      </c>
      <c r="O106" t="s">
        <v>232</v>
      </c>
      <c r="P106">
        <v>1</v>
      </c>
      <c r="Q106" t="s">
        <v>247</v>
      </c>
    </row>
    <row r="107" spans="1:17" s="25" customFormat="1" hidden="1">
      <c r="A107" s="111">
        <v>4.9700139247685189E-2</v>
      </c>
      <c r="B107" t="s">
        <v>94</v>
      </c>
      <c r="C107" t="s">
        <v>472</v>
      </c>
      <c r="D107"/>
      <c r="E107" t="s">
        <v>135</v>
      </c>
      <c r="F107"/>
      <c r="G107" t="s">
        <v>164</v>
      </c>
      <c r="H107"/>
      <c r="I107" s="197">
        <v>46287.41202546296</v>
      </c>
      <c r="J107" t="s">
        <v>468</v>
      </c>
      <c r="K107" t="s">
        <v>444</v>
      </c>
      <c r="L107" s="196">
        <v>46285</v>
      </c>
      <c r="M107" t="s">
        <v>439</v>
      </c>
      <c r="N107" t="s">
        <v>231</v>
      </c>
      <c r="O107" t="s">
        <v>232</v>
      </c>
      <c r="P107">
        <v>1</v>
      </c>
      <c r="Q107" t="s">
        <v>247</v>
      </c>
    </row>
    <row r="108" spans="1:17" s="25" customFormat="1" hidden="1">
      <c r="A108" s="111">
        <v>4.9700139247685189E-2</v>
      </c>
      <c r="B108" t="s">
        <v>94</v>
      </c>
      <c r="C108" t="s">
        <v>482</v>
      </c>
      <c r="D108"/>
      <c r="E108" t="s">
        <v>59</v>
      </c>
      <c r="F108"/>
      <c r="G108" t="s">
        <v>164</v>
      </c>
      <c r="H108"/>
      <c r="I108" s="197">
        <v>46287.411990740744</v>
      </c>
      <c r="J108" t="s">
        <v>468</v>
      </c>
      <c r="K108" t="s">
        <v>444</v>
      </c>
      <c r="L108" s="196">
        <v>46285</v>
      </c>
      <c r="M108" t="s">
        <v>439</v>
      </c>
      <c r="N108" t="s">
        <v>231</v>
      </c>
      <c r="O108" t="s">
        <v>232</v>
      </c>
      <c r="P108">
        <v>1</v>
      </c>
      <c r="Q108" t="s">
        <v>247</v>
      </c>
    </row>
    <row r="109" spans="1:17" s="25" customFormat="1" hidden="1">
      <c r="A109" s="111">
        <v>4.9638851724537039E-2</v>
      </c>
      <c r="B109" t="s">
        <v>94</v>
      </c>
      <c r="C109" t="s">
        <v>476</v>
      </c>
      <c r="D109"/>
      <c r="E109" t="s">
        <v>108</v>
      </c>
      <c r="F109"/>
      <c r="G109" t="s">
        <v>164</v>
      </c>
      <c r="H109"/>
      <c r="I109" s="197">
        <v>46287.411354166667</v>
      </c>
      <c r="J109" t="s">
        <v>468</v>
      </c>
      <c r="K109" t="s">
        <v>444</v>
      </c>
      <c r="L109" s="196">
        <v>46285</v>
      </c>
      <c r="M109" t="s">
        <v>439</v>
      </c>
      <c r="N109" t="s">
        <v>231</v>
      </c>
      <c r="O109" t="s">
        <v>232</v>
      </c>
      <c r="P109">
        <v>1</v>
      </c>
      <c r="Q109" t="s">
        <v>247</v>
      </c>
    </row>
    <row r="110" spans="1:17" s="25" customFormat="1" hidden="1">
      <c r="A110" s="111">
        <v>4.9564210567129625E-2</v>
      </c>
      <c r="B110" t="s">
        <v>94</v>
      </c>
      <c r="C110" t="s">
        <v>502</v>
      </c>
      <c r="D110"/>
      <c r="E110" t="s">
        <v>108</v>
      </c>
      <c r="F110"/>
      <c r="G110" t="s">
        <v>164</v>
      </c>
      <c r="H110"/>
      <c r="I110" s="197">
        <v>46287.411041666666</v>
      </c>
      <c r="J110" t="s">
        <v>468</v>
      </c>
      <c r="K110" t="s">
        <v>444</v>
      </c>
      <c r="L110" s="196">
        <v>46285</v>
      </c>
      <c r="M110" t="s">
        <v>439</v>
      </c>
      <c r="N110" t="s">
        <v>231</v>
      </c>
      <c r="O110" t="s">
        <v>232</v>
      </c>
      <c r="P110">
        <v>1</v>
      </c>
      <c r="Q110" t="s">
        <v>247</v>
      </c>
    </row>
    <row r="111" spans="1:17" s="25" customFormat="1" hidden="1">
      <c r="A111" s="111">
        <v>4.9499088645833335E-2</v>
      </c>
      <c r="B111" t="s">
        <v>94</v>
      </c>
      <c r="C111"/>
      <c r="D111"/>
      <c r="E111" t="s">
        <v>101</v>
      </c>
      <c r="F111"/>
      <c r="G111" t="s">
        <v>164</v>
      </c>
      <c r="H111"/>
      <c r="I111" s="197">
        <v>46287.410740740743</v>
      </c>
      <c r="J111" t="s">
        <v>468</v>
      </c>
      <c r="K111" t="s">
        <v>444</v>
      </c>
      <c r="L111" s="196">
        <v>46285</v>
      </c>
      <c r="M111" t="s">
        <v>439</v>
      </c>
      <c r="N111" t="s">
        <v>231</v>
      </c>
      <c r="O111" t="s">
        <v>232</v>
      </c>
      <c r="P111">
        <v>1</v>
      </c>
      <c r="Q111" t="s">
        <v>247</v>
      </c>
    </row>
    <row r="112" spans="1:17" s="25" customFormat="1" hidden="1">
      <c r="A112" s="111">
        <v>4.948194825231482E-2</v>
      </c>
      <c r="B112" t="s">
        <v>94</v>
      </c>
      <c r="C112"/>
      <c r="D112"/>
      <c r="E112" t="s">
        <v>87</v>
      </c>
      <c r="F112"/>
      <c r="G112" t="s">
        <v>164</v>
      </c>
      <c r="H112"/>
      <c r="I112" s="197">
        <v>46287.41065972222</v>
      </c>
      <c r="J112" t="s">
        <v>468</v>
      </c>
      <c r="K112" t="s">
        <v>444</v>
      </c>
      <c r="L112" s="196">
        <v>46285</v>
      </c>
      <c r="M112" t="s">
        <v>439</v>
      </c>
      <c r="N112" t="s">
        <v>231</v>
      </c>
      <c r="O112" t="s">
        <v>232</v>
      </c>
      <c r="P112">
        <v>1</v>
      </c>
      <c r="Q112" t="s">
        <v>247</v>
      </c>
    </row>
    <row r="113" spans="1:17" s="25" customFormat="1" hidden="1">
      <c r="A113" s="111">
        <v>4.948194825231482E-2</v>
      </c>
      <c r="B113" t="s">
        <v>94</v>
      </c>
      <c r="C113" t="s">
        <v>476</v>
      </c>
      <c r="D113" t="s">
        <v>204</v>
      </c>
      <c r="E113" t="s">
        <v>214</v>
      </c>
      <c r="F113" t="s">
        <v>133</v>
      </c>
      <c r="G113" t="s">
        <v>164</v>
      </c>
      <c r="H113"/>
      <c r="I113" s="197">
        <v>46287.41065972222</v>
      </c>
      <c r="J113" t="s">
        <v>468</v>
      </c>
      <c r="K113" t="s">
        <v>444</v>
      </c>
      <c r="L113" s="196">
        <v>46285</v>
      </c>
      <c r="M113" t="s">
        <v>439</v>
      </c>
      <c r="N113" t="s">
        <v>231</v>
      </c>
      <c r="O113" t="s">
        <v>232</v>
      </c>
      <c r="P113">
        <v>1</v>
      </c>
      <c r="Q113" t="s">
        <v>247</v>
      </c>
    </row>
    <row r="114" spans="1:17" s="25" customFormat="1" hidden="1">
      <c r="A114" s="111">
        <v>4.9408282905092596E-2</v>
      </c>
      <c r="B114" t="s">
        <v>94</v>
      </c>
      <c r="C114" t="s">
        <v>506</v>
      </c>
      <c r="D114"/>
      <c r="E114" t="s">
        <v>108</v>
      </c>
      <c r="F114"/>
      <c r="G114" t="s">
        <v>164</v>
      </c>
      <c r="H114"/>
      <c r="I114" s="197">
        <v>46287.408090277779</v>
      </c>
      <c r="J114" t="s">
        <v>468</v>
      </c>
      <c r="K114" t="s">
        <v>444</v>
      </c>
      <c r="L114" s="196">
        <v>46285</v>
      </c>
      <c r="M114" t="s">
        <v>439</v>
      </c>
      <c r="N114" t="s">
        <v>231</v>
      </c>
      <c r="O114" t="s">
        <v>232</v>
      </c>
      <c r="P114">
        <v>1</v>
      </c>
      <c r="Q114" t="s">
        <v>247</v>
      </c>
    </row>
    <row r="115" spans="1:17" s="25" customFormat="1" hidden="1">
      <c r="A115" s="111">
        <v>4.9390819537037035E-2</v>
      </c>
      <c r="B115" t="s">
        <v>94</v>
      </c>
      <c r="C115" t="s">
        <v>492</v>
      </c>
      <c r="D115"/>
      <c r="E115" t="s">
        <v>59</v>
      </c>
      <c r="F115"/>
      <c r="G115" t="s">
        <v>164</v>
      </c>
      <c r="H115"/>
      <c r="I115" s="197">
        <v>46287.407858796294</v>
      </c>
      <c r="J115" t="s">
        <v>468</v>
      </c>
      <c r="K115" t="s">
        <v>444</v>
      </c>
      <c r="L115" s="196">
        <v>46285</v>
      </c>
      <c r="M115" t="s">
        <v>439</v>
      </c>
      <c r="N115" t="s">
        <v>231</v>
      </c>
      <c r="O115" t="s">
        <v>232</v>
      </c>
      <c r="P115">
        <v>1</v>
      </c>
      <c r="Q115" t="s">
        <v>247</v>
      </c>
    </row>
    <row r="116" spans="1:17" s="25" customFormat="1" hidden="1">
      <c r="A116" s="111">
        <v>4.9286695590277776E-2</v>
      </c>
      <c r="B116" t="s">
        <v>94</v>
      </c>
      <c r="C116" t="s">
        <v>476</v>
      </c>
      <c r="D116"/>
      <c r="E116" t="s">
        <v>133</v>
      </c>
      <c r="F116"/>
      <c r="G116" t="s">
        <v>164</v>
      </c>
      <c r="H116"/>
      <c r="I116" s="197">
        <v>46287.407256944447</v>
      </c>
      <c r="J116" t="s">
        <v>468</v>
      </c>
      <c r="K116" t="s">
        <v>444</v>
      </c>
      <c r="L116" s="196">
        <v>46285</v>
      </c>
      <c r="M116" t="s">
        <v>439</v>
      </c>
      <c r="N116" t="s">
        <v>231</v>
      </c>
      <c r="O116" t="s">
        <v>232</v>
      </c>
      <c r="P116">
        <v>1</v>
      </c>
      <c r="Q116" t="s">
        <v>247</v>
      </c>
    </row>
    <row r="117" spans="1:17" s="25" customFormat="1" hidden="1">
      <c r="A117" s="111">
        <v>4.9286695590277776E-2</v>
      </c>
      <c r="B117" t="s">
        <v>94</v>
      </c>
      <c r="C117" t="s">
        <v>482</v>
      </c>
      <c r="D117"/>
      <c r="E117" t="s">
        <v>133</v>
      </c>
      <c r="F117"/>
      <c r="G117" t="s">
        <v>164</v>
      </c>
      <c r="H117"/>
      <c r="I117" s="197">
        <v>46287.40724537037</v>
      </c>
      <c r="J117" t="s">
        <v>468</v>
      </c>
      <c r="K117" t="s">
        <v>444</v>
      </c>
      <c r="L117" s="196">
        <v>46285</v>
      </c>
      <c r="M117" t="s">
        <v>439</v>
      </c>
      <c r="N117" t="s">
        <v>231</v>
      </c>
      <c r="O117" t="s">
        <v>232</v>
      </c>
      <c r="P117">
        <v>1</v>
      </c>
      <c r="Q117" t="s">
        <v>247</v>
      </c>
    </row>
    <row r="118" spans="1:17" s="25" customFormat="1" hidden="1">
      <c r="A118" s="111">
        <v>4.9273137824074074E-2</v>
      </c>
      <c r="B118" t="s">
        <v>94</v>
      </c>
      <c r="C118" t="s">
        <v>504</v>
      </c>
      <c r="D118"/>
      <c r="E118" t="s">
        <v>108</v>
      </c>
      <c r="F118"/>
      <c r="G118" t="s">
        <v>164</v>
      </c>
      <c r="H118"/>
      <c r="I118" s="197">
        <v>46287.406666666669</v>
      </c>
      <c r="J118" t="s">
        <v>468</v>
      </c>
      <c r="K118" t="s">
        <v>444</v>
      </c>
      <c r="L118" s="196">
        <v>46285</v>
      </c>
      <c r="M118" t="s">
        <v>439</v>
      </c>
      <c r="N118" t="s">
        <v>231</v>
      </c>
      <c r="O118" t="s">
        <v>232</v>
      </c>
      <c r="P118">
        <v>1</v>
      </c>
      <c r="Q118" t="s">
        <v>247</v>
      </c>
    </row>
    <row r="119" spans="1:17" s="25" customFormat="1" hidden="1">
      <c r="A119" s="111">
        <v>4.9192813391203703E-2</v>
      </c>
      <c r="B119" t="s">
        <v>94</v>
      </c>
      <c r="C119" t="s">
        <v>494</v>
      </c>
      <c r="D119"/>
      <c r="E119" t="s">
        <v>108</v>
      </c>
      <c r="F119"/>
      <c r="G119" t="s">
        <v>164</v>
      </c>
      <c r="H119"/>
      <c r="I119" s="197">
        <v>46287.406412037039</v>
      </c>
      <c r="J119" t="s">
        <v>468</v>
      </c>
      <c r="K119" t="s">
        <v>444</v>
      </c>
      <c r="L119" s="196">
        <v>46285</v>
      </c>
      <c r="M119" t="s">
        <v>439</v>
      </c>
      <c r="N119" t="s">
        <v>231</v>
      </c>
      <c r="O119" t="s">
        <v>232</v>
      </c>
      <c r="P119">
        <v>1</v>
      </c>
      <c r="Q119" t="s">
        <v>247</v>
      </c>
    </row>
    <row r="120" spans="1:17" s="25" customFormat="1" hidden="1">
      <c r="A120" s="111">
        <v>4.9008635358796293E-2</v>
      </c>
      <c r="B120" t="s">
        <v>94</v>
      </c>
      <c r="C120" t="s">
        <v>494</v>
      </c>
      <c r="D120"/>
      <c r="E120" t="s">
        <v>108</v>
      </c>
      <c r="F120"/>
      <c r="G120" t="s">
        <v>164</v>
      </c>
      <c r="H120"/>
      <c r="I120" s="197">
        <v>46287.406122685185</v>
      </c>
      <c r="J120" t="s">
        <v>468</v>
      </c>
      <c r="K120" t="s">
        <v>444</v>
      </c>
      <c r="L120" s="196">
        <v>46285</v>
      </c>
      <c r="M120" t="s">
        <v>439</v>
      </c>
      <c r="N120" t="s">
        <v>231</v>
      </c>
      <c r="O120" t="s">
        <v>232</v>
      </c>
      <c r="P120">
        <v>1</v>
      </c>
      <c r="Q120" t="s">
        <v>247</v>
      </c>
    </row>
    <row r="121" spans="1:17" s="25" customFormat="1" hidden="1">
      <c r="A121" s="111">
        <v>4.8906898726851854E-2</v>
      </c>
      <c r="B121" t="s">
        <v>94</v>
      </c>
      <c r="C121"/>
      <c r="D121"/>
      <c r="E121" t="s">
        <v>113</v>
      </c>
      <c r="F121"/>
      <c r="G121" t="s">
        <v>164</v>
      </c>
      <c r="H121"/>
      <c r="I121" s="197">
        <v>46287.405995370369</v>
      </c>
      <c r="J121" t="s">
        <v>468</v>
      </c>
      <c r="K121" t="s">
        <v>444</v>
      </c>
      <c r="L121" s="196">
        <v>46285</v>
      </c>
      <c r="M121" t="s">
        <v>439</v>
      </c>
      <c r="N121" t="s">
        <v>231</v>
      </c>
      <c r="O121" t="s">
        <v>232</v>
      </c>
      <c r="P121">
        <v>1</v>
      </c>
      <c r="Q121" t="s">
        <v>247</v>
      </c>
    </row>
    <row r="122" spans="1:17" s="25" customFormat="1" hidden="1">
      <c r="A122" s="111">
        <v>4.8830088645833332E-2</v>
      </c>
      <c r="B122" t="s">
        <v>94</v>
      </c>
      <c r="C122"/>
      <c r="D122"/>
      <c r="E122" t="s">
        <v>104</v>
      </c>
      <c r="F122"/>
      <c r="G122" t="s">
        <v>164</v>
      </c>
      <c r="H122"/>
      <c r="I122" s="197">
        <v>46287.405914351853</v>
      </c>
      <c r="J122" t="s">
        <v>468</v>
      </c>
      <c r="K122" t="s">
        <v>444</v>
      </c>
      <c r="L122" s="196">
        <v>46285</v>
      </c>
      <c r="M122" t="s">
        <v>439</v>
      </c>
      <c r="N122" t="s">
        <v>231</v>
      </c>
      <c r="O122" t="s">
        <v>232</v>
      </c>
      <c r="P122">
        <v>1</v>
      </c>
      <c r="Q122" t="s">
        <v>247</v>
      </c>
    </row>
    <row r="123" spans="1:17" s="25" customFormat="1" hidden="1">
      <c r="A123" s="111">
        <v>4.80371022337963E-2</v>
      </c>
      <c r="B123" t="s">
        <v>94</v>
      </c>
      <c r="C123" t="s">
        <v>480</v>
      </c>
      <c r="D123"/>
      <c r="E123" t="s">
        <v>317</v>
      </c>
      <c r="F123"/>
      <c r="G123" t="s">
        <v>164</v>
      </c>
      <c r="H123" t="s">
        <v>514</v>
      </c>
      <c r="I123" s="197">
        <v>46287.405613425923</v>
      </c>
      <c r="J123" t="s">
        <v>468</v>
      </c>
      <c r="K123" t="s">
        <v>444</v>
      </c>
      <c r="L123" s="196">
        <v>46285</v>
      </c>
      <c r="M123" t="s">
        <v>439</v>
      </c>
      <c r="N123" t="s">
        <v>231</v>
      </c>
      <c r="O123" t="s">
        <v>232</v>
      </c>
      <c r="P123">
        <v>1</v>
      </c>
      <c r="Q123" t="s">
        <v>247</v>
      </c>
    </row>
    <row r="124" spans="1:17" s="25" customFormat="1" hidden="1">
      <c r="A124" s="111">
        <v>4.80371022337963E-2</v>
      </c>
      <c r="B124" t="s">
        <v>94</v>
      </c>
      <c r="C124"/>
      <c r="D124"/>
      <c r="E124" t="s">
        <v>87</v>
      </c>
      <c r="F124"/>
      <c r="G124" t="s">
        <v>164</v>
      </c>
      <c r="H124"/>
      <c r="I124" s="197">
        <v>46287.405555555553</v>
      </c>
      <c r="J124" t="s">
        <v>468</v>
      </c>
      <c r="K124" t="s">
        <v>444</v>
      </c>
      <c r="L124" s="196">
        <v>46285</v>
      </c>
      <c r="M124" t="s">
        <v>439</v>
      </c>
      <c r="N124" t="s">
        <v>231</v>
      </c>
      <c r="O124" t="s">
        <v>232</v>
      </c>
      <c r="P124">
        <v>1</v>
      </c>
      <c r="Q124" t="s">
        <v>247</v>
      </c>
    </row>
    <row r="125" spans="1:17" s="25" customFormat="1" hidden="1">
      <c r="A125" s="111">
        <v>4.80371022337963E-2</v>
      </c>
      <c r="B125" t="s">
        <v>94</v>
      </c>
      <c r="C125" t="s">
        <v>480</v>
      </c>
      <c r="D125" t="s">
        <v>204</v>
      </c>
      <c r="E125" t="s">
        <v>214</v>
      </c>
      <c r="F125" t="s">
        <v>82</v>
      </c>
      <c r="G125" t="s">
        <v>164</v>
      </c>
      <c r="H125"/>
      <c r="I125" s="197">
        <v>46287.405555555553</v>
      </c>
      <c r="J125" t="s">
        <v>468</v>
      </c>
      <c r="K125" t="s">
        <v>444</v>
      </c>
      <c r="L125" s="196">
        <v>46285</v>
      </c>
      <c r="M125" t="s">
        <v>439</v>
      </c>
      <c r="N125" t="s">
        <v>231</v>
      </c>
      <c r="O125" t="s">
        <v>232</v>
      </c>
      <c r="P125">
        <v>1</v>
      </c>
      <c r="Q125" t="s">
        <v>247</v>
      </c>
    </row>
    <row r="126" spans="1:17" s="25" customFormat="1" hidden="1">
      <c r="A126" s="111">
        <v>4.7928959224537035E-2</v>
      </c>
      <c r="B126" t="s">
        <v>94</v>
      </c>
      <c r="C126" t="s">
        <v>470</v>
      </c>
      <c r="D126"/>
      <c r="E126" t="s">
        <v>183</v>
      </c>
      <c r="F126"/>
      <c r="G126" t="s">
        <v>98</v>
      </c>
      <c r="H126"/>
      <c r="I126" s="197">
        <v>46287.404965277776</v>
      </c>
      <c r="J126" t="s">
        <v>468</v>
      </c>
      <c r="K126" t="s">
        <v>444</v>
      </c>
      <c r="L126" s="196">
        <v>46285</v>
      </c>
      <c r="M126" t="s">
        <v>439</v>
      </c>
      <c r="N126" t="s">
        <v>231</v>
      </c>
      <c r="O126" t="s">
        <v>232</v>
      </c>
      <c r="P126">
        <v>1</v>
      </c>
      <c r="Q126" t="s">
        <v>247</v>
      </c>
    </row>
    <row r="127" spans="1:17" s="25" customFormat="1" hidden="1">
      <c r="A127" s="111">
        <v>4.788888623842593E-2</v>
      </c>
      <c r="B127" t="s">
        <v>94</v>
      </c>
      <c r="C127" t="s">
        <v>470</v>
      </c>
      <c r="D127"/>
      <c r="E127" t="s">
        <v>462</v>
      </c>
      <c r="F127"/>
      <c r="G127" t="s">
        <v>98</v>
      </c>
      <c r="H127"/>
      <c r="I127" s="197">
        <v>46287.404768518521</v>
      </c>
      <c r="J127" t="s">
        <v>468</v>
      </c>
      <c r="K127" t="s">
        <v>444</v>
      </c>
      <c r="L127" s="196">
        <v>46285</v>
      </c>
      <c r="M127" t="s">
        <v>439</v>
      </c>
      <c r="N127" t="s">
        <v>231</v>
      </c>
      <c r="O127" t="s">
        <v>232</v>
      </c>
      <c r="P127">
        <v>1</v>
      </c>
      <c r="Q127" t="s">
        <v>247</v>
      </c>
    </row>
    <row r="128" spans="1:17" s="25" customFormat="1" hidden="1">
      <c r="A128" s="111">
        <v>4.7881550300925932E-2</v>
      </c>
      <c r="B128" t="s">
        <v>94</v>
      </c>
      <c r="C128"/>
      <c r="D128"/>
      <c r="E128" t="s">
        <v>183</v>
      </c>
      <c r="F128"/>
      <c r="G128" t="s">
        <v>164</v>
      </c>
      <c r="H128"/>
      <c r="I128" s="197">
        <v>46287.404432870368</v>
      </c>
      <c r="J128" t="s">
        <v>468</v>
      </c>
      <c r="K128" t="s">
        <v>444</v>
      </c>
      <c r="L128" s="196">
        <v>46285</v>
      </c>
      <c r="M128" t="s">
        <v>439</v>
      </c>
      <c r="N128" t="s">
        <v>231</v>
      </c>
      <c r="O128" t="s">
        <v>232</v>
      </c>
      <c r="P128">
        <v>1</v>
      </c>
      <c r="Q128" t="s">
        <v>247</v>
      </c>
    </row>
    <row r="129" spans="1:17" s="25" customFormat="1" hidden="1">
      <c r="A129" s="111">
        <v>4.7834581122685189E-2</v>
      </c>
      <c r="B129" t="s">
        <v>94</v>
      </c>
      <c r="C129" t="s">
        <v>482</v>
      </c>
      <c r="D129"/>
      <c r="E129" t="s">
        <v>108</v>
      </c>
      <c r="F129"/>
      <c r="G129" t="s">
        <v>164</v>
      </c>
      <c r="H129"/>
      <c r="I129" s="197">
        <v>46287.404282407406</v>
      </c>
      <c r="J129" t="s">
        <v>468</v>
      </c>
      <c r="K129" t="s">
        <v>444</v>
      </c>
      <c r="L129" s="196">
        <v>46285</v>
      </c>
      <c r="M129" t="s">
        <v>439</v>
      </c>
      <c r="N129" t="s">
        <v>231</v>
      </c>
      <c r="O129" t="s">
        <v>232</v>
      </c>
      <c r="P129">
        <v>1</v>
      </c>
      <c r="Q129" t="s">
        <v>247</v>
      </c>
    </row>
    <row r="130" spans="1:17" s="25" customFormat="1" hidden="1">
      <c r="A130" s="111">
        <v>4.7794252361111116E-2</v>
      </c>
      <c r="B130" t="s">
        <v>94</v>
      </c>
      <c r="C130"/>
      <c r="D130"/>
      <c r="E130" t="s">
        <v>188</v>
      </c>
      <c r="F130"/>
      <c r="G130" t="s">
        <v>164</v>
      </c>
      <c r="H130"/>
      <c r="I130" s="197">
        <v>46287.404085648152</v>
      </c>
      <c r="J130" t="s">
        <v>468</v>
      </c>
      <c r="K130" t="s">
        <v>444</v>
      </c>
      <c r="L130" s="196">
        <v>46285</v>
      </c>
      <c r="M130" t="s">
        <v>439</v>
      </c>
      <c r="N130" t="s">
        <v>231</v>
      </c>
      <c r="O130" t="s">
        <v>232</v>
      </c>
      <c r="P130">
        <v>1</v>
      </c>
      <c r="Q130" t="s">
        <v>247</v>
      </c>
    </row>
    <row r="131" spans="1:17" s="25" customFormat="1" hidden="1">
      <c r="A131" s="111">
        <v>4.7747760925925933E-2</v>
      </c>
      <c r="B131" t="s">
        <v>94</v>
      </c>
      <c r="C131"/>
      <c r="D131"/>
      <c r="E131" t="s">
        <v>100</v>
      </c>
      <c r="F131"/>
      <c r="G131" t="s">
        <v>98</v>
      </c>
      <c r="H131"/>
      <c r="I131" s="197">
        <v>46287.404016203705</v>
      </c>
      <c r="J131" t="s">
        <v>468</v>
      </c>
      <c r="K131" t="s">
        <v>444</v>
      </c>
      <c r="L131" s="196">
        <v>46285</v>
      </c>
      <c r="M131" t="s">
        <v>439</v>
      </c>
      <c r="N131" t="s">
        <v>231</v>
      </c>
      <c r="O131" t="s">
        <v>232</v>
      </c>
      <c r="P131">
        <v>1</v>
      </c>
      <c r="Q131" t="s">
        <v>247</v>
      </c>
    </row>
    <row r="132" spans="1:17" s="25" customFormat="1" hidden="1">
      <c r="A132" s="111">
        <v>4.7333585173611109E-2</v>
      </c>
      <c r="B132" t="s">
        <v>94</v>
      </c>
      <c r="C132"/>
      <c r="D132"/>
      <c r="E132" t="s">
        <v>87</v>
      </c>
      <c r="F132"/>
      <c r="G132" t="s">
        <v>98</v>
      </c>
      <c r="H132"/>
      <c r="I132" s="197">
        <v>46287.403865740744</v>
      </c>
      <c r="J132" t="s">
        <v>468</v>
      </c>
      <c r="K132" t="s">
        <v>444</v>
      </c>
      <c r="L132" s="196">
        <v>46285</v>
      </c>
      <c r="M132" t="s">
        <v>439</v>
      </c>
      <c r="N132" t="s">
        <v>231</v>
      </c>
      <c r="O132" t="s">
        <v>232</v>
      </c>
      <c r="P132">
        <v>1</v>
      </c>
      <c r="Q132" t="s">
        <v>247</v>
      </c>
    </row>
    <row r="133" spans="1:17" s="25" customFormat="1" hidden="1">
      <c r="A133" s="111">
        <v>4.7284439375000001E-2</v>
      </c>
      <c r="B133" t="s">
        <v>94</v>
      </c>
      <c r="C133"/>
      <c r="D133"/>
      <c r="E133" t="s">
        <v>186</v>
      </c>
      <c r="F133"/>
      <c r="G133" t="s">
        <v>98</v>
      </c>
      <c r="H133"/>
      <c r="I133" s="197">
        <v>46287.403796296298</v>
      </c>
      <c r="J133" t="s">
        <v>468</v>
      </c>
      <c r="K133" t="s">
        <v>444</v>
      </c>
      <c r="L133" s="196">
        <v>46285</v>
      </c>
      <c r="M133" t="s">
        <v>439</v>
      </c>
      <c r="N133" t="s">
        <v>231</v>
      </c>
      <c r="O133" t="s">
        <v>232</v>
      </c>
      <c r="P133">
        <v>1</v>
      </c>
      <c r="Q133" t="s">
        <v>247</v>
      </c>
    </row>
    <row r="134" spans="1:17" s="25" customFormat="1" hidden="1">
      <c r="A134" s="111">
        <v>4.7261067291666667E-2</v>
      </c>
      <c r="B134" t="s">
        <v>94</v>
      </c>
      <c r="C134"/>
      <c r="D134"/>
      <c r="E134" t="s">
        <v>184</v>
      </c>
      <c r="F134"/>
      <c r="G134" t="s">
        <v>164</v>
      </c>
      <c r="H134"/>
      <c r="I134" s="197">
        <v>46287.403715277775</v>
      </c>
      <c r="J134" t="s">
        <v>468</v>
      </c>
      <c r="K134" t="s">
        <v>444</v>
      </c>
      <c r="L134" s="196">
        <v>46285</v>
      </c>
      <c r="M134" t="s">
        <v>439</v>
      </c>
      <c r="N134" t="s">
        <v>231</v>
      </c>
      <c r="O134" t="s">
        <v>232</v>
      </c>
      <c r="P134">
        <v>1</v>
      </c>
      <c r="Q134" t="s">
        <v>247</v>
      </c>
    </row>
    <row r="135" spans="1:17" s="25" customFormat="1" hidden="1">
      <c r="A135" s="111">
        <v>4.7180179166666662E-2</v>
      </c>
      <c r="B135" t="s">
        <v>94</v>
      </c>
      <c r="C135" t="s">
        <v>472</v>
      </c>
      <c r="D135"/>
      <c r="E135" t="s">
        <v>108</v>
      </c>
      <c r="F135"/>
      <c r="G135" t="s">
        <v>164</v>
      </c>
      <c r="H135"/>
      <c r="I135" s="197">
        <v>46287.403541666667</v>
      </c>
      <c r="J135" t="s">
        <v>468</v>
      </c>
      <c r="K135" t="s">
        <v>444</v>
      </c>
      <c r="L135" s="196">
        <v>46285</v>
      </c>
      <c r="M135" t="s">
        <v>439</v>
      </c>
      <c r="N135" t="s">
        <v>231</v>
      </c>
      <c r="O135" t="s">
        <v>232</v>
      </c>
      <c r="P135">
        <v>1</v>
      </c>
      <c r="Q135" t="s">
        <v>247</v>
      </c>
    </row>
    <row r="136" spans="1:17" s="25" customFormat="1" hidden="1">
      <c r="A136" s="111">
        <v>4.7180179166666662E-2</v>
      </c>
      <c r="B136" t="s">
        <v>94</v>
      </c>
      <c r="C136"/>
      <c r="D136"/>
      <c r="E136" t="s">
        <v>101</v>
      </c>
      <c r="F136"/>
      <c r="G136" t="s">
        <v>164</v>
      </c>
      <c r="H136"/>
      <c r="I136" s="197">
        <v>46287.40353009259</v>
      </c>
      <c r="J136" t="s">
        <v>468</v>
      </c>
      <c r="K136" t="s">
        <v>444</v>
      </c>
      <c r="L136" s="196">
        <v>46285</v>
      </c>
      <c r="M136" t="s">
        <v>439</v>
      </c>
      <c r="N136" t="s">
        <v>231</v>
      </c>
      <c r="O136" t="s">
        <v>232</v>
      </c>
      <c r="P136">
        <v>1</v>
      </c>
      <c r="Q136" t="s">
        <v>247</v>
      </c>
    </row>
    <row r="137" spans="1:17" s="25" customFormat="1" hidden="1">
      <c r="A137" s="111">
        <v>4.6988385567129629E-2</v>
      </c>
      <c r="B137" t="s">
        <v>94</v>
      </c>
      <c r="C137"/>
      <c r="D137"/>
      <c r="E137" t="s">
        <v>87</v>
      </c>
      <c r="F137"/>
      <c r="G137" t="s">
        <v>164</v>
      </c>
      <c r="H137"/>
      <c r="I137" s="197">
        <v>46287.40351851852</v>
      </c>
      <c r="J137" t="s">
        <v>468</v>
      </c>
      <c r="K137" t="s">
        <v>444</v>
      </c>
      <c r="L137" s="196">
        <v>46285</v>
      </c>
      <c r="M137" t="s">
        <v>439</v>
      </c>
      <c r="N137" t="s">
        <v>231</v>
      </c>
      <c r="O137" t="s">
        <v>232</v>
      </c>
      <c r="P137">
        <v>1</v>
      </c>
      <c r="Q137" t="s">
        <v>247</v>
      </c>
    </row>
    <row r="138" spans="1:17" s="25" customFormat="1" hidden="1">
      <c r="A138" s="111">
        <v>4.6988385567129629E-2</v>
      </c>
      <c r="B138" t="s">
        <v>94</v>
      </c>
      <c r="C138" t="s">
        <v>82</v>
      </c>
      <c r="D138" t="s">
        <v>82</v>
      </c>
      <c r="E138" t="s">
        <v>214</v>
      </c>
      <c r="F138" t="s">
        <v>207</v>
      </c>
      <c r="G138" t="s">
        <v>164</v>
      </c>
      <c r="H138"/>
      <c r="I138" s="197">
        <v>46287.40351851852</v>
      </c>
      <c r="J138" t="s">
        <v>468</v>
      </c>
      <c r="K138" t="s">
        <v>444</v>
      </c>
      <c r="L138" s="196">
        <v>46285</v>
      </c>
      <c r="M138" t="s">
        <v>439</v>
      </c>
      <c r="N138" t="s">
        <v>231</v>
      </c>
      <c r="O138" t="s">
        <v>232</v>
      </c>
      <c r="P138">
        <v>1</v>
      </c>
      <c r="Q138" t="s">
        <v>247</v>
      </c>
    </row>
    <row r="139" spans="1:17" s="25" customFormat="1" hidden="1">
      <c r="A139" s="111">
        <v>4.6926741678240735E-2</v>
      </c>
      <c r="B139" t="s">
        <v>94</v>
      </c>
      <c r="C139" t="s">
        <v>82</v>
      </c>
      <c r="D139"/>
      <c r="E139" t="s">
        <v>463</v>
      </c>
      <c r="F139"/>
      <c r="G139" t="s">
        <v>98</v>
      </c>
      <c r="H139"/>
      <c r="I139" s="197">
        <v>46287.403124999997</v>
      </c>
      <c r="J139" t="s">
        <v>468</v>
      </c>
      <c r="K139" t="s">
        <v>444</v>
      </c>
      <c r="L139" s="196">
        <v>46285</v>
      </c>
      <c r="M139" t="s">
        <v>439</v>
      </c>
      <c r="N139" t="s">
        <v>231</v>
      </c>
      <c r="O139" t="s">
        <v>232</v>
      </c>
      <c r="P139">
        <v>1</v>
      </c>
      <c r="Q139" t="s">
        <v>247</v>
      </c>
    </row>
    <row r="140" spans="1:17" s="25" customFormat="1" hidden="1">
      <c r="A140" s="111">
        <v>4.6892041087962966E-2</v>
      </c>
      <c r="B140" t="s">
        <v>94</v>
      </c>
      <c r="C140" t="s">
        <v>82</v>
      </c>
      <c r="D140"/>
      <c r="E140" t="s">
        <v>110</v>
      </c>
      <c r="F140"/>
      <c r="G140" t="s">
        <v>164</v>
      </c>
      <c r="H140"/>
      <c r="I140" s="197">
        <v>46287.402986111112</v>
      </c>
      <c r="J140" t="s">
        <v>468</v>
      </c>
      <c r="K140" t="s">
        <v>444</v>
      </c>
      <c r="L140" s="196">
        <v>46285</v>
      </c>
      <c r="M140" t="s">
        <v>439</v>
      </c>
      <c r="N140" t="s">
        <v>231</v>
      </c>
      <c r="O140" t="s">
        <v>232</v>
      </c>
      <c r="P140">
        <v>1</v>
      </c>
      <c r="Q140" t="s">
        <v>247</v>
      </c>
    </row>
    <row r="141" spans="1:17" s="25" customFormat="1" hidden="1">
      <c r="A141" s="111">
        <v>4.6880894571759257E-2</v>
      </c>
      <c r="B141" t="s">
        <v>94</v>
      </c>
      <c r="C141"/>
      <c r="D141"/>
      <c r="E141" t="s">
        <v>104</v>
      </c>
      <c r="F141"/>
      <c r="G141" t="s">
        <v>164</v>
      </c>
      <c r="H141"/>
      <c r="I141" s="197">
        <v>46287.402870370373</v>
      </c>
      <c r="J141" t="s">
        <v>468</v>
      </c>
      <c r="K141" t="s">
        <v>444</v>
      </c>
      <c r="L141" s="196">
        <v>46285</v>
      </c>
      <c r="M141" t="s">
        <v>439</v>
      </c>
      <c r="N141" t="s">
        <v>231</v>
      </c>
      <c r="O141" t="s">
        <v>232</v>
      </c>
      <c r="P141">
        <v>1</v>
      </c>
      <c r="Q141" t="s">
        <v>247</v>
      </c>
    </row>
    <row r="142" spans="1:17" s="25" customFormat="1" hidden="1">
      <c r="A142" s="111">
        <v>4.5987845219907404E-2</v>
      </c>
      <c r="B142" t="s">
        <v>94</v>
      </c>
      <c r="C142"/>
      <c r="D142"/>
      <c r="E142" t="s">
        <v>87</v>
      </c>
      <c r="F142"/>
      <c r="G142" t="s">
        <v>98</v>
      </c>
      <c r="H142"/>
      <c r="I142" s="197">
        <v>46287.39634259259</v>
      </c>
      <c r="J142" t="s">
        <v>468</v>
      </c>
      <c r="K142" t="s">
        <v>444</v>
      </c>
      <c r="L142" s="196">
        <v>46285</v>
      </c>
      <c r="M142" t="s">
        <v>439</v>
      </c>
      <c r="N142" t="s">
        <v>231</v>
      </c>
      <c r="O142" t="s">
        <v>232</v>
      </c>
      <c r="P142">
        <v>1</v>
      </c>
      <c r="Q142" t="s">
        <v>247</v>
      </c>
    </row>
    <row r="143" spans="1:17" s="25" customFormat="1" hidden="1">
      <c r="A143" s="111">
        <v>4.5972483252314809E-2</v>
      </c>
      <c r="B143" t="s">
        <v>94</v>
      </c>
      <c r="C143"/>
      <c r="D143"/>
      <c r="E143" t="s">
        <v>183</v>
      </c>
      <c r="F143"/>
      <c r="G143" t="s">
        <v>164</v>
      </c>
      <c r="H143"/>
      <c r="I143" s="197">
        <v>46287.396319444444</v>
      </c>
      <c r="J143" t="s">
        <v>468</v>
      </c>
      <c r="K143" t="s">
        <v>444</v>
      </c>
      <c r="L143" s="196">
        <v>46285</v>
      </c>
      <c r="M143" t="s">
        <v>439</v>
      </c>
      <c r="N143" t="s">
        <v>231</v>
      </c>
      <c r="O143" t="s">
        <v>232</v>
      </c>
      <c r="P143">
        <v>1</v>
      </c>
      <c r="Q143" t="s">
        <v>247</v>
      </c>
    </row>
    <row r="144" spans="1:17" s="25" customFormat="1" hidden="1">
      <c r="A144" s="111">
        <v>4.5906644791666666E-2</v>
      </c>
      <c r="B144" t="s">
        <v>94</v>
      </c>
      <c r="C144" t="s">
        <v>494</v>
      </c>
      <c r="D144"/>
      <c r="E144" t="s">
        <v>108</v>
      </c>
      <c r="F144"/>
      <c r="G144" t="s">
        <v>164</v>
      </c>
      <c r="H144"/>
      <c r="I144" s="197">
        <v>46287.396006944444</v>
      </c>
      <c r="J144" t="s">
        <v>468</v>
      </c>
      <c r="K144" t="s">
        <v>444</v>
      </c>
      <c r="L144" s="196">
        <v>46285</v>
      </c>
      <c r="M144" t="s">
        <v>439</v>
      </c>
      <c r="N144" t="s">
        <v>231</v>
      </c>
      <c r="O144" t="s">
        <v>232</v>
      </c>
      <c r="P144">
        <v>1</v>
      </c>
      <c r="Q144" t="s">
        <v>247</v>
      </c>
    </row>
    <row r="145" spans="1:17" s="25" customFormat="1" hidden="1">
      <c r="A145" s="111">
        <v>4.5765740034722224E-2</v>
      </c>
      <c r="B145" t="s">
        <v>94</v>
      </c>
      <c r="C145"/>
      <c r="D145"/>
      <c r="E145" t="s">
        <v>113</v>
      </c>
      <c r="F145"/>
      <c r="G145" t="s">
        <v>164</v>
      </c>
      <c r="H145"/>
      <c r="I145" s="197">
        <v>46287.395289351851</v>
      </c>
      <c r="J145" t="s">
        <v>468</v>
      </c>
      <c r="K145" t="s">
        <v>444</v>
      </c>
      <c r="L145" s="196">
        <v>46285</v>
      </c>
      <c r="M145" t="s">
        <v>439</v>
      </c>
      <c r="N145" t="s">
        <v>231</v>
      </c>
      <c r="O145" t="s">
        <v>232</v>
      </c>
      <c r="P145">
        <v>1</v>
      </c>
      <c r="Q145" t="s">
        <v>247</v>
      </c>
    </row>
    <row r="146" spans="1:17" s="25" customFormat="1" hidden="1">
      <c r="A146" s="111">
        <v>4.5704282291666669E-2</v>
      </c>
      <c r="B146" t="s">
        <v>94</v>
      </c>
      <c r="C146"/>
      <c r="D146"/>
      <c r="E146" t="s">
        <v>104</v>
      </c>
      <c r="F146"/>
      <c r="G146" t="s">
        <v>164</v>
      </c>
      <c r="H146"/>
      <c r="I146" s="197">
        <v>46287.395219907405</v>
      </c>
      <c r="J146" t="s">
        <v>468</v>
      </c>
      <c r="K146" t="s">
        <v>444</v>
      </c>
      <c r="L146" s="196">
        <v>46285</v>
      </c>
      <c r="M146" t="s">
        <v>439</v>
      </c>
      <c r="N146" t="s">
        <v>231</v>
      </c>
      <c r="O146" t="s">
        <v>232</v>
      </c>
      <c r="P146">
        <v>1</v>
      </c>
      <c r="Q146" t="s">
        <v>247</v>
      </c>
    </row>
    <row r="147" spans="1:17" s="25" customFormat="1" hidden="1">
      <c r="A147" s="111">
        <v>4.4909717372685183E-2</v>
      </c>
      <c r="B147" t="s">
        <v>94</v>
      </c>
      <c r="C147"/>
      <c r="D147"/>
      <c r="E147" t="s">
        <v>87</v>
      </c>
      <c r="F147"/>
      <c r="G147" t="s">
        <v>164</v>
      </c>
      <c r="H147"/>
      <c r="I147" s="197">
        <v>46287.395208333335</v>
      </c>
      <c r="J147" t="s">
        <v>468</v>
      </c>
      <c r="K147" t="s">
        <v>444</v>
      </c>
      <c r="L147" s="196">
        <v>46285</v>
      </c>
      <c r="M147" t="s">
        <v>439</v>
      </c>
      <c r="N147" t="s">
        <v>231</v>
      </c>
      <c r="O147" t="s">
        <v>232</v>
      </c>
      <c r="P147">
        <v>1</v>
      </c>
      <c r="Q147" t="s">
        <v>247</v>
      </c>
    </row>
    <row r="148" spans="1:17" s="25" customFormat="1" hidden="1">
      <c r="A148" s="111">
        <v>4.4909717372685183E-2</v>
      </c>
      <c r="B148" t="s">
        <v>94</v>
      </c>
      <c r="C148" t="s">
        <v>82</v>
      </c>
      <c r="D148" t="s">
        <v>82</v>
      </c>
      <c r="E148" t="s">
        <v>214</v>
      </c>
      <c r="F148" t="s">
        <v>133</v>
      </c>
      <c r="G148" t="s">
        <v>164</v>
      </c>
      <c r="H148"/>
      <c r="I148" s="197">
        <v>46287.395208333335</v>
      </c>
      <c r="J148" t="s">
        <v>468</v>
      </c>
      <c r="K148" t="s">
        <v>444</v>
      </c>
      <c r="L148" s="196">
        <v>46285</v>
      </c>
      <c r="M148" t="s">
        <v>439</v>
      </c>
      <c r="N148" t="s">
        <v>231</v>
      </c>
      <c r="O148" t="s">
        <v>232</v>
      </c>
      <c r="P148">
        <v>1</v>
      </c>
      <c r="Q148" t="s">
        <v>247</v>
      </c>
    </row>
    <row r="149" spans="1:17" s="25" customFormat="1" hidden="1">
      <c r="A149" s="111">
        <v>4.4845147974537036E-2</v>
      </c>
      <c r="B149" t="s">
        <v>94</v>
      </c>
      <c r="C149" t="s">
        <v>490</v>
      </c>
      <c r="D149"/>
      <c r="E149" t="s">
        <v>108</v>
      </c>
      <c r="F149"/>
      <c r="G149" t="s">
        <v>164</v>
      </c>
      <c r="H149"/>
      <c r="I149" s="197">
        <v>46287.394826388889</v>
      </c>
      <c r="J149" t="s">
        <v>468</v>
      </c>
      <c r="K149" t="s">
        <v>444</v>
      </c>
      <c r="L149" s="196">
        <v>46285</v>
      </c>
      <c r="M149" t="s">
        <v>439</v>
      </c>
      <c r="N149" t="s">
        <v>231</v>
      </c>
      <c r="O149" t="s">
        <v>232</v>
      </c>
      <c r="P149">
        <v>1</v>
      </c>
      <c r="Q149" t="s">
        <v>247</v>
      </c>
    </row>
    <row r="150" spans="1:17" s="25" customFormat="1" hidden="1">
      <c r="A150" s="111">
        <v>4.4729616041666663E-2</v>
      </c>
      <c r="B150" t="s">
        <v>94</v>
      </c>
      <c r="C150" t="s">
        <v>478</v>
      </c>
      <c r="D150"/>
      <c r="E150" t="s">
        <v>108</v>
      </c>
      <c r="F150"/>
      <c r="G150" t="s">
        <v>164</v>
      </c>
      <c r="H150"/>
      <c r="I150" s="197">
        <v>46287.394641203704</v>
      </c>
      <c r="J150" t="s">
        <v>468</v>
      </c>
      <c r="K150" t="s">
        <v>444</v>
      </c>
      <c r="L150" s="196">
        <v>46285</v>
      </c>
      <c r="M150" t="s">
        <v>439</v>
      </c>
      <c r="N150" t="s">
        <v>231</v>
      </c>
      <c r="O150" t="s">
        <v>232</v>
      </c>
      <c r="P150">
        <v>1</v>
      </c>
      <c r="Q150" t="s">
        <v>247</v>
      </c>
    </row>
    <row r="151" spans="1:17" s="25" customFormat="1" hidden="1">
      <c r="A151" s="111">
        <v>4.4673465208333332E-2</v>
      </c>
      <c r="B151" t="s">
        <v>94</v>
      </c>
      <c r="C151" t="s">
        <v>472</v>
      </c>
      <c r="D151"/>
      <c r="E151" t="s">
        <v>59</v>
      </c>
      <c r="F151"/>
      <c r="G151" t="s">
        <v>164</v>
      </c>
      <c r="H151"/>
      <c r="I151" s="197">
        <v>46287.394328703704</v>
      </c>
      <c r="J151" t="s">
        <v>468</v>
      </c>
      <c r="K151" t="s">
        <v>444</v>
      </c>
      <c r="L151" s="196">
        <v>46285</v>
      </c>
      <c r="M151" t="s">
        <v>439</v>
      </c>
      <c r="N151" t="s">
        <v>231</v>
      </c>
      <c r="O151" t="s">
        <v>232</v>
      </c>
      <c r="P151">
        <v>1</v>
      </c>
      <c r="Q151" t="s">
        <v>247</v>
      </c>
    </row>
    <row r="152" spans="1:17" s="25" customFormat="1" hidden="1">
      <c r="A152" s="111">
        <v>4.4553391111111111E-2</v>
      </c>
      <c r="B152" t="s">
        <v>94</v>
      </c>
      <c r="C152" t="s">
        <v>508</v>
      </c>
      <c r="D152"/>
      <c r="E152" t="s">
        <v>108</v>
      </c>
      <c r="F152"/>
      <c r="G152" t="s">
        <v>164</v>
      </c>
      <c r="H152"/>
      <c r="I152" s="197">
        <v>46287.393946759257</v>
      </c>
      <c r="J152" t="s">
        <v>468</v>
      </c>
      <c r="K152" t="s">
        <v>444</v>
      </c>
      <c r="L152" s="196">
        <v>46285</v>
      </c>
      <c r="M152" t="s">
        <v>439</v>
      </c>
      <c r="N152" t="s">
        <v>231</v>
      </c>
      <c r="O152" t="s">
        <v>232</v>
      </c>
      <c r="P152">
        <v>1</v>
      </c>
      <c r="Q152" t="s">
        <v>247</v>
      </c>
    </row>
    <row r="153" spans="1:17" s="25" customFormat="1" hidden="1">
      <c r="A153" s="111">
        <v>4.4506734618055557E-2</v>
      </c>
      <c r="B153" t="s">
        <v>94</v>
      </c>
      <c r="C153" t="s">
        <v>490</v>
      </c>
      <c r="D153"/>
      <c r="E153" t="s">
        <v>59</v>
      </c>
      <c r="F153"/>
      <c r="G153" t="s">
        <v>164</v>
      </c>
      <c r="H153"/>
      <c r="I153" s="197">
        <v>46286.888773148145</v>
      </c>
      <c r="J153" t="s">
        <v>468</v>
      </c>
      <c r="K153" t="s">
        <v>444</v>
      </c>
      <c r="L153" s="196">
        <v>46285</v>
      </c>
      <c r="M153" t="s">
        <v>439</v>
      </c>
      <c r="N153" t="s">
        <v>231</v>
      </c>
      <c r="O153" t="s">
        <v>232</v>
      </c>
      <c r="P153">
        <v>1</v>
      </c>
      <c r="Q153" t="s">
        <v>247</v>
      </c>
    </row>
    <row r="154" spans="1:17" s="25" customFormat="1" hidden="1">
      <c r="A154" s="111">
        <v>4.4422068333333328E-2</v>
      </c>
      <c r="B154" t="s">
        <v>94</v>
      </c>
      <c r="C154" t="s">
        <v>492</v>
      </c>
      <c r="D154"/>
      <c r="E154" t="s">
        <v>108</v>
      </c>
      <c r="F154"/>
      <c r="G154" t="s">
        <v>164</v>
      </c>
      <c r="H154"/>
      <c r="I154" s="197">
        <v>46286.887164351851</v>
      </c>
      <c r="J154" t="s">
        <v>468</v>
      </c>
      <c r="K154" t="s">
        <v>444</v>
      </c>
      <c r="L154" s="196">
        <v>46285</v>
      </c>
      <c r="M154" t="s">
        <v>439</v>
      </c>
      <c r="N154" t="s">
        <v>231</v>
      </c>
      <c r="O154" t="s">
        <v>232</v>
      </c>
      <c r="P154">
        <v>1</v>
      </c>
      <c r="Q154" t="s">
        <v>247</v>
      </c>
    </row>
    <row r="155" spans="1:17" s="25" customFormat="1" hidden="1">
      <c r="A155" s="111">
        <v>4.4331806851851854E-2</v>
      </c>
      <c r="B155" t="s">
        <v>94</v>
      </c>
      <c r="C155" t="s">
        <v>502</v>
      </c>
      <c r="D155"/>
      <c r="E155" t="s">
        <v>183</v>
      </c>
      <c r="F155"/>
      <c r="G155" t="s">
        <v>98</v>
      </c>
      <c r="H155"/>
      <c r="I155" s="197">
        <v>46286.886597222219</v>
      </c>
      <c r="J155" t="s">
        <v>468</v>
      </c>
      <c r="K155" t="s">
        <v>444</v>
      </c>
      <c r="L155" s="196">
        <v>46285</v>
      </c>
      <c r="M155" t="s">
        <v>439</v>
      </c>
      <c r="N155" t="s">
        <v>231</v>
      </c>
      <c r="O155" t="s">
        <v>232</v>
      </c>
      <c r="P155">
        <v>1</v>
      </c>
      <c r="Q155" t="s">
        <v>247</v>
      </c>
    </row>
    <row r="156" spans="1:17" s="25" customFormat="1" hidden="1">
      <c r="A156" s="111">
        <v>4.4285912499999996E-2</v>
      </c>
      <c r="B156" t="s">
        <v>94</v>
      </c>
      <c r="C156"/>
      <c r="D156"/>
      <c r="E156" t="s">
        <v>104</v>
      </c>
      <c r="F156"/>
      <c r="G156" t="s">
        <v>164</v>
      </c>
      <c r="H156"/>
      <c r="I156" s="197">
        <v>46286.886331018519</v>
      </c>
      <c r="J156" t="s">
        <v>468</v>
      </c>
      <c r="K156" t="s">
        <v>444</v>
      </c>
      <c r="L156" s="196">
        <v>46285</v>
      </c>
      <c r="M156" t="s">
        <v>439</v>
      </c>
      <c r="N156" t="s">
        <v>231</v>
      </c>
      <c r="O156" t="s">
        <v>232</v>
      </c>
      <c r="P156">
        <v>1</v>
      </c>
      <c r="Q156" t="s">
        <v>247</v>
      </c>
    </row>
    <row r="157" spans="1:17" s="25" customFormat="1" hidden="1">
      <c r="A157" s="111">
        <v>4.3951303217592594E-2</v>
      </c>
      <c r="B157" t="s">
        <v>94</v>
      </c>
      <c r="C157"/>
      <c r="D157"/>
      <c r="E157" t="s">
        <v>87</v>
      </c>
      <c r="F157"/>
      <c r="G157" t="s">
        <v>98</v>
      </c>
      <c r="H157"/>
      <c r="I157" s="197">
        <v>46286.886273148149</v>
      </c>
      <c r="J157" t="s">
        <v>468</v>
      </c>
      <c r="K157" t="s">
        <v>444</v>
      </c>
      <c r="L157" s="196">
        <v>46285</v>
      </c>
      <c r="M157" t="s">
        <v>439</v>
      </c>
      <c r="N157" t="s">
        <v>231</v>
      </c>
      <c r="O157" t="s">
        <v>232</v>
      </c>
      <c r="P157">
        <v>1</v>
      </c>
      <c r="Q157" t="s">
        <v>247</v>
      </c>
    </row>
    <row r="158" spans="1:17" s="25" customFormat="1" hidden="1">
      <c r="A158" s="111">
        <v>4.3893541030092596E-2</v>
      </c>
      <c r="B158" t="s">
        <v>94</v>
      </c>
      <c r="C158"/>
      <c r="D158"/>
      <c r="E158" t="s">
        <v>184</v>
      </c>
      <c r="F158"/>
      <c r="G158" t="s">
        <v>98</v>
      </c>
      <c r="H158"/>
      <c r="I158" s="197">
        <v>46286.886192129627</v>
      </c>
      <c r="J158" t="s">
        <v>468</v>
      </c>
      <c r="K158" t="s">
        <v>444</v>
      </c>
      <c r="L158" s="196">
        <v>46285</v>
      </c>
      <c r="M158" t="s">
        <v>439</v>
      </c>
      <c r="N158" t="s">
        <v>231</v>
      </c>
      <c r="O158" t="s">
        <v>232</v>
      </c>
      <c r="P158">
        <v>1</v>
      </c>
      <c r="Q158" t="s">
        <v>247</v>
      </c>
    </row>
    <row r="159" spans="1:17" s="25" customFormat="1" hidden="1">
      <c r="A159" s="111">
        <v>4.3883789907407406E-2</v>
      </c>
      <c r="B159" t="s">
        <v>94</v>
      </c>
      <c r="C159"/>
      <c r="D159"/>
      <c r="E159" t="s">
        <v>186</v>
      </c>
      <c r="F159"/>
      <c r="G159" t="s">
        <v>98</v>
      </c>
      <c r="H159"/>
      <c r="I159" s="197">
        <v>46286.886157407411</v>
      </c>
      <c r="J159" t="s">
        <v>468</v>
      </c>
      <c r="K159" t="s">
        <v>444</v>
      </c>
      <c r="L159" s="196">
        <v>46285</v>
      </c>
      <c r="M159" t="s">
        <v>439</v>
      </c>
      <c r="N159" t="s">
        <v>231</v>
      </c>
      <c r="O159" t="s">
        <v>232</v>
      </c>
      <c r="P159">
        <v>1</v>
      </c>
      <c r="Q159" t="s">
        <v>247</v>
      </c>
    </row>
    <row r="160" spans="1:17" s="25" customFormat="1" hidden="1">
      <c r="A160" s="111">
        <v>4.3822362719907408E-2</v>
      </c>
      <c r="B160" t="s">
        <v>94</v>
      </c>
      <c r="C160"/>
      <c r="D160"/>
      <c r="E160" t="s">
        <v>100</v>
      </c>
      <c r="F160"/>
      <c r="G160" t="s">
        <v>164</v>
      </c>
      <c r="H160"/>
      <c r="I160" s="197">
        <v>46286.886099537034</v>
      </c>
      <c r="J160" t="s">
        <v>468</v>
      </c>
      <c r="K160" t="s">
        <v>444</v>
      </c>
      <c r="L160" s="196">
        <v>46285</v>
      </c>
      <c r="M160" t="s">
        <v>439</v>
      </c>
      <c r="N160" t="s">
        <v>231</v>
      </c>
      <c r="O160" t="s">
        <v>232</v>
      </c>
      <c r="P160">
        <v>1</v>
      </c>
      <c r="Q160" t="s">
        <v>247</v>
      </c>
    </row>
    <row r="161" spans="1:17" s="25" customFormat="1" hidden="1">
      <c r="A161" s="111">
        <v>4.3355771250000001E-2</v>
      </c>
      <c r="B161" t="s">
        <v>94</v>
      </c>
      <c r="C161" t="s">
        <v>82</v>
      </c>
      <c r="D161"/>
      <c r="E161" t="s">
        <v>116</v>
      </c>
      <c r="F161"/>
      <c r="G161" t="s">
        <v>98</v>
      </c>
      <c r="H161"/>
      <c r="I161" s="197">
        <v>46286.885868055557</v>
      </c>
      <c r="J161" t="s">
        <v>468</v>
      </c>
      <c r="K161" t="s">
        <v>444</v>
      </c>
      <c r="L161" s="196">
        <v>46285</v>
      </c>
      <c r="M161" t="s">
        <v>439</v>
      </c>
      <c r="N161" t="s">
        <v>231</v>
      </c>
      <c r="O161" t="s">
        <v>232</v>
      </c>
      <c r="P161">
        <v>1</v>
      </c>
      <c r="Q161" t="s">
        <v>247</v>
      </c>
    </row>
    <row r="162" spans="1:17" s="25" customFormat="1" hidden="1">
      <c r="A162" s="111">
        <v>4.249335725694444E-2</v>
      </c>
      <c r="B162" t="s">
        <v>94</v>
      </c>
      <c r="C162"/>
      <c r="D162"/>
      <c r="E162" t="s">
        <v>87</v>
      </c>
      <c r="F162"/>
      <c r="G162" t="s">
        <v>98</v>
      </c>
      <c r="H162"/>
      <c r="I162" s="197">
        <v>46286.885625000003</v>
      </c>
      <c r="J162" t="s">
        <v>468</v>
      </c>
      <c r="K162" t="s">
        <v>444</v>
      </c>
      <c r="L162" s="196">
        <v>46285</v>
      </c>
      <c r="M162" t="s">
        <v>439</v>
      </c>
      <c r="N162" t="s">
        <v>231</v>
      </c>
      <c r="O162" t="s">
        <v>232</v>
      </c>
      <c r="P162">
        <v>1</v>
      </c>
      <c r="Q162" t="s">
        <v>247</v>
      </c>
    </row>
    <row r="163" spans="1:17" s="25" customFormat="1" hidden="1">
      <c r="A163" s="111">
        <v>4.249335725694444E-2</v>
      </c>
      <c r="B163" t="s">
        <v>94</v>
      </c>
      <c r="C163"/>
      <c r="D163"/>
      <c r="E163" t="s">
        <v>213</v>
      </c>
      <c r="F163" t="s">
        <v>207</v>
      </c>
      <c r="G163" t="s">
        <v>98</v>
      </c>
      <c r="H163"/>
      <c r="I163" s="197">
        <v>46286.885625000003</v>
      </c>
      <c r="J163" t="s">
        <v>468</v>
      </c>
      <c r="K163" t="s">
        <v>444</v>
      </c>
      <c r="L163" s="196">
        <v>46285</v>
      </c>
      <c r="M163" t="s">
        <v>439</v>
      </c>
      <c r="N163" t="s">
        <v>231</v>
      </c>
      <c r="O163" t="s">
        <v>232</v>
      </c>
      <c r="P163">
        <v>1</v>
      </c>
      <c r="Q163" t="s">
        <v>247</v>
      </c>
    </row>
    <row r="164" spans="1:17" s="25" customFormat="1" hidden="1">
      <c r="A164" s="111">
        <v>4.249335725694444E-2</v>
      </c>
      <c r="B164" t="s">
        <v>94</v>
      </c>
      <c r="C164" t="s">
        <v>502</v>
      </c>
      <c r="D164"/>
      <c r="E164" t="s">
        <v>60</v>
      </c>
      <c r="F164"/>
      <c r="G164" t="s">
        <v>164</v>
      </c>
      <c r="H164"/>
      <c r="I164" s="197">
        <v>46286.885567129626</v>
      </c>
      <c r="J164" t="s">
        <v>468</v>
      </c>
      <c r="K164" t="s">
        <v>444</v>
      </c>
      <c r="L164" s="196">
        <v>46285</v>
      </c>
      <c r="M164" t="s">
        <v>439</v>
      </c>
      <c r="N164" t="s">
        <v>231</v>
      </c>
      <c r="O164" t="s">
        <v>232</v>
      </c>
      <c r="P164">
        <v>1</v>
      </c>
      <c r="Q164" t="s">
        <v>247</v>
      </c>
    </row>
    <row r="165" spans="1:17" s="25" customFormat="1" hidden="1">
      <c r="A165" s="111">
        <v>4.2400677650462966E-2</v>
      </c>
      <c r="B165" t="s">
        <v>94</v>
      </c>
      <c r="C165" t="s">
        <v>498</v>
      </c>
      <c r="D165"/>
      <c r="E165" t="s">
        <v>108</v>
      </c>
      <c r="F165"/>
      <c r="G165" t="s">
        <v>164</v>
      </c>
      <c r="H165"/>
      <c r="I165" s="197">
        <v>46286.885393518518</v>
      </c>
      <c r="J165" t="s">
        <v>468</v>
      </c>
      <c r="K165" t="s">
        <v>444</v>
      </c>
      <c r="L165" s="196">
        <v>46285</v>
      </c>
      <c r="M165" t="s">
        <v>439</v>
      </c>
      <c r="N165" t="s">
        <v>231</v>
      </c>
      <c r="O165" t="s">
        <v>232</v>
      </c>
      <c r="P165">
        <v>1</v>
      </c>
      <c r="Q165" t="s">
        <v>247</v>
      </c>
    </row>
    <row r="166" spans="1:17" s="25" customFormat="1" hidden="1">
      <c r="A166" s="111">
        <v>4.2360597164351851E-2</v>
      </c>
      <c r="B166" t="s">
        <v>94</v>
      </c>
      <c r="C166"/>
      <c r="D166"/>
      <c r="E166" t="s">
        <v>188</v>
      </c>
      <c r="F166"/>
      <c r="G166" t="s">
        <v>164</v>
      </c>
      <c r="H166"/>
      <c r="I166" s="197">
        <v>46286.885277777779</v>
      </c>
      <c r="J166" t="s">
        <v>468</v>
      </c>
      <c r="K166" t="s">
        <v>444</v>
      </c>
      <c r="L166" s="196">
        <v>46285</v>
      </c>
      <c r="M166" t="s">
        <v>439</v>
      </c>
      <c r="N166" t="s">
        <v>231</v>
      </c>
      <c r="O166" t="s">
        <v>232</v>
      </c>
      <c r="P166">
        <v>1</v>
      </c>
      <c r="Q166" t="s">
        <v>247</v>
      </c>
    </row>
    <row r="167" spans="1:17" s="25" customFormat="1" hidden="1">
      <c r="A167" s="111">
        <v>4.2360597164351851E-2</v>
      </c>
      <c r="B167" t="s">
        <v>94</v>
      </c>
      <c r="C167"/>
      <c r="D167"/>
      <c r="E167" t="s">
        <v>184</v>
      </c>
      <c r="F167"/>
      <c r="G167" t="s">
        <v>98</v>
      </c>
      <c r="H167"/>
      <c r="I167" s="197">
        <v>46286.885266203702</v>
      </c>
      <c r="J167" t="s">
        <v>468</v>
      </c>
      <c r="K167" t="s">
        <v>444</v>
      </c>
      <c r="L167" s="196">
        <v>46285</v>
      </c>
      <c r="M167" t="s">
        <v>439</v>
      </c>
      <c r="N167" t="s">
        <v>231</v>
      </c>
      <c r="O167" t="s">
        <v>232</v>
      </c>
      <c r="P167">
        <v>1</v>
      </c>
      <c r="Q167" t="s">
        <v>247</v>
      </c>
    </row>
    <row r="168" spans="1:17" s="25" customFormat="1" hidden="1">
      <c r="A168" s="111">
        <v>4.2360597164351851E-2</v>
      </c>
      <c r="B168" t="s">
        <v>94</v>
      </c>
      <c r="C168"/>
      <c r="D168"/>
      <c r="E168" t="s">
        <v>101</v>
      </c>
      <c r="F168"/>
      <c r="G168" t="s">
        <v>98</v>
      </c>
      <c r="H168"/>
      <c r="I168" s="197">
        <v>46286.885254629633</v>
      </c>
      <c r="J168" t="s">
        <v>468</v>
      </c>
      <c r="K168" t="s">
        <v>444</v>
      </c>
      <c r="L168" s="196">
        <v>46285</v>
      </c>
      <c r="M168" t="s">
        <v>439</v>
      </c>
      <c r="N168" t="s">
        <v>231</v>
      </c>
      <c r="O168" t="s">
        <v>232</v>
      </c>
      <c r="P168">
        <v>1</v>
      </c>
      <c r="Q168" t="s">
        <v>247</v>
      </c>
    </row>
    <row r="169" spans="1:17" s="25" customFormat="1" hidden="1">
      <c r="A169" s="111">
        <v>4.2251467951388892E-2</v>
      </c>
      <c r="B169" t="s">
        <v>94</v>
      </c>
      <c r="C169"/>
      <c r="D169"/>
      <c r="E169" t="s">
        <v>87</v>
      </c>
      <c r="F169"/>
      <c r="G169" t="s">
        <v>98</v>
      </c>
      <c r="H169"/>
      <c r="I169" s="197">
        <v>46286.885138888887</v>
      </c>
      <c r="J169" t="s">
        <v>468</v>
      </c>
      <c r="K169" t="s">
        <v>444</v>
      </c>
      <c r="L169" s="196">
        <v>46285</v>
      </c>
      <c r="M169" t="s">
        <v>439</v>
      </c>
      <c r="N169" t="s">
        <v>231</v>
      </c>
      <c r="O169" t="s">
        <v>232</v>
      </c>
      <c r="P169">
        <v>1</v>
      </c>
      <c r="Q169" t="s">
        <v>247</v>
      </c>
    </row>
    <row r="170" spans="1:17" s="25" customFormat="1" hidden="1">
      <c r="A170" s="111">
        <v>4.2251467951388892E-2</v>
      </c>
      <c r="B170" t="s">
        <v>94</v>
      </c>
      <c r="C170"/>
      <c r="D170"/>
      <c r="E170" t="s">
        <v>213</v>
      </c>
      <c r="F170" t="s">
        <v>207</v>
      </c>
      <c r="G170" t="s">
        <v>98</v>
      </c>
      <c r="H170"/>
      <c r="I170" s="197">
        <v>46286.885138888887</v>
      </c>
      <c r="J170" t="s">
        <v>468</v>
      </c>
      <c r="K170" t="s">
        <v>444</v>
      </c>
      <c r="L170" s="196">
        <v>46285</v>
      </c>
      <c r="M170" t="s">
        <v>439</v>
      </c>
      <c r="N170" t="s">
        <v>231</v>
      </c>
      <c r="O170" t="s">
        <v>232</v>
      </c>
      <c r="P170">
        <v>1</v>
      </c>
      <c r="Q170" t="s">
        <v>247</v>
      </c>
    </row>
    <row r="171" spans="1:17" s="25" customFormat="1" hidden="1">
      <c r="A171" s="111">
        <v>4.2187063668981485E-2</v>
      </c>
      <c r="B171" t="s">
        <v>94</v>
      </c>
      <c r="C171" t="s">
        <v>502</v>
      </c>
      <c r="D171"/>
      <c r="E171" t="s">
        <v>108</v>
      </c>
      <c r="F171"/>
      <c r="G171" t="s">
        <v>164</v>
      </c>
      <c r="H171"/>
      <c r="I171" s="197">
        <v>46286.885011574072</v>
      </c>
      <c r="J171" t="s">
        <v>468</v>
      </c>
      <c r="K171" t="s">
        <v>444</v>
      </c>
      <c r="L171" s="196">
        <v>46285</v>
      </c>
      <c r="M171" t="s">
        <v>439</v>
      </c>
      <c r="N171" t="s">
        <v>231</v>
      </c>
      <c r="O171" t="s">
        <v>232</v>
      </c>
      <c r="P171">
        <v>1</v>
      </c>
      <c r="Q171" t="s">
        <v>247</v>
      </c>
    </row>
    <row r="172" spans="1:17" s="25" customFormat="1" hidden="1">
      <c r="A172" s="111">
        <v>4.2134994178240744E-2</v>
      </c>
      <c r="B172" t="s">
        <v>94</v>
      </c>
      <c r="C172" t="s">
        <v>500</v>
      </c>
      <c r="D172"/>
      <c r="E172" t="s">
        <v>108</v>
      </c>
      <c r="F172"/>
      <c r="G172" t="s">
        <v>164</v>
      </c>
      <c r="H172"/>
      <c r="I172" s="197">
        <v>46286.884872685187</v>
      </c>
      <c r="J172" t="s">
        <v>468</v>
      </c>
      <c r="K172" t="s">
        <v>444</v>
      </c>
      <c r="L172" s="196">
        <v>46285</v>
      </c>
      <c r="M172" t="s">
        <v>439</v>
      </c>
      <c r="N172" t="s">
        <v>231</v>
      </c>
      <c r="O172" t="s">
        <v>232</v>
      </c>
      <c r="P172">
        <v>1</v>
      </c>
      <c r="Q172" t="s">
        <v>247</v>
      </c>
    </row>
    <row r="173" spans="1:17" s="25" customFormat="1">
      <c r="A173" s="111">
        <v>4.2098820659722223E-2</v>
      </c>
      <c r="B173" t="s">
        <v>94</v>
      </c>
      <c r="C173"/>
      <c r="D173"/>
      <c r="E173" t="s">
        <v>285</v>
      </c>
      <c r="F173"/>
      <c r="G173" t="s">
        <v>164</v>
      </c>
      <c r="H173"/>
      <c r="I173" s="197">
        <v>46286.884722222225</v>
      </c>
      <c r="J173" t="s">
        <v>468</v>
      </c>
      <c r="K173" t="s">
        <v>444</v>
      </c>
      <c r="L173" s="196">
        <v>46285</v>
      </c>
      <c r="M173" t="s">
        <v>439</v>
      </c>
      <c r="N173" t="s">
        <v>231</v>
      </c>
      <c r="O173" t="s">
        <v>232</v>
      </c>
      <c r="P173">
        <v>1</v>
      </c>
      <c r="Q173" t="s">
        <v>247</v>
      </c>
    </row>
    <row r="174" spans="1:17" s="25" customFormat="1">
      <c r="A174" s="111">
        <v>4.2051549050925924E-2</v>
      </c>
      <c r="B174" t="s">
        <v>94</v>
      </c>
      <c r="C174"/>
      <c r="D174"/>
      <c r="E174" t="s">
        <v>105</v>
      </c>
      <c r="F174"/>
      <c r="G174" t="s">
        <v>164</v>
      </c>
      <c r="H174"/>
      <c r="I174" s="197">
        <v>46286.884675925925</v>
      </c>
      <c r="J174" t="s">
        <v>468</v>
      </c>
      <c r="K174" t="s">
        <v>444</v>
      </c>
      <c r="L174" s="196">
        <v>46285</v>
      </c>
      <c r="M174" t="s">
        <v>439</v>
      </c>
      <c r="N174" t="s">
        <v>231</v>
      </c>
      <c r="O174" t="s">
        <v>232</v>
      </c>
      <c r="P174">
        <v>1</v>
      </c>
      <c r="Q174" t="s">
        <v>247</v>
      </c>
    </row>
    <row r="175" spans="1:17" s="25" customFormat="1" hidden="1">
      <c r="A175" s="111">
        <v>4.1655933472222219E-2</v>
      </c>
      <c r="B175" t="s">
        <v>94</v>
      </c>
      <c r="C175"/>
      <c r="D175"/>
      <c r="E175" t="s">
        <v>87</v>
      </c>
      <c r="F175"/>
      <c r="G175" t="s">
        <v>164</v>
      </c>
      <c r="H175"/>
      <c r="I175" s="197">
        <v>46286.883368055554</v>
      </c>
      <c r="J175" t="s">
        <v>468</v>
      </c>
      <c r="K175" t="s">
        <v>444</v>
      </c>
      <c r="L175" s="196">
        <v>46285</v>
      </c>
      <c r="M175" t="s">
        <v>439</v>
      </c>
      <c r="N175" t="s">
        <v>231</v>
      </c>
      <c r="O175" t="s">
        <v>232</v>
      </c>
      <c r="P175">
        <v>1</v>
      </c>
      <c r="Q175" t="s">
        <v>247</v>
      </c>
    </row>
    <row r="176" spans="1:17" s="25" customFormat="1" hidden="1">
      <c r="A176" s="111">
        <v>4.1566857245370376E-2</v>
      </c>
      <c r="B176" t="s">
        <v>94</v>
      </c>
      <c r="C176" t="s">
        <v>508</v>
      </c>
      <c r="D176"/>
      <c r="E176" t="s">
        <v>183</v>
      </c>
      <c r="F176"/>
      <c r="G176" t="s">
        <v>98</v>
      </c>
      <c r="H176"/>
      <c r="I176" s="197">
        <v>46286.883333333331</v>
      </c>
      <c r="J176" t="s">
        <v>468</v>
      </c>
      <c r="K176" t="s">
        <v>444</v>
      </c>
      <c r="L176" s="196">
        <v>46285</v>
      </c>
      <c r="M176" t="s">
        <v>439</v>
      </c>
      <c r="N176" t="s">
        <v>231</v>
      </c>
      <c r="O176" t="s">
        <v>232</v>
      </c>
      <c r="P176">
        <v>1</v>
      </c>
      <c r="Q176" t="s">
        <v>247</v>
      </c>
    </row>
    <row r="177" spans="1:17" s="25" customFormat="1" hidden="1">
      <c r="A177" s="111">
        <v>4.146702366898148E-2</v>
      </c>
      <c r="B177" t="s">
        <v>94</v>
      </c>
      <c r="C177" t="s">
        <v>502</v>
      </c>
      <c r="D177"/>
      <c r="E177" t="s">
        <v>110</v>
      </c>
      <c r="F177"/>
      <c r="G177" t="s">
        <v>164</v>
      </c>
      <c r="H177"/>
      <c r="I177" s="197">
        <v>46286.882997685185</v>
      </c>
      <c r="J177" t="s">
        <v>468</v>
      </c>
      <c r="K177" t="s">
        <v>444</v>
      </c>
      <c r="L177" s="196">
        <v>46285</v>
      </c>
      <c r="M177" t="s">
        <v>439</v>
      </c>
      <c r="N177" t="s">
        <v>231</v>
      </c>
      <c r="O177" t="s">
        <v>232</v>
      </c>
      <c r="P177">
        <v>1</v>
      </c>
      <c r="Q177" t="s">
        <v>247</v>
      </c>
    </row>
    <row r="178" spans="1:17" s="25" customFormat="1" hidden="1">
      <c r="A178" s="111">
        <v>4.1433223148148152E-2</v>
      </c>
      <c r="B178" t="s">
        <v>94</v>
      </c>
      <c r="C178"/>
      <c r="D178"/>
      <c r="E178" t="s">
        <v>113</v>
      </c>
      <c r="F178"/>
      <c r="G178" t="s">
        <v>164</v>
      </c>
      <c r="H178"/>
      <c r="I178" s="197">
        <v>46286.882893518516</v>
      </c>
      <c r="J178" t="s">
        <v>468</v>
      </c>
      <c r="K178" t="s">
        <v>444</v>
      </c>
      <c r="L178" s="196">
        <v>46285</v>
      </c>
      <c r="M178" t="s">
        <v>439</v>
      </c>
      <c r="N178" t="s">
        <v>231</v>
      </c>
      <c r="O178" t="s">
        <v>232</v>
      </c>
      <c r="P178">
        <v>1</v>
      </c>
      <c r="Q178" t="s">
        <v>247</v>
      </c>
    </row>
    <row r="179" spans="1:17" s="25" customFormat="1" hidden="1">
      <c r="A179" s="111">
        <v>4.0868897673611113E-2</v>
      </c>
      <c r="B179" t="s">
        <v>94</v>
      </c>
      <c r="C179"/>
      <c r="D179"/>
      <c r="E179" t="s">
        <v>87</v>
      </c>
      <c r="F179"/>
      <c r="G179" t="s">
        <v>164</v>
      </c>
      <c r="H179" t="s">
        <v>519</v>
      </c>
      <c r="I179" s="197">
        <v>46286.882592592592</v>
      </c>
      <c r="J179" t="s">
        <v>468</v>
      </c>
      <c r="K179" t="s">
        <v>444</v>
      </c>
      <c r="L179" s="196">
        <v>46285</v>
      </c>
      <c r="M179" t="s">
        <v>439</v>
      </c>
      <c r="N179" t="s">
        <v>231</v>
      </c>
      <c r="O179" t="s">
        <v>232</v>
      </c>
      <c r="P179">
        <v>1</v>
      </c>
      <c r="Q179" t="s">
        <v>247</v>
      </c>
    </row>
    <row r="180" spans="1:17" s="25" customFormat="1" hidden="1">
      <c r="A180" s="111">
        <v>4.0868897673611113E-2</v>
      </c>
      <c r="B180" t="s">
        <v>94</v>
      </c>
      <c r="C180" t="s">
        <v>482</v>
      </c>
      <c r="D180" t="s">
        <v>204</v>
      </c>
      <c r="E180" t="s">
        <v>214</v>
      </c>
      <c r="F180" t="s">
        <v>82</v>
      </c>
      <c r="G180" t="s">
        <v>164</v>
      </c>
      <c r="H180"/>
      <c r="I180" s="197">
        <v>46286.882592592592</v>
      </c>
      <c r="J180" t="s">
        <v>468</v>
      </c>
      <c r="K180" t="s">
        <v>444</v>
      </c>
      <c r="L180" s="196">
        <v>46285</v>
      </c>
      <c r="M180" t="s">
        <v>439</v>
      </c>
      <c r="N180" t="s">
        <v>231</v>
      </c>
      <c r="O180" t="s">
        <v>232</v>
      </c>
      <c r="P180">
        <v>1</v>
      </c>
      <c r="Q180" t="s">
        <v>247</v>
      </c>
    </row>
    <row r="181" spans="1:17" s="25" customFormat="1" hidden="1">
      <c r="A181" s="111">
        <v>4.0691384733796299E-2</v>
      </c>
      <c r="B181" t="s">
        <v>94</v>
      </c>
      <c r="C181"/>
      <c r="D181"/>
      <c r="E181" t="s">
        <v>104</v>
      </c>
      <c r="F181"/>
      <c r="G181" t="s">
        <v>164</v>
      </c>
      <c r="H181"/>
      <c r="I181" s="197">
        <v>46286.878553240742</v>
      </c>
      <c r="J181" t="s">
        <v>468</v>
      </c>
      <c r="K181" t="s">
        <v>444</v>
      </c>
      <c r="L181" s="196">
        <v>46285</v>
      </c>
      <c r="M181" t="s">
        <v>439</v>
      </c>
      <c r="N181" t="s">
        <v>231</v>
      </c>
      <c r="O181" t="s">
        <v>232</v>
      </c>
      <c r="P181">
        <v>1</v>
      </c>
      <c r="Q181" t="s">
        <v>247</v>
      </c>
    </row>
    <row r="182" spans="1:17" s="25" customFormat="1" hidden="1">
      <c r="A182" s="111">
        <v>4.049769869212963E-2</v>
      </c>
      <c r="B182" t="s">
        <v>94</v>
      </c>
      <c r="C182"/>
      <c r="D182"/>
      <c r="E182" t="s">
        <v>87</v>
      </c>
      <c r="F182"/>
      <c r="G182" t="s">
        <v>164</v>
      </c>
      <c r="H182"/>
      <c r="I182" s="197">
        <v>46286.878483796296</v>
      </c>
      <c r="J182" t="s">
        <v>468</v>
      </c>
      <c r="K182" t="s">
        <v>444</v>
      </c>
      <c r="L182" s="196">
        <v>46285</v>
      </c>
      <c r="M182" t="s">
        <v>439</v>
      </c>
      <c r="N182" t="s">
        <v>231</v>
      </c>
      <c r="O182" t="s">
        <v>232</v>
      </c>
      <c r="P182">
        <v>1</v>
      </c>
      <c r="Q182" t="s">
        <v>247</v>
      </c>
    </row>
    <row r="183" spans="1:17" s="25" customFormat="1" hidden="1">
      <c r="A183" s="111">
        <v>4.0463896099537038E-2</v>
      </c>
      <c r="B183" t="s">
        <v>94</v>
      </c>
      <c r="C183"/>
      <c r="D183"/>
      <c r="E183" t="s">
        <v>184</v>
      </c>
      <c r="F183"/>
      <c r="G183" t="s">
        <v>164</v>
      </c>
      <c r="H183"/>
      <c r="I183" s="197">
        <v>46286.878449074073</v>
      </c>
      <c r="J183" t="s">
        <v>468</v>
      </c>
      <c r="K183" t="s">
        <v>444</v>
      </c>
      <c r="L183" s="196">
        <v>46285</v>
      </c>
      <c r="M183" t="s">
        <v>439</v>
      </c>
      <c r="N183" t="s">
        <v>231</v>
      </c>
      <c r="O183" t="s">
        <v>232</v>
      </c>
      <c r="P183">
        <v>1</v>
      </c>
      <c r="Q183" t="s">
        <v>247</v>
      </c>
    </row>
    <row r="184" spans="1:17" s="25" customFormat="1">
      <c r="A184" s="111">
        <v>4.0390075289351852E-2</v>
      </c>
      <c r="B184" t="s">
        <v>94</v>
      </c>
      <c r="C184"/>
      <c r="D184"/>
      <c r="E184" t="s">
        <v>285</v>
      </c>
      <c r="F184"/>
      <c r="G184" t="s">
        <v>164</v>
      </c>
      <c r="H184"/>
      <c r="I184" s="197">
        <v>46286.878379629627</v>
      </c>
      <c r="J184" t="s">
        <v>468</v>
      </c>
      <c r="K184" t="s">
        <v>444</v>
      </c>
      <c r="L184" s="196">
        <v>46285</v>
      </c>
      <c r="M184" t="s">
        <v>439</v>
      </c>
      <c r="N184" t="s">
        <v>231</v>
      </c>
      <c r="O184" t="s">
        <v>232</v>
      </c>
      <c r="P184">
        <v>1</v>
      </c>
      <c r="Q184" t="s">
        <v>247</v>
      </c>
    </row>
    <row r="185" spans="1:17" s="25" customFormat="1">
      <c r="A185" s="111">
        <v>4.0347036562500001E-2</v>
      </c>
      <c r="B185" t="s">
        <v>94</v>
      </c>
      <c r="C185"/>
      <c r="D185"/>
      <c r="E185" t="s">
        <v>105</v>
      </c>
      <c r="F185"/>
      <c r="G185" t="s">
        <v>164</v>
      </c>
      <c r="H185"/>
      <c r="I185" s="197">
        <v>46286.878333333334</v>
      </c>
      <c r="J185" t="s">
        <v>468</v>
      </c>
      <c r="K185" t="s">
        <v>444</v>
      </c>
      <c r="L185" s="196">
        <v>46285</v>
      </c>
      <c r="M185" t="s">
        <v>439</v>
      </c>
      <c r="N185" t="s">
        <v>231</v>
      </c>
      <c r="O185" t="s">
        <v>232</v>
      </c>
      <c r="P185">
        <v>1</v>
      </c>
      <c r="Q185" t="s">
        <v>247</v>
      </c>
    </row>
    <row r="186" spans="1:17" s="25" customFormat="1" hidden="1">
      <c r="A186" s="111">
        <v>3.9821179560185188E-2</v>
      </c>
      <c r="B186" t="s">
        <v>94</v>
      </c>
      <c r="C186"/>
      <c r="D186"/>
      <c r="E186" t="s">
        <v>87</v>
      </c>
      <c r="F186"/>
      <c r="G186" t="s">
        <v>164</v>
      </c>
      <c r="H186"/>
      <c r="I186" s="197">
        <v>46286.876458333332</v>
      </c>
      <c r="J186" t="s">
        <v>468</v>
      </c>
      <c r="K186" t="s">
        <v>444</v>
      </c>
      <c r="L186" s="196">
        <v>46285</v>
      </c>
      <c r="M186" t="s">
        <v>439</v>
      </c>
      <c r="N186" t="s">
        <v>231</v>
      </c>
      <c r="O186" t="s">
        <v>232</v>
      </c>
      <c r="P186">
        <v>1</v>
      </c>
      <c r="Q186" t="s">
        <v>247</v>
      </c>
    </row>
    <row r="187" spans="1:17" s="25" customFormat="1" hidden="1">
      <c r="A187" s="111">
        <v>3.9821179560185188E-2</v>
      </c>
      <c r="B187" t="s">
        <v>94</v>
      </c>
      <c r="C187" t="s">
        <v>482</v>
      </c>
      <c r="D187"/>
      <c r="E187" t="s">
        <v>183</v>
      </c>
      <c r="F187"/>
      <c r="G187" t="s">
        <v>98</v>
      </c>
      <c r="H187"/>
      <c r="I187" s="197">
        <v>46286.876435185186</v>
      </c>
      <c r="J187" t="s">
        <v>468</v>
      </c>
      <c r="K187" t="s">
        <v>444</v>
      </c>
      <c r="L187" s="196">
        <v>46285</v>
      </c>
      <c r="M187" t="s">
        <v>439</v>
      </c>
      <c r="N187" t="s">
        <v>231</v>
      </c>
      <c r="O187" t="s">
        <v>232</v>
      </c>
      <c r="P187">
        <v>1</v>
      </c>
      <c r="Q187" t="s">
        <v>247</v>
      </c>
    </row>
    <row r="188" spans="1:17" s="25" customFormat="1" hidden="1">
      <c r="A188" s="111">
        <v>3.9806521759259257E-2</v>
      </c>
      <c r="B188" t="s">
        <v>94</v>
      </c>
      <c r="C188" t="s">
        <v>502</v>
      </c>
      <c r="D188"/>
      <c r="E188" t="s">
        <v>462</v>
      </c>
      <c r="F188"/>
      <c r="G188" t="s">
        <v>98</v>
      </c>
      <c r="H188"/>
      <c r="I188" s="197">
        <v>46286.875937500001</v>
      </c>
      <c r="J188" t="s">
        <v>468</v>
      </c>
      <c r="K188" t="s">
        <v>444</v>
      </c>
      <c r="L188" s="196">
        <v>46285</v>
      </c>
      <c r="M188" t="s">
        <v>439</v>
      </c>
      <c r="N188" t="s">
        <v>231</v>
      </c>
      <c r="O188" t="s">
        <v>232</v>
      </c>
      <c r="P188">
        <v>1</v>
      </c>
      <c r="Q188" t="s">
        <v>247</v>
      </c>
    </row>
    <row r="189" spans="1:17" s="25" customFormat="1">
      <c r="A189" s="111">
        <v>3.9767939212962962E-2</v>
      </c>
      <c r="B189" t="s">
        <v>94</v>
      </c>
      <c r="C189"/>
      <c r="D189"/>
      <c r="E189" t="s">
        <v>279</v>
      </c>
      <c r="F189"/>
      <c r="G189" t="s">
        <v>98</v>
      </c>
      <c r="H189"/>
      <c r="I189" s="197">
        <v>46286.875833333332</v>
      </c>
      <c r="J189" t="s">
        <v>468</v>
      </c>
      <c r="K189" t="s">
        <v>444</v>
      </c>
      <c r="L189" s="196">
        <v>46285</v>
      </c>
      <c r="M189" t="s">
        <v>439</v>
      </c>
      <c r="N189" t="s">
        <v>231</v>
      </c>
      <c r="O189" t="s">
        <v>232</v>
      </c>
      <c r="P189">
        <v>1</v>
      </c>
      <c r="Q189" t="s">
        <v>247</v>
      </c>
    </row>
    <row r="190" spans="1:17" s="25" customFormat="1">
      <c r="A190" s="111">
        <v>3.9691022303240737E-2</v>
      </c>
      <c r="B190" t="s">
        <v>94</v>
      </c>
      <c r="C190"/>
      <c r="D190"/>
      <c r="E190" t="s">
        <v>105</v>
      </c>
      <c r="F190"/>
      <c r="G190" t="s">
        <v>98</v>
      </c>
      <c r="H190"/>
      <c r="I190" s="197">
        <v>46286.875763888886</v>
      </c>
      <c r="J190" t="s">
        <v>468</v>
      </c>
      <c r="K190" t="s">
        <v>444</v>
      </c>
      <c r="L190" s="196">
        <v>46285</v>
      </c>
      <c r="M190" t="s">
        <v>439</v>
      </c>
      <c r="N190" t="s">
        <v>231</v>
      </c>
      <c r="O190" t="s">
        <v>232</v>
      </c>
      <c r="P190">
        <v>1</v>
      </c>
      <c r="Q190" t="s">
        <v>247</v>
      </c>
    </row>
    <row r="191" spans="1:17" s="25" customFormat="1" hidden="1">
      <c r="A191" s="111">
        <v>3.9241558182870374E-2</v>
      </c>
      <c r="B191" t="s">
        <v>94</v>
      </c>
      <c r="C191"/>
      <c r="D191"/>
      <c r="E191" t="s">
        <v>87</v>
      </c>
      <c r="F191"/>
      <c r="G191" t="s">
        <v>98</v>
      </c>
      <c r="H191"/>
      <c r="I191" s="197">
        <v>46286.875706018516</v>
      </c>
      <c r="J191" t="s">
        <v>468</v>
      </c>
      <c r="K191" t="s">
        <v>444</v>
      </c>
      <c r="L191" s="196">
        <v>46285</v>
      </c>
      <c r="M191" t="s">
        <v>439</v>
      </c>
      <c r="N191" t="s">
        <v>231</v>
      </c>
      <c r="O191" t="s">
        <v>232</v>
      </c>
      <c r="P191">
        <v>1</v>
      </c>
      <c r="Q191" t="s">
        <v>247</v>
      </c>
    </row>
    <row r="192" spans="1:17" s="25" customFormat="1" hidden="1">
      <c r="A192" s="111">
        <v>3.9213916736111111E-2</v>
      </c>
      <c r="B192" t="s">
        <v>94</v>
      </c>
      <c r="C192"/>
      <c r="D192"/>
      <c r="E192" t="s">
        <v>183</v>
      </c>
      <c r="F192"/>
      <c r="G192" t="s">
        <v>164</v>
      </c>
      <c r="H192"/>
      <c r="I192" s="197">
        <v>46286.875671296293</v>
      </c>
      <c r="J192" t="s">
        <v>468</v>
      </c>
      <c r="K192" t="s">
        <v>444</v>
      </c>
      <c r="L192" s="196">
        <v>46285</v>
      </c>
      <c r="M192" t="s">
        <v>439</v>
      </c>
      <c r="N192" t="s">
        <v>231</v>
      </c>
      <c r="O192" t="s">
        <v>232</v>
      </c>
      <c r="P192">
        <v>1</v>
      </c>
      <c r="Q192" t="s">
        <v>247</v>
      </c>
    </row>
    <row r="193" spans="1:17" s="25" customFormat="1" hidden="1">
      <c r="A193" s="111">
        <v>3.919545267361111E-2</v>
      </c>
      <c r="B193" t="s">
        <v>94</v>
      </c>
      <c r="C193"/>
      <c r="D193"/>
      <c r="E193" t="s">
        <v>188</v>
      </c>
      <c r="F193"/>
      <c r="G193" t="s">
        <v>164</v>
      </c>
      <c r="H193"/>
      <c r="I193" s="197">
        <v>46286.875659722224</v>
      </c>
      <c r="J193" t="s">
        <v>468</v>
      </c>
      <c r="K193" t="s">
        <v>444</v>
      </c>
      <c r="L193" s="196">
        <v>46285</v>
      </c>
      <c r="M193" t="s">
        <v>439</v>
      </c>
      <c r="N193" t="s">
        <v>231</v>
      </c>
      <c r="O193" t="s">
        <v>232</v>
      </c>
      <c r="P193">
        <v>1</v>
      </c>
      <c r="Q193" t="s">
        <v>247</v>
      </c>
    </row>
    <row r="194" spans="1:17" s="25" customFormat="1" hidden="1">
      <c r="A194" s="111">
        <v>3.915985922453704E-2</v>
      </c>
      <c r="B194" t="s">
        <v>94</v>
      </c>
      <c r="C194"/>
      <c r="D194"/>
      <c r="E194" t="s">
        <v>184</v>
      </c>
      <c r="F194"/>
      <c r="G194" t="s">
        <v>98</v>
      </c>
      <c r="H194"/>
      <c r="I194" s="197">
        <v>46286.875625000001</v>
      </c>
      <c r="J194" t="s">
        <v>468</v>
      </c>
      <c r="K194" t="s">
        <v>444</v>
      </c>
      <c r="L194" s="196">
        <v>46285</v>
      </c>
      <c r="M194" t="s">
        <v>439</v>
      </c>
      <c r="N194" t="s">
        <v>231</v>
      </c>
      <c r="O194" t="s">
        <v>232</v>
      </c>
      <c r="P194">
        <v>1</v>
      </c>
      <c r="Q194" t="s">
        <v>247</v>
      </c>
    </row>
    <row r="195" spans="1:17" s="25" customFormat="1" hidden="1">
      <c r="A195" s="111">
        <v>3.9115505740740741E-2</v>
      </c>
      <c r="B195" t="s">
        <v>94</v>
      </c>
      <c r="C195"/>
      <c r="D195"/>
      <c r="E195" t="s">
        <v>186</v>
      </c>
      <c r="F195"/>
      <c r="G195" t="s">
        <v>98</v>
      </c>
      <c r="H195"/>
      <c r="I195" s="197">
        <v>46286.875578703701</v>
      </c>
      <c r="J195" t="s">
        <v>468</v>
      </c>
      <c r="K195" t="s">
        <v>444</v>
      </c>
      <c r="L195" s="196">
        <v>46285</v>
      </c>
      <c r="M195" t="s">
        <v>439</v>
      </c>
      <c r="N195" t="s">
        <v>231</v>
      </c>
      <c r="O195" t="s">
        <v>232</v>
      </c>
      <c r="P195">
        <v>1</v>
      </c>
      <c r="Q195" t="s">
        <v>247</v>
      </c>
    </row>
    <row r="196" spans="1:17" s="25" customFormat="1" hidden="1">
      <c r="A196" s="111">
        <v>3.9097042905092597E-2</v>
      </c>
      <c r="B196" t="s">
        <v>94</v>
      </c>
      <c r="C196"/>
      <c r="D196"/>
      <c r="E196" t="s">
        <v>184</v>
      </c>
      <c r="F196"/>
      <c r="G196" t="s">
        <v>164</v>
      </c>
      <c r="H196"/>
      <c r="I196" s="197">
        <v>46286.875555555554</v>
      </c>
      <c r="J196" t="s">
        <v>468</v>
      </c>
      <c r="K196" t="s">
        <v>444</v>
      </c>
      <c r="L196" s="196">
        <v>46285</v>
      </c>
      <c r="M196" t="s">
        <v>439</v>
      </c>
      <c r="N196" t="s">
        <v>231</v>
      </c>
      <c r="O196" t="s">
        <v>232</v>
      </c>
      <c r="P196">
        <v>1</v>
      </c>
      <c r="Q196" t="s">
        <v>247</v>
      </c>
    </row>
    <row r="197" spans="1:17" s="25" customFormat="1" hidden="1">
      <c r="A197" s="111">
        <v>3.9057113217592587E-2</v>
      </c>
      <c r="B197" t="s">
        <v>94</v>
      </c>
      <c r="C197"/>
      <c r="D197"/>
      <c r="E197" t="s">
        <v>101</v>
      </c>
      <c r="F197"/>
      <c r="G197" t="s">
        <v>164</v>
      </c>
      <c r="H197"/>
      <c r="I197" s="197">
        <v>46286.875520833331</v>
      </c>
      <c r="J197" t="s">
        <v>468</v>
      </c>
      <c r="K197" t="s">
        <v>444</v>
      </c>
      <c r="L197" s="196">
        <v>46285</v>
      </c>
      <c r="M197" t="s">
        <v>439</v>
      </c>
      <c r="N197" t="s">
        <v>231</v>
      </c>
      <c r="O197" t="s">
        <v>232</v>
      </c>
      <c r="P197">
        <v>1</v>
      </c>
      <c r="Q197" t="s">
        <v>247</v>
      </c>
    </row>
    <row r="198" spans="1:17" s="25" customFormat="1" hidden="1">
      <c r="A198" s="111">
        <v>3.9029644259259255E-2</v>
      </c>
      <c r="B198" t="s">
        <v>94</v>
      </c>
      <c r="C198"/>
      <c r="D198"/>
      <c r="E198" t="s">
        <v>87</v>
      </c>
      <c r="F198"/>
      <c r="G198" t="s">
        <v>164</v>
      </c>
      <c r="H198"/>
      <c r="I198" s="197">
        <v>46286.874432870369</v>
      </c>
      <c r="J198" t="s">
        <v>468</v>
      </c>
      <c r="K198" t="s">
        <v>444</v>
      </c>
      <c r="L198" s="196">
        <v>46285</v>
      </c>
      <c r="M198" t="s">
        <v>439</v>
      </c>
      <c r="N198" t="s">
        <v>231</v>
      </c>
      <c r="O198" t="s">
        <v>232</v>
      </c>
      <c r="P198">
        <v>1</v>
      </c>
      <c r="Q198" t="s">
        <v>247</v>
      </c>
    </row>
    <row r="199" spans="1:17" s="25" customFormat="1" hidden="1">
      <c r="A199" s="111">
        <v>3.9029644259259255E-2</v>
      </c>
      <c r="B199" t="s">
        <v>94</v>
      </c>
      <c r="C199" t="s">
        <v>92</v>
      </c>
      <c r="D199" t="s">
        <v>82</v>
      </c>
      <c r="E199" t="s">
        <v>214</v>
      </c>
      <c r="F199" t="s">
        <v>82</v>
      </c>
      <c r="G199" t="s">
        <v>164</v>
      </c>
      <c r="H199" t="s">
        <v>518</v>
      </c>
      <c r="I199" s="197">
        <v>46286.874432870369</v>
      </c>
      <c r="J199" t="s">
        <v>468</v>
      </c>
      <c r="K199" t="s">
        <v>444</v>
      </c>
      <c r="L199" s="196">
        <v>46285</v>
      </c>
      <c r="M199" t="s">
        <v>439</v>
      </c>
      <c r="N199" t="s">
        <v>231</v>
      </c>
      <c r="O199" t="s">
        <v>232</v>
      </c>
      <c r="P199">
        <v>1</v>
      </c>
      <c r="Q199" t="s">
        <v>247</v>
      </c>
    </row>
    <row r="200" spans="1:17" s="25" customFormat="1">
      <c r="A200" s="111">
        <v>3.9029644259259255E-2</v>
      </c>
      <c r="B200" t="s">
        <v>94</v>
      </c>
      <c r="C200"/>
      <c r="D200"/>
      <c r="E200" t="s">
        <v>285</v>
      </c>
      <c r="F200"/>
      <c r="G200" t="s">
        <v>164</v>
      </c>
      <c r="H200"/>
      <c r="I200" s="197">
        <v>46286.874328703707</v>
      </c>
      <c r="J200" t="s">
        <v>468</v>
      </c>
      <c r="K200" t="s">
        <v>444</v>
      </c>
      <c r="L200" s="196">
        <v>46285</v>
      </c>
      <c r="M200" t="s">
        <v>439</v>
      </c>
      <c r="N200" t="s">
        <v>231</v>
      </c>
      <c r="O200" t="s">
        <v>232</v>
      </c>
      <c r="P200">
        <v>1</v>
      </c>
      <c r="Q200" t="s">
        <v>247</v>
      </c>
    </row>
    <row r="201" spans="1:17" s="25" customFormat="1">
      <c r="A201" s="111">
        <v>3.8878099305555552E-2</v>
      </c>
      <c r="B201" t="s">
        <v>94</v>
      </c>
      <c r="C201"/>
      <c r="D201"/>
      <c r="E201" t="s">
        <v>105</v>
      </c>
      <c r="F201"/>
      <c r="G201" t="s">
        <v>164</v>
      </c>
      <c r="H201"/>
      <c r="I201" s="197">
        <v>46286.873425925929</v>
      </c>
      <c r="J201" t="s">
        <v>468</v>
      </c>
      <c r="K201" t="s">
        <v>444</v>
      </c>
      <c r="L201" s="196">
        <v>46285</v>
      </c>
      <c r="M201" t="s">
        <v>439</v>
      </c>
      <c r="N201" t="s">
        <v>231</v>
      </c>
      <c r="O201" t="s">
        <v>232</v>
      </c>
      <c r="P201">
        <v>1</v>
      </c>
      <c r="Q201" t="s">
        <v>247</v>
      </c>
    </row>
    <row r="202" spans="1:17" s="25" customFormat="1" hidden="1">
      <c r="A202" s="111">
        <v>3.847271789351852E-2</v>
      </c>
      <c r="B202" t="s">
        <v>94</v>
      </c>
      <c r="C202"/>
      <c r="D202"/>
      <c r="E202" t="s">
        <v>87</v>
      </c>
      <c r="F202"/>
      <c r="G202" t="s">
        <v>164</v>
      </c>
      <c r="H202"/>
      <c r="I202" s="197">
        <v>46286.873356481483</v>
      </c>
      <c r="J202" t="s">
        <v>468</v>
      </c>
      <c r="K202" t="s">
        <v>444</v>
      </c>
      <c r="L202" s="196">
        <v>46285</v>
      </c>
      <c r="M202" t="s">
        <v>439</v>
      </c>
      <c r="N202" t="s">
        <v>231</v>
      </c>
      <c r="O202" t="s">
        <v>232</v>
      </c>
      <c r="P202">
        <v>1</v>
      </c>
      <c r="Q202" t="s">
        <v>247</v>
      </c>
    </row>
    <row r="203" spans="1:17" s="25" customFormat="1" hidden="1">
      <c r="A203" s="111">
        <v>3.8435820069444446E-2</v>
      </c>
      <c r="B203" t="s">
        <v>94</v>
      </c>
      <c r="C203" t="s">
        <v>498</v>
      </c>
      <c r="D203"/>
      <c r="E203" t="s">
        <v>183</v>
      </c>
      <c r="F203"/>
      <c r="G203" t="s">
        <v>98</v>
      </c>
      <c r="H203"/>
      <c r="I203" s="197">
        <v>46286.873333333337</v>
      </c>
      <c r="J203" t="s">
        <v>468</v>
      </c>
      <c r="K203" t="s">
        <v>444</v>
      </c>
      <c r="L203" s="196">
        <v>46285</v>
      </c>
      <c r="M203" t="s">
        <v>439</v>
      </c>
      <c r="N203" t="s">
        <v>231</v>
      </c>
      <c r="O203" t="s">
        <v>232</v>
      </c>
      <c r="P203">
        <v>1</v>
      </c>
      <c r="Q203" t="s">
        <v>247</v>
      </c>
    </row>
    <row r="204" spans="1:17" s="25" customFormat="1" hidden="1">
      <c r="A204" s="111">
        <v>3.8371447731481483E-2</v>
      </c>
      <c r="B204" t="s">
        <v>94</v>
      </c>
      <c r="C204" t="s">
        <v>498</v>
      </c>
      <c r="D204"/>
      <c r="E204" t="s">
        <v>462</v>
      </c>
      <c r="F204"/>
      <c r="G204" t="s">
        <v>98</v>
      </c>
      <c r="H204"/>
      <c r="I204" s="197">
        <v>46286.873229166667</v>
      </c>
      <c r="J204" t="s">
        <v>468</v>
      </c>
      <c r="K204" t="s">
        <v>444</v>
      </c>
      <c r="L204" s="196">
        <v>46285</v>
      </c>
      <c r="M204" t="s">
        <v>439</v>
      </c>
      <c r="N204" t="s">
        <v>231</v>
      </c>
      <c r="O204" t="s">
        <v>232</v>
      </c>
      <c r="P204">
        <v>1</v>
      </c>
      <c r="Q204" t="s">
        <v>247</v>
      </c>
    </row>
    <row r="205" spans="1:17" s="25" customFormat="1" hidden="1">
      <c r="A205" s="111">
        <v>3.8243862962962963E-2</v>
      </c>
      <c r="B205" t="s">
        <v>94</v>
      </c>
      <c r="C205" t="s">
        <v>480</v>
      </c>
      <c r="D205"/>
      <c r="E205" t="s">
        <v>462</v>
      </c>
      <c r="F205"/>
      <c r="G205" t="s">
        <v>98</v>
      </c>
      <c r="H205"/>
      <c r="I205" s="197">
        <v>46286.873020833336</v>
      </c>
      <c r="J205" t="s">
        <v>468</v>
      </c>
      <c r="K205" t="s">
        <v>444</v>
      </c>
      <c r="L205" s="196">
        <v>46285</v>
      </c>
      <c r="M205" t="s">
        <v>439</v>
      </c>
      <c r="N205" t="s">
        <v>231</v>
      </c>
      <c r="O205" t="s">
        <v>232</v>
      </c>
      <c r="P205">
        <v>1</v>
      </c>
      <c r="Q205" t="s">
        <v>247</v>
      </c>
    </row>
    <row r="206" spans="1:17" s="25" customFormat="1" hidden="1">
      <c r="A206" s="111">
        <v>3.8197212048611109E-2</v>
      </c>
      <c r="B206" t="s">
        <v>94</v>
      </c>
      <c r="C206" t="s">
        <v>476</v>
      </c>
      <c r="D206"/>
      <c r="E206" t="s">
        <v>463</v>
      </c>
      <c r="F206"/>
      <c r="G206" t="s">
        <v>98</v>
      </c>
      <c r="H206"/>
      <c r="I206" s="197">
        <v>46286.872442129628</v>
      </c>
      <c r="J206" t="s">
        <v>468</v>
      </c>
      <c r="K206" t="s">
        <v>444</v>
      </c>
      <c r="L206" s="196">
        <v>46285</v>
      </c>
      <c r="M206" t="s">
        <v>439</v>
      </c>
      <c r="N206" t="s">
        <v>231</v>
      </c>
      <c r="O206" t="s">
        <v>232</v>
      </c>
      <c r="P206">
        <v>1</v>
      </c>
      <c r="Q206" t="s">
        <v>247</v>
      </c>
    </row>
    <row r="207" spans="1:17" s="25" customFormat="1" hidden="1">
      <c r="A207" s="111">
        <v>3.812770178240741E-2</v>
      </c>
      <c r="B207" t="s">
        <v>94</v>
      </c>
      <c r="C207" t="s">
        <v>502</v>
      </c>
      <c r="D207"/>
      <c r="E207" t="s">
        <v>462</v>
      </c>
      <c r="F207"/>
      <c r="G207" t="s">
        <v>98</v>
      </c>
      <c r="H207"/>
      <c r="I207" s="197">
        <v>46286.872256944444</v>
      </c>
      <c r="J207" t="s">
        <v>468</v>
      </c>
      <c r="K207" t="s">
        <v>444</v>
      </c>
      <c r="L207" s="196">
        <v>46285</v>
      </c>
      <c r="M207" t="s">
        <v>439</v>
      </c>
      <c r="N207" t="s">
        <v>231</v>
      </c>
      <c r="O207" t="s">
        <v>232</v>
      </c>
      <c r="P207">
        <v>1</v>
      </c>
      <c r="Q207" t="s">
        <v>247</v>
      </c>
    </row>
    <row r="208" spans="1:17" s="25" customFormat="1">
      <c r="A208" s="111">
        <v>3.8067548668981481E-2</v>
      </c>
      <c r="B208" t="s">
        <v>94</v>
      </c>
      <c r="C208"/>
      <c r="D208"/>
      <c r="E208" t="s">
        <v>279</v>
      </c>
      <c r="F208"/>
      <c r="G208" t="s">
        <v>98</v>
      </c>
      <c r="H208"/>
      <c r="I208" s="197">
        <v>46286.872106481482</v>
      </c>
      <c r="J208" t="s">
        <v>468</v>
      </c>
      <c r="K208" t="s">
        <v>444</v>
      </c>
      <c r="L208" s="196">
        <v>46285</v>
      </c>
      <c r="M208" t="s">
        <v>439</v>
      </c>
      <c r="N208" t="s">
        <v>231</v>
      </c>
      <c r="O208" t="s">
        <v>232</v>
      </c>
      <c r="P208">
        <v>1</v>
      </c>
      <c r="Q208" t="s">
        <v>247</v>
      </c>
    </row>
    <row r="209" spans="1:17" s="25" customFormat="1">
      <c r="A209" s="111">
        <v>3.8009197164351853E-2</v>
      </c>
      <c r="B209" t="s">
        <v>94</v>
      </c>
      <c r="C209"/>
      <c r="D209"/>
      <c r="E209" t="s">
        <v>105</v>
      </c>
      <c r="F209"/>
      <c r="G209" t="s">
        <v>98</v>
      </c>
      <c r="H209"/>
      <c r="I209" s="197">
        <v>46286.872048611112</v>
      </c>
      <c r="J209" t="s">
        <v>468</v>
      </c>
      <c r="K209" t="s">
        <v>444</v>
      </c>
      <c r="L209" s="196">
        <v>46285</v>
      </c>
      <c r="M209" t="s">
        <v>439</v>
      </c>
      <c r="N209" t="s">
        <v>231</v>
      </c>
      <c r="O209" t="s">
        <v>232</v>
      </c>
      <c r="P209">
        <v>1</v>
      </c>
      <c r="Q209" t="s">
        <v>247</v>
      </c>
    </row>
    <row r="210" spans="1:17" s="25" customFormat="1" hidden="1">
      <c r="A210" s="111">
        <v>3.767806936342593E-2</v>
      </c>
      <c r="B210" t="s">
        <v>94</v>
      </c>
      <c r="C210"/>
      <c r="D210"/>
      <c r="E210" t="s">
        <v>87</v>
      </c>
      <c r="F210"/>
      <c r="G210" t="s">
        <v>98</v>
      </c>
      <c r="H210"/>
      <c r="I210" s="197">
        <v>46286.872013888889</v>
      </c>
      <c r="J210" t="s">
        <v>468</v>
      </c>
      <c r="K210" t="s">
        <v>444</v>
      </c>
      <c r="L210" s="196">
        <v>46285</v>
      </c>
      <c r="M210" t="s">
        <v>439</v>
      </c>
      <c r="N210" t="s">
        <v>231</v>
      </c>
      <c r="O210" t="s">
        <v>232</v>
      </c>
      <c r="P210">
        <v>1</v>
      </c>
      <c r="Q210" t="s">
        <v>247</v>
      </c>
    </row>
    <row r="211" spans="1:17" s="25" customFormat="1" hidden="1">
      <c r="A211" s="111">
        <v>3.7662727280092588E-2</v>
      </c>
      <c r="B211" t="s">
        <v>94</v>
      </c>
      <c r="C211"/>
      <c r="D211"/>
      <c r="E211" t="s">
        <v>183</v>
      </c>
      <c r="F211"/>
      <c r="G211" t="s">
        <v>164</v>
      </c>
      <c r="H211"/>
      <c r="I211" s="197">
        <v>46286.871990740743</v>
      </c>
      <c r="J211" t="s">
        <v>468</v>
      </c>
      <c r="K211" t="s">
        <v>444</v>
      </c>
      <c r="L211" s="196">
        <v>46285</v>
      </c>
      <c r="M211" t="s">
        <v>439</v>
      </c>
      <c r="N211" t="s">
        <v>231</v>
      </c>
      <c r="O211" t="s">
        <v>232</v>
      </c>
      <c r="P211">
        <v>1</v>
      </c>
      <c r="Q211" t="s">
        <v>247</v>
      </c>
    </row>
    <row r="212" spans="1:17" s="25" customFormat="1" hidden="1">
      <c r="A212" s="111">
        <v>3.7625804212962959E-2</v>
      </c>
      <c r="B212" t="s">
        <v>94</v>
      </c>
      <c r="C212"/>
      <c r="D212"/>
      <c r="E212" t="s">
        <v>188</v>
      </c>
      <c r="F212"/>
      <c r="G212" t="s">
        <v>164</v>
      </c>
      <c r="H212"/>
      <c r="I212" s="197">
        <v>46286.871932870374</v>
      </c>
      <c r="J212" t="s">
        <v>468</v>
      </c>
      <c r="K212" t="s">
        <v>444</v>
      </c>
      <c r="L212" s="196">
        <v>46285</v>
      </c>
      <c r="M212" t="s">
        <v>439</v>
      </c>
      <c r="N212" t="s">
        <v>231</v>
      </c>
      <c r="O212" t="s">
        <v>232</v>
      </c>
      <c r="P212">
        <v>1</v>
      </c>
      <c r="Q212" t="s">
        <v>247</v>
      </c>
    </row>
    <row r="213" spans="1:17" s="25" customFormat="1" hidden="1">
      <c r="A213" s="111">
        <v>3.7550471122685183E-2</v>
      </c>
      <c r="B213" t="s">
        <v>94</v>
      </c>
      <c r="C213"/>
      <c r="D213"/>
      <c r="E213" t="s">
        <v>100</v>
      </c>
      <c r="F213"/>
      <c r="G213" t="s">
        <v>98</v>
      </c>
      <c r="H213"/>
      <c r="I213" s="197">
        <v>46286.871805555558</v>
      </c>
      <c r="J213" t="s">
        <v>468</v>
      </c>
      <c r="K213" t="s">
        <v>444</v>
      </c>
      <c r="L213" s="196">
        <v>46285</v>
      </c>
      <c r="M213" t="s">
        <v>439</v>
      </c>
      <c r="N213" t="s">
        <v>231</v>
      </c>
      <c r="O213" t="s">
        <v>232</v>
      </c>
      <c r="P213">
        <v>1</v>
      </c>
      <c r="Q213" t="s">
        <v>247</v>
      </c>
    </row>
    <row r="214" spans="1:17" s="25" customFormat="1" hidden="1">
      <c r="A214" s="111">
        <v>3.7251867581018519E-2</v>
      </c>
      <c r="B214" t="s">
        <v>94</v>
      </c>
      <c r="C214"/>
      <c r="D214"/>
      <c r="E214" t="s">
        <v>116</v>
      </c>
      <c r="F214"/>
      <c r="G214" t="s">
        <v>164</v>
      </c>
      <c r="H214"/>
      <c r="I214" s="197">
        <v>46286.87159722222</v>
      </c>
      <c r="J214" t="s">
        <v>468</v>
      </c>
      <c r="K214" t="s">
        <v>444</v>
      </c>
      <c r="L214" s="196">
        <v>46285</v>
      </c>
      <c r="M214" t="s">
        <v>439</v>
      </c>
      <c r="N214" t="s">
        <v>231</v>
      </c>
      <c r="O214" t="s">
        <v>232</v>
      </c>
      <c r="P214">
        <v>1</v>
      </c>
      <c r="Q214" t="s">
        <v>247</v>
      </c>
    </row>
    <row r="215" spans="1:17" s="25" customFormat="1" hidden="1">
      <c r="A215" s="111">
        <v>3.6535756550925926E-2</v>
      </c>
      <c r="B215" t="s">
        <v>94</v>
      </c>
      <c r="C215" t="s">
        <v>472</v>
      </c>
      <c r="D215"/>
      <c r="E215" t="s">
        <v>463</v>
      </c>
      <c r="F215"/>
      <c r="G215" t="s">
        <v>98</v>
      </c>
      <c r="H215"/>
      <c r="I215" s="197">
        <v>46286.870810185188</v>
      </c>
      <c r="J215" t="s">
        <v>468</v>
      </c>
      <c r="K215" t="s">
        <v>444</v>
      </c>
      <c r="L215" s="196">
        <v>46285</v>
      </c>
      <c r="M215" t="s">
        <v>439</v>
      </c>
      <c r="N215" t="s">
        <v>231</v>
      </c>
      <c r="O215" t="s">
        <v>232</v>
      </c>
      <c r="P215">
        <v>1</v>
      </c>
      <c r="Q215" t="s">
        <v>247</v>
      </c>
    </row>
    <row r="216" spans="1:17" s="25" customFormat="1" hidden="1">
      <c r="A216" s="111">
        <v>3.650664269675926E-2</v>
      </c>
      <c r="B216" t="s">
        <v>94</v>
      </c>
      <c r="C216"/>
      <c r="D216"/>
      <c r="E216" t="s">
        <v>186</v>
      </c>
      <c r="F216"/>
      <c r="G216" t="s">
        <v>98</v>
      </c>
      <c r="H216"/>
      <c r="I216" s="197">
        <v>46286.869456018518</v>
      </c>
      <c r="J216" t="s">
        <v>468</v>
      </c>
      <c r="K216" t="s">
        <v>444</v>
      </c>
      <c r="L216" s="196">
        <v>46285</v>
      </c>
      <c r="M216" t="s">
        <v>439</v>
      </c>
      <c r="N216" t="s">
        <v>231</v>
      </c>
      <c r="O216" t="s">
        <v>232</v>
      </c>
      <c r="P216">
        <v>1</v>
      </c>
      <c r="Q216" t="s">
        <v>247</v>
      </c>
    </row>
    <row r="217" spans="1:17" s="25" customFormat="1" hidden="1">
      <c r="A217" s="111">
        <v>3.6462199826388889E-2</v>
      </c>
      <c r="B217" t="s">
        <v>94</v>
      </c>
      <c r="C217"/>
      <c r="D217"/>
      <c r="E217" t="s">
        <v>100</v>
      </c>
      <c r="F217"/>
      <c r="G217" t="s">
        <v>164</v>
      </c>
      <c r="H217"/>
      <c r="I217" s="197">
        <v>46286.860462962963</v>
      </c>
      <c r="J217" t="s">
        <v>468</v>
      </c>
      <c r="K217" t="s">
        <v>444</v>
      </c>
      <c r="L217" s="196">
        <v>46285</v>
      </c>
      <c r="M217" t="s">
        <v>439</v>
      </c>
      <c r="N217" t="s">
        <v>231</v>
      </c>
      <c r="O217" t="s">
        <v>232</v>
      </c>
      <c r="P217">
        <v>1</v>
      </c>
      <c r="Q217" t="s">
        <v>247</v>
      </c>
    </row>
    <row r="218" spans="1:17" s="25" customFormat="1" hidden="1">
      <c r="A218" s="111">
        <v>3.367523074074074E-2</v>
      </c>
      <c r="B218" t="s">
        <v>97</v>
      </c>
      <c r="C218"/>
      <c r="D218"/>
      <c r="E218" t="s">
        <v>87</v>
      </c>
      <c r="F218"/>
      <c r="G218" t="s">
        <v>164</v>
      </c>
      <c r="H218"/>
      <c r="I218" s="197">
        <v>46286.837442129632</v>
      </c>
      <c r="J218" t="s">
        <v>468</v>
      </c>
      <c r="K218" t="s">
        <v>444</v>
      </c>
      <c r="L218" s="196">
        <v>46285</v>
      </c>
      <c r="M218" t="s">
        <v>439</v>
      </c>
      <c r="N218" t="s">
        <v>231</v>
      </c>
      <c r="O218" t="s">
        <v>232</v>
      </c>
      <c r="P218">
        <v>1</v>
      </c>
      <c r="Q218" t="s">
        <v>247</v>
      </c>
    </row>
    <row r="219" spans="1:17" s="25" customFormat="1">
      <c r="A219" s="111">
        <v>3.3582951759259259E-2</v>
      </c>
      <c r="B219" t="s">
        <v>97</v>
      </c>
      <c r="C219"/>
      <c r="D219"/>
      <c r="E219" t="s">
        <v>285</v>
      </c>
      <c r="F219"/>
      <c r="G219" t="s">
        <v>164</v>
      </c>
      <c r="H219"/>
      <c r="I219" s="197">
        <v>46286.83734953704</v>
      </c>
      <c r="J219" t="s">
        <v>468</v>
      </c>
      <c r="K219" t="s">
        <v>444</v>
      </c>
      <c r="L219" s="196">
        <v>46285</v>
      </c>
      <c r="M219" t="s">
        <v>439</v>
      </c>
      <c r="N219" t="s">
        <v>231</v>
      </c>
      <c r="O219" t="s">
        <v>232</v>
      </c>
      <c r="P219">
        <v>1</v>
      </c>
      <c r="Q219" t="s">
        <v>247</v>
      </c>
    </row>
    <row r="220" spans="1:17" s="25" customFormat="1">
      <c r="A220" s="111">
        <v>3.3521740127314813E-2</v>
      </c>
      <c r="B220" t="s">
        <v>97</v>
      </c>
      <c r="C220"/>
      <c r="D220"/>
      <c r="E220" t="s">
        <v>105</v>
      </c>
      <c r="F220"/>
      <c r="G220" t="s">
        <v>164</v>
      </c>
      <c r="H220"/>
      <c r="I220" s="197">
        <v>46286.837291666663</v>
      </c>
      <c r="J220" t="s">
        <v>468</v>
      </c>
      <c r="K220" t="s">
        <v>444</v>
      </c>
      <c r="L220" s="196">
        <v>46285</v>
      </c>
      <c r="M220" t="s">
        <v>439</v>
      </c>
      <c r="N220" t="s">
        <v>231</v>
      </c>
      <c r="O220" t="s">
        <v>232</v>
      </c>
      <c r="P220">
        <v>1</v>
      </c>
      <c r="Q220" t="s">
        <v>247</v>
      </c>
    </row>
    <row r="221" spans="1:17" s="25" customFormat="1" hidden="1">
      <c r="A221" s="111">
        <v>3.3130306805555558E-2</v>
      </c>
      <c r="B221" t="s">
        <v>97</v>
      </c>
      <c r="C221"/>
      <c r="D221"/>
      <c r="E221" t="s">
        <v>87</v>
      </c>
      <c r="F221"/>
      <c r="G221" t="s">
        <v>164</v>
      </c>
      <c r="H221"/>
      <c r="I221" s="197">
        <v>46286.837106481478</v>
      </c>
      <c r="J221" t="s">
        <v>468</v>
      </c>
      <c r="K221" t="s">
        <v>444</v>
      </c>
      <c r="L221" s="196">
        <v>46285</v>
      </c>
      <c r="M221" t="s">
        <v>439</v>
      </c>
      <c r="N221" t="s">
        <v>231</v>
      </c>
      <c r="O221" t="s">
        <v>232</v>
      </c>
      <c r="P221">
        <v>1</v>
      </c>
      <c r="Q221" t="s">
        <v>247</v>
      </c>
    </row>
    <row r="222" spans="1:17" s="25" customFormat="1" hidden="1">
      <c r="A222" s="111">
        <v>3.3092758159722221E-2</v>
      </c>
      <c r="B222" t="s">
        <v>97</v>
      </c>
      <c r="C222" t="s">
        <v>474</v>
      </c>
      <c r="D222"/>
      <c r="E222" t="s">
        <v>112</v>
      </c>
      <c r="F222"/>
      <c r="G222" t="s">
        <v>98</v>
      </c>
      <c r="H222"/>
      <c r="I222" s="197">
        <v>46286.836689814816</v>
      </c>
      <c r="J222" t="s">
        <v>468</v>
      </c>
      <c r="K222" t="s">
        <v>444</v>
      </c>
      <c r="L222" s="196">
        <v>46285</v>
      </c>
      <c r="M222" t="s">
        <v>439</v>
      </c>
      <c r="N222" t="s">
        <v>231</v>
      </c>
      <c r="O222" t="s">
        <v>232</v>
      </c>
      <c r="P222">
        <v>1</v>
      </c>
      <c r="Q222" t="s">
        <v>247</v>
      </c>
    </row>
    <row r="223" spans="1:17" s="25" customFormat="1" hidden="1">
      <c r="A223" s="111">
        <v>3.3046411099537036E-2</v>
      </c>
      <c r="B223" t="s">
        <v>97</v>
      </c>
      <c r="C223"/>
      <c r="D223"/>
      <c r="E223" t="s">
        <v>104</v>
      </c>
      <c r="F223"/>
      <c r="G223" t="s">
        <v>98</v>
      </c>
      <c r="H223"/>
      <c r="I223" s="197">
        <v>46286.836481481485</v>
      </c>
      <c r="J223" t="s">
        <v>468</v>
      </c>
      <c r="K223" t="s">
        <v>444</v>
      </c>
      <c r="L223" s="196">
        <v>46285</v>
      </c>
      <c r="M223" t="s">
        <v>439</v>
      </c>
      <c r="N223" t="s">
        <v>231</v>
      </c>
      <c r="O223" t="s">
        <v>232</v>
      </c>
      <c r="P223">
        <v>1</v>
      </c>
      <c r="Q223" t="s">
        <v>247</v>
      </c>
    </row>
    <row r="224" spans="1:17" s="25" customFormat="1" hidden="1">
      <c r="A224" s="111">
        <v>3.2320840960648148E-2</v>
      </c>
      <c r="B224" t="s">
        <v>97</v>
      </c>
      <c r="C224"/>
      <c r="D224"/>
      <c r="E224" t="s">
        <v>87</v>
      </c>
      <c r="F224"/>
      <c r="G224" t="s">
        <v>98</v>
      </c>
      <c r="H224"/>
      <c r="I224" s="197">
        <v>46286.836388888885</v>
      </c>
      <c r="J224" t="s">
        <v>468</v>
      </c>
      <c r="K224" t="s">
        <v>444</v>
      </c>
      <c r="L224" s="196">
        <v>46285</v>
      </c>
      <c r="M224" t="s">
        <v>439</v>
      </c>
      <c r="N224" t="s">
        <v>231</v>
      </c>
      <c r="O224" t="s">
        <v>232</v>
      </c>
      <c r="P224">
        <v>1</v>
      </c>
      <c r="Q224" t="s">
        <v>247</v>
      </c>
    </row>
    <row r="225" spans="1:17" s="25" customFormat="1" hidden="1">
      <c r="A225" s="111">
        <v>3.2320840960648148E-2</v>
      </c>
      <c r="B225" t="s">
        <v>97</v>
      </c>
      <c r="C225"/>
      <c r="D225"/>
      <c r="E225" t="s">
        <v>213</v>
      </c>
      <c r="F225" t="s">
        <v>207</v>
      </c>
      <c r="G225" t="s">
        <v>98</v>
      </c>
      <c r="H225"/>
      <c r="I225" s="197">
        <v>46286.836388888885</v>
      </c>
      <c r="J225" t="s">
        <v>468</v>
      </c>
      <c r="K225" t="s">
        <v>444</v>
      </c>
      <c r="L225" s="196">
        <v>46285</v>
      </c>
      <c r="M225" t="s">
        <v>439</v>
      </c>
      <c r="N225" t="s">
        <v>231</v>
      </c>
      <c r="O225" t="s">
        <v>232</v>
      </c>
      <c r="P225">
        <v>1</v>
      </c>
      <c r="Q225" t="s">
        <v>247</v>
      </c>
    </row>
    <row r="226" spans="1:17" s="25" customFormat="1" hidden="1">
      <c r="A226" s="111">
        <v>3.2246864074074073E-2</v>
      </c>
      <c r="B226" t="s">
        <v>97</v>
      </c>
      <c r="C226" t="s">
        <v>500</v>
      </c>
      <c r="D226"/>
      <c r="E226" t="s">
        <v>108</v>
      </c>
      <c r="F226"/>
      <c r="G226" t="s">
        <v>164</v>
      </c>
      <c r="H226"/>
      <c r="I226" s="197">
        <v>46286.836226851854</v>
      </c>
      <c r="J226" t="s">
        <v>468</v>
      </c>
      <c r="K226" t="s">
        <v>444</v>
      </c>
      <c r="L226" s="196">
        <v>46285</v>
      </c>
      <c r="M226" t="s">
        <v>439</v>
      </c>
      <c r="N226" t="s">
        <v>231</v>
      </c>
      <c r="O226" t="s">
        <v>232</v>
      </c>
      <c r="P226">
        <v>1</v>
      </c>
      <c r="Q226" t="s">
        <v>247</v>
      </c>
    </row>
    <row r="227" spans="1:17" s="25" customFormat="1" hidden="1">
      <c r="A227" s="111">
        <v>3.2225292557870371E-2</v>
      </c>
      <c r="B227" t="s">
        <v>97</v>
      </c>
      <c r="C227"/>
      <c r="D227"/>
      <c r="E227" t="s">
        <v>113</v>
      </c>
      <c r="F227"/>
      <c r="G227" t="s">
        <v>164</v>
      </c>
      <c r="H227"/>
      <c r="I227" s="197">
        <v>46286.834837962961</v>
      </c>
      <c r="J227" t="s">
        <v>468</v>
      </c>
      <c r="K227" t="s">
        <v>444</v>
      </c>
      <c r="L227" s="196">
        <v>46285</v>
      </c>
      <c r="M227" t="s">
        <v>439</v>
      </c>
      <c r="N227" t="s">
        <v>231</v>
      </c>
      <c r="O227" t="s">
        <v>232</v>
      </c>
      <c r="P227">
        <v>1</v>
      </c>
      <c r="Q227" t="s">
        <v>247</v>
      </c>
    </row>
    <row r="228" spans="1:17" s="25" customFormat="1" hidden="1">
      <c r="A228" s="111">
        <v>3.2151057199074073E-2</v>
      </c>
      <c r="B228" t="s">
        <v>97</v>
      </c>
      <c r="C228"/>
      <c r="D228"/>
      <c r="E228" t="s">
        <v>104</v>
      </c>
      <c r="F228"/>
      <c r="G228" t="s">
        <v>164</v>
      </c>
      <c r="H228"/>
      <c r="I228" s="197">
        <v>46286.834745370368</v>
      </c>
      <c r="J228" t="s">
        <v>468</v>
      </c>
      <c r="K228" t="s">
        <v>444</v>
      </c>
      <c r="L228" s="196">
        <v>46285</v>
      </c>
      <c r="M228" t="s">
        <v>439</v>
      </c>
      <c r="N228" t="s">
        <v>231</v>
      </c>
      <c r="O228" t="s">
        <v>232</v>
      </c>
      <c r="P228">
        <v>1</v>
      </c>
      <c r="Q228" t="s">
        <v>247</v>
      </c>
    </row>
    <row r="229" spans="1:17" s="25" customFormat="1" hidden="1">
      <c r="A229" s="111">
        <v>3.1587833148148149E-2</v>
      </c>
      <c r="B229" t="s">
        <v>97</v>
      </c>
      <c r="C229"/>
      <c r="D229"/>
      <c r="E229" t="s">
        <v>87</v>
      </c>
      <c r="F229"/>
      <c r="G229" t="s">
        <v>164</v>
      </c>
      <c r="H229"/>
      <c r="I229" s="197">
        <v>46286.834652777776</v>
      </c>
      <c r="J229" t="s">
        <v>468</v>
      </c>
      <c r="K229" t="s">
        <v>444</v>
      </c>
      <c r="L229" s="196">
        <v>46285</v>
      </c>
      <c r="M229" t="s">
        <v>439</v>
      </c>
      <c r="N229" t="s">
        <v>231</v>
      </c>
      <c r="O229" t="s">
        <v>232</v>
      </c>
      <c r="P229">
        <v>1</v>
      </c>
      <c r="Q229" t="s">
        <v>247</v>
      </c>
    </row>
    <row r="230" spans="1:17" s="25" customFormat="1" hidden="1">
      <c r="A230" s="111">
        <v>3.1587833148148149E-2</v>
      </c>
      <c r="B230" t="s">
        <v>97</v>
      </c>
      <c r="C230" t="s">
        <v>480</v>
      </c>
      <c r="D230" t="s">
        <v>204</v>
      </c>
      <c r="E230" t="s">
        <v>214</v>
      </c>
      <c r="F230" t="s">
        <v>207</v>
      </c>
      <c r="G230" t="s">
        <v>164</v>
      </c>
      <c r="H230"/>
      <c r="I230" s="197">
        <v>46286.834641203706</v>
      </c>
      <c r="J230" t="s">
        <v>468</v>
      </c>
      <c r="K230" t="s">
        <v>444</v>
      </c>
      <c r="L230" s="196">
        <v>46285</v>
      </c>
      <c r="M230" t="s">
        <v>439</v>
      </c>
      <c r="N230" t="s">
        <v>231</v>
      </c>
      <c r="O230" t="s">
        <v>232</v>
      </c>
      <c r="P230">
        <v>1</v>
      </c>
      <c r="Q230" t="s">
        <v>247</v>
      </c>
    </row>
    <row r="231" spans="1:17" s="25" customFormat="1" hidden="1">
      <c r="A231" s="111">
        <v>3.1537214027777781E-2</v>
      </c>
      <c r="B231" t="s">
        <v>97</v>
      </c>
      <c r="C231" t="s">
        <v>480</v>
      </c>
      <c r="D231"/>
      <c r="E231" t="s">
        <v>462</v>
      </c>
      <c r="F231"/>
      <c r="G231" t="s">
        <v>98</v>
      </c>
      <c r="H231"/>
      <c r="I231" s="197">
        <v>46286.834247685183</v>
      </c>
      <c r="J231" t="s">
        <v>468</v>
      </c>
      <c r="K231" t="s">
        <v>444</v>
      </c>
      <c r="L231" s="196">
        <v>46285</v>
      </c>
      <c r="M231" t="s">
        <v>439</v>
      </c>
      <c r="N231" t="s">
        <v>231</v>
      </c>
      <c r="O231" t="s">
        <v>232</v>
      </c>
      <c r="P231">
        <v>1</v>
      </c>
      <c r="Q231" t="s">
        <v>247</v>
      </c>
    </row>
    <row r="232" spans="1:17" s="25" customFormat="1" hidden="1">
      <c r="A232" s="111">
        <v>3.1520601377314814E-2</v>
      </c>
      <c r="B232" t="s">
        <v>97</v>
      </c>
      <c r="C232" t="s">
        <v>500</v>
      </c>
      <c r="D232"/>
      <c r="E232" t="s">
        <v>462</v>
      </c>
      <c r="F232"/>
      <c r="G232" t="s">
        <v>98</v>
      </c>
      <c r="H232"/>
      <c r="I232" s="197">
        <v>46286.833483796298</v>
      </c>
      <c r="J232" t="s">
        <v>468</v>
      </c>
      <c r="K232" t="s">
        <v>444</v>
      </c>
      <c r="L232" s="196">
        <v>46285</v>
      </c>
      <c r="M232" t="s">
        <v>439</v>
      </c>
      <c r="N232" t="s">
        <v>231</v>
      </c>
      <c r="O232" t="s">
        <v>232</v>
      </c>
      <c r="P232">
        <v>1</v>
      </c>
      <c r="Q232" t="s">
        <v>247</v>
      </c>
    </row>
    <row r="233" spans="1:17" s="25" customFormat="1" hidden="1">
      <c r="A233" s="111">
        <v>3.1399189351851854E-2</v>
      </c>
      <c r="B233" t="s">
        <v>97</v>
      </c>
      <c r="C233" t="s">
        <v>490</v>
      </c>
      <c r="D233"/>
      <c r="E233" t="s">
        <v>462</v>
      </c>
      <c r="F233"/>
      <c r="G233" t="s">
        <v>98</v>
      </c>
      <c r="H233"/>
      <c r="I233" s="197">
        <v>46286.833298611113</v>
      </c>
      <c r="J233" t="s">
        <v>468</v>
      </c>
      <c r="K233" t="s">
        <v>444</v>
      </c>
      <c r="L233" s="196">
        <v>46285</v>
      </c>
      <c r="M233" t="s">
        <v>439</v>
      </c>
      <c r="N233" t="s">
        <v>231</v>
      </c>
      <c r="O233" t="s">
        <v>232</v>
      </c>
      <c r="P233">
        <v>1</v>
      </c>
      <c r="Q233" t="s">
        <v>247</v>
      </c>
    </row>
    <row r="234" spans="1:17" s="25" customFormat="1" hidden="1">
      <c r="A234" s="111">
        <v>3.1346934641203701E-2</v>
      </c>
      <c r="B234" t="s">
        <v>97</v>
      </c>
      <c r="C234"/>
      <c r="D234"/>
      <c r="E234" t="s">
        <v>186</v>
      </c>
      <c r="F234"/>
      <c r="G234" t="s">
        <v>98</v>
      </c>
      <c r="H234"/>
      <c r="I234" s="197">
        <v>46286.833171296297</v>
      </c>
      <c r="J234" t="s">
        <v>468</v>
      </c>
      <c r="K234" t="s">
        <v>444</v>
      </c>
      <c r="L234" s="196">
        <v>46285</v>
      </c>
      <c r="M234" t="s">
        <v>439</v>
      </c>
      <c r="N234" t="s">
        <v>231</v>
      </c>
      <c r="O234" t="s">
        <v>232</v>
      </c>
      <c r="P234">
        <v>1</v>
      </c>
      <c r="Q234" t="s">
        <v>247</v>
      </c>
    </row>
    <row r="235" spans="1:17" s="25" customFormat="1" hidden="1">
      <c r="A235" s="111">
        <v>3.1300382372685183E-2</v>
      </c>
      <c r="B235" t="s">
        <v>97</v>
      </c>
      <c r="C235"/>
      <c r="D235"/>
      <c r="E235" t="s">
        <v>184</v>
      </c>
      <c r="F235"/>
      <c r="G235" t="s">
        <v>164</v>
      </c>
      <c r="H235"/>
      <c r="I235" s="197">
        <v>46286.833090277774</v>
      </c>
      <c r="J235" t="s">
        <v>468</v>
      </c>
      <c r="K235" t="s">
        <v>444</v>
      </c>
      <c r="L235" s="196">
        <v>46285</v>
      </c>
      <c r="M235" t="s">
        <v>439</v>
      </c>
      <c r="N235" t="s">
        <v>231</v>
      </c>
      <c r="O235" t="s">
        <v>232</v>
      </c>
      <c r="P235">
        <v>1</v>
      </c>
      <c r="Q235" t="s">
        <v>247</v>
      </c>
    </row>
    <row r="236" spans="1:17" s="25" customFormat="1" hidden="1">
      <c r="A236" s="111">
        <v>3.1275021620370373E-2</v>
      </c>
      <c r="B236" t="s">
        <v>97</v>
      </c>
      <c r="C236"/>
      <c r="D236"/>
      <c r="E236" t="s">
        <v>113</v>
      </c>
      <c r="F236"/>
      <c r="G236" t="s">
        <v>164</v>
      </c>
      <c r="H236"/>
      <c r="I236" s="197">
        <v>46286.833020833335</v>
      </c>
      <c r="J236" t="s">
        <v>468</v>
      </c>
      <c r="K236" t="s">
        <v>444</v>
      </c>
      <c r="L236" s="196">
        <v>46285</v>
      </c>
      <c r="M236" t="s">
        <v>439</v>
      </c>
      <c r="N236" t="s">
        <v>231</v>
      </c>
      <c r="O236" t="s">
        <v>232</v>
      </c>
      <c r="P236">
        <v>1</v>
      </c>
      <c r="Q236" t="s">
        <v>247</v>
      </c>
    </row>
    <row r="237" spans="1:17" s="25" customFormat="1" hidden="1">
      <c r="A237" s="111">
        <v>3.1216633564814814E-2</v>
      </c>
      <c r="B237" t="s">
        <v>97</v>
      </c>
      <c r="C237"/>
      <c r="D237"/>
      <c r="E237" t="s">
        <v>104</v>
      </c>
      <c r="F237"/>
      <c r="G237" t="s">
        <v>164</v>
      </c>
      <c r="H237"/>
      <c r="I237" s="197">
        <v>46286.832962962966</v>
      </c>
      <c r="J237" t="s">
        <v>468</v>
      </c>
      <c r="K237" t="s">
        <v>444</v>
      </c>
      <c r="L237" s="196">
        <v>46285</v>
      </c>
      <c r="M237" t="s">
        <v>439</v>
      </c>
      <c r="N237" t="s">
        <v>231</v>
      </c>
      <c r="O237" t="s">
        <v>232</v>
      </c>
      <c r="P237">
        <v>1</v>
      </c>
      <c r="Q237" t="s">
        <v>247</v>
      </c>
    </row>
    <row r="238" spans="1:17" s="25" customFormat="1" hidden="1">
      <c r="A238" s="111">
        <v>3.1009414143518519E-2</v>
      </c>
      <c r="B238" t="s">
        <v>97</v>
      </c>
      <c r="C238"/>
      <c r="D238"/>
      <c r="E238" t="s">
        <v>87</v>
      </c>
      <c r="F238"/>
      <c r="G238" t="s">
        <v>164</v>
      </c>
      <c r="H238"/>
      <c r="I238" s="197">
        <v>46286.832905092589</v>
      </c>
      <c r="J238" t="s">
        <v>468</v>
      </c>
      <c r="K238" t="s">
        <v>444</v>
      </c>
      <c r="L238" s="196">
        <v>46285</v>
      </c>
      <c r="M238" t="s">
        <v>439</v>
      </c>
      <c r="N238" t="s">
        <v>231</v>
      </c>
      <c r="O238" t="s">
        <v>232</v>
      </c>
      <c r="P238">
        <v>1</v>
      </c>
      <c r="Q238" t="s">
        <v>247</v>
      </c>
    </row>
    <row r="239" spans="1:17" s="25" customFormat="1" hidden="1">
      <c r="A239" s="111">
        <v>3.1009414143518519E-2</v>
      </c>
      <c r="B239" t="s">
        <v>97</v>
      </c>
      <c r="C239" t="s">
        <v>82</v>
      </c>
      <c r="D239" t="s">
        <v>82</v>
      </c>
      <c r="E239" t="s">
        <v>214</v>
      </c>
      <c r="F239" t="s">
        <v>207</v>
      </c>
      <c r="G239" t="s">
        <v>164</v>
      </c>
      <c r="H239"/>
      <c r="I239" s="197">
        <v>46286.832905092589</v>
      </c>
      <c r="J239" t="s">
        <v>468</v>
      </c>
      <c r="K239" t="s">
        <v>444</v>
      </c>
      <c r="L239" s="196">
        <v>46285</v>
      </c>
      <c r="M239" t="s">
        <v>439</v>
      </c>
      <c r="N239" t="s">
        <v>231</v>
      </c>
      <c r="O239" t="s">
        <v>232</v>
      </c>
      <c r="P239">
        <v>1</v>
      </c>
      <c r="Q239" t="s">
        <v>247</v>
      </c>
    </row>
    <row r="240" spans="1:17" s="25" customFormat="1" hidden="1">
      <c r="A240" s="111">
        <v>3.0763331793981483E-2</v>
      </c>
      <c r="B240" t="s">
        <v>97</v>
      </c>
      <c r="C240" t="s">
        <v>492</v>
      </c>
      <c r="D240"/>
      <c r="E240" t="s">
        <v>463</v>
      </c>
      <c r="F240"/>
      <c r="G240" t="s">
        <v>98</v>
      </c>
      <c r="H240"/>
      <c r="I240" s="197">
        <v>46286.83222222222</v>
      </c>
      <c r="J240" t="s">
        <v>468</v>
      </c>
      <c r="K240" t="s">
        <v>444</v>
      </c>
      <c r="L240" s="196">
        <v>46285</v>
      </c>
      <c r="M240" t="s">
        <v>439</v>
      </c>
      <c r="N240" t="s">
        <v>231</v>
      </c>
      <c r="O240" t="s">
        <v>232</v>
      </c>
      <c r="P240">
        <v>1</v>
      </c>
      <c r="Q240" t="s">
        <v>247</v>
      </c>
    </row>
    <row r="241" spans="1:17" s="25" customFormat="1">
      <c r="A241" s="111">
        <v>3.0698558969907405E-2</v>
      </c>
      <c r="B241" t="s">
        <v>97</v>
      </c>
      <c r="C241"/>
      <c r="D241"/>
      <c r="E241" t="s">
        <v>279</v>
      </c>
      <c r="F241"/>
      <c r="G241" t="s">
        <v>98</v>
      </c>
      <c r="H241"/>
      <c r="I241" s="197">
        <v>46286.832013888888</v>
      </c>
      <c r="J241" t="s">
        <v>468</v>
      </c>
      <c r="K241" t="s">
        <v>444</v>
      </c>
      <c r="L241" s="196">
        <v>46285</v>
      </c>
      <c r="M241" t="s">
        <v>439</v>
      </c>
      <c r="N241" t="s">
        <v>231</v>
      </c>
      <c r="O241" t="s">
        <v>232</v>
      </c>
      <c r="P241">
        <v>1</v>
      </c>
      <c r="Q241" t="s">
        <v>247</v>
      </c>
    </row>
    <row r="242" spans="1:17" s="25" customFormat="1">
      <c r="A242" s="111">
        <v>3.0637001932870372E-2</v>
      </c>
      <c r="B242" t="s">
        <v>97</v>
      </c>
      <c r="C242"/>
      <c r="D242"/>
      <c r="E242" t="s">
        <v>105</v>
      </c>
      <c r="F242"/>
      <c r="G242" t="s">
        <v>98</v>
      </c>
      <c r="H242"/>
      <c r="I242" s="197">
        <v>46286.831956018519</v>
      </c>
      <c r="J242" t="s">
        <v>468</v>
      </c>
      <c r="K242" t="s">
        <v>444</v>
      </c>
      <c r="L242" s="196">
        <v>46285</v>
      </c>
      <c r="M242" t="s">
        <v>439</v>
      </c>
      <c r="N242" t="s">
        <v>231</v>
      </c>
      <c r="O242" t="s">
        <v>232</v>
      </c>
      <c r="P242">
        <v>1</v>
      </c>
      <c r="Q242" t="s">
        <v>247</v>
      </c>
    </row>
    <row r="243" spans="1:17" s="25" customFormat="1" hidden="1">
      <c r="A243" s="111">
        <v>3.0201275902777776E-2</v>
      </c>
      <c r="B243" t="s">
        <v>97</v>
      </c>
      <c r="C243"/>
      <c r="D243"/>
      <c r="E243" t="s">
        <v>87</v>
      </c>
      <c r="F243"/>
      <c r="G243" t="s">
        <v>98</v>
      </c>
      <c r="H243"/>
      <c r="I243" s="197">
        <v>46286.831909722219</v>
      </c>
      <c r="J243" t="s">
        <v>468</v>
      </c>
      <c r="K243" t="s">
        <v>444</v>
      </c>
      <c r="L243" s="196">
        <v>46285</v>
      </c>
      <c r="M243" t="s">
        <v>439</v>
      </c>
      <c r="N243" t="s">
        <v>231</v>
      </c>
      <c r="O243" t="s">
        <v>232</v>
      </c>
      <c r="P243">
        <v>1</v>
      </c>
      <c r="Q243" t="s">
        <v>247</v>
      </c>
    </row>
    <row r="244" spans="1:17" s="25" customFormat="1" hidden="1">
      <c r="A244" s="111">
        <v>3.0170589328703704E-2</v>
      </c>
      <c r="B244" t="s">
        <v>97</v>
      </c>
      <c r="C244"/>
      <c r="D244"/>
      <c r="E244" t="s">
        <v>183</v>
      </c>
      <c r="F244"/>
      <c r="G244" t="s">
        <v>164</v>
      </c>
      <c r="H244"/>
      <c r="I244" s="197">
        <v>46286.831875000003</v>
      </c>
      <c r="J244" t="s">
        <v>468</v>
      </c>
      <c r="K244" t="s">
        <v>444</v>
      </c>
      <c r="L244" s="196">
        <v>46285</v>
      </c>
      <c r="M244" t="s">
        <v>439</v>
      </c>
      <c r="N244" t="s">
        <v>231</v>
      </c>
      <c r="O244" t="s">
        <v>232</v>
      </c>
      <c r="P244">
        <v>1</v>
      </c>
      <c r="Q244" t="s">
        <v>247</v>
      </c>
    </row>
    <row r="245" spans="1:17" s="25" customFormat="1" hidden="1">
      <c r="A245" s="111">
        <v>3.0155236643518515E-2</v>
      </c>
      <c r="B245" t="s">
        <v>97</v>
      </c>
      <c r="C245"/>
      <c r="D245"/>
      <c r="E245" t="s">
        <v>188</v>
      </c>
      <c r="F245"/>
      <c r="G245" t="s">
        <v>164</v>
      </c>
      <c r="H245"/>
      <c r="I245" s="197">
        <v>46286.831863425927</v>
      </c>
      <c r="J245" t="s">
        <v>468</v>
      </c>
      <c r="K245" t="s">
        <v>444</v>
      </c>
      <c r="L245" s="196">
        <v>46285</v>
      </c>
      <c r="M245" t="s">
        <v>439</v>
      </c>
      <c r="N245" t="s">
        <v>231</v>
      </c>
      <c r="O245" t="s">
        <v>232</v>
      </c>
      <c r="P245">
        <v>1</v>
      </c>
      <c r="Q245" t="s">
        <v>247</v>
      </c>
    </row>
    <row r="246" spans="1:17" s="25" customFormat="1" hidden="1">
      <c r="A246" s="111">
        <v>3.0143574236111113E-2</v>
      </c>
      <c r="B246" t="s">
        <v>97</v>
      </c>
      <c r="C246"/>
      <c r="D246"/>
      <c r="E246" t="s">
        <v>184</v>
      </c>
      <c r="F246"/>
      <c r="G246" t="s">
        <v>98</v>
      </c>
      <c r="H246"/>
      <c r="I246" s="197">
        <v>46286.83185185185</v>
      </c>
      <c r="J246" t="s">
        <v>468</v>
      </c>
      <c r="K246" t="s">
        <v>444</v>
      </c>
      <c r="L246" s="196">
        <v>46285</v>
      </c>
      <c r="M246" t="s">
        <v>439</v>
      </c>
      <c r="N246" t="s">
        <v>231</v>
      </c>
      <c r="O246" t="s">
        <v>232</v>
      </c>
      <c r="P246">
        <v>1</v>
      </c>
      <c r="Q246" t="s">
        <v>247</v>
      </c>
    </row>
    <row r="247" spans="1:17" s="25" customFormat="1" hidden="1">
      <c r="A247" s="111">
        <v>3.0130658078703701E-2</v>
      </c>
      <c r="B247" t="s">
        <v>97</v>
      </c>
      <c r="C247"/>
      <c r="D247"/>
      <c r="E247" t="s">
        <v>101</v>
      </c>
      <c r="F247"/>
      <c r="G247" t="s">
        <v>98</v>
      </c>
      <c r="H247"/>
      <c r="I247" s="197">
        <v>46286.83184027778</v>
      </c>
      <c r="J247" t="s">
        <v>468</v>
      </c>
      <c r="K247" t="s">
        <v>444</v>
      </c>
      <c r="L247" s="196">
        <v>46285</v>
      </c>
      <c r="M247" t="s">
        <v>439</v>
      </c>
      <c r="N247" t="s">
        <v>231</v>
      </c>
      <c r="O247" t="s">
        <v>232</v>
      </c>
      <c r="P247">
        <v>1</v>
      </c>
      <c r="Q247" t="s">
        <v>247</v>
      </c>
    </row>
    <row r="248" spans="1:17" s="25" customFormat="1" hidden="1">
      <c r="A248" s="111">
        <v>2.9244356284722224E-2</v>
      </c>
      <c r="B248" t="s">
        <v>97</v>
      </c>
      <c r="C248"/>
      <c r="D248"/>
      <c r="E248" t="s">
        <v>213</v>
      </c>
      <c r="F248" t="s">
        <v>207</v>
      </c>
      <c r="G248" t="s">
        <v>98</v>
      </c>
      <c r="H248"/>
      <c r="I248" s="197">
        <v>46286.830729166664</v>
      </c>
      <c r="J248" t="s">
        <v>468</v>
      </c>
      <c r="K248" t="s">
        <v>444</v>
      </c>
      <c r="L248" s="196">
        <v>46285</v>
      </c>
      <c r="M248" t="s">
        <v>439</v>
      </c>
      <c r="N248" t="s">
        <v>231</v>
      </c>
      <c r="O248" t="s">
        <v>232</v>
      </c>
      <c r="P248">
        <v>1</v>
      </c>
      <c r="Q248" t="s">
        <v>247</v>
      </c>
    </row>
    <row r="249" spans="1:17" s="25" customFormat="1" hidden="1">
      <c r="A249" s="111">
        <v>2.9173704479166666E-2</v>
      </c>
      <c r="B249" t="s">
        <v>97</v>
      </c>
      <c r="C249"/>
      <c r="D249"/>
      <c r="E249" t="s">
        <v>87</v>
      </c>
      <c r="F249"/>
      <c r="G249" t="s">
        <v>164</v>
      </c>
      <c r="H249"/>
      <c r="I249" s="197">
        <v>46286.830648148149</v>
      </c>
      <c r="J249" t="s">
        <v>468</v>
      </c>
      <c r="K249" t="s">
        <v>444</v>
      </c>
      <c r="L249" s="196">
        <v>46285</v>
      </c>
      <c r="M249" t="s">
        <v>439</v>
      </c>
      <c r="N249" t="s">
        <v>231</v>
      </c>
      <c r="O249" t="s">
        <v>232</v>
      </c>
      <c r="P249">
        <v>1</v>
      </c>
      <c r="Q249" t="s">
        <v>247</v>
      </c>
    </row>
    <row r="250" spans="1:17" s="25" customFormat="1" hidden="1">
      <c r="A250" s="111">
        <v>2.9134905405092591E-2</v>
      </c>
      <c r="B250" t="s">
        <v>97</v>
      </c>
      <c r="C250"/>
      <c r="D250"/>
      <c r="E250" t="s">
        <v>188</v>
      </c>
      <c r="F250"/>
      <c r="G250" t="s">
        <v>164</v>
      </c>
      <c r="H250"/>
      <c r="I250" s="197">
        <v>46286.830613425926</v>
      </c>
      <c r="J250" t="s">
        <v>468</v>
      </c>
      <c r="K250" t="s">
        <v>444</v>
      </c>
      <c r="L250" s="196">
        <v>46285</v>
      </c>
      <c r="M250" t="s">
        <v>439</v>
      </c>
      <c r="N250" t="s">
        <v>231</v>
      </c>
      <c r="O250" t="s">
        <v>232</v>
      </c>
      <c r="P250">
        <v>1</v>
      </c>
      <c r="Q250" t="s">
        <v>247</v>
      </c>
    </row>
    <row r="251" spans="1:17" s="25" customFormat="1" hidden="1">
      <c r="A251" s="111">
        <v>2.9087569178240742E-2</v>
      </c>
      <c r="B251" t="s">
        <v>97</v>
      </c>
      <c r="C251"/>
      <c r="D251"/>
      <c r="E251" t="s">
        <v>184</v>
      </c>
      <c r="F251"/>
      <c r="G251" t="s">
        <v>98</v>
      </c>
      <c r="H251"/>
      <c r="I251" s="197">
        <v>46286.830567129633</v>
      </c>
      <c r="J251" t="s">
        <v>468</v>
      </c>
      <c r="K251" t="s">
        <v>444</v>
      </c>
      <c r="L251" s="196">
        <v>46285</v>
      </c>
      <c r="M251" t="s">
        <v>439</v>
      </c>
      <c r="N251" t="s">
        <v>231</v>
      </c>
      <c r="O251" t="s">
        <v>232</v>
      </c>
      <c r="P251">
        <v>1</v>
      </c>
      <c r="Q251" t="s">
        <v>247</v>
      </c>
    </row>
    <row r="252" spans="1:17" s="25" customFormat="1" hidden="1">
      <c r="A252" s="111">
        <v>2.9007566736111108E-2</v>
      </c>
      <c r="B252" t="s">
        <v>97</v>
      </c>
      <c r="C252" t="s">
        <v>474</v>
      </c>
      <c r="D252"/>
      <c r="E252" t="s">
        <v>463</v>
      </c>
      <c r="F252"/>
      <c r="G252" t="s">
        <v>98</v>
      </c>
      <c r="H252"/>
      <c r="I252" s="197">
        <v>46286.830451388887</v>
      </c>
      <c r="J252" t="s">
        <v>468</v>
      </c>
      <c r="K252" t="s">
        <v>444</v>
      </c>
      <c r="L252" s="196">
        <v>46285</v>
      </c>
      <c r="M252" t="s">
        <v>439</v>
      </c>
      <c r="N252" t="s">
        <v>231</v>
      </c>
      <c r="O252" t="s">
        <v>232</v>
      </c>
      <c r="P252">
        <v>1</v>
      </c>
      <c r="Q252" t="s">
        <v>247</v>
      </c>
    </row>
    <row r="253" spans="1:17" s="25" customFormat="1" hidden="1">
      <c r="A253" s="111">
        <v>2.892668383101852E-2</v>
      </c>
      <c r="B253" t="s">
        <v>97</v>
      </c>
      <c r="C253" t="s">
        <v>472</v>
      </c>
      <c r="D253"/>
      <c r="E253" t="s">
        <v>463</v>
      </c>
      <c r="F253"/>
      <c r="G253" t="s">
        <v>98</v>
      </c>
      <c r="H253"/>
      <c r="I253" s="197">
        <v>46286.830324074072</v>
      </c>
      <c r="J253" t="s">
        <v>468</v>
      </c>
      <c r="K253" t="s">
        <v>444</v>
      </c>
      <c r="L253" s="196">
        <v>46285</v>
      </c>
      <c r="M253" t="s">
        <v>439</v>
      </c>
      <c r="N253" t="s">
        <v>231</v>
      </c>
      <c r="O253" t="s">
        <v>232</v>
      </c>
      <c r="P253">
        <v>1</v>
      </c>
      <c r="Q253" t="s">
        <v>247</v>
      </c>
    </row>
    <row r="254" spans="1:17" s="25" customFormat="1" hidden="1">
      <c r="A254" s="111">
        <v>2.892202355324074E-2</v>
      </c>
      <c r="B254" t="s">
        <v>97</v>
      </c>
      <c r="C254"/>
      <c r="D254"/>
      <c r="E254" t="s">
        <v>456</v>
      </c>
      <c r="F254"/>
      <c r="G254" t="s">
        <v>164</v>
      </c>
      <c r="H254"/>
      <c r="I254" s="197">
        <v>46286.830196759256</v>
      </c>
      <c r="J254" t="s">
        <v>468</v>
      </c>
      <c r="K254" t="s">
        <v>444</v>
      </c>
      <c r="L254" s="196">
        <v>46285</v>
      </c>
      <c r="M254" t="s">
        <v>439</v>
      </c>
      <c r="N254" t="s">
        <v>231</v>
      </c>
      <c r="O254" t="s">
        <v>232</v>
      </c>
      <c r="P254">
        <v>1</v>
      </c>
      <c r="Q254" t="s">
        <v>247</v>
      </c>
    </row>
    <row r="255" spans="1:17" s="25" customFormat="1" hidden="1">
      <c r="A255" s="111">
        <v>2.8858554629629631E-2</v>
      </c>
      <c r="B255" t="s">
        <v>97</v>
      </c>
      <c r="C255" t="s">
        <v>480</v>
      </c>
      <c r="D255"/>
      <c r="E255" t="s">
        <v>108</v>
      </c>
      <c r="F255"/>
      <c r="G255" t="s">
        <v>164</v>
      </c>
      <c r="H255"/>
      <c r="I255" s="197">
        <v>46286.830057870371</v>
      </c>
      <c r="J255" t="s">
        <v>468</v>
      </c>
      <c r="K255" t="s">
        <v>444</v>
      </c>
      <c r="L255" s="196">
        <v>46285</v>
      </c>
      <c r="M255" t="s">
        <v>439</v>
      </c>
      <c r="N255" t="s">
        <v>231</v>
      </c>
      <c r="O255" t="s">
        <v>232</v>
      </c>
      <c r="P255">
        <v>1</v>
      </c>
      <c r="Q255" t="s">
        <v>247</v>
      </c>
    </row>
    <row r="256" spans="1:17" s="25" customFormat="1" hidden="1">
      <c r="A256" s="111">
        <v>2.8818600613425924E-2</v>
      </c>
      <c r="B256" t="s">
        <v>97</v>
      </c>
      <c r="C256" t="s">
        <v>486</v>
      </c>
      <c r="D256"/>
      <c r="E256" t="s">
        <v>59</v>
      </c>
      <c r="F256"/>
      <c r="G256" t="s">
        <v>164</v>
      </c>
      <c r="H256"/>
      <c r="I256" s="197">
        <v>46286.829918981479</v>
      </c>
      <c r="J256" t="s">
        <v>468</v>
      </c>
      <c r="K256" t="s">
        <v>444</v>
      </c>
      <c r="L256" s="196">
        <v>46285</v>
      </c>
      <c r="M256" t="s">
        <v>439</v>
      </c>
      <c r="N256" t="s">
        <v>231</v>
      </c>
      <c r="O256" t="s">
        <v>232</v>
      </c>
      <c r="P256">
        <v>1</v>
      </c>
      <c r="Q256" t="s">
        <v>247</v>
      </c>
    </row>
    <row r="257" spans="1:17" s="25" customFormat="1" hidden="1">
      <c r="A257" s="111">
        <v>2.8673687083333333E-2</v>
      </c>
      <c r="B257" t="s">
        <v>97</v>
      </c>
      <c r="C257" t="s">
        <v>500</v>
      </c>
      <c r="D257"/>
      <c r="E257" t="s">
        <v>58</v>
      </c>
      <c r="F257"/>
      <c r="G257" t="s">
        <v>164</v>
      </c>
      <c r="H257"/>
      <c r="I257" s="197">
        <v>46286.829513888886</v>
      </c>
      <c r="J257" t="s">
        <v>468</v>
      </c>
      <c r="K257" t="s">
        <v>444</v>
      </c>
      <c r="L257" s="196">
        <v>46285</v>
      </c>
      <c r="M257" t="s">
        <v>439</v>
      </c>
      <c r="N257" t="s">
        <v>231</v>
      </c>
      <c r="O257" t="s">
        <v>232</v>
      </c>
      <c r="P257">
        <v>1</v>
      </c>
      <c r="Q257" t="s">
        <v>247</v>
      </c>
    </row>
    <row r="258" spans="1:17" s="25" customFormat="1" hidden="1">
      <c r="A258" s="111">
        <v>2.8638869722222224E-2</v>
      </c>
      <c r="B258" t="s">
        <v>97</v>
      </c>
      <c r="C258" t="s">
        <v>494</v>
      </c>
      <c r="D258"/>
      <c r="E258" t="s">
        <v>59</v>
      </c>
      <c r="F258"/>
      <c r="G258" t="s">
        <v>164</v>
      </c>
      <c r="H258"/>
      <c r="I258" s="197">
        <v>46286.829293981478</v>
      </c>
      <c r="J258" t="s">
        <v>468</v>
      </c>
      <c r="K258" t="s">
        <v>444</v>
      </c>
      <c r="L258" s="196">
        <v>46285</v>
      </c>
      <c r="M258" t="s">
        <v>439</v>
      </c>
      <c r="N258" t="s">
        <v>231</v>
      </c>
      <c r="O258" t="s">
        <v>232</v>
      </c>
      <c r="P258">
        <v>1</v>
      </c>
      <c r="Q258" t="s">
        <v>247</v>
      </c>
    </row>
    <row r="259" spans="1:17" s="25" customFormat="1">
      <c r="A259" s="111">
        <v>2.8524369814814817E-2</v>
      </c>
      <c r="B259" t="s">
        <v>97</v>
      </c>
      <c r="C259"/>
      <c r="D259"/>
      <c r="E259" t="s">
        <v>285</v>
      </c>
      <c r="F259"/>
      <c r="G259" t="s">
        <v>164</v>
      </c>
      <c r="H259"/>
      <c r="I259" s="197">
        <v>46286.829062500001</v>
      </c>
      <c r="J259" t="s">
        <v>468</v>
      </c>
      <c r="K259" t="s">
        <v>444</v>
      </c>
      <c r="L259" s="196">
        <v>46285</v>
      </c>
      <c r="M259" t="s">
        <v>439</v>
      </c>
      <c r="N259" t="s">
        <v>231</v>
      </c>
      <c r="O259" t="s">
        <v>232</v>
      </c>
      <c r="P259">
        <v>1</v>
      </c>
      <c r="Q259" t="s">
        <v>247</v>
      </c>
    </row>
    <row r="260" spans="1:17" s="25" customFormat="1">
      <c r="A260" s="111">
        <v>2.8493651319444445E-2</v>
      </c>
      <c r="B260" t="s">
        <v>97</v>
      </c>
      <c r="C260"/>
      <c r="D260"/>
      <c r="E260" t="s">
        <v>105</v>
      </c>
      <c r="F260"/>
      <c r="G260" t="s">
        <v>164</v>
      </c>
      <c r="H260"/>
      <c r="I260" s="197">
        <v>46286.829039351855</v>
      </c>
      <c r="J260" t="s">
        <v>468</v>
      </c>
      <c r="K260" t="s">
        <v>444</v>
      </c>
      <c r="L260" s="196">
        <v>46285</v>
      </c>
      <c r="M260" t="s">
        <v>439</v>
      </c>
      <c r="N260" t="s">
        <v>231</v>
      </c>
      <c r="O260" t="s">
        <v>232</v>
      </c>
      <c r="P260">
        <v>1</v>
      </c>
      <c r="Q260" t="s">
        <v>247</v>
      </c>
    </row>
    <row r="261" spans="1:17" s="25" customFormat="1" hidden="1">
      <c r="A261" s="111">
        <v>2.7950711840277778E-2</v>
      </c>
      <c r="B261" t="s">
        <v>97</v>
      </c>
      <c r="C261"/>
      <c r="D261"/>
      <c r="E261" t="s">
        <v>87</v>
      </c>
      <c r="F261"/>
      <c r="G261" t="s">
        <v>164</v>
      </c>
      <c r="H261"/>
      <c r="I261" s="197">
        <v>46286.828935185185</v>
      </c>
      <c r="J261" t="s">
        <v>468</v>
      </c>
      <c r="K261" t="s">
        <v>444</v>
      </c>
      <c r="L261" s="196">
        <v>46285</v>
      </c>
      <c r="M261" t="s">
        <v>439</v>
      </c>
      <c r="N261" t="s">
        <v>231</v>
      </c>
      <c r="O261" t="s">
        <v>232</v>
      </c>
      <c r="P261">
        <v>1</v>
      </c>
      <c r="Q261" t="s">
        <v>247</v>
      </c>
    </row>
    <row r="262" spans="1:17" s="25" customFormat="1" hidden="1">
      <c r="A262" s="111">
        <v>2.792008971064815E-2</v>
      </c>
      <c r="B262" t="s">
        <v>97</v>
      </c>
      <c r="C262" t="s">
        <v>498</v>
      </c>
      <c r="D262"/>
      <c r="E262" t="s">
        <v>183</v>
      </c>
      <c r="F262"/>
      <c r="G262" t="s">
        <v>98</v>
      </c>
      <c r="H262"/>
      <c r="I262" s="197">
        <v>46286.828877314816</v>
      </c>
      <c r="J262" t="s">
        <v>468</v>
      </c>
      <c r="K262" t="s">
        <v>444</v>
      </c>
      <c r="L262" s="196">
        <v>46285</v>
      </c>
      <c r="M262" t="s">
        <v>439</v>
      </c>
      <c r="N262" t="s">
        <v>231</v>
      </c>
      <c r="O262" t="s">
        <v>232</v>
      </c>
      <c r="P262">
        <v>1</v>
      </c>
      <c r="Q262" t="s">
        <v>247</v>
      </c>
    </row>
    <row r="263" spans="1:17" s="25" customFormat="1" hidden="1">
      <c r="A263" s="111">
        <v>2.792008971064815E-2</v>
      </c>
      <c r="B263" t="s">
        <v>97</v>
      </c>
      <c r="C263"/>
      <c r="D263"/>
      <c r="E263" t="s">
        <v>186</v>
      </c>
      <c r="F263"/>
      <c r="G263" t="s">
        <v>98</v>
      </c>
      <c r="H263"/>
      <c r="I263" s="197">
        <v>46286.82885416667</v>
      </c>
      <c r="J263" t="s">
        <v>468</v>
      </c>
      <c r="K263" t="s">
        <v>444</v>
      </c>
      <c r="L263" s="196">
        <v>46285</v>
      </c>
      <c r="M263" t="s">
        <v>439</v>
      </c>
      <c r="N263" t="s">
        <v>231</v>
      </c>
      <c r="O263" t="s">
        <v>232</v>
      </c>
      <c r="P263">
        <v>1</v>
      </c>
      <c r="Q263" t="s">
        <v>247</v>
      </c>
    </row>
    <row r="264" spans="1:17" s="25" customFormat="1" hidden="1">
      <c r="A264" s="111">
        <v>2.7867692534722221E-2</v>
      </c>
      <c r="B264" t="s">
        <v>97</v>
      </c>
      <c r="C264"/>
      <c r="D264"/>
      <c r="E264" t="s">
        <v>184</v>
      </c>
      <c r="F264"/>
      <c r="G264" t="s">
        <v>164</v>
      </c>
      <c r="H264"/>
      <c r="I264" s="197">
        <v>46286.828773148147</v>
      </c>
      <c r="J264" t="s">
        <v>468</v>
      </c>
      <c r="K264" t="s">
        <v>444</v>
      </c>
      <c r="L264" s="196">
        <v>46285</v>
      </c>
      <c r="M264" t="s">
        <v>439</v>
      </c>
      <c r="N264" t="s">
        <v>231</v>
      </c>
      <c r="O264" t="s">
        <v>232</v>
      </c>
      <c r="P264">
        <v>1</v>
      </c>
      <c r="Q264" t="s">
        <v>247</v>
      </c>
    </row>
    <row r="265" spans="1:17" s="25" customFormat="1" hidden="1">
      <c r="A265" s="111">
        <v>2.7851545347222222E-2</v>
      </c>
      <c r="B265" t="s">
        <v>97</v>
      </c>
      <c r="C265"/>
      <c r="D265"/>
      <c r="E265" t="s">
        <v>113</v>
      </c>
      <c r="F265"/>
      <c r="G265" t="s">
        <v>164</v>
      </c>
      <c r="H265"/>
      <c r="I265" s="197">
        <v>46286.828738425924</v>
      </c>
      <c r="J265" t="s">
        <v>468</v>
      </c>
      <c r="K265" t="s">
        <v>444</v>
      </c>
      <c r="L265" s="196">
        <v>46285</v>
      </c>
      <c r="M265" t="s">
        <v>439</v>
      </c>
      <c r="N265" t="s">
        <v>231</v>
      </c>
      <c r="O265" t="s">
        <v>232</v>
      </c>
      <c r="P265">
        <v>1</v>
      </c>
      <c r="Q265" t="s">
        <v>247</v>
      </c>
    </row>
    <row r="266" spans="1:17" s="25" customFormat="1" hidden="1">
      <c r="A266" s="111">
        <v>2.7803986562500001E-2</v>
      </c>
      <c r="B266" t="s">
        <v>97</v>
      </c>
      <c r="C266"/>
      <c r="D266"/>
      <c r="E266" t="s">
        <v>104</v>
      </c>
      <c r="F266"/>
      <c r="G266" t="s">
        <v>164</v>
      </c>
      <c r="H266"/>
      <c r="I266" s="197">
        <v>46286.828692129631</v>
      </c>
      <c r="J266" t="s">
        <v>468</v>
      </c>
      <c r="K266" t="s">
        <v>444</v>
      </c>
      <c r="L266" s="196">
        <v>46285</v>
      </c>
      <c r="M266" t="s">
        <v>439</v>
      </c>
      <c r="N266" t="s">
        <v>231</v>
      </c>
      <c r="O266" t="s">
        <v>232</v>
      </c>
      <c r="P266">
        <v>1</v>
      </c>
      <c r="Q266" t="s">
        <v>247</v>
      </c>
    </row>
    <row r="267" spans="1:17" s="25" customFormat="1" hidden="1">
      <c r="A267" s="111">
        <v>2.732252585648148E-2</v>
      </c>
      <c r="B267" t="s">
        <v>97</v>
      </c>
      <c r="C267"/>
      <c r="D267"/>
      <c r="E267" t="s">
        <v>87</v>
      </c>
      <c r="F267"/>
      <c r="G267" t="s">
        <v>164</v>
      </c>
      <c r="H267"/>
      <c r="I267" s="197">
        <v>46286.828564814816</v>
      </c>
      <c r="J267" t="s">
        <v>468</v>
      </c>
      <c r="K267" t="s">
        <v>444</v>
      </c>
      <c r="L267" s="196">
        <v>46285</v>
      </c>
      <c r="M267" t="s">
        <v>439</v>
      </c>
      <c r="N267" t="s">
        <v>231</v>
      </c>
      <c r="O267" t="s">
        <v>232</v>
      </c>
      <c r="P267">
        <v>1</v>
      </c>
      <c r="Q267" t="s">
        <v>247</v>
      </c>
    </row>
    <row r="268" spans="1:17" s="25" customFormat="1" hidden="1">
      <c r="A268" s="111">
        <v>2.732252585648148E-2</v>
      </c>
      <c r="B268" t="s">
        <v>97</v>
      </c>
      <c r="C268" t="s">
        <v>92</v>
      </c>
      <c r="D268" t="s">
        <v>82</v>
      </c>
      <c r="E268" t="s">
        <v>214</v>
      </c>
      <c r="F268" t="s">
        <v>207</v>
      </c>
      <c r="G268" t="s">
        <v>164</v>
      </c>
      <c r="H268"/>
      <c r="I268" s="197">
        <v>46286.828564814816</v>
      </c>
      <c r="J268" t="s">
        <v>468</v>
      </c>
      <c r="K268" t="s">
        <v>444</v>
      </c>
      <c r="L268" s="196">
        <v>46285</v>
      </c>
      <c r="M268" t="s">
        <v>439</v>
      </c>
      <c r="N268" t="s">
        <v>231</v>
      </c>
      <c r="O268" t="s">
        <v>232</v>
      </c>
      <c r="P268">
        <v>1</v>
      </c>
      <c r="Q268" t="s">
        <v>247</v>
      </c>
    </row>
    <row r="269" spans="1:17" s="25" customFormat="1" hidden="1">
      <c r="A269" s="111">
        <v>2.7136469004629626E-2</v>
      </c>
      <c r="B269" t="s">
        <v>97</v>
      </c>
      <c r="C269" t="s">
        <v>484</v>
      </c>
      <c r="D269"/>
      <c r="E269" t="s">
        <v>304</v>
      </c>
      <c r="F269"/>
      <c r="G269" t="s">
        <v>98</v>
      </c>
      <c r="H269"/>
      <c r="I269" s="197">
        <v>46286.828229166669</v>
      </c>
      <c r="J269" t="s">
        <v>468</v>
      </c>
      <c r="K269" t="s">
        <v>444</v>
      </c>
      <c r="L269" s="196">
        <v>46285</v>
      </c>
      <c r="M269" t="s">
        <v>439</v>
      </c>
      <c r="N269" t="s">
        <v>231</v>
      </c>
      <c r="O269" t="s">
        <v>232</v>
      </c>
      <c r="P269">
        <v>1</v>
      </c>
      <c r="Q269" t="s">
        <v>247</v>
      </c>
    </row>
    <row r="270" spans="1:17" s="25" customFormat="1" hidden="1">
      <c r="A270" s="111">
        <v>2.7068910509259258E-2</v>
      </c>
      <c r="B270" t="s">
        <v>97</v>
      </c>
      <c r="C270" t="s">
        <v>480</v>
      </c>
      <c r="D270"/>
      <c r="E270" t="s">
        <v>462</v>
      </c>
      <c r="F270"/>
      <c r="G270" t="s">
        <v>98</v>
      </c>
      <c r="H270"/>
      <c r="I270" s="197">
        <v>46286.827187499999</v>
      </c>
      <c r="J270" t="s">
        <v>468</v>
      </c>
      <c r="K270" t="s">
        <v>444</v>
      </c>
      <c r="L270" s="196">
        <v>46285</v>
      </c>
      <c r="M270" t="s">
        <v>439</v>
      </c>
      <c r="N270" t="s">
        <v>231</v>
      </c>
      <c r="O270" t="s">
        <v>232</v>
      </c>
      <c r="P270">
        <v>1</v>
      </c>
      <c r="Q270" t="s">
        <v>247</v>
      </c>
    </row>
    <row r="271" spans="1:17" s="25" customFormat="1" hidden="1">
      <c r="A271" s="111">
        <v>2.7011058506944446E-2</v>
      </c>
      <c r="B271" t="s">
        <v>97</v>
      </c>
      <c r="C271" t="s">
        <v>82</v>
      </c>
      <c r="D271"/>
      <c r="E271" t="s">
        <v>111</v>
      </c>
      <c r="F271"/>
      <c r="G271" t="s">
        <v>98</v>
      </c>
      <c r="H271"/>
      <c r="I271" s="197">
        <v>46286.827175925922</v>
      </c>
      <c r="J271" t="s">
        <v>468</v>
      </c>
      <c r="K271" t="s">
        <v>444</v>
      </c>
      <c r="L271" s="196">
        <v>46285</v>
      </c>
      <c r="M271" t="s">
        <v>439</v>
      </c>
      <c r="N271" t="s">
        <v>231</v>
      </c>
      <c r="O271" t="s">
        <v>232</v>
      </c>
      <c r="P271">
        <v>1</v>
      </c>
      <c r="Q271" t="s">
        <v>247</v>
      </c>
    </row>
    <row r="272" spans="1:17" s="25" customFormat="1" hidden="1">
      <c r="A272" s="111">
        <v>2.6965974444444447E-2</v>
      </c>
      <c r="B272" t="s">
        <v>97</v>
      </c>
      <c r="C272"/>
      <c r="D272"/>
      <c r="E272" t="s">
        <v>104</v>
      </c>
      <c r="F272"/>
      <c r="G272" t="s">
        <v>98</v>
      </c>
      <c r="H272"/>
      <c r="I272" s="197">
        <v>46286.826817129629</v>
      </c>
      <c r="J272" t="s">
        <v>468</v>
      </c>
      <c r="K272" t="s">
        <v>444</v>
      </c>
      <c r="L272" s="196">
        <v>46285</v>
      </c>
      <c r="M272" t="s">
        <v>439</v>
      </c>
      <c r="N272" t="s">
        <v>231</v>
      </c>
      <c r="O272" t="s">
        <v>232</v>
      </c>
      <c r="P272">
        <v>1</v>
      </c>
      <c r="Q272" t="s">
        <v>247</v>
      </c>
    </row>
    <row r="273" spans="1:17" s="25" customFormat="1" hidden="1">
      <c r="A273" s="111">
        <v>2.6473426458333334E-2</v>
      </c>
      <c r="B273" t="s">
        <v>97</v>
      </c>
      <c r="C273"/>
      <c r="D273"/>
      <c r="E273" t="s">
        <v>87</v>
      </c>
      <c r="F273"/>
      <c r="G273" t="s">
        <v>98</v>
      </c>
      <c r="H273"/>
      <c r="I273" s="197">
        <v>46286.826736111114</v>
      </c>
      <c r="J273" t="s">
        <v>468</v>
      </c>
      <c r="K273" t="s">
        <v>444</v>
      </c>
      <c r="L273" s="196">
        <v>46285</v>
      </c>
      <c r="M273" t="s">
        <v>439</v>
      </c>
      <c r="N273" t="s">
        <v>231</v>
      </c>
      <c r="O273" t="s">
        <v>232</v>
      </c>
      <c r="P273">
        <v>1</v>
      </c>
      <c r="Q273" t="s">
        <v>247</v>
      </c>
    </row>
    <row r="274" spans="1:17" s="25" customFormat="1" hidden="1">
      <c r="A274" s="111">
        <v>2.6473426458333334E-2</v>
      </c>
      <c r="B274" t="s">
        <v>97</v>
      </c>
      <c r="C274"/>
      <c r="D274"/>
      <c r="E274" t="s">
        <v>213</v>
      </c>
      <c r="F274" t="s">
        <v>133</v>
      </c>
      <c r="G274" t="s">
        <v>98</v>
      </c>
      <c r="H274"/>
      <c r="I274" s="197">
        <v>46286.826736111114</v>
      </c>
      <c r="J274" t="s">
        <v>468</v>
      </c>
      <c r="K274" t="s">
        <v>444</v>
      </c>
      <c r="L274" s="196">
        <v>46285</v>
      </c>
      <c r="M274" t="s">
        <v>439</v>
      </c>
      <c r="N274" t="s">
        <v>231</v>
      </c>
      <c r="O274" t="s">
        <v>232</v>
      </c>
      <c r="P274">
        <v>1</v>
      </c>
      <c r="Q274" t="s">
        <v>247</v>
      </c>
    </row>
    <row r="275" spans="1:17" s="25" customFormat="1" hidden="1">
      <c r="A275" s="111">
        <v>2.6375556678240743E-2</v>
      </c>
      <c r="B275" t="s">
        <v>97</v>
      </c>
      <c r="C275" t="s">
        <v>504</v>
      </c>
      <c r="D275"/>
      <c r="E275" t="s">
        <v>463</v>
      </c>
      <c r="F275"/>
      <c r="G275" t="s">
        <v>98</v>
      </c>
      <c r="H275"/>
      <c r="I275" s="197">
        <v>46286.824016203704</v>
      </c>
      <c r="J275" t="s">
        <v>468</v>
      </c>
      <c r="K275" t="s">
        <v>444</v>
      </c>
      <c r="L275" s="196">
        <v>46285</v>
      </c>
      <c r="M275" t="s">
        <v>439</v>
      </c>
      <c r="N275" t="s">
        <v>231</v>
      </c>
      <c r="O275" t="s">
        <v>232</v>
      </c>
      <c r="P275">
        <v>1</v>
      </c>
      <c r="Q275" t="s">
        <v>247</v>
      </c>
    </row>
    <row r="276" spans="1:17" s="25" customFormat="1" hidden="1">
      <c r="A276" s="111">
        <v>2.6343331516203702E-2</v>
      </c>
      <c r="B276" t="s">
        <v>97</v>
      </c>
      <c r="C276"/>
      <c r="D276"/>
      <c r="E276" t="s">
        <v>186</v>
      </c>
      <c r="F276"/>
      <c r="G276" t="s">
        <v>98</v>
      </c>
      <c r="H276"/>
      <c r="I276" s="197">
        <v>46286.823842592596</v>
      </c>
      <c r="J276" t="s">
        <v>468</v>
      </c>
      <c r="K276" t="s">
        <v>444</v>
      </c>
      <c r="L276" s="196">
        <v>46285</v>
      </c>
      <c r="M276" t="s">
        <v>439</v>
      </c>
      <c r="N276" t="s">
        <v>231</v>
      </c>
      <c r="O276" t="s">
        <v>232</v>
      </c>
      <c r="P276">
        <v>1</v>
      </c>
      <c r="Q276" t="s">
        <v>247</v>
      </c>
    </row>
    <row r="277" spans="1:17" s="25" customFormat="1" hidden="1">
      <c r="A277" s="111">
        <v>2.6288058298611115E-2</v>
      </c>
      <c r="B277" t="s">
        <v>97</v>
      </c>
      <c r="C277"/>
      <c r="D277"/>
      <c r="E277" t="s">
        <v>100</v>
      </c>
      <c r="F277"/>
      <c r="G277" t="s">
        <v>164</v>
      </c>
      <c r="H277"/>
      <c r="I277" s="197">
        <v>46286.823784722219</v>
      </c>
      <c r="J277" t="s">
        <v>468</v>
      </c>
      <c r="K277" t="s">
        <v>444</v>
      </c>
      <c r="L277" s="196">
        <v>46285</v>
      </c>
      <c r="M277" t="s">
        <v>439</v>
      </c>
      <c r="N277" t="s">
        <v>231</v>
      </c>
      <c r="O277" t="s">
        <v>232</v>
      </c>
      <c r="P277">
        <v>1</v>
      </c>
      <c r="Q277" t="s">
        <v>247</v>
      </c>
    </row>
    <row r="278" spans="1:17" s="25" customFormat="1" hidden="1">
      <c r="A278" s="111">
        <v>2.5989010787037036E-2</v>
      </c>
      <c r="B278" t="s">
        <v>97</v>
      </c>
      <c r="C278" t="s">
        <v>486</v>
      </c>
      <c r="D278"/>
      <c r="E278" t="s">
        <v>116</v>
      </c>
      <c r="F278"/>
      <c r="G278" t="s">
        <v>98</v>
      </c>
      <c r="H278"/>
      <c r="I278" s="197">
        <v>46286.823680555557</v>
      </c>
      <c r="J278" t="s">
        <v>468</v>
      </c>
      <c r="K278" t="s">
        <v>444</v>
      </c>
      <c r="L278" s="196">
        <v>46285</v>
      </c>
      <c r="M278" t="s">
        <v>439</v>
      </c>
      <c r="N278" t="s">
        <v>231</v>
      </c>
      <c r="O278" t="s">
        <v>232</v>
      </c>
      <c r="P278">
        <v>1</v>
      </c>
      <c r="Q278" t="s">
        <v>247</v>
      </c>
    </row>
    <row r="279" spans="1:17" s="25" customFormat="1" hidden="1">
      <c r="A279" s="111">
        <v>2.5054977407407406E-2</v>
      </c>
      <c r="B279" t="s">
        <v>97</v>
      </c>
      <c r="C279"/>
      <c r="D279"/>
      <c r="E279" t="s">
        <v>87</v>
      </c>
      <c r="F279"/>
      <c r="G279" t="s">
        <v>98</v>
      </c>
      <c r="H279" t="s">
        <v>517</v>
      </c>
      <c r="I279" s="197">
        <v>46286.82304398148</v>
      </c>
      <c r="J279" t="s">
        <v>468</v>
      </c>
      <c r="K279" t="s">
        <v>444</v>
      </c>
      <c r="L279" s="196">
        <v>46285</v>
      </c>
      <c r="M279" t="s">
        <v>439</v>
      </c>
      <c r="N279" t="s">
        <v>231</v>
      </c>
      <c r="O279" t="s">
        <v>232</v>
      </c>
      <c r="P279">
        <v>1</v>
      </c>
      <c r="Q279" t="s">
        <v>247</v>
      </c>
    </row>
    <row r="280" spans="1:17" s="25" customFormat="1" hidden="1">
      <c r="A280" s="111">
        <v>2.5054977407407406E-2</v>
      </c>
      <c r="B280" t="s">
        <v>97</v>
      </c>
      <c r="C280"/>
      <c r="D280"/>
      <c r="E280" t="s">
        <v>213</v>
      </c>
      <c r="F280" t="s">
        <v>82</v>
      </c>
      <c r="G280" t="s">
        <v>98</v>
      </c>
      <c r="H280"/>
      <c r="I280" s="197">
        <v>46286.82304398148</v>
      </c>
      <c r="J280" t="s">
        <v>468</v>
      </c>
      <c r="K280" t="s">
        <v>444</v>
      </c>
      <c r="L280" s="196">
        <v>46285</v>
      </c>
      <c r="M280" t="s">
        <v>439</v>
      </c>
      <c r="N280" t="s">
        <v>231</v>
      </c>
      <c r="O280" t="s">
        <v>232</v>
      </c>
      <c r="P280">
        <v>1</v>
      </c>
      <c r="Q280" t="s">
        <v>247</v>
      </c>
    </row>
    <row r="281" spans="1:17" s="25" customFormat="1" hidden="1">
      <c r="A281" s="111">
        <v>2.5014218310185184E-2</v>
      </c>
      <c r="B281" t="s">
        <v>97</v>
      </c>
      <c r="C281"/>
      <c r="D281"/>
      <c r="E281" t="s">
        <v>184</v>
      </c>
      <c r="F281"/>
      <c r="G281" t="s">
        <v>98</v>
      </c>
      <c r="H281"/>
      <c r="I281" s="197">
        <v>46286.822638888887</v>
      </c>
      <c r="J281" t="s">
        <v>468</v>
      </c>
      <c r="K281" t="s">
        <v>444</v>
      </c>
      <c r="L281" s="196">
        <v>46285</v>
      </c>
      <c r="M281" t="s">
        <v>439</v>
      </c>
      <c r="N281" t="s">
        <v>231</v>
      </c>
      <c r="O281" t="s">
        <v>232</v>
      </c>
      <c r="P281">
        <v>1</v>
      </c>
      <c r="Q281" t="s">
        <v>247</v>
      </c>
    </row>
    <row r="282" spans="1:17" s="25" customFormat="1" hidden="1">
      <c r="A282" s="111">
        <v>2.5014218310185184E-2</v>
      </c>
      <c r="B282" t="s">
        <v>97</v>
      </c>
      <c r="C282" t="s">
        <v>488</v>
      </c>
      <c r="D282"/>
      <c r="E282" t="s">
        <v>304</v>
      </c>
      <c r="F282"/>
      <c r="G282" t="s">
        <v>98</v>
      </c>
      <c r="H282"/>
      <c r="I282" s="197">
        <v>46286.822615740741</v>
      </c>
      <c r="J282" t="s">
        <v>468</v>
      </c>
      <c r="K282" t="s">
        <v>444</v>
      </c>
      <c r="L282" s="196">
        <v>46285</v>
      </c>
      <c r="M282" t="s">
        <v>439</v>
      </c>
      <c r="N282" t="s">
        <v>231</v>
      </c>
      <c r="O282" t="s">
        <v>232</v>
      </c>
      <c r="P282">
        <v>1</v>
      </c>
      <c r="Q282" t="s">
        <v>247</v>
      </c>
    </row>
    <row r="283" spans="1:17" s="25" customFormat="1" hidden="1">
      <c r="A283" s="111">
        <v>2.4966176967592593E-2</v>
      </c>
      <c r="B283" t="s">
        <v>97</v>
      </c>
      <c r="C283"/>
      <c r="D283"/>
      <c r="E283" t="s">
        <v>186</v>
      </c>
      <c r="F283"/>
      <c r="G283" t="s">
        <v>98</v>
      </c>
      <c r="H283"/>
      <c r="I283" s="197">
        <v>46286.822523148148</v>
      </c>
      <c r="J283" t="s">
        <v>468</v>
      </c>
      <c r="K283" t="s">
        <v>444</v>
      </c>
      <c r="L283" s="196">
        <v>46285</v>
      </c>
      <c r="M283" t="s">
        <v>439</v>
      </c>
      <c r="N283" t="s">
        <v>231</v>
      </c>
      <c r="O283" t="s">
        <v>232</v>
      </c>
      <c r="P283">
        <v>1</v>
      </c>
      <c r="Q283" t="s">
        <v>247</v>
      </c>
    </row>
    <row r="284" spans="1:17" s="25" customFormat="1" hidden="1">
      <c r="A284" s="111">
        <v>2.4944552627314813E-2</v>
      </c>
      <c r="B284" t="s">
        <v>97</v>
      </c>
      <c r="C284"/>
      <c r="D284"/>
      <c r="E284" t="s">
        <v>184</v>
      </c>
      <c r="F284"/>
      <c r="G284" t="s">
        <v>164</v>
      </c>
      <c r="H284"/>
      <c r="I284" s="197">
        <v>46286.822500000002</v>
      </c>
      <c r="J284" t="s">
        <v>468</v>
      </c>
      <c r="K284" t="s">
        <v>444</v>
      </c>
      <c r="L284" s="196">
        <v>46285</v>
      </c>
      <c r="M284" t="s">
        <v>439</v>
      </c>
      <c r="N284" t="s">
        <v>231</v>
      </c>
      <c r="O284" t="s">
        <v>232</v>
      </c>
      <c r="P284">
        <v>1</v>
      </c>
      <c r="Q284" t="s">
        <v>247</v>
      </c>
    </row>
    <row r="285" spans="1:17" s="25" customFormat="1" hidden="1">
      <c r="A285" s="111">
        <v>2.4935334594907408E-2</v>
      </c>
      <c r="B285" t="s">
        <v>97</v>
      </c>
      <c r="C285"/>
      <c r="D285"/>
      <c r="E285" t="s">
        <v>188</v>
      </c>
      <c r="F285"/>
      <c r="G285" t="s">
        <v>164</v>
      </c>
      <c r="H285"/>
      <c r="I285" s="197">
        <v>46286.822488425925</v>
      </c>
      <c r="J285" t="s">
        <v>468</v>
      </c>
      <c r="K285" t="s">
        <v>444</v>
      </c>
      <c r="L285" s="196">
        <v>46285</v>
      </c>
      <c r="M285" t="s">
        <v>439</v>
      </c>
      <c r="N285" t="s">
        <v>231</v>
      </c>
      <c r="O285" t="s">
        <v>232</v>
      </c>
      <c r="P285">
        <v>1</v>
      </c>
      <c r="Q285" t="s">
        <v>247</v>
      </c>
    </row>
    <row r="286" spans="1:17" s="25" customFormat="1" hidden="1">
      <c r="A286" s="111">
        <v>2.49015206712963E-2</v>
      </c>
      <c r="B286" t="s">
        <v>97</v>
      </c>
      <c r="C286"/>
      <c r="D286"/>
      <c r="E286" t="s">
        <v>184</v>
      </c>
      <c r="F286"/>
      <c r="G286" t="s">
        <v>98</v>
      </c>
      <c r="H286"/>
      <c r="I286" s="197">
        <v>46286.822465277779</v>
      </c>
      <c r="J286" t="s">
        <v>468</v>
      </c>
      <c r="K286" t="s">
        <v>444</v>
      </c>
      <c r="L286" s="196">
        <v>46285</v>
      </c>
      <c r="M286" t="s">
        <v>439</v>
      </c>
      <c r="N286" t="s">
        <v>231</v>
      </c>
      <c r="O286" t="s">
        <v>232</v>
      </c>
      <c r="P286">
        <v>1</v>
      </c>
      <c r="Q286" t="s">
        <v>247</v>
      </c>
    </row>
    <row r="287" spans="1:17" s="25" customFormat="1" hidden="1">
      <c r="A287" s="111">
        <v>2.4800077523148147E-2</v>
      </c>
      <c r="B287" t="s">
        <v>97</v>
      </c>
      <c r="C287" t="s">
        <v>484</v>
      </c>
      <c r="D287"/>
      <c r="E287" t="s">
        <v>463</v>
      </c>
      <c r="F287"/>
      <c r="G287" t="s">
        <v>98</v>
      </c>
      <c r="H287"/>
      <c r="I287" s="197">
        <v>46286.822337962964</v>
      </c>
      <c r="J287" t="s">
        <v>468</v>
      </c>
      <c r="K287" t="s">
        <v>444</v>
      </c>
      <c r="L287" s="196">
        <v>46285</v>
      </c>
      <c r="M287" t="s">
        <v>439</v>
      </c>
      <c r="N287" t="s">
        <v>231</v>
      </c>
      <c r="O287" t="s">
        <v>232</v>
      </c>
      <c r="P287">
        <v>1</v>
      </c>
      <c r="Q287" t="s">
        <v>247</v>
      </c>
    </row>
    <row r="288" spans="1:17" s="25" customFormat="1" hidden="1">
      <c r="A288" s="111">
        <v>2.4661053495370368E-2</v>
      </c>
      <c r="B288" t="s">
        <v>97</v>
      </c>
      <c r="C288" t="s">
        <v>480</v>
      </c>
      <c r="D288"/>
      <c r="E288" t="s">
        <v>462</v>
      </c>
      <c r="F288"/>
      <c r="G288" t="s">
        <v>98</v>
      </c>
      <c r="H288"/>
      <c r="I288" s="197">
        <v>46286.822129629632</v>
      </c>
      <c r="J288" t="s">
        <v>468</v>
      </c>
      <c r="K288" t="s">
        <v>444</v>
      </c>
      <c r="L288" s="196">
        <v>46285</v>
      </c>
      <c r="M288" t="s">
        <v>439</v>
      </c>
      <c r="N288" t="s">
        <v>231</v>
      </c>
      <c r="O288" t="s">
        <v>232</v>
      </c>
      <c r="P288">
        <v>1</v>
      </c>
      <c r="Q288" t="s">
        <v>247</v>
      </c>
    </row>
    <row r="289" spans="1:17" s="25" customFormat="1" hidden="1">
      <c r="A289" s="111">
        <v>2.4650311817129629E-2</v>
      </c>
      <c r="B289" t="s">
        <v>97</v>
      </c>
      <c r="C289" t="s">
        <v>480</v>
      </c>
      <c r="D289"/>
      <c r="E289" t="s">
        <v>111</v>
      </c>
      <c r="F289"/>
      <c r="G289" t="s">
        <v>98</v>
      </c>
      <c r="H289"/>
      <c r="I289" s="197">
        <v>46286.822106481479</v>
      </c>
      <c r="J289" t="s">
        <v>468</v>
      </c>
      <c r="K289" t="s">
        <v>444</v>
      </c>
      <c r="L289" s="196">
        <v>46285</v>
      </c>
      <c r="M289" t="s">
        <v>439</v>
      </c>
      <c r="N289" t="s">
        <v>231</v>
      </c>
      <c r="O289" t="s">
        <v>232</v>
      </c>
      <c r="P289">
        <v>1</v>
      </c>
      <c r="Q289" t="s">
        <v>247</v>
      </c>
    </row>
    <row r="290" spans="1:17" s="25" customFormat="1" hidden="1">
      <c r="A290" s="111">
        <v>2.4595987395833335E-2</v>
      </c>
      <c r="B290" t="s">
        <v>97</v>
      </c>
      <c r="C290"/>
      <c r="D290"/>
      <c r="E290" t="s">
        <v>104</v>
      </c>
      <c r="F290"/>
      <c r="G290" t="s">
        <v>98</v>
      </c>
      <c r="H290"/>
      <c r="I290" s="197">
        <v>46286.821793981479</v>
      </c>
      <c r="J290" t="s">
        <v>468</v>
      </c>
      <c r="K290" t="s">
        <v>444</v>
      </c>
      <c r="L290" s="196">
        <v>46285</v>
      </c>
      <c r="M290" t="s">
        <v>439</v>
      </c>
      <c r="N290" t="s">
        <v>231</v>
      </c>
      <c r="O290" t="s">
        <v>232</v>
      </c>
      <c r="P290">
        <v>1</v>
      </c>
      <c r="Q290" t="s">
        <v>247</v>
      </c>
    </row>
    <row r="291" spans="1:17" s="25" customFormat="1" hidden="1">
      <c r="A291" s="111">
        <v>2.3967027349537037E-2</v>
      </c>
      <c r="B291" t="s">
        <v>97</v>
      </c>
      <c r="C291"/>
      <c r="D291"/>
      <c r="E291" t="s">
        <v>87</v>
      </c>
      <c r="F291"/>
      <c r="G291" t="s">
        <v>98</v>
      </c>
      <c r="H291"/>
      <c r="I291" s="197">
        <v>46286.821527777778</v>
      </c>
      <c r="J291" t="s">
        <v>468</v>
      </c>
      <c r="K291" t="s">
        <v>444</v>
      </c>
      <c r="L291" s="196">
        <v>46285</v>
      </c>
      <c r="M291" t="s">
        <v>439</v>
      </c>
      <c r="N291" t="s">
        <v>231</v>
      </c>
      <c r="O291" t="s">
        <v>232</v>
      </c>
      <c r="P291">
        <v>1</v>
      </c>
      <c r="Q291" t="s">
        <v>247</v>
      </c>
    </row>
    <row r="292" spans="1:17" s="25" customFormat="1" hidden="1">
      <c r="A292" s="111">
        <v>2.3967027349537037E-2</v>
      </c>
      <c r="B292" t="s">
        <v>97</v>
      </c>
      <c r="C292"/>
      <c r="D292"/>
      <c r="E292" t="s">
        <v>213</v>
      </c>
      <c r="F292" t="s">
        <v>135</v>
      </c>
      <c r="G292" t="s">
        <v>98</v>
      </c>
      <c r="H292"/>
      <c r="I292" s="197">
        <v>46286.821527777778</v>
      </c>
      <c r="J292" t="s">
        <v>468</v>
      </c>
      <c r="K292" t="s">
        <v>444</v>
      </c>
      <c r="L292" s="196">
        <v>46285</v>
      </c>
      <c r="M292" t="s">
        <v>439</v>
      </c>
      <c r="N292" t="s">
        <v>231</v>
      </c>
      <c r="O292" t="s">
        <v>232</v>
      </c>
      <c r="P292">
        <v>1</v>
      </c>
      <c r="Q292" t="s">
        <v>247</v>
      </c>
    </row>
    <row r="293" spans="1:17" s="25" customFormat="1" hidden="1">
      <c r="A293" s="111">
        <v>2.3893420312499997E-2</v>
      </c>
      <c r="B293" t="s">
        <v>97</v>
      </c>
      <c r="C293" t="s">
        <v>498</v>
      </c>
      <c r="D293"/>
      <c r="E293" t="s">
        <v>462</v>
      </c>
      <c r="F293"/>
      <c r="G293" t="s">
        <v>98</v>
      </c>
      <c r="H293"/>
      <c r="I293" s="197">
        <v>46286.821412037039</v>
      </c>
      <c r="J293" t="s">
        <v>468</v>
      </c>
      <c r="K293" t="s">
        <v>444</v>
      </c>
      <c r="L293" s="196">
        <v>46285</v>
      </c>
      <c r="M293" t="s">
        <v>439</v>
      </c>
      <c r="N293" t="s">
        <v>231</v>
      </c>
      <c r="O293" t="s">
        <v>232</v>
      </c>
      <c r="P293">
        <v>1</v>
      </c>
      <c r="Q293" t="s">
        <v>247</v>
      </c>
    </row>
    <row r="294" spans="1:17" s="25" customFormat="1" hidden="1">
      <c r="A294" s="111">
        <v>2.3847334386574073E-2</v>
      </c>
      <c r="B294" t="s">
        <v>97</v>
      </c>
      <c r="C294"/>
      <c r="D294"/>
      <c r="E294" t="s">
        <v>186</v>
      </c>
      <c r="F294"/>
      <c r="G294" t="s">
        <v>98</v>
      </c>
      <c r="H294"/>
      <c r="I294" s="197">
        <v>46286.821122685185</v>
      </c>
      <c r="J294" t="s">
        <v>468</v>
      </c>
      <c r="K294" t="s">
        <v>444</v>
      </c>
      <c r="L294" s="196">
        <v>46285</v>
      </c>
      <c r="M294" t="s">
        <v>439</v>
      </c>
      <c r="N294" t="s">
        <v>231</v>
      </c>
      <c r="O294" t="s">
        <v>232</v>
      </c>
      <c r="P294">
        <v>1</v>
      </c>
      <c r="Q294" t="s">
        <v>247</v>
      </c>
    </row>
    <row r="295" spans="1:17" s="25" customFormat="1" hidden="1">
      <c r="A295" s="111">
        <v>2.3764208784722223E-2</v>
      </c>
      <c r="B295" t="s">
        <v>97</v>
      </c>
      <c r="C295"/>
      <c r="D295"/>
      <c r="E295" t="s">
        <v>184</v>
      </c>
      <c r="F295"/>
      <c r="G295" t="s">
        <v>164</v>
      </c>
      <c r="H295"/>
      <c r="I295" s="197">
        <v>46286.820960648147</v>
      </c>
      <c r="J295" t="s">
        <v>468</v>
      </c>
      <c r="K295" t="s">
        <v>444</v>
      </c>
      <c r="L295" s="196">
        <v>46285</v>
      </c>
      <c r="M295" t="s">
        <v>439</v>
      </c>
      <c r="N295" t="s">
        <v>231</v>
      </c>
      <c r="O295" t="s">
        <v>232</v>
      </c>
      <c r="P295">
        <v>1</v>
      </c>
      <c r="Q295" t="s">
        <v>247</v>
      </c>
    </row>
    <row r="296" spans="1:17" s="25" customFormat="1" hidden="1">
      <c r="A296" s="111">
        <v>2.3659957152777779E-2</v>
      </c>
      <c r="B296" t="s">
        <v>97</v>
      </c>
      <c r="C296" t="s">
        <v>486</v>
      </c>
      <c r="D296"/>
      <c r="E296" t="s">
        <v>108</v>
      </c>
      <c r="F296"/>
      <c r="G296" t="s">
        <v>164</v>
      </c>
      <c r="H296"/>
      <c r="I296" s="197">
        <v>46286.820810185185</v>
      </c>
      <c r="J296" t="s">
        <v>468</v>
      </c>
      <c r="K296" t="s">
        <v>444</v>
      </c>
      <c r="L296" s="196">
        <v>46285</v>
      </c>
      <c r="M296" t="s">
        <v>439</v>
      </c>
      <c r="N296" t="s">
        <v>231</v>
      </c>
      <c r="O296" t="s">
        <v>232</v>
      </c>
      <c r="P296">
        <v>1</v>
      </c>
      <c r="Q296" t="s">
        <v>247</v>
      </c>
    </row>
    <row r="297" spans="1:17" s="25" customFormat="1" hidden="1">
      <c r="A297" s="111">
        <v>2.363401392361111E-2</v>
      </c>
      <c r="B297" t="s">
        <v>97</v>
      </c>
      <c r="C297" t="s">
        <v>472</v>
      </c>
      <c r="D297"/>
      <c r="E297" t="s">
        <v>59</v>
      </c>
      <c r="F297"/>
      <c r="G297" t="s">
        <v>164</v>
      </c>
      <c r="H297"/>
      <c r="I297" s="197">
        <v>46286.820613425924</v>
      </c>
      <c r="J297" t="s">
        <v>468</v>
      </c>
      <c r="K297" t="s">
        <v>444</v>
      </c>
      <c r="L297" s="196">
        <v>46285</v>
      </c>
      <c r="M297" t="s">
        <v>439</v>
      </c>
      <c r="N297" t="s">
        <v>231</v>
      </c>
      <c r="O297" t="s">
        <v>232</v>
      </c>
      <c r="P297">
        <v>1</v>
      </c>
      <c r="Q297" t="s">
        <v>247</v>
      </c>
    </row>
    <row r="298" spans="1:17" s="25" customFormat="1" hidden="1">
      <c r="A298" s="111">
        <v>2.3606083680555556E-2</v>
      </c>
      <c r="B298" t="s">
        <v>97</v>
      </c>
      <c r="C298"/>
      <c r="D298"/>
      <c r="E298" t="s">
        <v>113</v>
      </c>
      <c r="F298"/>
      <c r="G298" t="s">
        <v>164</v>
      </c>
      <c r="H298"/>
      <c r="I298" s="197">
        <v>46286.820462962962</v>
      </c>
      <c r="J298" t="s">
        <v>468</v>
      </c>
      <c r="K298" t="s">
        <v>444</v>
      </c>
      <c r="L298" s="196">
        <v>46285</v>
      </c>
      <c r="M298" t="s">
        <v>439</v>
      </c>
      <c r="N298" t="s">
        <v>231</v>
      </c>
      <c r="O298" t="s">
        <v>232</v>
      </c>
      <c r="P298">
        <v>1</v>
      </c>
      <c r="Q298" t="s">
        <v>247</v>
      </c>
    </row>
    <row r="299" spans="1:17" s="25" customFormat="1" hidden="1">
      <c r="A299" s="111">
        <v>2.3560027349537035E-2</v>
      </c>
      <c r="B299" t="s">
        <v>97</v>
      </c>
      <c r="C299"/>
      <c r="D299"/>
      <c r="E299" t="s">
        <v>104</v>
      </c>
      <c r="F299"/>
      <c r="G299" t="s">
        <v>164</v>
      </c>
      <c r="H299"/>
      <c r="I299" s="197">
        <v>46286.820416666669</v>
      </c>
      <c r="J299" t="s">
        <v>468</v>
      </c>
      <c r="K299" t="s">
        <v>444</v>
      </c>
      <c r="L299" s="196">
        <v>46285</v>
      </c>
      <c r="M299" t="s">
        <v>439</v>
      </c>
      <c r="N299" t="s">
        <v>231</v>
      </c>
      <c r="O299" t="s">
        <v>232</v>
      </c>
      <c r="P299">
        <v>1</v>
      </c>
      <c r="Q299" t="s">
        <v>247</v>
      </c>
    </row>
    <row r="300" spans="1:17" s="25" customFormat="1" hidden="1">
      <c r="A300" s="111">
        <v>2.301570267361111E-2</v>
      </c>
      <c r="B300" t="s">
        <v>97</v>
      </c>
      <c r="C300"/>
      <c r="D300"/>
      <c r="E300" t="s">
        <v>87</v>
      </c>
      <c r="F300"/>
      <c r="G300" t="s">
        <v>164</v>
      </c>
      <c r="H300" t="s">
        <v>516</v>
      </c>
      <c r="I300" s="197">
        <v>46286.819340277776</v>
      </c>
      <c r="J300" t="s">
        <v>468</v>
      </c>
      <c r="K300" t="s">
        <v>444</v>
      </c>
      <c r="L300" s="196">
        <v>46285</v>
      </c>
      <c r="M300" t="s">
        <v>439</v>
      </c>
      <c r="N300" t="s">
        <v>231</v>
      </c>
      <c r="O300" t="s">
        <v>232</v>
      </c>
      <c r="P300">
        <v>1</v>
      </c>
      <c r="Q300" t="s">
        <v>247</v>
      </c>
    </row>
    <row r="301" spans="1:17" s="25" customFormat="1" hidden="1">
      <c r="A301" s="111">
        <v>2.301570267361111E-2</v>
      </c>
      <c r="B301" t="s">
        <v>97</v>
      </c>
      <c r="C301" t="s">
        <v>486</v>
      </c>
      <c r="D301" t="s">
        <v>222</v>
      </c>
      <c r="E301" t="s">
        <v>214</v>
      </c>
      <c r="F301" t="s">
        <v>82</v>
      </c>
      <c r="G301" t="s">
        <v>164</v>
      </c>
      <c r="H301"/>
      <c r="I301" s="197">
        <v>46286.819340277776</v>
      </c>
      <c r="J301" t="s">
        <v>468</v>
      </c>
      <c r="K301" t="s">
        <v>444</v>
      </c>
      <c r="L301" s="196">
        <v>46285</v>
      </c>
      <c r="M301" t="s">
        <v>439</v>
      </c>
      <c r="N301" t="s">
        <v>231</v>
      </c>
      <c r="O301" t="s">
        <v>232</v>
      </c>
      <c r="P301">
        <v>1</v>
      </c>
      <c r="Q301" t="s">
        <v>247</v>
      </c>
    </row>
    <row r="302" spans="1:17" s="25" customFormat="1" hidden="1">
      <c r="A302" s="111">
        <v>2.2974335219907407E-2</v>
      </c>
      <c r="B302" t="s">
        <v>97</v>
      </c>
      <c r="C302"/>
      <c r="D302"/>
      <c r="E302" t="s">
        <v>184</v>
      </c>
      <c r="F302"/>
      <c r="G302" t="s">
        <v>164</v>
      </c>
      <c r="H302"/>
      <c r="I302" s="197">
        <v>46286.818969907406</v>
      </c>
      <c r="J302" t="s">
        <v>468</v>
      </c>
      <c r="K302" t="s">
        <v>444</v>
      </c>
      <c r="L302" s="196">
        <v>46285</v>
      </c>
      <c r="M302" t="s">
        <v>439</v>
      </c>
      <c r="N302" t="s">
        <v>231</v>
      </c>
      <c r="O302" t="s">
        <v>232</v>
      </c>
      <c r="P302">
        <v>1</v>
      </c>
      <c r="Q302" t="s">
        <v>247</v>
      </c>
    </row>
    <row r="303" spans="1:17" s="25" customFormat="1">
      <c r="A303" s="111">
        <v>2.2909825104166667E-2</v>
      </c>
      <c r="B303" t="s">
        <v>97</v>
      </c>
      <c r="C303"/>
      <c r="D303"/>
      <c r="E303" t="s">
        <v>285</v>
      </c>
      <c r="F303"/>
      <c r="G303" t="s">
        <v>164</v>
      </c>
      <c r="H303"/>
      <c r="I303" s="197">
        <v>46286.818912037037</v>
      </c>
      <c r="J303" t="s">
        <v>468</v>
      </c>
      <c r="K303" t="s">
        <v>444</v>
      </c>
      <c r="L303" s="196">
        <v>46285</v>
      </c>
      <c r="M303" t="s">
        <v>439</v>
      </c>
      <c r="N303" t="s">
        <v>231</v>
      </c>
      <c r="O303" t="s">
        <v>232</v>
      </c>
      <c r="P303">
        <v>1</v>
      </c>
      <c r="Q303" t="s">
        <v>247</v>
      </c>
    </row>
    <row r="304" spans="1:17" s="25" customFormat="1">
      <c r="A304" s="111">
        <v>2.2839040370370368E-2</v>
      </c>
      <c r="B304" t="s">
        <v>97</v>
      </c>
      <c r="C304"/>
      <c r="D304"/>
      <c r="E304" t="s">
        <v>105</v>
      </c>
      <c r="F304"/>
      <c r="G304" t="s">
        <v>164</v>
      </c>
      <c r="H304"/>
      <c r="I304" s="197">
        <v>46286.818831018521</v>
      </c>
      <c r="J304" t="s">
        <v>468</v>
      </c>
      <c r="K304" t="s">
        <v>444</v>
      </c>
      <c r="L304" s="196">
        <v>46285</v>
      </c>
      <c r="M304" t="s">
        <v>439</v>
      </c>
      <c r="N304" t="s">
        <v>231</v>
      </c>
      <c r="O304" t="s">
        <v>232</v>
      </c>
      <c r="P304">
        <v>1</v>
      </c>
      <c r="Q304" t="s">
        <v>247</v>
      </c>
    </row>
    <row r="305" spans="1:17" s="25" customFormat="1" hidden="1">
      <c r="A305" s="111">
        <v>2.2399665486111112E-2</v>
      </c>
      <c r="B305" t="s">
        <v>97</v>
      </c>
      <c r="C305"/>
      <c r="D305"/>
      <c r="E305" t="s">
        <v>87</v>
      </c>
      <c r="F305"/>
      <c r="G305" t="s">
        <v>164</v>
      </c>
      <c r="H305"/>
      <c r="I305" s="197">
        <v>46286.818414351852</v>
      </c>
      <c r="J305" t="s">
        <v>468</v>
      </c>
      <c r="K305" t="s">
        <v>444</v>
      </c>
      <c r="L305" s="196">
        <v>46285</v>
      </c>
      <c r="M305" t="s">
        <v>439</v>
      </c>
      <c r="N305" t="s">
        <v>231</v>
      </c>
      <c r="O305" t="s">
        <v>232</v>
      </c>
      <c r="P305">
        <v>1</v>
      </c>
      <c r="Q305" t="s">
        <v>247</v>
      </c>
    </row>
    <row r="306" spans="1:17" s="25" customFormat="1" hidden="1">
      <c r="A306" s="111">
        <v>2.2384322673611109E-2</v>
      </c>
      <c r="B306" t="s">
        <v>97</v>
      </c>
      <c r="C306" t="s">
        <v>492</v>
      </c>
      <c r="D306"/>
      <c r="E306" t="s">
        <v>183</v>
      </c>
      <c r="F306"/>
      <c r="G306" t="s">
        <v>98</v>
      </c>
      <c r="H306"/>
      <c r="I306" s="197">
        <v>46286.818402777775</v>
      </c>
      <c r="J306" t="s">
        <v>468</v>
      </c>
      <c r="K306" t="s">
        <v>444</v>
      </c>
      <c r="L306" s="196">
        <v>46285</v>
      </c>
      <c r="M306" t="s">
        <v>439</v>
      </c>
      <c r="N306" t="s">
        <v>231</v>
      </c>
      <c r="O306" t="s">
        <v>232</v>
      </c>
      <c r="P306">
        <v>1</v>
      </c>
      <c r="Q306" t="s">
        <v>247</v>
      </c>
    </row>
    <row r="307" spans="1:17" s="25" customFormat="1" hidden="1">
      <c r="A307" s="111">
        <v>2.2271477812500003E-2</v>
      </c>
      <c r="B307" t="s">
        <v>97</v>
      </c>
      <c r="C307" t="s">
        <v>492</v>
      </c>
      <c r="D307"/>
      <c r="E307" t="s">
        <v>462</v>
      </c>
      <c r="F307"/>
      <c r="G307" t="s">
        <v>98</v>
      </c>
      <c r="H307"/>
      <c r="I307" s="197">
        <v>46286.81821759259</v>
      </c>
      <c r="J307" t="s">
        <v>468</v>
      </c>
      <c r="K307" t="s">
        <v>444</v>
      </c>
      <c r="L307" s="196">
        <v>46285</v>
      </c>
      <c r="M307" t="s">
        <v>439</v>
      </c>
      <c r="N307" t="s">
        <v>231</v>
      </c>
      <c r="O307" t="s">
        <v>232</v>
      </c>
      <c r="P307">
        <v>1</v>
      </c>
      <c r="Q307" t="s">
        <v>247</v>
      </c>
    </row>
    <row r="308" spans="1:17" s="25" customFormat="1" hidden="1">
      <c r="A308" s="111">
        <v>2.2236929895833334E-2</v>
      </c>
      <c r="B308" t="s">
        <v>97</v>
      </c>
      <c r="C308" t="s">
        <v>494</v>
      </c>
      <c r="D308"/>
      <c r="E308" t="s">
        <v>462</v>
      </c>
      <c r="F308"/>
      <c r="G308" t="s">
        <v>98</v>
      </c>
      <c r="H308"/>
      <c r="I308" s="197">
        <v>46286.818113425928</v>
      </c>
      <c r="J308" t="s">
        <v>468</v>
      </c>
      <c r="K308" t="s">
        <v>444</v>
      </c>
      <c r="L308" s="196">
        <v>46285</v>
      </c>
      <c r="M308" t="s">
        <v>439</v>
      </c>
      <c r="N308" t="s">
        <v>231</v>
      </c>
      <c r="O308" t="s">
        <v>232</v>
      </c>
      <c r="P308">
        <v>1</v>
      </c>
      <c r="Q308" t="s">
        <v>247</v>
      </c>
    </row>
    <row r="309" spans="1:17" s="25" customFormat="1" hidden="1">
      <c r="A309" s="111">
        <v>2.2247637256944442E-2</v>
      </c>
      <c r="B309" t="s">
        <v>97</v>
      </c>
      <c r="C309"/>
      <c r="D309"/>
      <c r="E309" t="s">
        <v>186</v>
      </c>
      <c r="F309"/>
      <c r="G309" t="s">
        <v>98</v>
      </c>
      <c r="H309"/>
      <c r="I309" s="197">
        <v>46286.817789351851</v>
      </c>
      <c r="J309" t="s">
        <v>468</v>
      </c>
      <c r="K309" t="s">
        <v>444</v>
      </c>
      <c r="L309" s="196">
        <v>46285</v>
      </c>
      <c r="M309" t="s">
        <v>439</v>
      </c>
      <c r="N309" t="s">
        <v>231</v>
      </c>
      <c r="O309" t="s">
        <v>232</v>
      </c>
      <c r="P309">
        <v>1</v>
      </c>
      <c r="Q309" t="s">
        <v>247</v>
      </c>
    </row>
    <row r="310" spans="1:17" s="25" customFormat="1" hidden="1">
      <c r="A310" s="111">
        <v>2.2218552685185185E-2</v>
      </c>
      <c r="B310" t="s">
        <v>97</v>
      </c>
      <c r="C310"/>
      <c r="D310"/>
      <c r="E310" t="s">
        <v>184</v>
      </c>
      <c r="F310"/>
      <c r="G310" t="s">
        <v>164</v>
      </c>
      <c r="H310"/>
      <c r="I310" s="197">
        <v>46286.817754629628</v>
      </c>
      <c r="J310" t="s">
        <v>468</v>
      </c>
      <c r="K310" t="s">
        <v>444</v>
      </c>
      <c r="L310" s="196">
        <v>46285</v>
      </c>
      <c r="M310" t="s">
        <v>439</v>
      </c>
      <c r="N310" t="s">
        <v>231</v>
      </c>
      <c r="O310" t="s">
        <v>232</v>
      </c>
      <c r="P310">
        <v>1</v>
      </c>
      <c r="Q310" t="s">
        <v>247</v>
      </c>
    </row>
    <row r="311" spans="1:17" s="25" customFormat="1" hidden="1">
      <c r="A311" s="111">
        <v>2.207390417824074E-2</v>
      </c>
      <c r="B311" t="s">
        <v>97</v>
      </c>
      <c r="C311" t="s">
        <v>500</v>
      </c>
      <c r="D311"/>
      <c r="E311" t="s">
        <v>108</v>
      </c>
      <c r="F311"/>
      <c r="G311" t="s">
        <v>164</v>
      </c>
      <c r="H311"/>
      <c r="I311" s="197">
        <v>46286.81759259259</v>
      </c>
      <c r="J311" t="s">
        <v>468</v>
      </c>
      <c r="K311" t="s">
        <v>444</v>
      </c>
      <c r="L311" s="196">
        <v>46285</v>
      </c>
      <c r="M311" t="s">
        <v>439</v>
      </c>
      <c r="N311" t="s">
        <v>231</v>
      </c>
      <c r="O311" t="s">
        <v>232</v>
      </c>
      <c r="P311">
        <v>1</v>
      </c>
      <c r="Q311" t="s">
        <v>247</v>
      </c>
    </row>
    <row r="312" spans="1:17" s="25" customFormat="1" hidden="1">
      <c r="A312" s="111">
        <v>2.2061329861111111E-2</v>
      </c>
      <c r="B312" t="s">
        <v>97</v>
      </c>
      <c r="C312" t="s">
        <v>496</v>
      </c>
      <c r="D312"/>
      <c r="E312" t="s">
        <v>59</v>
      </c>
      <c r="F312"/>
      <c r="G312" t="s">
        <v>164</v>
      </c>
      <c r="H312"/>
      <c r="I312" s="197">
        <v>46286.81621527778</v>
      </c>
      <c r="J312" t="s">
        <v>468</v>
      </c>
      <c r="K312" t="s">
        <v>444</v>
      </c>
      <c r="L312" s="196">
        <v>46285</v>
      </c>
      <c r="M312" t="s">
        <v>439</v>
      </c>
      <c r="N312" t="s">
        <v>231</v>
      </c>
      <c r="O312" t="s">
        <v>232</v>
      </c>
      <c r="P312">
        <v>1</v>
      </c>
      <c r="Q312" t="s">
        <v>247</v>
      </c>
    </row>
    <row r="313" spans="1:17" s="25" customFormat="1" hidden="1">
      <c r="A313" s="111">
        <v>2.2005304756944444E-2</v>
      </c>
      <c r="B313" t="s">
        <v>97</v>
      </c>
      <c r="C313"/>
      <c r="D313"/>
      <c r="E313" t="s">
        <v>188</v>
      </c>
      <c r="F313"/>
      <c r="G313" t="s">
        <v>164</v>
      </c>
      <c r="H313"/>
      <c r="I313" s="197">
        <v>46286.815960648149</v>
      </c>
      <c r="J313" t="s">
        <v>468</v>
      </c>
      <c r="K313" t="s">
        <v>444</v>
      </c>
      <c r="L313" s="196">
        <v>46285</v>
      </c>
      <c r="M313" t="s">
        <v>439</v>
      </c>
      <c r="N313" t="s">
        <v>231</v>
      </c>
      <c r="O313" t="s">
        <v>232</v>
      </c>
      <c r="P313">
        <v>1</v>
      </c>
      <c r="Q313" t="s">
        <v>247</v>
      </c>
    </row>
    <row r="314" spans="1:17" s="25" customFormat="1" hidden="1">
      <c r="A314" s="111">
        <v>2.1906374456018521E-2</v>
      </c>
      <c r="B314" t="s">
        <v>97</v>
      </c>
      <c r="C314"/>
      <c r="D314"/>
      <c r="E314" t="s">
        <v>184</v>
      </c>
      <c r="F314"/>
      <c r="G314" t="s">
        <v>98</v>
      </c>
      <c r="H314"/>
      <c r="I314" s="197">
        <v>46286.815868055557</v>
      </c>
      <c r="J314" t="s">
        <v>468</v>
      </c>
      <c r="K314" t="s">
        <v>444</v>
      </c>
      <c r="L314" s="196">
        <v>46285</v>
      </c>
      <c r="M314" t="s">
        <v>439</v>
      </c>
      <c r="N314" t="s">
        <v>231</v>
      </c>
      <c r="O314" t="s">
        <v>232</v>
      </c>
      <c r="P314">
        <v>1</v>
      </c>
      <c r="Q314" t="s">
        <v>247</v>
      </c>
    </row>
    <row r="315" spans="1:17" s="25" customFormat="1" hidden="1">
      <c r="A315" s="111">
        <v>2.1883244236111109E-2</v>
      </c>
      <c r="B315" t="s">
        <v>97</v>
      </c>
      <c r="C315"/>
      <c r="D315"/>
      <c r="E315" t="s">
        <v>100</v>
      </c>
      <c r="F315"/>
      <c r="G315" t="s">
        <v>98</v>
      </c>
      <c r="H315"/>
      <c r="I315" s="197">
        <v>46286.815844907411</v>
      </c>
      <c r="J315" t="s">
        <v>468</v>
      </c>
      <c r="K315" t="s">
        <v>444</v>
      </c>
      <c r="L315" s="196">
        <v>46285</v>
      </c>
      <c r="M315" t="s">
        <v>439</v>
      </c>
      <c r="N315" t="s">
        <v>231</v>
      </c>
      <c r="O315" t="s">
        <v>232</v>
      </c>
      <c r="P315">
        <v>1</v>
      </c>
      <c r="Q315" t="s">
        <v>247</v>
      </c>
    </row>
    <row r="316" spans="1:17" s="25" customFormat="1" hidden="1">
      <c r="A316" s="111">
        <v>2.1399722627314814E-2</v>
      </c>
      <c r="B316" t="s">
        <v>97</v>
      </c>
      <c r="C316"/>
      <c r="D316"/>
      <c r="E316" t="s">
        <v>87</v>
      </c>
      <c r="F316"/>
      <c r="G316" t="s">
        <v>164</v>
      </c>
      <c r="H316"/>
      <c r="I316" s="197">
        <v>46286.81490740741</v>
      </c>
      <c r="J316" t="s">
        <v>468</v>
      </c>
      <c r="K316" t="s">
        <v>444</v>
      </c>
      <c r="L316" s="196">
        <v>46285</v>
      </c>
      <c r="M316" t="s">
        <v>439</v>
      </c>
      <c r="N316" t="s">
        <v>231</v>
      </c>
      <c r="O316" t="s">
        <v>232</v>
      </c>
      <c r="P316">
        <v>1</v>
      </c>
      <c r="Q316" t="s">
        <v>247</v>
      </c>
    </row>
    <row r="317" spans="1:17" s="25" customFormat="1" hidden="1">
      <c r="A317" s="111">
        <v>2.1399722627314814E-2</v>
      </c>
      <c r="B317" t="s">
        <v>97</v>
      </c>
      <c r="C317" t="s">
        <v>500</v>
      </c>
      <c r="D317" t="s">
        <v>204</v>
      </c>
      <c r="E317" t="s">
        <v>214</v>
      </c>
      <c r="F317" t="s">
        <v>82</v>
      </c>
      <c r="G317" t="s">
        <v>164</v>
      </c>
      <c r="H317" t="s">
        <v>515</v>
      </c>
      <c r="I317" s="197">
        <v>46286.81490740741</v>
      </c>
      <c r="J317" t="s">
        <v>468</v>
      </c>
      <c r="K317" t="s">
        <v>444</v>
      </c>
      <c r="L317" s="196">
        <v>46285</v>
      </c>
      <c r="M317" t="s">
        <v>439</v>
      </c>
      <c r="N317" t="s">
        <v>231</v>
      </c>
      <c r="O317" t="s">
        <v>232</v>
      </c>
      <c r="P317">
        <v>1</v>
      </c>
      <c r="Q317" t="s">
        <v>247</v>
      </c>
    </row>
    <row r="318" spans="1:17" s="25" customFormat="1" hidden="1">
      <c r="A318" s="111">
        <v>2.1289360613425928E-2</v>
      </c>
      <c r="B318" t="s">
        <v>97</v>
      </c>
      <c r="C318" t="s">
        <v>494</v>
      </c>
      <c r="D318"/>
      <c r="E318" t="s">
        <v>59</v>
      </c>
      <c r="F318"/>
      <c r="G318" t="s">
        <v>164</v>
      </c>
      <c r="H318"/>
      <c r="I318" s="197">
        <v>46286.814525462964</v>
      </c>
      <c r="J318" t="s">
        <v>468</v>
      </c>
      <c r="K318" t="s">
        <v>444</v>
      </c>
      <c r="L318" s="196">
        <v>46285</v>
      </c>
      <c r="M318" t="s">
        <v>439</v>
      </c>
      <c r="N318" t="s">
        <v>231</v>
      </c>
      <c r="O318" t="s">
        <v>232</v>
      </c>
      <c r="P318">
        <v>1</v>
      </c>
      <c r="Q318" t="s">
        <v>247</v>
      </c>
    </row>
    <row r="319" spans="1:17" s="25" customFormat="1" hidden="1">
      <c r="A319" s="111">
        <v>2.1220831284722221E-2</v>
      </c>
      <c r="B319" t="s">
        <v>97</v>
      </c>
      <c r="C319" t="s">
        <v>484</v>
      </c>
      <c r="D319"/>
      <c r="E319" t="s">
        <v>108</v>
      </c>
      <c r="F319"/>
      <c r="G319" t="s">
        <v>164</v>
      </c>
      <c r="H319"/>
      <c r="I319" s="197">
        <v>46286.814004629632</v>
      </c>
      <c r="J319" t="s">
        <v>468</v>
      </c>
      <c r="K319" t="s">
        <v>444</v>
      </c>
      <c r="L319" s="196">
        <v>46285</v>
      </c>
      <c r="M319" t="s">
        <v>439</v>
      </c>
      <c r="N319" t="s">
        <v>231</v>
      </c>
      <c r="O319" t="s">
        <v>232</v>
      </c>
      <c r="P319">
        <v>1</v>
      </c>
      <c r="Q319" t="s">
        <v>247</v>
      </c>
    </row>
    <row r="320" spans="1:17" s="25" customFormat="1">
      <c r="A320" s="111">
        <v>2.1099156770833336E-2</v>
      </c>
      <c r="B320" t="s">
        <v>97</v>
      </c>
      <c r="C320"/>
      <c r="D320"/>
      <c r="E320" t="s">
        <v>285</v>
      </c>
      <c r="F320"/>
      <c r="G320" t="s">
        <v>164</v>
      </c>
      <c r="H320"/>
      <c r="I320" s="197">
        <v>46286.813368055555</v>
      </c>
      <c r="J320" t="s">
        <v>468</v>
      </c>
      <c r="K320" t="s">
        <v>444</v>
      </c>
      <c r="L320" s="196">
        <v>46285</v>
      </c>
      <c r="M320" t="s">
        <v>439</v>
      </c>
      <c r="N320" t="s">
        <v>231</v>
      </c>
      <c r="O320" t="s">
        <v>232</v>
      </c>
      <c r="P320">
        <v>1</v>
      </c>
      <c r="Q320" t="s">
        <v>247</v>
      </c>
    </row>
    <row r="321" spans="1:17" s="25" customFormat="1">
      <c r="A321" s="111">
        <v>2.1071505046296297E-2</v>
      </c>
      <c r="B321" t="s">
        <v>97</v>
      </c>
      <c r="C321"/>
      <c r="D321"/>
      <c r="E321" t="s">
        <v>105</v>
      </c>
      <c r="F321"/>
      <c r="G321" t="s">
        <v>164</v>
      </c>
      <c r="H321"/>
      <c r="I321" s="197">
        <v>46286.813333333332</v>
      </c>
      <c r="J321" t="s">
        <v>468</v>
      </c>
      <c r="K321" t="s">
        <v>444</v>
      </c>
      <c r="L321" s="196">
        <v>46285</v>
      </c>
      <c r="M321" t="s">
        <v>439</v>
      </c>
      <c r="N321" t="s">
        <v>231</v>
      </c>
      <c r="O321" t="s">
        <v>232</v>
      </c>
      <c r="P321">
        <v>1</v>
      </c>
      <c r="Q321" t="s">
        <v>247</v>
      </c>
    </row>
    <row r="322" spans="1:17" s="25" customFormat="1" hidden="1">
      <c r="A322" s="111">
        <v>2.0514323541666667E-2</v>
      </c>
      <c r="B322" t="s">
        <v>97</v>
      </c>
      <c r="C322"/>
      <c r="D322"/>
      <c r="E322" t="s">
        <v>87</v>
      </c>
      <c r="F322"/>
      <c r="G322" t="s">
        <v>164</v>
      </c>
      <c r="H322"/>
      <c r="I322" s="197">
        <v>46286.812488425923</v>
      </c>
      <c r="J322" t="s">
        <v>468</v>
      </c>
      <c r="K322" t="s">
        <v>444</v>
      </c>
      <c r="L322" s="196">
        <v>46285</v>
      </c>
      <c r="M322" t="s">
        <v>439</v>
      </c>
      <c r="N322" t="s">
        <v>231</v>
      </c>
      <c r="O322" t="s">
        <v>232</v>
      </c>
      <c r="P322">
        <v>1</v>
      </c>
      <c r="Q322" t="s">
        <v>247</v>
      </c>
    </row>
    <row r="323" spans="1:17" s="25" customFormat="1" hidden="1">
      <c r="A323" s="111">
        <v>2.0514323541666667E-2</v>
      </c>
      <c r="B323" t="s">
        <v>97</v>
      </c>
      <c r="C323" t="s">
        <v>82</v>
      </c>
      <c r="D323" t="s">
        <v>82</v>
      </c>
      <c r="E323" t="s">
        <v>214</v>
      </c>
      <c r="F323" t="s">
        <v>207</v>
      </c>
      <c r="G323" t="s">
        <v>164</v>
      </c>
      <c r="H323"/>
      <c r="I323" s="197">
        <v>46286.812488425923</v>
      </c>
      <c r="J323" t="s">
        <v>468</v>
      </c>
      <c r="K323" t="s">
        <v>444</v>
      </c>
      <c r="L323" s="196">
        <v>46285</v>
      </c>
      <c r="M323" t="s">
        <v>439</v>
      </c>
      <c r="N323" t="s">
        <v>231</v>
      </c>
      <c r="O323" t="s">
        <v>232</v>
      </c>
      <c r="P323">
        <v>1</v>
      </c>
      <c r="Q323" t="s">
        <v>247</v>
      </c>
    </row>
    <row r="324" spans="1:17" s="25" customFormat="1" hidden="1">
      <c r="A324" s="111">
        <v>2.0433478657407408E-2</v>
      </c>
      <c r="B324" t="s">
        <v>97</v>
      </c>
      <c r="C324" t="s">
        <v>494</v>
      </c>
      <c r="D324"/>
      <c r="E324" t="s">
        <v>108</v>
      </c>
      <c r="F324"/>
      <c r="G324" t="s">
        <v>164</v>
      </c>
      <c r="H324"/>
      <c r="I324" s="197">
        <v>46286.812291666669</v>
      </c>
      <c r="J324" t="s">
        <v>468</v>
      </c>
      <c r="K324" t="s">
        <v>444</v>
      </c>
      <c r="L324" s="196">
        <v>46285</v>
      </c>
      <c r="M324" t="s">
        <v>439</v>
      </c>
      <c r="N324" t="s">
        <v>231</v>
      </c>
      <c r="O324" t="s">
        <v>232</v>
      </c>
      <c r="P324">
        <v>1</v>
      </c>
      <c r="Q324" t="s">
        <v>247</v>
      </c>
    </row>
    <row r="325" spans="1:17" s="25" customFormat="1" hidden="1">
      <c r="A325" s="111">
        <v>2.0287088726851851E-2</v>
      </c>
      <c r="B325" t="s">
        <v>97</v>
      </c>
      <c r="C325" t="s">
        <v>488</v>
      </c>
      <c r="D325"/>
      <c r="E325" t="s">
        <v>108</v>
      </c>
      <c r="F325"/>
      <c r="G325" t="s">
        <v>164</v>
      </c>
      <c r="H325"/>
      <c r="I325" s="197">
        <v>46286.812025462961</v>
      </c>
      <c r="J325" t="s">
        <v>468</v>
      </c>
      <c r="K325" t="s">
        <v>444</v>
      </c>
      <c r="L325" s="196">
        <v>46285</v>
      </c>
      <c r="M325" t="s">
        <v>439</v>
      </c>
      <c r="N325" t="s">
        <v>231</v>
      </c>
      <c r="O325" t="s">
        <v>232</v>
      </c>
      <c r="P325">
        <v>1</v>
      </c>
      <c r="Q325" t="s">
        <v>247</v>
      </c>
    </row>
    <row r="326" spans="1:17" s="25" customFormat="1" hidden="1">
      <c r="A326" s="111">
        <v>2.0245967303240742E-2</v>
      </c>
      <c r="B326" t="s">
        <v>97</v>
      </c>
      <c r="C326" t="s">
        <v>476</v>
      </c>
      <c r="D326"/>
      <c r="E326" t="s">
        <v>108</v>
      </c>
      <c r="F326"/>
      <c r="G326" t="s">
        <v>164</v>
      </c>
      <c r="H326"/>
      <c r="I326" s="197">
        <v>46286.811377314814</v>
      </c>
      <c r="J326" t="s">
        <v>468</v>
      </c>
      <c r="K326" t="s">
        <v>444</v>
      </c>
      <c r="L326" s="196">
        <v>46285</v>
      </c>
      <c r="M326" t="s">
        <v>439</v>
      </c>
      <c r="N326" t="s">
        <v>231</v>
      </c>
      <c r="O326" t="s">
        <v>232</v>
      </c>
      <c r="P326">
        <v>1</v>
      </c>
      <c r="Q326" t="s">
        <v>247</v>
      </c>
    </row>
    <row r="327" spans="1:17" s="25" customFormat="1" hidden="1">
      <c r="A327" s="111">
        <v>2.011288527777778E-2</v>
      </c>
      <c r="B327" t="s">
        <v>97</v>
      </c>
      <c r="C327" t="s">
        <v>494</v>
      </c>
      <c r="D327"/>
      <c r="E327" t="s">
        <v>108</v>
      </c>
      <c r="F327"/>
      <c r="G327" t="s">
        <v>164</v>
      </c>
      <c r="H327"/>
      <c r="I327" s="197">
        <v>46286.811145833337</v>
      </c>
      <c r="J327" t="s">
        <v>468</v>
      </c>
      <c r="K327" t="s">
        <v>444</v>
      </c>
      <c r="L327" s="196">
        <v>46285</v>
      </c>
      <c r="M327" t="s">
        <v>439</v>
      </c>
      <c r="N327" t="s">
        <v>231</v>
      </c>
      <c r="O327" t="s">
        <v>232</v>
      </c>
      <c r="P327">
        <v>1</v>
      </c>
      <c r="Q327" t="s">
        <v>247</v>
      </c>
    </row>
    <row r="328" spans="1:17" s="25" customFormat="1" hidden="1">
      <c r="A328" s="111">
        <v>1.9991373032407406E-2</v>
      </c>
      <c r="B328" t="s">
        <v>97</v>
      </c>
      <c r="C328" t="s">
        <v>480</v>
      </c>
      <c r="D328"/>
      <c r="E328" t="s">
        <v>108</v>
      </c>
      <c r="F328"/>
      <c r="G328" t="s">
        <v>164</v>
      </c>
      <c r="H328"/>
      <c r="I328" s="197">
        <v>46286.810983796298</v>
      </c>
      <c r="J328" t="s">
        <v>468</v>
      </c>
      <c r="K328" t="s">
        <v>444</v>
      </c>
      <c r="L328" s="196">
        <v>46285</v>
      </c>
      <c r="M328" t="s">
        <v>439</v>
      </c>
      <c r="N328" t="s">
        <v>231</v>
      </c>
      <c r="O328" t="s">
        <v>232</v>
      </c>
      <c r="P328">
        <v>1</v>
      </c>
      <c r="Q328" t="s">
        <v>247</v>
      </c>
    </row>
    <row r="329" spans="1:17" s="25" customFormat="1" hidden="1">
      <c r="A329" s="111">
        <v>1.9960992569444443E-2</v>
      </c>
      <c r="B329" t="s">
        <v>97</v>
      </c>
      <c r="C329"/>
      <c r="D329"/>
      <c r="E329" t="s">
        <v>113</v>
      </c>
      <c r="F329"/>
      <c r="G329" t="s">
        <v>164</v>
      </c>
      <c r="H329"/>
      <c r="I329" s="197">
        <v>46286.810844907406</v>
      </c>
      <c r="J329" t="s">
        <v>468</v>
      </c>
      <c r="K329" t="s">
        <v>444</v>
      </c>
      <c r="L329" s="196">
        <v>46285</v>
      </c>
      <c r="M329" t="s">
        <v>439</v>
      </c>
      <c r="N329" t="s">
        <v>231</v>
      </c>
      <c r="O329" t="s">
        <v>232</v>
      </c>
      <c r="P329">
        <v>1</v>
      </c>
      <c r="Q329" t="s">
        <v>247</v>
      </c>
    </row>
    <row r="330" spans="1:17" s="25" customFormat="1" hidden="1">
      <c r="A330" s="111">
        <v>1.9899567418981481E-2</v>
      </c>
      <c r="B330" t="s">
        <v>97</v>
      </c>
      <c r="C330"/>
      <c r="D330"/>
      <c r="E330" t="s">
        <v>104</v>
      </c>
      <c r="F330"/>
      <c r="G330" t="s">
        <v>164</v>
      </c>
      <c r="H330"/>
      <c r="I330" s="197">
        <v>46286.810787037037</v>
      </c>
      <c r="J330" t="s">
        <v>468</v>
      </c>
      <c r="K330" t="s">
        <v>444</v>
      </c>
      <c r="L330" s="196">
        <v>46285</v>
      </c>
      <c r="M330" t="s">
        <v>439</v>
      </c>
      <c r="N330" t="s">
        <v>231</v>
      </c>
      <c r="O330" t="s">
        <v>232</v>
      </c>
      <c r="P330">
        <v>1</v>
      </c>
      <c r="Q330" t="s">
        <v>247</v>
      </c>
    </row>
    <row r="331" spans="1:17" s="25" customFormat="1" hidden="1">
      <c r="A331" s="111">
        <v>1.8949843240740741E-2</v>
      </c>
      <c r="B331" t="s">
        <v>97</v>
      </c>
      <c r="C331"/>
      <c r="D331"/>
      <c r="E331" t="s">
        <v>87</v>
      </c>
      <c r="F331"/>
      <c r="G331" t="s">
        <v>164</v>
      </c>
      <c r="H331"/>
      <c r="I331" s="197">
        <v>46286.810231481482</v>
      </c>
      <c r="J331" t="s">
        <v>468</v>
      </c>
      <c r="K331" t="s">
        <v>444</v>
      </c>
      <c r="L331" s="196">
        <v>46285</v>
      </c>
      <c r="M331" t="s">
        <v>439</v>
      </c>
      <c r="N331" t="s">
        <v>231</v>
      </c>
      <c r="O331" t="s">
        <v>232</v>
      </c>
      <c r="P331">
        <v>1</v>
      </c>
      <c r="Q331" t="s">
        <v>247</v>
      </c>
    </row>
    <row r="332" spans="1:17" s="25" customFormat="1" hidden="1">
      <c r="A332" s="111">
        <v>1.8949843240740741E-2</v>
      </c>
      <c r="B332" t="s">
        <v>97</v>
      </c>
      <c r="C332" t="s">
        <v>490</v>
      </c>
      <c r="D332" t="s">
        <v>222</v>
      </c>
      <c r="E332" t="s">
        <v>214</v>
      </c>
      <c r="F332" t="s">
        <v>82</v>
      </c>
      <c r="G332" t="s">
        <v>164</v>
      </c>
      <c r="H332"/>
      <c r="I332" s="197">
        <v>46286.810231481482</v>
      </c>
      <c r="J332" t="s">
        <v>468</v>
      </c>
      <c r="K332" t="s">
        <v>444</v>
      </c>
      <c r="L332" s="196">
        <v>46285</v>
      </c>
      <c r="M332" t="s">
        <v>439</v>
      </c>
      <c r="N332" t="s">
        <v>231</v>
      </c>
      <c r="O332" t="s">
        <v>232</v>
      </c>
      <c r="P332">
        <v>1</v>
      </c>
      <c r="Q332" t="s">
        <v>247</v>
      </c>
    </row>
    <row r="333" spans="1:17" s="25" customFormat="1" hidden="1">
      <c r="A333" s="111">
        <v>1.8915394444444445E-2</v>
      </c>
      <c r="B333" t="s">
        <v>97</v>
      </c>
      <c r="C333"/>
      <c r="D333"/>
      <c r="E333" t="s">
        <v>188</v>
      </c>
      <c r="F333"/>
      <c r="G333" t="s">
        <v>164</v>
      </c>
      <c r="H333"/>
      <c r="I333" s="197">
        <v>46286.810011574074</v>
      </c>
      <c r="J333" t="s">
        <v>468</v>
      </c>
      <c r="K333" t="s">
        <v>444</v>
      </c>
      <c r="L333" s="196">
        <v>46285</v>
      </c>
      <c r="M333" t="s">
        <v>439</v>
      </c>
      <c r="N333" t="s">
        <v>231</v>
      </c>
      <c r="O333" t="s">
        <v>232</v>
      </c>
      <c r="P333">
        <v>1</v>
      </c>
      <c r="Q333" t="s">
        <v>247</v>
      </c>
    </row>
    <row r="334" spans="1:17" s="25" customFormat="1" hidden="1">
      <c r="A334" s="111">
        <v>1.8857572164351851E-2</v>
      </c>
      <c r="B334" t="s">
        <v>97</v>
      </c>
      <c r="C334"/>
      <c r="D334"/>
      <c r="E334" t="s">
        <v>184</v>
      </c>
      <c r="F334"/>
      <c r="G334" t="s">
        <v>164</v>
      </c>
      <c r="H334"/>
      <c r="I334" s="197">
        <v>46286.809872685182</v>
      </c>
      <c r="J334" t="s">
        <v>468</v>
      </c>
      <c r="K334" t="s">
        <v>444</v>
      </c>
      <c r="L334" s="196">
        <v>46285</v>
      </c>
      <c r="M334" t="s">
        <v>439</v>
      </c>
      <c r="N334" t="s">
        <v>231</v>
      </c>
      <c r="O334" t="s">
        <v>232</v>
      </c>
      <c r="P334">
        <v>1</v>
      </c>
      <c r="Q334" t="s">
        <v>247</v>
      </c>
    </row>
    <row r="335" spans="1:17" s="25" customFormat="1" hidden="1">
      <c r="A335" s="111">
        <v>1.8857572164351851E-2</v>
      </c>
      <c r="B335" t="s">
        <v>97</v>
      </c>
      <c r="C335" t="s">
        <v>482</v>
      </c>
      <c r="D335"/>
      <c r="E335" t="s">
        <v>108</v>
      </c>
      <c r="F335"/>
      <c r="G335" t="s">
        <v>164</v>
      </c>
      <c r="H335"/>
      <c r="I335" s="197">
        <v>46286.809849537036</v>
      </c>
      <c r="J335" t="s">
        <v>468</v>
      </c>
      <c r="K335" t="s">
        <v>444</v>
      </c>
      <c r="L335" s="196">
        <v>46285</v>
      </c>
      <c r="M335" t="s">
        <v>439</v>
      </c>
      <c r="N335" t="s">
        <v>231</v>
      </c>
      <c r="O335" t="s">
        <v>232</v>
      </c>
      <c r="P335">
        <v>1</v>
      </c>
      <c r="Q335" t="s">
        <v>247</v>
      </c>
    </row>
    <row r="336" spans="1:17" s="25" customFormat="1" hidden="1">
      <c r="A336" s="111">
        <v>1.8806871550925926E-2</v>
      </c>
      <c r="B336" t="s">
        <v>97</v>
      </c>
      <c r="C336" t="s">
        <v>82</v>
      </c>
      <c r="D336"/>
      <c r="E336" t="s">
        <v>455</v>
      </c>
      <c r="F336"/>
      <c r="G336" t="s">
        <v>98</v>
      </c>
      <c r="H336"/>
      <c r="I336" s="197">
        <v>46286.809641203705</v>
      </c>
      <c r="J336" t="s">
        <v>468</v>
      </c>
      <c r="K336" t="s">
        <v>444</v>
      </c>
      <c r="L336" s="196">
        <v>46285</v>
      </c>
      <c r="M336" t="s">
        <v>439</v>
      </c>
      <c r="N336" t="s">
        <v>231</v>
      </c>
      <c r="O336" t="s">
        <v>232</v>
      </c>
      <c r="P336">
        <v>1</v>
      </c>
      <c r="Q336" t="s">
        <v>247</v>
      </c>
    </row>
    <row r="337" spans="1:17" s="25" customFormat="1" hidden="1">
      <c r="A337" s="111">
        <v>1.8709050914351853E-2</v>
      </c>
      <c r="B337" t="s">
        <v>97</v>
      </c>
      <c r="C337" t="s">
        <v>484</v>
      </c>
      <c r="D337"/>
      <c r="E337" t="s">
        <v>462</v>
      </c>
      <c r="F337"/>
      <c r="G337" t="s">
        <v>98</v>
      </c>
      <c r="H337"/>
      <c r="I337" s="197">
        <v>46286.809282407405</v>
      </c>
      <c r="J337" t="s">
        <v>468</v>
      </c>
      <c r="K337" t="s">
        <v>444</v>
      </c>
      <c r="L337" s="196">
        <v>46285</v>
      </c>
      <c r="M337" t="s">
        <v>439</v>
      </c>
      <c r="N337" t="s">
        <v>231</v>
      </c>
      <c r="O337" t="s">
        <v>232</v>
      </c>
      <c r="P337">
        <v>1</v>
      </c>
      <c r="Q337" t="s">
        <v>247</v>
      </c>
    </row>
    <row r="338" spans="1:17" s="25" customFormat="1" hidden="1">
      <c r="A338" s="111">
        <v>1.8587170856481483E-2</v>
      </c>
      <c r="B338" t="s">
        <v>97</v>
      </c>
      <c r="C338" t="s">
        <v>498</v>
      </c>
      <c r="D338"/>
      <c r="E338" t="s">
        <v>304</v>
      </c>
      <c r="F338"/>
      <c r="G338" t="s">
        <v>98</v>
      </c>
      <c r="H338"/>
      <c r="I338" s="197">
        <v>46286.809050925927</v>
      </c>
      <c r="J338" t="s">
        <v>468</v>
      </c>
      <c r="K338" t="s">
        <v>444</v>
      </c>
      <c r="L338" s="196">
        <v>46285</v>
      </c>
      <c r="M338" t="s">
        <v>439</v>
      </c>
      <c r="N338" t="s">
        <v>231</v>
      </c>
      <c r="O338" t="s">
        <v>232</v>
      </c>
      <c r="P338">
        <v>1</v>
      </c>
      <c r="Q338" t="s">
        <v>247</v>
      </c>
    </row>
    <row r="339" spans="1:17" s="25" customFormat="1" hidden="1">
      <c r="A339" s="111">
        <v>1.8566237199074076E-2</v>
      </c>
      <c r="B339" t="s">
        <v>97</v>
      </c>
      <c r="C339"/>
      <c r="D339"/>
      <c r="E339" t="s">
        <v>186</v>
      </c>
      <c r="F339"/>
      <c r="G339" t="s">
        <v>98</v>
      </c>
      <c r="H339"/>
      <c r="I339" s="197">
        <v>46286.808819444443</v>
      </c>
      <c r="J339" t="s">
        <v>468</v>
      </c>
      <c r="K339" t="s">
        <v>444</v>
      </c>
      <c r="L339" s="196">
        <v>46285</v>
      </c>
      <c r="M339" t="s">
        <v>439</v>
      </c>
      <c r="N339" t="s">
        <v>231</v>
      </c>
      <c r="O339" t="s">
        <v>232</v>
      </c>
      <c r="P339">
        <v>1</v>
      </c>
      <c r="Q339" t="s">
        <v>247</v>
      </c>
    </row>
    <row r="340" spans="1:17" s="25" customFormat="1" hidden="1">
      <c r="A340" s="111">
        <v>1.8566237199074076E-2</v>
      </c>
      <c r="B340" t="s">
        <v>97</v>
      </c>
      <c r="C340"/>
      <c r="D340"/>
      <c r="E340" t="s">
        <v>184</v>
      </c>
      <c r="F340"/>
      <c r="G340" t="s">
        <v>164</v>
      </c>
      <c r="H340"/>
      <c r="I340" s="197">
        <v>46286.808796296296</v>
      </c>
      <c r="J340" t="s">
        <v>468</v>
      </c>
      <c r="K340" t="s">
        <v>444</v>
      </c>
      <c r="L340" s="196">
        <v>46285</v>
      </c>
      <c r="M340" t="s">
        <v>439</v>
      </c>
      <c r="N340" t="s">
        <v>231</v>
      </c>
      <c r="O340" t="s">
        <v>232</v>
      </c>
      <c r="P340">
        <v>1</v>
      </c>
      <c r="Q340" t="s">
        <v>247</v>
      </c>
    </row>
    <row r="341" spans="1:17" s="25" customFormat="1" hidden="1">
      <c r="A341" s="111">
        <v>1.8566237199074076E-2</v>
      </c>
      <c r="B341" t="s">
        <v>97</v>
      </c>
      <c r="C341"/>
      <c r="D341"/>
      <c r="E341" t="s">
        <v>101</v>
      </c>
      <c r="F341"/>
      <c r="G341" t="s">
        <v>164</v>
      </c>
      <c r="H341"/>
      <c r="I341" s="197">
        <v>46286.80877314815</v>
      </c>
      <c r="J341" t="s">
        <v>468</v>
      </c>
      <c r="K341" t="s">
        <v>444</v>
      </c>
      <c r="L341" s="196">
        <v>46285</v>
      </c>
      <c r="M341" t="s">
        <v>439</v>
      </c>
      <c r="N341" t="s">
        <v>231</v>
      </c>
      <c r="O341" t="s">
        <v>232</v>
      </c>
      <c r="P341">
        <v>1</v>
      </c>
      <c r="Q341" t="s">
        <v>247</v>
      </c>
    </row>
    <row r="342" spans="1:17" s="25" customFormat="1" hidden="1">
      <c r="A342" s="111">
        <v>1.8347109317129628E-2</v>
      </c>
      <c r="B342" t="s">
        <v>97</v>
      </c>
      <c r="C342"/>
      <c r="D342"/>
      <c r="E342" t="s">
        <v>87</v>
      </c>
      <c r="F342"/>
      <c r="G342" t="s">
        <v>164</v>
      </c>
      <c r="H342"/>
      <c r="I342" s="197">
        <v>46286.808298611111</v>
      </c>
      <c r="J342" t="s">
        <v>468</v>
      </c>
      <c r="K342" t="s">
        <v>444</v>
      </c>
      <c r="L342" s="196">
        <v>46285</v>
      </c>
      <c r="M342" t="s">
        <v>439</v>
      </c>
      <c r="N342" t="s">
        <v>231</v>
      </c>
      <c r="O342" t="s">
        <v>232</v>
      </c>
      <c r="P342">
        <v>1</v>
      </c>
      <c r="Q342" t="s">
        <v>247</v>
      </c>
    </row>
    <row r="343" spans="1:17" s="25" customFormat="1" hidden="1">
      <c r="A343" s="111">
        <v>1.8347109317129628E-2</v>
      </c>
      <c r="B343" t="s">
        <v>97</v>
      </c>
      <c r="C343" t="s">
        <v>82</v>
      </c>
      <c r="D343" t="s">
        <v>82</v>
      </c>
      <c r="E343" t="s">
        <v>214</v>
      </c>
      <c r="F343" t="s">
        <v>82</v>
      </c>
      <c r="G343" t="s">
        <v>164</v>
      </c>
      <c r="H343"/>
      <c r="I343" s="197">
        <v>46286.808298611111</v>
      </c>
      <c r="J343" t="s">
        <v>468</v>
      </c>
      <c r="K343" t="s">
        <v>444</v>
      </c>
      <c r="L343" s="196">
        <v>46285</v>
      </c>
      <c r="M343" t="s">
        <v>439</v>
      </c>
      <c r="N343" t="s">
        <v>231</v>
      </c>
      <c r="O343" t="s">
        <v>232</v>
      </c>
      <c r="P343">
        <v>1</v>
      </c>
      <c r="Q343" t="s">
        <v>247</v>
      </c>
    </row>
    <row r="344" spans="1:17" s="25" customFormat="1" hidden="1">
      <c r="A344" s="111">
        <v>1.8258001874999999E-2</v>
      </c>
      <c r="B344" t="s">
        <v>97</v>
      </c>
      <c r="C344" t="s">
        <v>472</v>
      </c>
      <c r="D344"/>
      <c r="E344" t="s">
        <v>462</v>
      </c>
      <c r="F344"/>
      <c r="G344" t="s">
        <v>98</v>
      </c>
      <c r="H344"/>
      <c r="I344" s="197">
        <v>46286.80672453704</v>
      </c>
      <c r="J344" t="s">
        <v>468</v>
      </c>
      <c r="K344" t="s">
        <v>444</v>
      </c>
      <c r="L344" s="196">
        <v>46285</v>
      </c>
      <c r="M344" t="s">
        <v>439</v>
      </c>
      <c r="N344" t="s">
        <v>231</v>
      </c>
      <c r="O344" t="s">
        <v>232</v>
      </c>
      <c r="P344">
        <v>1</v>
      </c>
      <c r="Q344" t="s">
        <v>247</v>
      </c>
    </row>
    <row r="345" spans="1:17" s="25" customFormat="1" hidden="1">
      <c r="A345" s="111">
        <v>1.8232641296296297E-2</v>
      </c>
      <c r="B345" t="s">
        <v>97</v>
      </c>
      <c r="C345" t="s">
        <v>484</v>
      </c>
      <c r="D345"/>
      <c r="E345" t="s">
        <v>463</v>
      </c>
      <c r="F345"/>
      <c r="G345" t="s">
        <v>98</v>
      </c>
      <c r="H345"/>
      <c r="I345" s="197">
        <v>46286.806192129632</v>
      </c>
      <c r="J345" t="s">
        <v>468</v>
      </c>
      <c r="K345" t="s">
        <v>444</v>
      </c>
      <c r="L345" s="196">
        <v>46285</v>
      </c>
      <c r="M345" t="s">
        <v>439</v>
      </c>
      <c r="N345" t="s">
        <v>231</v>
      </c>
      <c r="O345" t="s">
        <v>232</v>
      </c>
      <c r="P345">
        <v>1</v>
      </c>
      <c r="Q345" t="s">
        <v>247</v>
      </c>
    </row>
    <row r="346" spans="1:17" s="25" customFormat="1" hidden="1">
      <c r="A346" s="111">
        <v>1.8174467650462964E-2</v>
      </c>
      <c r="B346" t="s">
        <v>97</v>
      </c>
      <c r="C346" t="s">
        <v>482</v>
      </c>
      <c r="D346"/>
      <c r="E346" t="s">
        <v>462</v>
      </c>
      <c r="F346"/>
      <c r="G346" t="s">
        <v>98</v>
      </c>
      <c r="H346"/>
      <c r="I346" s="197">
        <v>46286.80605324074</v>
      </c>
      <c r="J346" t="s">
        <v>468</v>
      </c>
      <c r="K346" t="s">
        <v>444</v>
      </c>
      <c r="L346" s="196">
        <v>46285</v>
      </c>
      <c r="M346" t="s">
        <v>439</v>
      </c>
      <c r="N346" t="s">
        <v>231</v>
      </c>
      <c r="O346" t="s">
        <v>232</v>
      </c>
      <c r="P346">
        <v>1</v>
      </c>
      <c r="Q346" t="s">
        <v>247</v>
      </c>
    </row>
    <row r="347" spans="1:17" s="25" customFormat="1" hidden="1">
      <c r="A347" s="111">
        <v>1.8093669386574075E-2</v>
      </c>
      <c r="B347" t="s">
        <v>97</v>
      </c>
      <c r="C347" t="s">
        <v>492</v>
      </c>
      <c r="D347"/>
      <c r="E347" t="s">
        <v>462</v>
      </c>
      <c r="F347"/>
      <c r="G347" t="s">
        <v>98</v>
      </c>
      <c r="H347"/>
      <c r="I347" s="197">
        <v>46286.805787037039</v>
      </c>
      <c r="J347" t="s">
        <v>468</v>
      </c>
      <c r="K347" t="s">
        <v>444</v>
      </c>
      <c r="L347" s="196">
        <v>46285</v>
      </c>
      <c r="M347" t="s">
        <v>439</v>
      </c>
      <c r="N347" t="s">
        <v>231</v>
      </c>
      <c r="O347" t="s">
        <v>232</v>
      </c>
      <c r="P347">
        <v>1</v>
      </c>
      <c r="Q347" t="s">
        <v>247</v>
      </c>
    </row>
    <row r="348" spans="1:17" s="25" customFormat="1">
      <c r="A348" s="111">
        <v>1.8044330370370371E-2</v>
      </c>
      <c r="B348" t="s">
        <v>97</v>
      </c>
      <c r="C348"/>
      <c r="D348"/>
      <c r="E348" t="s">
        <v>279</v>
      </c>
      <c r="F348"/>
      <c r="G348" t="s">
        <v>98</v>
      </c>
      <c r="H348"/>
      <c r="I348" s="197">
        <v>46286.805358796293</v>
      </c>
      <c r="J348" t="s">
        <v>468</v>
      </c>
      <c r="K348" t="s">
        <v>444</v>
      </c>
      <c r="L348" s="196">
        <v>46285</v>
      </c>
      <c r="M348" t="s">
        <v>439</v>
      </c>
      <c r="N348" t="s">
        <v>231</v>
      </c>
      <c r="O348" t="s">
        <v>232</v>
      </c>
      <c r="P348">
        <v>1</v>
      </c>
      <c r="Q348" t="s">
        <v>247</v>
      </c>
    </row>
    <row r="349" spans="1:17" s="25" customFormat="1">
      <c r="A349" s="111">
        <v>1.800443372685185E-2</v>
      </c>
      <c r="B349" t="s">
        <v>97</v>
      </c>
      <c r="C349"/>
      <c r="D349"/>
      <c r="E349" t="s">
        <v>105</v>
      </c>
      <c r="F349"/>
      <c r="G349" t="s">
        <v>98</v>
      </c>
      <c r="H349"/>
      <c r="I349" s="197">
        <v>46286.805324074077</v>
      </c>
      <c r="J349" t="s">
        <v>468</v>
      </c>
      <c r="K349" t="s">
        <v>444</v>
      </c>
      <c r="L349" s="196">
        <v>46285</v>
      </c>
      <c r="M349" t="s">
        <v>439</v>
      </c>
      <c r="N349" t="s">
        <v>231</v>
      </c>
      <c r="O349" t="s">
        <v>232</v>
      </c>
      <c r="P349">
        <v>1</v>
      </c>
      <c r="Q349" t="s">
        <v>247</v>
      </c>
    </row>
    <row r="350" spans="1:17" s="25" customFormat="1" hidden="1">
      <c r="A350" s="111">
        <v>1.7589110046296298E-2</v>
      </c>
      <c r="B350" t="s">
        <v>97</v>
      </c>
      <c r="C350"/>
      <c r="D350"/>
      <c r="E350" t="s">
        <v>87</v>
      </c>
      <c r="F350"/>
      <c r="G350" t="s">
        <v>98</v>
      </c>
      <c r="H350"/>
      <c r="I350" s="197">
        <v>46286.805162037039</v>
      </c>
      <c r="J350" t="s">
        <v>468</v>
      </c>
      <c r="K350" t="s">
        <v>444</v>
      </c>
      <c r="L350" s="196">
        <v>46285</v>
      </c>
      <c r="M350" t="s">
        <v>439</v>
      </c>
      <c r="N350" t="s">
        <v>231</v>
      </c>
      <c r="O350" t="s">
        <v>232</v>
      </c>
      <c r="P350">
        <v>1</v>
      </c>
      <c r="Q350" t="s">
        <v>247</v>
      </c>
    </row>
    <row r="351" spans="1:17" s="25" customFormat="1" hidden="1">
      <c r="A351" s="111">
        <v>1.7558105370370371E-2</v>
      </c>
      <c r="B351" t="s">
        <v>97</v>
      </c>
      <c r="C351" t="s">
        <v>482</v>
      </c>
      <c r="D351"/>
      <c r="E351" t="s">
        <v>456</v>
      </c>
      <c r="F351"/>
      <c r="G351" t="s">
        <v>164</v>
      </c>
      <c r="H351"/>
      <c r="I351" s="197">
        <v>46286.804791666669</v>
      </c>
      <c r="J351" t="s">
        <v>468</v>
      </c>
      <c r="K351" t="s">
        <v>444</v>
      </c>
      <c r="L351" s="196">
        <v>46285</v>
      </c>
      <c r="M351" t="s">
        <v>439</v>
      </c>
      <c r="N351" t="s">
        <v>231</v>
      </c>
      <c r="O351" t="s">
        <v>232</v>
      </c>
      <c r="P351">
        <v>1</v>
      </c>
      <c r="Q351" t="s">
        <v>247</v>
      </c>
    </row>
    <row r="352" spans="1:17" s="25" customFormat="1" hidden="1">
      <c r="A352" s="111">
        <v>1.7516904328703703E-2</v>
      </c>
      <c r="B352" t="s">
        <v>97</v>
      </c>
      <c r="C352"/>
      <c r="D352"/>
      <c r="E352" t="s">
        <v>275</v>
      </c>
      <c r="F352"/>
      <c r="G352" t="s">
        <v>164</v>
      </c>
      <c r="H352"/>
      <c r="I352" s="197">
        <v>46286.803599537037</v>
      </c>
      <c r="J352" t="s">
        <v>468</v>
      </c>
      <c r="K352" t="s">
        <v>444</v>
      </c>
      <c r="L352" s="196">
        <v>46285</v>
      </c>
      <c r="M352" t="s">
        <v>439</v>
      </c>
      <c r="N352" t="s">
        <v>231</v>
      </c>
      <c r="O352" t="s">
        <v>232</v>
      </c>
      <c r="P352">
        <v>1</v>
      </c>
      <c r="Q352" t="s">
        <v>247</v>
      </c>
    </row>
    <row r="353" spans="1:17" s="25" customFormat="1" hidden="1">
      <c r="A353" s="111">
        <v>1.7463326979166666E-2</v>
      </c>
      <c r="B353" t="s">
        <v>97</v>
      </c>
      <c r="C353"/>
      <c r="D353"/>
      <c r="E353" t="s">
        <v>104</v>
      </c>
      <c r="F353"/>
      <c r="G353" t="s">
        <v>164</v>
      </c>
      <c r="H353"/>
      <c r="I353" s="197">
        <v>46286.801238425927</v>
      </c>
      <c r="J353" t="s">
        <v>468</v>
      </c>
      <c r="K353" t="s">
        <v>444</v>
      </c>
      <c r="L353" s="196">
        <v>46285</v>
      </c>
      <c r="M353" t="s">
        <v>439</v>
      </c>
      <c r="N353" t="s">
        <v>231</v>
      </c>
      <c r="O353" t="s">
        <v>232</v>
      </c>
      <c r="P353">
        <v>1</v>
      </c>
      <c r="Q353" t="s">
        <v>247</v>
      </c>
    </row>
    <row r="354" spans="1:17" s="25" customFormat="1" hidden="1">
      <c r="A354" s="111">
        <v>1.7145802013888892E-2</v>
      </c>
      <c r="B354" t="s">
        <v>97</v>
      </c>
      <c r="C354"/>
      <c r="D354"/>
      <c r="E354" t="s">
        <v>87</v>
      </c>
      <c r="F354"/>
      <c r="G354" t="s">
        <v>98</v>
      </c>
      <c r="H354"/>
      <c r="I354" s="197">
        <v>46286.801157407404</v>
      </c>
      <c r="J354" t="s">
        <v>468</v>
      </c>
      <c r="K354" t="s">
        <v>444</v>
      </c>
      <c r="L354" s="196">
        <v>46285</v>
      </c>
      <c r="M354" t="s">
        <v>439</v>
      </c>
      <c r="N354" t="s">
        <v>231</v>
      </c>
      <c r="O354" t="s">
        <v>232</v>
      </c>
      <c r="P354">
        <v>1</v>
      </c>
      <c r="Q354" t="s">
        <v>247</v>
      </c>
    </row>
    <row r="355" spans="1:17" s="25" customFormat="1" hidden="1">
      <c r="A355" s="111">
        <v>1.7105875231481479E-2</v>
      </c>
      <c r="B355" t="s">
        <v>97</v>
      </c>
      <c r="C355"/>
      <c r="D355"/>
      <c r="E355" t="s">
        <v>184</v>
      </c>
      <c r="F355"/>
      <c r="G355" t="s">
        <v>98</v>
      </c>
      <c r="H355"/>
      <c r="I355" s="197">
        <v>46286.801111111112</v>
      </c>
      <c r="J355" t="s">
        <v>468</v>
      </c>
      <c r="K355" t="s">
        <v>444</v>
      </c>
      <c r="L355" s="196">
        <v>46285</v>
      </c>
      <c r="M355" t="s">
        <v>439</v>
      </c>
      <c r="N355" t="s">
        <v>231</v>
      </c>
      <c r="O355" t="s">
        <v>232</v>
      </c>
      <c r="P355">
        <v>1</v>
      </c>
      <c r="Q355" t="s">
        <v>247</v>
      </c>
    </row>
    <row r="356" spans="1:17" s="25" customFormat="1" hidden="1">
      <c r="A356" s="111">
        <v>1.7057845555555555E-2</v>
      </c>
      <c r="B356" t="s">
        <v>97</v>
      </c>
      <c r="C356"/>
      <c r="D356"/>
      <c r="E356" t="s">
        <v>186</v>
      </c>
      <c r="F356"/>
      <c r="G356" t="s">
        <v>98</v>
      </c>
      <c r="H356"/>
      <c r="I356" s="197">
        <v>46286.801041666666</v>
      </c>
      <c r="J356" t="s">
        <v>468</v>
      </c>
      <c r="K356" t="s">
        <v>444</v>
      </c>
      <c r="L356" s="196">
        <v>46285</v>
      </c>
      <c r="M356" t="s">
        <v>439</v>
      </c>
      <c r="N356" t="s">
        <v>231</v>
      </c>
      <c r="O356" t="s">
        <v>232</v>
      </c>
      <c r="P356">
        <v>1</v>
      </c>
      <c r="Q356" t="s">
        <v>247</v>
      </c>
    </row>
    <row r="357" spans="1:17" s="25" customFormat="1" hidden="1">
      <c r="A357" s="111">
        <v>1.7005532592592593E-2</v>
      </c>
      <c r="B357" t="s">
        <v>97</v>
      </c>
      <c r="C357"/>
      <c r="D357"/>
      <c r="E357" t="s">
        <v>100</v>
      </c>
      <c r="F357"/>
      <c r="G357" t="s">
        <v>164</v>
      </c>
      <c r="H357"/>
      <c r="I357" s="197">
        <v>46286.800995370373</v>
      </c>
      <c r="J357" t="s">
        <v>468</v>
      </c>
      <c r="K357" t="s">
        <v>444</v>
      </c>
      <c r="L357" s="196">
        <v>46285</v>
      </c>
      <c r="M357" t="s">
        <v>439</v>
      </c>
      <c r="N357" t="s">
        <v>231</v>
      </c>
      <c r="O357" t="s">
        <v>232</v>
      </c>
      <c r="P357">
        <v>1</v>
      </c>
      <c r="Q357" t="s">
        <v>247</v>
      </c>
    </row>
    <row r="358" spans="1:17" s="25" customFormat="1" hidden="1">
      <c r="A358" s="111">
        <v>1.5360717928240741E-2</v>
      </c>
      <c r="B358" t="s">
        <v>97</v>
      </c>
      <c r="C358" t="s">
        <v>486</v>
      </c>
      <c r="D358"/>
      <c r="E358" t="s">
        <v>116</v>
      </c>
      <c r="F358"/>
      <c r="G358" t="s">
        <v>98</v>
      </c>
      <c r="H358"/>
      <c r="I358" s="197">
        <v>46286.798229166663</v>
      </c>
      <c r="J358" t="s">
        <v>468</v>
      </c>
      <c r="K358" t="s">
        <v>444</v>
      </c>
      <c r="L358" s="196">
        <v>46285</v>
      </c>
      <c r="M358" t="s">
        <v>439</v>
      </c>
      <c r="N358" t="s">
        <v>231</v>
      </c>
      <c r="O358" t="s">
        <v>232</v>
      </c>
      <c r="P358">
        <v>1</v>
      </c>
      <c r="Q358" t="s">
        <v>247</v>
      </c>
    </row>
    <row r="359" spans="1:17" s="25" customFormat="1" hidden="1">
      <c r="A359" s="111">
        <v>1.4594212118055554E-2</v>
      </c>
      <c r="B359" t="s">
        <v>97</v>
      </c>
      <c r="C359"/>
      <c r="D359"/>
      <c r="E359" t="s">
        <v>87</v>
      </c>
      <c r="F359"/>
      <c r="G359" t="s">
        <v>98</v>
      </c>
      <c r="H359"/>
      <c r="I359" s="197">
        <v>46286.797766203701</v>
      </c>
      <c r="J359" t="s">
        <v>468</v>
      </c>
      <c r="K359" t="s">
        <v>444</v>
      </c>
      <c r="L359" s="196">
        <v>46285</v>
      </c>
      <c r="M359" t="s">
        <v>439</v>
      </c>
      <c r="N359" t="s">
        <v>231</v>
      </c>
      <c r="O359" t="s">
        <v>232</v>
      </c>
      <c r="P359">
        <v>1</v>
      </c>
      <c r="Q359" t="s">
        <v>247</v>
      </c>
    </row>
    <row r="360" spans="1:17" s="25" customFormat="1" hidden="1">
      <c r="A360" s="111">
        <v>1.4594212118055554E-2</v>
      </c>
      <c r="B360" t="s">
        <v>97</v>
      </c>
      <c r="C360"/>
      <c r="D360"/>
      <c r="E360" t="s">
        <v>213</v>
      </c>
      <c r="F360" t="s">
        <v>135</v>
      </c>
      <c r="G360" t="s">
        <v>98</v>
      </c>
      <c r="H360"/>
      <c r="I360" s="197">
        <v>46286.797766203701</v>
      </c>
      <c r="J360" t="s">
        <v>468</v>
      </c>
      <c r="K360" t="s">
        <v>444</v>
      </c>
      <c r="L360" s="196">
        <v>46285</v>
      </c>
      <c r="M360" t="s">
        <v>439</v>
      </c>
      <c r="N360" t="s">
        <v>231</v>
      </c>
      <c r="O360" t="s">
        <v>232</v>
      </c>
      <c r="P360">
        <v>1</v>
      </c>
      <c r="Q360" t="s">
        <v>247</v>
      </c>
    </row>
    <row r="361" spans="1:17" s="25" customFormat="1" hidden="1">
      <c r="A361" s="111">
        <v>1.4507584560185185E-2</v>
      </c>
      <c r="B361" t="s">
        <v>97</v>
      </c>
      <c r="C361" t="s">
        <v>478</v>
      </c>
      <c r="D361"/>
      <c r="E361" t="s">
        <v>463</v>
      </c>
      <c r="F361"/>
      <c r="G361" t="s">
        <v>98</v>
      </c>
      <c r="H361"/>
      <c r="I361" s="197">
        <v>46286.797361111108</v>
      </c>
      <c r="J361" t="s">
        <v>468</v>
      </c>
      <c r="K361" t="s">
        <v>444</v>
      </c>
      <c r="L361" s="196">
        <v>46285</v>
      </c>
      <c r="M361" t="s">
        <v>439</v>
      </c>
      <c r="N361" t="s">
        <v>231</v>
      </c>
      <c r="O361" t="s">
        <v>232</v>
      </c>
      <c r="P361">
        <v>1</v>
      </c>
      <c r="Q361" t="s">
        <v>247</v>
      </c>
    </row>
    <row r="362" spans="1:17" s="25" customFormat="1" hidden="1">
      <c r="A362" s="111">
        <v>1.438576130787037E-2</v>
      </c>
      <c r="B362" t="s">
        <v>97</v>
      </c>
      <c r="C362" t="s">
        <v>494</v>
      </c>
      <c r="D362"/>
      <c r="E362" t="s">
        <v>462</v>
      </c>
      <c r="F362"/>
      <c r="G362" t="s">
        <v>98</v>
      </c>
      <c r="H362"/>
      <c r="I362" s="197">
        <v>46286.797118055554</v>
      </c>
      <c r="J362" t="s">
        <v>468</v>
      </c>
      <c r="K362" t="s">
        <v>444</v>
      </c>
      <c r="L362" s="196">
        <v>46285</v>
      </c>
      <c r="M362" t="s">
        <v>439</v>
      </c>
      <c r="N362" t="s">
        <v>231</v>
      </c>
      <c r="O362" t="s">
        <v>232</v>
      </c>
      <c r="P362">
        <v>1</v>
      </c>
      <c r="Q362" t="s">
        <v>247</v>
      </c>
    </row>
    <row r="363" spans="1:17" s="25" customFormat="1" hidden="1">
      <c r="A363" s="111">
        <v>1.4316278020833332E-2</v>
      </c>
      <c r="B363" t="s">
        <v>97</v>
      </c>
      <c r="C363"/>
      <c r="D363"/>
      <c r="E363" t="s">
        <v>186</v>
      </c>
      <c r="F363"/>
      <c r="G363" t="s">
        <v>98</v>
      </c>
      <c r="H363"/>
      <c r="I363" s="197">
        <v>46286.796631944446</v>
      </c>
      <c r="J363" t="s">
        <v>468</v>
      </c>
      <c r="K363" t="s">
        <v>444</v>
      </c>
      <c r="L363" s="196">
        <v>46285</v>
      </c>
      <c r="M363" t="s">
        <v>439</v>
      </c>
      <c r="N363" t="s">
        <v>231</v>
      </c>
      <c r="O363" t="s">
        <v>232</v>
      </c>
      <c r="P363">
        <v>1</v>
      </c>
      <c r="Q363" t="s">
        <v>247</v>
      </c>
    </row>
    <row r="364" spans="1:17" s="25" customFormat="1" hidden="1">
      <c r="A364" s="111">
        <v>1.4282508391203702E-2</v>
      </c>
      <c r="B364" t="s">
        <v>97</v>
      </c>
      <c r="C364"/>
      <c r="D364"/>
      <c r="E364" t="s">
        <v>184</v>
      </c>
      <c r="F364"/>
      <c r="G364" t="s">
        <v>164</v>
      </c>
      <c r="H364"/>
      <c r="I364" s="197">
        <v>46286.796597222223</v>
      </c>
      <c r="J364" t="s">
        <v>468</v>
      </c>
      <c r="K364" t="s">
        <v>444</v>
      </c>
      <c r="L364" s="196">
        <v>46285</v>
      </c>
      <c r="M364" t="s">
        <v>439</v>
      </c>
      <c r="N364" t="s">
        <v>231</v>
      </c>
      <c r="O364" t="s">
        <v>232</v>
      </c>
      <c r="P364">
        <v>1</v>
      </c>
      <c r="Q364" t="s">
        <v>247</v>
      </c>
    </row>
    <row r="365" spans="1:17" s="25" customFormat="1">
      <c r="A365" s="111">
        <v>1.4230277916666667E-2</v>
      </c>
      <c r="B365" t="s">
        <v>97</v>
      </c>
      <c r="C365"/>
      <c r="D365"/>
      <c r="E365" t="s">
        <v>285</v>
      </c>
      <c r="F365"/>
      <c r="G365" t="s">
        <v>164</v>
      </c>
      <c r="H365"/>
      <c r="I365" s="197">
        <v>46286.796550925923</v>
      </c>
      <c r="J365" t="s">
        <v>468</v>
      </c>
      <c r="K365" t="s">
        <v>444</v>
      </c>
      <c r="L365" s="196">
        <v>46285</v>
      </c>
      <c r="M365" t="s">
        <v>439</v>
      </c>
      <c r="N365" t="s">
        <v>231</v>
      </c>
      <c r="O365" t="s">
        <v>232</v>
      </c>
      <c r="P365">
        <v>1</v>
      </c>
      <c r="Q365" t="s">
        <v>247</v>
      </c>
    </row>
    <row r="366" spans="1:17" s="25" customFormat="1">
      <c r="A366" s="111">
        <v>1.4205730474537038E-2</v>
      </c>
      <c r="B366" t="s">
        <v>97</v>
      </c>
      <c r="C366"/>
      <c r="D366"/>
      <c r="E366" t="s">
        <v>105</v>
      </c>
      <c r="F366"/>
      <c r="G366" t="s">
        <v>164</v>
      </c>
      <c r="H366"/>
      <c r="I366" s="197">
        <v>46286.796516203707</v>
      </c>
      <c r="J366" t="s">
        <v>468</v>
      </c>
      <c r="K366" t="s">
        <v>444</v>
      </c>
      <c r="L366" s="196">
        <v>46285</v>
      </c>
      <c r="M366" t="s">
        <v>439</v>
      </c>
      <c r="N366" t="s">
        <v>231</v>
      </c>
      <c r="O366" t="s">
        <v>232</v>
      </c>
      <c r="P366">
        <v>1</v>
      </c>
      <c r="Q366" t="s">
        <v>247</v>
      </c>
    </row>
    <row r="367" spans="1:17" s="25" customFormat="1" hidden="1">
      <c r="A367" s="111">
        <v>1.3167996909722222E-2</v>
      </c>
      <c r="B367" t="s">
        <v>97</v>
      </c>
      <c r="C367"/>
      <c r="D367"/>
      <c r="E367" t="s">
        <v>87</v>
      </c>
      <c r="F367"/>
      <c r="G367" t="s">
        <v>164</v>
      </c>
      <c r="H367"/>
      <c r="I367" s="197">
        <v>46286.796388888892</v>
      </c>
      <c r="J367" t="s">
        <v>468</v>
      </c>
      <c r="K367" t="s">
        <v>444</v>
      </c>
      <c r="L367" s="196">
        <v>46285</v>
      </c>
      <c r="M367" t="s">
        <v>439</v>
      </c>
      <c r="N367" t="s">
        <v>231</v>
      </c>
      <c r="O367" t="s">
        <v>232</v>
      </c>
      <c r="P367">
        <v>1</v>
      </c>
      <c r="Q367" t="s">
        <v>247</v>
      </c>
    </row>
    <row r="368" spans="1:17" s="25" customFormat="1" hidden="1">
      <c r="A368" s="111">
        <v>1.3167996909722222E-2</v>
      </c>
      <c r="B368" t="s">
        <v>97</v>
      </c>
      <c r="C368" t="s">
        <v>498</v>
      </c>
      <c r="D368"/>
      <c r="E368" t="s">
        <v>183</v>
      </c>
      <c r="F368"/>
      <c r="G368" t="s">
        <v>98</v>
      </c>
      <c r="H368"/>
      <c r="I368" s="197">
        <v>46286.796342592592</v>
      </c>
      <c r="J368" t="s">
        <v>468</v>
      </c>
      <c r="K368" t="s">
        <v>444</v>
      </c>
      <c r="L368" s="196">
        <v>46285</v>
      </c>
      <c r="M368" t="s">
        <v>439</v>
      </c>
      <c r="N368" t="s">
        <v>231</v>
      </c>
      <c r="O368" t="s">
        <v>232</v>
      </c>
      <c r="P368">
        <v>1</v>
      </c>
      <c r="Q368" t="s">
        <v>247</v>
      </c>
    </row>
    <row r="369" spans="1:17" s="25" customFormat="1" hidden="1">
      <c r="A369" s="111">
        <v>1.3173276377314814E-2</v>
      </c>
      <c r="B369" t="s">
        <v>97</v>
      </c>
      <c r="C369" t="s">
        <v>488</v>
      </c>
      <c r="D369"/>
      <c r="E369" t="s">
        <v>304</v>
      </c>
      <c r="F369"/>
      <c r="G369" t="s">
        <v>98</v>
      </c>
      <c r="H369"/>
      <c r="I369" s="197">
        <v>46286.795729166668</v>
      </c>
      <c r="J369" t="s">
        <v>468</v>
      </c>
      <c r="K369" t="s">
        <v>444</v>
      </c>
      <c r="L369" s="196">
        <v>46285</v>
      </c>
      <c r="M369" t="s">
        <v>439</v>
      </c>
      <c r="N369" t="s">
        <v>231</v>
      </c>
      <c r="O369" t="s">
        <v>232</v>
      </c>
      <c r="P369">
        <v>1</v>
      </c>
      <c r="Q369" t="s">
        <v>247</v>
      </c>
    </row>
    <row r="370" spans="1:17" s="25" customFormat="1" hidden="1">
      <c r="A370" s="111">
        <v>1.3133210324074074E-2</v>
      </c>
      <c r="B370" t="s">
        <v>97</v>
      </c>
      <c r="C370" t="s">
        <v>488</v>
      </c>
      <c r="D370"/>
      <c r="E370" t="s">
        <v>304</v>
      </c>
      <c r="F370"/>
      <c r="G370" t="s">
        <v>98</v>
      </c>
      <c r="H370"/>
      <c r="I370" s="197">
        <v>46286.795659722222</v>
      </c>
      <c r="J370" t="s">
        <v>468</v>
      </c>
      <c r="K370" t="s">
        <v>444</v>
      </c>
      <c r="L370" s="196">
        <v>46285</v>
      </c>
      <c r="M370" t="s">
        <v>439</v>
      </c>
      <c r="N370" t="s">
        <v>231</v>
      </c>
      <c r="O370" t="s">
        <v>232</v>
      </c>
      <c r="P370">
        <v>1</v>
      </c>
      <c r="Q370" t="s">
        <v>247</v>
      </c>
    </row>
    <row r="371" spans="1:17" s="25" customFormat="1" hidden="1">
      <c r="A371" s="111">
        <v>1.3045836909722223E-2</v>
      </c>
      <c r="B371" t="s">
        <v>97</v>
      </c>
      <c r="C371" t="s">
        <v>494</v>
      </c>
      <c r="D371"/>
      <c r="E371" t="s">
        <v>462</v>
      </c>
      <c r="F371"/>
      <c r="G371" t="s">
        <v>98</v>
      </c>
      <c r="H371"/>
      <c r="I371" s="197">
        <v>46286.795069444444</v>
      </c>
      <c r="J371" t="s">
        <v>468</v>
      </c>
      <c r="K371" t="s">
        <v>444</v>
      </c>
      <c r="L371" s="196">
        <v>46285</v>
      </c>
      <c r="M371" t="s">
        <v>439</v>
      </c>
      <c r="N371" t="s">
        <v>231</v>
      </c>
      <c r="O371" t="s">
        <v>232</v>
      </c>
      <c r="P371">
        <v>1</v>
      </c>
      <c r="Q371" t="s">
        <v>247</v>
      </c>
    </row>
    <row r="372" spans="1:17" s="25" customFormat="1" hidden="1">
      <c r="A372" s="111">
        <v>1.3017464421296296E-2</v>
      </c>
      <c r="B372" t="s">
        <v>97</v>
      </c>
      <c r="C372"/>
      <c r="D372"/>
      <c r="E372" t="s">
        <v>183</v>
      </c>
      <c r="F372"/>
      <c r="G372" t="s">
        <v>164</v>
      </c>
      <c r="H372"/>
      <c r="I372" s="197">
        <v>46286.79488425926</v>
      </c>
      <c r="J372" t="s">
        <v>468</v>
      </c>
      <c r="K372" t="s">
        <v>444</v>
      </c>
      <c r="L372" s="196">
        <v>46285</v>
      </c>
      <c r="M372" t="s">
        <v>439</v>
      </c>
      <c r="N372" t="s">
        <v>231</v>
      </c>
      <c r="O372" t="s">
        <v>232</v>
      </c>
      <c r="P372">
        <v>1</v>
      </c>
      <c r="Q372" t="s">
        <v>247</v>
      </c>
    </row>
    <row r="373" spans="1:17" s="25" customFormat="1">
      <c r="A373" s="111">
        <v>1.2936419756944444E-2</v>
      </c>
      <c r="B373" t="s">
        <v>97</v>
      </c>
      <c r="C373"/>
      <c r="D373"/>
      <c r="E373" t="s">
        <v>285</v>
      </c>
      <c r="F373"/>
      <c r="G373" t="s">
        <v>164</v>
      </c>
      <c r="H373"/>
      <c r="I373" s="197">
        <v>46286.794768518521</v>
      </c>
      <c r="J373" t="s">
        <v>468</v>
      </c>
      <c r="K373" t="s">
        <v>444</v>
      </c>
      <c r="L373" s="196">
        <v>46285</v>
      </c>
      <c r="M373" t="s">
        <v>439</v>
      </c>
      <c r="N373" t="s">
        <v>231</v>
      </c>
      <c r="O373" t="s">
        <v>232</v>
      </c>
      <c r="P373">
        <v>1</v>
      </c>
      <c r="Q373" t="s">
        <v>247</v>
      </c>
    </row>
    <row r="374" spans="1:17" s="25" customFormat="1">
      <c r="A374" s="111">
        <v>1.2908771712962964E-2</v>
      </c>
      <c r="B374" t="s">
        <v>97</v>
      </c>
      <c r="C374"/>
      <c r="D374"/>
      <c r="E374" t="s">
        <v>105</v>
      </c>
      <c r="F374"/>
      <c r="G374" t="s">
        <v>164</v>
      </c>
      <c r="H374"/>
      <c r="I374" s="197">
        <v>46286.794745370367</v>
      </c>
      <c r="J374" t="s">
        <v>468</v>
      </c>
      <c r="K374" t="s">
        <v>444</v>
      </c>
      <c r="L374" s="196">
        <v>46285</v>
      </c>
      <c r="M374" t="s">
        <v>439</v>
      </c>
      <c r="N374" t="s">
        <v>231</v>
      </c>
      <c r="O374" t="s">
        <v>232</v>
      </c>
      <c r="P374">
        <v>1</v>
      </c>
      <c r="Q374" t="s">
        <v>247</v>
      </c>
    </row>
    <row r="375" spans="1:17" s="25" customFormat="1" hidden="1">
      <c r="A375" s="111">
        <v>1.2464306203703705E-2</v>
      </c>
      <c r="B375" t="s">
        <v>97</v>
      </c>
      <c r="C375"/>
      <c r="D375"/>
      <c r="E375" t="s">
        <v>87</v>
      </c>
      <c r="F375"/>
      <c r="G375" t="s">
        <v>164</v>
      </c>
      <c r="H375"/>
      <c r="I375" s="197">
        <v>46286.79446759259</v>
      </c>
      <c r="J375" t="s">
        <v>468</v>
      </c>
      <c r="K375" t="s">
        <v>444</v>
      </c>
      <c r="L375" s="196">
        <v>46285</v>
      </c>
      <c r="M375" t="s">
        <v>439</v>
      </c>
      <c r="N375" t="s">
        <v>231</v>
      </c>
      <c r="O375" t="s">
        <v>232</v>
      </c>
      <c r="P375">
        <v>1</v>
      </c>
      <c r="Q375" t="s">
        <v>247</v>
      </c>
    </row>
    <row r="376" spans="1:17" s="25" customFormat="1" hidden="1">
      <c r="A376" s="111">
        <v>1.2448936655092592E-2</v>
      </c>
      <c r="B376" t="s">
        <v>97</v>
      </c>
      <c r="C376" t="s">
        <v>82</v>
      </c>
      <c r="D376"/>
      <c r="E376" t="s">
        <v>183</v>
      </c>
      <c r="F376"/>
      <c r="G376" t="s">
        <v>98</v>
      </c>
      <c r="H376"/>
      <c r="I376" s="197">
        <v>46286.79446759259</v>
      </c>
      <c r="J376" t="s">
        <v>468</v>
      </c>
      <c r="K376" t="s">
        <v>444</v>
      </c>
      <c r="L376" s="196">
        <v>46285</v>
      </c>
      <c r="M376" t="s">
        <v>439</v>
      </c>
      <c r="N376" t="s">
        <v>231</v>
      </c>
      <c r="O376" t="s">
        <v>232</v>
      </c>
      <c r="P376">
        <v>1</v>
      </c>
      <c r="Q376" t="s">
        <v>247</v>
      </c>
    </row>
    <row r="377" spans="1:17" s="25" customFormat="1" hidden="1">
      <c r="A377" s="111">
        <v>1.2399722951388888E-2</v>
      </c>
      <c r="B377" t="s">
        <v>97</v>
      </c>
      <c r="C377"/>
      <c r="D377"/>
      <c r="E377" t="s">
        <v>186</v>
      </c>
      <c r="F377"/>
      <c r="G377" t="s">
        <v>98</v>
      </c>
      <c r="H377"/>
      <c r="I377" s="197">
        <v>46286.794374999998</v>
      </c>
      <c r="J377" t="s">
        <v>468</v>
      </c>
      <c r="K377" t="s">
        <v>444</v>
      </c>
      <c r="L377" s="196">
        <v>46285</v>
      </c>
      <c r="M377" t="s">
        <v>439</v>
      </c>
      <c r="N377" t="s">
        <v>231</v>
      </c>
      <c r="O377" t="s">
        <v>232</v>
      </c>
      <c r="P377">
        <v>1</v>
      </c>
      <c r="Q377" t="s">
        <v>247</v>
      </c>
    </row>
    <row r="378" spans="1:17" s="25" customFormat="1" hidden="1">
      <c r="A378" s="111">
        <v>1.2336007824074074E-2</v>
      </c>
      <c r="B378" t="s">
        <v>97</v>
      </c>
      <c r="C378"/>
      <c r="D378"/>
      <c r="E378" t="s">
        <v>184</v>
      </c>
      <c r="F378"/>
      <c r="G378" t="s">
        <v>164</v>
      </c>
      <c r="H378"/>
      <c r="I378" s="197">
        <v>46286.794247685182</v>
      </c>
      <c r="J378" t="s">
        <v>468</v>
      </c>
      <c r="K378" t="s">
        <v>444</v>
      </c>
      <c r="L378" s="196">
        <v>46285</v>
      </c>
      <c r="M378" t="s">
        <v>439</v>
      </c>
      <c r="N378" t="s">
        <v>231</v>
      </c>
      <c r="O378" t="s">
        <v>232</v>
      </c>
      <c r="P378">
        <v>1</v>
      </c>
      <c r="Q378" t="s">
        <v>247</v>
      </c>
    </row>
    <row r="379" spans="1:17" s="25" customFormat="1">
      <c r="A379" s="111">
        <v>1.2283777106481483E-2</v>
      </c>
      <c r="B379" t="s">
        <v>97</v>
      </c>
      <c r="C379"/>
      <c r="D379"/>
      <c r="E379" t="s">
        <v>285</v>
      </c>
      <c r="F379"/>
      <c r="G379" t="s">
        <v>164</v>
      </c>
      <c r="H379"/>
      <c r="I379" s="197">
        <v>46286.79414351852</v>
      </c>
      <c r="J379" t="s">
        <v>468</v>
      </c>
      <c r="K379" t="s">
        <v>444</v>
      </c>
      <c r="L379" s="196">
        <v>46285</v>
      </c>
      <c r="M379" t="s">
        <v>439</v>
      </c>
      <c r="N379" t="s">
        <v>231</v>
      </c>
      <c r="O379" t="s">
        <v>232</v>
      </c>
      <c r="P379">
        <v>1</v>
      </c>
      <c r="Q379" t="s">
        <v>247</v>
      </c>
    </row>
    <row r="380" spans="1:17" s="25" customFormat="1">
      <c r="A380" s="111">
        <v>1.2243494710648149E-2</v>
      </c>
      <c r="B380" t="s">
        <v>97</v>
      </c>
      <c r="C380"/>
      <c r="D380"/>
      <c r="E380" t="s">
        <v>105</v>
      </c>
      <c r="F380"/>
      <c r="G380" t="s">
        <v>164</v>
      </c>
      <c r="H380"/>
      <c r="I380" s="197">
        <v>46286.794074074074</v>
      </c>
      <c r="J380" t="s">
        <v>468</v>
      </c>
      <c r="K380" t="s">
        <v>444</v>
      </c>
      <c r="L380" s="196">
        <v>46285</v>
      </c>
      <c r="M380" t="s">
        <v>439</v>
      </c>
      <c r="N380" t="s">
        <v>231</v>
      </c>
      <c r="O380" t="s">
        <v>232</v>
      </c>
      <c r="P380">
        <v>1</v>
      </c>
      <c r="Q380" t="s">
        <v>247</v>
      </c>
    </row>
    <row r="381" spans="1:17" s="25" customFormat="1" hidden="1">
      <c r="A381" s="111">
        <v>1.1887794606481481E-2</v>
      </c>
      <c r="B381" t="s">
        <v>97</v>
      </c>
      <c r="C381"/>
      <c r="D381"/>
      <c r="E381" t="s">
        <v>87</v>
      </c>
      <c r="F381"/>
      <c r="G381" t="s">
        <v>164</v>
      </c>
      <c r="H381"/>
      <c r="I381" s="197">
        <v>46286.792893518519</v>
      </c>
      <c r="J381" t="s">
        <v>468</v>
      </c>
      <c r="K381" t="s">
        <v>444</v>
      </c>
      <c r="L381" s="196">
        <v>46285</v>
      </c>
      <c r="M381" t="s">
        <v>439</v>
      </c>
      <c r="N381" t="s">
        <v>231</v>
      </c>
      <c r="O381" t="s">
        <v>232</v>
      </c>
      <c r="P381">
        <v>1</v>
      </c>
      <c r="Q381" t="s">
        <v>247</v>
      </c>
    </row>
    <row r="382" spans="1:17" s="25" customFormat="1" hidden="1">
      <c r="A382" s="111">
        <v>1.1924311539351851E-2</v>
      </c>
      <c r="B382" t="s">
        <v>97</v>
      </c>
      <c r="C382" t="s">
        <v>482</v>
      </c>
      <c r="D382"/>
      <c r="E382" t="s">
        <v>183</v>
      </c>
      <c r="F382"/>
      <c r="G382" t="s">
        <v>164</v>
      </c>
      <c r="H382"/>
      <c r="I382" s="197">
        <v>46286.792430555557</v>
      </c>
      <c r="J382" t="s">
        <v>468</v>
      </c>
      <c r="K382" t="s">
        <v>444</v>
      </c>
      <c r="L382" s="196">
        <v>46285</v>
      </c>
      <c r="M382" t="s">
        <v>439</v>
      </c>
      <c r="N382" t="s">
        <v>231</v>
      </c>
      <c r="O382" t="s">
        <v>232</v>
      </c>
      <c r="P382">
        <v>1</v>
      </c>
      <c r="Q382" t="s">
        <v>247</v>
      </c>
    </row>
    <row r="383" spans="1:17" s="25" customFormat="1" hidden="1">
      <c r="A383" s="111">
        <v>1.1781290243055555E-2</v>
      </c>
      <c r="B383" t="s">
        <v>97</v>
      </c>
      <c r="C383"/>
      <c r="D383"/>
      <c r="E383" t="s">
        <v>113</v>
      </c>
      <c r="F383"/>
      <c r="G383" t="s">
        <v>164</v>
      </c>
      <c r="H383"/>
    </row>
    <row r="384" spans="1:17" s="25" customFormat="1" hidden="1">
      <c r="A384" s="111">
        <v>1.1781290243055555E-2</v>
      </c>
      <c r="B384" t="s">
        <v>97</v>
      </c>
      <c r="C384"/>
      <c r="D384"/>
      <c r="E384" t="s">
        <v>104</v>
      </c>
      <c r="F384"/>
      <c r="G384" t="s">
        <v>164</v>
      </c>
      <c r="H384"/>
      <c r="I384" s="197">
        <v>46286.791655092595</v>
      </c>
      <c r="J384" t="s">
        <v>468</v>
      </c>
      <c r="K384" t="s">
        <v>444</v>
      </c>
      <c r="L384" s="196">
        <v>46285</v>
      </c>
      <c r="M384" t="s">
        <v>439</v>
      </c>
      <c r="N384" t="s">
        <v>231</v>
      </c>
      <c r="O384" t="s">
        <v>232</v>
      </c>
      <c r="P384">
        <v>1</v>
      </c>
      <c r="Q384" t="s">
        <v>247</v>
      </c>
    </row>
    <row r="385" spans="1:17" s="25" customFormat="1" hidden="1">
      <c r="A385" s="111">
        <v>1.1285203738425925E-2</v>
      </c>
      <c r="B385" t="s">
        <v>97</v>
      </c>
      <c r="C385"/>
      <c r="D385"/>
      <c r="E385" t="s">
        <v>87</v>
      </c>
      <c r="F385"/>
      <c r="G385" t="s">
        <v>164</v>
      </c>
      <c r="H385"/>
      <c r="I385" s="197">
        <v>46286.791539351849</v>
      </c>
      <c r="J385" t="s">
        <v>468</v>
      </c>
      <c r="K385" t="s">
        <v>444</v>
      </c>
      <c r="L385" s="196">
        <v>46285</v>
      </c>
      <c r="M385" t="s">
        <v>439</v>
      </c>
      <c r="N385" t="s">
        <v>231</v>
      </c>
      <c r="O385" t="s">
        <v>232</v>
      </c>
      <c r="P385">
        <v>1</v>
      </c>
      <c r="Q385" t="s">
        <v>247</v>
      </c>
    </row>
    <row r="386" spans="1:17" s="25" customFormat="1" hidden="1">
      <c r="A386" s="111">
        <v>1.1285203738425925E-2</v>
      </c>
      <c r="B386" t="s">
        <v>97</v>
      </c>
      <c r="C386" t="s">
        <v>486</v>
      </c>
      <c r="D386" t="s">
        <v>222</v>
      </c>
      <c r="E386" t="s">
        <v>214</v>
      </c>
      <c r="F386" t="s">
        <v>135</v>
      </c>
      <c r="G386" t="s">
        <v>164</v>
      </c>
      <c r="H386"/>
      <c r="I386" s="197">
        <v>46286.791539351849</v>
      </c>
      <c r="J386" t="s">
        <v>468</v>
      </c>
      <c r="K386" t="s">
        <v>444</v>
      </c>
      <c r="L386" s="196">
        <v>46285</v>
      </c>
      <c r="M386" t="s">
        <v>439</v>
      </c>
      <c r="N386" t="s">
        <v>231</v>
      </c>
      <c r="O386" t="s">
        <v>232</v>
      </c>
      <c r="P386">
        <v>1</v>
      </c>
      <c r="Q386" t="s">
        <v>247</v>
      </c>
    </row>
    <row r="387" spans="1:17" s="25" customFormat="1" hidden="1">
      <c r="A387" s="111">
        <v>1.1213184884259259E-2</v>
      </c>
      <c r="B387" t="s">
        <v>97</v>
      </c>
      <c r="C387" t="s">
        <v>486</v>
      </c>
      <c r="D387"/>
      <c r="E387" t="s">
        <v>135</v>
      </c>
      <c r="F387"/>
      <c r="G387" t="s">
        <v>164</v>
      </c>
      <c r="H387"/>
      <c r="I387" s="197">
        <v>46286.78634259259</v>
      </c>
      <c r="J387" t="s">
        <v>468</v>
      </c>
      <c r="K387" t="s">
        <v>444</v>
      </c>
      <c r="L387" s="196">
        <v>46285</v>
      </c>
      <c r="M387" t="s">
        <v>439</v>
      </c>
      <c r="N387" t="s">
        <v>231</v>
      </c>
      <c r="O387" t="s">
        <v>232</v>
      </c>
      <c r="P387">
        <v>1</v>
      </c>
      <c r="Q387" t="s">
        <v>247</v>
      </c>
    </row>
    <row r="388" spans="1:17" s="25" customFormat="1" hidden="1">
      <c r="A388" s="111">
        <v>1.1190871122685185E-2</v>
      </c>
      <c r="B388" t="s">
        <v>97</v>
      </c>
      <c r="C388" t="s">
        <v>496</v>
      </c>
      <c r="D388"/>
      <c r="E388" t="s">
        <v>59</v>
      </c>
      <c r="F388"/>
      <c r="G388" t="s">
        <v>164</v>
      </c>
      <c r="H388"/>
      <c r="I388" s="197">
        <v>46286.786192129628</v>
      </c>
      <c r="J388" t="s">
        <v>468</v>
      </c>
      <c r="K388" t="s">
        <v>444</v>
      </c>
      <c r="L388" s="196">
        <v>46285</v>
      </c>
      <c r="M388" t="s">
        <v>439</v>
      </c>
      <c r="N388" t="s">
        <v>231</v>
      </c>
      <c r="O388" t="s">
        <v>232</v>
      </c>
      <c r="P388">
        <v>1</v>
      </c>
      <c r="Q388" t="s">
        <v>247</v>
      </c>
    </row>
    <row r="389" spans="1:17" s="25" customFormat="1" hidden="1">
      <c r="A389" s="111">
        <v>1.1177609016203703E-2</v>
      </c>
      <c r="B389" t="s">
        <v>97</v>
      </c>
      <c r="C389" t="s">
        <v>494</v>
      </c>
      <c r="D389"/>
      <c r="E389" t="s">
        <v>59</v>
      </c>
      <c r="F389"/>
      <c r="G389" t="s">
        <v>164</v>
      </c>
      <c r="H389"/>
      <c r="I389" s="197">
        <v>46286.785914351851</v>
      </c>
      <c r="J389" t="s">
        <v>468</v>
      </c>
      <c r="K389" t="s">
        <v>444</v>
      </c>
      <c r="L389" s="196">
        <v>46285</v>
      </c>
      <c r="M389" t="s">
        <v>439</v>
      </c>
      <c r="N389" t="s">
        <v>231</v>
      </c>
      <c r="O389" t="s">
        <v>232</v>
      </c>
      <c r="P389">
        <v>1</v>
      </c>
      <c r="Q389" t="s">
        <v>247</v>
      </c>
    </row>
    <row r="390" spans="1:17" s="25" customFormat="1" hidden="1">
      <c r="A390" s="111">
        <v>1.1114705381944446E-2</v>
      </c>
      <c r="B390" t="s">
        <v>97</v>
      </c>
      <c r="C390" t="s">
        <v>488</v>
      </c>
      <c r="D390"/>
      <c r="E390" t="s">
        <v>108</v>
      </c>
      <c r="F390"/>
      <c r="G390" t="s">
        <v>164</v>
      </c>
      <c r="H390"/>
      <c r="I390" s="197">
        <v>46286.78565972222</v>
      </c>
      <c r="J390" t="s">
        <v>468</v>
      </c>
      <c r="K390" t="s">
        <v>444</v>
      </c>
      <c r="L390" s="196">
        <v>46285</v>
      </c>
      <c r="M390" t="s">
        <v>439</v>
      </c>
      <c r="N390" t="s">
        <v>231</v>
      </c>
      <c r="O390" t="s">
        <v>232</v>
      </c>
      <c r="P390">
        <v>1</v>
      </c>
      <c r="Q390" t="s">
        <v>247</v>
      </c>
    </row>
    <row r="391" spans="1:17" s="25" customFormat="1" hidden="1">
      <c r="A391" s="111">
        <v>1.1072566319444444E-2</v>
      </c>
      <c r="B391" t="s">
        <v>97</v>
      </c>
      <c r="C391"/>
      <c r="D391"/>
      <c r="E391" t="s">
        <v>188</v>
      </c>
      <c r="F391"/>
      <c r="G391" t="s">
        <v>164</v>
      </c>
      <c r="H391"/>
      <c r="I391" s="197">
        <v>46286.785231481481</v>
      </c>
      <c r="J391" t="s">
        <v>468</v>
      </c>
      <c r="K391" t="s">
        <v>444</v>
      </c>
      <c r="L391" s="196">
        <v>46285</v>
      </c>
      <c r="M391" t="s">
        <v>439</v>
      </c>
      <c r="N391" t="s">
        <v>231</v>
      </c>
      <c r="O391" t="s">
        <v>232</v>
      </c>
      <c r="P391">
        <v>1</v>
      </c>
      <c r="Q391" t="s">
        <v>247</v>
      </c>
    </row>
    <row r="392" spans="1:17" s="25" customFormat="1" hidden="1">
      <c r="A392" s="111">
        <v>1.1004877407407408E-2</v>
      </c>
      <c r="B392" t="s">
        <v>97</v>
      </c>
      <c r="C392"/>
      <c r="D392"/>
      <c r="E392" t="s">
        <v>100</v>
      </c>
      <c r="F392"/>
      <c r="G392" t="s">
        <v>98</v>
      </c>
      <c r="H392"/>
      <c r="I392" s="197">
        <v>46286.785162037035</v>
      </c>
      <c r="J392" t="s">
        <v>468</v>
      </c>
      <c r="K392" t="s">
        <v>444</v>
      </c>
      <c r="L392" s="196">
        <v>46285</v>
      </c>
      <c r="M392" t="s">
        <v>439</v>
      </c>
      <c r="N392" t="s">
        <v>231</v>
      </c>
      <c r="O392" t="s">
        <v>232</v>
      </c>
      <c r="P392">
        <v>1</v>
      </c>
      <c r="Q392" t="s">
        <v>247</v>
      </c>
    </row>
    <row r="393" spans="1:17" s="25" customFormat="1" hidden="1">
      <c r="A393" s="111">
        <v>1.0694690578703703E-2</v>
      </c>
      <c r="B393" t="s">
        <v>97</v>
      </c>
      <c r="C393"/>
      <c r="D393"/>
      <c r="E393" t="s">
        <v>116</v>
      </c>
      <c r="F393"/>
      <c r="G393" t="s">
        <v>164</v>
      </c>
      <c r="H393"/>
      <c r="I393" s="197">
        <v>46286.784826388888</v>
      </c>
      <c r="J393" t="s">
        <v>468</v>
      </c>
      <c r="K393" t="s">
        <v>444</v>
      </c>
      <c r="L393" s="196">
        <v>46285</v>
      </c>
      <c r="M393" t="s">
        <v>439</v>
      </c>
      <c r="N393" t="s">
        <v>231</v>
      </c>
      <c r="O393" t="s">
        <v>232</v>
      </c>
      <c r="P393">
        <v>1</v>
      </c>
      <c r="Q393" t="s">
        <v>247</v>
      </c>
    </row>
    <row r="394" spans="1:17" s="25" customFormat="1" hidden="1">
      <c r="A394" s="111">
        <v>9.9137241435185187E-3</v>
      </c>
      <c r="B394" t="s">
        <v>97</v>
      </c>
      <c r="C394"/>
      <c r="D394"/>
      <c r="E394" t="s">
        <v>87</v>
      </c>
      <c r="F394"/>
      <c r="G394" t="s">
        <v>164</v>
      </c>
      <c r="H394"/>
      <c r="I394" s="197">
        <v>46286.784467592595</v>
      </c>
      <c r="J394" t="s">
        <v>468</v>
      </c>
      <c r="K394" t="s">
        <v>444</v>
      </c>
      <c r="L394" s="196">
        <v>46285</v>
      </c>
      <c r="M394" t="s">
        <v>439</v>
      </c>
      <c r="N394" t="s">
        <v>231</v>
      </c>
      <c r="O394" t="s">
        <v>232</v>
      </c>
      <c r="P394">
        <v>1</v>
      </c>
      <c r="Q394" t="s">
        <v>247</v>
      </c>
    </row>
    <row r="395" spans="1:17" s="25" customFormat="1" hidden="1">
      <c r="A395" s="111">
        <v>9.9137241435185187E-3</v>
      </c>
      <c r="B395" t="s">
        <v>97</v>
      </c>
      <c r="C395" t="s">
        <v>494</v>
      </c>
      <c r="D395" t="s">
        <v>222</v>
      </c>
      <c r="E395" t="s">
        <v>214</v>
      </c>
      <c r="F395" t="s">
        <v>133</v>
      </c>
      <c r="G395" t="s">
        <v>164</v>
      </c>
      <c r="H395"/>
      <c r="I395" s="197">
        <v>46286.784467592595</v>
      </c>
      <c r="J395" t="s">
        <v>468</v>
      </c>
      <c r="K395" t="s">
        <v>444</v>
      </c>
      <c r="L395" s="196">
        <v>46285</v>
      </c>
      <c r="M395" t="s">
        <v>439</v>
      </c>
      <c r="N395" t="s">
        <v>231</v>
      </c>
      <c r="O395" t="s">
        <v>232</v>
      </c>
      <c r="P395">
        <v>1</v>
      </c>
      <c r="Q395" t="s">
        <v>247</v>
      </c>
    </row>
    <row r="396" spans="1:17" s="25" customFormat="1" hidden="1">
      <c r="A396" s="111">
        <v>9.9137241435185187E-3</v>
      </c>
      <c r="B396" t="s">
        <v>97</v>
      </c>
      <c r="C396" t="s">
        <v>494</v>
      </c>
      <c r="D396"/>
      <c r="E396" t="s">
        <v>133</v>
      </c>
      <c r="F396"/>
      <c r="G396" t="s">
        <v>164</v>
      </c>
      <c r="H396"/>
      <c r="I396" s="197">
        <v>46286.78434027778</v>
      </c>
      <c r="J396" t="s">
        <v>468</v>
      </c>
      <c r="K396" t="s">
        <v>444</v>
      </c>
      <c r="L396" s="196">
        <v>46285</v>
      </c>
      <c r="M396" t="s">
        <v>439</v>
      </c>
      <c r="N396" t="s">
        <v>231</v>
      </c>
      <c r="O396" t="s">
        <v>232</v>
      </c>
      <c r="P396">
        <v>1</v>
      </c>
      <c r="Q396" t="s">
        <v>247</v>
      </c>
    </row>
    <row r="397" spans="1:17" s="25" customFormat="1" hidden="1">
      <c r="A397" s="111">
        <v>9.9137241435185187E-3</v>
      </c>
      <c r="B397" t="s">
        <v>97</v>
      </c>
      <c r="C397" t="s">
        <v>498</v>
      </c>
      <c r="D397"/>
      <c r="E397" t="s">
        <v>133</v>
      </c>
      <c r="F397"/>
      <c r="G397" t="s">
        <v>164</v>
      </c>
      <c r="H397"/>
      <c r="I397" s="197">
        <v>46286.784317129626</v>
      </c>
      <c r="J397" t="s">
        <v>468</v>
      </c>
      <c r="K397" t="s">
        <v>444</v>
      </c>
      <c r="L397" s="196">
        <v>46285</v>
      </c>
      <c r="M397" t="s">
        <v>439</v>
      </c>
      <c r="N397" t="s">
        <v>231</v>
      </c>
      <c r="O397" t="s">
        <v>232</v>
      </c>
      <c r="P397">
        <v>1</v>
      </c>
      <c r="Q397" t="s">
        <v>247</v>
      </c>
    </row>
    <row r="398" spans="1:17" s="25" customFormat="1" hidden="1">
      <c r="A398" s="111">
        <v>9.8299334259259255E-3</v>
      </c>
      <c r="B398" t="s">
        <v>97</v>
      </c>
      <c r="C398"/>
      <c r="D398"/>
      <c r="E398" t="s">
        <v>113</v>
      </c>
      <c r="F398"/>
      <c r="G398" t="s">
        <v>164</v>
      </c>
      <c r="H398"/>
      <c r="I398" s="197">
        <v>46286.783090277779</v>
      </c>
      <c r="J398" t="s">
        <v>468</v>
      </c>
      <c r="K398" t="s">
        <v>444</v>
      </c>
      <c r="L398" s="196">
        <v>46285</v>
      </c>
      <c r="M398" t="s">
        <v>439</v>
      </c>
      <c r="N398" t="s">
        <v>231</v>
      </c>
      <c r="O398" t="s">
        <v>232</v>
      </c>
      <c r="P398">
        <v>1</v>
      </c>
      <c r="Q398" t="s">
        <v>247</v>
      </c>
    </row>
    <row r="399" spans="1:17" s="25" customFormat="1" hidden="1">
      <c r="A399" s="111">
        <v>9.7457822453703696E-3</v>
      </c>
      <c r="B399" t="s">
        <v>97</v>
      </c>
      <c r="C399"/>
      <c r="D399"/>
      <c r="E399" t="s">
        <v>104</v>
      </c>
      <c r="F399"/>
      <c r="G399" t="s">
        <v>164</v>
      </c>
      <c r="H399"/>
      <c r="I399" s="197">
        <v>46286.783009259256</v>
      </c>
      <c r="J399" t="s">
        <v>468</v>
      </c>
      <c r="K399" t="s">
        <v>444</v>
      </c>
      <c r="L399" s="196">
        <v>46285</v>
      </c>
      <c r="M399" t="s">
        <v>439</v>
      </c>
      <c r="N399" t="s">
        <v>231</v>
      </c>
      <c r="O399" t="s">
        <v>232</v>
      </c>
      <c r="P399">
        <v>1</v>
      </c>
      <c r="Q399" t="s">
        <v>247</v>
      </c>
    </row>
    <row r="400" spans="1:17" s="25" customFormat="1" hidden="1">
      <c r="A400" s="111">
        <v>9.4816124537037035E-3</v>
      </c>
      <c r="B400" t="s">
        <v>97</v>
      </c>
      <c r="C400"/>
      <c r="D400"/>
      <c r="E400" t="s">
        <v>87</v>
      </c>
      <c r="F400"/>
      <c r="G400" t="s">
        <v>98</v>
      </c>
      <c r="H400"/>
      <c r="I400" s="197">
        <v>46286.782916666663</v>
      </c>
      <c r="J400" t="s">
        <v>468</v>
      </c>
      <c r="K400" t="s">
        <v>444</v>
      </c>
      <c r="L400" s="196">
        <v>46285</v>
      </c>
      <c r="M400" t="s">
        <v>439</v>
      </c>
      <c r="N400" t="s">
        <v>231</v>
      </c>
      <c r="O400" t="s">
        <v>232</v>
      </c>
      <c r="P400">
        <v>1</v>
      </c>
      <c r="Q400" t="s">
        <v>247</v>
      </c>
    </row>
    <row r="401" spans="1:17" s="25" customFormat="1" hidden="1">
      <c r="A401" s="111">
        <v>9.4816124537037035E-3</v>
      </c>
      <c r="B401" t="s">
        <v>97</v>
      </c>
      <c r="C401"/>
      <c r="D401"/>
      <c r="E401" t="s">
        <v>184</v>
      </c>
      <c r="F401"/>
      <c r="G401" t="s">
        <v>98</v>
      </c>
      <c r="H401"/>
      <c r="I401" s="197">
        <v>46286.782870370371</v>
      </c>
      <c r="J401" t="s">
        <v>468</v>
      </c>
      <c r="K401" t="s">
        <v>444</v>
      </c>
      <c r="L401" s="196">
        <v>46285</v>
      </c>
      <c r="M401" t="s">
        <v>439</v>
      </c>
      <c r="N401" t="s">
        <v>231</v>
      </c>
      <c r="O401" t="s">
        <v>232</v>
      </c>
      <c r="P401">
        <v>1</v>
      </c>
      <c r="Q401" t="s">
        <v>247</v>
      </c>
    </row>
    <row r="402" spans="1:17" s="25" customFormat="1" hidden="1">
      <c r="A402" s="111">
        <v>9.2790735416666669E-3</v>
      </c>
      <c r="B402" t="s">
        <v>97</v>
      </c>
      <c r="C402" t="s">
        <v>482</v>
      </c>
      <c r="D402"/>
      <c r="E402" t="s">
        <v>462</v>
      </c>
      <c r="F402"/>
      <c r="G402" t="s">
        <v>98</v>
      </c>
      <c r="H402"/>
      <c r="I402" s="197">
        <v>46286.78261574074</v>
      </c>
      <c r="J402" t="s">
        <v>468</v>
      </c>
      <c r="K402" t="s">
        <v>444</v>
      </c>
      <c r="L402" s="196">
        <v>46285</v>
      </c>
      <c r="M402" t="s">
        <v>439</v>
      </c>
      <c r="N402" t="s">
        <v>231</v>
      </c>
      <c r="O402" t="s">
        <v>232</v>
      </c>
      <c r="P402">
        <v>1</v>
      </c>
      <c r="Q402" t="s">
        <v>247</v>
      </c>
    </row>
    <row r="403" spans="1:17" s="25" customFormat="1" hidden="1">
      <c r="A403" s="111">
        <v>9.2345964236111109E-3</v>
      </c>
      <c r="B403" t="s">
        <v>97</v>
      </c>
      <c r="C403"/>
      <c r="D403"/>
      <c r="E403" t="s">
        <v>186</v>
      </c>
      <c r="F403"/>
      <c r="G403" t="s">
        <v>98</v>
      </c>
      <c r="H403"/>
      <c r="I403" s="197">
        <v>46286.781967592593</v>
      </c>
      <c r="J403" t="s">
        <v>468</v>
      </c>
      <c r="K403" t="s">
        <v>444</v>
      </c>
      <c r="L403" s="196">
        <v>46285</v>
      </c>
      <c r="M403" t="s">
        <v>439</v>
      </c>
      <c r="N403" t="s">
        <v>231</v>
      </c>
      <c r="O403" t="s">
        <v>232</v>
      </c>
      <c r="P403">
        <v>1</v>
      </c>
      <c r="Q403" t="s">
        <v>247</v>
      </c>
    </row>
    <row r="404" spans="1:17" s="25" customFormat="1" hidden="1">
      <c r="A404" s="111">
        <v>9.1916118865740734E-3</v>
      </c>
      <c r="B404" t="s">
        <v>97</v>
      </c>
      <c r="C404"/>
      <c r="D404"/>
      <c r="E404" t="s">
        <v>100</v>
      </c>
      <c r="F404"/>
      <c r="G404" t="s">
        <v>164</v>
      </c>
      <c r="H404"/>
      <c r="I404" s="197">
        <v>46286.781921296293</v>
      </c>
      <c r="J404" t="s">
        <v>468</v>
      </c>
      <c r="K404" t="s">
        <v>444</v>
      </c>
      <c r="L404" s="196">
        <v>46285</v>
      </c>
      <c r="M404" t="s">
        <v>439</v>
      </c>
      <c r="N404" t="s">
        <v>231</v>
      </c>
      <c r="O404" t="s">
        <v>232</v>
      </c>
      <c r="P404">
        <v>1</v>
      </c>
      <c r="Q404" t="s">
        <v>247</v>
      </c>
    </row>
    <row r="405" spans="1:17" s="25" customFormat="1" hidden="1">
      <c r="A405" s="111">
        <v>8.6714253240740731E-3</v>
      </c>
      <c r="B405" t="s">
        <v>97</v>
      </c>
      <c r="C405" t="s">
        <v>486</v>
      </c>
      <c r="D405"/>
      <c r="E405" t="s">
        <v>115</v>
      </c>
      <c r="F405"/>
      <c r="G405" t="s">
        <v>98</v>
      </c>
      <c r="H405"/>
      <c r="I405" s="197">
        <v>46286.781388888892</v>
      </c>
      <c r="J405" t="s">
        <v>468</v>
      </c>
      <c r="K405" t="s">
        <v>444</v>
      </c>
      <c r="L405" s="196">
        <v>46285</v>
      </c>
      <c r="M405" t="s">
        <v>439</v>
      </c>
      <c r="N405" t="s">
        <v>231</v>
      </c>
      <c r="O405" t="s">
        <v>232</v>
      </c>
      <c r="P405">
        <v>1</v>
      </c>
      <c r="Q405" t="s">
        <v>247</v>
      </c>
    </row>
    <row r="406" spans="1:17" s="25" customFormat="1" hidden="1">
      <c r="A406" s="111">
        <v>8.0489201851851842E-3</v>
      </c>
      <c r="B406" t="s">
        <v>97</v>
      </c>
      <c r="C406"/>
      <c r="D406"/>
      <c r="E406" t="s">
        <v>87</v>
      </c>
      <c r="F406"/>
      <c r="G406" t="s">
        <v>98</v>
      </c>
      <c r="H406"/>
      <c r="I406" s="197">
        <v>46286.776805555557</v>
      </c>
      <c r="J406" t="s">
        <v>468</v>
      </c>
      <c r="K406" t="s">
        <v>444</v>
      </c>
      <c r="L406" s="196">
        <v>46285</v>
      </c>
      <c r="M406" t="s">
        <v>439</v>
      </c>
      <c r="N406" t="s">
        <v>231</v>
      </c>
      <c r="O406" t="s">
        <v>232</v>
      </c>
      <c r="P406">
        <v>1</v>
      </c>
      <c r="Q406" t="s">
        <v>247</v>
      </c>
    </row>
    <row r="407" spans="1:17" s="25" customFormat="1" hidden="1">
      <c r="A407" s="111">
        <v>8.0489201851851842E-3</v>
      </c>
      <c r="B407" t="s">
        <v>97</v>
      </c>
      <c r="C407" t="s">
        <v>484</v>
      </c>
      <c r="D407"/>
      <c r="E407" t="s">
        <v>103</v>
      </c>
      <c r="F407"/>
      <c r="G407" t="s">
        <v>98</v>
      </c>
      <c r="H407"/>
      <c r="I407" s="197">
        <v>46286.776805555557</v>
      </c>
      <c r="J407" t="s">
        <v>468</v>
      </c>
      <c r="K407" t="s">
        <v>444</v>
      </c>
      <c r="L407" s="196">
        <v>46285</v>
      </c>
      <c r="M407" t="s">
        <v>439</v>
      </c>
      <c r="N407" t="s">
        <v>231</v>
      </c>
      <c r="O407" t="s">
        <v>232</v>
      </c>
      <c r="P407">
        <v>1</v>
      </c>
      <c r="Q407" t="s">
        <v>247</v>
      </c>
    </row>
    <row r="408" spans="1:17" s="25" customFormat="1" hidden="1">
      <c r="A408" s="111">
        <v>8.0089788425925929E-3</v>
      </c>
      <c r="B408" t="s">
        <v>97</v>
      </c>
      <c r="C408" t="s">
        <v>484</v>
      </c>
      <c r="D408"/>
      <c r="E408" t="s">
        <v>462</v>
      </c>
      <c r="F408"/>
      <c r="G408" t="s">
        <v>98</v>
      </c>
      <c r="H408"/>
      <c r="I408" s="197">
        <v>46286.776770833334</v>
      </c>
      <c r="J408" t="s">
        <v>468</v>
      </c>
      <c r="K408" t="s">
        <v>444</v>
      </c>
      <c r="L408" s="196">
        <v>46285</v>
      </c>
      <c r="M408" t="s">
        <v>439</v>
      </c>
      <c r="N408" t="s">
        <v>231</v>
      </c>
      <c r="O408" t="s">
        <v>232</v>
      </c>
      <c r="P408">
        <v>1</v>
      </c>
      <c r="Q408" t="s">
        <v>247</v>
      </c>
    </row>
    <row r="409" spans="1:17" s="25" customFormat="1" hidden="1">
      <c r="A409" s="111">
        <v>7.9015881597222226E-3</v>
      </c>
      <c r="B409" t="s">
        <v>97</v>
      </c>
      <c r="C409" t="s">
        <v>480</v>
      </c>
      <c r="D409"/>
      <c r="E409" t="s">
        <v>463</v>
      </c>
      <c r="F409"/>
      <c r="G409" t="s">
        <v>98</v>
      </c>
      <c r="H409"/>
      <c r="I409" s="197">
        <v>46286.776631944442</v>
      </c>
      <c r="J409" t="s">
        <v>468</v>
      </c>
      <c r="K409" t="s">
        <v>444</v>
      </c>
      <c r="L409" s="196">
        <v>46285</v>
      </c>
      <c r="M409" t="s">
        <v>439</v>
      </c>
      <c r="N409" t="s">
        <v>231</v>
      </c>
      <c r="O409" t="s">
        <v>232</v>
      </c>
      <c r="P409">
        <v>1</v>
      </c>
      <c r="Q409" t="s">
        <v>247</v>
      </c>
    </row>
    <row r="410" spans="1:17" s="25" customFormat="1" hidden="1">
      <c r="A410" s="111">
        <v>7.8405743171296293E-3</v>
      </c>
      <c r="B410" t="s">
        <v>97</v>
      </c>
      <c r="C410" t="s">
        <v>484</v>
      </c>
      <c r="D410"/>
      <c r="E410" t="s">
        <v>463</v>
      </c>
      <c r="F410"/>
      <c r="G410" t="s">
        <v>98</v>
      </c>
      <c r="H410"/>
      <c r="I410" s="197">
        <v>46286.776261574072</v>
      </c>
      <c r="J410" t="s">
        <v>468</v>
      </c>
      <c r="K410" t="s">
        <v>444</v>
      </c>
      <c r="L410" s="196">
        <v>46285</v>
      </c>
      <c r="M410" t="s">
        <v>439</v>
      </c>
      <c r="N410" t="s">
        <v>231</v>
      </c>
      <c r="O410" t="s">
        <v>232</v>
      </c>
      <c r="P410">
        <v>1</v>
      </c>
      <c r="Q410" t="s">
        <v>247</v>
      </c>
    </row>
    <row r="411" spans="1:17" s="25" customFormat="1" hidden="1">
      <c r="A411" s="111">
        <v>7.7746638888888889E-3</v>
      </c>
      <c r="B411" t="s">
        <v>97</v>
      </c>
      <c r="C411" t="s">
        <v>472</v>
      </c>
      <c r="D411"/>
      <c r="E411" t="s">
        <v>462</v>
      </c>
      <c r="F411"/>
      <c r="G411" t="s">
        <v>98</v>
      </c>
      <c r="H411"/>
      <c r="I411" s="197">
        <v>46286.775208333333</v>
      </c>
      <c r="J411" t="s">
        <v>468</v>
      </c>
      <c r="K411" t="s">
        <v>444</v>
      </c>
      <c r="L411" s="196">
        <v>46285</v>
      </c>
      <c r="M411" t="s">
        <v>439</v>
      </c>
      <c r="N411" t="s">
        <v>231</v>
      </c>
      <c r="O411" t="s">
        <v>232</v>
      </c>
      <c r="P411">
        <v>1</v>
      </c>
      <c r="Q411" t="s">
        <v>247</v>
      </c>
    </row>
    <row r="412" spans="1:17" s="25" customFormat="1" hidden="1">
      <c r="A412" s="111">
        <v>7.6788570486111115E-3</v>
      </c>
      <c r="B412" t="s">
        <v>97</v>
      </c>
      <c r="C412" t="s">
        <v>478</v>
      </c>
      <c r="D412"/>
      <c r="E412" t="s">
        <v>462</v>
      </c>
      <c r="F412"/>
      <c r="G412" t="s">
        <v>98</v>
      </c>
      <c r="H412"/>
      <c r="I412" s="197">
        <v>46286.774861111109</v>
      </c>
      <c r="J412" t="s">
        <v>468</v>
      </c>
      <c r="K412" t="s">
        <v>444</v>
      </c>
      <c r="L412" s="196">
        <v>46285</v>
      </c>
      <c r="M412" t="s">
        <v>439</v>
      </c>
      <c r="N412" t="s">
        <v>231</v>
      </c>
      <c r="O412" t="s">
        <v>232</v>
      </c>
      <c r="P412">
        <v>1</v>
      </c>
      <c r="Q412" t="s">
        <v>247</v>
      </c>
    </row>
    <row r="413" spans="1:17" s="25" customFormat="1" hidden="1">
      <c r="A413" s="111">
        <v>7.6062764583333334E-3</v>
      </c>
      <c r="B413" t="s">
        <v>97</v>
      </c>
      <c r="C413" t="s">
        <v>494</v>
      </c>
      <c r="D413"/>
      <c r="E413" t="s">
        <v>462</v>
      </c>
      <c r="F413"/>
      <c r="G413" t="s">
        <v>98</v>
      </c>
      <c r="H413"/>
      <c r="I413" s="197">
        <v>46286.774525462963</v>
      </c>
      <c r="J413" t="s">
        <v>468</v>
      </c>
      <c r="K413" t="s">
        <v>444</v>
      </c>
      <c r="L413" s="196">
        <v>46285</v>
      </c>
      <c r="M413" t="s">
        <v>439</v>
      </c>
      <c r="N413" t="s">
        <v>231</v>
      </c>
      <c r="O413" t="s">
        <v>232</v>
      </c>
      <c r="P413">
        <v>1</v>
      </c>
      <c r="Q413" t="s">
        <v>247</v>
      </c>
    </row>
    <row r="414" spans="1:17" s="25" customFormat="1" hidden="1">
      <c r="A414" s="111">
        <v>7.5956883449074071E-3</v>
      </c>
      <c r="B414" t="s">
        <v>97</v>
      </c>
      <c r="C414" t="s">
        <v>488</v>
      </c>
      <c r="D414"/>
      <c r="E414" t="s">
        <v>463</v>
      </c>
      <c r="F414"/>
      <c r="G414" t="s">
        <v>98</v>
      </c>
      <c r="H414"/>
      <c r="I414" s="197">
        <v>46286.774340277778</v>
      </c>
      <c r="J414" t="s">
        <v>468</v>
      </c>
      <c r="K414" t="s">
        <v>444</v>
      </c>
      <c r="L414" s="196">
        <v>46285</v>
      </c>
      <c r="M414" t="s">
        <v>439</v>
      </c>
      <c r="N414" t="s">
        <v>231</v>
      </c>
      <c r="O414" t="s">
        <v>232</v>
      </c>
      <c r="P414">
        <v>1</v>
      </c>
      <c r="Q414" t="s">
        <v>247</v>
      </c>
    </row>
    <row r="415" spans="1:17" s="25" customFormat="1" hidden="1">
      <c r="A415" s="111">
        <v>7.4278288310185188E-3</v>
      </c>
      <c r="B415" t="s">
        <v>97</v>
      </c>
      <c r="C415" t="s">
        <v>484</v>
      </c>
      <c r="D415"/>
      <c r="E415" t="s">
        <v>111</v>
      </c>
      <c r="F415"/>
      <c r="G415" t="s">
        <v>98</v>
      </c>
      <c r="H415"/>
      <c r="I415" s="197">
        <v>46286.774050925924</v>
      </c>
      <c r="J415" t="s">
        <v>468</v>
      </c>
      <c r="K415" t="s">
        <v>444</v>
      </c>
      <c r="L415" s="196">
        <v>46285</v>
      </c>
      <c r="M415" t="s">
        <v>439</v>
      </c>
      <c r="N415" t="s">
        <v>231</v>
      </c>
      <c r="O415" t="s">
        <v>232</v>
      </c>
      <c r="P415">
        <v>1</v>
      </c>
      <c r="Q415" t="s">
        <v>247</v>
      </c>
    </row>
    <row r="416" spans="1:17" s="25" customFormat="1" hidden="1">
      <c r="A416" s="111">
        <v>7.3854882060185182E-3</v>
      </c>
      <c r="B416" t="s">
        <v>97</v>
      </c>
      <c r="C416"/>
      <c r="D416"/>
      <c r="E416" t="s">
        <v>104</v>
      </c>
      <c r="F416"/>
      <c r="G416" t="s">
        <v>98</v>
      </c>
      <c r="H416"/>
      <c r="I416" s="197">
        <v>46286.773842592593</v>
      </c>
      <c r="J416" t="s">
        <v>468</v>
      </c>
      <c r="K416" t="s">
        <v>444</v>
      </c>
      <c r="L416" s="196">
        <v>46285</v>
      </c>
      <c r="M416" t="s">
        <v>439</v>
      </c>
      <c r="N416" t="s">
        <v>231</v>
      </c>
      <c r="O416" t="s">
        <v>232</v>
      </c>
      <c r="P416">
        <v>1</v>
      </c>
      <c r="Q416" t="s">
        <v>247</v>
      </c>
    </row>
    <row r="417" spans="1:17" s="25" customFormat="1" hidden="1">
      <c r="A417" s="111">
        <v>6.9193804282407408E-3</v>
      </c>
      <c r="B417" t="s">
        <v>97</v>
      </c>
      <c r="C417"/>
      <c r="D417"/>
      <c r="E417" t="s">
        <v>87</v>
      </c>
      <c r="F417"/>
      <c r="G417" t="s">
        <v>98</v>
      </c>
      <c r="H417"/>
      <c r="I417" s="197">
        <v>46286.773773148147</v>
      </c>
      <c r="J417" t="s">
        <v>468</v>
      </c>
      <c r="K417" t="s">
        <v>444</v>
      </c>
      <c r="L417" s="196">
        <v>46285</v>
      </c>
      <c r="M417" t="s">
        <v>439</v>
      </c>
      <c r="N417" t="s">
        <v>231</v>
      </c>
      <c r="O417" t="s">
        <v>232</v>
      </c>
      <c r="P417">
        <v>1</v>
      </c>
      <c r="Q417" t="s">
        <v>247</v>
      </c>
    </row>
    <row r="418" spans="1:17" s="25" customFormat="1" hidden="1">
      <c r="A418" s="111">
        <v>6.8517007407407409E-3</v>
      </c>
      <c r="B418" t="s">
        <v>97</v>
      </c>
      <c r="C418"/>
      <c r="D418"/>
      <c r="E418" t="s">
        <v>184</v>
      </c>
      <c r="F418"/>
      <c r="G418" t="s">
        <v>98</v>
      </c>
      <c r="H418"/>
      <c r="I418" s="197">
        <v>46286.7737037037</v>
      </c>
      <c r="J418" t="s">
        <v>468</v>
      </c>
      <c r="K418" t="s">
        <v>444</v>
      </c>
      <c r="L418" s="196">
        <v>46285</v>
      </c>
      <c r="M418" t="s">
        <v>439</v>
      </c>
      <c r="N418" t="s">
        <v>231</v>
      </c>
      <c r="O418" t="s">
        <v>232</v>
      </c>
      <c r="P418">
        <v>1</v>
      </c>
      <c r="Q418" t="s">
        <v>247</v>
      </c>
    </row>
    <row r="419" spans="1:17" s="25" customFormat="1" hidden="1">
      <c r="A419" s="111">
        <v>6.7542376620370378E-3</v>
      </c>
      <c r="B419" t="s">
        <v>97</v>
      </c>
      <c r="C419" t="s">
        <v>498</v>
      </c>
      <c r="D419"/>
      <c r="E419" t="s">
        <v>463</v>
      </c>
      <c r="F419"/>
      <c r="G419" t="s">
        <v>98</v>
      </c>
      <c r="H419"/>
      <c r="I419" s="197">
        <v>46286.773541666669</v>
      </c>
      <c r="J419" t="s">
        <v>468</v>
      </c>
      <c r="K419" t="s">
        <v>444</v>
      </c>
      <c r="L419" s="196">
        <v>46285</v>
      </c>
      <c r="M419" t="s">
        <v>439</v>
      </c>
      <c r="N419" t="s">
        <v>231</v>
      </c>
      <c r="O419" t="s">
        <v>232</v>
      </c>
      <c r="P419">
        <v>1</v>
      </c>
      <c r="Q419" t="s">
        <v>247</v>
      </c>
    </row>
    <row r="420" spans="1:17" s="25" customFormat="1" hidden="1">
      <c r="A420" s="111">
        <v>6.7077441898148139E-3</v>
      </c>
      <c r="B420" t="s">
        <v>97</v>
      </c>
      <c r="C420"/>
      <c r="D420"/>
      <c r="E420" t="s">
        <v>186</v>
      </c>
      <c r="F420"/>
      <c r="G420" t="s">
        <v>98</v>
      </c>
      <c r="H420"/>
      <c r="I420" s="197">
        <v>46286.773298611108</v>
      </c>
      <c r="J420" t="s">
        <v>468</v>
      </c>
      <c r="K420" t="s">
        <v>444</v>
      </c>
      <c r="L420" s="196">
        <v>46285</v>
      </c>
      <c r="M420" t="s">
        <v>439</v>
      </c>
      <c r="N420" t="s">
        <v>231</v>
      </c>
      <c r="O420" t="s">
        <v>232</v>
      </c>
      <c r="P420">
        <v>1</v>
      </c>
      <c r="Q420" t="s">
        <v>247</v>
      </c>
    </row>
    <row r="421" spans="1:17" s="25" customFormat="1" hidden="1">
      <c r="A421" s="111">
        <v>6.6741279976851855E-3</v>
      </c>
      <c r="B421" t="s">
        <v>97</v>
      </c>
      <c r="C421"/>
      <c r="D421"/>
      <c r="E421" t="s">
        <v>184</v>
      </c>
      <c r="F421"/>
      <c r="G421" t="s">
        <v>164</v>
      </c>
      <c r="H421"/>
      <c r="I421" s="197">
        <v>46286.773252314815</v>
      </c>
      <c r="J421" t="s">
        <v>468</v>
      </c>
      <c r="K421" t="s">
        <v>444</v>
      </c>
      <c r="L421" s="196">
        <v>46285</v>
      </c>
      <c r="M421" t="s">
        <v>439</v>
      </c>
      <c r="N421" t="s">
        <v>231</v>
      </c>
      <c r="O421" t="s">
        <v>232</v>
      </c>
      <c r="P421">
        <v>1</v>
      </c>
      <c r="Q421" t="s">
        <v>247</v>
      </c>
    </row>
    <row r="422" spans="1:17" s="25" customFormat="1" hidden="1">
      <c r="A422" s="111">
        <v>6.6741279976851855E-3</v>
      </c>
      <c r="B422" t="s">
        <v>97</v>
      </c>
      <c r="C422" t="s">
        <v>482</v>
      </c>
      <c r="D422"/>
      <c r="E422" t="s">
        <v>108</v>
      </c>
      <c r="F422"/>
      <c r="G422" t="s">
        <v>164</v>
      </c>
      <c r="H422"/>
      <c r="I422" s="197">
        <v>46286.773217592592</v>
      </c>
      <c r="J422" t="s">
        <v>468</v>
      </c>
      <c r="K422" t="s">
        <v>444</v>
      </c>
      <c r="L422" s="196">
        <v>46285</v>
      </c>
      <c r="M422" t="s">
        <v>439</v>
      </c>
      <c r="N422" t="s">
        <v>231</v>
      </c>
      <c r="O422" t="s">
        <v>232</v>
      </c>
      <c r="P422">
        <v>1</v>
      </c>
      <c r="Q422" t="s">
        <v>247</v>
      </c>
    </row>
    <row r="423" spans="1:17" s="25" customFormat="1" hidden="1">
      <c r="A423" s="111">
        <v>6.662565671296296E-3</v>
      </c>
      <c r="B423" t="s">
        <v>97</v>
      </c>
      <c r="C423" t="s">
        <v>496</v>
      </c>
      <c r="D423"/>
      <c r="E423" t="s">
        <v>59</v>
      </c>
      <c r="F423"/>
      <c r="G423" t="s">
        <v>164</v>
      </c>
      <c r="H423"/>
      <c r="I423" s="197">
        <v>46286.772673611114</v>
      </c>
      <c r="J423" t="s">
        <v>468</v>
      </c>
      <c r="K423" t="s">
        <v>444</v>
      </c>
      <c r="L423" s="196">
        <v>46285</v>
      </c>
      <c r="M423" t="s">
        <v>439</v>
      </c>
      <c r="N423" t="s">
        <v>231</v>
      </c>
      <c r="O423" t="s">
        <v>232</v>
      </c>
      <c r="P423">
        <v>1</v>
      </c>
      <c r="Q423" t="s">
        <v>247</v>
      </c>
    </row>
    <row r="424" spans="1:17" s="25" customFormat="1" hidden="1">
      <c r="A424" s="111">
        <v>6.6523359027777784E-3</v>
      </c>
      <c r="B424" t="s">
        <v>97</v>
      </c>
      <c r="C424"/>
      <c r="D424"/>
      <c r="E424" t="s">
        <v>188</v>
      </c>
      <c r="F424"/>
      <c r="G424" t="s">
        <v>164</v>
      </c>
      <c r="H424"/>
      <c r="I424" s="197">
        <v>46286.772511574076</v>
      </c>
      <c r="J424" t="s">
        <v>468</v>
      </c>
      <c r="K424" t="s">
        <v>444</v>
      </c>
      <c r="L424" s="196">
        <v>46285</v>
      </c>
      <c r="M424" t="s">
        <v>439</v>
      </c>
      <c r="N424" t="s">
        <v>231</v>
      </c>
      <c r="O424" t="s">
        <v>232</v>
      </c>
      <c r="P424">
        <v>1</v>
      </c>
      <c r="Q424" t="s">
        <v>247</v>
      </c>
    </row>
    <row r="425" spans="1:17" s="25" customFormat="1" hidden="1">
      <c r="A425" s="111">
        <v>6.6089273726851862E-3</v>
      </c>
      <c r="B425" t="s">
        <v>97</v>
      </c>
      <c r="C425"/>
      <c r="D425"/>
      <c r="E425" t="s">
        <v>184</v>
      </c>
      <c r="F425"/>
      <c r="G425" t="s">
        <v>98</v>
      </c>
      <c r="H425"/>
      <c r="I425" s="197">
        <v>46286.771886574075</v>
      </c>
      <c r="J425" t="s">
        <v>468</v>
      </c>
      <c r="K425" t="s">
        <v>444</v>
      </c>
      <c r="L425" s="196">
        <v>46285</v>
      </c>
      <c r="M425" t="s">
        <v>439</v>
      </c>
      <c r="N425" t="s">
        <v>231</v>
      </c>
      <c r="O425" t="s">
        <v>232</v>
      </c>
      <c r="P425">
        <v>1</v>
      </c>
      <c r="Q425" t="s">
        <v>247</v>
      </c>
    </row>
    <row r="426" spans="1:17" s="25" customFormat="1" hidden="1">
      <c r="A426" s="111">
        <v>6.5513838773148154E-3</v>
      </c>
      <c r="B426" t="s">
        <v>97</v>
      </c>
      <c r="C426" t="s">
        <v>482</v>
      </c>
      <c r="D426"/>
      <c r="E426" t="s">
        <v>462</v>
      </c>
      <c r="F426"/>
      <c r="G426" t="s">
        <v>98</v>
      </c>
      <c r="H426"/>
      <c r="I426" s="197">
        <v>46286.771724537037</v>
      </c>
      <c r="J426" t="s">
        <v>468</v>
      </c>
      <c r="K426" t="s">
        <v>444</v>
      </c>
      <c r="L426" s="196">
        <v>46285</v>
      </c>
      <c r="M426" t="s">
        <v>439</v>
      </c>
      <c r="N426" t="s">
        <v>231</v>
      </c>
      <c r="O426" t="s">
        <v>232</v>
      </c>
      <c r="P426">
        <v>1</v>
      </c>
      <c r="Q426" t="s">
        <v>247</v>
      </c>
    </row>
    <row r="427" spans="1:17" s="25" customFormat="1" hidden="1">
      <c r="A427" s="111">
        <v>6.5281564699074075E-3</v>
      </c>
      <c r="B427" t="s">
        <v>97</v>
      </c>
      <c r="C427" t="s">
        <v>488</v>
      </c>
      <c r="D427"/>
      <c r="E427" t="s">
        <v>462</v>
      </c>
      <c r="F427"/>
      <c r="G427" t="s">
        <v>98</v>
      </c>
      <c r="H427"/>
      <c r="I427" s="197">
        <v>46286.771469907406</v>
      </c>
      <c r="J427" t="s">
        <v>468</v>
      </c>
      <c r="K427" t="s">
        <v>444</v>
      </c>
      <c r="L427" s="196">
        <v>46285</v>
      </c>
      <c r="M427" t="s">
        <v>439</v>
      </c>
      <c r="N427" t="s">
        <v>231</v>
      </c>
      <c r="O427" t="s">
        <v>232</v>
      </c>
      <c r="P427">
        <v>1</v>
      </c>
      <c r="Q427" t="s">
        <v>247</v>
      </c>
    </row>
    <row r="428" spans="1:17" s="25" customFormat="1" hidden="1">
      <c r="A428" s="111">
        <v>6.4991137615740737E-3</v>
      </c>
      <c r="B428" t="s">
        <v>97</v>
      </c>
      <c r="C428"/>
      <c r="D428"/>
      <c r="E428" t="s">
        <v>186</v>
      </c>
      <c r="F428"/>
      <c r="G428" t="s">
        <v>98</v>
      </c>
      <c r="H428"/>
      <c r="I428" s="197">
        <v>46286.771354166667</v>
      </c>
      <c r="J428" t="s">
        <v>468</v>
      </c>
      <c r="K428" t="s">
        <v>444</v>
      </c>
      <c r="L428" s="196">
        <v>46285</v>
      </c>
      <c r="M428" t="s">
        <v>439</v>
      </c>
      <c r="N428" t="s">
        <v>231</v>
      </c>
      <c r="O428" t="s">
        <v>232</v>
      </c>
      <c r="P428">
        <v>1</v>
      </c>
      <c r="Q428" t="s">
        <v>247</v>
      </c>
    </row>
    <row r="429" spans="1:17" s="25" customFormat="1" hidden="1">
      <c r="A429" s="111">
        <v>6.4525908449074064E-3</v>
      </c>
      <c r="B429" t="s">
        <v>97</v>
      </c>
      <c r="C429"/>
      <c r="D429"/>
      <c r="E429" t="s">
        <v>100</v>
      </c>
      <c r="F429"/>
      <c r="G429" t="s">
        <v>164</v>
      </c>
      <c r="H429"/>
      <c r="I429" s="197">
        <v>46286.771192129629</v>
      </c>
      <c r="J429" t="s">
        <v>468</v>
      </c>
      <c r="K429" t="s">
        <v>444</v>
      </c>
      <c r="L429" s="196">
        <v>46285</v>
      </c>
      <c r="M429" t="s">
        <v>439</v>
      </c>
      <c r="N429" t="s">
        <v>231</v>
      </c>
      <c r="O429" t="s">
        <v>232</v>
      </c>
      <c r="P429">
        <v>1</v>
      </c>
      <c r="Q429" t="s">
        <v>247</v>
      </c>
    </row>
    <row r="430" spans="1:17" s="25" customFormat="1" hidden="1">
      <c r="A430" s="111">
        <v>6.1737933912037034E-3</v>
      </c>
      <c r="B430" t="s">
        <v>97</v>
      </c>
      <c r="C430" t="s">
        <v>486</v>
      </c>
      <c r="D430"/>
      <c r="E430" t="s">
        <v>115</v>
      </c>
      <c r="F430"/>
      <c r="G430" t="s">
        <v>98</v>
      </c>
      <c r="H430"/>
      <c r="I430" s="197">
        <v>46286.770416666666</v>
      </c>
      <c r="J430" t="s">
        <v>468</v>
      </c>
      <c r="K430" t="s">
        <v>444</v>
      </c>
      <c r="L430" s="196">
        <v>46285</v>
      </c>
      <c r="M430" t="s">
        <v>439</v>
      </c>
      <c r="N430" t="s">
        <v>231</v>
      </c>
      <c r="O430" t="s">
        <v>232</v>
      </c>
      <c r="P430">
        <v>1</v>
      </c>
      <c r="Q430" t="s">
        <v>247</v>
      </c>
    </row>
    <row r="431" spans="1:17" s="25" customFormat="1" hidden="1">
      <c r="A431" s="111">
        <v>5.416033923611111E-3</v>
      </c>
      <c r="B431" t="s">
        <v>97</v>
      </c>
      <c r="C431"/>
      <c r="D431"/>
      <c r="E431" t="s">
        <v>87</v>
      </c>
      <c r="F431"/>
      <c r="G431" t="s">
        <v>98</v>
      </c>
      <c r="H431"/>
      <c r="I431" s="197">
        <v>46286.770196759258</v>
      </c>
      <c r="J431" t="s">
        <v>468</v>
      </c>
      <c r="K431" t="s">
        <v>444</v>
      </c>
      <c r="L431" s="196">
        <v>46285</v>
      </c>
      <c r="M431" t="s">
        <v>439</v>
      </c>
      <c r="N431" t="s">
        <v>231</v>
      </c>
      <c r="O431" t="s">
        <v>232</v>
      </c>
      <c r="P431">
        <v>1</v>
      </c>
      <c r="Q431" t="s">
        <v>247</v>
      </c>
    </row>
    <row r="432" spans="1:17" s="25" customFormat="1" hidden="1">
      <c r="A432" s="111">
        <v>5.416033923611111E-3</v>
      </c>
      <c r="B432" t="s">
        <v>97</v>
      </c>
      <c r="C432" t="s">
        <v>488</v>
      </c>
      <c r="D432"/>
      <c r="E432" t="s">
        <v>103</v>
      </c>
      <c r="F432"/>
      <c r="G432" t="s">
        <v>98</v>
      </c>
      <c r="H432"/>
      <c r="I432" s="197">
        <v>46286.770196759258</v>
      </c>
      <c r="J432" t="s">
        <v>468</v>
      </c>
      <c r="K432" t="s">
        <v>444</v>
      </c>
      <c r="L432" s="196">
        <v>46285</v>
      </c>
      <c r="M432" t="s">
        <v>439</v>
      </c>
      <c r="N432" t="s">
        <v>231</v>
      </c>
      <c r="O432" t="s">
        <v>232</v>
      </c>
      <c r="P432">
        <v>1</v>
      </c>
      <c r="Q432" t="s">
        <v>247</v>
      </c>
    </row>
    <row r="433" spans="1:17" s="25" customFormat="1" hidden="1">
      <c r="A433" s="111">
        <v>5.208333333333333E-3</v>
      </c>
      <c r="B433" t="s">
        <v>97</v>
      </c>
      <c r="C433" t="s">
        <v>482</v>
      </c>
      <c r="D433"/>
      <c r="E433" t="s">
        <v>111</v>
      </c>
      <c r="F433"/>
      <c r="G433" t="s">
        <v>98</v>
      </c>
      <c r="H433"/>
      <c r="I433" s="197">
        <v>46286.769907407404</v>
      </c>
      <c r="J433" t="s">
        <v>468</v>
      </c>
      <c r="K433" t="s">
        <v>444</v>
      </c>
      <c r="L433" s="196">
        <v>46285</v>
      </c>
      <c r="M433" t="s">
        <v>439</v>
      </c>
      <c r="N433" t="s">
        <v>231</v>
      </c>
      <c r="O433" t="s">
        <v>232</v>
      </c>
      <c r="P433">
        <v>1</v>
      </c>
      <c r="Q433" t="s">
        <v>247</v>
      </c>
    </row>
    <row r="434" spans="1:17" s="25" customFormat="1" hidden="1">
      <c r="A434" s="111">
        <v>5.1716638541666662E-3</v>
      </c>
      <c r="B434" t="s">
        <v>97</v>
      </c>
      <c r="C434"/>
      <c r="D434"/>
      <c r="E434" t="s">
        <v>104</v>
      </c>
      <c r="F434"/>
      <c r="G434" t="s">
        <v>98</v>
      </c>
      <c r="H434"/>
      <c r="I434" s="197">
        <v>46286.769629629627</v>
      </c>
      <c r="J434" t="s">
        <v>468</v>
      </c>
      <c r="K434" t="s">
        <v>444</v>
      </c>
      <c r="L434" s="196">
        <v>46285</v>
      </c>
      <c r="M434" t="s">
        <v>439</v>
      </c>
      <c r="N434" t="s">
        <v>231</v>
      </c>
      <c r="O434" t="s">
        <v>232</v>
      </c>
      <c r="P434">
        <v>1</v>
      </c>
      <c r="Q434" t="s">
        <v>247</v>
      </c>
    </row>
    <row r="435" spans="1:17" s="25" customFormat="1" hidden="1">
      <c r="A435" s="111">
        <v>4.7951692361111109E-3</v>
      </c>
      <c r="B435" t="s">
        <v>97</v>
      </c>
      <c r="C435"/>
      <c r="D435"/>
      <c r="E435" t="s">
        <v>87</v>
      </c>
      <c r="F435"/>
      <c r="G435" t="s">
        <v>98</v>
      </c>
      <c r="H435"/>
      <c r="I435" s="197">
        <v>46286.769548611112</v>
      </c>
      <c r="J435" t="s">
        <v>468</v>
      </c>
      <c r="K435" t="s">
        <v>444</v>
      </c>
      <c r="L435" s="196">
        <v>46285</v>
      </c>
      <c r="M435" t="s">
        <v>439</v>
      </c>
      <c r="N435" t="s">
        <v>231</v>
      </c>
      <c r="O435" t="s">
        <v>232</v>
      </c>
      <c r="P435">
        <v>1</v>
      </c>
      <c r="Q435" t="s">
        <v>247</v>
      </c>
    </row>
    <row r="436" spans="1:17" s="25" customFormat="1" hidden="1">
      <c r="A436" s="111">
        <v>4.7303448958333329E-3</v>
      </c>
      <c r="B436" t="s">
        <v>97</v>
      </c>
      <c r="C436"/>
      <c r="D436"/>
      <c r="E436" t="s">
        <v>184</v>
      </c>
      <c r="F436"/>
      <c r="G436" t="s">
        <v>98</v>
      </c>
      <c r="H436"/>
      <c r="I436" s="197">
        <v>46286.769479166665</v>
      </c>
      <c r="J436" t="s">
        <v>468</v>
      </c>
      <c r="K436" t="s">
        <v>444</v>
      </c>
      <c r="L436" s="196">
        <v>46285</v>
      </c>
      <c r="M436" t="s">
        <v>439</v>
      </c>
      <c r="N436" t="s">
        <v>231</v>
      </c>
      <c r="O436" t="s">
        <v>232</v>
      </c>
      <c r="P436">
        <v>1</v>
      </c>
      <c r="Q436" t="s">
        <v>247</v>
      </c>
    </row>
    <row r="437" spans="1:17" s="25" customFormat="1" hidden="1">
      <c r="A437" s="111">
        <v>4.6504683796296303E-3</v>
      </c>
      <c r="B437" t="s">
        <v>97</v>
      </c>
      <c r="C437" t="s">
        <v>484</v>
      </c>
      <c r="D437"/>
      <c r="E437" t="s">
        <v>462</v>
      </c>
      <c r="F437"/>
      <c r="G437" t="s">
        <v>98</v>
      </c>
      <c r="H437"/>
      <c r="I437" s="197">
        <v>46286.769375000003</v>
      </c>
      <c r="J437" t="s">
        <v>468</v>
      </c>
      <c r="K437" t="s">
        <v>444</v>
      </c>
      <c r="L437" s="196">
        <v>46285</v>
      </c>
      <c r="M437" t="s">
        <v>439</v>
      </c>
      <c r="N437" t="s">
        <v>231</v>
      </c>
      <c r="O437" t="s">
        <v>232</v>
      </c>
      <c r="P437">
        <v>1</v>
      </c>
      <c r="Q437" t="s">
        <v>247</v>
      </c>
    </row>
    <row r="438" spans="1:17" s="25" customFormat="1" hidden="1">
      <c r="A438" s="111">
        <v>4.5518508333333334E-3</v>
      </c>
      <c r="B438" t="s">
        <v>97</v>
      </c>
      <c r="C438" t="s">
        <v>482</v>
      </c>
      <c r="D438"/>
      <c r="E438" t="s">
        <v>462</v>
      </c>
      <c r="F438"/>
      <c r="G438" t="s">
        <v>98</v>
      </c>
      <c r="H438"/>
      <c r="I438" s="197">
        <v>46286.769155092596</v>
      </c>
      <c r="J438" t="s">
        <v>468</v>
      </c>
      <c r="K438" t="s">
        <v>444</v>
      </c>
      <c r="L438" s="196">
        <v>46285</v>
      </c>
      <c r="M438" t="s">
        <v>439</v>
      </c>
      <c r="N438" t="s">
        <v>231</v>
      </c>
      <c r="O438" t="s">
        <v>232</v>
      </c>
      <c r="P438">
        <v>1</v>
      </c>
      <c r="Q438" t="s">
        <v>247</v>
      </c>
    </row>
    <row r="439" spans="1:17" s="25" customFormat="1" hidden="1">
      <c r="A439" s="111">
        <v>4.4877009606481486E-3</v>
      </c>
      <c r="B439" t="s">
        <v>97</v>
      </c>
      <c r="C439" t="s">
        <v>488</v>
      </c>
      <c r="D439"/>
      <c r="E439" t="s">
        <v>304</v>
      </c>
      <c r="F439"/>
      <c r="G439" t="s">
        <v>98</v>
      </c>
      <c r="H439"/>
      <c r="I439" s="197">
        <v>46286.768252314818</v>
      </c>
      <c r="J439" t="s">
        <v>468</v>
      </c>
      <c r="K439" t="s">
        <v>444</v>
      </c>
      <c r="L439" s="196">
        <v>46285</v>
      </c>
      <c r="M439" t="s">
        <v>439</v>
      </c>
      <c r="N439" t="s">
        <v>231</v>
      </c>
      <c r="O439" t="s">
        <v>232</v>
      </c>
      <c r="P439">
        <v>1</v>
      </c>
      <c r="Q439" t="s">
        <v>247</v>
      </c>
    </row>
    <row r="440" spans="1:17" s="25" customFormat="1" hidden="1">
      <c r="A440" s="111">
        <v>4.4648595138888887E-3</v>
      </c>
      <c r="B440" t="s">
        <v>97</v>
      </c>
      <c r="C440" t="s">
        <v>484</v>
      </c>
      <c r="D440"/>
      <c r="E440" t="s">
        <v>463</v>
      </c>
      <c r="F440"/>
      <c r="G440" t="s">
        <v>98</v>
      </c>
      <c r="H440"/>
      <c r="I440" s="197">
        <v>46286.768043981479</v>
      </c>
      <c r="J440" t="s">
        <v>468</v>
      </c>
      <c r="K440" t="s">
        <v>444</v>
      </c>
      <c r="L440" s="196">
        <v>46285</v>
      </c>
      <c r="M440" t="s">
        <v>439</v>
      </c>
      <c r="N440" t="s">
        <v>231</v>
      </c>
      <c r="O440" t="s">
        <v>232</v>
      </c>
      <c r="P440">
        <v>1</v>
      </c>
      <c r="Q440" t="s">
        <v>247</v>
      </c>
    </row>
    <row r="441" spans="1:17" s="25" customFormat="1">
      <c r="A441" s="111">
        <v>4.4202123726851845E-3</v>
      </c>
      <c r="B441" t="s">
        <v>97</v>
      </c>
      <c r="C441"/>
      <c r="D441"/>
      <c r="E441" t="s">
        <v>279</v>
      </c>
      <c r="F441"/>
      <c r="G441" t="s">
        <v>98</v>
      </c>
      <c r="H441"/>
      <c r="I441" s="197">
        <v>46286.767789351848</v>
      </c>
      <c r="J441" t="s">
        <v>468</v>
      </c>
      <c r="K441" t="s">
        <v>444</v>
      </c>
      <c r="L441" s="196">
        <v>46285</v>
      </c>
      <c r="M441" t="s">
        <v>439</v>
      </c>
      <c r="N441" t="s">
        <v>231</v>
      </c>
      <c r="O441" t="s">
        <v>232</v>
      </c>
      <c r="P441">
        <v>1</v>
      </c>
      <c r="Q441" t="s">
        <v>247</v>
      </c>
    </row>
    <row r="442" spans="1:17" s="25" customFormat="1">
      <c r="A442" s="111">
        <v>4.3649207291666667E-3</v>
      </c>
      <c r="B442" t="s">
        <v>97</v>
      </c>
      <c r="C442"/>
      <c r="D442"/>
      <c r="E442" t="s">
        <v>105</v>
      </c>
      <c r="F442"/>
      <c r="G442" t="s">
        <v>98</v>
      </c>
      <c r="H442"/>
      <c r="I442" s="197">
        <v>46286.767731481479</v>
      </c>
      <c r="J442" t="s">
        <v>468</v>
      </c>
      <c r="K442" t="s">
        <v>444</v>
      </c>
      <c r="L442" s="196">
        <v>46285</v>
      </c>
      <c r="M442" t="s">
        <v>439</v>
      </c>
      <c r="N442" t="s">
        <v>231</v>
      </c>
      <c r="O442" t="s">
        <v>232</v>
      </c>
      <c r="P442">
        <v>1</v>
      </c>
      <c r="Q442" t="s">
        <v>247</v>
      </c>
    </row>
    <row r="443" spans="1:17" s="25" customFormat="1" hidden="1">
      <c r="A443" s="111">
        <v>3.9383661458333337E-3</v>
      </c>
      <c r="B443" t="s">
        <v>97</v>
      </c>
      <c r="C443"/>
      <c r="D443"/>
      <c r="E443" t="s">
        <v>87</v>
      </c>
      <c r="F443"/>
      <c r="G443" t="s">
        <v>98</v>
      </c>
      <c r="H443"/>
      <c r="I443" s="197">
        <v>46286.767650462964</v>
      </c>
      <c r="J443" t="s">
        <v>468</v>
      </c>
      <c r="K443" t="s">
        <v>444</v>
      </c>
      <c r="L443" s="196">
        <v>46285</v>
      </c>
      <c r="M443" t="s">
        <v>439</v>
      </c>
      <c r="N443" t="s">
        <v>231</v>
      </c>
      <c r="O443" t="s">
        <v>232</v>
      </c>
      <c r="P443">
        <v>1</v>
      </c>
      <c r="Q443" t="s">
        <v>247</v>
      </c>
    </row>
    <row r="444" spans="1:17" s="25" customFormat="1" hidden="1">
      <c r="A444" s="111">
        <v>3.9383661458333337E-3</v>
      </c>
      <c r="B444" t="s">
        <v>97</v>
      </c>
      <c r="C444"/>
      <c r="D444"/>
      <c r="E444" t="s">
        <v>183</v>
      </c>
      <c r="F444"/>
      <c r="G444" t="s">
        <v>164</v>
      </c>
      <c r="H444"/>
      <c r="I444" s="197">
        <v>46286.767638888887</v>
      </c>
      <c r="J444" t="s">
        <v>468</v>
      </c>
      <c r="K444" t="s">
        <v>444</v>
      </c>
      <c r="L444" s="196">
        <v>46285</v>
      </c>
      <c r="M444" t="s">
        <v>439</v>
      </c>
      <c r="N444" t="s">
        <v>231</v>
      </c>
      <c r="O444" t="s">
        <v>232</v>
      </c>
      <c r="P444">
        <v>1</v>
      </c>
      <c r="Q444" t="s">
        <v>247</v>
      </c>
    </row>
    <row r="445" spans="1:17" s="25" customFormat="1" hidden="1">
      <c r="A445" s="111">
        <v>3.880643611111111E-3</v>
      </c>
      <c r="B445" t="s">
        <v>97</v>
      </c>
      <c r="C445" t="s">
        <v>494</v>
      </c>
      <c r="D445"/>
      <c r="E445" t="s">
        <v>108</v>
      </c>
      <c r="F445"/>
      <c r="G445" t="s">
        <v>164</v>
      </c>
      <c r="H445"/>
      <c r="I445" s="197">
        <v>46286.767465277779</v>
      </c>
      <c r="J445" t="s">
        <v>468</v>
      </c>
      <c r="K445" t="s">
        <v>444</v>
      </c>
      <c r="L445" s="196">
        <v>46285</v>
      </c>
      <c r="M445" t="s">
        <v>439</v>
      </c>
      <c r="N445" t="s">
        <v>231</v>
      </c>
      <c r="O445" t="s">
        <v>232</v>
      </c>
      <c r="P445">
        <v>1</v>
      </c>
      <c r="Q445" t="s">
        <v>247</v>
      </c>
    </row>
    <row r="446" spans="1:17" s="25" customFormat="1" hidden="1">
      <c r="A446" s="111">
        <v>3.7821358217592594E-3</v>
      </c>
      <c r="B446" t="s">
        <v>97</v>
      </c>
      <c r="C446"/>
      <c r="D446"/>
      <c r="E446" t="s">
        <v>113</v>
      </c>
      <c r="F446"/>
      <c r="G446" t="s">
        <v>164</v>
      </c>
      <c r="H446"/>
      <c r="I446" s="197">
        <v>46286.767245370371</v>
      </c>
      <c r="J446" t="s">
        <v>468</v>
      </c>
      <c r="K446" t="s">
        <v>444</v>
      </c>
      <c r="L446" s="196">
        <v>46285</v>
      </c>
      <c r="M446" t="s">
        <v>439</v>
      </c>
      <c r="N446" t="s">
        <v>231</v>
      </c>
      <c r="O446" t="s">
        <v>232</v>
      </c>
      <c r="P446">
        <v>1</v>
      </c>
      <c r="Q446" t="s">
        <v>247</v>
      </c>
    </row>
    <row r="447" spans="1:17" s="25" customFormat="1" hidden="1">
      <c r="A447" s="111">
        <v>3.7248745370370372E-3</v>
      </c>
      <c r="B447" t="s">
        <v>97</v>
      </c>
      <c r="C447"/>
      <c r="D447"/>
      <c r="E447" t="s">
        <v>104</v>
      </c>
      <c r="F447"/>
      <c r="G447" t="s">
        <v>164</v>
      </c>
      <c r="H447"/>
      <c r="I447" s="197">
        <v>46286.767164351855</v>
      </c>
      <c r="J447" t="s">
        <v>468</v>
      </c>
      <c r="K447" t="s">
        <v>444</v>
      </c>
      <c r="L447" s="196">
        <v>46285</v>
      </c>
      <c r="M447" t="s">
        <v>439</v>
      </c>
      <c r="N447" t="s">
        <v>231</v>
      </c>
      <c r="O447" t="s">
        <v>232</v>
      </c>
      <c r="P447">
        <v>1</v>
      </c>
      <c r="Q447" t="s">
        <v>247</v>
      </c>
    </row>
    <row r="448" spans="1:17" s="25" customFormat="1" hidden="1">
      <c r="A448" s="111">
        <v>3.2390547800925924E-3</v>
      </c>
      <c r="B448" t="s">
        <v>97</v>
      </c>
      <c r="C448"/>
      <c r="D448"/>
      <c r="E448" t="s">
        <v>87</v>
      </c>
      <c r="F448"/>
      <c r="G448" t="s">
        <v>164</v>
      </c>
      <c r="H448"/>
      <c r="I448" s="197">
        <v>46286.766712962963</v>
      </c>
      <c r="J448" t="s">
        <v>468</v>
      </c>
      <c r="K448" t="s">
        <v>444</v>
      </c>
      <c r="L448" s="196">
        <v>46285</v>
      </c>
      <c r="M448" t="s">
        <v>439</v>
      </c>
      <c r="N448" t="s">
        <v>231</v>
      </c>
      <c r="O448" t="s">
        <v>232</v>
      </c>
      <c r="P448">
        <v>1</v>
      </c>
      <c r="Q448" t="s">
        <v>247</v>
      </c>
    </row>
    <row r="449" spans="1:17" s="25" customFormat="1" hidden="1">
      <c r="A449" s="111">
        <v>3.2390547800925924E-3</v>
      </c>
      <c r="B449" t="s">
        <v>97</v>
      </c>
      <c r="C449" t="s">
        <v>480</v>
      </c>
      <c r="D449" t="s">
        <v>204</v>
      </c>
      <c r="E449" t="s">
        <v>214</v>
      </c>
      <c r="F449" t="s">
        <v>82</v>
      </c>
      <c r="G449" t="s">
        <v>164</v>
      </c>
      <c r="H449" t="s">
        <v>514</v>
      </c>
      <c r="I449" s="197">
        <v>46286.766712962963</v>
      </c>
      <c r="J449" t="s">
        <v>468</v>
      </c>
      <c r="K449" t="s">
        <v>444</v>
      </c>
      <c r="L449" s="196">
        <v>46285</v>
      </c>
      <c r="M449" t="s">
        <v>439</v>
      </c>
      <c r="N449" t="s">
        <v>231</v>
      </c>
      <c r="O449" t="s">
        <v>232</v>
      </c>
      <c r="P449">
        <v>1</v>
      </c>
      <c r="Q449" t="s">
        <v>247</v>
      </c>
    </row>
    <row r="450" spans="1:17" s="25" customFormat="1" hidden="1">
      <c r="A450" s="111">
        <v>3.1926003587962959E-3</v>
      </c>
      <c r="B450" t="s">
        <v>97</v>
      </c>
      <c r="C450" t="s">
        <v>498</v>
      </c>
      <c r="D450"/>
      <c r="E450" t="s">
        <v>183</v>
      </c>
      <c r="F450"/>
      <c r="G450" t="s">
        <v>98</v>
      </c>
      <c r="H450"/>
      <c r="I450" s="197">
        <v>46286.766446759262</v>
      </c>
      <c r="J450" t="s">
        <v>468</v>
      </c>
      <c r="K450" t="s">
        <v>444</v>
      </c>
      <c r="L450" s="196">
        <v>46285</v>
      </c>
      <c r="M450" t="s">
        <v>439</v>
      </c>
      <c r="N450" t="s">
        <v>231</v>
      </c>
      <c r="O450" t="s">
        <v>232</v>
      </c>
      <c r="P450">
        <v>1</v>
      </c>
      <c r="Q450" t="s">
        <v>247</v>
      </c>
    </row>
    <row r="451" spans="1:17" s="25" customFormat="1" hidden="1">
      <c r="A451" s="111">
        <v>3.1926003587962959E-3</v>
      </c>
      <c r="B451" t="s">
        <v>97</v>
      </c>
      <c r="C451"/>
      <c r="D451"/>
      <c r="E451" t="s">
        <v>186</v>
      </c>
      <c r="F451"/>
      <c r="G451" t="s">
        <v>98</v>
      </c>
      <c r="H451"/>
      <c r="I451" s="197">
        <v>46286.766365740739</v>
      </c>
      <c r="J451" t="s">
        <v>468</v>
      </c>
      <c r="K451" t="s">
        <v>444</v>
      </c>
      <c r="L451" s="196">
        <v>46285</v>
      </c>
      <c r="M451" t="s">
        <v>439</v>
      </c>
      <c r="N451" t="s">
        <v>231</v>
      </c>
      <c r="O451" t="s">
        <v>232</v>
      </c>
      <c r="P451">
        <v>1</v>
      </c>
      <c r="Q451" t="s">
        <v>247</v>
      </c>
    </row>
    <row r="452" spans="1:17" s="25" customFormat="1" hidden="1">
      <c r="A452" s="111">
        <v>3.1491012500000004E-3</v>
      </c>
      <c r="B452" t="s">
        <v>97</v>
      </c>
      <c r="C452"/>
      <c r="D452"/>
      <c r="E452" t="s">
        <v>184</v>
      </c>
      <c r="F452"/>
      <c r="G452" t="s">
        <v>164</v>
      </c>
      <c r="H452"/>
      <c r="I452" s="197">
        <v>46286.76630787037</v>
      </c>
      <c r="J452" t="s">
        <v>468</v>
      </c>
      <c r="K452" t="s">
        <v>444</v>
      </c>
      <c r="L452" s="196">
        <v>46285</v>
      </c>
      <c r="M452" t="s">
        <v>439</v>
      </c>
      <c r="N452" t="s">
        <v>231</v>
      </c>
      <c r="O452" t="s">
        <v>232</v>
      </c>
      <c r="P452">
        <v>1</v>
      </c>
      <c r="Q452" t="s">
        <v>247</v>
      </c>
    </row>
    <row r="453" spans="1:17" s="25" customFormat="1" hidden="1">
      <c r="A453" s="111">
        <v>3.0017692013888891E-3</v>
      </c>
      <c r="B453" t="s">
        <v>97</v>
      </c>
      <c r="C453" t="s">
        <v>488</v>
      </c>
      <c r="D453"/>
      <c r="E453" t="s">
        <v>108</v>
      </c>
      <c r="F453"/>
      <c r="G453" t="s">
        <v>164</v>
      </c>
      <c r="H453"/>
      <c r="I453" s="197">
        <v>46286.766134259262</v>
      </c>
      <c r="J453" t="s">
        <v>468</v>
      </c>
      <c r="K453" t="s">
        <v>444</v>
      </c>
      <c r="L453" s="196">
        <v>46285</v>
      </c>
      <c r="M453" t="s">
        <v>439</v>
      </c>
      <c r="N453" t="s">
        <v>231</v>
      </c>
      <c r="O453" t="s">
        <v>232</v>
      </c>
      <c r="P453">
        <v>1</v>
      </c>
      <c r="Q453" t="s">
        <v>247</v>
      </c>
    </row>
    <row r="454" spans="1:17" s="25" customFormat="1" hidden="1">
      <c r="A454" s="111">
        <v>2.9496648495370369E-3</v>
      </c>
      <c r="B454" t="s">
        <v>97</v>
      </c>
      <c r="C454"/>
      <c r="D454"/>
      <c r="E454" t="s">
        <v>113</v>
      </c>
      <c r="F454"/>
      <c r="G454" t="s">
        <v>164</v>
      </c>
      <c r="H454"/>
      <c r="I454" s="197">
        <v>46286.766018518516</v>
      </c>
      <c r="J454" t="s">
        <v>468</v>
      </c>
      <c r="K454" t="s">
        <v>444</v>
      </c>
      <c r="L454" s="196">
        <v>46285</v>
      </c>
      <c r="M454" t="s">
        <v>439</v>
      </c>
      <c r="N454" t="s">
        <v>231</v>
      </c>
      <c r="O454" t="s">
        <v>232</v>
      </c>
      <c r="P454">
        <v>1</v>
      </c>
      <c r="Q454" t="s">
        <v>247</v>
      </c>
    </row>
    <row r="455" spans="1:17" s="25" customFormat="1" hidden="1">
      <c r="A455" s="111">
        <v>2.8700899421296297E-3</v>
      </c>
      <c r="B455" t="s">
        <v>97</v>
      </c>
      <c r="C455"/>
      <c r="D455"/>
      <c r="E455" t="s">
        <v>104</v>
      </c>
      <c r="F455"/>
      <c r="G455" t="s">
        <v>164</v>
      </c>
      <c r="H455"/>
      <c r="I455" s="197">
        <v>46286.765902777777</v>
      </c>
      <c r="J455" t="s">
        <v>468</v>
      </c>
      <c r="K455" t="s">
        <v>444</v>
      </c>
      <c r="L455" s="196">
        <v>46285</v>
      </c>
      <c r="M455" t="s">
        <v>439</v>
      </c>
      <c r="N455" t="s">
        <v>231</v>
      </c>
      <c r="O455" t="s">
        <v>232</v>
      </c>
      <c r="P455">
        <v>1</v>
      </c>
      <c r="Q455" t="s">
        <v>247</v>
      </c>
    </row>
    <row r="456" spans="1:17" s="25" customFormat="1" hidden="1">
      <c r="A456" s="111">
        <v>2.438556377314815E-3</v>
      </c>
      <c r="B456" t="s">
        <v>97</v>
      </c>
      <c r="C456"/>
      <c r="D456"/>
      <c r="E456" t="s">
        <v>87</v>
      </c>
      <c r="F456"/>
      <c r="G456" t="s">
        <v>164</v>
      </c>
      <c r="H456"/>
      <c r="I456" s="197">
        <v>46286.765439814815</v>
      </c>
      <c r="J456" t="s">
        <v>468</v>
      </c>
      <c r="K456" t="s">
        <v>444</v>
      </c>
      <c r="L456" s="196">
        <v>46285</v>
      </c>
      <c r="M456" t="s">
        <v>439</v>
      </c>
      <c r="N456" t="s">
        <v>231</v>
      </c>
      <c r="O456" t="s">
        <v>232</v>
      </c>
      <c r="P456">
        <v>1</v>
      </c>
      <c r="Q456" t="s">
        <v>247</v>
      </c>
    </row>
    <row r="457" spans="1:17" s="25" customFormat="1" hidden="1">
      <c r="A457" s="111">
        <v>2.438556377314815E-3</v>
      </c>
      <c r="B457" t="s">
        <v>97</v>
      </c>
      <c r="C457" t="s">
        <v>480</v>
      </c>
      <c r="D457" t="s">
        <v>204</v>
      </c>
      <c r="E457" t="s">
        <v>214</v>
      </c>
      <c r="F457" t="s">
        <v>207</v>
      </c>
      <c r="G457" t="s">
        <v>164</v>
      </c>
      <c r="H457"/>
      <c r="I457" s="197">
        <v>46286.765439814815</v>
      </c>
      <c r="J457" t="s">
        <v>468</v>
      </c>
      <c r="K457" t="s">
        <v>444</v>
      </c>
      <c r="L457" s="196">
        <v>46285</v>
      </c>
      <c r="M457" t="s">
        <v>439</v>
      </c>
      <c r="N457" t="s">
        <v>231</v>
      </c>
      <c r="O457" t="s">
        <v>232</v>
      </c>
      <c r="P457">
        <v>1</v>
      </c>
      <c r="Q457" t="s">
        <v>247</v>
      </c>
    </row>
    <row r="458" spans="1:17" s="25" customFormat="1" hidden="1">
      <c r="A458" s="111">
        <v>2.3576727662037037E-3</v>
      </c>
      <c r="B458" t="s">
        <v>97</v>
      </c>
      <c r="C458" t="s">
        <v>480</v>
      </c>
      <c r="D458"/>
      <c r="E458" t="s">
        <v>108</v>
      </c>
      <c r="F458"/>
      <c r="G458" t="s">
        <v>164</v>
      </c>
      <c r="H458"/>
      <c r="I458" s="197">
        <v>46286.764803240738</v>
      </c>
      <c r="J458" t="s">
        <v>468</v>
      </c>
      <c r="K458" t="s">
        <v>444</v>
      </c>
      <c r="L458" s="196">
        <v>46285</v>
      </c>
      <c r="M458" t="s">
        <v>439</v>
      </c>
      <c r="N458" t="s">
        <v>231</v>
      </c>
      <c r="O458" t="s">
        <v>232</v>
      </c>
      <c r="P458">
        <v>1</v>
      </c>
      <c r="Q458" t="s">
        <v>247</v>
      </c>
    </row>
    <row r="459" spans="1:17" s="25" customFormat="1" hidden="1">
      <c r="A459" s="111">
        <v>2.3333458217592593E-3</v>
      </c>
      <c r="B459" t="s">
        <v>97</v>
      </c>
      <c r="C459" t="s">
        <v>484</v>
      </c>
      <c r="D459"/>
      <c r="E459" t="s">
        <v>109</v>
      </c>
      <c r="F459"/>
      <c r="G459" t="s">
        <v>98</v>
      </c>
      <c r="H459"/>
      <c r="I459" s="197">
        <v>46286.764525462961</v>
      </c>
      <c r="J459" t="s">
        <v>468</v>
      </c>
      <c r="K459" t="s">
        <v>444</v>
      </c>
      <c r="L459" s="196">
        <v>46285</v>
      </c>
      <c r="M459" t="s">
        <v>439</v>
      </c>
      <c r="N459" t="s">
        <v>231</v>
      </c>
      <c r="O459" t="s">
        <v>232</v>
      </c>
      <c r="P459">
        <v>1</v>
      </c>
      <c r="Q459" t="s">
        <v>247</v>
      </c>
    </row>
    <row r="460" spans="1:17" s="25" customFormat="1" hidden="1">
      <c r="A460" s="111">
        <v>2.2723476041666669E-3</v>
      </c>
      <c r="B460" t="s">
        <v>97</v>
      </c>
      <c r="C460"/>
      <c r="D460"/>
      <c r="E460" t="s">
        <v>104</v>
      </c>
      <c r="F460"/>
      <c r="G460" t="s">
        <v>98</v>
      </c>
      <c r="H460"/>
      <c r="I460" s="197">
        <v>46286.763356481482</v>
      </c>
      <c r="J460" t="s">
        <v>468</v>
      </c>
      <c r="K460" t="s">
        <v>444</v>
      </c>
      <c r="L460" s="196">
        <v>46285</v>
      </c>
      <c r="M460" t="s">
        <v>439</v>
      </c>
      <c r="N460" t="s">
        <v>231</v>
      </c>
      <c r="O460" t="s">
        <v>232</v>
      </c>
      <c r="P460">
        <v>1</v>
      </c>
      <c r="Q460" t="s">
        <v>247</v>
      </c>
    </row>
    <row r="461" spans="1:17" s="25" customFormat="1" hidden="1">
      <c r="A461" s="111">
        <v>2.001672037037037E-3</v>
      </c>
      <c r="B461" t="s">
        <v>97</v>
      </c>
      <c r="C461"/>
      <c r="D461"/>
      <c r="E461" t="s">
        <v>87</v>
      </c>
      <c r="F461"/>
      <c r="G461" t="s">
        <v>164</v>
      </c>
      <c r="H461"/>
      <c r="I461" s="197">
        <v>46286.763298611113</v>
      </c>
      <c r="J461" t="s">
        <v>468</v>
      </c>
      <c r="K461" t="s">
        <v>444</v>
      </c>
      <c r="L461" s="196">
        <v>46285</v>
      </c>
      <c r="M461" t="s">
        <v>439</v>
      </c>
      <c r="N461" t="s">
        <v>231</v>
      </c>
      <c r="O461" t="s">
        <v>232</v>
      </c>
      <c r="P461">
        <v>1</v>
      </c>
      <c r="Q461" t="s">
        <v>247</v>
      </c>
    </row>
    <row r="462" spans="1:17" s="25" customFormat="1" hidden="1">
      <c r="A462" s="111">
        <v>1.9401143981481483E-3</v>
      </c>
      <c r="B462" t="s">
        <v>97</v>
      </c>
      <c r="C462"/>
      <c r="D462"/>
      <c r="E462" t="s">
        <v>184</v>
      </c>
      <c r="F462"/>
      <c r="G462" t="s">
        <v>164</v>
      </c>
      <c r="H462"/>
      <c r="I462" s="197">
        <v>46286.763240740744</v>
      </c>
      <c r="J462" t="s">
        <v>468</v>
      </c>
      <c r="K462" t="s">
        <v>444</v>
      </c>
      <c r="L462" s="196">
        <v>46285</v>
      </c>
      <c r="M462" t="s">
        <v>439</v>
      </c>
      <c r="N462" t="s">
        <v>231</v>
      </c>
      <c r="O462" t="s">
        <v>232</v>
      </c>
      <c r="P462">
        <v>1</v>
      </c>
      <c r="Q462" t="s">
        <v>247</v>
      </c>
    </row>
    <row r="463" spans="1:17" s="25" customFormat="1" hidden="1">
      <c r="A463" s="111">
        <v>1.8017427662037038E-3</v>
      </c>
      <c r="B463" t="s">
        <v>97</v>
      </c>
      <c r="C463" t="s">
        <v>482</v>
      </c>
      <c r="D463"/>
      <c r="E463" t="s">
        <v>108</v>
      </c>
      <c r="F463"/>
      <c r="G463" t="s">
        <v>164</v>
      </c>
      <c r="H463"/>
      <c r="I463" s="197">
        <v>46286.763067129628</v>
      </c>
      <c r="J463" t="s">
        <v>468</v>
      </c>
      <c r="K463" t="s">
        <v>444</v>
      </c>
      <c r="L463" s="196">
        <v>46285</v>
      </c>
      <c r="M463" t="s">
        <v>439</v>
      </c>
      <c r="N463" t="s">
        <v>231</v>
      </c>
      <c r="O463" t="s">
        <v>232</v>
      </c>
      <c r="P463">
        <v>1</v>
      </c>
      <c r="Q463" t="s">
        <v>247</v>
      </c>
    </row>
    <row r="464" spans="1:17" s="25" customFormat="1" hidden="1">
      <c r="A464" s="111">
        <v>1.7741472800925926E-3</v>
      </c>
      <c r="B464" t="s">
        <v>97</v>
      </c>
      <c r="C464"/>
      <c r="D464"/>
      <c r="E464" t="s">
        <v>188</v>
      </c>
      <c r="F464"/>
      <c r="G464" t="s">
        <v>164</v>
      </c>
      <c r="H464"/>
      <c r="I464" s="197">
        <v>46286.762638888889</v>
      </c>
      <c r="J464" t="s">
        <v>468</v>
      </c>
      <c r="K464" t="s">
        <v>444</v>
      </c>
      <c r="L464" s="196">
        <v>46285</v>
      </c>
      <c r="M464" t="s">
        <v>439</v>
      </c>
      <c r="N464" t="s">
        <v>231</v>
      </c>
      <c r="O464" t="s">
        <v>232</v>
      </c>
      <c r="P464">
        <v>1</v>
      </c>
      <c r="Q464" t="s">
        <v>247</v>
      </c>
    </row>
    <row r="465" spans="1:17" s="25" customFormat="1" hidden="1">
      <c r="A465" s="111">
        <v>1.6974602430555555E-3</v>
      </c>
      <c r="B465" t="s">
        <v>97</v>
      </c>
      <c r="C465"/>
      <c r="D465"/>
      <c r="E465" t="s">
        <v>100</v>
      </c>
      <c r="F465"/>
      <c r="G465" t="s">
        <v>98</v>
      </c>
      <c r="H465"/>
      <c r="I465" s="197">
        <v>46286.762523148151</v>
      </c>
      <c r="J465" t="s">
        <v>468</v>
      </c>
      <c r="K465" t="s">
        <v>444</v>
      </c>
      <c r="L465" s="196">
        <v>46285</v>
      </c>
      <c r="M465" t="s">
        <v>439</v>
      </c>
      <c r="N465" t="s">
        <v>231</v>
      </c>
      <c r="O465" t="s">
        <v>232</v>
      </c>
      <c r="P465">
        <v>1</v>
      </c>
      <c r="Q465" t="s">
        <v>247</v>
      </c>
    </row>
    <row r="466" spans="1:17" s="25" customFormat="1"/>
    <row r="467" spans="1:17" s="25" customFormat="1"/>
    <row r="468" spans="1:17" s="25" customFormat="1"/>
    <row r="469" spans="1:17" s="25" customFormat="1"/>
    <row r="470" spans="1:17" s="25" customFormat="1"/>
    <row r="471" spans="1:17" s="25" customFormat="1"/>
    <row r="472" spans="1:17" s="25" customFormat="1"/>
    <row r="473" spans="1:17" s="25" customFormat="1"/>
    <row r="474" spans="1:17" s="25" customFormat="1"/>
    <row r="475" spans="1:17" s="25" customFormat="1"/>
    <row r="476" spans="1:17" s="25" customFormat="1"/>
    <row r="477" spans="1:17" s="25" customFormat="1"/>
    <row r="478" spans="1:17" s="25" customFormat="1"/>
    <row r="479" spans="1:17" s="25" customFormat="1"/>
    <row r="480" spans="1:17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pans="1:17" s="25" customFormat="1"/>
    <row r="546" spans="1:17" s="25" customFormat="1"/>
    <row r="547" spans="1:17" s="25" customFormat="1"/>
    <row r="548" spans="1:17" s="25" customFormat="1"/>
    <row r="549" spans="1:17" s="25" customFormat="1"/>
    <row r="550" spans="1:17" s="25" customFormat="1"/>
    <row r="551" spans="1:17" s="25" customFormat="1"/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</sheetData>
  <dataValidations count="6">
    <dataValidation type="list" allowBlank="1" showErrorMessage="1" sqref="B2:B465" xr:uid="{AFAD4C88-8288-104D-8638-1A5E0AB2D09D}">
      <formula1>LISTE_MT_JOURNAL</formula1>
    </dataValidation>
    <dataValidation type="list" allowBlank="1" showErrorMessage="1" sqref="C2:C465" xr:uid="{2FCF1FBC-402A-FF4A-B2EB-E2D3D2056AAF}">
      <formula1>LISTE_JOUEURS_JOURNAL</formula1>
    </dataValidation>
    <dataValidation type="list" allowBlank="1" showErrorMessage="1" sqref="E2:E465" xr:uid="{59AE885E-982D-2747-842E-E2D86CBBC35C}">
      <formula1>LISTE_ACTIONS_JOURNAL</formula1>
    </dataValidation>
    <dataValidation type="list" allowBlank="1" showErrorMessage="1" sqref="G2:G465" xr:uid="{AD9C4B37-F2BF-A14C-AAEF-F2775CF929D0}">
      <formula1>LISTE_EQUIPES_JOURNAL</formula1>
    </dataValidation>
    <dataValidation type="list" allowBlank="1" showErrorMessage="1" sqref="F2:F465" xr:uid="{797566E7-F032-3040-AE53-EA3B3F6A29FF}">
      <formula1>LISTE_MOTIFS_PENALITE</formula1>
    </dataValidation>
    <dataValidation type="list" allowBlank="1" showInputMessage="1" showErrorMessage="1" sqref="D2:D465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7"/>
  <sheetViews>
    <sheetView tabSelected="1" topLeftCell="A30" workbookViewId="0">
      <selection activeCell="B57" sqref="B57:K58"/>
    </sheetView>
  </sheetViews>
  <sheetFormatPr baseColWidth="10" defaultRowHeight="13"/>
  <cols>
    <col min="1" max="1" width="1.83203125" style="25" customWidth="1"/>
    <col min="2" max="2" width="18.83203125" bestFit="1" customWidth="1"/>
    <col min="3" max="4" width="11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0" style="25" hidden="1" customWidth="1"/>
    <col min="23" max="23" width="12.33203125" style="25" hidden="1" customWidth="1"/>
    <col min="24" max="24" width="13.83203125" style="25" hidden="1" customWidth="1"/>
    <col min="25" max="26" width="0" style="25" hidden="1" customWidth="1"/>
    <col min="27" max="27" width="1.83203125" style="25" customWidth="1"/>
    <col min="28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11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</row>
    <row r="4" spans="2:37" s="25" customFormat="1" ht="20" customHeight="1">
      <c r="B4" s="211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</row>
    <row r="5" spans="2:37" s="25" customFormat="1"/>
    <row r="6" spans="2:37" ht="14" customHeight="1">
      <c r="B6" s="217" t="s">
        <v>64</v>
      </c>
      <c r="C6" s="219" t="str">
        <f>ACT_PL_NORMAL</f>
        <v>Plaquage normal</v>
      </c>
      <c r="D6" s="214"/>
      <c r="E6" s="219" t="str">
        <f>ACT_PL_OFF</f>
        <v>Plaquage offensif</v>
      </c>
      <c r="F6" s="214"/>
      <c r="G6" s="219" t="str">
        <f>ACT_PL_RATE</f>
        <v>Plaquage raté</v>
      </c>
      <c r="H6" s="214"/>
      <c r="I6" s="219" t="str">
        <f>ACT_PL_A2</f>
        <v>Plaquage à 2</v>
      </c>
      <c r="J6" s="213"/>
      <c r="K6" s="213" t="str">
        <f>ACT_PL_HAUT</f>
        <v>Plaquage haut</v>
      </c>
      <c r="L6" s="214"/>
      <c r="M6" s="213" t="str">
        <f>ACT_GRATTAGE</f>
        <v>Grattage</v>
      </c>
      <c r="N6" s="214"/>
      <c r="O6" s="213" t="str">
        <f>ACT_FRANCHISSEMENT</f>
        <v>Franchissement</v>
      </c>
      <c r="P6" s="214"/>
      <c r="Q6" s="213" t="str">
        <f>ACT_AVANCEE</f>
        <v>Avancée au contact</v>
      </c>
      <c r="R6" s="214"/>
      <c r="S6" s="213" t="str">
        <f>ACT_ATT_NULLE</f>
        <v>Recul ou sans progression</v>
      </c>
      <c r="T6" s="214"/>
      <c r="U6" s="246" t="s">
        <v>286</v>
      </c>
      <c r="V6" s="247"/>
      <c r="W6" s="247"/>
      <c r="X6" s="247"/>
      <c r="Y6" s="247"/>
      <c r="Z6" s="248"/>
      <c r="AF6"/>
      <c r="AG6"/>
    </row>
    <row r="7" spans="2:37" ht="13" customHeight="1">
      <c r="B7" s="218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str" cm="1">
        <f t="array" ref="B8:B29">_xlfn._xlws.SORT(_xlfn._xlws.FILTER(COMPO[Nom du joueur],(COMPO[Nom du joueur]&lt;&gt;"")*(COMPO[Nom du joueur]&lt;&gt;"Collectif")*(COMPO[Nom du joueur]&lt;&gt;"?")))</f>
        <v>BAQUE Lucas</v>
      </c>
      <c r="C8" s="61">
        <f>IF(COUNTIFS(JournalActions[Joueur],$B8,JournalActions[Action],$C$6,JournalActions[Mi-temps],C$7)=0,"",COUNTIFS(JournalActions[Joueur],$B8,JournalActions[Action],$C$6,JournalActions[Mi-temps],C$7))</f>
        <v>3</v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>
        <f>IF(COUNTIFS(JournalActions[Joueur],$B8,JournalActions[Action],$O$6,JournalActions[Mi-temps],O$7)=0,"",COUNTIFS(JournalActions[Joueur],$B8,JournalActions[Action],$O$6,JournalActions[Mi-temps],O$7))</f>
        <v>4</v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>
        <f>IF(COUNTIFS(JournalActions[Joueur],$B8,JournalActions[Action],$Q$6,JournalActions[Mi-temps],Q$7)=0,"",COUNTIFS(JournalActions[Joueur],$B8,JournalActions[Action],$Q$6,JournalActions[Mi-temps],Q$7))</f>
        <v>1</v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>
        <f>IF(COUNTIFS(JournalActions[Joueur],$B8,JournalActions[Action],$S$6,JournalActions[Mi-temps],S$7)=0,"",COUNTIFS(JournalActions[Joueur],$B8,JournalActions[Action],$S$6,JournalActions[Mi-temps],S$7))</f>
        <v>1</v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 t="str">
        <v>BAQUE Mickael</v>
      </c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>
        <f>IF(COUNTIFS(JournalActions[Joueur],$B9,JournalActions[Action],$Q$6,JournalActions[Mi-temps],R$7)=0,"",COUNTIFS(JournalActions[Joueur],$B9,JournalActions[Action],$Q$6,JournalActions[Mi-temps],R$7))</f>
        <v>1</v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 t="str">
        <v>BARRAILH Francois</v>
      </c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>
        <f>IF(COUNTIFS(JournalActions[Joueur],$B10,JournalActions[Action],$K$6,JournalActions[Mi-temps],L$7)=0,"",COUNTIFS(JournalActions[Joueur],$B10,JournalActions[Action],$K$6,JournalActions[Mi-temps],L$7))</f>
        <v>1</v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 t="str">
        <v>BARTHIE Sebastien</v>
      </c>
      <c r="C11" s="56">
        <f>IF(COUNTIFS(JournalActions[Joueur],$B11,JournalActions[Action],$C$6,JournalActions[Mi-temps],C$7)=0,"",COUNTIFS(JournalActions[Joueur],$B11,JournalActions[Action],$C$6,JournalActions[Mi-temps],C$7))</f>
        <v>2</v>
      </c>
      <c r="D11" s="57">
        <f>IF(COUNTIFS(JournalActions[Joueur],$B11,JournalActions[Action],$C$6,JournalActions[Mi-temps],D$7)=0,"",COUNTIFS(JournalActions[Joueur],$B11,JournalActions[Action],$C$6,JournalActions[Mi-temps],D$7))</f>
        <v>2</v>
      </c>
      <c r="E11">
        <f>IF(COUNTIFS(JournalActions[Joueur],$B11,JournalActions[Action],$E$6,JournalActions[Mi-temps],E$7)=0,"",COUNTIFS(JournalActions[Joueur],$B11,JournalActions[Action],$E$6,JournalActions[Mi-temps],E$7))</f>
        <v>1</v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>
        <f>IF(COUNTIFS(JournalActions[Joueur],$B11,JournalActions[Action],$O$6,JournalActions[Mi-temps],P$7)=0,"",COUNTIFS(JournalActions[Joueur],$B11,JournalActions[Action],$O$6,JournalActions[Mi-temps],P$7))</f>
        <v>1</v>
      </c>
      <c r="Q11" s="56">
        <f>IF(COUNTIFS(JournalActions[Joueur],$B11,JournalActions[Action],$Q$6,JournalActions[Mi-temps],Q$7)=0,"",COUNTIFS(JournalActions[Joueur],$B11,JournalActions[Action],$Q$6,JournalActions[Mi-temps],Q$7))</f>
        <v>1</v>
      </c>
      <c r="R11" s="57">
        <f>IF(COUNTIFS(JournalActions[Joueur],$B11,JournalActions[Action],$Q$6,JournalActions[Mi-temps],R$7)=0,"",COUNTIFS(JournalActions[Joueur],$B11,JournalActions[Action],$Q$6,JournalActions[Mi-temps],R$7))</f>
        <v>1</v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>1</v>
      </c>
      <c r="AF11"/>
      <c r="AG11"/>
    </row>
    <row r="12" spans="2:37">
      <c r="B12" s="56" t="str">
        <v>BOISVIN Paul</v>
      </c>
      <c r="C12" s="56">
        <f>IF(COUNTIFS(JournalActions[Joueur],$B12,JournalActions[Action],$C$6,JournalActions[Mi-temps],C$7)=0,"",COUNTIFS(JournalActions[Joueur],$B12,JournalActions[Action],$C$6,JournalActions[Mi-temps],C$7))</f>
        <v>1</v>
      </c>
      <c r="D12" s="57">
        <f>IF(COUNTIFS(JournalActions[Joueur],$B12,JournalActions[Action],$C$6,JournalActions[Mi-temps],D$7)=0,"",COUNTIFS(JournalActions[Joueur],$B12,JournalActions[Action],$C$6,JournalActions[Mi-temps],D$7))</f>
        <v>1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>
        <f>IF(COUNTIFS(JournalActions[Joueur],$B12,JournalActions[Action],$I$6,JournalActions[Mi-temps],J$7)=0,"",COUNTIFS(JournalActions[Joueur],$B12,JournalActions[Action],$I$6,JournalActions[Mi-temps],J$7))</f>
        <v>1</v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>
        <f>IF(COUNTIFS(JournalActions[Joueur],$B12,JournalActions[Action],$S$6,JournalActions[Mi-temps],T$7)=0,"",COUNTIFS(JournalActions[Joueur],$B12,JournalActions[Action],$S$6,JournalActions[Mi-temps],T$7))</f>
        <v>1</v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>1</v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 t="str">
        <v>BOURREC Dorian</v>
      </c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>
        <f>IF(COUNTIFS(JournalActions[Joueur],$B13,JournalActions[Action],$C$6,JournalActions[Mi-temps],D$7)=0,"",COUNTIFS(JournalActions[Joueur],$B13,JournalActions[Action],$C$6,JournalActions[Mi-temps],D$7))</f>
        <v>1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>
        <f>IF(COUNTIFS(JournalActions[Joueur],$B13,JournalActions[Action],$G$6,JournalActions[Mi-temps],H$7)=0,"",COUNTIFS(JournalActions[Joueur],$B13,JournalActions[Action],$G$6,JournalActions[Mi-temps],H$7))</f>
        <v>1</v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>
        <f>IF(COUNTIFS(JournalActions[Joueur],$B13,JournalActions[Action],$Q$6,JournalActions[Mi-temps],Q$7)=0,"",COUNTIFS(JournalActions[Joueur],$B13,JournalActions[Action],$Q$6,JournalActions[Mi-temps],Q$7))</f>
        <v>1</v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>1</v>
      </c>
      <c r="AH13" s="25"/>
      <c r="AI13" s="25"/>
      <c r="AJ13" s="25"/>
      <c r="AK13" s="25"/>
    </row>
    <row r="14" spans="2:37">
      <c r="B14" s="56" t="str">
        <v>BOUTELOUP Romain</v>
      </c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>
        <f>IF(COUNTIFS(JournalActions[Joueur],$B14,JournalActions[Action],$Q$6,JournalActions[Mi-temps],Q$7)=0,"",COUNTIFS(JournalActions[Joueur],$B14,JournalActions[Action],$Q$6,JournalActions[Mi-temps],Q$7))</f>
        <v>1</v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>
        <f>IF(COUNTIFS(JournalActions[Joueur],$B14,JournalActions[Action],$S$6,JournalActions[Mi-temps],S$7)=0,"",COUNTIFS(JournalActions[Joueur],$B14,JournalActions[Action],$S$6,JournalActions[Mi-temps],S$7))</f>
        <v>1</v>
      </c>
      <c r="T14" s="57">
        <f>IF(COUNTIFS(JournalActions[Joueur],$B14,JournalActions[Action],$S$6,JournalActions[Mi-temps],T$7)=0,"",COUNTIFS(JournalActions[Joueur],$B14,JournalActions[Action],$S$6,JournalActions[Mi-temps],T$7))</f>
        <v>1</v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 t="str">
        <v>CARRAU Ludovic</v>
      </c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>
        <f>IF(COUNTIFS(JournalActions[Joueur],$B15,JournalActions[Action],$Q$6,JournalActions[Mi-temps],R$7)=0,"",COUNTIFS(JournalActions[Joueur],$B15,JournalActions[Action],$Q$6,JournalActions[Mi-temps],R$7))</f>
        <v>1</v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>
        <f>IF(COUNTIFS(JournalActions[Joueur],$B15,JournalActions[Action],$S$6,JournalActions[Mi-temps],T$7)=0,"",COUNTIFS(JournalActions[Joueur],$B15,JournalActions[Action],$S$6,JournalActions[Mi-temps],T$7))</f>
        <v>1</v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 t="str">
        <v>CASTERA Tom</v>
      </c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>
        <f>IF(COUNTIFS(JournalActions[Joueur],$B16,JournalActions[Action],$C$6,JournalActions[Mi-temps],D$7)=0,"",COUNTIFS(JournalActions[Joueur],$B16,JournalActions[Action],$C$6,JournalActions[Mi-temps],D$7))</f>
        <v>1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 t="str">
        <v>CESCA Sacha</v>
      </c>
      <c r="C17" s="56">
        <f>IF(COUNTIFS(JournalActions[Joueur],$B17,JournalActions[Action],$C$6,JournalActions[Mi-temps],C$7)=0,"",COUNTIFS(JournalActions[Joueur],$B17,JournalActions[Action],$C$6,JournalActions[Mi-temps],C$7))</f>
        <v>1</v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>
        <f>IF(COUNTIFS(JournalActions[Joueur],$B17,JournalActions[Action],$G$6,JournalActions[Mi-temps],G$7)=0,"",COUNTIFS(JournalActions[Joueur],$B17,JournalActions[Action],$G$6,JournalActions[Mi-temps],G$7))</f>
        <v>1</v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>
        <f>IF(COUNTIFS(JournalActions[Joueur],$B17,JournalActions[Action],$K$6,JournalActions[Mi-temps],K$7)=0,"",COUNTIFS(JournalActions[Joueur],$B17,JournalActions[Action],$K$6,JournalActions[Mi-temps],K$7))</f>
        <v>1</v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>
        <f>IF(COUNTIFS(JournalActions[Joueur],$B17,JournalActions[Action],$O$6,JournalActions[Mi-temps],P$7)=0,"",COUNTIFS(JournalActions[Joueur],$B17,JournalActions[Action],$O$6,JournalActions[Mi-temps],P$7))</f>
        <v>1</v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>
        <f>IF(COUNTIFS(JournalActions[Joueur],$B17,JournalActions[Action],$Q$6,JournalActions[Mi-temps],R$7)=0,"",COUNTIFS(JournalActions[Joueur],$B17,JournalActions[Action],$Q$6,JournalActions[Mi-temps],R$7))</f>
        <v>1</v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>1</v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>2</v>
      </c>
      <c r="AH17" s="25"/>
      <c r="AI17" s="25"/>
      <c r="AJ17" s="25"/>
      <c r="AK17" s="25"/>
    </row>
    <row r="18" spans="2:37">
      <c r="B18" s="56" t="str">
        <v>DUTREY Thomas</v>
      </c>
      <c r="C18" s="56">
        <f>IF(COUNTIFS(JournalActions[Joueur],$B18,JournalActions[Action],$C$6,JournalActions[Mi-temps],C$7)=0,"",COUNTIFS(JournalActions[Joueur],$B18,JournalActions[Action],$C$6,JournalActions[Mi-temps],C$7))</f>
        <v>3</v>
      </c>
      <c r="D18" s="57">
        <f>IF(COUNTIFS(JournalActions[Joueur],$B18,JournalActions[Action],$C$6,JournalActions[Mi-temps],D$7)=0,"",COUNTIFS(JournalActions[Joueur],$B18,JournalActions[Action],$C$6,JournalActions[Mi-temps],D$7))</f>
        <v>1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>
        <f>IF(COUNTIFS(JournalActions[Joueur],$B18,JournalActions[Action],$G$6,JournalActions[Mi-temps],H$7)=0,"",COUNTIFS(JournalActions[Joueur],$B18,JournalActions[Action],$G$6,JournalActions[Mi-temps],H$7))</f>
        <v>1</v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>
        <f>IF(COUNTIFS(JournalActions[Joueur],$B18,JournalActions[Action],$I$6,JournalActions[Mi-temps],J$7)=0,"",COUNTIFS(JournalActions[Joueur],$B18,JournalActions[Action],$I$6,JournalActions[Mi-temps],J$7))</f>
        <v>1</v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>
        <f>IF(COUNTIFS(JournalActions[Joueur],$B18,JournalActions[Action],$Q$6,JournalActions[Mi-temps],Q$7)=0,"",COUNTIFS(JournalActions[Joueur],$B18,JournalActions[Action],$Q$6,JournalActions[Mi-temps],Q$7))</f>
        <v>4</v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>1</v>
      </c>
      <c r="AH18" s="25"/>
      <c r="AI18" s="25"/>
      <c r="AJ18" s="25"/>
      <c r="AK18" s="25"/>
    </row>
    <row r="19" spans="2:37">
      <c r="B19" s="56" t="str">
        <v>GABRELLE Neot</v>
      </c>
      <c r="C19" s="56">
        <f>IF(COUNTIFS(JournalActions[Joueur],$B19,JournalActions[Action],$C$6,JournalActions[Mi-temps],C$7)=0,"",COUNTIFS(JournalActions[Joueur],$B19,JournalActions[Action],$C$6,JournalActions[Mi-temps],C$7))</f>
        <v>1</v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>
        <f>IF(COUNTIFS(JournalActions[Joueur],$B19,JournalActions[Action],$O$6,JournalActions[Mi-temps],O$7)=0,"",COUNTIFS(JournalActions[Joueur],$B19,JournalActions[Action],$O$6,JournalActions[Mi-temps],O$7))</f>
        <v>1</v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>
        <f>IF(COUNTIFS(JournalActions[Joueur],$B19,JournalActions[Action],$Q$6,JournalActions[Mi-temps],Q$7)=0,"",COUNTIFS(JournalActions[Joueur],$B19,JournalActions[Action],$Q$6,JournalActions[Mi-temps],Q$7))</f>
        <v>3</v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>
        <f>IF(COUNTIFS(JournalActions[Joueur],$B19,JournalActions[Action],$S$6,JournalActions[Mi-temps],S$7)=0,"",COUNTIFS(JournalActions[Joueur],$B19,JournalActions[Action],$S$6,JournalActions[Mi-temps],S$7))</f>
        <v>4</v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 t="str">
        <v>GALLINARO Pierrick</v>
      </c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>
        <f>IF(COUNTIFS(JournalActions[Joueur],$B20,JournalActions[Action],$C$6,JournalActions[Mi-temps],D$7)=0,"",COUNTIFS(JournalActions[Joueur],$B20,JournalActions[Action],$C$6,JournalActions[Mi-temps],D$7))</f>
        <v>2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>
        <f>IF(COUNTIFS(JournalActions[Joueur],$B20,JournalActions[Action],$G$6,JournalActions[Mi-temps],G$7)=0,"",COUNTIFS(JournalActions[Joueur],$B20,JournalActions[Action],$G$6,JournalActions[Mi-temps],G$7))</f>
        <v>1</v>
      </c>
      <c r="H20" s="57">
        <f>IF(COUNTIFS(JournalActions[Joueur],$B20,JournalActions[Action],$G$6,JournalActions[Mi-temps],H$7)=0,"",COUNTIFS(JournalActions[Joueur],$B20,JournalActions[Action],$G$6,JournalActions[Mi-temps],H$7))</f>
        <v>2</v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>
        <f>IF(COUNTIFS(JournalActions[Joueur],$B20,JournalActions[Action],$K$6,JournalActions[Mi-temps],L$7)=0,"",COUNTIFS(JournalActions[Joueur],$B20,JournalActions[Action],$K$6,JournalActions[Mi-temps],L$7))</f>
        <v>1</v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>
        <f>IF(COUNTIFS(JournalActions[Joueur],$B20,JournalActions[Action],$Q$6,JournalActions[Mi-temps],Q$7)=0,"",COUNTIFS(JournalActions[Joueur],$B20,JournalActions[Action],$Q$6,JournalActions[Mi-temps],Q$7))</f>
        <v>2</v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>
        <f>IF(COUNTIFS(JournalActions[Joueur],$B20,JournalActions[Action],$S$6,JournalActions[Mi-temps],S$7)=0,"",COUNTIFS(JournalActions[Joueur],$B20,JournalActions[Action],$S$6,JournalActions[Mi-temps],S$7))</f>
        <v>1</v>
      </c>
      <c r="T20" s="57">
        <f>IF(COUNTIFS(JournalActions[Joueur],$B20,JournalActions[Action],$S$6,JournalActions[Mi-temps],T$7)=0,"",COUNTIFS(JournalActions[Joueur],$B20,JournalActions[Action],$S$6,JournalActions[Mi-temps],T$7))</f>
        <v>1</v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>1</v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 t="str">
        <v>KAPFER Ludovic</v>
      </c>
      <c r="C21" s="56">
        <f>IF(COUNTIFS(JournalActions[Joueur],$B21,JournalActions[Action],$C$6,JournalActions[Mi-temps],C$7)=0,"",COUNTIFS(JournalActions[Joueur],$B21,JournalActions[Action],$C$6,JournalActions[Mi-temps],C$7))</f>
        <v>3</v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>
        <f>IF(COUNTIFS(JournalActions[Joueur],$B21,JournalActions[Action],$G$6,JournalActions[Mi-temps],H$7)=0,"",COUNTIFS(JournalActions[Joueur],$B21,JournalActions[Action],$G$6,JournalActions[Mi-temps],H$7))</f>
        <v>1</v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>
        <f>IF(COUNTIFS(JournalActions[Joueur],$B21,JournalActions[Action],$Q$6,JournalActions[Mi-temps],Q$7)=0,"",COUNTIFS(JournalActions[Joueur],$B21,JournalActions[Action],$Q$6,JournalActions[Mi-temps],Q$7))</f>
        <v>3</v>
      </c>
      <c r="R21" s="57">
        <f>IF(COUNTIFS(JournalActions[Joueur],$B21,JournalActions[Action],$Q$6,JournalActions[Mi-temps],R$7)=0,"",COUNTIFS(JournalActions[Joueur],$B21,JournalActions[Action],$Q$6,JournalActions[Mi-temps],R$7))</f>
        <v>1</v>
      </c>
      <c r="S21" s="56">
        <f>IF(COUNTIFS(JournalActions[Joueur],$B21,JournalActions[Action],$S$6,JournalActions[Mi-temps],S$7)=0,"",COUNTIFS(JournalActions[Joueur],$B21,JournalActions[Action],$S$6,JournalActions[Mi-temps],S$7))</f>
        <v>1</v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>2</v>
      </c>
      <c r="Z21" s="96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>2</v>
      </c>
    </row>
    <row r="22" spans="2:37">
      <c r="B22" s="56" t="str">
        <v>LESPINASSE Lucas</v>
      </c>
      <c r="C22" s="56">
        <f>IF(COUNTIFS(JournalActions[Joueur],$B22,JournalActions[Action],$C$6,JournalActions[Mi-temps],C$7)=0,"",COUNTIFS(JournalActions[Joueur],$B22,JournalActions[Action],$C$6,JournalActions[Mi-temps],C$7))</f>
        <v>3</v>
      </c>
      <c r="D22" s="57">
        <f>IF(COUNTIFS(JournalActions[Joueur],$B22,JournalActions[Action],$C$6,JournalActions[Mi-temps],D$7)=0,"",COUNTIFS(JournalActions[Joueur],$B22,JournalActions[Action],$C$6,JournalActions[Mi-temps],D$7))</f>
        <v>3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>
        <f>IF(COUNTIFS(JournalActions[Joueur],$B22,JournalActions[Action],$G$6,JournalActions[Mi-temps],G$7)=0,"",COUNTIFS(JournalActions[Joueur],$B22,JournalActions[Action],$G$6,JournalActions[Mi-temps],G$7))</f>
        <v>3</v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>
        <f>IF(COUNTIFS(JournalActions[Joueur],$B22,JournalActions[Action],$I$6,JournalActions[Mi-temps],I$7)=0,"",COUNTIFS(JournalActions[Joueur],$B22,JournalActions[Action],$I$6,JournalActions[Mi-temps],I$7))</f>
        <v>1</v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>
        <f>IF(COUNTIFS(JournalActions[Joueur],$B22,JournalActions[Action],$Q$6,JournalActions[Mi-temps],Q$7)=0,"",COUNTIFS(JournalActions[Joueur],$B22,JournalActions[Action],$Q$6,JournalActions[Mi-temps],Q$7))</f>
        <v>4</v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>
        <f>IF(COUNTIFS(JournalActions[Joueur],$B22,JournalActions[Action],$S$6,JournalActions[Mi-temps],T$7)=0,"",COUNTIFS(JournalActions[Joueur],$B22,JournalActions[Action],$S$6,JournalActions[Mi-temps],T$7))</f>
        <v>1</v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>1</v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 t="str">
        <v>NGUYEN Tomy Lee</v>
      </c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>
        <f>IF(COUNTIFS(JournalActions[Joueur],$B23,JournalActions[Action],$C$6,JournalActions[Mi-temps],D$7)=0,"",COUNTIFS(JournalActions[Joueur],$B23,JournalActions[Action],$C$6,JournalActions[Mi-temps],D$7))</f>
        <v>2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 t="str">
        <v>POUYADOU Julien</v>
      </c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>
        <f>IF(COUNTIFS(JournalActions[Joueur],$B24,JournalActions[Action],$C$6,JournalActions[Mi-temps],D$7)=0,"",COUNTIFS(JournalActions[Joueur],$B24,JournalActions[Action],$C$6,JournalActions[Mi-temps],D$7))</f>
        <v>1</v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>
        <f>IF(COUNTIFS(JournalActions[Joueur],$B24,JournalActions[Action],$G$6,JournalActions[Mi-temps],H$7)=0,"",COUNTIFS(JournalActions[Joueur],$B24,JournalActions[Action],$G$6,JournalActions[Mi-temps],H$7))</f>
        <v>1</v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>
        <f>IF(COUNTIFS(JournalActions[Joueur],$B24,JournalActions[Action],$S$6,JournalActions[Mi-temps],S$7)=0,"",COUNTIFS(JournalActions[Joueur],$B24,JournalActions[Action],$S$6,JournalActions[Mi-temps],S$7))</f>
        <v>1</v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 t="str">
        <v>RECURT Louis</v>
      </c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>
        <f>IF(COUNTIFS(JournalActions[Joueur],$B25,JournalActions[Action],$G$6,JournalActions[Mi-temps],H$7)=0,"",COUNTIFS(JournalActions[Joueur],$B25,JournalActions[Action],$G$6,JournalActions[Mi-temps],H$7))</f>
        <v>1</v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>
        <f>IF(COUNTIFS(JournalActions[Joueur],$B25,JournalActions[Action],$Q$6,JournalActions[Mi-temps],Q$7)=0,"",COUNTIFS(JournalActions[Joueur],$B25,JournalActions[Action],$Q$6,JournalActions[Mi-temps],Q$7))</f>
        <v>2</v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>
        <f>IF(COUNTIFS(JournalActions[Joueur],$B25,JournalActions[Action],$S$6,JournalActions[Mi-temps],S$7)=0,"",COUNTIFS(JournalActions[Joueur],$B25,JournalActions[Action],$S$6,JournalActions[Mi-temps],S$7))</f>
        <v>1</v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 t="str">
        <v>ROUSSEL Mathis</v>
      </c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>
        <f>IF(COUNTIFS(JournalActions[Joueur],$B26,JournalActions[Action],$C$6,JournalActions[Mi-temps],D$7)=0,"",COUNTIFS(JournalActions[Joueur],$B26,JournalActions[Action],$C$6,JournalActions[Mi-temps],D$7))</f>
        <v>4</v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>
        <f>IF(COUNTIFS(JournalActions[Joueur],$B26,JournalActions[Action],$M$6,JournalActions[Mi-temps],N$7)=0,"",COUNTIFS(JournalActions[Joueur],$B26,JournalActions[Action],$M$6,JournalActions[Mi-temps],N$7))</f>
        <v>1</v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>
        <f>IF(COUNTIFS(JournalActions[Joueur],$B26,JournalActions[Action],$Q$6,JournalActions[Mi-temps],R$7)=0,"",COUNTIFS(JournalActions[Joueur],$B26,JournalActions[Action],$Q$6,JournalActions[Mi-temps],R$7))</f>
        <v>2</v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>
        <f>IF(COUNTIFS(JournalActions[Joueur],$B26,JournalActions[Action],$S$6,JournalActions[Mi-temps],T$7)=0,"",COUNTIFS(JournalActions[Joueur],$B26,JournalActions[Action],$S$6,JournalActions[Mi-temps],T$7))</f>
        <v>1</v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 t="str">
        <v>SOUVILLE Quentin</v>
      </c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>
        <f>IF(COUNTIFS(JournalActions[Joueur],$B27,JournalActions[Action],$C$6,JournalActions[Mi-temps],D$7)=0,"",COUNTIFS(JournalActions[Joueur],$B27,JournalActions[Action],$C$6,JournalActions[Mi-temps],D$7))</f>
        <v>1</v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>
        <f>IF(COUNTIFS(JournalActions[Joueur],$B27,JournalActions[Action],$I$6,JournalActions[Mi-temps],I$7)=0,"",COUNTIFS(JournalActions[Joueur],$B27,JournalActions[Action],$I$6,JournalActions[Mi-temps],I$7))</f>
        <v>1</v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>
        <f>IF(COUNTIFS(JournalActions[Joueur],$B27,JournalActions[Action],$O$6,JournalActions[Mi-temps],O$7)=0,"",COUNTIFS(JournalActions[Joueur],$B27,JournalActions[Action],$O$6,JournalActions[Mi-temps],O$7))</f>
        <v>1</v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>
        <f>IF(COUNTIFS(JournalActions[Joueur],$B27,JournalActions[Action],$Q$6,JournalActions[Mi-temps],Q$7)=0,"",COUNTIFS(JournalActions[Joueur],$B27,JournalActions[Action],$Q$6,JournalActions[Mi-temps],Q$7))</f>
        <v>1</v>
      </c>
      <c r="R27" s="57">
        <f>IF(COUNTIFS(JournalActions[Joueur],$B27,JournalActions[Action],$Q$6,JournalActions[Mi-temps],R$7)=0,"",COUNTIFS(JournalActions[Joueur],$B27,JournalActions[Action],$Q$6,JournalActions[Mi-temps],R$7))</f>
        <v>1</v>
      </c>
      <c r="S27" s="56">
        <f>IF(COUNTIFS(JournalActions[Joueur],$B27,JournalActions[Action],$S$6,JournalActions[Mi-temps],S$7)=0,"",COUNTIFS(JournalActions[Joueur],$B27,JournalActions[Action],$S$6,JournalActions[Mi-temps],S$7))</f>
        <v>1</v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 t="str">
        <v>SUSPENE Gatien</v>
      </c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>
        <f>IF(COUNTIFS(JournalActions[Joueur],$B28,JournalActions[Action],$G$6,JournalActions[Mi-temps],G$7)=0,"",COUNTIFS(JournalActions[Joueur],$B28,JournalActions[Action],$G$6,JournalActions[Mi-temps],G$7))</f>
        <v>3</v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 t="str">
        <v>TOUVAT Dorian</v>
      </c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>
        <f>IF(COUNTIFS(JournalActions[Joueur],$B29,JournalActions[Action],$C$6,JournalActions[Mi-temps],D$7)=0,"",COUNTIFS(JournalActions[Joueur],$B29,JournalActions[Action],$C$6,JournalActions[Mi-temps],D$7))</f>
        <v>2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>
        <f>IF(COUNTIFS(JournalActions[Joueur],$B29,JournalActions[Action],$S$6,JournalActions[Mi-temps],S$7)=0,"",COUNTIFS(JournalActions[Joueur],$B29,JournalActions[Action],$S$6,JournalActions[Mi-temps],S$7))</f>
        <v>1</v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>1</v>
      </c>
      <c r="Z30" s="96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>1</v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>
        <f>IF(COUNTIFS(JournalActions[Joueur],$B31,JournalActions[Action],$S$6,JournalActions[Mi-temps],T$7)=0,"",COUNTIFS(JournalActions[Joueur],$B31,JournalActions[Action],$S$6,JournalActions[Mi-temps],T$7))</f>
        <v>1</v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>1</v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>4</v>
      </c>
      <c r="Z31" s="97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37" s="25" customFormat="1" ht="22" customHeight="1">
      <c r="B32" s="80" t="s">
        <v>230</v>
      </c>
      <c r="C32" s="81">
        <f>SUM(C8:C31)</f>
        <v>17</v>
      </c>
      <c r="D32" s="82">
        <f t="shared" ref="D32:Z32" si="0">SUM(D8:D31)</f>
        <v>24</v>
      </c>
      <c r="E32" s="81">
        <f t="shared" si="0"/>
        <v>1</v>
      </c>
      <c r="F32" s="82">
        <f t="shared" si="0"/>
        <v>0</v>
      </c>
      <c r="G32" s="81">
        <f t="shared" si="0"/>
        <v>8</v>
      </c>
      <c r="H32" s="82">
        <f t="shared" si="0"/>
        <v>9</v>
      </c>
      <c r="I32" s="81">
        <f t="shared" si="0"/>
        <v>2</v>
      </c>
      <c r="J32" s="82">
        <f t="shared" si="0"/>
        <v>2</v>
      </c>
      <c r="K32" s="81">
        <f t="shared" si="0"/>
        <v>1</v>
      </c>
      <c r="L32" s="82">
        <f t="shared" si="0"/>
        <v>2</v>
      </c>
      <c r="M32" s="81">
        <f t="shared" si="0"/>
        <v>0</v>
      </c>
      <c r="N32" s="82">
        <f t="shared" si="0"/>
        <v>1</v>
      </c>
      <c r="O32" s="81">
        <f t="shared" ref="O32:P32" si="1">SUM(O8:O31)</f>
        <v>6</v>
      </c>
      <c r="P32" s="82">
        <f t="shared" si="1"/>
        <v>2</v>
      </c>
      <c r="Q32" s="81">
        <f t="shared" ref="Q32:T32" si="2">SUM(Q8:Q31)</f>
        <v>23</v>
      </c>
      <c r="R32" s="82">
        <f t="shared" si="2"/>
        <v>8</v>
      </c>
      <c r="S32" s="81">
        <f t="shared" si="2"/>
        <v>12</v>
      </c>
      <c r="T32" s="82">
        <f t="shared" si="2"/>
        <v>7</v>
      </c>
      <c r="U32" s="249">
        <f t="shared" si="0"/>
        <v>0</v>
      </c>
      <c r="V32" s="249">
        <f t="shared" si="0"/>
        <v>0</v>
      </c>
      <c r="W32" s="249">
        <f t="shared" si="0"/>
        <v>3</v>
      </c>
      <c r="X32" s="249">
        <f t="shared" si="0"/>
        <v>2</v>
      </c>
      <c r="Y32" s="249">
        <f t="shared" si="0"/>
        <v>7</v>
      </c>
      <c r="Z32" s="249">
        <f t="shared" si="0"/>
        <v>9</v>
      </c>
    </row>
    <row r="33" spans="2:33" s="69" customFormat="1" ht="25" customHeight="1">
      <c r="B33" s="83" t="s">
        <v>229</v>
      </c>
      <c r="C33" s="226">
        <f>C32+D32</f>
        <v>41</v>
      </c>
      <c r="D33" s="216"/>
      <c r="E33" s="215">
        <f t="shared" ref="E33" si="3">E32+F32</f>
        <v>1</v>
      </c>
      <c r="F33" s="215"/>
      <c r="G33" s="226">
        <f t="shared" ref="G33" si="4">G32+H32</f>
        <v>17</v>
      </c>
      <c r="H33" s="216"/>
      <c r="I33" s="226">
        <f>I32+J32</f>
        <v>4</v>
      </c>
      <c r="J33" s="216"/>
      <c r="K33" s="226">
        <f t="shared" ref="K33" si="5">K32+L32</f>
        <v>3</v>
      </c>
      <c r="L33" s="216"/>
      <c r="M33" s="215">
        <f t="shared" ref="M33" si="6">M32+N32</f>
        <v>1</v>
      </c>
      <c r="N33" s="216"/>
      <c r="O33" s="215">
        <f t="shared" ref="O33" si="7">O32+P32</f>
        <v>8</v>
      </c>
      <c r="P33" s="216"/>
      <c r="Q33" s="215">
        <f t="shared" ref="Q33" si="8">Q32+R32</f>
        <v>31</v>
      </c>
      <c r="R33" s="216"/>
      <c r="S33" s="215">
        <f t="shared" ref="S33" si="9">S32+T32</f>
        <v>19</v>
      </c>
      <c r="T33" s="216"/>
      <c r="U33" s="250"/>
      <c r="V33" s="250"/>
      <c r="W33" s="250"/>
      <c r="X33" s="250"/>
      <c r="Y33" s="250"/>
      <c r="Z33" s="250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19" t="s">
        <v>224</v>
      </c>
      <c r="H36" s="214"/>
      <c r="J36" s="219" t="s">
        <v>78</v>
      </c>
      <c r="K36" s="219" t="s">
        <v>198</v>
      </c>
      <c r="L36" s="213"/>
      <c r="M36" s="214"/>
      <c r="N36" s="214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4</v>
      </c>
      <c r="D37" s="65">
        <f>COUNTIFS(JournalActions[Action],ACT_TO_NS_P,JournalActions[Mi-temps],"MT1")
+COUNTIFS(JournalActions[Action],ACT_TO_NS_PAS_DROIT,JournalActions[Mi-temps],"MT1")</f>
        <v>2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20</v>
      </c>
      <c r="I37" s="25"/>
      <c r="J37" s="244"/>
      <c r="K37" s="98" t="s">
        <v>204</v>
      </c>
      <c r="L37" s="94" t="s">
        <v>223</v>
      </c>
      <c r="M37" s="99" t="s">
        <v>82</v>
      </c>
      <c r="N37" s="245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9</v>
      </c>
      <c r="D38" s="37">
        <f>COUNTIFS(JournalActions[Action],ACT_TO_ADV_VOLEE,JournalActions[Mi-temps],"MT1")
+COUNTIFS(JournalActions[Action],ACT_TO_ADV_PAS_DROIT,JournalActions[Mi-temps],"MT1")</f>
        <v>1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3</v>
      </c>
      <c r="I38" s="25"/>
      <c r="J38" s="61" t="s">
        <v>97</v>
      </c>
      <c r="K38" s="96">
        <f>COUNTIFS(JournalActions[Action],ACT_PEN_CONTRE_NOUS,JournalActions[Mi-temps],"MT1",JournalActions[Groupe fautif],"Avant*")</f>
        <v>4</v>
      </c>
      <c r="L38" s="57">
        <f>COUNTIFS(JournalActions[Action],ACT_PEN_CONTRE_NOUS,JournalActions[Mi-temps],"MT1",JournalActions[Groupe fautif],"Trois-quarts*")</f>
        <v>4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4</v>
      </c>
      <c r="N38" s="62">
        <f>COUNTIFS(JournalActions[Action],ACT_PEN_CONTRE_ADV,JournalActions[Mi-temps],"MT1")</f>
        <v>6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4</v>
      </c>
      <c r="L39" s="37">
        <f>COUNTIFS(JournalActions[Action],ACT_PEN_CONTRE_NOUS,JournalActions[Mi-temps],"MT2",JournalActions[Groupe fautif],"Trois-quarts*")</f>
        <v>1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4</v>
      </c>
      <c r="N39" s="37">
        <f>COUNTIFS(JournalActions[Action],ACT_PEN_CONTRE_ADV,JournalActions[Mi-temps],"MT2")</f>
        <v>6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19" t="s">
        <v>200</v>
      </c>
      <c r="H40" s="214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2</v>
      </c>
      <c r="D41" s="65">
        <f>COUNTIFS(JournalActions[Action],ACT_TO_NS_P,JournalActions[Mi-temps],"MT2")
+COUNTIFS(JournalActions[Action],ACT_TO_NS_PAS_DROIT,JournalActions[Mi-temps],"MT2")</f>
        <v>1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23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5</v>
      </c>
      <c r="D42" s="37">
        <f>COUNTIFS(JournalActions[Action],ACT_TO_ADV_VOLEE,JournalActions[Mi-temps],"MT2")
+COUNTIFS(JournalActions[Action],ACT_TO_ADV_PAS_DROIT,JournalActions[Mi-temps],"MT2")</f>
        <v>3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9</v>
      </c>
      <c r="I42" s="25"/>
      <c r="J42" s="231" t="s">
        <v>31</v>
      </c>
      <c r="K42" s="232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29" t="s">
        <v>33</v>
      </c>
      <c r="K43" s="230"/>
      <c r="L43" s="38">
        <f>COUNTIFS(JournalActions[Action],ACT_PEN_CONTRE_NOUS,JournalActions[Motif penalite],ACT_PEN_RUCK)</f>
        <v>7</v>
      </c>
      <c r="M43" s="38">
        <f>COUNTIFS(JournalActions[Action],ACT_PEN_CONTRE_ADV,JournalActions[Motif penalite],ACT_PEN_RUCK)</f>
        <v>4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19" t="s">
        <v>291</v>
      </c>
      <c r="H44" s="214"/>
      <c r="I44" s="25"/>
      <c r="J44" s="231" t="s">
        <v>35</v>
      </c>
      <c r="K44" s="232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3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1.0655487743055567E-2</v>
      </c>
      <c r="I45" s="25"/>
      <c r="J45" s="229" t="s">
        <v>37</v>
      </c>
      <c r="K45" s="230"/>
      <c r="L45" s="38">
        <f>COUNTIFS(JournalActions[Action],ACT_PEN_CONTRE_NOUS,JournalActions[Motif penalite],ACT_PEN_PL_A_2)</f>
        <v>3</v>
      </c>
      <c r="M45" s="38">
        <f>COUNTIFS(JournalActions[Action],ACT_PEN_CONTRE_ADV,JournalActions[Motif penalite],ACT_PEN_PL_A_2)</f>
        <v>2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7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1.0367311562500009E-2</v>
      </c>
      <c r="I46" s="25"/>
      <c r="J46" s="231" t="s">
        <v>39</v>
      </c>
      <c r="K46" s="232"/>
      <c r="L46" s="66">
        <f>COUNTIFS(JournalActions[Action],ACT_PEN_CONTRE_NOUS,JournalActions[Motif penalite],ACT_PEN_PL_HAUT)</f>
        <v>2</v>
      </c>
      <c r="M46" s="66">
        <f>COUNTIFS(JournalActions[Action],ACT_PEN_CONTRE_ADV,JournalActions[Motif penalite],ACT_PEN_PL_HAUT)</f>
        <v>5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2.1022799305555576E-2</v>
      </c>
      <c r="I47" s="25"/>
      <c r="J47" s="229" t="s">
        <v>220</v>
      </c>
      <c r="K47" s="230"/>
      <c r="L47" s="38">
        <f>COUNTIFS(JournalActions[Action],ACT_PEN_CONTRE_NOUS,JournalActions[Motif penalite],"~?")</f>
        <v>9</v>
      </c>
      <c r="M47" s="38">
        <f>COUNTIFS(JournalActions[Action],ACT_PEN_CONTRE_ADV,JournalActions[Motif penalite],"~?")</f>
        <v>1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7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6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/>
    <row r="56" spans="2:20" s="25" customFormat="1"/>
    <row r="57" spans="2:20" s="25" customFormat="1" ht="13" customHeight="1">
      <c r="B57" s="211" t="str">
        <f>"Stats par joueur - Match "&amp;IF('Compo'!C14="Aller","A",IF('Compo'!C14="Retour","R","PF"))&amp;'Compo'!C16&amp;IF('Compo'!C12="Extérieur"," : "&amp;'Compo'!C10&amp;" / MXV"," : MXV / "&amp;'Compo'!C10)&amp;" "&amp;'Compo'!C20&amp;" - Touche - Possession"</f>
        <v>Stats par joueur - Match A1 : MXV / US Portet Réserve - Touche - Possession</v>
      </c>
      <c r="C57" s="212"/>
      <c r="D57" s="212"/>
      <c r="E57" s="212"/>
      <c r="F57" s="212"/>
      <c r="G57" s="212"/>
      <c r="H57" s="212"/>
      <c r="I57" s="212"/>
      <c r="J57" s="212"/>
      <c r="K57" s="212"/>
      <c r="L57" s="199"/>
      <c r="M57" s="199"/>
      <c r="N57" s="199"/>
      <c r="O57" s="199"/>
      <c r="P57" s="199"/>
      <c r="Q57" s="199"/>
      <c r="R57" s="199"/>
      <c r="S57" s="199"/>
      <c r="T57" s="199"/>
    </row>
    <row r="58" spans="2:20" s="25" customFormat="1" ht="12" customHeight="1">
      <c r="B58" s="211"/>
      <c r="C58" s="212"/>
      <c r="D58" s="212"/>
      <c r="E58" s="212"/>
      <c r="F58" s="212"/>
      <c r="G58" s="212"/>
      <c r="H58" s="212"/>
      <c r="I58" s="212"/>
      <c r="J58" s="212"/>
      <c r="K58" s="212"/>
      <c r="L58" s="199"/>
      <c r="M58" s="199"/>
      <c r="N58" s="199"/>
      <c r="O58" s="199"/>
      <c r="P58" s="199"/>
      <c r="Q58" s="199"/>
      <c r="R58" s="199"/>
      <c r="S58" s="199"/>
      <c r="T58" s="199"/>
    </row>
    <row r="59" spans="2:20" s="25" customFormat="1" ht="12" customHeight="1" thickBot="1">
      <c r="L59" s="198"/>
      <c r="M59" s="198"/>
      <c r="N59" s="198"/>
      <c r="O59" s="198"/>
      <c r="P59" s="198"/>
      <c r="Q59" s="198"/>
      <c r="R59" s="198"/>
      <c r="S59" s="198"/>
      <c r="T59" s="198"/>
    </row>
    <row r="60" spans="2:20" s="25" customFormat="1">
      <c r="B60" s="233" t="s">
        <v>289</v>
      </c>
      <c r="C60" s="234"/>
      <c r="D60" s="234"/>
      <c r="E60" s="234"/>
      <c r="F60" s="234"/>
      <c r="G60" s="234"/>
      <c r="H60" s="234"/>
      <c r="I60" s="234"/>
      <c r="J60" s="234"/>
      <c r="K60" s="235"/>
      <c r="L60" s="198"/>
      <c r="M60" s="198"/>
      <c r="N60" s="198"/>
      <c r="O60" s="198"/>
      <c r="P60" s="198"/>
      <c r="Q60" s="198"/>
      <c r="R60" s="198"/>
      <c r="S60" s="198"/>
      <c r="T60" s="198"/>
    </row>
    <row r="61" spans="2:20" s="25" customFormat="1">
      <c r="B61" s="236"/>
      <c r="C61" s="237"/>
      <c r="D61" s="237"/>
      <c r="E61" s="237"/>
      <c r="F61" s="237"/>
      <c r="G61" s="237"/>
      <c r="H61" s="237"/>
      <c r="I61" s="237"/>
      <c r="J61" s="237"/>
      <c r="K61" s="238"/>
    </row>
    <row r="62" spans="2:20" s="25" customFormat="1" ht="14" thickBot="1">
      <c r="B62" s="239"/>
      <c r="C62" s="240"/>
      <c r="D62" s="240"/>
      <c r="E62" s="240"/>
      <c r="F62" s="240"/>
      <c r="G62" s="240"/>
      <c r="H62" s="240"/>
      <c r="I62" s="240"/>
      <c r="J62" s="240"/>
      <c r="K62" s="241"/>
    </row>
    <row r="63" spans="2:20" s="25" customFormat="1"/>
    <row r="64" spans="2:20" s="25" customFormat="1" ht="14">
      <c r="B64" s="217" t="s">
        <v>64</v>
      </c>
      <c r="C64" s="219" t="str">
        <f>ACT_TO_NS_G</f>
        <v>Touche à nous conservée</v>
      </c>
      <c r="D64" s="214"/>
      <c r="E64" s="219" t="str">
        <f>ACT_TO_ADV_VOLEE</f>
        <v>Touche à eux volée</v>
      </c>
      <c r="F64" s="214"/>
      <c r="H64" s="242" t="str">
        <f>ACT_TO_NS_P</f>
        <v>Touche à nous perdue</v>
      </c>
      <c r="I64" s="243"/>
      <c r="J64" s="242" t="str">
        <f>ACT_TO_NS_PAS_DROIT</f>
        <v>Touche à nous pas droite</v>
      </c>
      <c r="K64" s="243"/>
    </row>
    <row r="65" spans="2:11" s="25" customFormat="1" ht="14">
      <c r="B65" s="218"/>
      <c r="C65" s="98" t="s">
        <v>97</v>
      </c>
      <c r="D65" s="99" t="s">
        <v>94</v>
      </c>
      <c r="E65" s="98" t="s">
        <v>97</v>
      </c>
      <c r="F65" s="99" t="s">
        <v>94</v>
      </c>
      <c r="H65" s="100" t="s">
        <v>97</v>
      </c>
      <c r="I65" s="101" t="s">
        <v>94</v>
      </c>
      <c r="J65" s="100" t="s">
        <v>97</v>
      </c>
      <c r="K65" s="101" t="s">
        <v>94</v>
      </c>
    </row>
    <row r="66" spans="2:11" s="25" customFormat="1">
      <c r="B66" s="56" t="str" cm="1">
        <f t="array" ref="B66:B87">_xlfn._xlws.SORT(_xlfn._xlws.FILTER(COMPO[Nom du joueur],(COMPO[Nom du joueur]&lt;&gt;"")*(COMPO[Nom du joueur]&lt;&gt;"Collectif")*(COMPO[Nom du joueur]&lt;&gt;"?")))</f>
        <v>BAQUE Lucas</v>
      </c>
      <c r="C66" s="56" t="str">
        <f>IF(COUNTIFS(JournalActions[Joueur],$B66,JournalActions[Action],$C$64,JournalActions[Mi-temps],C$65)=0,"",COUNTIFS(JournalActions[Joueur],$B66,JournalActions[Action],$C$64,JournalActions[Mi-temps],C$65))</f>
        <v/>
      </c>
      <c r="D66" s="57" t="str">
        <f>IF(COUNTIFS(JournalActions[Joueur],$B66,JournalActions[Action],$C$64,JournalActions[Mi-temps],D$65)=0,"",COUNTIFS(JournalActions[Joueur],$B66,JournalActions[Action],$C$64,JournalActions[Mi-temps],D$65))</f>
        <v/>
      </c>
      <c r="E66" s="56" t="str">
        <f>IF(COUNTIFS(JournalActions[Joueur],$B66,JournalActions[Action],$E$64,JournalActions[Mi-temps],E$65)=0,"",COUNTIFS(JournalActions[Joueur],$B66,JournalActions[Action],$E$64,JournalActions[Mi-temps],E$65))</f>
        <v/>
      </c>
      <c r="F66" s="57" t="str">
        <f>IF(COUNTIFS(JournalActions[Joueur],$B66,JournalActions[Action],$E$64,JournalActions[Mi-temps],F$65)=0,"",COUNTIFS(JournalActions[Joueur],$B66,JournalActions[Action],$E$64,JournalActions[Mi-temps],F$65))</f>
        <v/>
      </c>
      <c r="H66" s="56" t="str">
        <f>IF(COUNTIFS(JournalActions[Joueur],$B66,JournalActions[Action],$H$64,JournalActions[Mi-temps],H$65)=0,"",COUNTIFS(JournalActions[Joueur],$B66,JournalActions[Action],$H$64,JournalActions[Mi-temps],H$65))</f>
        <v/>
      </c>
      <c r="I66" s="57" t="str">
        <f>IF(COUNTIFS(JournalActions[Joueur],$B66,JournalActions[Action],$H$64,JournalActions[Mi-temps],I$65)=0,"",COUNTIFS(JournalActions[Joueur],$B66,JournalActions[Action],$H$64,JournalActions[Mi-temps],I$65))</f>
        <v/>
      </c>
      <c r="J66" s="56" t="str">
        <f>IF(COUNTIFS(JournalActions[Joueur],$B66,JournalActions[Action],$J$64,JournalActions[Mi-temps],J$65)=0,"",COUNTIFS(JournalActions[Joueur],$B66,JournalActions[Action],$J$64,JournalActions[Mi-temps],J$65))</f>
        <v/>
      </c>
      <c r="K66" s="57" t="str">
        <f>IF(COUNTIFS(JournalActions[Joueur],$B66,JournalActions[Action],$J$64,JournalActions[Mi-temps],K$65)=0,"",COUNTIFS(JournalActions[Joueur],$B66,JournalActions[Action],$J$64,JournalActions[Mi-temps],K$65))</f>
        <v/>
      </c>
    </row>
    <row r="67" spans="2:11" s="25" customFormat="1">
      <c r="B67" s="56" t="str">
        <v>BAQUE Mickael</v>
      </c>
      <c r="C67" s="56" t="str">
        <f>IF(COUNTIFS(JournalActions[Joueur],$B67,JournalActions[Action],$C$64,JournalActions[Mi-temps],C$65)=0,"",COUNTIFS(JournalActions[Joueur],$B67,JournalActions[Action],$C$64,JournalActions[Mi-temps],C$65))</f>
        <v/>
      </c>
      <c r="D67" s="57" t="str">
        <f>IF(COUNTIFS(JournalActions[Joueur],$B67,JournalActions[Action],$C$64,JournalActions[Mi-temps],D$65)=0,"",COUNTIFS(JournalActions[Joueur],$B67,JournalActions[Action],$C$64,JournalActions[Mi-temps],D$65))</f>
        <v/>
      </c>
      <c r="E67" s="56" t="str">
        <f>IF(COUNTIFS(JournalActions[Joueur],$B67,JournalActions[Action],$E$64,JournalActions[Mi-temps],E$65)=0,"",COUNTIFS(JournalActions[Joueur],$B67,JournalActions[Action],$E$64,JournalActions[Mi-temps],E$65))</f>
        <v/>
      </c>
      <c r="F67" s="57" t="str">
        <f>IF(COUNTIFS(JournalActions[Joueur],$B67,JournalActions[Action],$E$64,JournalActions[Mi-temps],F$65)=0,"",COUNTIFS(JournalActions[Joueur],$B67,JournalActions[Action],$E$64,JournalActions[Mi-temps],F$65))</f>
        <v/>
      </c>
      <c r="H67" s="56" t="str">
        <f>IF(COUNTIFS(JournalActions[Joueur],$B67,JournalActions[Action],$H$64,JournalActions[Mi-temps],H$65)=0,"",COUNTIFS(JournalActions[Joueur],$B67,JournalActions[Action],$H$64,JournalActions[Mi-temps],H$65))</f>
        <v/>
      </c>
      <c r="I67" s="57" t="str">
        <f>IF(COUNTIFS(JournalActions[Joueur],$B67,JournalActions[Action],$H$64,JournalActions[Mi-temps],I$65)=0,"",COUNTIFS(JournalActions[Joueur],$B67,JournalActions[Action],$H$64,JournalActions[Mi-temps],I$65))</f>
        <v/>
      </c>
      <c r="J67" s="56" t="str">
        <f>IF(COUNTIFS(JournalActions[Joueur],$B67,JournalActions[Action],$J$64,JournalActions[Mi-temps],J$65)=0,"",COUNTIFS(JournalActions[Joueur],$B67,JournalActions[Action],$J$64,JournalActions[Mi-temps],J$65))</f>
        <v/>
      </c>
      <c r="K67" s="57" t="str">
        <f>IF(COUNTIFS(JournalActions[Joueur],$B67,JournalActions[Action],$J$64,JournalActions[Mi-temps],K$65)=0,"",COUNTIFS(JournalActions[Joueur],$B67,JournalActions[Action],$J$64,JournalActions[Mi-temps],K$65))</f>
        <v/>
      </c>
    </row>
    <row r="68" spans="2:11" s="25" customFormat="1">
      <c r="B68" s="56" t="str">
        <v>BARRAILH Francois</v>
      </c>
      <c r="C68" s="56" t="str">
        <f>IF(COUNTIFS(JournalActions[Joueur],$B68,JournalActions[Action],$C$64,JournalActions[Mi-temps],C$65)=0,"",COUNTIFS(JournalActions[Joueur],$B68,JournalActions[Action],$C$64,JournalActions[Mi-temps],C$65))</f>
        <v/>
      </c>
      <c r="D68" s="57" t="str">
        <f>IF(COUNTIFS(JournalActions[Joueur],$B68,JournalActions[Action],$C$64,JournalActions[Mi-temps],D$65)=0,"",COUNTIFS(JournalActions[Joueur],$B68,JournalActions[Action],$C$64,JournalActions[Mi-temps],D$65))</f>
        <v/>
      </c>
      <c r="E68" s="56" t="str">
        <f>IF(COUNTIFS(JournalActions[Joueur],$B68,JournalActions[Action],$E$64,JournalActions[Mi-temps],E$65)=0,"",COUNTIFS(JournalActions[Joueur],$B68,JournalActions[Action],$E$64,JournalActions[Mi-temps],E$65))</f>
        <v/>
      </c>
      <c r="F68" s="57" t="str">
        <f>IF(COUNTIFS(JournalActions[Joueur],$B68,JournalActions[Action],$E$64,JournalActions[Mi-temps],F$65)=0,"",COUNTIFS(JournalActions[Joueur],$B68,JournalActions[Action],$E$64,JournalActions[Mi-temps],F$65))</f>
        <v/>
      </c>
      <c r="H68" s="56" t="str">
        <f>IF(COUNTIFS(JournalActions[Joueur],$B68,JournalActions[Action],$H$64,JournalActions[Mi-temps],H$65)=0,"",COUNTIFS(JournalActions[Joueur],$B68,JournalActions[Action],$H$64,JournalActions[Mi-temps],H$65))</f>
        <v/>
      </c>
      <c r="I68" s="57" t="str">
        <f>IF(COUNTIFS(JournalActions[Joueur],$B68,JournalActions[Action],$H$64,JournalActions[Mi-temps],I$65)=0,"",COUNTIFS(JournalActions[Joueur],$B68,JournalActions[Action],$H$64,JournalActions[Mi-temps],I$65))</f>
        <v/>
      </c>
      <c r="J68" s="56" t="str">
        <f>IF(COUNTIFS(JournalActions[Joueur],$B68,JournalActions[Action],$J$64,JournalActions[Mi-temps],J$65)=0,"",COUNTIFS(JournalActions[Joueur],$B68,JournalActions[Action],$J$64,JournalActions[Mi-temps],J$65))</f>
        <v/>
      </c>
      <c r="K68" s="57" t="str">
        <f>IF(COUNTIFS(JournalActions[Joueur],$B68,JournalActions[Action],$J$64,JournalActions[Mi-temps],K$65)=0,"",COUNTIFS(JournalActions[Joueur],$B68,JournalActions[Action],$J$64,JournalActions[Mi-temps],K$65))</f>
        <v/>
      </c>
    </row>
    <row r="69" spans="2:11" s="25" customFormat="1">
      <c r="B69" s="56" t="str">
        <v>BARTHIE Sebastien</v>
      </c>
      <c r="C69" s="56" t="str">
        <f>IF(COUNTIFS(JournalActions[Joueur],$B69,JournalActions[Action],$C$64,JournalActions[Mi-temps],C$65)=0,"",COUNTIFS(JournalActions[Joueur],$B69,JournalActions[Action],$C$64,JournalActions[Mi-temps],C$65))</f>
        <v/>
      </c>
      <c r="D69" s="57" t="str">
        <f>IF(COUNTIFS(JournalActions[Joueur],$B69,JournalActions[Action],$C$64,JournalActions[Mi-temps],D$65)=0,"",COUNTIFS(JournalActions[Joueur],$B69,JournalActions[Action],$C$64,JournalActions[Mi-temps],D$65))</f>
        <v/>
      </c>
      <c r="E69" s="56" t="str">
        <f>IF(COUNTIFS(JournalActions[Joueur],$B69,JournalActions[Action],$E$64,JournalActions[Mi-temps],E$65)=0,"",COUNTIFS(JournalActions[Joueur],$B69,JournalActions[Action],$E$64,JournalActions[Mi-temps],E$65))</f>
        <v/>
      </c>
      <c r="F69" s="57" t="str">
        <f>IF(COUNTIFS(JournalActions[Joueur],$B69,JournalActions[Action],$E$64,JournalActions[Mi-temps],F$65)=0,"",COUNTIFS(JournalActions[Joueur],$B69,JournalActions[Action],$E$64,JournalActions[Mi-temps],F$65))</f>
        <v/>
      </c>
      <c r="H69" s="56" t="str">
        <f>IF(COUNTIFS(JournalActions[Joueur],$B69,JournalActions[Action],$H$64,JournalActions[Mi-temps],H$65)=0,"",COUNTIFS(JournalActions[Joueur],$B69,JournalActions[Action],$H$64,JournalActions[Mi-temps],H$65))</f>
        <v/>
      </c>
      <c r="I69" s="57" t="str">
        <f>IF(COUNTIFS(JournalActions[Joueur],$B69,JournalActions[Action],$H$64,JournalActions[Mi-temps],I$65)=0,"",COUNTIFS(JournalActions[Joueur],$B69,JournalActions[Action],$H$64,JournalActions[Mi-temps],I$65))</f>
        <v/>
      </c>
      <c r="J69" s="56" t="str">
        <f>IF(COUNTIFS(JournalActions[Joueur],$B69,JournalActions[Action],$J$64,JournalActions[Mi-temps],J$65)=0,"",COUNTIFS(JournalActions[Joueur],$B69,JournalActions[Action],$J$64,JournalActions[Mi-temps],J$65))</f>
        <v/>
      </c>
      <c r="K69" s="57" t="str">
        <f>IF(COUNTIFS(JournalActions[Joueur],$B69,JournalActions[Action],$J$64,JournalActions[Mi-temps],K$65)=0,"",COUNTIFS(JournalActions[Joueur],$B69,JournalActions[Action],$J$64,JournalActions[Mi-temps],K$65))</f>
        <v/>
      </c>
    </row>
    <row r="70" spans="2:11" s="25" customFormat="1">
      <c r="B70" s="56" t="str">
        <v>BOISVIN Paul</v>
      </c>
      <c r="C70" s="56" t="str">
        <f>IF(COUNTIFS(JournalActions[Joueur],$B70,JournalActions[Action],$C$64,JournalActions[Mi-temps],C$65)=0,"",COUNTIFS(JournalActions[Joueur],$B70,JournalActions[Action],$C$64,JournalActions[Mi-temps],C$65))</f>
        <v/>
      </c>
      <c r="D70" s="57" t="str">
        <f>IF(COUNTIFS(JournalActions[Joueur],$B70,JournalActions[Action],$C$64,JournalActions[Mi-temps],D$65)=0,"",COUNTIFS(JournalActions[Joueur],$B70,JournalActions[Action],$C$64,JournalActions[Mi-temps],D$65))</f>
        <v/>
      </c>
      <c r="E70" s="56" t="str">
        <f>IF(COUNTIFS(JournalActions[Joueur],$B70,JournalActions[Action],$E$64,JournalActions[Mi-temps],E$65)=0,"",COUNTIFS(JournalActions[Joueur],$B70,JournalActions[Action],$E$64,JournalActions[Mi-temps],E$65))</f>
        <v/>
      </c>
      <c r="F70" s="57" t="str">
        <f>IF(COUNTIFS(JournalActions[Joueur],$B70,JournalActions[Action],$E$64,JournalActions[Mi-temps],F$65)=0,"",COUNTIFS(JournalActions[Joueur],$B70,JournalActions[Action],$E$64,JournalActions[Mi-temps],F$65))</f>
        <v/>
      </c>
      <c r="H70" s="56" t="str">
        <f>IF(COUNTIFS(JournalActions[Joueur],$B70,JournalActions[Action],$H$64,JournalActions[Mi-temps],H$65)=0,"",COUNTIFS(JournalActions[Joueur],$B70,JournalActions[Action],$H$64,JournalActions[Mi-temps],H$65))</f>
        <v/>
      </c>
      <c r="I70" s="57" t="str">
        <f>IF(COUNTIFS(JournalActions[Joueur],$B70,JournalActions[Action],$H$64,JournalActions[Mi-temps],I$65)=0,"",COUNTIFS(JournalActions[Joueur],$B70,JournalActions[Action],$H$64,JournalActions[Mi-temps],I$65))</f>
        <v/>
      </c>
      <c r="J70" s="56" t="str">
        <f>IF(COUNTIFS(JournalActions[Joueur],$B70,JournalActions[Action],$J$64,JournalActions[Mi-temps],J$65)=0,"",COUNTIFS(JournalActions[Joueur],$B70,JournalActions[Action],$J$64,JournalActions[Mi-temps],J$65))</f>
        <v/>
      </c>
      <c r="K70" s="57" t="str">
        <f>IF(COUNTIFS(JournalActions[Joueur],$B70,JournalActions[Action],$J$64,JournalActions[Mi-temps],K$65)=0,"",COUNTIFS(JournalActions[Joueur],$B70,JournalActions[Action],$J$64,JournalActions[Mi-temps],K$65))</f>
        <v/>
      </c>
    </row>
    <row r="71" spans="2:11" s="25" customFormat="1">
      <c r="B71" s="56" t="str">
        <v>BOURREC Dorian</v>
      </c>
      <c r="C71" s="56" t="str">
        <f>IF(COUNTIFS(JournalActions[Joueur],$B71,JournalActions[Action],$C$64,JournalActions[Mi-temps],C$65)=0,"",COUNTIFS(JournalActions[Joueur],$B71,JournalActions[Action],$C$64,JournalActions[Mi-temps],C$65))</f>
        <v/>
      </c>
      <c r="D71" s="57" t="str">
        <f>IF(COUNTIFS(JournalActions[Joueur],$B71,JournalActions[Action],$C$64,JournalActions[Mi-temps],D$65)=0,"",COUNTIFS(JournalActions[Joueur],$B71,JournalActions[Action],$C$64,JournalActions[Mi-temps],D$65))</f>
        <v/>
      </c>
      <c r="E71" s="56" t="str">
        <f>IF(COUNTIFS(JournalActions[Joueur],$B71,JournalActions[Action],$E$64,JournalActions[Mi-temps],E$65)=0,"",COUNTIFS(JournalActions[Joueur],$B71,JournalActions[Action],$E$64,JournalActions[Mi-temps],E$65))</f>
        <v/>
      </c>
      <c r="F71" s="57" t="str">
        <f>IF(COUNTIFS(JournalActions[Joueur],$B71,JournalActions[Action],$E$64,JournalActions[Mi-temps],F$65)=0,"",COUNTIFS(JournalActions[Joueur],$B71,JournalActions[Action],$E$64,JournalActions[Mi-temps],F$65))</f>
        <v/>
      </c>
      <c r="H71" s="56" t="str">
        <f>IF(COUNTIFS(JournalActions[Joueur],$B71,JournalActions[Action],$H$64,JournalActions[Mi-temps],H$65)=0,"",COUNTIFS(JournalActions[Joueur],$B71,JournalActions[Action],$H$64,JournalActions[Mi-temps],H$65))</f>
        <v/>
      </c>
      <c r="I71" s="57" t="str">
        <f>IF(COUNTIFS(JournalActions[Joueur],$B71,JournalActions[Action],$H$64,JournalActions[Mi-temps],I$65)=0,"",COUNTIFS(JournalActions[Joueur],$B71,JournalActions[Action],$H$64,JournalActions[Mi-temps],I$65))</f>
        <v/>
      </c>
      <c r="J71" s="56" t="str">
        <f>IF(COUNTIFS(JournalActions[Joueur],$B71,JournalActions[Action],$J$64,JournalActions[Mi-temps],J$65)=0,"",COUNTIFS(JournalActions[Joueur],$B71,JournalActions[Action],$J$64,JournalActions[Mi-temps],J$65))</f>
        <v/>
      </c>
      <c r="K71" s="57" t="str">
        <f>IF(COUNTIFS(JournalActions[Joueur],$B71,JournalActions[Action],$J$64,JournalActions[Mi-temps],K$65)=0,"",COUNTIFS(JournalActions[Joueur],$B71,JournalActions[Action],$J$64,JournalActions[Mi-temps],K$65))</f>
        <v/>
      </c>
    </row>
    <row r="72" spans="2:11" s="25" customFormat="1">
      <c r="B72" s="56" t="str">
        <v>BOUTELOUP Romain</v>
      </c>
      <c r="C72" s="56" t="str">
        <f>IF(COUNTIFS(JournalActions[Joueur],$B72,JournalActions[Action],$C$64,JournalActions[Mi-temps],C$65)=0,"",COUNTIFS(JournalActions[Joueur],$B72,JournalActions[Action],$C$64,JournalActions[Mi-temps],C$65))</f>
        <v/>
      </c>
      <c r="D72" s="57" t="str">
        <f>IF(COUNTIFS(JournalActions[Joueur],$B72,JournalActions[Action],$C$64,JournalActions[Mi-temps],D$65)=0,"",COUNTIFS(JournalActions[Joueur],$B72,JournalActions[Action],$C$64,JournalActions[Mi-temps],D$65))</f>
        <v/>
      </c>
      <c r="E72" s="56" t="str">
        <f>IF(COUNTIFS(JournalActions[Joueur],$B72,JournalActions[Action],$E$64,JournalActions[Mi-temps],E$65)=0,"",COUNTIFS(JournalActions[Joueur],$B72,JournalActions[Action],$E$64,JournalActions[Mi-temps],E$65))</f>
        <v/>
      </c>
      <c r="F72" s="57" t="str">
        <f>IF(COUNTIFS(JournalActions[Joueur],$B72,JournalActions[Action],$E$64,JournalActions[Mi-temps],F$65)=0,"",COUNTIFS(JournalActions[Joueur],$B72,JournalActions[Action],$E$64,JournalActions[Mi-temps],F$65))</f>
        <v/>
      </c>
      <c r="H72" s="56" t="str">
        <f>IF(COUNTIFS(JournalActions[Joueur],$B72,JournalActions[Action],$H$64,JournalActions[Mi-temps],H$65)=0,"",COUNTIFS(JournalActions[Joueur],$B72,JournalActions[Action],$H$64,JournalActions[Mi-temps],H$65))</f>
        <v/>
      </c>
      <c r="I72" s="57" t="str">
        <f>IF(COUNTIFS(JournalActions[Joueur],$B72,JournalActions[Action],$H$64,JournalActions[Mi-temps],I$65)=0,"",COUNTIFS(JournalActions[Joueur],$B72,JournalActions[Action],$H$64,JournalActions[Mi-temps],I$65))</f>
        <v/>
      </c>
      <c r="J72" s="56" t="str">
        <f>IF(COUNTIFS(JournalActions[Joueur],$B72,JournalActions[Action],$J$64,JournalActions[Mi-temps],J$65)=0,"",COUNTIFS(JournalActions[Joueur],$B72,JournalActions[Action],$J$64,JournalActions[Mi-temps],J$65))</f>
        <v/>
      </c>
      <c r="K72" s="57" t="str">
        <f>IF(COUNTIFS(JournalActions[Joueur],$B72,JournalActions[Action],$J$64,JournalActions[Mi-temps],K$65)=0,"",COUNTIFS(JournalActions[Joueur],$B72,JournalActions[Action],$J$64,JournalActions[Mi-temps],K$65))</f>
        <v/>
      </c>
    </row>
    <row r="73" spans="2:11" s="25" customFormat="1">
      <c r="B73" s="56" t="str">
        <v>CARRAU Ludovic</v>
      </c>
      <c r="C73" s="56" t="str">
        <f>IF(COUNTIFS(JournalActions[Joueur],$B73,JournalActions[Action],$C$64,JournalActions[Mi-temps],C$65)=0,"",COUNTIFS(JournalActions[Joueur],$B73,JournalActions[Action],$C$64,JournalActions[Mi-temps],C$65))</f>
        <v/>
      </c>
      <c r="D73" s="57" t="str">
        <f>IF(COUNTIFS(JournalActions[Joueur],$B73,JournalActions[Action],$C$64,JournalActions[Mi-temps],D$65)=0,"",COUNTIFS(JournalActions[Joueur],$B73,JournalActions[Action],$C$64,JournalActions[Mi-temps],D$65))</f>
        <v/>
      </c>
      <c r="E73" s="56" t="str">
        <f>IF(COUNTIFS(JournalActions[Joueur],$B73,JournalActions[Action],$E$64,JournalActions[Mi-temps],E$65)=0,"",COUNTIFS(JournalActions[Joueur],$B73,JournalActions[Action],$E$64,JournalActions[Mi-temps],E$65))</f>
        <v/>
      </c>
      <c r="F73" s="57" t="str">
        <f>IF(COUNTIFS(JournalActions[Joueur],$B73,JournalActions[Action],$E$64,JournalActions[Mi-temps],F$65)=0,"",COUNTIFS(JournalActions[Joueur],$B73,JournalActions[Action],$E$64,JournalActions[Mi-temps],F$65))</f>
        <v/>
      </c>
      <c r="H73" s="56" t="str">
        <f>IF(COUNTIFS(JournalActions[Joueur],$B73,JournalActions[Action],$H$64,JournalActions[Mi-temps],H$65)=0,"",COUNTIFS(JournalActions[Joueur],$B73,JournalActions[Action],$H$64,JournalActions[Mi-temps],H$65))</f>
        <v/>
      </c>
      <c r="I73" s="57" t="str">
        <f>IF(COUNTIFS(JournalActions[Joueur],$B73,JournalActions[Action],$H$64,JournalActions[Mi-temps],I$65)=0,"",COUNTIFS(JournalActions[Joueur],$B73,JournalActions[Action],$H$64,JournalActions[Mi-temps],I$65))</f>
        <v/>
      </c>
      <c r="J73" s="56" t="str">
        <f>IF(COUNTIFS(JournalActions[Joueur],$B73,JournalActions[Action],$J$64,JournalActions[Mi-temps],J$65)=0,"",COUNTIFS(JournalActions[Joueur],$B73,JournalActions[Action],$J$64,JournalActions[Mi-temps],J$65))</f>
        <v/>
      </c>
      <c r="K73" s="57" t="str">
        <f>IF(COUNTIFS(JournalActions[Joueur],$B73,JournalActions[Action],$J$64,JournalActions[Mi-temps],K$65)=0,"",COUNTIFS(JournalActions[Joueur],$B73,JournalActions[Action],$J$64,JournalActions[Mi-temps],K$65))</f>
        <v/>
      </c>
    </row>
    <row r="74" spans="2:11" s="25" customFormat="1">
      <c r="B74" s="56" t="str">
        <v>CASTERA Tom</v>
      </c>
      <c r="C74" s="56" t="str">
        <f>IF(COUNTIFS(JournalActions[Joueur],$B74,JournalActions[Action],$C$64,JournalActions[Mi-temps],C$65)=0,"",COUNTIFS(JournalActions[Joueur],$B74,JournalActions[Action],$C$64,JournalActions[Mi-temps],C$65))</f>
        <v/>
      </c>
      <c r="D74" s="57" t="str">
        <f>IF(COUNTIFS(JournalActions[Joueur],$B74,JournalActions[Action],$C$64,JournalActions[Mi-temps],D$65)=0,"",COUNTIFS(JournalActions[Joueur],$B74,JournalActions[Action],$C$64,JournalActions[Mi-temps],D$65))</f>
        <v/>
      </c>
      <c r="E74" s="56" t="str">
        <f>IF(COUNTIFS(JournalActions[Joueur],$B74,JournalActions[Action],$E$64,JournalActions[Mi-temps],E$65)=0,"",COUNTIFS(JournalActions[Joueur],$B74,JournalActions[Action],$E$64,JournalActions[Mi-temps],E$65))</f>
        <v/>
      </c>
      <c r="F74" s="57" t="str">
        <f>IF(COUNTIFS(JournalActions[Joueur],$B74,JournalActions[Action],$E$64,JournalActions[Mi-temps],F$65)=0,"",COUNTIFS(JournalActions[Joueur],$B74,JournalActions[Action],$E$64,JournalActions[Mi-temps],F$65))</f>
        <v/>
      </c>
      <c r="H74" s="56" t="str">
        <f>IF(COUNTIFS(JournalActions[Joueur],$B74,JournalActions[Action],$H$64,JournalActions[Mi-temps],H$65)=0,"",COUNTIFS(JournalActions[Joueur],$B74,JournalActions[Action],$H$64,JournalActions[Mi-temps],H$65))</f>
        <v/>
      </c>
      <c r="I74" s="57" t="str">
        <f>IF(COUNTIFS(JournalActions[Joueur],$B74,JournalActions[Action],$H$64,JournalActions[Mi-temps],I$65)=0,"",COUNTIFS(JournalActions[Joueur],$B74,JournalActions[Action],$H$64,JournalActions[Mi-temps],I$65))</f>
        <v/>
      </c>
      <c r="J74" s="56" t="str">
        <f>IF(COUNTIFS(JournalActions[Joueur],$B74,JournalActions[Action],$J$64,JournalActions[Mi-temps],J$65)=0,"",COUNTIFS(JournalActions[Joueur],$B74,JournalActions[Action],$J$64,JournalActions[Mi-temps],J$65))</f>
        <v/>
      </c>
      <c r="K74" s="57" t="str">
        <f>IF(COUNTIFS(JournalActions[Joueur],$B74,JournalActions[Action],$J$64,JournalActions[Mi-temps],K$65)=0,"",COUNTIFS(JournalActions[Joueur],$B74,JournalActions[Action],$J$64,JournalActions[Mi-temps],K$65))</f>
        <v/>
      </c>
    </row>
    <row r="75" spans="2:11" s="25" customFormat="1">
      <c r="B75" s="56" t="str">
        <v>CESCA Sacha</v>
      </c>
      <c r="C75" s="56" t="str">
        <f>IF(COUNTIFS(JournalActions[Joueur],$B75,JournalActions[Action],$C$64,JournalActions[Mi-temps],C$65)=0,"",COUNTIFS(JournalActions[Joueur],$B75,JournalActions[Action],$C$64,JournalActions[Mi-temps],C$65))</f>
        <v/>
      </c>
      <c r="D75" s="57" t="str">
        <f>IF(COUNTIFS(JournalActions[Joueur],$B75,JournalActions[Action],$C$64,JournalActions[Mi-temps],D$65)=0,"",COUNTIFS(JournalActions[Joueur],$B75,JournalActions[Action],$C$64,JournalActions[Mi-temps],D$65))</f>
        <v/>
      </c>
      <c r="E75" s="56" t="str">
        <f>IF(COUNTIFS(JournalActions[Joueur],$B75,JournalActions[Action],$E$64,JournalActions[Mi-temps],E$65)=0,"",COUNTIFS(JournalActions[Joueur],$B75,JournalActions[Action],$E$64,JournalActions[Mi-temps],E$65))</f>
        <v/>
      </c>
      <c r="F75" s="57" t="str">
        <f>IF(COUNTIFS(JournalActions[Joueur],$B75,JournalActions[Action],$E$64,JournalActions[Mi-temps],F$65)=0,"",COUNTIFS(JournalActions[Joueur],$B75,JournalActions[Action],$E$64,JournalActions[Mi-temps],F$65))</f>
        <v/>
      </c>
      <c r="H75" s="56" t="str">
        <f>IF(COUNTIFS(JournalActions[Joueur],$B75,JournalActions[Action],$H$64,JournalActions[Mi-temps],H$65)=0,"",COUNTIFS(JournalActions[Joueur],$B75,JournalActions[Action],$H$64,JournalActions[Mi-temps],H$65))</f>
        <v/>
      </c>
      <c r="I75" s="57" t="str">
        <f>IF(COUNTIFS(JournalActions[Joueur],$B75,JournalActions[Action],$H$64,JournalActions[Mi-temps],I$65)=0,"",COUNTIFS(JournalActions[Joueur],$B75,JournalActions[Action],$H$64,JournalActions[Mi-temps],I$65))</f>
        <v/>
      </c>
      <c r="J75" s="56" t="str">
        <f>IF(COUNTIFS(JournalActions[Joueur],$B75,JournalActions[Action],$J$64,JournalActions[Mi-temps],J$65)=0,"",COUNTIFS(JournalActions[Joueur],$B75,JournalActions[Action],$J$64,JournalActions[Mi-temps],J$65))</f>
        <v/>
      </c>
      <c r="K75" s="57" t="str">
        <f>IF(COUNTIFS(JournalActions[Joueur],$B75,JournalActions[Action],$J$64,JournalActions[Mi-temps],K$65)=0,"",COUNTIFS(JournalActions[Joueur],$B75,JournalActions[Action],$J$64,JournalActions[Mi-temps],K$65))</f>
        <v/>
      </c>
    </row>
    <row r="76" spans="2:11" s="25" customFormat="1">
      <c r="B76" s="56" t="str">
        <v>DUTREY Thomas</v>
      </c>
      <c r="C76" s="56">
        <f>IF(COUNTIFS(JournalActions[Joueur],$B76,JournalActions[Action],$C$64,JournalActions[Mi-temps],C$65)=0,"",COUNTIFS(JournalActions[Joueur],$B76,JournalActions[Action],$C$64,JournalActions[Mi-temps],C$65))</f>
        <v>1</v>
      </c>
      <c r="D76" s="57" t="str">
        <f>IF(COUNTIFS(JournalActions[Joueur],$B76,JournalActions[Action],$C$64,JournalActions[Mi-temps],D$65)=0,"",COUNTIFS(JournalActions[Joueur],$B76,JournalActions[Action],$C$64,JournalActions[Mi-temps],D$65))</f>
        <v/>
      </c>
      <c r="E76" s="56" t="str">
        <f>IF(COUNTIFS(JournalActions[Joueur],$B76,JournalActions[Action],$E$64,JournalActions[Mi-temps],E$65)=0,"",COUNTIFS(JournalActions[Joueur],$B76,JournalActions[Action],$E$64,JournalActions[Mi-temps],E$65))</f>
        <v/>
      </c>
      <c r="F76" s="57" t="str">
        <f>IF(COUNTIFS(JournalActions[Joueur],$B76,JournalActions[Action],$E$64,JournalActions[Mi-temps],F$65)=0,"",COUNTIFS(JournalActions[Joueur],$B76,JournalActions[Action],$E$64,JournalActions[Mi-temps],F$65))</f>
        <v/>
      </c>
      <c r="H76" s="56" t="str">
        <f>IF(COUNTIFS(JournalActions[Joueur],$B76,JournalActions[Action],$H$64,JournalActions[Mi-temps],H$65)=0,"",COUNTIFS(JournalActions[Joueur],$B76,JournalActions[Action],$H$64,JournalActions[Mi-temps],H$65))</f>
        <v/>
      </c>
      <c r="I76" s="57" t="str">
        <f>IF(COUNTIFS(JournalActions[Joueur],$B76,JournalActions[Action],$H$64,JournalActions[Mi-temps],I$65)=0,"",COUNTIFS(JournalActions[Joueur],$B76,JournalActions[Action],$H$64,JournalActions[Mi-temps],I$65))</f>
        <v/>
      </c>
      <c r="J76" s="56" t="str">
        <f>IF(COUNTIFS(JournalActions[Joueur],$B76,JournalActions[Action],$J$64,JournalActions[Mi-temps],J$65)=0,"",COUNTIFS(JournalActions[Joueur],$B76,JournalActions[Action],$J$64,JournalActions[Mi-temps],J$65))</f>
        <v/>
      </c>
      <c r="K76" s="57" t="str">
        <f>IF(COUNTIFS(JournalActions[Joueur],$B76,JournalActions[Action],$J$64,JournalActions[Mi-temps],K$65)=0,"",COUNTIFS(JournalActions[Joueur],$B76,JournalActions[Action],$J$64,JournalActions[Mi-temps],K$65))</f>
        <v/>
      </c>
    </row>
    <row r="77" spans="2:11" s="25" customFormat="1">
      <c r="B77" s="56" t="str">
        <v>GABRELLE Neot</v>
      </c>
      <c r="C77" s="56">
        <f>IF(COUNTIFS(JournalActions[Joueur],$B77,JournalActions[Action],$C$64,JournalActions[Mi-temps],C$65)=0,"",COUNTIFS(JournalActions[Joueur],$B77,JournalActions[Action],$C$64,JournalActions[Mi-temps],C$65))</f>
        <v>1</v>
      </c>
      <c r="D77" s="57" t="str">
        <f>IF(COUNTIFS(JournalActions[Joueur],$B77,JournalActions[Action],$C$64,JournalActions[Mi-temps],D$65)=0,"",COUNTIFS(JournalActions[Joueur],$B77,JournalActions[Action],$C$64,JournalActions[Mi-temps],D$65))</f>
        <v/>
      </c>
      <c r="E77" s="56" t="str">
        <f>IF(COUNTIFS(JournalActions[Joueur],$B77,JournalActions[Action],$E$64,JournalActions[Mi-temps],E$65)=0,"",COUNTIFS(JournalActions[Joueur],$B77,JournalActions[Action],$E$64,JournalActions[Mi-temps],E$65))</f>
        <v/>
      </c>
      <c r="F77" s="57" t="str">
        <f>IF(COUNTIFS(JournalActions[Joueur],$B77,JournalActions[Action],$E$64,JournalActions[Mi-temps],F$65)=0,"",COUNTIFS(JournalActions[Joueur],$B77,JournalActions[Action],$E$64,JournalActions[Mi-temps],F$65))</f>
        <v/>
      </c>
      <c r="H77" s="56">
        <f>IF(COUNTIFS(JournalActions[Joueur],$B77,JournalActions[Action],$H$64,JournalActions[Mi-temps],H$65)=0,"",COUNTIFS(JournalActions[Joueur],$B77,JournalActions[Action],$H$64,JournalActions[Mi-temps],H$65))</f>
        <v>1</v>
      </c>
      <c r="I77" s="57" t="str">
        <f>IF(COUNTIFS(JournalActions[Joueur],$B77,JournalActions[Action],$H$64,JournalActions[Mi-temps],I$65)=0,"",COUNTIFS(JournalActions[Joueur],$B77,JournalActions[Action],$H$64,JournalActions[Mi-temps],I$65))</f>
        <v/>
      </c>
      <c r="J77" s="56" t="str">
        <f>IF(COUNTIFS(JournalActions[Joueur],$B77,JournalActions[Action],$J$64,JournalActions[Mi-temps],J$65)=0,"",COUNTIFS(JournalActions[Joueur],$B77,JournalActions[Action],$J$64,JournalActions[Mi-temps],J$65))</f>
        <v/>
      </c>
      <c r="K77" s="57" t="str">
        <f>IF(COUNTIFS(JournalActions[Joueur],$B77,JournalActions[Action],$J$64,JournalActions[Mi-temps],K$65)=0,"",COUNTIFS(JournalActions[Joueur],$B77,JournalActions[Action],$J$64,JournalActions[Mi-temps],K$65))</f>
        <v/>
      </c>
    </row>
    <row r="78" spans="2:11" s="25" customFormat="1">
      <c r="B78" s="56" t="str">
        <v>GALLINARO Pierrick</v>
      </c>
      <c r="C78" s="56" t="str">
        <f>IF(COUNTIFS(JournalActions[Joueur],$B78,JournalActions[Action],$C$64,JournalActions[Mi-temps],C$65)=0,"",COUNTIFS(JournalActions[Joueur],$B78,JournalActions[Action],$C$64,JournalActions[Mi-temps],C$65))</f>
        <v/>
      </c>
      <c r="D78" s="57" t="str">
        <f>IF(COUNTIFS(JournalActions[Joueur],$B78,JournalActions[Action],$C$64,JournalActions[Mi-temps],D$65)=0,"",COUNTIFS(JournalActions[Joueur],$B78,JournalActions[Action],$C$64,JournalActions[Mi-temps],D$65))</f>
        <v/>
      </c>
      <c r="E78" s="56" t="str">
        <f>IF(COUNTIFS(JournalActions[Joueur],$B78,JournalActions[Action],$E$64,JournalActions[Mi-temps],E$65)=0,"",COUNTIFS(JournalActions[Joueur],$B78,JournalActions[Action],$E$64,JournalActions[Mi-temps],E$65))</f>
        <v/>
      </c>
      <c r="F78" s="57" t="str">
        <f>IF(COUNTIFS(JournalActions[Joueur],$B78,JournalActions[Action],$E$64,JournalActions[Mi-temps],F$65)=0,"",COUNTIFS(JournalActions[Joueur],$B78,JournalActions[Action],$E$64,JournalActions[Mi-temps],F$65))</f>
        <v/>
      </c>
      <c r="H78" s="56" t="str">
        <f>IF(COUNTIFS(JournalActions[Joueur],$B78,JournalActions[Action],$H$64,JournalActions[Mi-temps],H$65)=0,"",COUNTIFS(JournalActions[Joueur],$B78,JournalActions[Action],$H$64,JournalActions[Mi-temps],H$65))</f>
        <v/>
      </c>
      <c r="I78" s="57" t="str">
        <f>IF(COUNTIFS(JournalActions[Joueur],$B78,JournalActions[Action],$H$64,JournalActions[Mi-temps],I$65)=0,"",COUNTIFS(JournalActions[Joueur],$B78,JournalActions[Action],$H$64,JournalActions[Mi-temps],I$65))</f>
        <v/>
      </c>
      <c r="J78" s="56" t="str">
        <f>IF(COUNTIFS(JournalActions[Joueur],$B78,JournalActions[Action],$J$64,JournalActions[Mi-temps],J$65)=0,"",COUNTIFS(JournalActions[Joueur],$B78,JournalActions[Action],$J$64,JournalActions[Mi-temps],J$65))</f>
        <v/>
      </c>
      <c r="K78" s="57" t="str">
        <f>IF(COUNTIFS(JournalActions[Joueur],$B78,JournalActions[Action],$J$64,JournalActions[Mi-temps],K$65)=0,"",COUNTIFS(JournalActions[Joueur],$B78,JournalActions[Action],$J$64,JournalActions[Mi-temps],K$65))</f>
        <v/>
      </c>
    </row>
    <row r="79" spans="2:11" s="25" customFormat="1">
      <c r="B79" s="56" t="str">
        <v>KAPFER Ludovic</v>
      </c>
      <c r="C79" s="56">
        <f>IF(COUNTIFS(JournalActions[Joueur],$B79,JournalActions[Action],$C$64,JournalActions[Mi-temps],C$65)=0,"",COUNTIFS(JournalActions[Joueur],$B79,JournalActions[Action],$C$64,JournalActions[Mi-temps],C$65))</f>
        <v>1</v>
      </c>
      <c r="D79" s="57" t="str">
        <f>IF(COUNTIFS(JournalActions[Joueur],$B79,JournalActions[Action],$C$64,JournalActions[Mi-temps],D$65)=0,"",COUNTIFS(JournalActions[Joueur],$B79,JournalActions[Action],$C$64,JournalActions[Mi-temps],D$65))</f>
        <v/>
      </c>
      <c r="E79" s="56" t="str">
        <f>IF(COUNTIFS(JournalActions[Joueur],$B79,JournalActions[Action],$E$64,JournalActions[Mi-temps],E$65)=0,"",COUNTIFS(JournalActions[Joueur],$B79,JournalActions[Action],$E$64,JournalActions[Mi-temps],E$65))</f>
        <v/>
      </c>
      <c r="F79" s="57" t="str">
        <f>IF(COUNTIFS(JournalActions[Joueur],$B79,JournalActions[Action],$E$64,JournalActions[Mi-temps],F$65)=0,"",COUNTIFS(JournalActions[Joueur],$B79,JournalActions[Action],$E$64,JournalActions[Mi-temps],F$65))</f>
        <v/>
      </c>
      <c r="H79" s="56" t="str">
        <f>IF(COUNTIFS(JournalActions[Joueur],$B79,JournalActions[Action],$H$64,JournalActions[Mi-temps],H$65)=0,"",COUNTIFS(JournalActions[Joueur],$B79,JournalActions[Action],$H$64,JournalActions[Mi-temps],H$65))</f>
        <v/>
      </c>
      <c r="I79" s="57" t="str">
        <f>IF(COUNTIFS(JournalActions[Joueur],$B79,JournalActions[Action],$H$64,JournalActions[Mi-temps],I$65)=0,"",COUNTIFS(JournalActions[Joueur],$B79,JournalActions[Action],$H$64,JournalActions[Mi-temps],I$65))</f>
        <v/>
      </c>
      <c r="J79" s="56" t="str">
        <f>IF(COUNTIFS(JournalActions[Joueur],$B79,JournalActions[Action],$J$64,JournalActions[Mi-temps],J$65)=0,"",COUNTIFS(JournalActions[Joueur],$B79,JournalActions[Action],$J$64,JournalActions[Mi-temps],J$65))</f>
        <v/>
      </c>
      <c r="K79" s="57" t="str">
        <f>IF(COUNTIFS(JournalActions[Joueur],$B79,JournalActions[Action],$J$64,JournalActions[Mi-temps],K$65)=0,"",COUNTIFS(JournalActions[Joueur],$B79,JournalActions[Action],$J$64,JournalActions[Mi-temps],K$65))</f>
        <v/>
      </c>
    </row>
    <row r="80" spans="2:11" s="25" customFormat="1">
      <c r="B80" s="56" t="str">
        <v>LESPINASSE Lucas</v>
      </c>
      <c r="C80" s="56" t="str">
        <f>IF(COUNTIFS(JournalActions[Joueur],$B80,JournalActions[Action],$C$64,JournalActions[Mi-temps],C$65)=0,"",COUNTIFS(JournalActions[Joueur],$B80,JournalActions[Action],$C$64,JournalActions[Mi-temps],C$65))</f>
        <v/>
      </c>
      <c r="D80" s="57" t="str">
        <f>IF(COUNTIFS(JournalActions[Joueur],$B80,JournalActions[Action],$C$64,JournalActions[Mi-temps],D$65)=0,"",COUNTIFS(JournalActions[Joueur],$B80,JournalActions[Action],$C$64,JournalActions[Mi-temps],D$65))</f>
        <v/>
      </c>
      <c r="E80" s="56" t="str">
        <f>IF(COUNTIFS(JournalActions[Joueur],$B80,JournalActions[Action],$E$64,JournalActions[Mi-temps],E$65)=0,"",COUNTIFS(JournalActions[Joueur],$B80,JournalActions[Action],$E$64,JournalActions[Mi-temps],E$65))</f>
        <v/>
      </c>
      <c r="F80" s="57" t="str">
        <f>IF(COUNTIFS(JournalActions[Joueur],$B80,JournalActions[Action],$E$64,JournalActions[Mi-temps],F$65)=0,"",COUNTIFS(JournalActions[Joueur],$B80,JournalActions[Action],$E$64,JournalActions[Mi-temps],F$65))</f>
        <v/>
      </c>
      <c r="H80" s="56" t="str">
        <f>IF(COUNTIFS(JournalActions[Joueur],$B80,JournalActions[Action],$H$64,JournalActions[Mi-temps],H$65)=0,"",COUNTIFS(JournalActions[Joueur],$B80,JournalActions[Action],$H$64,JournalActions[Mi-temps],H$65))</f>
        <v/>
      </c>
      <c r="I80" s="57" t="str">
        <f>IF(COUNTIFS(JournalActions[Joueur],$B80,JournalActions[Action],$H$64,JournalActions[Mi-temps],I$65)=0,"",COUNTIFS(JournalActions[Joueur],$B80,JournalActions[Action],$H$64,JournalActions[Mi-temps],I$65))</f>
        <v/>
      </c>
      <c r="J80" s="56" t="str">
        <f>IF(COUNTIFS(JournalActions[Joueur],$B80,JournalActions[Action],$J$64,JournalActions[Mi-temps],J$65)=0,"",COUNTIFS(JournalActions[Joueur],$B80,JournalActions[Action],$J$64,JournalActions[Mi-temps],J$65))</f>
        <v/>
      </c>
      <c r="K80" s="57" t="str">
        <f>IF(COUNTIFS(JournalActions[Joueur],$B80,JournalActions[Action],$J$64,JournalActions[Mi-temps],K$65)=0,"",COUNTIFS(JournalActions[Joueur],$B80,JournalActions[Action],$J$64,JournalActions[Mi-temps],K$65))</f>
        <v/>
      </c>
    </row>
    <row r="81" spans="2:11" s="25" customFormat="1">
      <c r="B81" s="56" t="str">
        <v>NGUYEN Tomy Lee</v>
      </c>
      <c r="C81" s="56" t="str">
        <f>IF(COUNTIFS(JournalActions[Joueur],$B81,JournalActions[Action],$C$64,JournalActions[Mi-temps],C$65)=0,"",COUNTIFS(JournalActions[Joueur],$B81,JournalActions[Action],$C$64,JournalActions[Mi-temps],C$65))</f>
        <v/>
      </c>
      <c r="D81" s="57" t="str">
        <f>IF(COUNTIFS(JournalActions[Joueur],$B81,JournalActions[Action],$C$64,JournalActions[Mi-temps],D$65)=0,"",COUNTIFS(JournalActions[Joueur],$B81,JournalActions[Action],$C$64,JournalActions[Mi-temps],D$65))</f>
        <v/>
      </c>
      <c r="E81" s="56" t="str">
        <f>IF(COUNTIFS(JournalActions[Joueur],$B81,JournalActions[Action],$E$64,JournalActions[Mi-temps],E$65)=0,"",COUNTIFS(JournalActions[Joueur],$B81,JournalActions[Action],$E$64,JournalActions[Mi-temps],E$65))</f>
        <v/>
      </c>
      <c r="F81" s="57" t="str">
        <f>IF(COUNTIFS(JournalActions[Joueur],$B81,JournalActions[Action],$E$64,JournalActions[Mi-temps],F$65)=0,"",COUNTIFS(JournalActions[Joueur],$B81,JournalActions[Action],$E$64,JournalActions[Mi-temps],F$65))</f>
        <v/>
      </c>
      <c r="H81" s="56" t="str">
        <f>IF(COUNTIFS(JournalActions[Joueur],$B81,JournalActions[Action],$H$64,JournalActions[Mi-temps],H$65)=0,"",COUNTIFS(JournalActions[Joueur],$B81,JournalActions[Action],$H$64,JournalActions[Mi-temps],H$65))</f>
        <v/>
      </c>
      <c r="I81" s="57" t="str">
        <f>IF(COUNTIFS(JournalActions[Joueur],$B81,JournalActions[Action],$H$64,JournalActions[Mi-temps],I$65)=0,"",COUNTIFS(JournalActions[Joueur],$B81,JournalActions[Action],$H$64,JournalActions[Mi-temps],I$65))</f>
        <v/>
      </c>
      <c r="J81" s="56" t="str">
        <f>IF(COUNTIFS(JournalActions[Joueur],$B81,JournalActions[Action],$J$64,JournalActions[Mi-temps],J$65)=0,"",COUNTIFS(JournalActions[Joueur],$B81,JournalActions[Action],$J$64,JournalActions[Mi-temps],J$65))</f>
        <v/>
      </c>
      <c r="K81" s="57" t="str">
        <f>IF(COUNTIFS(JournalActions[Joueur],$B81,JournalActions[Action],$J$64,JournalActions[Mi-temps],K$65)=0,"",COUNTIFS(JournalActions[Joueur],$B81,JournalActions[Action],$J$64,JournalActions[Mi-temps],K$65))</f>
        <v/>
      </c>
    </row>
    <row r="82" spans="2:11" s="25" customFormat="1">
      <c r="B82" s="56" t="str">
        <v>POUYADOU Julien</v>
      </c>
      <c r="C82" s="56" t="str">
        <f>IF(COUNTIFS(JournalActions[Joueur],$B82,JournalActions[Action],$C$64,JournalActions[Mi-temps],C$65)=0,"",COUNTIFS(JournalActions[Joueur],$B82,JournalActions[Action],$C$64,JournalActions[Mi-temps],C$65))</f>
        <v/>
      </c>
      <c r="D82" s="57" t="str">
        <f>IF(COUNTIFS(JournalActions[Joueur],$B82,JournalActions[Action],$C$64,JournalActions[Mi-temps],D$65)=0,"",COUNTIFS(JournalActions[Joueur],$B82,JournalActions[Action],$C$64,JournalActions[Mi-temps],D$65))</f>
        <v/>
      </c>
      <c r="E82" s="56" t="str">
        <f>IF(COUNTIFS(JournalActions[Joueur],$B82,JournalActions[Action],$E$64,JournalActions[Mi-temps],E$65)=0,"",COUNTIFS(JournalActions[Joueur],$B82,JournalActions[Action],$E$64,JournalActions[Mi-temps],E$65))</f>
        <v/>
      </c>
      <c r="F82" s="57" t="str">
        <f>IF(COUNTIFS(JournalActions[Joueur],$B82,JournalActions[Action],$E$64,JournalActions[Mi-temps],F$65)=0,"",COUNTIFS(JournalActions[Joueur],$B82,JournalActions[Action],$E$64,JournalActions[Mi-temps],F$65))</f>
        <v/>
      </c>
      <c r="H82" s="56" t="str">
        <f>IF(COUNTIFS(JournalActions[Joueur],$B82,JournalActions[Action],$H$64,JournalActions[Mi-temps],H$65)=0,"",COUNTIFS(JournalActions[Joueur],$B82,JournalActions[Action],$H$64,JournalActions[Mi-temps],H$65))</f>
        <v/>
      </c>
      <c r="I82" s="57">
        <f>IF(COUNTIFS(JournalActions[Joueur],$B82,JournalActions[Action],$H$64,JournalActions[Mi-temps],I$65)=0,"",COUNTIFS(JournalActions[Joueur],$B82,JournalActions[Action],$H$64,JournalActions[Mi-temps],I$65))</f>
        <v>1</v>
      </c>
      <c r="J82" s="56">
        <f>IF(COUNTIFS(JournalActions[Joueur],$B82,JournalActions[Action],$J$64,JournalActions[Mi-temps],J$65)=0,"",COUNTIFS(JournalActions[Joueur],$B82,JournalActions[Action],$J$64,JournalActions[Mi-temps],J$65))</f>
        <v>1</v>
      </c>
      <c r="K82" s="57" t="str">
        <f>IF(COUNTIFS(JournalActions[Joueur],$B82,JournalActions[Action],$J$64,JournalActions[Mi-temps],K$65)=0,"",COUNTIFS(JournalActions[Joueur],$B82,JournalActions[Action],$J$64,JournalActions[Mi-temps],K$65))</f>
        <v/>
      </c>
    </row>
    <row r="83" spans="2:11" s="25" customFormat="1">
      <c r="B83" s="56" t="str">
        <v>RECURT Louis</v>
      </c>
      <c r="C83" s="56" t="str">
        <f>IF(COUNTIFS(JournalActions[Joueur],$B83,JournalActions[Action],$C$64,JournalActions[Mi-temps],C$65)=0,"",COUNTIFS(JournalActions[Joueur],$B83,JournalActions[Action],$C$64,JournalActions[Mi-temps],C$65))</f>
        <v/>
      </c>
      <c r="D83" s="57" t="str">
        <f>IF(COUNTIFS(JournalActions[Joueur],$B83,JournalActions[Action],$C$64,JournalActions[Mi-temps],D$65)=0,"",COUNTIFS(JournalActions[Joueur],$B83,JournalActions[Action],$C$64,JournalActions[Mi-temps],D$65))</f>
        <v/>
      </c>
      <c r="E83" s="56" t="str">
        <f>IF(COUNTIFS(JournalActions[Joueur],$B83,JournalActions[Action],$E$64,JournalActions[Mi-temps],E$65)=0,"",COUNTIFS(JournalActions[Joueur],$B83,JournalActions[Action],$E$64,JournalActions[Mi-temps],E$65))</f>
        <v/>
      </c>
      <c r="F83" s="57" t="str">
        <f>IF(COUNTIFS(JournalActions[Joueur],$B83,JournalActions[Action],$E$64,JournalActions[Mi-temps],F$65)=0,"",COUNTIFS(JournalActions[Joueur],$B83,JournalActions[Action],$E$64,JournalActions[Mi-temps],F$65))</f>
        <v/>
      </c>
      <c r="H83" s="56" t="str">
        <f>IF(COUNTIFS(JournalActions[Joueur],$B83,JournalActions[Action],$H$64,JournalActions[Mi-temps],H$65)=0,"",COUNTIFS(JournalActions[Joueur],$B83,JournalActions[Action],$H$64,JournalActions[Mi-temps],H$65))</f>
        <v/>
      </c>
      <c r="I83" s="57" t="str">
        <f>IF(COUNTIFS(JournalActions[Joueur],$B83,JournalActions[Action],$H$64,JournalActions[Mi-temps],I$65)=0,"",COUNTIFS(JournalActions[Joueur],$B83,JournalActions[Action],$H$64,JournalActions[Mi-temps],I$65))</f>
        <v/>
      </c>
      <c r="J83" s="56" t="str">
        <f>IF(COUNTIFS(JournalActions[Joueur],$B83,JournalActions[Action],$J$64,JournalActions[Mi-temps],J$65)=0,"",COUNTIFS(JournalActions[Joueur],$B83,JournalActions[Action],$J$64,JournalActions[Mi-temps],J$65))</f>
        <v/>
      </c>
      <c r="K83" s="57" t="str">
        <f>IF(COUNTIFS(JournalActions[Joueur],$B83,JournalActions[Action],$J$64,JournalActions[Mi-temps],K$65)=0,"",COUNTIFS(JournalActions[Joueur],$B83,JournalActions[Action],$J$64,JournalActions[Mi-temps],K$65))</f>
        <v/>
      </c>
    </row>
    <row r="84" spans="2:11" s="25" customFormat="1">
      <c r="B84" s="56" t="str">
        <v>ROUSSEL Mathis</v>
      </c>
      <c r="C84" s="56" t="str">
        <f>IF(COUNTIFS(JournalActions[Joueur],$B84,JournalActions[Action],$C$64,JournalActions[Mi-temps],C$65)=0,"",COUNTIFS(JournalActions[Joueur],$B84,JournalActions[Action],$C$64,JournalActions[Mi-temps],C$65))</f>
        <v/>
      </c>
      <c r="D84" s="57">
        <f>IF(COUNTIFS(JournalActions[Joueur],$B84,JournalActions[Action],$C$64,JournalActions[Mi-temps],D$65)=0,"",COUNTIFS(JournalActions[Joueur],$B84,JournalActions[Action],$C$64,JournalActions[Mi-temps],D$65))</f>
        <v>2</v>
      </c>
      <c r="E84" s="56" t="str">
        <f>IF(COUNTIFS(JournalActions[Joueur],$B84,JournalActions[Action],$E$64,JournalActions[Mi-temps],E$65)=0,"",COUNTIFS(JournalActions[Joueur],$B84,JournalActions[Action],$E$64,JournalActions[Mi-temps],E$65))</f>
        <v/>
      </c>
      <c r="F84" s="57">
        <f>IF(COUNTIFS(JournalActions[Joueur],$B84,JournalActions[Action],$E$64,JournalActions[Mi-temps],F$65)=0,"",COUNTIFS(JournalActions[Joueur],$B84,JournalActions[Action],$E$64,JournalActions[Mi-temps],F$65))</f>
        <v>1</v>
      </c>
      <c r="H84" s="56" t="str">
        <f>IF(COUNTIFS(JournalActions[Joueur],$B84,JournalActions[Action],$H$64,JournalActions[Mi-temps],H$65)=0,"",COUNTIFS(JournalActions[Joueur],$B84,JournalActions[Action],$H$64,JournalActions[Mi-temps],H$65))</f>
        <v/>
      </c>
      <c r="I84" s="57" t="str">
        <f>IF(COUNTIFS(JournalActions[Joueur],$B84,JournalActions[Action],$H$64,JournalActions[Mi-temps],I$65)=0,"",COUNTIFS(JournalActions[Joueur],$B84,JournalActions[Action],$H$64,JournalActions[Mi-temps],I$65))</f>
        <v/>
      </c>
      <c r="J84" s="56" t="str">
        <f>IF(COUNTIFS(JournalActions[Joueur],$B84,JournalActions[Action],$J$64,JournalActions[Mi-temps],J$65)=0,"",COUNTIFS(JournalActions[Joueur],$B84,JournalActions[Action],$J$64,JournalActions[Mi-temps],J$65))</f>
        <v/>
      </c>
      <c r="K84" s="57" t="str">
        <f>IF(COUNTIFS(JournalActions[Joueur],$B84,JournalActions[Action],$J$64,JournalActions[Mi-temps],K$65)=0,"",COUNTIFS(JournalActions[Joueur],$B84,JournalActions[Action],$J$64,JournalActions[Mi-temps],K$65))</f>
        <v/>
      </c>
    </row>
    <row r="85" spans="2:11" s="25" customFormat="1">
      <c r="B85" s="56" t="str">
        <v>SOUVILLE Quentin</v>
      </c>
      <c r="C85" s="56" t="str">
        <f>IF(COUNTIFS(JournalActions[Joueur],$B85,JournalActions[Action],$C$64,JournalActions[Mi-temps],C$65)=0,"",COUNTIFS(JournalActions[Joueur],$B85,JournalActions[Action],$C$64,JournalActions[Mi-temps],C$65))</f>
        <v/>
      </c>
      <c r="D85" s="57" t="str">
        <f>IF(COUNTIFS(JournalActions[Joueur],$B85,JournalActions[Action],$C$64,JournalActions[Mi-temps],D$65)=0,"",COUNTIFS(JournalActions[Joueur],$B85,JournalActions[Action],$C$64,JournalActions[Mi-temps],D$65))</f>
        <v/>
      </c>
      <c r="E85" s="56" t="str">
        <f>IF(COUNTIFS(JournalActions[Joueur],$B85,JournalActions[Action],$E$64,JournalActions[Mi-temps],E$65)=0,"",COUNTIFS(JournalActions[Joueur],$B85,JournalActions[Action],$E$64,JournalActions[Mi-temps],E$65))</f>
        <v/>
      </c>
      <c r="F85" s="57" t="str">
        <f>IF(COUNTIFS(JournalActions[Joueur],$B85,JournalActions[Action],$E$64,JournalActions[Mi-temps],F$65)=0,"",COUNTIFS(JournalActions[Joueur],$B85,JournalActions[Action],$E$64,JournalActions[Mi-temps],F$65))</f>
        <v/>
      </c>
      <c r="H85" s="56" t="str">
        <f>IF(COUNTIFS(JournalActions[Joueur],$B85,JournalActions[Action],$H$64,JournalActions[Mi-temps],H$65)=0,"",COUNTIFS(JournalActions[Joueur],$B85,JournalActions[Action],$H$64,JournalActions[Mi-temps],H$65))</f>
        <v/>
      </c>
      <c r="I85" s="57" t="str">
        <f>IF(COUNTIFS(JournalActions[Joueur],$B85,JournalActions[Action],$H$64,JournalActions[Mi-temps],I$65)=0,"",COUNTIFS(JournalActions[Joueur],$B85,JournalActions[Action],$H$64,JournalActions[Mi-temps],I$65))</f>
        <v/>
      </c>
      <c r="J85" s="56" t="str">
        <f>IF(COUNTIFS(JournalActions[Joueur],$B85,JournalActions[Action],$J$64,JournalActions[Mi-temps],J$65)=0,"",COUNTIFS(JournalActions[Joueur],$B85,JournalActions[Action],$J$64,JournalActions[Mi-temps],J$65))</f>
        <v/>
      </c>
      <c r="K85" s="57" t="str">
        <f>IF(COUNTIFS(JournalActions[Joueur],$B85,JournalActions[Action],$J$64,JournalActions[Mi-temps],K$65)=0,"",COUNTIFS(JournalActions[Joueur],$B85,JournalActions[Action],$J$64,JournalActions[Mi-temps],K$65))</f>
        <v/>
      </c>
    </row>
    <row r="86" spans="2:11" s="25" customFormat="1">
      <c r="B86" s="56" t="str">
        <v>SUSPENE Gatien</v>
      </c>
      <c r="C86" s="56" t="str">
        <f>IF(COUNTIFS(JournalActions[Joueur],$B86,JournalActions[Action],$C$64,JournalActions[Mi-temps],C$65)=0,"",COUNTIFS(JournalActions[Joueur],$B86,JournalActions[Action],$C$64,JournalActions[Mi-temps],C$65))</f>
        <v/>
      </c>
      <c r="D86" s="57" t="str">
        <f>IF(COUNTIFS(JournalActions[Joueur],$B86,JournalActions[Action],$C$64,JournalActions[Mi-temps],D$65)=0,"",COUNTIFS(JournalActions[Joueur],$B86,JournalActions[Action],$C$64,JournalActions[Mi-temps],D$65))</f>
        <v/>
      </c>
      <c r="E86" s="56" t="str">
        <f>IF(COUNTIFS(JournalActions[Joueur],$B86,JournalActions[Action],$E$64,JournalActions[Mi-temps],E$65)=0,"",COUNTIFS(JournalActions[Joueur],$B86,JournalActions[Action],$E$64,JournalActions[Mi-temps],E$65))</f>
        <v/>
      </c>
      <c r="F86" s="57" t="str">
        <f>IF(COUNTIFS(JournalActions[Joueur],$B86,JournalActions[Action],$E$64,JournalActions[Mi-temps],F$65)=0,"",COUNTIFS(JournalActions[Joueur],$B86,JournalActions[Action],$E$64,JournalActions[Mi-temps],F$65))</f>
        <v/>
      </c>
      <c r="H86" s="56" t="str">
        <f>IF(COUNTIFS(JournalActions[Joueur],$B86,JournalActions[Action],$H$64,JournalActions[Mi-temps],H$65)=0,"",COUNTIFS(JournalActions[Joueur],$B86,JournalActions[Action],$H$64,JournalActions[Mi-temps],H$65))</f>
        <v/>
      </c>
      <c r="I86" s="57" t="str">
        <f>IF(COUNTIFS(JournalActions[Joueur],$B86,JournalActions[Action],$H$64,JournalActions[Mi-temps],I$65)=0,"",COUNTIFS(JournalActions[Joueur],$B86,JournalActions[Action],$H$64,JournalActions[Mi-temps],I$65))</f>
        <v/>
      </c>
      <c r="J86" s="56" t="str">
        <f>IF(COUNTIFS(JournalActions[Joueur],$B86,JournalActions[Action],$J$64,JournalActions[Mi-temps],J$65)=0,"",COUNTIFS(JournalActions[Joueur],$B86,JournalActions[Action],$J$64,JournalActions[Mi-temps],J$65))</f>
        <v/>
      </c>
      <c r="K86" s="57" t="str">
        <f>IF(COUNTIFS(JournalActions[Joueur],$B86,JournalActions[Action],$J$64,JournalActions[Mi-temps],K$65)=0,"",COUNTIFS(JournalActions[Joueur],$B86,JournalActions[Action],$J$64,JournalActions[Mi-temps],K$65))</f>
        <v/>
      </c>
    </row>
    <row r="87" spans="2:11" s="25" customFormat="1">
      <c r="B87" s="56" t="str">
        <v>TOUVAT Dorian</v>
      </c>
      <c r="C87" s="56" t="str">
        <f>IF(COUNTIFS(JournalActions[Joueur],$B87,JournalActions[Action],$C$64,JournalActions[Mi-temps],C$65)=0,"",COUNTIFS(JournalActions[Joueur],$B87,JournalActions[Action],$C$64,JournalActions[Mi-temps],C$65))</f>
        <v/>
      </c>
      <c r="D87" s="57" t="str">
        <f>IF(COUNTIFS(JournalActions[Joueur],$B87,JournalActions[Action],$C$64,JournalActions[Mi-temps],D$65)=0,"",COUNTIFS(JournalActions[Joueur],$B87,JournalActions[Action],$C$64,JournalActions[Mi-temps],D$65))</f>
        <v/>
      </c>
      <c r="E87" s="109" t="str">
        <f>IF(COUNTIFS(JournalActions[Joueur],$B87,JournalActions[Action],$E$64,JournalActions[Mi-temps],E$65)=0,"",COUNTIFS(JournalActions[Joueur],$B87,JournalActions[Action],$E$64,JournalActions[Mi-temps],E$65))</f>
        <v/>
      </c>
      <c r="F87" s="57" t="str">
        <f>IF(COUNTIFS(JournalActions[Joueur],$B87,JournalActions[Action],$E$64,JournalActions[Mi-temps],F$65)=0,"",COUNTIFS(JournalActions[Joueur],$B87,JournalActions[Action],$E$64,JournalActions[Mi-temps],F$65))</f>
        <v/>
      </c>
      <c r="H87" s="56" t="str">
        <f>IF(COUNTIFS(JournalActions[Joueur],$B87,JournalActions[Action],$H$64,JournalActions[Mi-temps],H$65)=0,"",COUNTIFS(JournalActions[Joueur],$B87,JournalActions[Action],$H$64,JournalActions[Mi-temps],H$65))</f>
        <v/>
      </c>
      <c r="I87" s="57" t="str">
        <f>IF(COUNTIFS(JournalActions[Joueur],$B87,JournalActions[Action],$H$64,JournalActions[Mi-temps],I$65)=0,"",COUNTIFS(JournalActions[Joueur],$B87,JournalActions[Action],$H$64,JournalActions[Mi-temps],I$65))</f>
        <v/>
      </c>
      <c r="J87" s="56" t="str">
        <f>IF(COUNTIFS(JournalActions[Joueur],$B87,JournalActions[Action],$J$64,JournalActions[Mi-temps],J$65)=0,"",COUNTIFS(JournalActions[Joueur],$B87,JournalActions[Action],$J$64,JournalActions[Mi-temps],J$65))</f>
        <v/>
      </c>
      <c r="K87" s="57" t="str">
        <f>IF(COUNTIFS(JournalActions[Joueur],$B87,JournalActions[Action],$J$64,JournalActions[Mi-temps],K$65)=0,"",COUNTIFS(JournalActions[Joueur],$B87,JournalActions[Action],$J$64,JournalActions[Mi-temps],K$65))</f>
        <v/>
      </c>
    </row>
    <row r="88" spans="2:11" s="25" customFormat="1">
      <c r="B88" s="54" t="s">
        <v>92</v>
      </c>
      <c r="C88" s="56" t="str">
        <f>IF(COUNTIFS(JournalActions[Joueur],$B88,JournalActions[Action],$C$64,JournalActions[Mi-temps],C$65)=0,"",COUNTIFS(JournalActions[Joueur],$B88,JournalActions[Action],$C$64,JournalActions[Mi-temps],C$65))</f>
        <v/>
      </c>
      <c r="D88" s="57" t="str">
        <f>IF(COUNTIFS(JournalActions[Joueur],$B88,JournalActions[Action],$C$64,JournalActions[Mi-temps],D$65)=0,"",COUNTIFS(JournalActions[Joueur],$B88,JournalActions[Action],$C$64,JournalActions[Mi-temps],D$65))</f>
        <v/>
      </c>
      <c r="E88" s="56" t="str">
        <f>IF(COUNTIFS(JournalActions[Joueur],$B88,JournalActions[Action],$E$64,JournalActions[Mi-temps],E$65)=0,"",COUNTIFS(JournalActions[Joueur],$B88,JournalActions[Action],$E$64,JournalActions[Mi-temps],E$65))</f>
        <v/>
      </c>
      <c r="F88" s="57" t="str">
        <f>IF(COUNTIFS(JournalActions[Joueur],$B88,JournalActions[Action],$E$64,JournalActions[Mi-temps],F$65)=0,"",COUNTIFS(JournalActions[Joueur],$B88,JournalActions[Action],$E$64,JournalActions[Mi-temps],F$65))</f>
        <v/>
      </c>
      <c r="H88" s="56" t="str">
        <f>IF(COUNTIFS(JournalActions[Joueur],$B88,JournalActions[Action],$H$64,JournalActions[Mi-temps],H$65)=0,"",COUNTIFS(JournalActions[Joueur],$B88,JournalActions[Action],$H$64,JournalActions[Mi-temps],H$65))</f>
        <v/>
      </c>
      <c r="I88" s="57" t="str">
        <f>IF(COUNTIFS(JournalActions[Joueur],$B88,JournalActions[Action],$H$64,JournalActions[Mi-temps],I$65)=0,"",COUNTIFS(JournalActions[Joueur],$B88,JournalActions[Action],$H$64,JournalActions[Mi-temps],I$65))</f>
        <v/>
      </c>
      <c r="J88" s="56" t="str">
        <f>IF(COUNTIFS(JournalActions[Joueur],$B88,JournalActions[Action],$J$64,JournalActions[Mi-temps],J$65)=0,"",COUNTIFS(JournalActions[Joueur],$B88,JournalActions[Action],$J$64,JournalActions[Mi-temps],J$65))</f>
        <v/>
      </c>
      <c r="K88" s="57" t="str">
        <f>IF(COUNTIFS(JournalActions[Joueur],$B88,JournalActions[Action],$J$64,JournalActions[Mi-temps],K$65)=0,"",COUNTIFS(JournalActions[Joueur],$B88,JournalActions[Action],$J$64,JournalActions[Mi-temps],K$65))</f>
        <v/>
      </c>
    </row>
    <row r="89" spans="2:11" s="25" customFormat="1">
      <c r="B89" s="55" t="s">
        <v>82</v>
      </c>
      <c r="C89" s="56">
        <f>IF(COUNTIFS(JournalActions[Joueur],$B89,JournalActions[Action],$C$64,JournalActions[Mi-temps],C$65)=0,"",COUNTIFS(JournalActions[Joueur],$B89,JournalActions[Action],$C$64,JournalActions[Mi-temps],C$65))</f>
        <v>1</v>
      </c>
      <c r="D89" s="57" t="str">
        <f>IF(COUNTIFS(JournalActions[Joueur],$B89,JournalActions[Action],$C$64,JournalActions[Mi-temps],D$65)=0,"",COUNTIFS(JournalActions[Joueur],$B89,JournalActions[Action],$C$64,JournalActions[Mi-temps],D$65))</f>
        <v/>
      </c>
      <c r="E89" s="56" t="str">
        <f>IF(COUNTIFS(JournalActions[Joueur],$B89,JournalActions[Action],$E$64,JournalActions[Mi-temps],E$65)=0,"",COUNTIFS(JournalActions[Joueur],$B89,JournalActions[Action],$E$64,JournalActions[Mi-temps],E$65))</f>
        <v/>
      </c>
      <c r="F89" s="57">
        <f>IF(COUNTIFS(JournalActions[Joueur],$B89,JournalActions[Action],$E$64,JournalActions[Mi-temps],F$65)=0,"",COUNTIFS(JournalActions[Joueur],$B89,JournalActions[Action],$E$64,JournalActions[Mi-temps],F$65))</f>
        <v>1</v>
      </c>
      <c r="H89" s="56" t="str">
        <f>IF(COUNTIFS(JournalActions[Joueur],$B89,JournalActions[Action],$H$64,JournalActions[Mi-temps],H$65)=0,"",COUNTIFS(JournalActions[Joueur],$B89,JournalActions[Action],$H$64,JournalActions[Mi-temps],H$65))</f>
        <v/>
      </c>
      <c r="I89" s="57" t="str">
        <f>IF(COUNTIFS(JournalActions[Joueur],$B89,JournalActions[Action],$H$64,JournalActions[Mi-temps],I$65)=0,"",COUNTIFS(JournalActions[Joueur],$B89,JournalActions[Action],$H$64,JournalActions[Mi-temps],I$65))</f>
        <v/>
      </c>
      <c r="J89" s="56" t="str">
        <f>IF(COUNTIFS(JournalActions[Joueur],$B89,JournalActions[Action],$J$64,JournalActions[Mi-temps],J$65)=0,"",COUNTIFS(JournalActions[Joueur],$B89,JournalActions[Action],$J$64,JournalActions[Mi-temps],J$65))</f>
        <v/>
      </c>
      <c r="K89" s="57" t="str">
        <f>IF(COUNTIFS(JournalActions[Joueur],$B89,JournalActions[Action],$J$64,JournalActions[Mi-temps],K$65)=0,"",COUNTIFS(JournalActions[Joueur],$B89,JournalActions[Action],$J$64,JournalActions[Mi-temps],K$65))</f>
        <v/>
      </c>
    </row>
    <row r="90" spans="2:11" s="25" customFormat="1" ht="14">
      <c r="B90" s="80" t="s">
        <v>230</v>
      </c>
      <c r="C90" s="81">
        <f>SUM(C66:C89)</f>
        <v>4</v>
      </c>
      <c r="D90" s="82">
        <f t="shared" ref="D90" si="10">SUM(D66:D89)</f>
        <v>2</v>
      </c>
      <c r="E90" s="81">
        <f>SUM(E66:E89)</f>
        <v>0</v>
      </c>
      <c r="F90" s="82">
        <f t="shared" ref="F90" si="11">SUM(F66:F89)</f>
        <v>2</v>
      </c>
      <c r="H90" s="102">
        <f>SUM(H66:H89)</f>
        <v>1</v>
      </c>
      <c r="I90" s="103">
        <f>SUM(I66:I89)</f>
        <v>1</v>
      </c>
      <c r="J90" s="102">
        <f>SUM(J66:J89)</f>
        <v>1</v>
      </c>
      <c r="K90" s="103">
        <f t="shared" ref="K90" si="12">SUM(K66:K89)</f>
        <v>0</v>
      </c>
    </row>
    <row r="91" spans="2:11" s="25" customFormat="1" ht="16">
      <c r="B91" s="83" t="s">
        <v>229</v>
      </c>
      <c r="C91" s="226">
        <f>C90+D90</f>
        <v>6</v>
      </c>
      <c r="D91" s="216"/>
      <c r="E91" s="226">
        <f>E90+F90</f>
        <v>2</v>
      </c>
      <c r="F91" s="216"/>
      <c r="H91" s="227">
        <f>H90+I90</f>
        <v>2</v>
      </c>
      <c r="I91" s="228"/>
      <c r="J91" s="227">
        <f>J90+K90</f>
        <v>1</v>
      </c>
      <c r="K91" s="228"/>
    </row>
    <row r="92" spans="2:11" s="25" customFormat="1"/>
    <row r="93" spans="2:11" s="25" customFormat="1"/>
    <row r="94" spans="2:11" s="25" customFormat="1"/>
    <row r="95" spans="2:11" s="25" customFormat="1" ht="14" thickBot="1"/>
    <row r="96" spans="2:11" s="25" customFormat="1" ht="17">
      <c r="B96" s="205" t="s">
        <v>446</v>
      </c>
      <c r="C96" s="200" t="s">
        <v>98</v>
      </c>
      <c r="D96" s="206" t="s">
        <v>164</v>
      </c>
      <c r="F96" s="224" t="s">
        <v>447</v>
      </c>
      <c r="G96" s="225"/>
      <c r="H96" s="200" t="s">
        <v>97</v>
      </c>
      <c r="I96" s="200" t="s">
        <v>94</v>
      </c>
      <c r="J96" s="201" t="s">
        <v>292</v>
      </c>
    </row>
    <row r="97" spans="2:10" s="25" customFormat="1" ht="16">
      <c r="B97" s="207" t="s">
        <v>293</v>
      </c>
      <c r="C97" s="110">
        <v>45</v>
      </c>
      <c r="D97" s="208">
        <v>56</v>
      </c>
      <c r="F97" s="220" t="s">
        <v>293</v>
      </c>
      <c r="G97" s="221"/>
      <c r="H97" s="110">
        <v>14</v>
      </c>
      <c r="I97" s="110">
        <v>14</v>
      </c>
      <c r="J97" s="202">
        <v>28</v>
      </c>
    </row>
    <row r="98" spans="2:10" s="25" customFormat="1" ht="16">
      <c r="B98" s="207" t="s">
        <v>294</v>
      </c>
      <c r="C98" s="110">
        <v>15</v>
      </c>
      <c r="D98" s="208">
        <v>13</v>
      </c>
      <c r="F98" s="220" t="s">
        <v>294</v>
      </c>
      <c r="G98" s="221"/>
      <c r="H98" s="110">
        <v>16</v>
      </c>
      <c r="I98" s="110">
        <v>10</v>
      </c>
      <c r="J98" s="202">
        <v>26</v>
      </c>
    </row>
    <row r="99" spans="2:10" s="25" customFormat="1" ht="16">
      <c r="B99" s="207" t="s">
        <v>295</v>
      </c>
      <c r="C99" s="110">
        <v>5</v>
      </c>
      <c r="D99" s="208">
        <v>3</v>
      </c>
      <c r="F99" s="220" t="s">
        <v>295</v>
      </c>
      <c r="G99" s="221"/>
      <c r="H99" s="110">
        <v>5</v>
      </c>
      <c r="I99" s="110">
        <v>5</v>
      </c>
      <c r="J99" s="202">
        <v>10</v>
      </c>
    </row>
    <row r="100" spans="2:10" s="25" customFormat="1" ht="16">
      <c r="B100" s="207" t="s">
        <v>296</v>
      </c>
      <c r="C100" s="110">
        <v>5</v>
      </c>
      <c r="D100" s="208">
        <v>2</v>
      </c>
      <c r="F100" s="220" t="s">
        <v>296</v>
      </c>
      <c r="G100" s="221"/>
      <c r="H100" s="110">
        <v>0</v>
      </c>
      <c r="I100" s="110">
        <v>0</v>
      </c>
      <c r="J100" s="202">
        <v>0</v>
      </c>
    </row>
    <row r="101" spans="2:10" s="25" customFormat="1" ht="17" thickBot="1">
      <c r="B101" s="209" t="s">
        <v>297</v>
      </c>
      <c r="C101" s="203">
        <v>1</v>
      </c>
      <c r="D101" s="210">
        <v>1</v>
      </c>
      <c r="F101" s="220" t="s">
        <v>448</v>
      </c>
      <c r="G101" s="221"/>
      <c r="H101" s="110">
        <v>0</v>
      </c>
      <c r="I101" s="110">
        <v>2</v>
      </c>
      <c r="J101" s="202">
        <v>2</v>
      </c>
    </row>
    <row r="102" spans="2:10" s="25" customFormat="1" ht="16">
      <c r="F102" s="220" t="s">
        <v>449</v>
      </c>
      <c r="G102" s="221"/>
      <c r="H102" s="110">
        <v>0</v>
      </c>
      <c r="I102" s="110">
        <v>0</v>
      </c>
      <c r="J102" s="202">
        <v>0</v>
      </c>
    </row>
    <row r="103" spans="2:10" s="25" customFormat="1" ht="16">
      <c r="F103" s="220" t="s">
        <v>450</v>
      </c>
      <c r="G103" s="221"/>
      <c r="H103" s="110">
        <v>0</v>
      </c>
      <c r="I103" s="110">
        <v>0</v>
      </c>
      <c r="J103" s="202">
        <v>0</v>
      </c>
    </row>
    <row r="104" spans="2:10" s="25" customFormat="1" ht="17" thickBot="1">
      <c r="F104" s="222" t="s">
        <v>451</v>
      </c>
      <c r="G104" s="223"/>
      <c r="H104" s="203">
        <v>0</v>
      </c>
      <c r="I104" s="203">
        <v>0</v>
      </c>
      <c r="J104" s="204">
        <v>0</v>
      </c>
    </row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  <row r="1054" s="25" customFormat="1"/>
    <row r="1055" s="25" customFormat="1"/>
    <row r="1056" s="25" customFormat="1"/>
    <row r="1057" s="25" customFormat="1"/>
  </sheetData>
  <mergeCells count="59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91:K91"/>
    <mergeCell ref="J43:K43"/>
    <mergeCell ref="J44:K44"/>
    <mergeCell ref="J45:K45"/>
    <mergeCell ref="J46:K46"/>
    <mergeCell ref="J47:K47"/>
    <mergeCell ref="B60:K62"/>
    <mergeCell ref="B64:B65"/>
    <mergeCell ref="C64:D64"/>
    <mergeCell ref="E64:F64"/>
    <mergeCell ref="H64:I64"/>
    <mergeCell ref="J64:K64"/>
    <mergeCell ref="G44:H44"/>
    <mergeCell ref="B57:K58"/>
    <mergeCell ref="F96:G96"/>
    <mergeCell ref="F97:G97"/>
    <mergeCell ref="C91:D91"/>
    <mergeCell ref="E91:F91"/>
    <mergeCell ref="H91:I91"/>
    <mergeCell ref="F103:G103"/>
    <mergeCell ref="F104:G104"/>
    <mergeCell ref="F98:G98"/>
    <mergeCell ref="F99:G99"/>
    <mergeCell ref="F100:G100"/>
    <mergeCell ref="F101:G101"/>
    <mergeCell ref="F102:G102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7" priority="6" stopIfTrue="1">
      <formula>ISEVEN(ROW())</formula>
    </cfRule>
  </conditionalFormatting>
  <conditionalFormatting sqref="B66:B89">
    <cfRule type="expression" dxfId="56" priority="5" stopIfTrue="1">
      <formula>ISEVEN(ROW())</formula>
    </cfRule>
  </conditionalFormatting>
  <conditionalFormatting sqref="C66:D89">
    <cfRule type="expression" dxfId="55" priority="4" stopIfTrue="1">
      <formula>ISEVEN(ROW())</formula>
    </cfRule>
  </conditionalFormatting>
  <conditionalFormatting sqref="H66:I89">
    <cfRule type="expression" dxfId="54" priority="3" stopIfTrue="1">
      <formula>ISEVEN(ROW())</formula>
    </cfRule>
  </conditionalFormatting>
  <conditionalFormatting sqref="J66:K89">
    <cfRule type="expression" dxfId="53" priority="2" stopIfTrue="1">
      <formula>ISEVEN(ROW())</formula>
    </cfRule>
  </conditionalFormatting>
  <conditionalFormatting sqref="E66:F89">
    <cfRule type="expression" dxfId="52" priority="1" stopIfTrue="1">
      <formula>ISEVEN(ROW())</formula>
    </cfRule>
  </conditionalFormatting>
  <pageMargins left="0.7" right="0.7" top="0.75" bottom="0.75" header="0.3" footer="0.3"/>
  <pageSetup paperSize="9" scale="70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95" t="s">
        <v>470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95" t="s">
        <v>472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K4" s="195" t="s">
        <v>474</v>
      </c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195" t="s">
        <v>476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s="195" t="s">
        <v>478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s="195" t="s">
        <v>480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K8" s="195" t="s">
        <v>482</v>
      </c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 s="195" t="s">
        <v>484</v>
      </c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K10" s="195" t="s">
        <v>486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12"/>
      <c r="K11" s="195" t="s">
        <v>488</v>
      </c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13"/>
      <c r="K12" s="195" t="s">
        <v>490</v>
      </c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14"/>
      <c r="K13" s="195" t="s">
        <v>492</v>
      </c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K14" s="195" t="s">
        <v>494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 s="195" t="s">
        <v>496</v>
      </c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K16" s="195" t="s">
        <v>498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 s="195" t="s">
        <v>500</v>
      </c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K18" s="195" t="s">
        <v>502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K19" s="195" t="s">
        <v>504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K20" s="195" t="s">
        <v>506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K21" s="195" t="s">
        <v>508</v>
      </c>
      <c r="Q21" s="45" t="s">
        <v>147</v>
      </c>
      <c r="R21" s="93" t="s">
        <v>105</v>
      </c>
    </row>
    <row r="22" spans="3:18" ht="30" customHeight="1">
      <c r="C22" s="44"/>
      <c r="D22" s="44"/>
      <c r="K22" s="195" t="s">
        <v>510</v>
      </c>
      <c r="Q22" s="45" t="s">
        <v>148</v>
      </c>
      <c r="R22" s="93" t="s">
        <v>100</v>
      </c>
    </row>
    <row r="23" spans="3:18" ht="30" customHeight="1">
      <c r="C23" s="44"/>
      <c r="D23" s="44"/>
      <c r="K23" s="195" t="s">
        <v>512</v>
      </c>
      <c r="Q23" s="45" t="s">
        <v>149</v>
      </c>
      <c r="R23" s="93" t="s">
        <v>101</v>
      </c>
    </row>
    <row r="24" spans="3:18" ht="30" customHeight="1">
      <c r="C24" s="44"/>
      <c r="D24" s="44"/>
      <c r="K24" s="195" t="s">
        <v>92</v>
      </c>
      <c r="Q24" s="45" t="s">
        <v>150</v>
      </c>
      <c r="R24" s="93" t="s">
        <v>87</v>
      </c>
    </row>
    <row r="25" spans="3:18" ht="30" customHeight="1">
      <c r="K25" s="195" t="s">
        <v>82</v>
      </c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K27" s="41" t="s">
        <v>465</v>
      </c>
      <c r="Q27" s="45" t="s">
        <v>185</v>
      </c>
      <c r="R27" s="93" t="s">
        <v>186</v>
      </c>
    </row>
    <row r="28" spans="3:18" ht="30" customHeight="1">
      <c r="K28" t="s">
        <v>466</v>
      </c>
      <c r="Q28" s="45" t="s">
        <v>187</v>
      </c>
      <c r="R28" s="93" t="s">
        <v>188</v>
      </c>
    </row>
    <row r="29" spans="3:18" ht="30" customHeight="1">
      <c r="K29" t="s">
        <v>467</v>
      </c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6" t="s">
        <v>127</v>
      </c>
      <c r="D5" s="276"/>
      <c r="E5" s="276"/>
      <c r="F5" s="276"/>
      <c r="G5" s="276"/>
    </row>
    <row r="6" spans="3:7" ht="14" thickBot="1"/>
    <row r="7" spans="3:7">
      <c r="C7" s="144"/>
      <c r="D7" s="145"/>
      <c r="E7" s="145"/>
      <c r="F7" s="145"/>
      <c r="G7" s="146"/>
    </row>
    <row r="8" spans="3:7">
      <c r="C8" s="147"/>
      <c r="G8" s="148"/>
    </row>
    <row r="9" spans="3:7">
      <c r="C9" s="149" t="s">
        <v>125</v>
      </c>
      <c r="D9" s="153"/>
      <c r="G9" s="148"/>
    </row>
    <row r="10" spans="3:7">
      <c r="C10" s="149"/>
      <c r="G10" s="148"/>
    </row>
    <row r="11" spans="3:7">
      <c r="C11" s="149" t="s">
        <v>126</v>
      </c>
      <c r="D11" s="153"/>
      <c r="G11" s="148"/>
    </row>
    <row r="12" spans="3:7">
      <c r="C12" s="147"/>
      <c r="G12" s="148"/>
    </row>
    <row r="13" spans="3:7" ht="14" thickBot="1">
      <c r="C13" s="150"/>
      <c r="D13" s="151"/>
      <c r="E13" s="151"/>
      <c r="F13" s="151"/>
      <c r="G13" s="152"/>
    </row>
  </sheetData>
  <mergeCells count="1">
    <mergeCell ref="C5:G5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193</vt:i4>
      </vt:variant>
    </vt:vector>
  </HeadingPairs>
  <TitlesOfParts>
    <vt:vector size="200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2026-09-22T16:48:42Z</cp:lastPrinted>
  <dcterms:created xsi:type="dcterms:W3CDTF">2026-07-02T15:37:39Z</dcterms:created>
  <dcterms:modified xsi:type="dcterms:W3CDTF">2026-09-22T16:53:46Z</dcterms:modified>
</cp:coreProperties>
</file>