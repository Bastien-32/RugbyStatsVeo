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stiendallago/Library/Mobile Documents/com~apple~CloudDocs/Documents/DD/1- PERSO/12- AUTRES/1- RUGBY/2026-2027 MXV/STAT_VEO/Matchs/PDF/Bloc 2/"/>
    </mc:Choice>
  </mc:AlternateContent>
  <xr:revisionPtr revIDLastSave="0" documentId="8_{AED1A273-CAE1-9742-9CB8-D1C43B88F971}" xr6:coauthVersionLast="47" xr6:coauthVersionMax="47" xr10:uidLastSave="{00000000-0000-0000-0000-000000000000}"/>
  <bookViews>
    <workbookView xWindow="3660" yWindow="2760" windowWidth="27640" windowHeight="16680" xr2:uid="{370743DC-397E-7741-8333-A0883A94DE04}"/>
  </bookViews>
  <sheets>
    <sheet name="Touches Mele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1" i="1" l="1"/>
  <c r="B51" i="1"/>
  <c r="C50" i="1"/>
  <c r="B50" i="1"/>
  <c r="D26" i="1"/>
  <c r="D25" i="1"/>
  <c r="C26" i="1"/>
  <c r="B26" i="1"/>
  <c r="C25" i="1"/>
  <c r="B25" i="1"/>
</calcChain>
</file>

<file path=xl/sharedStrings.xml><?xml version="1.0" encoding="utf-8"?>
<sst xmlns="http://schemas.openxmlformats.org/spreadsheetml/2006/main" count="343" uniqueCount="100">
  <si>
    <t>TOUCHES</t>
  </si>
  <si>
    <t>LST_TM_LANCE_POUR</t>
  </si>
  <si>
    <t>LST_TM_ISSUE_TOUCHE</t>
  </si>
  <si>
    <t>LST_TM_ISSUE_MELEE</t>
  </si>
  <si>
    <t>LST_TM_ZONE_SAUT</t>
  </si>
  <si>
    <t>LST_TM_BALLON</t>
  </si>
  <si>
    <t>LST_TM_ZONE_LONGUEUR</t>
  </si>
  <si>
    <t>LST_TM_ALIGNEMENT</t>
  </si>
  <si>
    <t>LST_TM_ZONE_LARGEUR</t>
  </si>
  <si>
    <t>LST_TM_UTILISATION</t>
  </si>
  <si>
    <t>LST_TM_BALLON_LONG</t>
  </si>
  <si>
    <t>Temps video</t>
  </si>
  <si>
    <t>Mi-temps</t>
  </si>
  <si>
    <t>Lance pour</t>
  </si>
  <si>
    <t>Issue</t>
  </si>
  <si>
    <t>Sauteur</t>
  </si>
  <si>
    <t>Zone saut</t>
  </si>
  <si>
    <t>Ballon</t>
  </si>
  <si>
    <t>Zone terrain</t>
  </si>
  <si>
    <t>Alignement</t>
  </si>
  <si>
    <t>Observations</t>
  </si>
  <si>
    <t>N</t>
  </si>
  <si>
    <t>G</t>
  </si>
  <si>
    <t>Z0</t>
  </si>
  <si>
    <t>C</t>
  </si>
  <si>
    <t>N en-but</t>
  </si>
  <si>
    <t>Gauche</t>
  </si>
  <si>
    <t>Avants</t>
  </si>
  <si>
    <t>Chaud</t>
  </si>
  <si>
    <t>MT1</t>
  </si>
  <si>
    <t>E</t>
  </si>
  <si>
    <t>P</t>
  </si>
  <si>
    <t>Z2</t>
  </si>
  <si>
    <t>F</t>
  </si>
  <si>
    <t>N 22m</t>
  </si>
  <si>
    <t>Complet</t>
  </si>
  <si>
    <t>Z1</t>
  </si>
  <si>
    <t>N 15m</t>
  </si>
  <si>
    <t>Milieu</t>
  </si>
  <si>
    <t>Trois-quart</t>
  </si>
  <si>
    <t>Froid</t>
  </si>
  <si>
    <t>Z3</t>
  </si>
  <si>
    <t>ND</t>
  </si>
  <si>
    <t>Z1,5</t>
  </si>
  <si>
    <t>Droit</t>
  </si>
  <si>
    <t>Pied</t>
  </si>
  <si>
    <t>E 30m</t>
  </si>
  <si>
    <t>N 30m</t>
  </si>
  <si>
    <t>ROUSSEL Mathis</t>
  </si>
  <si>
    <t>E 40m</t>
  </si>
  <si>
    <t>N 40m</t>
  </si>
  <si>
    <t>50m</t>
  </si>
  <si>
    <t>GALLINARO Pierrick</t>
  </si>
  <si>
    <t>E 22m</t>
  </si>
  <si>
    <t>Pierrick ne lobbe pas le premier sauteur pour atteindre notre sauteur</t>
  </si>
  <si>
    <t>RICHARD Damien</t>
  </si>
  <si>
    <t>Pierrick ne lobbe pas le sauteur devant le notre</t>
  </si>
  <si>
    <t>E 15m</t>
  </si>
  <si>
    <t>MT2</t>
  </si>
  <si>
    <t>Personne ne saute</t>
  </si>
  <si>
    <t>Sauteur lobbé, Dylan la prend en verrou</t>
  </si>
  <si>
    <t>tapette</t>
  </si>
  <si>
    <t>Touches</t>
  </si>
  <si>
    <t>Gagnees</t>
  </si>
  <si>
    <t>Perdues</t>
  </si>
  <si>
    <t>Pas droites</t>
  </si>
  <si>
    <t>Pour nous</t>
  </si>
  <si>
    <t>Pour l'adversaire</t>
  </si>
  <si>
    <t>MELEES</t>
  </si>
  <si>
    <t>Introduction pour</t>
  </si>
  <si>
    <t>Zone longueur</t>
  </si>
  <si>
    <t>Zone largeur</t>
  </si>
  <si>
    <t>Jeu avant</t>
  </si>
  <si>
    <t>Jeu 3/4</t>
  </si>
  <si>
    <t>Jeu pied</t>
  </si>
  <si>
    <t>✓</t>
  </si>
  <si>
    <t>E en-but</t>
  </si>
  <si>
    <t>Melees</t>
  </si>
  <si>
    <t>LST_SAUTEURS</t>
  </si>
  <si>
    <t>BARRAILH Francois</t>
  </si>
  <si>
    <t>BAUP Bastien</t>
  </si>
  <si>
    <t>BOISVIN Paul</t>
  </si>
  <si>
    <t>BOURREC Dorian</t>
  </si>
  <si>
    <t>BOUTELOUP Romain</t>
  </si>
  <si>
    <t>CARRAU Ludovic</t>
  </si>
  <si>
    <t>CASTERA Tom</t>
  </si>
  <si>
    <t>CORREGER Baptiste</t>
  </si>
  <si>
    <t>GABRELLE Neot</t>
  </si>
  <si>
    <t>KAPFER Ludovic</t>
  </si>
  <si>
    <t>LESPINASSE Lucas</t>
  </si>
  <si>
    <t>NGUYEN Tomy Lee</t>
  </si>
  <si>
    <t>POUYADOU Julien</t>
  </si>
  <si>
    <t>RECURT Louis</t>
  </si>
  <si>
    <t>RICHIARDONNE Gregory</t>
  </si>
  <si>
    <t>SCANU Benjamin</t>
  </si>
  <si>
    <t>SIMOES Dylan</t>
  </si>
  <si>
    <t>TOUVAT Dorian</t>
  </si>
  <si>
    <t>VINCENT Sebastien</t>
  </si>
  <si>
    <t>Collectif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</si>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</sst>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m]:ss"/>
  </numFmts>
  <fonts count="3" x14ac:knownFonts="1">
    <font>
      <sz val="12"/>
      <color theme="1"/>
      <name val="Aptos Narrow"/>
      <family val="2"/>
      <scheme val="minor"/>
    </font>
    <font>
      <b/>
      <sz val="14"/>
      <color theme="1"/>
      <name val="Arial"/>
      <family val="2"/>
    </font>
    <font>
      <b/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64" fontId="0" fillId="0" borderId="0" xfId="0" applyNumberFormat="1"/>
    <xf numFmtId="16" fontId="0" fillId="0" borderId="0" xfId="0" applyNumberFormat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</cellXfs>
  <cellStyles count="1">
    <cellStyle name="Normal" xfId="0" builtinId="0"/>
  </cellStyles>
  <dxfs count="1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[m]:ss"/>
    </dxf>
    <dxf>
      <numFmt numFmtId="164" formatCode="[m]:ss"/>
    </dxf>
    <dxf>
      <border>
        <bottom style="thin">
          <color rgb="FFED7D31"/>
        </bottom>
      </border>
    </dxf>
    <dxf>
      <fill>
        <patternFill>
          <bgColor rgb="FFFCE4D6"/>
        </patternFill>
      </fill>
      <border>
        <bottom style="thin">
          <color rgb="FFED7D31"/>
        </bottom>
      </border>
    </dxf>
    <dxf>
      <font>
        <b/>
        <i val="0"/>
        <color rgb="FFFFFFFF"/>
      </font>
      <fill>
        <patternFill>
          <bgColor rgb="FF008000"/>
        </patternFill>
      </fill>
    </dxf>
    <dxf>
      <font>
        <b/>
        <i val="0"/>
        <color rgb="FFFFFFFF"/>
      </font>
      <fill>
        <patternFill>
          <bgColor rgb="FFC00000"/>
        </patternFill>
      </fill>
    </dxf>
    <dxf>
      <border>
        <bottom style="thin">
          <color rgb="FF4472C4"/>
        </bottom>
      </border>
    </dxf>
    <dxf>
      <fill>
        <patternFill>
          <bgColor rgb="FFD9E2F3"/>
        </patternFill>
      </fill>
      <border>
        <bottom style="thin">
          <color rgb="FF4472C4"/>
        </bottom>
      </border>
    </dxf>
    <dxf>
      <font>
        <b/>
        <i val="0"/>
        <color rgb="FFFFFFFF"/>
      </font>
      <fill>
        <patternFill>
          <bgColor rgb="FFC00000"/>
        </patternFill>
      </fill>
    </dxf>
    <dxf>
      <font>
        <b/>
        <i val="0"/>
        <color rgb="FFFFFFFF"/>
      </font>
      <fill>
        <patternFill>
          <bgColor rgb="FF0070C0"/>
        </patternFill>
      </fill>
    </dxf>
    <dxf>
      <font>
        <b/>
        <i val="0"/>
        <color rgb="FFFFFFFF"/>
      </font>
      <fill>
        <patternFill>
          <bgColor rgb="FF008000"/>
        </patternFill>
      </fill>
    </dxf>
    <dxf>
      <font>
        <b/>
        <i val="0"/>
        <color rgb="FFFFFFFF"/>
      </font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B9ED0B7-12A7-FA40-8F2D-3106EA20BEC7}" name="DetailTouches" displayName="DetailTouches" ref="A2:J22" totalsRowShown="0">
  <autoFilter ref="A2:J22" xr:uid="{CB9ED0B7-12A7-FA40-8F2D-3106EA20BEC7}"/>
  <tableColumns count="10">
    <tableColumn id="1" xr3:uid="{573B02C1-01B5-0841-95FD-BAA05B906AA6}" name="Temps video" dataDxfId="5"/>
    <tableColumn id="2" xr3:uid="{E63D82FE-6E89-D247-A60C-680B4745438B}" name="Mi-temps"/>
    <tableColumn id="3" xr3:uid="{F80E7B64-6796-D34C-8B4E-9E23015A64D2}" name="Lance pour"/>
    <tableColumn id="4" xr3:uid="{6A12DCA7-6C57-2048-8C6C-1E4125A0CA50}" name="Issue"/>
    <tableColumn id="5" xr3:uid="{044C16B1-DC82-614C-94E1-BEE05FF14FB6}" name="Sauteur"/>
    <tableColumn id="6" xr3:uid="{9BDC64BB-9E1D-B649-920E-F63EE3A279E0}" name="Zone saut"/>
    <tableColumn id="7" xr3:uid="{A1BF0BBB-98C9-CB4A-A59A-C43AE79C3896}" name="Ballon"/>
    <tableColumn id="8" xr3:uid="{DDD48D37-0D15-EE42-AA84-EE3B8AC214AE}" name="Zone terrain"/>
    <tableColumn id="9" xr3:uid="{C89B3061-8A0C-CD45-A3C1-CD0DF68237EC}" name="Alignement"/>
    <tableColumn id="10" xr3:uid="{440A71D7-2392-AC4A-AE30-FC058D554426}" name="Observations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FB8BE56-47B1-D247-BF73-7F0BFC96BB51}" name="DetailMelees" displayName="DetailMelees" ref="A29:J47" totalsRowShown="0" dataDxfId="0">
  <autoFilter ref="A29:J47" xr:uid="{DFB8BE56-47B1-D247-BF73-7F0BFC96BB51}"/>
  <tableColumns count="10">
    <tableColumn id="1" xr3:uid="{E412E1FE-0037-304A-B1B0-DF09FC69B037}" name="Temps video" dataDxfId="4"/>
    <tableColumn id="2" xr3:uid="{D2FAFAAE-AB6B-2B43-A74A-57D8B5228633}" name="Mi-temps"/>
    <tableColumn id="3" xr3:uid="{6000D1E3-6934-004A-A6CC-4931CF157BE4}" name="Introduction pour"/>
    <tableColumn id="4" xr3:uid="{6BDD7894-C90C-DC49-AF70-B0BD43041903}" name="Issue"/>
    <tableColumn id="5" xr3:uid="{ED310051-F394-4C40-9CEA-563237DB0267}" name="Zone longueur"/>
    <tableColumn id="6" xr3:uid="{E2F4D872-25E4-BC4B-B46A-20DF0BFE5D99}" name="Zone largeur"/>
    <tableColumn id="7" xr3:uid="{D1F80745-A5AC-6C4D-A158-9FA1C50FCF81}" name="Jeu avant" dataDxfId="3"/>
    <tableColumn id="8" xr3:uid="{34BE238E-4734-324A-97BF-D2F2AE3EEFFE}" name="Jeu 3/4" dataDxfId="2"/>
    <tableColumn id="9" xr3:uid="{3F51D94D-98AB-0C43-9693-A103A3D436BA}" name="Jeu pied" dataDxfId="1"/>
    <tableColumn id="10" xr3:uid="{C9D7DD6C-03A6-8541-A78A-4B1E40CD54B8}" name="Observations"/>
  </tableColumns>
  <tableStyleInfo name="TableStyleMedium3" showFirstColumn="0" showLastColumn="0" showRowStripes="0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95B09-1CCA-3640-9815-AFF79DFA1808}">
  <dimension ref="A1:AG69"/>
  <sheetViews>
    <sheetView showGridLines="0" tabSelected="1" workbookViewId="0">
      <selection sqref="A1:AF69"/>
    </sheetView>
  </sheetViews>
  <sheetFormatPr baseColWidth="10" defaultRowHeight="16" x14ac:dyDescent="0.2"/>
  <cols>
    <col min="1" max="1" width="13.6640625" customWidth="1"/>
    <col min="2" max="2" width="12.83203125" customWidth="1"/>
    <col min="3" max="3" width="17.5" customWidth="1"/>
    <col min="4" max="4" width="12.83203125" customWidth="1"/>
    <col min="5" max="5" width="17.6640625" customWidth="1"/>
    <col min="6" max="6" width="13.6640625" customWidth="1"/>
    <col min="7" max="7" width="12.83203125" customWidth="1"/>
    <col min="8" max="8" width="13.33203125" customWidth="1"/>
    <col min="9" max="9" width="13" customWidth="1"/>
    <col min="10" max="10" width="31" bestFit="1" customWidth="1"/>
    <col min="11" max="20" width="12.83203125" customWidth="1"/>
    <col min="21" max="21" width="30.83203125" customWidth="1"/>
    <col min="22" max="33" width="0" hidden="1" customWidth="1"/>
  </cols>
  <sheetData>
    <row r="1" spans="1:33" ht="18" x14ac:dyDescent="0.2">
      <c r="A1" s="1" t="s">
        <v>0</v>
      </c>
      <c r="W1" t="s">
        <v>1</v>
      </c>
      <c r="X1" t="s">
        <v>2</v>
      </c>
      <c r="Y1" t="s">
        <v>3</v>
      </c>
      <c r="Z1" t="s">
        <v>4</v>
      </c>
      <c r="AA1" t="s">
        <v>5</v>
      </c>
      <c r="AB1" t="s">
        <v>6</v>
      </c>
      <c r="AC1" t="s">
        <v>7</v>
      </c>
      <c r="AD1" t="s">
        <v>8</v>
      </c>
      <c r="AE1" t="s">
        <v>9</v>
      </c>
      <c r="AF1" t="s">
        <v>10</v>
      </c>
      <c r="AG1" t="s">
        <v>78</v>
      </c>
    </row>
    <row r="2" spans="1:33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W2" t="s">
        <v>21</v>
      </c>
      <c r="X2" t="s">
        <v>22</v>
      </c>
      <c r="Y2" t="s">
        <v>22</v>
      </c>
      <c r="Z2" t="s">
        <v>23</v>
      </c>
      <c r="AA2" t="s">
        <v>24</v>
      </c>
      <c r="AB2" t="s">
        <v>25</v>
      </c>
      <c r="AC2">
        <v>2</v>
      </c>
      <c r="AD2" t="s">
        <v>26</v>
      </c>
      <c r="AE2" t="s">
        <v>27</v>
      </c>
      <c r="AF2" t="s">
        <v>28</v>
      </c>
      <c r="AG2" t="s">
        <v>79</v>
      </c>
    </row>
    <row r="3" spans="1:33" x14ac:dyDescent="0.2">
      <c r="A3" s="2">
        <v>1.5393563657407408E-3</v>
      </c>
      <c r="B3" t="s">
        <v>29</v>
      </c>
      <c r="C3" t="s">
        <v>30</v>
      </c>
      <c r="D3" t="s">
        <v>31</v>
      </c>
      <c r="F3" t="s">
        <v>32</v>
      </c>
      <c r="G3" t="s">
        <v>33</v>
      </c>
      <c r="H3" t="s">
        <v>34</v>
      </c>
      <c r="I3" t="s">
        <v>35</v>
      </c>
      <c r="W3" t="s">
        <v>30</v>
      </c>
      <c r="X3" t="s">
        <v>31</v>
      </c>
      <c r="Y3" t="s">
        <v>31</v>
      </c>
      <c r="Z3" t="s">
        <v>36</v>
      </c>
      <c r="AA3" t="s">
        <v>33</v>
      </c>
      <c r="AB3" t="s">
        <v>37</v>
      </c>
      <c r="AC3">
        <v>3</v>
      </c>
      <c r="AD3" t="s">
        <v>38</v>
      </c>
      <c r="AE3" s="3" t="s">
        <v>39</v>
      </c>
      <c r="AF3" t="s">
        <v>40</v>
      </c>
      <c r="AG3" t="s">
        <v>80</v>
      </c>
    </row>
    <row r="4" spans="1:33" x14ac:dyDescent="0.2">
      <c r="A4" s="2">
        <v>4.3147900000000006E-3</v>
      </c>
      <c r="B4" t="s">
        <v>29</v>
      </c>
      <c r="C4" t="s">
        <v>30</v>
      </c>
      <c r="D4" t="s">
        <v>31</v>
      </c>
      <c r="F4" t="s">
        <v>41</v>
      </c>
      <c r="G4" t="s">
        <v>24</v>
      </c>
      <c r="H4" t="s">
        <v>25</v>
      </c>
      <c r="I4">
        <v>5</v>
      </c>
      <c r="X4" t="s">
        <v>42</v>
      </c>
      <c r="Z4" t="s">
        <v>43</v>
      </c>
      <c r="AB4" t="s">
        <v>34</v>
      </c>
      <c r="AC4">
        <v>4</v>
      </c>
      <c r="AD4" t="s">
        <v>44</v>
      </c>
      <c r="AE4" t="s">
        <v>45</v>
      </c>
      <c r="AG4" t="s">
        <v>81</v>
      </c>
    </row>
    <row r="5" spans="1:33" x14ac:dyDescent="0.2">
      <c r="A5" s="2">
        <v>7.4787380092592587E-3</v>
      </c>
      <c r="B5" t="s">
        <v>29</v>
      </c>
      <c r="C5" t="s">
        <v>21</v>
      </c>
      <c r="D5" t="s">
        <v>22</v>
      </c>
      <c r="F5" t="s">
        <v>36</v>
      </c>
      <c r="G5" t="s">
        <v>33</v>
      </c>
      <c r="H5" t="s">
        <v>46</v>
      </c>
      <c r="I5" t="s">
        <v>35</v>
      </c>
      <c r="Z5" t="s">
        <v>32</v>
      </c>
      <c r="AB5" t="s">
        <v>47</v>
      </c>
      <c r="AC5">
        <v>5</v>
      </c>
      <c r="AG5" t="s">
        <v>82</v>
      </c>
    </row>
    <row r="6" spans="1:33" x14ac:dyDescent="0.2">
      <c r="A6" s="2">
        <v>1.0209064259259258E-2</v>
      </c>
      <c r="B6" t="s">
        <v>29</v>
      </c>
      <c r="C6" t="s">
        <v>21</v>
      </c>
      <c r="D6" t="s">
        <v>31</v>
      </c>
      <c r="E6" t="s">
        <v>48</v>
      </c>
      <c r="F6" t="s">
        <v>32</v>
      </c>
      <c r="H6" t="s">
        <v>49</v>
      </c>
      <c r="I6" t="s">
        <v>35</v>
      </c>
      <c r="Z6" t="s">
        <v>41</v>
      </c>
      <c r="AB6" t="s">
        <v>50</v>
      </c>
      <c r="AC6">
        <v>6</v>
      </c>
      <c r="AG6" t="s">
        <v>83</v>
      </c>
    </row>
    <row r="7" spans="1:33" x14ac:dyDescent="0.2">
      <c r="A7" s="2">
        <v>1.1150780983796295E-2</v>
      </c>
      <c r="B7" t="s">
        <v>29</v>
      </c>
      <c r="C7" t="s">
        <v>30</v>
      </c>
      <c r="D7" t="s">
        <v>31</v>
      </c>
      <c r="F7" t="s">
        <v>32</v>
      </c>
      <c r="G7" t="s">
        <v>24</v>
      </c>
      <c r="H7" t="s">
        <v>47</v>
      </c>
      <c r="I7">
        <v>5</v>
      </c>
      <c r="AB7" t="s">
        <v>51</v>
      </c>
      <c r="AC7" t="s">
        <v>35</v>
      </c>
      <c r="AG7" t="s">
        <v>84</v>
      </c>
    </row>
    <row r="8" spans="1:33" x14ac:dyDescent="0.2">
      <c r="A8" s="2">
        <v>1.3429881805555556E-2</v>
      </c>
      <c r="B8" t="s">
        <v>29</v>
      </c>
      <c r="C8" t="s">
        <v>21</v>
      </c>
      <c r="D8" t="s">
        <v>31</v>
      </c>
      <c r="E8" t="s">
        <v>52</v>
      </c>
      <c r="F8" t="s">
        <v>32</v>
      </c>
      <c r="H8" t="s">
        <v>53</v>
      </c>
      <c r="I8" t="s">
        <v>35</v>
      </c>
      <c r="J8" t="s">
        <v>54</v>
      </c>
      <c r="AB8" t="s">
        <v>49</v>
      </c>
      <c r="AG8" t="s">
        <v>85</v>
      </c>
    </row>
    <row r="9" spans="1:33" x14ac:dyDescent="0.2">
      <c r="A9" s="2">
        <v>1.7849804097222224E-2</v>
      </c>
      <c r="B9" t="s">
        <v>29</v>
      </c>
      <c r="C9" t="s">
        <v>21</v>
      </c>
      <c r="D9" t="s">
        <v>22</v>
      </c>
      <c r="E9" t="s">
        <v>48</v>
      </c>
      <c r="F9" t="s">
        <v>32</v>
      </c>
      <c r="G9" t="s">
        <v>33</v>
      </c>
      <c r="H9" t="s">
        <v>47</v>
      </c>
      <c r="I9" t="s">
        <v>35</v>
      </c>
      <c r="AB9" t="s">
        <v>46</v>
      </c>
      <c r="AG9" t="s">
        <v>86</v>
      </c>
    </row>
    <row r="10" spans="1:33" x14ac:dyDescent="0.2">
      <c r="A10" s="2">
        <v>2.0656685428240739E-2</v>
      </c>
      <c r="B10" t="s">
        <v>29</v>
      </c>
      <c r="C10" t="s">
        <v>21</v>
      </c>
      <c r="D10" t="s">
        <v>31</v>
      </c>
      <c r="E10" t="s">
        <v>55</v>
      </c>
      <c r="F10" t="s">
        <v>32</v>
      </c>
      <c r="H10" t="s">
        <v>50</v>
      </c>
      <c r="I10" t="s">
        <v>35</v>
      </c>
      <c r="J10" t="s">
        <v>56</v>
      </c>
      <c r="AG10" t="s">
        <v>87</v>
      </c>
    </row>
    <row r="11" spans="1:33" x14ac:dyDescent="0.2">
      <c r="A11" s="2">
        <v>2.1581666377314814E-2</v>
      </c>
      <c r="B11" t="s">
        <v>29</v>
      </c>
      <c r="C11" t="s">
        <v>21</v>
      </c>
      <c r="D11" t="s">
        <v>22</v>
      </c>
      <c r="E11" t="s">
        <v>55</v>
      </c>
      <c r="F11" t="s">
        <v>36</v>
      </c>
      <c r="G11" t="s">
        <v>24</v>
      </c>
      <c r="H11" t="s">
        <v>57</v>
      </c>
      <c r="I11" t="s">
        <v>35</v>
      </c>
      <c r="AG11" t="s">
        <v>52</v>
      </c>
    </row>
    <row r="12" spans="1:33" x14ac:dyDescent="0.2">
      <c r="A12" s="2">
        <v>2.6268941562500002E-2</v>
      </c>
      <c r="B12" t="s">
        <v>29</v>
      </c>
      <c r="C12" t="s">
        <v>30</v>
      </c>
      <c r="D12" t="s">
        <v>31</v>
      </c>
      <c r="F12" t="s">
        <v>32</v>
      </c>
      <c r="G12" t="s">
        <v>33</v>
      </c>
      <c r="H12" t="s">
        <v>51</v>
      </c>
      <c r="I12">
        <v>5</v>
      </c>
      <c r="AG12" t="s">
        <v>88</v>
      </c>
    </row>
    <row r="13" spans="1:33" x14ac:dyDescent="0.2">
      <c r="A13" s="2">
        <v>2.8076341805555554E-2</v>
      </c>
      <c r="B13" t="s">
        <v>29</v>
      </c>
      <c r="C13" t="s">
        <v>30</v>
      </c>
      <c r="D13" t="s">
        <v>31</v>
      </c>
      <c r="F13" t="s">
        <v>32</v>
      </c>
      <c r="G13" t="s">
        <v>24</v>
      </c>
      <c r="H13" t="s">
        <v>34</v>
      </c>
      <c r="I13">
        <v>5</v>
      </c>
      <c r="AG13" t="s">
        <v>89</v>
      </c>
    </row>
    <row r="14" spans="1:33" x14ac:dyDescent="0.2">
      <c r="A14" s="2">
        <v>3.547896329861111E-2</v>
      </c>
      <c r="B14" t="s">
        <v>58</v>
      </c>
      <c r="C14" t="s">
        <v>21</v>
      </c>
      <c r="D14" t="s">
        <v>22</v>
      </c>
      <c r="E14" t="s">
        <v>55</v>
      </c>
      <c r="F14" t="s">
        <v>43</v>
      </c>
      <c r="G14" t="s">
        <v>24</v>
      </c>
      <c r="H14" t="s">
        <v>53</v>
      </c>
      <c r="I14" t="s">
        <v>35</v>
      </c>
      <c r="AG14" t="s">
        <v>90</v>
      </c>
    </row>
    <row r="15" spans="1:33" x14ac:dyDescent="0.2">
      <c r="A15" s="2">
        <v>4.0258676423611112E-2</v>
      </c>
      <c r="B15" t="s">
        <v>58</v>
      </c>
      <c r="C15" t="s">
        <v>21</v>
      </c>
      <c r="D15" t="s">
        <v>22</v>
      </c>
      <c r="F15" t="s">
        <v>32</v>
      </c>
      <c r="G15" t="s">
        <v>33</v>
      </c>
      <c r="H15" t="s">
        <v>49</v>
      </c>
      <c r="I15" t="s">
        <v>35</v>
      </c>
      <c r="J15" t="s">
        <v>59</v>
      </c>
      <c r="AG15" t="s">
        <v>91</v>
      </c>
    </row>
    <row r="16" spans="1:33" x14ac:dyDescent="0.2">
      <c r="A16" s="2">
        <v>4.2192580474537035E-2</v>
      </c>
      <c r="B16" t="s">
        <v>58</v>
      </c>
      <c r="C16" t="s">
        <v>30</v>
      </c>
      <c r="D16" t="s">
        <v>31</v>
      </c>
      <c r="F16" t="s">
        <v>32</v>
      </c>
      <c r="G16" t="s">
        <v>24</v>
      </c>
      <c r="H16" t="s">
        <v>34</v>
      </c>
      <c r="I16" t="s">
        <v>35</v>
      </c>
      <c r="AG16" t="s">
        <v>92</v>
      </c>
    </row>
    <row r="17" spans="1:33" x14ac:dyDescent="0.2">
      <c r="A17" s="2">
        <v>5.0397195266203704E-2</v>
      </c>
      <c r="B17" t="s">
        <v>58</v>
      </c>
      <c r="C17" t="s">
        <v>21</v>
      </c>
      <c r="D17" t="s">
        <v>22</v>
      </c>
      <c r="F17" t="s">
        <v>41</v>
      </c>
      <c r="G17" t="s">
        <v>33</v>
      </c>
      <c r="H17" t="s">
        <v>57</v>
      </c>
      <c r="I17" t="s">
        <v>35</v>
      </c>
      <c r="J17" t="s">
        <v>60</v>
      </c>
      <c r="AG17" t="s">
        <v>55</v>
      </c>
    </row>
    <row r="18" spans="1:33" x14ac:dyDescent="0.2">
      <c r="A18" s="2">
        <v>5.615453939814815E-2</v>
      </c>
      <c r="B18" t="s">
        <v>58</v>
      </c>
      <c r="C18" t="s">
        <v>30</v>
      </c>
      <c r="D18" t="s">
        <v>42</v>
      </c>
      <c r="H18" t="s">
        <v>34</v>
      </c>
      <c r="I18">
        <v>6</v>
      </c>
      <c r="AG18" t="s">
        <v>93</v>
      </c>
    </row>
    <row r="19" spans="1:33" x14ac:dyDescent="0.2">
      <c r="A19" s="2">
        <v>5.9204759942129627E-2</v>
      </c>
      <c r="B19" t="s">
        <v>58</v>
      </c>
      <c r="C19" t="s">
        <v>30</v>
      </c>
      <c r="D19" t="s">
        <v>22</v>
      </c>
      <c r="F19" t="s">
        <v>32</v>
      </c>
      <c r="H19" t="s">
        <v>47</v>
      </c>
      <c r="I19">
        <v>4</v>
      </c>
      <c r="AG19" t="s">
        <v>48</v>
      </c>
    </row>
    <row r="20" spans="1:33" x14ac:dyDescent="0.2">
      <c r="A20" s="2">
        <v>6.032686283564815E-2</v>
      </c>
      <c r="B20" t="s">
        <v>58</v>
      </c>
      <c r="C20" t="s">
        <v>30</v>
      </c>
      <c r="D20" t="s">
        <v>31</v>
      </c>
      <c r="F20" t="s">
        <v>36</v>
      </c>
      <c r="H20" t="s">
        <v>57</v>
      </c>
      <c r="I20">
        <v>4</v>
      </c>
      <c r="AG20" t="s">
        <v>94</v>
      </c>
    </row>
    <row r="21" spans="1:33" x14ac:dyDescent="0.2">
      <c r="A21" s="2">
        <v>6.0776008402777783E-2</v>
      </c>
      <c r="B21" t="s">
        <v>58</v>
      </c>
      <c r="C21" t="s">
        <v>21</v>
      </c>
      <c r="D21" t="s">
        <v>22</v>
      </c>
      <c r="E21" t="s">
        <v>55</v>
      </c>
      <c r="F21" t="s">
        <v>36</v>
      </c>
      <c r="G21" t="s">
        <v>33</v>
      </c>
      <c r="H21" t="s">
        <v>57</v>
      </c>
      <c r="I21">
        <v>5</v>
      </c>
      <c r="J21" t="s">
        <v>61</v>
      </c>
      <c r="AG21" t="s">
        <v>95</v>
      </c>
    </row>
    <row r="22" spans="1:33" x14ac:dyDescent="0.2">
      <c r="A22" s="2">
        <v>6.2045173946759263E-2</v>
      </c>
      <c r="B22" t="s">
        <v>58</v>
      </c>
      <c r="C22" t="s">
        <v>30</v>
      </c>
      <c r="D22" t="s">
        <v>31</v>
      </c>
      <c r="F22" t="s">
        <v>32</v>
      </c>
      <c r="G22" t="s">
        <v>33</v>
      </c>
      <c r="H22" t="s">
        <v>34</v>
      </c>
      <c r="I22">
        <v>4</v>
      </c>
      <c r="AG22" t="s">
        <v>96</v>
      </c>
    </row>
    <row r="23" spans="1:33" x14ac:dyDescent="0.2">
      <c r="A23" s="2"/>
      <c r="AG23" t="s">
        <v>97</v>
      </c>
    </row>
    <row r="24" spans="1:33" x14ac:dyDescent="0.2">
      <c r="A24" s="4" t="s">
        <v>62</v>
      </c>
      <c r="B24" s="5" t="s">
        <v>63</v>
      </c>
      <c r="C24" s="5" t="s">
        <v>64</v>
      </c>
      <c r="D24" s="5" t="s">
        <v>65</v>
      </c>
      <c r="AG24" t="s">
        <v>98</v>
      </c>
    </row>
    <row r="25" spans="1:33" x14ac:dyDescent="0.2">
      <c r="A25" s="6" t="s">
        <v>66</v>
      </c>
      <c r="B25" s="7">
        <f>COUNTIFS(DetailTouches[Lance pour],"N",DetailTouches[Issue],"G")</f>
        <v>7</v>
      </c>
      <c r="C25" s="7">
        <f>COUNTIFS(DetailTouches[Lance pour],"N",DetailTouches[Issue],"P")</f>
        <v>3</v>
      </c>
      <c r="D25" s="7">
        <f>COUNTIFS(DetailTouches[Lance pour],"N",DetailTouches[Issue],"ND")</f>
        <v>0</v>
      </c>
      <c r="AG25" t="s">
        <v>99</v>
      </c>
    </row>
    <row r="26" spans="1:33" x14ac:dyDescent="0.2">
      <c r="A26" s="8" t="s">
        <v>67</v>
      </c>
      <c r="B26" s="9">
        <f>COUNTIFS(DetailTouches[Lance pour],"E",DetailTouches[Issue],"P")</f>
        <v>8</v>
      </c>
      <c r="C26" s="9">
        <f>COUNTIFS(DetailTouches[Lance pour],"E",DetailTouches[Issue],"G")</f>
        <v>1</v>
      </c>
      <c r="D26" s="9">
        <f>COUNTIFS(DetailTouches[Lance pour],"E",DetailTouches[Issue],"ND")</f>
        <v>1</v>
      </c>
    </row>
    <row r="28" spans="1:33" ht="18" x14ac:dyDescent="0.2">
      <c r="A28" s="1" t="s">
        <v>68</v>
      </c>
    </row>
    <row r="29" spans="1:33" x14ac:dyDescent="0.2">
      <c r="A29" t="s">
        <v>11</v>
      </c>
      <c r="B29" t="s">
        <v>12</v>
      </c>
      <c r="C29" t="s">
        <v>69</v>
      </c>
      <c r="D29" t="s">
        <v>14</v>
      </c>
      <c r="E29" t="s">
        <v>70</v>
      </c>
      <c r="F29" t="s">
        <v>71</v>
      </c>
      <c r="G29" t="s">
        <v>72</v>
      </c>
      <c r="H29" t="s">
        <v>73</v>
      </c>
      <c r="I29" t="s">
        <v>74</v>
      </c>
      <c r="J29" t="s">
        <v>20</v>
      </c>
    </row>
    <row r="30" spans="1:33" x14ac:dyDescent="0.2">
      <c r="A30" s="2">
        <v>9.7621348842592583E-3</v>
      </c>
      <c r="B30" t="s">
        <v>29</v>
      </c>
      <c r="C30" t="s">
        <v>30</v>
      </c>
      <c r="D30" t="s">
        <v>31</v>
      </c>
      <c r="E30" t="s">
        <v>57</v>
      </c>
      <c r="F30" t="s">
        <v>44</v>
      </c>
      <c r="G30" s="10"/>
      <c r="H30" s="10"/>
      <c r="I30" s="10" t="s">
        <v>75</v>
      </c>
    </row>
    <row r="31" spans="1:33" x14ac:dyDescent="0.2">
      <c r="A31" s="2">
        <v>1.69959225E-2</v>
      </c>
      <c r="B31" t="s">
        <v>29</v>
      </c>
      <c r="C31" t="s">
        <v>30</v>
      </c>
      <c r="D31" t="s">
        <v>31</v>
      </c>
      <c r="E31" t="s">
        <v>46</v>
      </c>
      <c r="F31" t="s">
        <v>44</v>
      </c>
      <c r="G31" s="10"/>
      <c r="H31" s="10" t="s">
        <v>75</v>
      </c>
      <c r="I31" s="10"/>
    </row>
    <row r="32" spans="1:33" x14ac:dyDescent="0.2">
      <c r="A32" s="2">
        <v>2.4456437731481481E-2</v>
      </c>
      <c r="B32" t="s">
        <v>29</v>
      </c>
      <c r="C32" t="s">
        <v>21</v>
      </c>
      <c r="D32" t="s">
        <v>22</v>
      </c>
      <c r="E32" t="s">
        <v>51</v>
      </c>
      <c r="F32" t="s">
        <v>44</v>
      </c>
      <c r="G32" s="10"/>
      <c r="H32" s="10" t="s">
        <v>75</v>
      </c>
      <c r="I32" s="10"/>
    </row>
    <row r="33" spans="1:9" x14ac:dyDescent="0.2">
      <c r="A33" s="2">
        <v>2.5077622708333337E-2</v>
      </c>
      <c r="B33" t="s">
        <v>29</v>
      </c>
      <c r="C33" t="s">
        <v>30</v>
      </c>
      <c r="D33" t="s">
        <v>31</v>
      </c>
      <c r="E33" t="s">
        <v>51</v>
      </c>
      <c r="F33" t="s">
        <v>26</v>
      </c>
      <c r="G33" s="10" t="s">
        <v>75</v>
      </c>
      <c r="H33" s="10"/>
      <c r="I33" s="10"/>
    </row>
    <row r="34" spans="1:9" x14ac:dyDescent="0.2">
      <c r="A34" s="2">
        <v>2.6923133634259262E-2</v>
      </c>
      <c r="B34" t="s">
        <v>29</v>
      </c>
      <c r="C34" t="s">
        <v>30</v>
      </c>
      <c r="D34" t="s">
        <v>31</v>
      </c>
      <c r="E34" t="s">
        <v>51</v>
      </c>
      <c r="F34" t="s">
        <v>26</v>
      </c>
      <c r="G34" s="10"/>
      <c r="H34" s="10" t="s">
        <v>75</v>
      </c>
      <c r="I34" s="10"/>
    </row>
    <row r="35" spans="1:9" x14ac:dyDescent="0.2">
      <c r="A35" s="2">
        <v>3.3965578854166664E-2</v>
      </c>
      <c r="B35" t="s">
        <v>58</v>
      </c>
      <c r="C35" t="s">
        <v>21</v>
      </c>
      <c r="D35" t="s">
        <v>22</v>
      </c>
      <c r="E35" t="s">
        <v>57</v>
      </c>
      <c r="F35" t="s">
        <v>26</v>
      </c>
      <c r="G35" s="10" t="s">
        <v>75</v>
      </c>
      <c r="H35" s="10"/>
      <c r="I35" s="10"/>
    </row>
    <row r="36" spans="1:9" x14ac:dyDescent="0.2">
      <c r="A36" s="2">
        <v>3.4963794166666666E-2</v>
      </c>
      <c r="B36" t="s">
        <v>58</v>
      </c>
      <c r="C36" t="s">
        <v>30</v>
      </c>
      <c r="D36" t="s">
        <v>31</v>
      </c>
      <c r="E36" t="s">
        <v>76</v>
      </c>
      <c r="F36" t="s">
        <v>38</v>
      </c>
      <c r="G36" s="10" t="s">
        <v>75</v>
      </c>
      <c r="H36" s="10"/>
      <c r="I36" s="10"/>
    </row>
    <row r="37" spans="1:9" x14ac:dyDescent="0.2">
      <c r="A37" s="2">
        <v>3.6941740729166665E-2</v>
      </c>
      <c r="B37" t="s">
        <v>58</v>
      </c>
      <c r="C37" t="s">
        <v>30</v>
      </c>
      <c r="D37" t="s">
        <v>31</v>
      </c>
      <c r="E37" t="s">
        <v>34</v>
      </c>
      <c r="F37" t="s">
        <v>44</v>
      </c>
      <c r="G37" s="10"/>
      <c r="H37" s="10" t="s">
        <v>75</v>
      </c>
      <c r="I37" s="10"/>
    </row>
    <row r="38" spans="1:9" x14ac:dyDescent="0.2">
      <c r="A38" s="2">
        <v>3.7940130231481482E-2</v>
      </c>
      <c r="B38" t="s">
        <v>58</v>
      </c>
      <c r="C38" t="s">
        <v>30</v>
      </c>
      <c r="D38" t="s">
        <v>31</v>
      </c>
      <c r="E38" t="s">
        <v>25</v>
      </c>
      <c r="F38" t="s">
        <v>26</v>
      </c>
      <c r="G38" s="10"/>
      <c r="H38" s="10" t="s">
        <v>75</v>
      </c>
      <c r="I38" s="10"/>
    </row>
    <row r="39" spans="1:9" x14ac:dyDescent="0.2">
      <c r="A39" s="2">
        <v>4.1437168298611111E-2</v>
      </c>
      <c r="B39" t="s">
        <v>58</v>
      </c>
      <c r="C39" t="s">
        <v>21</v>
      </c>
      <c r="D39" t="s">
        <v>31</v>
      </c>
      <c r="E39" t="s">
        <v>57</v>
      </c>
      <c r="F39" t="s">
        <v>38</v>
      </c>
      <c r="G39" s="10"/>
      <c r="H39" s="10"/>
      <c r="I39" s="10" t="s">
        <v>75</v>
      </c>
    </row>
    <row r="40" spans="1:9" x14ac:dyDescent="0.2">
      <c r="A40" s="2">
        <v>4.4337455555555558E-2</v>
      </c>
      <c r="B40" t="s">
        <v>58</v>
      </c>
      <c r="C40" t="s">
        <v>21</v>
      </c>
      <c r="D40" t="s">
        <v>22</v>
      </c>
      <c r="E40" t="s">
        <v>34</v>
      </c>
      <c r="F40" t="s">
        <v>26</v>
      </c>
      <c r="G40" s="10"/>
      <c r="H40" s="10" t="s">
        <v>75</v>
      </c>
      <c r="I40" s="10"/>
    </row>
    <row r="41" spans="1:9" x14ac:dyDescent="0.2">
      <c r="A41" s="2">
        <v>4.5228004861111108E-2</v>
      </c>
      <c r="B41" t="s">
        <v>58</v>
      </c>
      <c r="C41" t="s">
        <v>30</v>
      </c>
      <c r="D41" t="s">
        <v>31</v>
      </c>
      <c r="E41" t="s">
        <v>50</v>
      </c>
      <c r="F41" t="s">
        <v>38</v>
      </c>
      <c r="G41" s="10" t="s">
        <v>75</v>
      </c>
      <c r="H41" s="10"/>
      <c r="I41" s="10"/>
    </row>
    <row r="42" spans="1:9" x14ac:dyDescent="0.2">
      <c r="A42" s="2">
        <v>4.6970577662037036E-2</v>
      </c>
      <c r="B42" t="s">
        <v>58</v>
      </c>
      <c r="C42" t="s">
        <v>30</v>
      </c>
      <c r="D42" t="s">
        <v>31</v>
      </c>
      <c r="E42" t="s">
        <v>34</v>
      </c>
      <c r="F42" t="s">
        <v>44</v>
      </c>
      <c r="G42" s="10"/>
      <c r="H42" s="10" t="s">
        <v>75</v>
      </c>
      <c r="I42" s="10"/>
    </row>
    <row r="43" spans="1:9" x14ac:dyDescent="0.2">
      <c r="A43" s="2">
        <v>5.2318018599537039E-2</v>
      </c>
      <c r="B43" t="s">
        <v>58</v>
      </c>
      <c r="C43" t="s">
        <v>21</v>
      </c>
      <c r="D43" t="s">
        <v>22</v>
      </c>
      <c r="E43" t="s">
        <v>51</v>
      </c>
      <c r="F43" t="s">
        <v>38</v>
      </c>
      <c r="G43" s="10"/>
      <c r="H43" s="10" t="s">
        <v>75</v>
      </c>
      <c r="I43" s="10"/>
    </row>
    <row r="44" spans="1:9" x14ac:dyDescent="0.2">
      <c r="A44" s="2">
        <v>5.5271227152777776E-2</v>
      </c>
      <c r="B44" t="s">
        <v>58</v>
      </c>
      <c r="C44" t="s">
        <v>30</v>
      </c>
      <c r="D44" t="s">
        <v>31</v>
      </c>
      <c r="E44" t="s">
        <v>50</v>
      </c>
      <c r="F44" t="s">
        <v>44</v>
      </c>
      <c r="G44" s="10"/>
      <c r="H44" s="10"/>
      <c r="I44" s="10" t="s">
        <v>75</v>
      </c>
    </row>
    <row r="45" spans="1:9" x14ac:dyDescent="0.2">
      <c r="A45" s="2">
        <v>5.6664299664351853E-2</v>
      </c>
      <c r="B45" t="s">
        <v>58</v>
      </c>
      <c r="C45" t="s">
        <v>21</v>
      </c>
      <c r="D45" t="s">
        <v>22</v>
      </c>
      <c r="E45" t="s">
        <v>34</v>
      </c>
      <c r="F45" t="s">
        <v>26</v>
      </c>
      <c r="G45" s="10"/>
      <c r="H45" s="10" t="s">
        <v>75</v>
      </c>
      <c r="I45" s="10"/>
    </row>
    <row r="46" spans="1:9" x14ac:dyDescent="0.2">
      <c r="A46" s="2">
        <v>5.77789515162037E-2</v>
      </c>
      <c r="B46" t="s">
        <v>58</v>
      </c>
      <c r="C46" t="s">
        <v>30</v>
      </c>
      <c r="D46" t="s">
        <v>31</v>
      </c>
      <c r="E46" t="s">
        <v>49</v>
      </c>
      <c r="F46" t="s">
        <v>38</v>
      </c>
      <c r="G46" s="10"/>
      <c r="H46" s="10" t="s">
        <v>75</v>
      </c>
      <c r="I46" s="10"/>
    </row>
    <row r="47" spans="1:9" x14ac:dyDescent="0.2">
      <c r="A47" s="2">
        <v>5.8356607395833336E-2</v>
      </c>
      <c r="B47" t="s">
        <v>58</v>
      </c>
      <c r="C47" t="s">
        <v>21</v>
      </c>
      <c r="D47" t="s">
        <v>31</v>
      </c>
      <c r="E47" t="s">
        <v>49</v>
      </c>
      <c r="F47" t="s">
        <v>26</v>
      </c>
      <c r="G47" s="10" t="s">
        <v>75</v>
      </c>
      <c r="H47" s="10"/>
      <c r="I47" s="10"/>
    </row>
    <row r="48" spans="1:9" x14ac:dyDescent="0.2">
      <c r="A48" s="2"/>
      <c r="G48" s="10"/>
      <c r="H48" s="10"/>
      <c r="I48" s="10"/>
    </row>
    <row r="49" spans="1:9" x14ac:dyDescent="0.2">
      <c r="A49" s="11" t="s">
        <v>77</v>
      </c>
      <c r="B49" s="12" t="s">
        <v>63</v>
      </c>
      <c r="C49" s="12" t="s">
        <v>64</v>
      </c>
      <c r="G49" s="10"/>
      <c r="H49" s="10"/>
      <c r="I49" s="10"/>
    </row>
    <row r="50" spans="1:9" x14ac:dyDescent="0.2">
      <c r="A50" s="13" t="s">
        <v>66</v>
      </c>
      <c r="B50" s="14">
        <f>COUNTIFS(DetailMelees[Introduction pour],"N",DetailMelees[Issue],"G")</f>
        <v>5</v>
      </c>
      <c r="C50" s="14">
        <f>COUNTIFS(DetailMelees[Introduction pour],"N",DetailMelees[Issue],"P")</f>
        <v>2</v>
      </c>
      <c r="G50" s="10"/>
      <c r="H50" s="10"/>
      <c r="I50" s="10"/>
    </row>
    <row r="51" spans="1:9" x14ac:dyDescent="0.2">
      <c r="A51" s="8" t="s">
        <v>67</v>
      </c>
      <c r="B51" s="9">
        <f>COUNTIFS(DetailMelees[Introduction pour],"E",DetailMelees[Issue],"P")</f>
        <v>11</v>
      </c>
      <c r="C51" s="9">
        <f>COUNTIFS(DetailMelees[Introduction pour],"E",DetailMelees[Issue],"G")</f>
        <v>0</v>
      </c>
      <c r="G51" s="10"/>
      <c r="H51" s="10"/>
      <c r="I51" s="10"/>
    </row>
    <row r="52" spans="1:9" x14ac:dyDescent="0.2">
      <c r="G52" s="10"/>
      <c r="H52" s="10"/>
      <c r="I52" s="10"/>
    </row>
    <row r="53" spans="1:9" ht="16" customHeight="1" x14ac:dyDescent="0.2">
      <c r="G53" s="10"/>
      <c r="H53" s="10"/>
      <c r="I53" s="10"/>
    </row>
    <row r="54" spans="1:9" x14ac:dyDescent="0.2">
      <c r="G54" s="10"/>
      <c r="H54" s="10"/>
      <c r="I54" s="10"/>
    </row>
    <row r="55" spans="1:9" x14ac:dyDescent="0.2">
      <c r="G55" s="10"/>
      <c r="H55" s="10"/>
      <c r="I55" s="10"/>
    </row>
    <row r="56" spans="1:9" x14ac:dyDescent="0.2">
      <c r="G56" s="10"/>
      <c r="H56" s="10"/>
      <c r="I56" s="10"/>
    </row>
    <row r="57" spans="1:9" x14ac:dyDescent="0.2">
      <c r="G57" s="10"/>
      <c r="H57" s="10"/>
      <c r="I57" s="10"/>
    </row>
    <row r="58" spans="1:9" x14ac:dyDescent="0.2">
      <c r="G58" s="10"/>
      <c r="H58" s="10"/>
      <c r="I58" s="10"/>
    </row>
    <row r="59" spans="1:9" x14ac:dyDescent="0.2">
      <c r="G59" s="10"/>
      <c r="H59" s="10"/>
      <c r="I59" s="10"/>
    </row>
    <row r="60" spans="1:9" x14ac:dyDescent="0.2">
      <c r="G60" s="10"/>
      <c r="H60" s="10"/>
      <c r="I60" s="10"/>
    </row>
    <row r="61" spans="1:9" x14ac:dyDescent="0.2">
      <c r="G61" s="10"/>
      <c r="H61" s="10"/>
      <c r="I61" s="10"/>
    </row>
    <row r="62" spans="1:9" x14ac:dyDescent="0.2">
      <c r="G62" s="10"/>
      <c r="H62" s="10"/>
      <c r="I62" s="10"/>
    </row>
    <row r="63" spans="1:9" x14ac:dyDescent="0.2">
      <c r="G63" s="10"/>
      <c r="H63" s="10"/>
      <c r="I63" s="10"/>
    </row>
    <row r="64" spans="1:9" x14ac:dyDescent="0.2">
      <c r="G64" s="10"/>
      <c r="H64" s="10"/>
      <c r="I64" s="10"/>
    </row>
    <row r="65" spans="7:9" x14ac:dyDescent="0.2">
      <c r="G65" s="10"/>
      <c r="H65" s="10"/>
      <c r="I65" s="10"/>
    </row>
    <row r="66" spans="7:9" x14ac:dyDescent="0.2">
      <c r="G66" s="10"/>
      <c r="H66" s="10"/>
      <c r="I66" s="10"/>
    </row>
    <row r="67" spans="7:9" x14ac:dyDescent="0.2">
      <c r="G67" s="10"/>
      <c r="H67" s="10"/>
      <c r="I67" s="10"/>
    </row>
    <row r="68" spans="7:9" x14ac:dyDescent="0.2">
      <c r="G68" s="10"/>
      <c r="H68" s="10"/>
      <c r="I68" s="10"/>
    </row>
    <row r="69" spans="7:9" x14ac:dyDescent="0.2">
      <c r="G69" s="10"/>
      <c r="H69" s="10"/>
      <c r="I69" s="10"/>
    </row>
  </sheetData>
  <conditionalFormatting sqref="D3:D22">
    <cfRule type="expression" dxfId="15" priority="1" stopIfTrue="1">
      <formula>($C3&amp;$D3)="NP"</formula>
    </cfRule>
    <cfRule type="expression" dxfId="14" priority="2" stopIfTrue="1">
      <formula>($C3&amp;$D3)="EG"</formula>
    </cfRule>
  </conditionalFormatting>
  <conditionalFormatting sqref="G3:G22">
    <cfRule type="expression" dxfId="13" priority="3" stopIfTrue="1">
      <formula>$G3="F"</formula>
    </cfRule>
    <cfRule type="expression" dxfId="12" priority="4" stopIfTrue="1">
      <formula>$G3="C"</formula>
    </cfRule>
  </conditionalFormatting>
  <conditionalFormatting sqref="A3:J22">
    <cfRule type="expression" dxfId="11" priority="5" stopIfTrue="1">
      <formula>$C3="N"</formula>
    </cfRule>
    <cfRule type="expression" dxfId="10" priority="6" stopIfTrue="1">
      <formula>$C3&lt;&gt;""</formula>
    </cfRule>
  </conditionalFormatting>
  <conditionalFormatting sqref="D30:D47">
    <cfRule type="expression" dxfId="9" priority="7" stopIfTrue="1">
      <formula>($C30&amp;$D30)="NP"</formula>
    </cfRule>
    <cfRule type="expression" dxfId="8" priority="8" stopIfTrue="1">
      <formula>($C30&amp;$D30)="EG"</formula>
    </cfRule>
  </conditionalFormatting>
  <conditionalFormatting sqref="A30:J47">
    <cfRule type="expression" dxfId="7" priority="9" stopIfTrue="1">
      <formula>$C30="N"</formula>
    </cfRule>
    <cfRule type="expression" dxfId="6" priority="10" stopIfTrue="1">
      <formula>$C30&lt;&gt;""</formula>
    </cfRule>
  </conditionalFormatting>
  <dataValidations count="9">
    <dataValidation type="list" allowBlank="1" showInputMessage="1" showErrorMessage="1" sqref="F69 F30:F47" xr:uid="{92F6F3FB-B93A-0C42-8244-03A3F90DD0CF}">
      <formula1>$AD$2:$AD$4</formula1>
    </dataValidation>
    <dataValidation type="list" allowBlank="1" showInputMessage="1" showErrorMessage="1" sqref="E69 H3:H22 E30:E47" xr:uid="{893CD43E-39E4-F641-899B-2ECB7BF3A6E8}">
      <formula1>$AB$2:$AB$9</formula1>
    </dataValidation>
    <dataValidation type="list" allowBlank="1" showInputMessage="1" showErrorMessage="1" sqref="C3:C22 C30:C47" xr:uid="{F031B04D-1810-AE4F-8146-0737E19FB3B0}">
      <formula1>$W$2:$W$3</formula1>
    </dataValidation>
    <dataValidation type="list" allowBlank="1" showInputMessage="1" showErrorMessage="1" sqref="D3:D22" xr:uid="{286D83D8-07CF-8F49-95DD-B03E397E7036}">
      <formula1>$X$2:$X$4</formula1>
    </dataValidation>
    <dataValidation type="list" allowBlank="1" showInputMessage="1" showErrorMessage="1" sqref="F3:F22" xr:uid="{BE4ECCD7-C3AE-AD41-9B84-01AEBF056BFB}">
      <formula1>$Z$2:$Z$6</formula1>
    </dataValidation>
    <dataValidation type="list" allowBlank="1" showInputMessage="1" showErrorMessage="1" sqref="G3:G22" xr:uid="{6EDEC786-5F4B-934D-97BD-0B026B66F42A}">
      <formula1>$AA$2:$AA$3</formula1>
    </dataValidation>
    <dataValidation type="list" allowBlank="1" showInputMessage="1" showErrorMessage="1" sqref="I3:I22" xr:uid="{9487D301-2CEF-8E49-8259-CB81F728CD58}">
      <formula1>$AC$2:$AC$7</formula1>
    </dataValidation>
    <dataValidation type="list" allowBlank="1" showInputMessage="1" showErrorMessage="1" sqref="E3:E22" xr:uid="{FE3CE4DC-73D8-034C-9052-AD2E0CE3BA41}">
      <formula1>$AG$2:$AG$25</formula1>
    </dataValidation>
    <dataValidation type="list" allowBlank="1" showInputMessage="1" showErrorMessage="1" sqref="D30:D47" xr:uid="{2F753015-B7D4-0647-B494-35E71AF28036}">
      <formula1>$Y$2:$Y$3</formula1>
    </dataValidation>
  </dataValidation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Touches Melees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bastien dal lago</dc:creator>
  <cp:lastModifiedBy>bastien dal lago</cp:lastModifiedBy>
  <dcterms:created xsi:type="dcterms:W3CDTF">2026-10-20T17:12:21Z</dcterms:created>
  <dcterms:modified xsi:type="dcterms:W3CDTF">2026-10-20T17:12:29Z</dcterms:modified>
</cp:coreProperties>
</file>