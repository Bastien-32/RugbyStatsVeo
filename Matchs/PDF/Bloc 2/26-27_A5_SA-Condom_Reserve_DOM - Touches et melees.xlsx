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PDF/Bloc 2/"/>
    </mc:Choice>
  </mc:AlternateContent>
  <xr:revisionPtr revIDLastSave="0" documentId="8_{37AB998F-939A-DD4A-9C58-7408CCFD2CED}" xr6:coauthVersionLast="47" xr6:coauthVersionMax="47" xr10:uidLastSave="{00000000-0000-0000-0000-000000000000}"/>
  <bookViews>
    <workbookView xWindow="3660" yWindow="2760" windowWidth="27640" windowHeight="16680" xr2:uid="{45987D5D-B56C-9C49-8B9C-2D8033F9DBBE}"/>
  </bookViews>
  <sheets>
    <sheet name="Touches Mel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" i="1" l="1"/>
  <c r="B54" i="1"/>
  <c r="C53" i="1"/>
  <c r="B53" i="1"/>
  <c r="D37" i="1"/>
  <c r="D36" i="1"/>
  <c r="C37" i="1"/>
  <c r="B37" i="1"/>
  <c r="C36" i="1"/>
  <c r="B36" i="1"/>
</calcChain>
</file>

<file path=xl/sharedStrings.xml><?xml version="1.0" encoding="utf-8"?>
<sst xmlns="http://schemas.openxmlformats.org/spreadsheetml/2006/main" count="362" uniqueCount="101">
  <si>
    <t>TOUCHES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</si>
  <si>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</si>
  <si>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</si>
  <si>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</si>
  <si>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</si>
  <si>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</si>
  <si>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</si>
  <si>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</si>
  <si>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</si>
  <si>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</si>
  <si>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</si>
  <si>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MT1</t>
  </si>
  <si>
    <t>N</t>
  </si>
  <si>
    <t>G</t>
  </si>
  <si>
    <t>RICHARD Damien</t>
  </si>
  <si>
    <t>Z1,5</t>
  </si>
  <si>
    <t>C</t>
  </si>
  <si>
    <t>E 22m</t>
  </si>
  <si>
    <t>Complet</t>
  </si>
  <si>
    <t>E</t>
  </si>
  <si>
    <t>P</t>
  </si>
  <si>
    <t>Z2</t>
  </si>
  <si>
    <t>F</t>
  </si>
  <si>
    <t>E 15m</t>
  </si>
  <si>
    <t>BARATGIN Julian</t>
  </si>
  <si>
    <t>Z3</t>
  </si>
  <si>
    <t>E 30m</t>
  </si>
  <si>
    <t>50m</t>
  </si>
  <si>
    <t>N 22m</t>
  </si>
  <si>
    <t>N 40m</t>
  </si>
  <si>
    <t>Z1</t>
  </si>
  <si>
    <t>N 30m</t>
  </si>
  <si>
    <t>E 40m</t>
  </si>
  <si>
    <t>Simoes en retard pour lifter</t>
  </si>
  <si>
    <t>ND</t>
  </si>
  <si>
    <t>GABRELLE Neot</t>
  </si>
  <si>
    <t>Z0</t>
  </si>
  <si>
    <t>E en-but</t>
  </si>
  <si>
    <t>Ballon cafouillé par le sauteur, Neot le récupère</t>
  </si>
  <si>
    <t>MT2</t>
  </si>
  <si>
    <t>Le sauteur adverse et lobé on  récupère le ballon au-delà des 15 m</t>
  </si>
  <si>
    <t>Pouyadou ne lobe pas le bloc adverse devant notre zone de sautt</t>
  </si>
  <si>
    <t>?</t>
  </si>
  <si>
    <t>Le lanceur adverse lobe son bloc saut - le ballon est récupéré au-delà des 15 m par les joueurs qui étaient à 10 m de la touche</t>
  </si>
  <si>
    <t>N 15m</t>
  </si>
  <si>
    <t>Soit Damien s'emmêle les pinceaux soit le ballon est à peine un peu trop</t>
  </si>
  <si>
    <t>Personne qui saute - ballon dévié en tapette par un de nos joueurs vers notre camp</t>
  </si>
  <si>
    <t>Touches</t>
  </si>
  <si>
    <t>Gagnees</t>
  </si>
  <si>
    <t>Perdues</t>
  </si>
  <si>
    <t>Pas droites</t>
  </si>
  <si>
    <t>Pour nous</t>
  </si>
  <si>
    <t>Pour l'adversaire</t>
  </si>
  <si>
    <t>MELEES</t>
  </si>
  <si>
    <t>Introduction pour</t>
  </si>
  <si>
    <t>Zone longueur</t>
  </si>
  <si>
    <t>Zone largeur</t>
  </si>
  <si>
    <t>Jeu avant</t>
  </si>
  <si>
    <t>Jeu 3/4</t>
  </si>
  <si>
    <t>Jeu pied</t>
  </si>
  <si>
    <t>Milieu</t>
  </si>
  <si>
    <t>✓</t>
  </si>
  <si>
    <t>Droit</t>
  </si>
  <si>
    <t>Gauche</t>
  </si>
  <si>
    <t>N en-but</t>
  </si>
  <si>
    <t>Melees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</si>
  <si>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</si>
  <si>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</si>
  <si>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</si>
  <si>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</si>
  <si>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</si>
  <si>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</si>
  <si>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</si>
  <si>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</si>
  <si>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</si>
  <si>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</si>
  <si>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LST_SAUTEURS</t>
  </si>
  <si>
    <t>Avants</t>
  </si>
  <si>
    <t>Chaud</t>
  </si>
  <si>
    <t>BAQUE Mickael</t>
  </si>
  <si>
    <t>Trois-quart</t>
  </si>
  <si>
    <t>Froid</t>
  </si>
  <si>
    <t>Pied</t>
  </si>
  <si>
    <t>BARRAILH Francois</t>
  </si>
  <si>
    <t>BARTHIE Sebastien</t>
  </si>
  <si>
    <t>BAUP Bastien</t>
  </si>
  <si>
    <t>BOISVIN Paul</t>
  </si>
  <si>
    <t>BOURREC Dorian</t>
  </si>
  <si>
    <t>CARRAU Ludovic</t>
  </si>
  <si>
    <t>CASTERA Tom</t>
  </si>
  <si>
    <t>CESCA Simon</t>
  </si>
  <si>
    <t>GALLINARO Pierrick</t>
  </si>
  <si>
    <t>KAPFER Ludovic</t>
  </si>
  <si>
    <t>NGUYEN Tomy Lee</t>
  </si>
  <si>
    <t>POUYADOU Julien</t>
  </si>
  <si>
    <t>RECURT Louis</t>
  </si>
  <si>
    <t>RICHIARDONNE Gregory</t>
  </si>
  <si>
    <t>SIMOES Dylan</t>
  </si>
  <si>
    <t>Avant</t>
  </si>
  <si>
    <t>Trois-quarts</t>
  </si>
  <si>
    <t>Collectif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</si>
</sst>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" fontId="0" fillId="0" borderId="0" xfId="0" applyNumberFormat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"/>
    </dxf>
    <dxf>
      <numFmt numFmtId="164" formatCode="[m]:ss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F3D648-34E5-0B40-AC65-7089BDA5CB3E}" name="DetailTouches" displayName="DetailTouches" ref="A2:J33" totalsRowShown="0">
  <autoFilter ref="A2:J33" xr:uid="{9FF3D648-34E5-0B40-AC65-7089BDA5CB3E}"/>
  <tableColumns count="10">
    <tableColumn id="1" xr3:uid="{135AB78F-9E0B-5C43-90B6-6136D2626C2C}" name="Temps video" dataDxfId="5"/>
    <tableColumn id="2" xr3:uid="{8674A6A0-8D2C-624D-A0AE-23B594F7CC96}" name="Mi-temps"/>
    <tableColumn id="3" xr3:uid="{4372F941-B6AE-B64B-9970-88B7A10BC718}" name="Lance pour"/>
    <tableColumn id="4" xr3:uid="{D745518E-9B79-DA42-9FA4-8DAE7BC6471B}" name="Issue"/>
    <tableColumn id="5" xr3:uid="{062A5F72-153C-EA45-9D0E-0E86A446BE5C}" name="Sauteur"/>
    <tableColumn id="6" xr3:uid="{0173CF45-BC61-B141-8D7A-8815AF13489F}" name="Zone saut"/>
    <tableColumn id="7" xr3:uid="{1F3C1DD4-D290-194D-91D6-A4957CF3F41B}" name="Ballon"/>
    <tableColumn id="8" xr3:uid="{2F7BEE59-55F6-1C4E-B1FE-FF203AB7169A}" name="Zone terrain"/>
    <tableColumn id="9" xr3:uid="{8CD9CA02-7AAC-DE41-B2DD-E12BA080CD2B}" name="Alignement"/>
    <tableColumn id="10" xr3:uid="{E7C2CD5C-3EF7-4146-960B-680D913F0F7E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379E42-4E28-BE45-98C6-2336D14275CD}" name="DetailMelees" displayName="DetailMelees" ref="A41:J50" totalsRowShown="0" dataDxfId="0">
  <autoFilter ref="A41:J50" xr:uid="{9E379E42-4E28-BE45-98C6-2336D14275CD}"/>
  <tableColumns count="10">
    <tableColumn id="1" xr3:uid="{6E00A227-0766-7B4D-8FCA-5E8C30A22B68}" name="Temps video" dataDxfId="4"/>
    <tableColumn id="2" xr3:uid="{BD751F80-DC37-464D-95A4-F55A520BBB21}" name="Mi-temps"/>
    <tableColumn id="3" xr3:uid="{54BDB3B6-9633-AA48-8C4F-91926AEAD70F}" name="Introduction pour"/>
    <tableColumn id="4" xr3:uid="{5CC9EB90-9315-E64C-901E-0366FA473FAE}" name="Issue"/>
    <tableColumn id="5" xr3:uid="{5302EEFB-986C-6949-9CA2-79E290BECFD3}" name="Zone longueur"/>
    <tableColumn id="6" xr3:uid="{A07A68CC-65EE-894A-84E4-B1A20F2D5D31}" name="Zone largeur"/>
    <tableColumn id="7" xr3:uid="{B192234F-4666-7D42-84D5-D37445BF97CB}" name="Jeu avant" dataDxfId="3"/>
    <tableColumn id="8" xr3:uid="{99458D1A-C84E-4F42-BD8C-D7603E3796C5}" name="Jeu 3/4" dataDxfId="2"/>
    <tableColumn id="9" xr3:uid="{F2EA445A-2353-4F4C-8197-D4EC6ED94560}" name="Jeu pied" dataDxfId="1"/>
    <tableColumn id="10" xr3:uid="{4F76EE6C-78DF-3C41-AC6C-6B34504BD56F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A11C-A2D3-0542-AEA4-4B26A26C1DA2}">
  <dimension ref="A1:AG346"/>
  <sheetViews>
    <sheetView showGridLines="0" tabSelected="1" workbookViewId="0">
      <selection sqref="A1:AG346"/>
    </sheetView>
  </sheetViews>
  <sheetFormatPr baseColWidth="10" defaultRowHeight="16" x14ac:dyDescent="0.2"/>
  <cols>
    <col min="1" max="1" width="13.6640625" customWidth="1"/>
    <col min="2" max="2" width="12.83203125" customWidth="1"/>
    <col min="3" max="3" width="17.5" customWidth="1"/>
    <col min="4" max="4" width="12.83203125" customWidth="1"/>
    <col min="5" max="5" width="15.33203125" bestFit="1" customWidth="1"/>
    <col min="6" max="6" width="13.6640625" customWidth="1"/>
    <col min="7" max="7" width="12.83203125" customWidth="1"/>
    <col min="8" max="8" width="13.33203125" customWidth="1"/>
    <col min="9" max="9" width="13" customWidth="1"/>
    <col min="10" max="10" width="100.5" customWidth="1"/>
    <col min="11" max="20" width="12.83203125" customWidth="1"/>
    <col min="21" max="21" width="30.83203125" customWidth="1"/>
    <col min="23" max="33" width="0" hidden="1" customWidth="1"/>
  </cols>
  <sheetData>
    <row r="1" spans="1:31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spans="1:31" x14ac:dyDescent="0.2">
      <c r="A3" s="3">
        <v>7.8604970138888893E-3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AE3" s="4"/>
    </row>
    <row r="4" spans="1:31" x14ac:dyDescent="0.2">
      <c r="A4" s="3">
        <v>8.4604993171296296E-3</v>
      </c>
      <c r="B4" t="s">
        <v>11</v>
      </c>
      <c r="C4" t="s">
        <v>19</v>
      </c>
      <c r="D4" t="s">
        <v>20</v>
      </c>
      <c r="F4" t="s">
        <v>21</v>
      </c>
      <c r="G4" t="s">
        <v>22</v>
      </c>
      <c r="H4" t="s">
        <v>23</v>
      </c>
      <c r="I4">
        <v>5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31" x14ac:dyDescent="0.2">
      <c r="A5" s="3">
        <v>1.1048433923611111E-2</v>
      </c>
      <c r="B5" t="s">
        <v>11</v>
      </c>
      <c r="C5" t="s">
        <v>19</v>
      </c>
      <c r="D5" t="s">
        <v>13</v>
      </c>
      <c r="E5" t="s">
        <v>24</v>
      </c>
      <c r="F5" t="s">
        <v>21</v>
      </c>
      <c r="G5" t="s">
        <v>22</v>
      </c>
      <c r="H5" t="s">
        <v>17</v>
      </c>
      <c r="I5" t="s">
        <v>18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31" x14ac:dyDescent="0.2">
      <c r="A6" s="3">
        <v>1.1694214953703704E-2</v>
      </c>
      <c r="B6" t="s">
        <v>11</v>
      </c>
      <c r="C6" t="s">
        <v>19</v>
      </c>
      <c r="D6" t="s">
        <v>20</v>
      </c>
      <c r="F6" t="s">
        <v>25</v>
      </c>
      <c r="G6" t="s">
        <v>16</v>
      </c>
      <c r="H6" t="s">
        <v>26</v>
      </c>
      <c r="I6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spans="1:31" x14ac:dyDescent="0.2">
      <c r="A7" s="3">
        <v>1.2465850960648147E-2</v>
      </c>
      <c r="B7" t="s">
        <v>11</v>
      </c>
      <c r="C7" t="s">
        <v>19</v>
      </c>
      <c r="D7" t="s">
        <v>20</v>
      </c>
      <c r="F7" t="s">
        <v>21</v>
      </c>
      <c r="G7" t="s">
        <v>16</v>
      </c>
      <c r="H7" t="s">
        <v>27</v>
      </c>
      <c r="I7">
        <v>5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31" x14ac:dyDescent="0.2">
      <c r="A8" s="3">
        <v>1.3429104814814815E-2</v>
      </c>
      <c r="B8" t="s">
        <v>11</v>
      </c>
      <c r="C8" t="s">
        <v>19</v>
      </c>
      <c r="D8" t="s">
        <v>20</v>
      </c>
      <c r="F8" t="s">
        <v>25</v>
      </c>
      <c r="G8" t="s">
        <v>16</v>
      </c>
      <c r="H8" t="s">
        <v>28</v>
      </c>
      <c r="I8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31" x14ac:dyDescent="0.2">
      <c r="A9" s="3">
        <v>1.5948259664351851E-2</v>
      </c>
      <c r="B9" t="s">
        <v>11</v>
      </c>
      <c r="C9" t="s">
        <v>19</v>
      </c>
      <c r="D9" t="s">
        <v>20</v>
      </c>
      <c r="F9" t="s">
        <v>21</v>
      </c>
      <c r="G9" t="s">
        <v>22</v>
      </c>
      <c r="H9" t="s">
        <v>29</v>
      </c>
      <c r="I9">
        <v>5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pans="1:31" x14ac:dyDescent="0.2">
      <c r="A10" s="3">
        <v>1.6961386469907407E-2</v>
      </c>
      <c r="B10" t="s">
        <v>11</v>
      </c>
      <c r="C10" t="s">
        <v>19</v>
      </c>
      <c r="D10" t="s">
        <v>20</v>
      </c>
      <c r="F10" t="s">
        <v>30</v>
      </c>
      <c r="G10" t="s">
        <v>16</v>
      </c>
      <c r="H10" t="s">
        <v>29</v>
      </c>
      <c r="I10">
        <v>5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31" x14ac:dyDescent="0.2">
      <c r="A11" s="3">
        <v>1.7728847060185186E-2</v>
      </c>
      <c r="B11" t="s">
        <v>11</v>
      </c>
      <c r="C11" t="s">
        <v>19</v>
      </c>
      <c r="D11" t="s">
        <v>20</v>
      </c>
      <c r="F11" t="s">
        <v>25</v>
      </c>
      <c r="G11" t="s">
        <v>22</v>
      </c>
      <c r="H11" t="s">
        <v>31</v>
      </c>
      <c r="I11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31" x14ac:dyDescent="0.2">
      <c r="A12" s="3">
        <v>1.9150758182870369E-2</v>
      </c>
      <c r="B12" t="s">
        <v>11</v>
      </c>
      <c r="C12" t="s">
        <v>12</v>
      </c>
      <c r="D12" t="s">
        <v>13</v>
      </c>
      <c r="E12" t="s">
        <v>24</v>
      </c>
      <c r="F12" t="s">
        <v>21</v>
      </c>
      <c r="G12" t="s">
        <v>22</v>
      </c>
      <c r="H12" t="s">
        <v>32</v>
      </c>
      <c r="I12" t="s">
        <v>18</v>
      </c>
      <c r="J12" t="s">
        <v>33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31" x14ac:dyDescent="0.2">
      <c r="A13" s="3">
        <v>1.9856800520833332E-2</v>
      </c>
      <c r="B13" t="s">
        <v>11</v>
      </c>
      <c r="C13" t="s">
        <v>19</v>
      </c>
      <c r="D13" t="s">
        <v>20</v>
      </c>
      <c r="F13" t="s">
        <v>21</v>
      </c>
      <c r="G13" t="s">
        <v>22</v>
      </c>
      <c r="H13" t="s">
        <v>23</v>
      </c>
      <c r="I13">
        <v>5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31" x14ac:dyDescent="0.2">
      <c r="A14" s="3">
        <v>2.2620686261574072E-2</v>
      </c>
      <c r="B14" t="s">
        <v>11</v>
      </c>
      <c r="C14" t="s">
        <v>19</v>
      </c>
      <c r="D14" t="s">
        <v>20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31" x14ac:dyDescent="0.2">
      <c r="A15" s="3">
        <v>2.2614971678240742E-2</v>
      </c>
      <c r="B15" t="s">
        <v>11</v>
      </c>
      <c r="C15" t="s">
        <v>19</v>
      </c>
      <c r="D15" t="s">
        <v>34</v>
      </c>
      <c r="F15" t="s">
        <v>21</v>
      </c>
      <c r="H15" t="s">
        <v>32</v>
      </c>
      <c r="I15" t="s">
        <v>18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31" x14ac:dyDescent="0.2">
      <c r="A16" s="3">
        <v>2.6890532685185185E-2</v>
      </c>
      <c r="B16" t="s">
        <v>11</v>
      </c>
      <c r="C16" t="s">
        <v>19</v>
      </c>
      <c r="D16" t="s">
        <v>20</v>
      </c>
      <c r="F16" t="s">
        <v>25</v>
      </c>
      <c r="G16" t="s">
        <v>16</v>
      </c>
      <c r="H16" t="s">
        <v>31</v>
      </c>
      <c r="I16" t="s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3">
        <v>2.9706811793981477E-2</v>
      </c>
      <c r="B17" t="s">
        <v>11</v>
      </c>
      <c r="C17" t="s">
        <v>12</v>
      </c>
      <c r="D17" t="s">
        <v>13</v>
      </c>
      <c r="E17" t="s">
        <v>35</v>
      </c>
      <c r="F17" t="s">
        <v>36</v>
      </c>
      <c r="G17" t="s">
        <v>16</v>
      </c>
      <c r="H17" t="s">
        <v>37</v>
      </c>
      <c r="I17">
        <v>6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3">
        <v>3.1645197847222223E-2</v>
      </c>
      <c r="B18" t="s">
        <v>11</v>
      </c>
      <c r="C18" t="s">
        <v>19</v>
      </c>
      <c r="D18" t="s">
        <v>13</v>
      </c>
      <c r="F18" t="s">
        <v>21</v>
      </c>
      <c r="G18" t="s">
        <v>16</v>
      </c>
      <c r="H18" t="s">
        <v>17</v>
      </c>
      <c r="I18">
        <v>5</v>
      </c>
      <c r="J18" t="s">
        <v>38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3">
        <v>3.2422018368055555E-2</v>
      </c>
      <c r="B19" t="s">
        <v>11</v>
      </c>
      <c r="C19" t="s">
        <v>19</v>
      </c>
      <c r="D19" t="s">
        <v>13</v>
      </c>
      <c r="E19" t="s">
        <v>14</v>
      </c>
      <c r="F19" t="s">
        <v>30</v>
      </c>
      <c r="G19" t="s">
        <v>22</v>
      </c>
      <c r="H19" t="s">
        <v>23</v>
      </c>
      <c r="I19">
        <v>5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3">
        <v>3.3887121840277777E-2</v>
      </c>
      <c r="B20" t="s">
        <v>11</v>
      </c>
      <c r="C20" t="s">
        <v>19</v>
      </c>
      <c r="D20" t="s">
        <v>20</v>
      </c>
      <c r="F20" t="s">
        <v>30</v>
      </c>
      <c r="H20" t="s">
        <v>27</v>
      </c>
      <c r="I20" t="s">
        <v>18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 s="3">
        <v>4.2463245347222227E-2</v>
      </c>
      <c r="B21" t="s">
        <v>39</v>
      </c>
      <c r="C21" t="s">
        <v>19</v>
      </c>
      <c r="D21" t="s">
        <v>20</v>
      </c>
      <c r="F21" t="s">
        <v>30</v>
      </c>
      <c r="G21" t="s">
        <v>22</v>
      </c>
      <c r="H21" t="s">
        <v>31</v>
      </c>
      <c r="I21">
        <v>5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3">
        <v>4.6506773310185184E-2</v>
      </c>
      <c r="B22" t="s">
        <v>39</v>
      </c>
      <c r="C22" t="s">
        <v>19</v>
      </c>
      <c r="D22" t="s">
        <v>13</v>
      </c>
      <c r="E22" t="s">
        <v>24</v>
      </c>
      <c r="F22" t="s">
        <v>21</v>
      </c>
      <c r="G22" t="s">
        <v>22</v>
      </c>
      <c r="H22" t="s">
        <v>26</v>
      </c>
      <c r="I22">
        <v>5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 s="3">
        <v>4.7452253425925926E-2</v>
      </c>
      <c r="B23" t="s">
        <v>39</v>
      </c>
      <c r="C23" t="s">
        <v>19</v>
      </c>
      <c r="D23" t="s">
        <v>13</v>
      </c>
      <c r="F23" t="s">
        <v>25</v>
      </c>
      <c r="G23" t="s">
        <v>22</v>
      </c>
      <c r="H23" t="s">
        <v>29</v>
      </c>
      <c r="I23">
        <v>5</v>
      </c>
      <c r="J23" t="s">
        <v>40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3">
        <v>4.9101716249999997E-2</v>
      </c>
      <c r="B24" t="s">
        <v>39</v>
      </c>
      <c r="C24" t="s">
        <v>19</v>
      </c>
      <c r="D24" t="s">
        <v>20</v>
      </c>
      <c r="F24" t="s">
        <v>21</v>
      </c>
      <c r="G24" t="s">
        <v>22</v>
      </c>
      <c r="H24" t="s">
        <v>26</v>
      </c>
      <c r="I24" t="s">
        <v>18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3">
        <v>5.1065583923611109E-2</v>
      </c>
      <c r="B25" t="s">
        <v>39</v>
      </c>
      <c r="C25" t="s">
        <v>12</v>
      </c>
      <c r="D25" t="s">
        <v>20</v>
      </c>
      <c r="F25" t="s">
        <v>21</v>
      </c>
      <c r="H25" t="s">
        <v>26</v>
      </c>
      <c r="I25" t="s">
        <v>18</v>
      </c>
      <c r="J25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3">
        <v>5.3108461666666662E-2</v>
      </c>
      <c r="B26" t="s">
        <v>39</v>
      </c>
      <c r="C26" t="s">
        <v>12</v>
      </c>
      <c r="D26" t="s">
        <v>13</v>
      </c>
      <c r="E26" t="s">
        <v>42</v>
      </c>
      <c r="F26" t="s">
        <v>30</v>
      </c>
      <c r="G26" t="s">
        <v>16</v>
      </c>
      <c r="H26" t="s">
        <v>17</v>
      </c>
      <c r="I26" t="s">
        <v>18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 s="3">
        <v>5.5118694074074069E-2</v>
      </c>
      <c r="B27" t="s">
        <v>39</v>
      </c>
      <c r="C27" t="s">
        <v>19</v>
      </c>
      <c r="D27" t="s">
        <v>20</v>
      </c>
      <c r="F27" t="s">
        <v>21</v>
      </c>
      <c r="H27" t="s">
        <v>27</v>
      </c>
      <c r="I27">
        <v>5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 s="3">
        <v>5.5871620393518513E-2</v>
      </c>
      <c r="B28" t="s">
        <v>39</v>
      </c>
      <c r="C28" t="s">
        <v>19</v>
      </c>
      <c r="D28" t="s">
        <v>13</v>
      </c>
      <c r="H28" t="s">
        <v>31</v>
      </c>
      <c r="I28">
        <v>5</v>
      </c>
      <c r="J28" t="s">
        <v>43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3">
        <v>5.6469433912037043E-2</v>
      </c>
      <c r="B29" t="s">
        <v>39</v>
      </c>
      <c r="C29" t="s">
        <v>19</v>
      </c>
      <c r="D29" t="s">
        <v>20</v>
      </c>
      <c r="F29" t="s">
        <v>21</v>
      </c>
      <c r="G29" t="s">
        <v>16</v>
      </c>
      <c r="H29" t="s">
        <v>17</v>
      </c>
      <c r="I29" t="s">
        <v>18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 s="3">
        <v>5.798087940972222E-2</v>
      </c>
      <c r="B30" t="s">
        <v>39</v>
      </c>
      <c r="C30" t="s">
        <v>12</v>
      </c>
      <c r="D30" t="s">
        <v>20</v>
      </c>
      <c r="F30" t="s">
        <v>21</v>
      </c>
      <c r="G30" t="s">
        <v>22</v>
      </c>
      <c r="H30" t="s">
        <v>44</v>
      </c>
      <c r="I30" t="s">
        <v>18</v>
      </c>
      <c r="J30" t="s">
        <v>45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3">
        <v>6.0917896053240744E-2</v>
      </c>
      <c r="B31" t="s">
        <v>39</v>
      </c>
      <c r="C31" t="s">
        <v>19</v>
      </c>
      <c r="D31" t="s">
        <v>20</v>
      </c>
      <c r="F31" t="s">
        <v>21</v>
      </c>
      <c r="G31" t="s">
        <v>16</v>
      </c>
      <c r="H31" t="s">
        <v>27</v>
      </c>
      <c r="I31">
        <v>5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3">
        <v>6.2658326678240742E-2</v>
      </c>
      <c r="B32" t="s">
        <v>39</v>
      </c>
      <c r="C32" t="s">
        <v>12</v>
      </c>
      <c r="D32" t="s">
        <v>13</v>
      </c>
      <c r="E32" t="s">
        <v>42</v>
      </c>
      <c r="F32" t="s">
        <v>21</v>
      </c>
      <c r="G32" t="s">
        <v>22</v>
      </c>
      <c r="I32" t="s">
        <v>18</v>
      </c>
      <c r="J32" t="s">
        <v>46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3">
        <v>6.3571187500000001E-2</v>
      </c>
      <c r="B33" t="s">
        <v>39</v>
      </c>
      <c r="C33" t="s">
        <v>19</v>
      </c>
      <c r="D33" t="s">
        <v>20</v>
      </c>
      <c r="F33" t="s">
        <v>21</v>
      </c>
      <c r="G33" t="s">
        <v>22</v>
      </c>
      <c r="H33" t="s">
        <v>32</v>
      </c>
      <c r="I33">
        <v>5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3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5" t="s">
        <v>47</v>
      </c>
      <c r="B35" s="6" t="s">
        <v>48</v>
      </c>
      <c r="C35" s="6" t="s">
        <v>49</v>
      </c>
      <c r="D35" s="6" t="s">
        <v>50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7" t="s">
        <v>51</v>
      </c>
      <c r="B36" s="8">
        <f>COUNTIFS(DetailTouches[Lance pour],"N",DetailTouches[Issue],"G")</f>
        <v>5</v>
      </c>
      <c r="C36" s="8">
        <f>COUNTIFS(DetailTouches[Lance pour],"N",DetailTouches[Issue],"P")</f>
        <v>2</v>
      </c>
      <c r="D36" s="8">
        <f>COUNTIFS(DetailTouches[Lance pour],"N",DetailTouches[Issue],"ND")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9" t="s">
        <v>52</v>
      </c>
      <c r="B37" s="10">
        <f>COUNTIFS(DetailTouches[Lance pour],"E",DetailTouches[Issue],"P")</f>
        <v>17</v>
      </c>
      <c r="C37" s="10">
        <f>COUNTIFS(DetailTouches[Lance pour],"E",DetailTouches[Issue],"G")</f>
        <v>6</v>
      </c>
      <c r="D37" s="10">
        <f>COUNTIFS(DetailTouches[Lance pour],"E",DetailTouches[Issue],"ND")</f>
        <v>1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8" x14ac:dyDescent="0.2">
      <c r="A40" s="1" t="s">
        <v>53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A41" t="s">
        <v>1</v>
      </c>
      <c r="B41" t="s">
        <v>2</v>
      </c>
      <c r="C41" t="s">
        <v>54</v>
      </c>
      <c r="D41" t="s">
        <v>4</v>
      </c>
      <c r="E41" t="s">
        <v>55</v>
      </c>
      <c r="F41" t="s">
        <v>56</v>
      </c>
      <c r="G41" t="s">
        <v>57</v>
      </c>
      <c r="H41" t="s">
        <v>58</v>
      </c>
      <c r="I41" t="s">
        <v>59</v>
      </c>
      <c r="J41" t="s">
        <v>10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s="3">
        <v>5.2718634374999997E-3</v>
      </c>
      <c r="B42" t="s">
        <v>11</v>
      </c>
      <c r="C42" t="s">
        <v>19</v>
      </c>
      <c r="D42" t="s">
        <v>20</v>
      </c>
      <c r="E42" t="s">
        <v>27</v>
      </c>
      <c r="F42" t="s">
        <v>60</v>
      </c>
      <c r="G42" s="11"/>
      <c r="H42" s="11" t="s">
        <v>61</v>
      </c>
      <c r="I42" s="11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 s="3">
        <v>1.0594532002314815E-2</v>
      </c>
      <c r="B43" t="s">
        <v>11</v>
      </c>
      <c r="C43" t="s">
        <v>12</v>
      </c>
      <c r="D43" t="s">
        <v>13</v>
      </c>
      <c r="E43" t="s">
        <v>31</v>
      </c>
      <c r="F43" t="s">
        <v>62</v>
      </c>
      <c r="G43" s="11"/>
      <c r="H43" s="11"/>
      <c r="I43" s="11" t="s">
        <v>61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 s="3">
        <v>2.0997172465277776E-2</v>
      </c>
      <c r="B44" t="s">
        <v>11</v>
      </c>
      <c r="C44" t="s">
        <v>19</v>
      </c>
      <c r="D44" t="s">
        <v>20</v>
      </c>
      <c r="E44" t="s">
        <v>23</v>
      </c>
      <c r="F44" t="s">
        <v>63</v>
      </c>
      <c r="G44" s="11"/>
      <c r="H44" s="11" t="s">
        <v>61</v>
      </c>
      <c r="I44" s="11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 s="3">
        <v>2.3206430381944445E-2</v>
      </c>
      <c r="B45" t="s">
        <v>11</v>
      </c>
      <c r="C45" t="s">
        <v>12</v>
      </c>
      <c r="D45" t="s">
        <v>13</v>
      </c>
      <c r="E45" t="s">
        <v>32</v>
      </c>
      <c r="F45" t="s">
        <v>62</v>
      </c>
      <c r="G45" s="11"/>
      <c r="H45" s="11" t="s">
        <v>61</v>
      </c>
      <c r="I45" s="11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">
      <c r="A46" s="3">
        <v>2.3670964513888889E-2</v>
      </c>
      <c r="B46" t="s">
        <v>11</v>
      </c>
      <c r="C46" t="s">
        <v>19</v>
      </c>
      <c r="D46" t="s">
        <v>20</v>
      </c>
      <c r="E46" t="s">
        <v>27</v>
      </c>
      <c r="F46" t="s">
        <v>60</v>
      </c>
      <c r="G46" s="11"/>
      <c r="H46" s="11" t="s">
        <v>61</v>
      </c>
      <c r="I46" s="11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">
      <c r="A47" s="3">
        <v>2.8014589004629629E-2</v>
      </c>
      <c r="B47" t="s">
        <v>11</v>
      </c>
      <c r="C47" t="s">
        <v>12</v>
      </c>
      <c r="D47" t="s">
        <v>13</v>
      </c>
      <c r="E47" t="s">
        <v>31</v>
      </c>
      <c r="F47" t="s">
        <v>62</v>
      </c>
      <c r="G47" s="11"/>
      <c r="H47" s="11"/>
      <c r="I47" s="11" t="s">
        <v>61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">
      <c r="A48" s="3">
        <v>3.7953324236111113E-2</v>
      </c>
      <c r="B48" t="s">
        <v>39</v>
      </c>
      <c r="C48" t="s">
        <v>12</v>
      </c>
      <c r="D48" t="s">
        <v>13</v>
      </c>
      <c r="E48" t="s">
        <v>27</v>
      </c>
      <c r="F48" t="s">
        <v>60</v>
      </c>
      <c r="G48" s="11" t="s">
        <v>61</v>
      </c>
      <c r="H48" s="11"/>
      <c r="I48" s="11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">
      <c r="A49" s="3">
        <v>4.4184876886574076E-2</v>
      </c>
      <c r="B49" t="s">
        <v>39</v>
      </c>
      <c r="C49" t="s">
        <v>12</v>
      </c>
      <c r="D49" t="s">
        <v>13</v>
      </c>
      <c r="E49" t="s">
        <v>64</v>
      </c>
      <c r="F49" t="s">
        <v>62</v>
      </c>
      <c r="G49" s="11"/>
      <c r="H49" s="11"/>
      <c r="I49" s="11" t="s">
        <v>61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">
      <c r="A50" s="3">
        <v>6.2112887962962965E-2</v>
      </c>
      <c r="B50" t="s">
        <v>39</v>
      </c>
      <c r="C50" t="s">
        <v>12</v>
      </c>
      <c r="D50" t="s">
        <v>13</v>
      </c>
      <c r="E50" t="s">
        <v>29</v>
      </c>
      <c r="F50" t="s">
        <v>62</v>
      </c>
      <c r="G50" s="11"/>
      <c r="H50" s="11"/>
      <c r="I50" s="11" t="s">
        <v>61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">
      <c r="A51" s="3"/>
      <c r="G51" s="11"/>
      <c r="H51" s="11"/>
      <c r="I51" s="11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">
      <c r="A52" s="12" t="s">
        <v>65</v>
      </c>
      <c r="B52" s="13" t="s">
        <v>48</v>
      </c>
      <c r="C52" s="13" t="s">
        <v>49</v>
      </c>
      <c r="G52" s="11"/>
      <c r="H52" s="11"/>
      <c r="I52" s="11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">
      <c r="A53" s="14" t="s">
        <v>51</v>
      </c>
      <c r="B53" s="15">
        <f>COUNTIFS(DetailMelees[Introduction pour],"N",DetailMelees[Issue],"G")</f>
        <v>6</v>
      </c>
      <c r="C53" s="15">
        <f>COUNTIFS(DetailMelees[Introduction pour],"N",DetailMelees[Issue],"P")</f>
        <v>0</v>
      </c>
      <c r="G53" s="11"/>
      <c r="H53" s="11"/>
      <c r="I53" s="11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">
      <c r="A54" s="9" t="s">
        <v>52</v>
      </c>
      <c r="B54" s="10">
        <f>COUNTIFS(DetailMelees[Introduction pour],"E",DetailMelees[Issue],"P")</f>
        <v>3</v>
      </c>
      <c r="C54" s="10">
        <f>COUNTIFS(DetailMelees[Introduction pour],"E",DetailMelees[Issue],"G")</f>
        <v>0</v>
      </c>
      <c r="G54" s="11"/>
      <c r="H54" s="11"/>
      <c r="I54" s="11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">
      <c r="G55" s="11"/>
      <c r="H55" s="11"/>
      <c r="I55" s="11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6" customHeight="1" x14ac:dyDescent="0.2">
      <c r="G56" s="11"/>
      <c r="H56" s="11"/>
      <c r="I56" s="11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">
      <c r="G57" s="11"/>
      <c r="H57" s="11"/>
      <c r="I57" s="11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">
      <c r="G58" s="11"/>
      <c r="H58" s="11"/>
      <c r="I58" s="11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">
      <c r="G59" s="11"/>
      <c r="H59" s="11"/>
      <c r="I59" s="11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">
      <c r="E60" s="2"/>
      <c r="F60" s="2"/>
      <c r="G60" s="16"/>
      <c r="H60" s="16"/>
      <c r="I60" s="1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">
      <c r="E61" s="2"/>
      <c r="F61" s="2"/>
      <c r="G61" s="16"/>
      <c r="H61" s="16"/>
      <c r="I61" s="1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E62" s="2"/>
      <c r="F62" s="2"/>
      <c r="G62" s="16"/>
      <c r="H62" s="16"/>
      <c r="I62" s="1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">
      <c r="E63" s="2"/>
      <c r="F63" s="2"/>
      <c r="G63" s="16"/>
      <c r="H63" s="16"/>
      <c r="I63" s="1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C64" s="2"/>
      <c r="D64" s="2"/>
      <c r="E64" s="2"/>
      <c r="F64" s="2"/>
      <c r="G64" s="16"/>
      <c r="H64" s="16"/>
      <c r="I64" s="1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">
      <c r="C65" s="2"/>
      <c r="D65" s="2"/>
      <c r="E65" s="2"/>
      <c r="F65" s="2"/>
      <c r="G65" s="16"/>
      <c r="H65" s="16"/>
      <c r="I65" s="1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">
      <c r="C66" s="2"/>
      <c r="D66" s="2"/>
      <c r="E66" s="2"/>
      <c r="F66" s="2"/>
      <c r="G66" s="16"/>
      <c r="H66" s="16"/>
      <c r="I66" s="1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">
      <c r="A67" s="2"/>
      <c r="B67" s="2"/>
      <c r="C67" s="2"/>
      <c r="D67" s="2"/>
      <c r="E67" s="2"/>
      <c r="F67" s="2"/>
      <c r="G67" s="16"/>
      <c r="H67" s="16"/>
      <c r="I67" s="1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A68" s="2"/>
      <c r="B68" s="2"/>
      <c r="C68" s="2"/>
      <c r="D68" s="2"/>
      <c r="E68" s="2"/>
      <c r="F68" s="2"/>
      <c r="G68" s="16"/>
      <c r="H68" s="16"/>
      <c r="I68" s="1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">
      <c r="A69" s="2"/>
      <c r="B69" s="2"/>
      <c r="C69" s="2"/>
      <c r="D69" s="2"/>
      <c r="E69" s="2"/>
      <c r="F69" s="2"/>
      <c r="G69" s="16"/>
      <c r="H69" s="16"/>
      <c r="I69" s="1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">
      <c r="A70" s="2"/>
      <c r="B70" s="2"/>
      <c r="C70" s="2"/>
      <c r="D70" s="2"/>
      <c r="E70" s="2"/>
      <c r="F70" s="2"/>
      <c r="G70" s="16"/>
      <c r="H70" s="16"/>
      <c r="I70" s="1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">
      <c r="A71" s="2"/>
      <c r="B71" s="2"/>
      <c r="C71" s="2"/>
      <c r="D71" s="2"/>
      <c r="E71" s="2"/>
      <c r="F71" s="2"/>
      <c r="G71" s="16"/>
      <c r="H71" s="16"/>
      <c r="I71" s="1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">
      <c r="A72" s="2"/>
      <c r="B72" s="2"/>
      <c r="C72" s="2"/>
      <c r="D72" s="2"/>
      <c r="E72" s="2"/>
      <c r="F72" s="2"/>
      <c r="G72" s="16"/>
      <c r="H72" s="16"/>
      <c r="I72" s="1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">
      <c r="A73" s="2"/>
      <c r="B73" s="2"/>
      <c r="C73" s="2"/>
      <c r="D73" s="2"/>
      <c r="E73" s="2"/>
      <c r="F73" s="2"/>
      <c r="G73" s="16"/>
      <c r="H73" s="16"/>
      <c r="I73" s="1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A74" s="2"/>
      <c r="B74" s="2"/>
      <c r="C74" s="2"/>
      <c r="D74" s="2"/>
      <c r="E74" s="2"/>
      <c r="F74" s="2"/>
      <c r="G74" s="16"/>
      <c r="H74" s="16"/>
      <c r="I74" s="1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">
      <c r="A75" s="2"/>
      <c r="B75" s="2"/>
      <c r="C75" s="2"/>
      <c r="D75" s="2"/>
      <c r="E75" s="2"/>
      <c r="F75" s="2"/>
      <c r="G75" s="16"/>
      <c r="H75" s="16"/>
      <c r="I75" s="1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">
      <c r="A76" s="2"/>
      <c r="B76" s="2"/>
      <c r="C76" s="2"/>
      <c r="D76" s="2"/>
      <c r="E76" s="2"/>
      <c r="F76" s="2"/>
      <c r="G76" s="16"/>
      <c r="H76" s="16"/>
      <c r="I76" s="1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">
      <c r="A77" s="2"/>
      <c r="B77" s="2"/>
      <c r="C77" s="2"/>
      <c r="D77" s="2"/>
      <c r="E77" s="2"/>
      <c r="F77" s="2"/>
      <c r="G77" s="16"/>
      <c r="H77" s="16"/>
      <c r="I77" s="1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">
      <c r="A78" s="2"/>
      <c r="B78" s="2"/>
      <c r="C78" s="2"/>
      <c r="D78" s="2"/>
      <c r="E78" s="2"/>
      <c r="F78" s="2"/>
      <c r="G78" s="16"/>
      <c r="H78" s="16"/>
      <c r="I78" s="1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">
      <c r="A79" s="2"/>
      <c r="B79" s="2"/>
      <c r="C79" s="2"/>
      <c r="D79" s="2"/>
      <c r="E79" s="2"/>
      <c r="F79" s="2"/>
      <c r="G79" s="16"/>
      <c r="H79" s="16"/>
      <c r="I79" s="1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A80" s="2"/>
      <c r="B80" s="2"/>
      <c r="C80" s="2"/>
      <c r="D80" s="2"/>
      <c r="E80" s="2"/>
      <c r="F80" s="2"/>
      <c r="G80" s="16"/>
      <c r="H80" s="16"/>
      <c r="I80" s="1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">
      <c r="A81" s="2"/>
      <c r="B81" s="2"/>
      <c r="C81" s="2"/>
      <c r="D81" s="2"/>
      <c r="E81" s="2"/>
      <c r="F81" s="2"/>
      <c r="G81" s="16"/>
      <c r="H81" s="16"/>
      <c r="I81" s="1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">
      <c r="A82" s="2"/>
      <c r="B82" s="2"/>
      <c r="C82" s="2"/>
      <c r="D82" s="2"/>
      <c r="E82" s="2"/>
      <c r="F82" s="2"/>
      <c r="G82" s="16"/>
      <c r="H82" s="16"/>
      <c r="I82" s="1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33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33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33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33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33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33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33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33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W200" t="s">
        <v>66</v>
      </c>
      <c r="X200" t="s">
        <v>67</v>
      </c>
      <c r="Y200" t="s">
        <v>68</v>
      </c>
      <c r="Z200" t="s">
        <v>69</v>
      </c>
      <c r="AA200" t="s">
        <v>70</v>
      </c>
      <c r="AB200" t="s">
        <v>71</v>
      </c>
      <c r="AC200" t="s">
        <v>72</v>
      </c>
      <c r="AD200" t="s">
        <v>73</v>
      </c>
      <c r="AE200" t="s">
        <v>74</v>
      </c>
      <c r="AF200" t="s">
        <v>75</v>
      </c>
      <c r="AG200" t="s">
        <v>76</v>
      </c>
    </row>
    <row r="201" spans="1:33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W201" t="s">
        <v>12</v>
      </c>
      <c r="X201" t="s">
        <v>13</v>
      </c>
      <c r="Y201" t="s">
        <v>13</v>
      </c>
      <c r="Z201" t="s">
        <v>36</v>
      </c>
      <c r="AA201" t="s">
        <v>16</v>
      </c>
      <c r="AB201" t="s">
        <v>64</v>
      </c>
      <c r="AC201">
        <v>2</v>
      </c>
      <c r="AD201" t="s">
        <v>63</v>
      </c>
      <c r="AE201" t="s">
        <v>77</v>
      </c>
      <c r="AF201" t="s">
        <v>78</v>
      </c>
      <c r="AG201" t="s">
        <v>79</v>
      </c>
    </row>
    <row r="202" spans="1:33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W202" t="s">
        <v>19</v>
      </c>
      <c r="X202" t="s">
        <v>20</v>
      </c>
      <c r="Y202" t="s">
        <v>20</v>
      </c>
      <c r="Z202" t="s">
        <v>30</v>
      </c>
      <c r="AA202" t="s">
        <v>22</v>
      </c>
      <c r="AB202" t="s">
        <v>44</v>
      </c>
      <c r="AC202">
        <v>3</v>
      </c>
      <c r="AD202" t="s">
        <v>60</v>
      </c>
      <c r="AE202" t="s">
        <v>80</v>
      </c>
      <c r="AF202" t="s">
        <v>81</v>
      </c>
      <c r="AG202" t="s">
        <v>24</v>
      </c>
    </row>
    <row r="203" spans="1:33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X203" t="s">
        <v>34</v>
      </c>
      <c r="Z203" t="s">
        <v>15</v>
      </c>
      <c r="AB203" t="s">
        <v>28</v>
      </c>
      <c r="AC203">
        <v>4</v>
      </c>
      <c r="AD203" t="s">
        <v>62</v>
      </c>
      <c r="AE203" t="s">
        <v>82</v>
      </c>
      <c r="AG203" t="s">
        <v>83</v>
      </c>
    </row>
    <row r="204" spans="1:33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Z204" t="s">
        <v>21</v>
      </c>
      <c r="AB204" t="s">
        <v>31</v>
      </c>
      <c r="AC204">
        <v>5</v>
      </c>
      <c r="AG204" t="s">
        <v>84</v>
      </c>
    </row>
    <row r="205" spans="1:33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Z205" t="s">
        <v>25</v>
      </c>
      <c r="AB205" t="s">
        <v>29</v>
      </c>
      <c r="AC205">
        <v>6</v>
      </c>
      <c r="AG205" t="s">
        <v>85</v>
      </c>
    </row>
    <row r="206" spans="1:33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AB206" t="s">
        <v>27</v>
      </c>
      <c r="AC206" t="s">
        <v>18</v>
      </c>
      <c r="AG206" t="s">
        <v>86</v>
      </c>
    </row>
    <row r="207" spans="1:33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AB207" t="s">
        <v>32</v>
      </c>
      <c r="AG207" t="s">
        <v>87</v>
      </c>
    </row>
    <row r="208" spans="1:33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AB208" t="s">
        <v>26</v>
      </c>
      <c r="AG208" t="s">
        <v>88</v>
      </c>
    </row>
    <row r="209" spans="1:33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AB209" t="s">
        <v>17</v>
      </c>
      <c r="AG209" t="s">
        <v>89</v>
      </c>
    </row>
    <row r="210" spans="1:33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AB210" t="s">
        <v>23</v>
      </c>
      <c r="AG210" t="s">
        <v>90</v>
      </c>
    </row>
    <row r="211" spans="1:33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AB211" t="s">
        <v>37</v>
      </c>
      <c r="AG211" t="s">
        <v>35</v>
      </c>
    </row>
    <row r="212" spans="1:33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AG212" t="s">
        <v>91</v>
      </c>
    </row>
    <row r="213" spans="1:33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AG213" t="s">
        <v>92</v>
      </c>
    </row>
    <row r="214" spans="1:33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AG214" t="s">
        <v>93</v>
      </c>
    </row>
    <row r="215" spans="1:33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AG215" t="s">
        <v>94</v>
      </c>
    </row>
    <row r="216" spans="1:33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AG216" t="s">
        <v>95</v>
      </c>
    </row>
    <row r="217" spans="1:33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AG217" t="s">
        <v>14</v>
      </c>
    </row>
    <row r="218" spans="1:33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AG218" t="s">
        <v>96</v>
      </c>
    </row>
    <row r="219" spans="1:33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AG219" t="s">
        <v>97</v>
      </c>
    </row>
    <row r="220" spans="1:33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AG220" t="s">
        <v>98</v>
      </c>
    </row>
    <row r="221" spans="1:33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AG221" t="s">
        <v>99</v>
      </c>
    </row>
    <row r="222" spans="1:33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AG222" t="s">
        <v>100</v>
      </c>
    </row>
    <row r="223" spans="1:33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AG223" t="s">
        <v>42</v>
      </c>
    </row>
    <row r="224" spans="1:33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AG224" t="s">
        <v>42</v>
      </c>
    </row>
    <row r="225" spans="1:2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2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2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2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</row>
  </sheetData>
  <conditionalFormatting sqref="D3:D33">
    <cfRule type="expression" dxfId="15" priority="1" stopIfTrue="1">
      <formula>($C3&amp;$D3)="NP"</formula>
    </cfRule>
    <cfRule type="expression" dxfId="14" priority="2" stopIfTrue="1">
      <formula>($C3&amp;$D3)="EG"</formula>
    </cfRule>
  </conditionalFormatting>
  <conditionalFormatting sqref="G3:G33">
    <cfRule type="expression" dxfId="13" priority="3" stopIfTrue="1">
      <formula>$G3="F"</formula>
    </cfRule>
    <cfRule type="expression" dxfId="12" priority="4" stopIfTrue="1">
      <formula>$G3="C"</formula>
    </cfRule>
  </conditionalFormatting>
  <conditionalFormatting sqref="A3:J33">
    <cfRule type="expression" dxfId="11" priority="5" stopIfTrue="1">
      <formula>$C3="N"</formula>
    </cfRule>
    <cfRule type="expression" dxfId="10" priority="6" stopIfTrue="1">
      <formula>$C3&lt;&gt;""</formula>
    </cfRule>
  </conditionalFormatting>
  <conditionalFormatting sqref="D42:D50">
    <cfRule type="expression" dxfId="9" priority="7" stopIfTrue="1">
      <formula>($C42&amp;$D42)="NP"</formula>
    </cfRule>
    <cfRule type="expression" dxfId="8" priority="8" stopIfTrue="1">
      <formula>($C42&amp;$D42)="EG"</formula>
    </cfRule>
  </conditionalFormatting>
  <conditionalFormatting sqref="A42:J50">
    <cfRule type="expression" dxfId="7" priority="9" stopIfTrue="1">
      <formula>$C42="N"</formula>
    </cfRule>
    <cfRule type="expression" dxfId="6" priority="10" stopIfTrue="1">
      <formula>$C42&lt;&gt;""</formula>
    </cfRule>
  </conditionalFormatting>
  <dataValidations count="13">
    <dataValidation type="list" allowBlank="1" showInputMessage="1" showErrorMessage="1" sqref="E34:E39 E3:E33" xr:uid="{904CC0B4-C177-EB4C-998F-8622E8610344}">
      <formula1>$AG$201:$AG$223</formula1>
    </dataValidation>
    <dataValidation type="list" allowBlank="1" showInputMessage="1" showErrorMessage="1" sqref="I34:I39 I3:I33" xr:uid="{92DB7358-79EF-6645-9767-CBA81651AF6D}">
      <formula1>$AC$201:$AC$206</formula1>
    </dataValidation>
    <dataValidation type="list" allowBlank="1" showInputMessage="1" showErrorMessage="1" sqref="G34:G39 G3:G33" xr:uid="{235C00E0-6DF2-2347-A17C-742176C16E08}">
      <formula1>$AA$201:$AA$202</formula1>
    </dataValidation>
    <dataValidation type="list" allowBlank="1" showInputMessage="1" showErrorMessage="1" sqref="F34:F39 F3:F33" xr:uid="{F654458B-5228-2B4A-B67E-03A91E65EF3B}">
      <formula1>$Z$201:$Z$205</formula1>
    </dataValidation>
    <dataValidation type="list" allowBlank="1" showInputMessage="1" showErrorMessage="1" sqref="D34 D3:D33" xr:uid="{A0BB26FB-D817-F440-8390-90FF5A30193C}">
      <formula1>$X$201:$X$203</formula1>
    </dataValidation>
    <dataValidation type="list" allowBlank="1" showInputMessage="1" showErrorMessage="1" sqref="F51:F59 F42:F50" xr:uid="{BB1E0EF9-8BAB-D745-AFA0-AA889B75B3D9}">
      <formula1>$AD$201:$AD$203</formula1>
    </dataValidation>
    <dataValidation type="list" allowBlank="1" showInputMessage="1" showErrorMessage="1" sqref="D51 D42:D50" xr:uid="{B469C6F9-AD30-164B-BE54-CDA88C34CF3C}">
      <formula1>$Y$201:$Y$202</formula1>
    </dataValidation>
    <dataValidation type="list" allowBlank="1" showInputMessage="1" showErrorMessage="1" sqref="H3:H33 H34:H39 E51:E59 E42:E50" xr:uid="{7471E1C9-C432-0E47-83B1-D5989477E14D}">
      <formula1>$AB$201:$AB$211</formula1>
    </dataValidation>
    <dataValidation type="list" allowBlank="1" showInputMessage="1" showErrorMessage="1" sqref="C3:C33 C34 C51 C42:C50" xr:uid="{2F0D0A35-C248-1F4B-812E-A7ABB9EC1C77}">
      <formula1>$W$201:$W$202</formula1>
    </dataValidation>
    <dataValidation type="list" allowBlank="1" showInputMessage="1" showErrorMessage="1" sqref="F75" xr:uid="{5174C19B-EED6-924C-9AD7-5CA3CD84DF3D}">
      <formula1>$AD$192:$AD$194</formula1>
    </dataValidation>
    <dataValidation type="list" allowBlank="1" showInputMessage="1" showErrorMessage="1" sqref="E75" xr:uid="{EB1F6B58-9CA9-0B41-8782-A55964C20A27}">
      <formula1>$AB$192:$AB$202</formula1>
    </dataValidation>
    <dataValidation type="list" allowBlank="1" showInputMessage="1" showErrorMessage="1" sqref="F82" xr:uid="{F8E4C3A5-6818-124E-A3FB-26A353DD6830}">
      <formula1>$AD$2:$AD$4</formula1>
    </dataValidation>
    <dataValidation type="list" allowBlank="1" showInputMessage="1" showErrorMessage="1" sqref="E82" xr:uid="{5660A959-7D78-9F49-A772-5DFFACC75D06}">
      <formula1>$AB$2:$AB$9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Touches Melees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2026-10-26T15:37:45Z</dcterms:created>
  <dcterms:modified xsi:type="dcterms:W3CDTF">2026-10-26T15:37:55Z</dcterms:modified>
</cp:coreProperties>
</file>