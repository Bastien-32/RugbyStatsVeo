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astiendallago/Library/Mobile Documents/com~apple~CloudDocs/Documents/DD/1- PERSO/12- AUTRES/1- RUGBY/2026-2027 MXV/STAT_VEO/Matchs/PDF/"/>
    </mc:Choice>
  </mc:AlternateContent>
  <xr:revisionPtr revIDLastSave="0" documentId="8_{7DCE5B38-EDB8-634D-9919-952AC72FF6D7}" xr6:coauthVersionLast="47" xr6:coauthVersionMax="47" xr10:uidLastSave="{00000000-0000-0000-0000-000000000000}"/>
  <bookViews>
    <workbookView xWindow="3660" yWindow="2760" windowWidth="27640" windowHeight="16680" xr2:uid="{F9B29815-5501-DC47-AE97-674FBADB713B}"/>
  </bookViews>
  <sheets>
    <sheet name="Touches Melees" sheetId="1" r:id="rId1"/>
  </sheets>
  <externalReferences>
    <externalReference r:id="rId2"/>
  </externalReferences>
  <definedNames>
    <definedName name="ACT_ATT_NULLE">[1]Paramètres!$R$53</definedName>
    <definedName name="ACT_AVANCEE">[1]Paramètres!$R$54</definedName>
    <definedName name="ACT_FRANCHISSEMENT">[1]Paramètres!$R$42</definedName>
    <definedName name="ACT_ME_ADV_G">[1]Paramètres!$R$40</definedName>
    <definedName name="ACT_ME_ADV_P">[1]Paramètres!$R$41</definedName>
    <definedName name="ACT_ME_NS_G">[1]Paramètres!$R$38</definedName>
    <definedName name="ACT_ME_NS_P">[1]Paramètres!$R$39</definedName>
    <definedName name="ACT_PEN_CONTRE_ADV">[1]Paramètres!$R$13</definedName>
    <definedName name="ACT_PEN_CONTRE_NOUS">[1]Paramètres!$R$14</definedName>
    <definedName name="ACT_PEN_HORS_JEU">[1]Paramètres!$R$33</definedName>
    <definedName name="ACT_PEN_MAUL">[1]Paramètres!$R$31</definedName>
    <definedName name="ACT_PEN_PL_A_2">[1]Paramètres!$R$34</definedName>
    <definedName name="ACT_PEN_PL_HAUT">[1]Paramètres!$R$35</definedName>
    <definedName name="ACT_PEN_RUCK">[1]Paramètres!$R$32</definedName>
    <definedName name="ACT_PEN_UNKNOWN">[1]Paramètres!$R$36</definedName>
    <definedName name="ACT_PL_A2">[1]Paramètres!$R$5</definedName>
    <definedName name="ACT_PL_HAUT">[1]Paramètres!$R$6</definedName>
    <definedName name="ACT_PL_NORMAL">[1]Paramètres!$R$3</definedName>
    <definedName name="ACT_PL_OFF">[1]Paramètres!$R$2</definedName>
    <definedName name="ACT_PL_RATE">[1]Paramètres!$R$4</definedName>
    <definedName name="ACT_PTS_DROP">[1]Paramètres!$R$19</definedName>
    <definedName name="ACT_PTS_ESSAI">[1]Paramètres!$R$15</definedName>
    <definedName name="ACT_PTS_ESSAI_PEN">[1]Paramètres!$R$16</definedName>
    <definedName name="ACT_PTS_PENALITE">[1]Paramètres!$R$18</definedName>
    <definedName name="ACT_PTS_TRANSFO">[1]Paramètres!$R$17</definedName>
    <definedName name="ACT_TO_ADV_PAS_DROIT">[1]Paramètres!$R$12</definedName>
    <definedName name="ACT_TO_ADV_PERDUE">[1]Paramètres!$R$11</definedName>
    <definedName name="ACT_TO_ADV_VOLEE">[1]Paramètres!$R$10</definedName>
    <definedName name="ACT_TO_NS_G">[1]Paramètres!$R$7</definedName>
    <definedName name="ACT_TO_NS_P">[1]Paramètres!$R$8</definedName>
    <definedName name="ACT_TO_NS_PAS_DROIT">[1]Paramètres!$R$9</definedName>
    <definedName name="AVANT_OU_ARRIERE">[1]!LstLignePoste[AVANT_OU_ARRIERE]</definedName>
    <definedName name="BTNS_JOUEURS">'[1]Saisie vidéo'!$D$14,'[1]Saisie vidéo'!$F$14,'[1]Saisie vidéo'!$H$14,'[1]Saisie vidéo'!$J$14,'[1]Saisie vidéo'!$L$14,'[1]Saisie vidéo'!$N$14,'[1]Saisie vidéo'!$N$16,'[1]Saisie vidéo'!$L$16,'[1]Saisie vidéo'!$J$16,'[1]Saisie vidéo'!$H$16,'[1]Saisie vidéo'!$F$16</definedName>
    <definedName name="EQUIPE_NIV">[1]!LstEquipesClub[EQUIPE_NIV]</definedName>
    <definedName name="EQUIPES_POULE">[1]!LstEquipesPoule[EQUIPES_A_AFFRONTER]</definedName>
    <definedName name="LIEU_MATCH">[1]!LstLieuxMatch[LIEU_MATCH]</definedName>
    <definedName name="LISTE_ACTIONS_JOURNAL">[1]!TblActionsJournal[Libellé]</definedName>
    <definedName name="LISTE_EQUIPES_JOURNAL">[1]!TblEquipesJournal[LISTE_EQUIPES_JOURNAL]</definedName>
    <definedName name="LISTE_GROUPES_FAUTIFS">[1]!LstLignePoste[AVANT_OU_ARRIERE]</definedName>
    <definedName name="LISTE_JOUEURS">[1]!LstEffectif[prenom NOM]</definedName>
    <definedName name="LISTE_JOUEURS_JOURNAL">[1]!LstJoueursJournal[LISTE_JOUEURS_JOURNAL]</definedName>
    <definedName name="LISTE_LECTEURS_VIDEO">[1]!TblLecteurVideo[LISTE_LECTEUR_VIDEO]</definedName>
    <definedName name="LISTE_MOTIFS_PENALITE">[1]Paramètres!$R$31:$R$36</definedName>
    <definedName name="LISTE_MT_JOURNAL">[1]Paramètres!$I$6:$I$7</definedName>
    <definedName name="LST_JOUEURS">[1]!LstEffectif[NOM Prénom]</definedName>
    <definedName name="LST_TM_ALIGNEMENT">'Touches Melees'!$AC$2:$AC$7</definedName>
    <definedName name="LST_TM_BALLON">'Touches Melees'!$AA$2:$AA$3</definedName>
    <definedName name="LST_TM_BALLON_LONG">'Touches Melees'!$AF$2:$AF$3</definedName>
    <definedName name="LST_TM_ISSUE_MELEE">'Touches Melees'!$Y$2:$Y$3</definedName>
    <definedName name="LST_TM_ISSUE_TOUCHE">'Touches Melees'!$X$2:$X$4</definedName>
    <definedName name="LST_TM_LANCE_POUR">'Touches Melees'!$W$2:$W$3</definedName>
    <definedName name="LST_TM_UTILISATION">'Touches Melees'!$AE$2:$AE$4</definedName>
    <definedName name="LST_TM_ZONE_LARGEUR">'Touches Melees'!$AD$2:$AD$4</definedName>
    <definedName name="LST_TM_ZONE_LONGUEUR">'Touches Melees'!$AB$2:$AB$12</definedName>
    <definedName name="LST_TM_ZONE_SAUT">'Touches Melees'!$Z$2:$Z$6</definedName>
    <definedName name="LSTResultat">[1]!Tableau14[[#All],[RESULTAT]]</definedName>
    <definedName name="MATCH_ADV">[1]Compo!$C$12</definedName>
    <definedName name="MATCH_CAT">[1]Compo!$C$22</definedName>
    <definedName name="MATCH_JOURNEE">[1]Compo!$C$18</definedName>
    <definedName name="MATCH_LIEU">[1]Compo!$C$14</definedName>
    <definedName name="MATCH_NOUS">[1]Compo!$C$10</definedName>
    <definedName name="MATCH_PHASE">[1]Compo!$C$16</definedName>
    <definedName name="OUI_NON">[1]!Tableau15[OUI_NON]</definedName>
    <definedName name="PHASE">[1]!LstPhases[PHASE]</definedName>
    <definedName name="RESULTAT">[1]!Tableau14[RESULTAT]</definedName>
    <definedName name="TM_BTN_EXPORT">'Touches Melees'!$L$23</definedName>
    <definedName name="TM_RECAP_MELEES">'Touches Melees'!$L$19</definedName>
    <definedName name="TM_RECAP_TOUCHES">'Touches Melees'!$A$26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28" i="1" l="1"/>
  <c r="C28" i="1"/>
  <c r="B28" i="1"/>
  <c r="D27" i="1"/>
  <c r="C27" i="1"/>
  <c r="B27" i="1"/>
  <c r="N21" i="1"/>
  <c r="M21" i="1"/>
  <c r="N20" i="1"/>
  <c r="M20" i="1"/>
</calcChain>
</file>

<file path=xl/sharedStrings.xml><?xml version="1.0" encoding="utf-8"?>
<sst xmlns="http://schemas.openxmlformats.org/spreadsheetml/2006/main" count="307" uniqueCount="80">
  <si>
    <t>TOUCHES</t>
  </si>
  <si>
    <t>MELEES</t>
  </si>
  <si>
    <t>LST_TM_LANCE_POUR</t>
  </si>
  <si>
    <t>LST_TM_ISSUE_TOUCHE</t>
  </si>
  <si>
    <t>LST_TM_ISSUE_MELEE</t>
  </si>
  <si>
    <t>LST_TM_ZONE_SAUT</t>
  </si>
  <si>
    <t>LST_TM_BALLON</t>
  </si>
  <si>
    <t>LST_TM_ZONE_LONGUEUR</t>
  </si>
  <si>
    <t>LST_TM_ALIGNEMENT</t>
  </si>
  <si>
    <t>LST_TM_ZONE_LARGEUR</t>
  </si>
  <si>
    <t>LST_TM_UTILISATION</t>
  </si>
  <si>
    <t>LST_TM_BALLON_LONG</t>
  </si>
  <si>
    <t>Temps video</t>
  </si>
  <si>
    <t>Mi-temps</t>
  </si>
  <si>
    <t>Lance pour</t>
  </si>
  <si>
    <t>Issue</t>
  </si>
  <si>
    <t>Sauteur</t>
  </si>
  <si>
    <t>Zone saut</t>
  </si>
  <si>
    <t>Ballon</t>
  </si>
  <si>
    <t>Zone terrain</t>
  </si>
  <si>
    <t>Alignement</t>
  </si>
  <si>
    <t>Observations</t>
  </si>
  <si>
    <t>Introduction pour</t>
  </si>
  <si>
    <t>Zone longueur</t>
  </si>
  <si>
    <t>Zone largeur</t>
  </si>
  <si>
    <t>Jeu avant</t>
  </si>
  <si>
    <t>Jeu 3/4</t>
  </si>
  <si>
    <t>Jeu pied</t>
  </si>
  <si>
    <t>N</t>
  </si>
  <si>
    <t>G</t>
  </si>
  <si>
    <t>Z0</t>
  </si>
  <si>
    <t>C</t>
  </si>
  <si>
    <t>N en-but</t>
  </si>
  <si>
    <t>Gauche</t>
  </si>
  <si>
    <t>Avants</t>
  </si>
  <si>
    <t>Chaud</t>
  </si>
  <si>
    <t>MT1</t>
  </si>
  <si>
    <t>P</t>
  </si>
  <si>
    <t>BIFFI Pierre</t>
  </si>
  <si>
    <t>Z2</t>
  </si>
  <si>
    <t>E 30m</t>
  </si>
  <si>
    <t>Complet</t>
  </si>
  <si>
    <t>sauteur lobbé</t>
  </si>
  <si>
    <t>50m</t>
  </si>
  <si>
    <t>Milieu</t>
  </si>
  <si>
    <t>✓</t>
  </si>
  <si>
    <t>E</t>
  </si>
  <si>
    <t>Z1</t>
  </si>
  <si>
    <t>F</t>
  </si>
  <si>
    <t>N 15m</t>
  </si>
  <si>
    <t>Trois-quart</t>
  </si>
  <si>
    <t>Froid</t>
  </si>
  <si>
    <t>BARATGIN Julian</t>
  </si>
  <si>
    <t>N 30m</t>
  </si>
  <si>
    <t>Droit</t>
  </si>
  <si>
    <t>attaque première main</t>
  </si>
  <si>
    <t>ND</t>
  </si>
  <si>
    <t>Z1,5</t>
  </si>
  <si>
    <t>N 22m</t>
  </si>
  <si>
    <t>Pied</t>
  </si>
  <si>
    <t>E 40m</t>
  </si>
  <si>
    <t>E 15m</t>
  </si>
  <si>
    <t>N 40m</t>
  </si>
  <si>
    <t>Z3</t>
  </si>
  <si>
    <t>E 22m</t>
  </si>
  <si>
    <t>MT2</t>
  </si>
  <si>
    <t>8 Ne redresse pas trop de travers</t>
  </si>
  <si>
    <t>Sauteur lobbé</t>
  </si>
  <si>
    <t>E en-but</t>
  </si>
  <si>
    <t>Pas de zone – personne à saut</t>
  </si>
  <si>
    <t>ou Z1,5?</t>
  </si>
  <si>
    <t>2 relayeurs</t>
  </si>
  <si>
    <t>Melees</t>
  </si>
  <si>
    <t>Gagnees</t>
  </si>
  <si>
    <t>Perdues</t>
  </si>
  <si>
    <t>Pour nous</t>
  </si>
  <si>
    <t>Pour l'adversaire</t>
  </si>
  <si>
    <t>EXPORTER
LA FEUILLE</t>
  </si>
  <si>
    <t>Touches</t>
  </si>
  <si>
    <t>Pas droites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</si>
</sst>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m]:ss\ "/>
  </numFmts>
  <fonts count="3" x14ac:knownFonts="1"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rgb="FFFFFFFF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72C4"/>
      </left>
      <right style="thin">
        <color rgb="FF4472C4"/>
      </right>
      <top style="thin">
        <color rgb="FF4472C4"/>
      </top>
      <bottom style="thin">
        <color rgb="FF4472C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center"/>
    </xf>
    <xf numFmtId="16" fontId="0" fillId="0" borderId="0" xfId="0" applyNumberFormat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2" fillId="4" borderId="2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15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4" formatCode="[m]:ss\ "/>
    </dxf>
    <dxf>
      <numFmt numFmtId="164" formatCode="[m]:ss\ "/>
    </dxf>
    <dxf>
      <border>
        <bottom style="thin">
          <color rgb="FFED7D31"/>
        </bottom>
      </border>
    </dxf>
    <dxf>
      <fill>
        <patternFill>
          <bgColor rgb="FFFCE4D6"/>
        </patternFill>
      </fill>
      <border>
        <bottom style="thin">
          <color rgb="FFED7D31"/>
        </bottom>
      </border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  <dxf>
      <border>
        <bottom style="thin">
          <color rgb="FF4472C4"/>
        </bottom>
      </border>
    </dxf>
    <dxf>
      <fill>
        <patternFill>
          <bgColor rgb="FFD9E2F3"/>
        </patternFill>
      </fill>
      <border>
        <bottom style="thin">
          <color rgb="FF4472C4"/>
        </bottom>
      </border>
    </dxf>
    <dxf>
      <font>
        <b/>
        <i val="0"/>
        <color rgb="FFFFFFFF"/>
      </font>
      <fill>
        <patternFill>
          <bgColor rgb="FFC00000"/>
        </patternFill>
      </fill>
    </dxf>
    <dxf>
      <font>
        <b/>
        <i val="0"/>
        <color rgb="FFFFFFFF"/>
      </font>
      <fill>
        <patternFill>
          <bgColor rgb="FF0070C0"/>
        </patternFill>
      </fill>
    </dxf>
    <dxf>
      <font>
        <b/>
        <i val="0"/>
        <color rgb="FFFFFFFF"/>
      </font>
      <fill>
        <patternFill>
          <bgColor rgb="FF008000"/>
        </patternFill>
      </fill>
    </dxf>
    <dxf>
      <font>
        <b/>
        <i val="0"/>
        <color rgb="FFFFFFFF"/>
      </font>
      <fill>
        <patternFill>
          <bgColor rgb="FFC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26-27_A2_Panjas-AC_Premiere_EXT.xlsm" TargetMode="External"/><Relationship Id="rId2" Type="http://schemas.openxmlformats.org/officeDocument/2006/relationships/externalLinkPath" Target="/Users/bastiendallago/Library/Mobile%20Documents/com~apple~CloudDocs/Documents/DD/1-%20PERSO/12-%20AUTRES/1-%20RUGBY/2026-2027%20MXV/STAT_VEO/Matchs/26-27_A2_Panjas-AC_Premiere_EXT.xlsm" TargetMode="External"/><Relationship Id="rId1" Type="http://schemas.openxmlformats.org/officeDocument/2006/relationships/externalLinkPath" Target="/Users/bastiendallago/Library/Mobile%20Documents/com~apple~CloudDocs/Documents/DD/1-%20PERSO/12-%20AUTRES/1-%20RUGBY/2026-2027%20MXV/STAT_VEO/Matchs/26-27_A2_Panjas-AC_Premiere_EXT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Listes"/>
      <sheetName val="Compo"/>
      <sheetName val="Saisie vidéo"/>
      <sheetName val="Journal actions"/>
      <sheetName val="Stats match"/>
      <sheetName val="Touches Melees"/>
      <sheetName val="Paramètres"/>
      <sheetName val="Popup"/>
      <sheetName val="Popup touche"/>
      <sheetName val="Popup melee"/>
      <sheetName val="Popup penalite"/>
      <sheetName val="Popup remplacement"/>
    </sheetNames>
    <sheetDataSet>
      <sheetData sheetId="0"/>
      <sheetData sheetId="1">
        <row r="10">
          <cell r="C10" t="str">
            <v>MXV</v>
          </cell>
        </row>
        <row r="12">
          <cell r="C12" t="str">
            <v>Panjas AC</v>
          </cell>
        </row>
        <row r="14">
          <cell r="C14" t="str">
            <v>Extérieur</v>
          </cell>
        </row>
        <row r="16">
          <cell r="C16" t="str">
            <v>Aller</v>
          </cell>
        </row>
        <row r="18">
          <cell r="C18">
            <v>2</v>
          </cell>
        </row>
        <row r="22">
          <cell r="C22" t="str">
            <v>Première</v>
          </cell>
        </row>
      </sheetData>
      <sheetData sheetId="2">
        <row r="14">
          <cell r="D14" t="str">
            <v>1
ABADIE</v>
          </cell>
          <cell r="F14" t="str">
            <v>2
RICHIARDONNE</v>
          </cell>
          <cell r="H14" t="str">
            <v>3
BAUP</v>
          </cell>
          <cell r="J14" t="str">
            <v>4
DUTREY</v>
          </cell>
          <cell r="L14" t="str">
            <v>5
ABADIE</v>
          </cell>
          <cell r="N14" t="str">
            <v>6
MULLIER</v>
          </cell>
        </row>
        <row r="16">
          <cell r="F16" t="str">
            <v>8
BARATGIN</v>
          </cell>
          <cell r="H16" t="str">
            <v>9
MOUDENS</v>
          </cell>
          <cell r="J16" t="str">
            <v>10
COURREGES</v>
          </cell>
          <cell r="L16" t="str">
            <v>11
BOURREC</v>
          </cell>
          <cell r="N16" t="str">
            <v>12
LAUDET</v>
          </cell>
        </row>
      </sheetData>
      <sheetData sheetId="3" refreshError="1"/>
      <sheetData sheetId="4" refreshError="1"/>
      <sheetData sheetId="5"/>
      <sheetData sheetId="6">
        <row r="2">
          <cell r="R2" t="str">
            <v>Plaquage offensif</v>
          </cell>
        </row>
        <row r="3">
          <cell r="R3" t="str">
            <v>Plaquage normal</v>
          </cell>
        </row>
        <row r="4">
          <cell r="R4" t="str">
            <v>Plaquage raté</v>
          </cell>
        </row>
        <row r="5">
          <cell r="R5" t="str">
            <v>Plaquage à 2</v>
          </cell>
        </row>
        <row r="6">
          <cell r="I6" t="str">
            <v>MT1</v>
          </cell>
          <cell r="R6" t="str">
            <v>Plaquage haut</v>
          </cell>
        </row>
        <row r="7">
          <cell r="I7" t="str">
            <v>MT2</v>
          </cell>
          <cell r="R7" t="str">
            <v>Touche à nous conservée</v>
          </cell>
        </row>
        <row r="8">
          <cell r="R8" t="str">
            <v>Touche à nous perdue</v>
          </cell>
        </row>
        <row r="9">
          <cell r="R9" t="str">
            <v>Touche à nous pas droite</v>
          </cell>
        </row>
        <row r="10">
          <cell r="R10" t="str">
            <v>Touche à eux volée</v>
          </cell>
        </row>
        <row r="11">
          <cell r="R11" t="str">
            <v>Touche à eux perdue</v>
          </cell>
        </row>
        <row r="12">
          <cell r="R12" t="str">
            <v>Touche à eux pas droite</v>
          </cell>
        </row>
        <row r="13">
          <cell r="R13" t="str">
            <v>Pénalité contre adversaire</v>
          </cell>
        </row>
        <row r="14">
          <cell r="R14" t="str">
            <v>Pénalité contre nous</v>
          </cell>
        </row>
        <row r="15">
          <cell r="R15" t="str">
            <v>Essai</v>
          </cell>
        </row>
        <row r="16">
          <cell r="R16" t="str">
            <v>Essai de pénalité</v>
          </cell>
        </row>
        <row r="17">
          <cell r="R17" t="str">
            <v>Transformation</v>
          </cell>
        </row>
        <row r="18">
          <cell r="R18" t="str">
            <v>Pénalité</v>
          </cell>
        </row>
        <row r="19">
          <cell r="R19" t="str">
            <v>Drop</v>
          </cell>
        </row>
        <row r="31">
          <cell r="R31" t="str">
            <v>Maul</v>
          </cell>
        </row>
        <row r="32">
          <cell r="R32" t="str">
            <v>Ruck</v>
          </cell>
        </row>
        <row r="33">
          <cell r="R33" t="str">
            <v>Hors-jeu</v>
          </cell>
        </row>
        <row r="34">
          <cell r="R34" t="str">
            <v>Plaquage à 2</v>
          </cell>
        </row>
        <row r="35">
          <cell r="R35" t="str">
            <v>Plaquage haut</v>
          </cell>
        </row>
        <row r="36">
          <cell r="R36" t="str">
            <v>?</v>
          </cell>
        </row>
        <row r="38">
          <cell r="R38" t="str">
            <v>Mêlée à nous gagnée</v>
          </cell>
        </row>
        <row r="39">
          <cell r="R39" t="str">
            <v>Mêlée à nous perdue</v>
          </cell>
        </row>
        <row r="40">
          <cell r="R40" t="str">
            <v>Mêlée à eux volée</v>
          </cell>
        </row>
        <row r="41">
          <cell r="R41" t="str">
            <v>Mêlée à eux perdue</v>
          </cell>
        </row>
        <row r="42">
          <cell r="R42" t="str">
            <v>Franchissement</v>
          </cell>
        </row>
        <row r="53">
          <cell r="R53" t="str">
            <v>Recul ou sans progression</v>
          </cell>
        </row>
        <row r="54">
          <cell r="R54" t="str">
            <v>Avancée au contact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DDB07D-230D-C149-AB82-A0BCC52DF4F9}" name="DetailTouches" displayName="DetailTouches" ref="A2:J24" totalsRowShown="0">
  <autoFilter ref="A2:J24" xr:uid="{1BC259CC-2467-644D-900B-02D4F95FCC56}"/>
  <tableColumns count="10">
    <tableColumn id="1" xr3:uid="{04180044-D982-7E44-AC69-8C18398F4487}" name="Temps video" dataDxfId="4"/>
    <tableColumn id="2" xr3:uid="{0FABE9B9-2790-604E-A060-28DAF8841A69}" name="Mi-temps"/>
    <tableColumn id="3" xr3:uid="{4649AD66-0AAE-4447-833D-8091A668BDBA}" name="Lance pour"/>
    <tableColumn id="4" xr3:uid="{32C570CA-52FA-4945-905A-582DABC59EA9}" name="Issue"/>
    <tableColumn id="5" xr3:uid="{18312390-9777-374B-AF82-4756728684DD}" name="Sauteur"/>
    <tableColumn id="6" xr3:uid="{FC5FF6B1-AB09-BD4C-92D6-6BAABB820917}" name="Zone saut"/>
    <tableColumn id="7" xr3:uid="{43A5F915-4386-F04F-8046-39D57D2ED0B3}" name="Ballon"/>
    <tableColumn id="8" xr3:uid="{C38CCE63-4FCF-134C-A6ED-F2198F8AEF1D}" name="Zone terrain"/>
    <tableColumn id="9" xr3:uid="{E3A3A4EE-478C-8B4B-89AA-94AD495461D3}" name="Alignement"/>
    <tableColumn id="10" xr3:uid="{1937B423-2E1E-DC46-98F2-9AFBA8253EA1}" name="Observations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FE9DC2-C90F-AC4B-9F6F-5098C0E6DF3A}" name="DetailMelees" displayName="DetailMelees" ref="L2:U17" totalsRowShown="0">
  <autoFilter ref="L2:U17" xr:uid="{A1FE138B-7A57-FD4E-B0BC-4BF4203BE379}"/>
  <tableColumns count="10">
    <tableColumn id="1" xr3:uid="{DDD92521-C954-BE4D-8B11-23AA25AD7493}" name="Temps video" dataDxfId="3"/>
    <tableColumn id="2" xr3:uid="{389E2F87-7B13-CA44-BD12-9A195FD46C50}" name="Mi-temps"/>
    <tableColumn id="3" xr3:uid="{6C7EA26B-8FD6-C64D-B3C8-336B432DCB13}" name="Introduction pour"/>
    <tableColumn id="4" xr3:uid="{CD4C378B-1A64-6242-BD09-B7F088C49CD1}" name="Issue"/>
    <tableColumn id="5" xr3:uid="{211ED952-E078-2049-809D-BD56FD01E57A}" name="Zone longueur"/>
    <tableColumn id="6" xr3:uid="{F787CF95-719C-5A4F-BAAE-ED18514F9F91}" name="Zone largeur"/>
    <tableColumn id="7" xr3:uid="{2D8B9B1D-3554-C247-9D48-03974FF76643}" name="Jeu avant" dataDxfId="2"/>
    <tableColumn id="8" xr3:uid="{06EEFDA6-85E9-D146-AB55-4CAEB8938F62}" name="Jeu 3/4" dataDxfId="1"/>
    <tableColumn id="9" xr3:uid="{BAA0D152-49B5-E746-B708-EDDCBBF22C07}" name="Jeu pied" dataDxfId="0"/>
    <tableColumn id="10" xr3:uid="{8E5D91CC-48A1-5349-9DB2-7D3018227622}" name="Observations"/>
  </tableColumns>
  <tableStyleInfo name="TableStyleMedium3" showFirstColumn="0" showLastColumn="0" showRowStripes="0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D7957-B9E0-9140-8AA4-2FE8216FCFA6}">
  <sheetPr codeName="Feuil2"/>
  <dimension ref="A1:AF28"/>
  <sheetViews>
    <sheetView tabSelected="1" workbookViewId="0">
      <selection activeCell="AG5" sqref="AG5"/>
    </sheetView>
  </sheetViews>
  <sheetFormatPr baseColWidth="10" defaultRowHeight="13" x14ac:dyDescent="0.15"/>
  <cols>
    <col min="1" max="1" width="14.1640625" bestFit="1" customWidth="1"/>
    <col min="2" max="2" width="11" bestFit="1" customWidth="1"/>
    <col min="3" max="3" width="12.83203125" customWidth="1"/>
    <col min="4" max="4" width="10.5" bestFit="1" customWidth="1"/>
    <col min="5" max="5" width="14.83203125" bestFit="1" customWidth="1"/>
    <col min="6" max="6" width="11.6640625" bestFit="1" customWidth="1"/>
    <col min="7" max="7" width="8.83203125" bestFit="1" customWidth="1"/>
    <col min="8" max="8" width="13.5" bestFit="1" customWidth="1"/>
    <col min="9" max="9" width="12.83203125" customWidth="1"/>
    <col min="10" max="10" width="31" bestFit="1" customWidth="1"/>
    <col min="11" max="11" width="3.83203125" customWidth="1"/>
    <col min="12" max="12" width="14.1640625" bestFit="1" customWidth="1"/>
    <col min="13" max="20" width="12.83203125" customWidth="1"/>
    <col min="21" max="21" width="30.83203125" customWidth="1"/>
    <col min="22" max="22" width="0" hidden="1" customWidth="1"/>
    <col min="23" max="32" width="10.83203125" hidden="1" customWidth="1"/>
    <col min="33" max="33" width="18.83203125" customWidth="1"/>
  </cols>
  <sheetData>
    <row r="1" spans="1:32" ht="18" x14ac:dyDescent="0.2">
      <c r="A1" s="1" t="s">
        <v>0</v>
      </c>
      <c r="L1" s="1" t="s">
        <v>1</v>
      </c>
      <c r="W1" t="s">
        <v>2</v>
      </c>
      <c r="X1" t="s">
        <v>3</v>
      </c>
      <c r="Y1" t="s">
        <v>4</v>
      </c>
      <c r="Z1" t="s">
        <v>5</v>
      </c>
      <c r="AA1" t="s">
        <v>6</v>
      </c>
      <c r="AB1" t="s">
        <v>7</v>
      </c>
      <c r="AC1" t="s">
        <v>8</v>
      </c>
      <c r="AD1" t="s">
        <v>9</v>
      </c>
      <c r="AE1" t="s">
        <v>10</v>
      </c>
      <c r="AF1" t="s">
        <v>11</v>
      </c>
    </row>
    <row r="2" spans="1:32" x14ac:dyDescent="0.15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L2" t="s">
        <v>12</v>
      </c>
      <c r="M2" t="s">
        <v>13</v>
      </c>
      <c r="N2" t="s">
        <v>22</v>
      </c>
      <c r="O2" t="s">
        <v>15</v>
      </c>
      <c r="P2" t="s">
        <v>23</v>
      </c>
      <c r="Q2" t="s">
        <v>24</v>
      </c>
      <c r="R2" t="s">
        <v>25</v>
      </c>
      <c r="S2" t="s">
        <v>26</v>
      </c>
      <c r="T2" t="s">
        <v>27</v>
      </c>
      <c r="U2" t="s">
        <v>21</v>
      </c>
      <c r="W2" t="s">
        <v>28</v>
      </c>
      <c r="X2" t="s">
        <v>29</v>
      </c>
      <c r="Y2" t="s">
        <v>29</v>
      </c>
      <c r="Z2" t="s">
        <v>30</v>
      </c>
      <c r="AA2" t="s">
        <v>31</v>
      </c>
      <c r="AB2" t="s">
        <v>32</v>
      </c>
      <c r="AC2">
        <v>2</v>
      </c>
      <c r="AD2" t="s">
        <v>33</v>
      </c>
      <c r="AE2" t="s">
        <v>34</v>
      </c>
      <c r="AF2" t="s">
        <v>35</v>
      </c>
    </row>
    <row r="3" spans="1:32" x14ac:dyDescent="0.15">
      <c r="A3" s="2">
        <v>6.2463804166666666E-3</v>
      </c>
      <c r="B3" t="s">
        <v>36</v>
      </c>
      <c r="C3" t="s">
        <v>28</v>
      </c>
      <c r="D3" t="s">
        <v>37</v>
      </c>
      <c r="E3" t="s">
        <v>38</v>
      </c>
      <c r="F3" t="s">
        <v>39</v>
      </c>
      <c r="H3" t="s">
        <v>40</v>
      </c>
      <c r="I3" t="s">
        <v>41</v>
      </c>
      <c r="J3" t="s">
        <v>42</v>
      </c>
      <c r="L3" s="2">
        <v>1.5196666087962962E-3</v>
      </c>
      <c r="M3" t="s">
        <v>36</v>
      </c>
      <c r="N3" t="s">
        <v>28</v>
      </c>
      <c r="O3" t="s">
        <v>29</v>
      </c>
      <c r="P3" t="s">
        <v>43</v>
      </c>
      <c r="Q3" t="s">
        <v>44</v>
      </c>
      <c r="R3" s="3" t="s">
        <v>45</v>
      </c>
      <c r="S3" s="3"/>
      <c r="T3" s="3"/>
      <c r="W3" t="s">
        <v>46</v>
      </c>
      <c r="X3" t="s">
        <v>37</v>
      </c>
      <c r="Y3" t="s">
        <v>37</v>
      </c>
      <c r="Z3" t="s">
        <v>47</v>
      </c>
      <c r="AA3" t="s">
        <v>48</v>
      </c>
      <c r="AB3" t="s">
        <v>49</v>
      </c>
      <c r="AC3">
        <v>3</v>
      </c>
      <c r="AD3" t="s">
        <v>44</v>
      </c>
      <c r="AE3" s="4" t="s">
        <v>50</v>
      </c>
      <c r="AF3" t="s">
        <v>51</v>
      </c>
    </row>
    <row r="4" spans="1:32" x14ac:dyDescent="0.15">
      <c r="A4" s="2">
        <v>7.570339155092593E-3</v>
      </c>
      <c r="B4" t="s">
        <v>36</v>
      </c>
      <c r="C4" t="s">
        <v>46</v>
      </c>
      <c r="D4" t="s">
        <v>29</v>
      </c>
      <c r="E4" t="s">
        <v>52</v>
      </c>
      <c r="F4" t="s">
        <v>47</v>
      </c>
      <c r="G4" t="s">
        <v>31</v>
      </c>
      <c r="H4" t="s">
        <v>40</v>
      </c>
      <c r="I4" t="s">
        <v>41</v>
      </c>
      <c r="L4" s="2">
        <v>3.5945389351851854E-3</v>
      </c>
      <c r="M4" t="s">
        <v>36</v>
      </c>
      <c r="N4" t="s">
        <v>28</v>
      </c>
      <c r="O4" t="s">
        <v>29</v>
      </c>
      <c r="P4" t="s">
        <v>53</v>
      </c>
      <c r="Q4" t="s">
        <v>54</v>
      </c>
      <c r="R4" s="3"/>
      <c r="S4" s="3" t="s">
        <v>45</v>
      </c>
      <c r="T4" s="3"/>
      <c r="U4" t="s">
        <v>55</v>
      </c>
      <c r="X4" t="s">
        <v>56</v>
      </c>
      <c r="Z4" t="s">
        <v>57</v>
      </c>
      <c r="AB4" t="s">
        <v>58</v>
      </c>
      <c r="AC4">
        <v>4</v>
      </c>
      <c r="AD4" t="s">
        <v>54</v>
      </c>
      <c r="AE4" t="s">
        <v>59</v>
      </c>
    </row>
    <row r="5" spans="1:32" x14ac:dyDescent="0.15">
      <c r="A5" s="2">
        <v>8.774028159722223E-3</v>
      </c>
      <c r="B5" t="s">
        <v>36</v>
      </c>
      <c r="C5" t="s">
        <v>46</v>
      </c>
      <c r="D5" t="s">
        <v>56</v>
      </c>
      <c r="F5" t="s">
        <v>39</v>
      </c>
      <c r="H5" t="s">
        <v>60</v>
      </c>
      <c r="I5">
        <v>6</v>
      </c>
      <c r="L5" s="2">
        <v>9.1330586689814808E-3</v>
      </c>
      <c r="M5" t="s">
        <v>36</v>
      </c>
      <c r="N5" t="s">
        <v>28</v>
      </c>
      <c r="O5" t="s">
        <v>29</v>
      </c>
      <c r="P5" t="s">
        <v>43</v>
      </c>
      <c r="Q5" t="s">
        <v>54</v>
      </c>
      <c r="R5" s="3"/>
      <c r="S5" s="3" t="s">
        <v>45</v>
      </c>
      <c r="T5" s="3"/>
      <c r="Z5" t="s">
        <v>39</v>
      </c>
      <c r="AB5" t="s">
        <v>53</v>
      </c>
      <c r="AC5">
        <v>5</v>
      </c>
    </row>
    <row r="6" spans="1:32" x14ac:dyDescent="0.15">
      <c r="A6" s="2">
        <v>1.2905092592592593E-2</v>
      </c>
      <c r="B6" t="s">
        <v>36</v>
      </c>
      <c r="C6" t="s">
        <v>28</v>
      </c>
      <c r="D6" t="s">
        <v>37</v>
      </c>
      <c r="E6" t="s">
        <v>38</v>
      </c>
      <c r="F6" t="s">
        <v>57</v>
      </c>
      <c r="H6" t="s">
        <v>61</v>
      </c>
      <c r="I6" t="s">
        <v>41</v>
      </c>
      <c r="J6" t="s">
        <v>42</v>
      </c>
      <c r="L6" s="2">
        <v>1.9498069814814813E-2</v>
      </c>
      <c r="M6" t="s">
        <v>36</v>
      </c>
      <c r="N6" t="s">
        <v>46</v>
      </c>
      <c r="O6" t="s">
        <v>37</v>
      </c>
      <c r="P6" t="s">
        <v>62</v>
      </c>
      <c r="Q6" t="s">
        <v>33</v>
      </c>
      <c r="R6" s="3"/>
      <c r="S6" s="3" t="s">
        <v>45</v>
      </c>
      <c r="T6" s="3"/>
      <c r="Z6" t="s">
        <v>63</v>
      </c>
      <c r="AB6" t="s">
        <v>62</v>
      </c>
      <c r="AC6">
        <v>6</v>
      </c>
    </row>
    <row r="7" spans="1:32" x14ac:dyDescent="0.15">
      <c r="A7" s="2">
        <v>1.3936346412037037E-2</v>
      </c>
      <c r="B7" t="s">
        <v>36</v>
      </c>
      <c r="C7" t="s">
        <v>46</v>
      </c>
      <c r="D7" t="s">
        <v>29</v>
      </c>
      <c r="E7" t="s">
        <v>52</v>
      </c>
      <c r="F7" t="s">
        <v>47</v>
      </c>
      <c r="H7" t="s">
        <v>58</v>
      </c>
      <c r="I7">
        <v>6</v>
      </c>
      <c r="L7" s="2">
        <v>2.2532352314814815E-2</v>
      </c>
      <c r="M7" t="s">
        <v>36</v>
      </c>
      <c r="N7" t="s">
        <v>28</v>
      </c>
      <c r="O7" t="s">
        <v>29</v>
      </c>
      <c r="P7" t="s">
        <v>60</v>
      </c>
      <c r="Q7" t="s">
        <v>44</v>
      </c>
      <c r="R7" s="3"/>
      <c r="S7" s="3" t="s">
        <v>45</v>
      </c>
      <c r="T7" s="3"/>
      <c r="AB7" t="s">
        <v>43</v>
      </c>
      <c r="AC7" t="s">
        <v>41</v>
      </c>
    </row>
    <row r="8" spans="1:32" x14ac:dyDescent="0.15">
      <c r="A8" s="2">
        <v>1.4201970405092591E-2</v>
      </c>
      <c r="B8" t="s">
        <v>36</v>
      </c>
      <c r="C8" t="s">
        <v>46</v>
      </c>
      <c r="D8" t="s">
        <v>37</v>
      </c>
      <c r="F8" t="s">
        <v>39</v>
      </c>
      <c r="H8" t="s">
        <v>49</v>
      </c>
      <c r="I8">
        <v>6</v>
      </c>
      <c r="L8" s="2">
        <v>2.3040061608796295E-2</v>
      </c>
      <c r="M8" t="s">
        <v>36</v>
      </c>
      <c r="N8" t="s">
        <v>46</v>
      </c>
      <c r="O8" t="s">
        <v>37</v>
      </c>
      <c r="P8" t="s">
        <v>60</v>
      </c>
      <c r="Q8" t="s">
        <v>33</v>
      </c>
      <c r="R8" s="3"/>
      <c r="S8" s="3"/>
      <c r="T8" s="3" t="s">
        <v>45</v>
      </c>
      <c r="AB8" t="s">
        <v>60</v>
      </c>
    </row>
    <row r="9" spans="1:32" x14ac:dyDescent="0.15">
      <c r="A9" s="2">
        <v>1.6917279039351852E-2</v>
      </c>
      <c r="B9" t="s">
        <v>36</v>
      </c>
      <c r="C9" t="s">
        <v>46</v>
      </c>
      <c r="D9" t="s">
        <v>29</v>
      </c>
      <c r="E9" t="s">
        <v>38</v>
      </c>
      <c r="F9" t="s">
        <v>39</v>
      </c>
      <c r="H9" t="s">
        <v>60</v>
      </c>
      <c r="I9">
        <v>5</v>
      </c>
      <c r="L9" s="2">
        <v>2.3721624803240738E-2</v>
      </c>
      <c r="M9" t="s">
        <v>36</v>
      </c>
      <c r="N9" t="s">
        <v>46</v>
      </c>
      <c r="O9" t="s">
        <v>37</v>
      </c>
      <c r="P9" t="s">
        <v>40</v>
      </c>
      <c r="Q9" t="s">
        <v>54</v>
      </c>
      <c r="R9" s="3"/>
      <c r="S9" s="3"/>
      <c r="T9" s="3" t="s">
        <v>45</v>
      </c>
      <c r="AB9" t="s">
        <v>40</v>
      </c>
    </row>
    <row r="10" spans="1:32" x14ac:dyDescent="0.15">
      <c r="A10" s="2">
        <v>1.7881212893518517E-2</v>
      </c>
      <c r="B10" t="s">
        <v>36</v>
      </c>
      <c r="C10" t="s">
        <v>46</v>
      </c>
      <c r="D10" t="s">
        <v>37</v>
      </c>
      <c r="F10" t="s">
        <v>47</v>
      </c>
      <c r="H10" t="s">
        <v>60</v>
      </c>
      <c r="I10">
        <v>4</v>
      </c>
      <c r="L10" s="2">
        <v>2.5400932534722222E-2</v>
      </c>
      <c r="M10" t="s">
        <v>36</v>
      </c>
      <c r="N10" t="s">
        <v>28</v>
      </c>
      <c r="O10" t="s">
        <v>29</v>
      </c>
      <c r="P10" t="s">
        <v>49</v>
      </c>
      <c r="Q10" t="s">
        <v>44</v>
      </c>
      <c r="R10" s="3"/>
      <c r="S10" s="3"/>
      <c r="T10" s="3" t="s">
        <v>45</v>
      </c>
      <c r="AB10" t="s">
        <v>64</v>
      </c>
    </row>
    <row r="11" spans="1:32" x14ac:dyDescent="0.15">
      <c r="A11" s="2">
        <v>1.8519158668981482E-2</v>
      </c>
      <c r="B11" t="s">
        <v>36</v>
      </c>
      <c r="C11" t="s">
        <v>46</v>
      </c>
      <c r="D11" t="s">
        <v>29</v>
      </c>
      <c r="F11" t="s">
        <v>47</v>
      </c>
      <c r="H11" t="s">
        <v>32</v>
      </c>
      <c r="I11">
        <v>5</v>
      </c>
      <c r="L11" s="2">
        <v>3.3542458194444444E-2</v>
      </c>
      <c r="M11" t="s">
        <v>65</v>
      </c>
      <c r="N11" t="s">
        <v>28</v>
      </c>
      <c r="O11" t="s">
        <v>29</v>
      </c>
      <c r="P11" t="s">
        <v>40</v>
      </c>
      <c r="Q11" t="s">
        <v>33</v>
      </c>
      <c r="R11" s="3" t="s">
        <v>45</v>
      </c>
      <c r="S11" s="3"/>
      <c r="T11" s="3"/>
      <c r="U11" t="s">
        <v>66</v>
      </c>
      <c r="AB11" t="s">
        <v>61</v>
      </c>
    </row>
    <row r="12" spans="1:32" x14ac:dyDescent="0.15">
      <c r="A12" s="2">
        <v>1.9040562418981482E-2</v>
      </c>
      <c r="B12" t="s">
        <v>36</v>
      </c>
      <c r="C12" t="s">
        <v>46</v>
      </c>
      <c r="D12" t="s">
        <v>29</v>
      </c>
      <c r="F12" t="s">
        <v>39</v>
      </c>
      <c r="H12" t="s">
        <v>62</v>
      </c>
      <c r="I12">
        <v>4</v>
      </c>
      <c r="J12" t="s">
        <v>67</v>
      </c>
      <c r="L12" s="2">
        <v>3.5299767303240741E-2</v>
      </c>
      <c r="M12" t="s">
        <v>65</v>
      </c>
      <c r="N12" t="s">
        <v>46</v>
      </c>
      <c r="O12" t="s">
        <v>37</v>
      </c>
      <c r="P12" t="s">
        <v>49</v>
      </c>
      <c r="Q12" t="s">
        <v>33</v>
      </c>
      <c r="R12" s="3"/>
      <c r="S12" s="3" t="s">
        <v>45</v>
      </c>
      <c r="T12" s="3"/>
      <c r="AB12" t="s">
        <v>68</v>
      </c>
    </row>
    <row r="13" spans="1:32" x14ac:dyDescent="0.15">
      <c r="A13" s="2">
        <v>2.1946519351851854E-2</v>
      </c>
      <c r="B13" t="s">
        <v>36</v>
      </c>
      <c r="C13" t="s">
        <v>46</v>
      </c>
      <c r="D13" t="s">
        <v>37</v>
      </c>
      <c r="F13" t="s">
        <v>39</v>
      </c>
      <c r="G13" t="s">
        <v>48</v>
      </c>
      <c r="H13" t="s">
        <v>43</v>
      </c>
      <c r="I13">
        <v>5</v>
      </c>
      <c r="L13" s="2">
        <v>3.5947130347222224E-2</v>
      </c>
      <c r="M13" t="s">
        <v>65</v>
      </c>
      <c r="N13" t="s">
        <v>28</v>
      </c>
      <c r="O13" t="s">
        <v>29</v>
      </c>
      <c r="P13" t="s">
        <v>58</v>
      </c>
      <c r="Q13" t="s">
        <v>54</v>
      </c>
      <c r="R13" s="3"/>
      <c r="S13" s="3"/>
      <c r="T13" s="3" t="s">
        <v>45</v>
      </c>
    </row>
    <row r="14" spans="1:32" x14ac:dyDescent="0.15">
      <c r="A14" s="2">
        <v>2.4705869247685183E-2</v>
      </c>
      <c r="B14" t="s">
        <v>36</v>
      </c>
      <c r="C14" t="s">
        <v>46</v>
      </c>
      <c r="D14" t="s">
        <v>37</v>
      </c>
      <c r="F14" t="s">
        <v>63</v>
      </c>
      <c r="G14" t="s">
        <v>31</v>
      </c>
      <c r="H14" t="s">
        <v>49</v>
      </c>
      <c r="I14">
        <v>6</v>
      </c>
      <c r="L14" s="2">
        <v>4.3425288506944444E-2</v>
      </c>
      <c r="M14" t="s">
        <v>65</v>
      </c>
      <c r="N14" t="s">
        <v>46</v>
      </c>
      <c r="O14" t="s">
        <v>37</v>
      </c>
      <c r="P14" t="s">
        <v>40</v>
      </c>
      <c r="Q14" t="s">
        <v>54</v>
      </c>
      <c r="R14" s="3" t="s">
        <v>45</v>
      </c>
      <c r="S14" s="3"/>
      <c r="T14" s="3"/>
    </row>
    <row r="15" spans="1:32" x14ac:dyDescent="0.15">
      <c r="A15" s="2">
        <v>2.8567820729166669E-2</v>
      </c>
      <c r="B15" t="s">
        <v>36</v>
      </c>
      <c r="C15" t="s">
        <v>28</v>
      </c>
      <c r="D15" t="s">
        <v>37</v>
      </c>
      <c r="E15" t="s">
        <v>38</v>
      </c>
      <c r="F15" t="s">
        <v>47</v>
      </c>
      <c r="H15" t="s">
        <v>40</v>
      </c>
      <c r="I15">
        <v>6</v>
      </c>
      <c r="L15" s="2">
        <v>4.6624869594907407E-2</v>
      </c>
      <c r="M15" t="s">
        <v>65</v>
      </c>
      <c r="N15" t="s">
        <v>46</v>
      </c>
      <c r="O15" t="s">
        <v>37</v>
      </c>
      <c r="P15" t="s">
        <v>60</v>
      </c>
      <c r="Q15" t="s">
        <v>44</v>
      </c>
      <c r="R15" s="3"/>
      <c r="S15" s="3"/>
      <c r="T15" s="3" t="s">
        <v>45</v>
      </c>
    </row>
    <row r="16" spans="1:32" x14ac:dyDescent="0.15">
      <c r="A16" s="2">
        <v>2.9694549490740744E-2</v>
      </c>
      <c r="B16" t="s">
        <v>36</v>
      </c>
      <c r="C16" t="s">
        <v>46</v>
      </c>
      <c r="D16" t="s">
        <v>29</v>
      </c>
      <c r="H16" t="s">
        <v>49</v>
      </c>
      <c r="I16">
        <v>6</v>
      </c>
      <c r="J16" t="s">
        <v>69</v>
      </c>
      <c r="L16" s="2">
        <v>5.4334596921296295E-2</v>
      </c>
      <c r="M16" t="s">
        <v>65</v>
      </c>
      <c r="N16" t="s">
        <v>28</v>
      </c>
      <c r="O16" t="s">
        <v>29</v>
      </c>
      <c r="P16" t="s">
        <v>40</v>
      </c>
      <c r="Q16" t="s">
        <v>54</v>
      </c>
      <c r="R16" s="3"/>
      <c r="S16" s="3" t="s">
        <v>45</v>
      </c>
      <c r="T16" s="3"/>
    </row>
    <row r="17" spans="1:20" x14ac:dyDescent="0.15">
      <c r="A17" s="2">
        <v>4.0407245069444445E-2</v>
      </c>
      <c r="B17" t="s">
        <v>65</v>
      </c>
      <c r="C17" t="s">
        <v>28</v>
      </c>
      <c r="D17" t="s">
        <v>29</v>
      </c>
      <c r="E17" t="s">
        <v>52</v>
      </c>
      <c r="F17" t="s">
        <v>39</v>
      </c>
      <c r="G17" t="s">
        <v>48</v>
      </c>
      <c r="H17" t="s">
        <v>60</v>
      </c>
      <c r="I17">
        <v>5</v>
      </c>
      <c r="J17" t="s">
        <v>70</v>
      </c>
      <c r="L17" s="2">
        <v>5.7693504467592596E-2</v>
      </c>
      <c r="M17" t="s">
        <v>65</v>
      </c>
      <c r="N17" t="s">
        <v>28</v>
      </c>
      <c r="O17" t="s">
        <v>29</v>
      </c>
      <c r="P17" t="s">
        <v>43</v>
      </c>
      <c r="Q17" t="s">
        <v>33</v>
      </c>
      <c r="R17" s="3" t="s">
        <v>45</v>
      </c>
      <c r="S17" s="3"/>
      <c r="T17" s="3"/>
    </row>
    <row r="18" spans="1:20" x14ac:dyDescent="0.15">
      <c r="A18" s="2">
        <v>4.6125193645833333E-2</v>
      </c>
      <c r="B18" t="s">
        <v>65</v>
      </c>
      <c r="C18" t="s">
        <v>28</v>
      </c>
      <c r="D18" t="s">
        <v>29</v>
      </c>
      <c r="E18" t="s">
        <v>52</v>
      </c>
      <c r="F18" t="s">
        <v>39</v>
      </c>
      <c r="G18" t="s">
        <v>48</v>
      </c>
      <c r="H18" t="s">
        <v>40</v>
      </c>
      <c r="I18">
        <v>5</v>
      </c>
    </row>
    <row r="19" spans="1:20" x14ac:dyDescent="0.15">
      <c r="A19" s="2">
        <v>4.6997797349537039E-2</v>
      </c>
      <c r="B19" t="s">
        <v>65</v>
      </c>
      <c r="C19" t="s">
        <v>46</v>
      </c>
      <c r="D19" t="s">
        <v>37</v>
      </c>
      <c r="F19" t="s">
        <v>39</v>
      </c>
      <c r="G19" t="s">
        <v>31</v>
      </c>
      <c r="H19" t="s">
        <v>53</v>
      </c>
      <c r="I19">
        <v>5</v>
      </c>
      <c r="J19" t="s">
        <v>71</v>
      </c>
      <c r="L19" s="5" t="s">
        <v>72</v>
      </c>
      <c r="M19" s="6" t="s">
        <v>73</v>
      </c>
      <c r="N19" s="6" t="s">
        <v>74</v>
      </c>
    </row>
    <row r="20" spans="1:20" x14ac:dyDescent="0.15">
      <c r="A20" s="2">
        <v>4.8755836944444443E-2</v>
      </c>
      <c r="B20" t="s">
        <v>65</v>
      </c>
      <c r="C20" t="s">
        <v>46</v>
      </c>
      <c r="D20" t="s">
        <v>37</v>
      </c>
      <c r="F20" t="s">
        <v>39</v>
      </c>
      <c r="G20" t="s">
        <v>31</v>
      </c>
      <c r="H20" t="s">
        <v>49</v>
      </c>
      <c r="I20">
        <v>6</v>
      </c>
      <c r="L20" s="7" t="s">
        <v>75</v>
      </c>
      <c r="M20" s="8">
        <f>COUNTIFS(DetailMelees[Introduction pour],"N",DetailMelees[Issue],"G")</f>
        <v>9</v>
      </c>
      <c r="N20" s="8">
        <f>COUNTIFS(DetailMelees[Introduction pour],"N",DetailMelees[Issue],"P")</f>
        <v>0</v>
      </c>
    </row>
    <row r="21" spans="1:20" x14ac:dyDescent="0.15">
      <c r="A21" s="2">
        <v>5.1981994560185193E-2</v>
      </c>
      <c r="B21" t="s">
        <v>65</v>
      </c>
      <c r="C21" t="s">
        <v>28</v>
      </c>
      <c r="D21" t="s">
        <v>37</v>
      </c>
      <c r="E21" t="s">
        <v>52</v>
      </c>
      <c r="F21" t="s">
        <v>30</v>
      </c>
      <c r="H21" t="s">
        <v>61</v>
      </c>
      <c r="I21">
        <v>5</v>
      </c>
      <c r="L21" s="9" t="s">
        <v>76</v>
      </c>
      <c r="M21" s="10">
        <f>COUNTIFS(DetailMelees[Introduction pour],"E",DetailMelees[Issue],"P")</f>
        <v>6</v>
      </c>
      <c r="N21" s="10">
        <f>COUNTIFS(DetailMelees[Introduction pour],"E",DetailMelees[Issue],"G")</f>
        <v>0</v>
      </c>
    </row>
    <row r="22" spans="1:20" x14ac:dyDescent="0.15">
      <c r="A22" s="2">
        <v>5.5310557418981485E-2</v>
      </c>
      <c r="B22" t="s">
        <v>65</v>
      </c>
      <c r="C22" t="s">
        <v>28</v>
      </c>
      <c r="D22" t="s">
        <v>29</v>
      </c>
      <c r="E22" t="s">
        <v>52</v>
      </c>
      <c r="F22" t="s">
        <v>47</v>
      </c>
      <c r="G22" t="s">
        <v>31</v>
      </c>
      <c r="H22" t="s">
        <v>61</v>
      </c>
      <c r="I22">
        <v>5</v>
      </c>
    </row>
    <row r="23" spans="1:20" x14ac:dyDescent="0.15">
      <c r="A23" s="2">
        <v>5.7266875451388886E-2</v>
      </c>
      <c r="B23" t="s">
        <v>65</v>
      </c>
      <c r="C23" t="s">
        <v>46</v>
      </c>
      <c r="D23" t="s">
        <v>56</v>
      </c>
      <c r="F23" t="s">
        <v>39</v>
      </c>
      <c r="H23" t="s">
        <v>43</v>
      </c>
      <c r="I23">
        <v>6</v>
      </c>
      <c r="L23" s="11" t="s">
        <v>77</v>
      </c>
      <c r="M23" s="11"/>
    </row>
    <row r="24" spans="1:20" x14ac:dyDescent="0.15">
      <c r="A24" s="2">
        <v>6.0771433668981488E-2</v>
      </c>
      <c r="B24" t="s">
        <v>65</v>
      </c>
      <c r="C24" t="s">
        <v>46</v>
      </c>
      <c r="D24" t="s">
        <v>37</v>
      </c>
      <c r="F24" t="s">
        <v>39</v>
      </c>
      <c r="G24" t="s">
        <v>31</v>
      </c>
      <c r="H24" t="s">
        <v>49</v>
      </c>
      <c r="I24">
        <v>6</v>
      </c>
      <c r="L24" s="11"/>
      <c r="M24" s="11"/>
    </row>
    <row r="26" spans="1:20" x14ac:dyDescent="0.15">
      <c r="A26" s="12" t="s">
        <v>78</v>
      </c>
      <c r="B26" s="13" t="s">
        <v>73</v>
      </c>
      <c r="C26" s="13" t="s">
        <v>74</v>
      </c>
      <c r="D26" s="13" t="s">
        <v>79</v>
      </c>
    </row>
    <row r="27" spans="1:20" x14ac:dyDescent="0.15">
      <c r="A27" s="14" t="s">
        <v>75</v>
      </c>
      <c r="B27" s="15">
        <f>COUNTIFS(DetailTouches[Lance pour],"N",DetailTouches[Issue],"G")</f>
        <v>3</v>
      </c>
      <c r="C27" s="15">
        <f>COUNTIFS(DetailTouches[Lance pour],"N",DetailTouches[Issue],"P")</f>
        <v>4</v>
      </c>
      <c r="D27" s="15">
        <f>COUNTIFS(DetailTouches[Lance pour],"N",DetailTouches[Issue],"ND")</f>
        <v>0</v>
      </c>
    </row>
    <row r="28" spans="1:20" x14ac:dyDescent="0.15">
      <c r="A28" s="9" t="s">
        <v>76</v>
      </c>
      <c r="B28" s="10">
        <f>COUNTIFS(DetailTouches[Lance pour],"E",DetailTouches[Issue],"P")</f>
        <v>7</v>
      </c>
      <c r="C28" s="10">
        <f>COUNTIFS(DetailTouches[Lance pour],"E",DetailTouches[Issue],"G")</f>
        <v>6</v>
      </c>
      <c r="D28" s="10">
        <f>COUNTIFS(DetailTouches[Lance pour],"E",DetailTouches[Issue],"ND")</f>
        <v>2</v>
      </c>
    </row>
  </sheetData>
  <mergeCells count="1">
    <mergeCell ref="L23:M24"/>
  </mergeCells>
  <conditionalFormatting sqref="D3:D24">
    <cfRule type="expression" dxfId="14" priority="1" stopIfTrue="1">
      <formula>($C3&amp;$D3)="NP"</formula>
    </cfRule>
    <cfRule type="expression" dxfId="13" priority="2" stopIfTrue="1">
      <formula>($C3&amp;$D3)="EG"</formula>
    </cfRule>
  </conditionalFormatting>
  <conditionalFormatting sqref="G3:G24">
    <cfRule type="expression" dxfId="12" priority="3" stopIfTrue="1">
      <formula>$G3="F"</formula>
    </cfRule>
    <cfRule type="expression" dxfId="11" priority="4" stopIfTrue="1">
      <formula>$G3="C"</formula>
    </cfRule>
  </conditionalFormatting>
  <conditionalFormatting sqref="A3:J24">
    <cfRule type="expression" dxfId="10" priority="5" stopIfTrue="1">
      <formula>$C3="N"</formula>
    </cfRule>
    <cfRule type="expression" dxfId="9" priority="6" stopIfTrue="1">
      <formula>$C3&lt;&gt;""</formula>
    </cfRule>
  </conditionalFormatting>
  <conditionalFormatting sqref="O3:O17">
    <cfRule type="expression" dxfId="8" priority="7" stopIfTrue="1">
      <formula>($N3&amp;$O3)="NP"</formula>
    </cfRule>
    <cfRule type="expression" dxfId="7" priority="8" stopIfTrue="1">
      <formula>($N3&amp;$O3)="EG"</formula>
    </cfRule>
  </conditionalFormatting>
  <conditionalFormatting sqref="L3:U17">
    <cfRule type="expression" dxfId="6" priority="9" stopIfTrue="1">
      <formula>$N3="N"</formula>
    </cfRule>
    <cfRule type="expression" dxfId="5" priority="10" stopIfTrue="1">
      <formula>$N3&lt;&gt;""</formula>
    </cfRule>
  </conditionalFormatting>
  <dataValidations count="8">
    <dataValidation type="list" allowBlank="1" showInputMessage="1" showErrorMessage="1" sqref="I3:I24" xr:uid="{6483C650-415C-D046-86CB-D3B9EC49CF3B}">
      <formula1>$AC$2:$AC$7</formula1>
    </dataValidation>
    <dataValidation type="list" allowBlank="1" showInputMessage="1" showErrorMessage="1" sqref="G3:G24" xr:uid="{7D2403EE-D367-CE4D-B02B-DB1BB5CF6D37}">
      <formula1>$AA$2:$AA$3</formula1>
    </dataValidation>
    <dataValidation type="list" allowBlank="1" showInputMessage="1" showErrorMessage="1" sqref="F3:F24" xr:uid="{5716CB7B-1810-7348-985C-884ADB210E2C}">
      <formula1>$Z$2:$Z$6</formula1>
    </dataValidation>
    <dataValidation type="list" allowBlank="1" showInputMessage="1" showErrorMessage="1" sqref="D3:D24" xr:uid="{B6A68AF7-3DEC-654A-B0BB-095510D8B9C1}">
      <formula1>$X$2:$X$4</formula1>
    </dataValidation>
    <dataValidation type="list" allowBlank="1" showInputMessage="1" showErrorMessage="1" sqref="Q3:Q17" xr:uid="{5B21E57E-854A-7D4C-9780-716B4188E398}">
      <formula1>$AD$2:$AD$4</formula1>
    </dataValidation>
    <dataValidation type="list" allowBlank="1" showInputMessage="1" showErrorMessage="1" sqref="O3:O17" xr:uid="{CD28DB55-E9F9-ED42-B80D-1EDAD8BE702A}">
      <formula1>$Y$2:$Y$3</formula1>
    </dataValidation>
    <dataValidation type="list" allowBlank="1" showInputMessage="1" showErrorMessage="1" sqref="P3:P17 H3:H24" xr:uid="{190B7C42-BF51-E143-BCF0-6C2BFE082177}">
      <formula1>$AB$2:$AB$12</formula1>
    </dataValidation>
    <dataValidation type="list" allowBlank="1" showInputMessage="1" showErrorMessage="1" sqref="N3:N17 C3:C24" xr:uid="{996A925F-D931-7E4E-8670-C72C4CC321DE}">
      <formula1>$W$2:$W$3</formula1>
    </dataValidation>
  </dataValidations>
  <pageMargins left="0.7" right="0.7" top="0.75" bottom="0.75" header="0.3" footer="0.3"/>
  <pageSetup paperSize="9" orientation="portrait" horizontalDpi="0" verticalDpi="0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13</vt:i4>
      </vt:variant>
    </vt:vector>
  </HeadingPairs>
  <TitlesOfParts>
    <vt:vector size="14" baseType="lpstr">
      <vt:lpstr>Touches Melees</vt:lpstr>
      <vt:lpstr>LST_TM_ALIGNEMENT</vt:lpstr>
      <vt:lpstr>LST_TM_BALLON</vt:lpstr>
      <vt:lpstr>LST_TM_BALLON_LONG</vt:lpstr>
      <vt:lpstr>LST_TM_ISSUE_MELEE</vt:lpstr>
      <vt:lpstr>LST_TM_ISSUE_TOUCHE</vt:lpstr>
      <vt:lpstr>LST_TM_LANCE_POUR</vt:lpstr>
      <vt:lpstr>LST_TM_UTILISATION</vt:lpstr>
      <vt:lpstr>LST_TM_ZONE_LARGEUR</vt:lpstr>
      <vt:lpstr>LST_TM_ZONE_LONGUEUR</vt:lpstr>
      <vt:lpstr>LST_TM_ZONE_SAUT</vt:lpstr>
      <vt:lpstr>TM_BTN_EXPORT</vt:lpstr>
      <vt:lpstr>TM_RECAP_MELEES</vt:lpstr>
      <vt:lpstr>TM_RECAP_TOUCHES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bastien dal lago</dc:creator>
  <cp:lastModifiedBy>bastien dal lago</cp:lastModifiedBy>
  <dcterms:created xsi:type="dcterms:W3CDTF">2026-09-29T16:50:26Z</dcterms:created>
  <dcterms:modified xsi:type="dcterms:W3CDTF">2026-09-29T16:51:13Z</dcterms:modified>
</cp:coreProperties>
</file>