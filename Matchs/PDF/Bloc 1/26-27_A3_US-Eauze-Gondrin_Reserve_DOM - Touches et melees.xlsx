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astiendallago/Library/Mobile Documents/com~apple~CloudDocs/Documents/DD/1- PERSO/12- AUTRES/1- RUGBY/2026-2027 MXV/STAT_VEO/Matchs/PDF/"/>
    </mc:Choice>
  </mc:AlternateContent>
  <xr:revisionPtr revIDLastSave="0" documentId="8_{96BE705C-F4DD-A042-8498-0A9E36699417}" xr6:coauthVersionLast="47" xr6:coauthVersionMax="47" xr10:uidLastSave="{00000000-0000-0000-0000-000000000000}"/>
  <bookViews>
    <workbookView xWindow="4060" yWindow="3260" windowWidth="27240" windowHeight="16180" xr2:uid="{3601959D-9BFB-5F48-987F-9736340CE1B0}"/>
  </bookViews>
  <sheets>
    <sheet name="Touches Melee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63" i="1" l="1"/>
  <c r="B63" i="1"/>
  <c r="C62" i="1"/>
  <c r="B62" i="1"/>
  <c r="D40" i="1"/>
  <c r="D39" i="1"/>
  <c r="C40" i="1"/>
  <c r="B40" i="1"/>
  <c r="C39" i="1"/>
  <c r="B39" i="1"/>
</calcChain>
</file>

<file path=xl/sharedStrings.xml><?xml version="1.0" encoding="utf-8"?>
<sst xmlns="http://schemas.openxmlformats.org/spreadsheetml/2006/main" count="422" uniqueCount="101">
  <si>
    <t>TOUCHES</t>
  </si>
  <si>
    <t>LST_TM_LANCE_POUR</t>
  </si>
  <si>
    <t>LST_TM_ISSUE_TOUCHE</t>
  </si>
  <si>
    <t>LST_TM_ISSUE_MELEE</t>
  </si>
  <si>
    <t>LST_TM_ZONE_SAUT</t>
  </si>
  <si>
    <t>LST_TM_BALLON</t>
  </si>
  <si>
    <t>LST_TM_ZONE_LONGUEUR</t>
  </si>
  <si>
    <t>LST_TM_ALIGNEMENT</t>
  </si>
  <si>
    <t>LST_TM_ZONE_LARGEUR</t>
  </si>
  <si>
    <t>LST_TM_UTILISATION</t>
  </si>
  <si>
    <t>LST_TM_BALLON_LONG</t>
  </si>
  <si>
    <t>Temps video</t>
  </si>
  <si>
    <t>Mi-temps</t>
  </si>
  <si>
    <t>Lance pour</t>
  </si>
  <si>
    <t>Issue</t>
  </si>
  <si>
    <t>Sauteur</t>
  </si>
  <si>
    <t>Zone saut</t>
  </si>
  <si>
    <t>Ballon</t>
  </si>
  <si>
    <t>Zone terrain</t>
  </si>
  <si>
    <t>Alignement</t>
  </si>
  <si>
    <t>Observations</t>
  </si>
  <si>
    <t>N</t>
  </si>
  <si>
    <t>G</t>
  </si>
  <si>
    <t>Z0</t>
  </si>
  <si>
    <t>C</t>
  </si>
  <si>
    <t>N en-but</t>
  </si>
  <si>
    <t>Gauche</t>
  </si>
  <si>
    <t>Avants</t>
  </si>
  <si>
    <t>Chaud</t>
  </si>
  <si>
    <t>MT1</t>
  </si>
  <si>
    <t>E</t>
  </si>
  <si>
    <t>P</t>
  </si>
  <si>
    <t>Z2</t>
  </si>
  <si>
    <t>N 30m</t>
  </si>
  <si>
    <t>Complet</t>
  </si>
  <si>
    <t>Z1</t>
  </si>
  <si>
    <t>F</t>
  </si>
  <si>
    <t>N 15m</t>
  </si>
  <si>
    <t>Milieu</t>
  </si>
  <si>
    <t>Trois-quart</t>
  </si>
  <si>
    <t>Froid</t>
  </si>
  <si>
    <t>BOISVIN Paul</t>
  </si>
  <si>
    <t>50m</t>
  </si>
  <si>
    <t>ND</t>
  </si>
  <si>
    <t>Z1,5</t>
  </si>
  <si>
    <t>N 22m</t>
  </si>
  <si>
    <t>Droit</t>
  </si>
  <si>
    <t>Pied</t>
  </si>
  <si>
    <t>Z3</t>
  </si>
  <si>
    <t>N 40m</t>
  </si>
  <si>
    <t>TOUVAT Dorian</t>
  </si>
  <si>
    <t>E 30m</t>
  </si>
  <si>
    <t>E 40m</t>
  </si>
  <si>
    <t>E 22m</t>
  </si>
  <si>
    <t>E 15m</t>
  </si>
  <si>
    <t>E en-but</t>
  </si>
  <si>
    <t>En avant joueur bleu</t>
  </si>
  <si>
    <t>lancé pas droit – récupération adversaire – organisation maul</t>
  </si>
  <si>
    <t>RICHARD Damien</t>
  </si>
  <si>
    <t>Déviation tapette</t>
  </si>
  <si>
    <t>Dorian qui s'oubli</t>
  </si>
  <si>
    <t>Sauteur lobbé – Damien, tapette vers notre Camp</t>
  </si>
  <si>
    <t>MT2</t>
  </si>
  <si>
    <t>Sauteur lobbé – Mullier récupère en verrou</t>
  </si>
  <si>
    <t>Joueur prend ballon dans les 5 m</t>
  </si>
  <si>
    <t>Sauter Lobbé</t>
  </si>
  <si>
    <t>Touches</t>
  </si>
  <si>
    <t>Gagnees</t>
  </si>
  <si>
    <t>Perdues</t>
  </si>
  <si>
    <t>Pas droites</t>
  </si>
  <si>
    <t>Pour nous</t>
  </si>
  <si>
    <t>Pour l'adversaire</t>
  </si>
  <si>
    <t>MELEES</t>
  </si>
  <si>
    <t>Introduction pour</t>
  </si>
  <si>
    <t>Zone longueur</t>
  </si>
  <si>
    <t>Zone largeur</t>
  </si>
  <si>
    <t>Jeu avant</t>
  </si>
  <si>
    <t>Jeu 3/4</t>
  </si>
  <si>
    <t>Jeu pied</t>
  </si>
  <si>
    <t>✓</t>
  </si>
  <si>
    <t>Melees</t>
  </si>
  <si>
    <t>LST_SAUTEURS</t>
  </si>
  <si>
    <t>BAQUE Lucas</t>
  </si>
  <si>
    <t>BARRAILH Francois</t>
  </si>
  <si>
    <t>BARTHIE Sebastien</t>
  </si>
  <si>
    <t>BOURREC Dorian</t>
  </si>
  <si>
    <t>BOUTELOUP Romain</t>
  </si>
  <si>
    <t>CARRAU Ludovic</t>
  </si>
  <si>
    <t>CESCA Simon</t>
  </si>
  <si>
    <t>GALLINARO Pierrick</t>
  </si>
  <si>
    <t>JOUNAUX Joris</t>
  </si>
  <si>
    <t>KAPFER Ludovic</t>
  </si>
  <si>
    <t>LESPINASSE Lucas</t>
  </si>
  <si>
    <t>MULLIER Martin</t>
  </si>
  <si>
    <t>POUYADOU Julien</t>
  </si>
  <si>
    <t>RECURT Louis</t>
  </si>
  <si>
    <t>SCANU Benjamin</t>
  </si>
  <si>
    <t>SIMOES Dylan</t>
  </si>
  <si>
    <t>VINCENT Sebastien</t>
  </si>
  <si>
    <t>Collectif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</si>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</sst>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m]:ss"/>
  </numFmts>
  <fonts count="3" x14ac:knownFonts="1">
    <font>
      <sz val="12"/>
      <color theme="1"/>
      <name val="Aptos Narrow"/>
      <family val="2"/>
      <scheme val="minor"/>
    </font>
    <font>
      <b/>
      <sz val="14"/>
      <color theme="1"/>
      <name val="Arial"/>
      <family val="2"/>
    </font>
    <font>
      <b/>
      <sz val="10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CE4D6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164" fontId="0" fillId="0" borderId="0" xfId="0" applyNumberFormat="1"/>
    <xf numFmtId="16" fontId="0" fillId="0" borderId="0" xfId="0" applyNumberFormat="1"/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center"/>
    </xf>
    <xf numFmtId="0" fontId="0" fillId="5" borderId="1" xfId="0" applyFill="1" applyBorder="1"/>
    <xf numFmtId="0" fontId="0" fillId="5" borderId="1" xfId="0" applyFill="1" applyBorder="1" applyAlignment="1">
      <alignment horizontal="center"/>
    </xf>
  </cellXfs>
  <cellStyles count="1">
    <cellStyle name="Normal" xfId="0" builtinId="0"/>
  </cellStyles>
  <dxfs count="20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[m]:ss"/>
    </dxf>
    <dxf>
      <numFmt numFmtId="164" formatCode="[m]:ss"/>
    </dxf>
    <dxf>
      <border>
        <bottom style="thin">
          <color rgb="FFED7D31"/>
        </bottom>
      </border>
    </dxf>
    <dxf>
      <fill>
        <patternFill>
          <bgColor rgb="FFFCE4D6"/>
        </patternFill>
      </fill>
      <border>
        <bottom style="thin">
          <color rgb="FFED7D31"/>
        </bottom>
      </border>
    </dxf>
    <dxf>
      <font>
        <b/>
        <i val="0"/>
        <color rgb="FFFFFFFF"/>
      </font>
      <fill>
        <patternFill>
          <bgColor rgb="FF008000"/>
        </patternFill>
      </fill>
    </dxf>
    <dxf>
      <font>
        <b/>
        <i val="0"/>
        <color rgb="FFFFFFFF"/>
      </font>
      <fill>
        <patternFill>
          <bgColor rgb="FFC00000"/>
        </patternFill>
      </fill>
    </dxf>
    <dxf>
      <border>
        <bottom style="thin">
          <color rgb="FF4472C4"/>
        </bottom>
      </border>
    </dxf>
    <dxf>
      <fill>
        <patternFill>
          <bgColor rgb="FFD9E2F3"/>
        </patternFill>
      </fill>
      <border>
        <bottom style="thin">
          <color rgb="FF4472C4"/>
        </bottom>
      </border>
    </dxf>
    <dxf>
      <font>
        <b/>
        <i val="0"/>
        <color rgb="FFFFFFFF"/>
      </font>
      <fill>
        <patternFill>
          <bgColor rgb="FFC00000"/>
        </patternFill>
      </fill>
    </dxf>
    <dxf>
      <font>
        <b/>
        <i val="0"/>
        <color rgb="FFFFFFFF"/>
      </font>
      <fill>
        <patternFill>
          <bgColor rgb="FF0070C0"/>
        </patternFill>
      </fill>
    </dxf>
    <dxf>
      <font>
        <b/>
        <i val="0"/>
        <color rgb="FFFFFFFF"/>
      </font>
      <fill>
        <patternFill>
          <bgColor rgb="FF008000"/>
        </patternFill>
      </fill>
    </dxf>
    <dxf>
      <font>
        <b/>
        <i val="0"/>
        <color rgb="FFFFFFFF"/>
      </font>
      <fill>
        <patternFill>
          <bgColor rgb="FFC00000"/>
        </patternFill>
      </fill>
    </dxf>
    <dxf>
      <border>
        <bottom style="thin">
          <color rgb="FFED7D31"/>
        </bottom>
      </border>
    </dxf>
    <dxf>
      <fill>
        <patternFill>
          <bgColor rgb="FFFCE4D6"/>
        </patternFill>
      </fill>
      <border>
        <bottom style="thin">
          <color rgb="FFED7D31"/>
        </bottom>
      </border>
    </dxf>
    <dxf>
      <font>
        <b/>
        <i val="0"/>
        <color rgb="FFFFFFFF"/>
      </font>
      <fill>
        <patternFill>
          <bgColor rgb="FF008000"/>
        </patternFill>
      </fill>
    </dxf>
    <dxf>
      <font>
        <b/>
        <i val="0"/>
        <color rgb="FFFFFFFF"/>
      </font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E56F19A-9562-C848-B887-36603064FA08}" name="DetailTouches" displayName="DetailTouches" ref="A2:J36" totalsRowShown="0">
  <autoFilter ref="A2:J36" xr:uid="{EE56F19A-9562-C848-B887-36603064FA08}"/>
  <tableColumns count="10">
    <tableColumn id="1" xr3:uid="{18A899A6-6AC7-4042-AA97-75EAC4091EA3}" name="Temps video" dataDxfId="5"/>
    <tableColumn id="2" xr3:uid="{D5C93940-5D23-CC4D-B648-CCE00FAA11FA}" name="Mi-temps"/>
    <tableColumn id="3" xr3:uid="{95CAEE8F-43F1-7845-AB35-30FF73AD6AB6}" name="Lance pour"/>
    <tableColumn id="4" xr3:uid="{D3C3E960-623C-D445-96B6-7BE6FD0B19E1}" name="Issue"/>
    <tableColumn id="5" xr3:uid="{8AA4AC85-91BA-9448-81F8-D82F1D84A362}" name="Sauteur"/>
    <tableColumn id="6" xr3:uid="{05D506D9-A260-C84B-8438-3A591E907EA5}" name="Zone saut"/>
    <tableColumn id="7" xr3:uid="{1252AEDE-54DA-6D49-9D3B-AF287496C349}" name="Ballon"/>
    <tableColumn id="8" xr3:uid="{97CCC274-568E-6449-AC73-8AAEE9334144}" name="Zone terrain"/>
    <tableColumn id="9" xr3:uid="{BADD1FA7-8052-5D48-A218-34E796255208}" name="Alignement"/>
    <tableColumn id="10" xr3:uid="{6E0B187C-4911-344E-9921-72E64F42C38C}" name="Observations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F1BB9BC-E3FF-6C4D-A4DB-8EB552831E44}" name="DetailMelees" displayName="DetailMelees" ref="A43:J59" totalsRowShown="0" dataDxfId="0">
  <autoFilter ref="A43:J59" xr:uid="{4F1BB9BC-E3FF-6C4D-A4DB-8EB552831E44}"/>
  <tableColumns count="10">
    <tableColumn id="1" xr3:uid="{FA8E41BC-5FB7-204F-A9B7-50D7EEEE3762}" name="Temps video" dataDxfId="4"/>
    <tableColumn id="2" xr3:uid="{FDD54D0C-FC22-C049-B1CA-D1912FB8CBD6}" name="Mi-temps"/>
    <tableColumn id="3" xr3:uid="{67767920-F16F-8042-B569-E10BF948E0DF}" name="Introduction pour"/>
    <tableColumn id="4" xr3:uid="{35F5868B-B0E0-B94E-AA35-5E604A9FADBA}" name="Issue"/>
    <tableColumn id="5" xr3:uid="{0EA6B167-6042-7447-9283-0AAC096AC2A5}" name="Zone longueur"/>
    <tableColumn id="6" xr3:uid="{28BC32E6-23E0-734A-92D0-03B1A139680E}" name="Zone largeur"/>
    <tableColumn id="7" xr3:uid="{CE1F4E29-CB21-6D4B-8FE5-7420350673C1}" name="Jeu avant" dataDxfId="3"/>
    <tableColumn id="8" xr3:uid="{5A575BF2-5940-294A-8BF2-D9A5D2CD2F36}" name="Jeu 3/4" dataDxfId="2"/>
    <tableColumn id="9" xr3:uid="{360AD3AE-8171-9843-AD2C-BF214AB18C6A}" name="Jeu pied" dataDxfId="1"/>
    <tableColumn id="10" xr3:uid="{1E063D8E-B7D6-AE47-843E-2FDB71183EC2}" name="Observations"/>
  </tableColumns>
  <tableStyleInfo name="TableStyleMedium3" showFirstColumn="0" showLastColumn="0" showRowStripes="0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9DE1A-8481-FA44-88FF-CE125213194C}">
  <dimension ref="A1:AG74"/>
  <sheetViews>
    <sheetView showGridLines="0" tabSelected="1" workbookViewId="0">
      <selection sqref="A1:AF74"/>
    </sheetView>
  </sheetViews>
  <sheetFormatPr baseColWidth="10" defaultRowHeight="16" x14ac:dyDescent="0.2"/>
  <cols>
    <col min="1" max="1" width="13.6640625" customWidth="1"/>
    <col min="2" max="2" width="12.83203125" customWidth="1"/>
    <col min="3" max="3" width="17.5" customWidth="1"/>
    <col min="4" max="4" width="12.83203125" customWidth="1"/>
    <col min="5" max="5" width="17.6640625" customWidth="1"/>
    <col min="6" max="6" width="13.6640625" customWidth="1"/>
    <col min="7" max="7" width="12.83203125" customWidth="1"/>
    <col min="8" max="8" width="13.33203125" customWidth="1"/>
    <col min="9" max="9" width="13" customWidth="1"/>
    <col min="10" max="10" width="47.5" bestFit="1" customWidth="1"/>
    <col min="11" max="20" width="12.83203125" customWidth="1"/>
    <col min="21" max="21" width="30.83203125" customWidth="1"/>
    <col min="22" max="33" width="0" hidden="1" customWidth="1"/>
  </cols>
  <sheetData>
    <row r="1" spans="1:33" ht="18" x14ac:dyDescent="0.2">
      <c r="A1" s="1" t="s">
        <v>0</v>
      </c>
      <c r="W1" t="s">
        <v>1</v>
      </c>
      <c r="X1" t="s">
        <v>2</v>
      </c>
      <c r="Y1" t="s">
        <v>3</v>
      </c>
      <c r="Z1" t="s">
        <v>4</v>
      </c>
      <c r="AA1" t="s">
        <v>5</v>
      </c>
      <c r="AB1" t="s">
        <v>6</v>
      </c>
      <c r="AC1" t="s">
        <v>7</v>
      </c>
      <c r="AD1" t="s">
        <v>8</v>
      </c>
      <c r="AE1" t="s">
        <v>9</v>
      </c>
      <c r="AF1" t="s">
        <v>10</v>
      </c>
      <c r="AG1" t="s">
        <v>81</v>
      </c>
    </row>
    <row r="2" spans="1:33" x14ac:dyDescent="0.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W2" t="s">
        <v>21</v>
      </c>
      <c r="X2" t="s">
        <v>22</v>
      </c>
      <c r="Y2" t="s">
        <v>22</v>
      </c>
      <c r="Z2" t="s">
        <v>23</v>
      </c>
      <c r="AA2" t="s">
        <v>24</v>
      </c>
      <c r="AB2" t="s">
        <v>25</v>
      </c>
      <c r="AC2">
        <v>2</v>
      </c>
      <c r="AD2" t="s">
        <v>26</v>
      </c>
      <c r="AE2" t="s">
        <v>27</v>
      </c>
      <c r="AF2" t="s">
        <v>28</v>
      </c>
      <c r="AG2" t="s">
        <v>82</v>
      </c>
    </row>
    <row r="3" spans="1:33" x14ac:dyDescent="0.2">
      <c r="A3" s="2">
        <v>1.8041064236111112E-3</v>
      </c>
      <c r="B3" t="s">
        <v>29</v>
      </c>
      <c r="C3" t="s">
        <v>30</v>
      </c>
      <c r="D3" t="s">
        <v>31</v>
      </c>
      <c r="F3" t="s">
        <v>32</v>
      </c>
      <c r="H3" t="s">
        <v>33</v>
      </c>
      <c r="I3" t="s">
        <v>34</v>
      </c>
      <c r="W3" t="s">
        <v>30</v>
      </c>
      <c r="X3" t="s">
        <v>31</v>
      </c>
      <c r="Y3" t="s">
        <v>31</v>
      </c>
      <c r="Z3" t="s">
        <v>35</v>
      </c>
      <c r="AA3" t="s">
        <v>36</v>
      </c>
      <c r="AB3" t="s">
        <v>37</v>
      </c>
      <c r="AC3">
        <v>3</v>
      </c>
      <c r="AD3" t="s">
        <v>38</v>
      </c>
      <c r="AE3" s="3" t="s">
        <v>39</v>
      </c>
      <c r="AF3" t="s">
        <v>40</v>
      </c>
      <c r="AG3" t="s">
        <v>83</v>
      </c>
    </row>
    <row r="4" spans="1:33" x14ac:dyDescent="0.2">
      <c r="A4" s="2">
        <v>3.8212998379629627E-3</v>
      </c>
      <c r="B4" t="s">
        <v>29</v>
      </c>
      <c r="C4" t="s">
        <v>21</v>
      </c>
      <c r="D4" t="s">
        <v>31</v>
      </c>
      <c r="E4" t="s">
        <v>41</v>
      </c>
      <c r="F4" t="s">
        <v>32</v>
      </c>
      <c r="H4" t="s">
        <v>42</v>
      </c>
      <c r="I4" t="s">
        <v>34</v>
      </c>
      <c r="X4" t="s">
        <v>43</v>
      </c>
      <c r="Z4" t="s">
        <v>44</v>
      </c>
      <c r="AB4" t="s">
        <v>45</v>
      </c>
      <c r="AC4">
        <v>4</v>
      </c>
      <c r="AD4" t="s">
        <v>46</v>
      </c>
      <c r="AE4" t="s">
        <v>47</v>
      </c>
      <c r="AG4" t="s">
        <v>84</v>
      </c>
    </row>
    <row r="5" spans="1:33" x14ac:dyDescent="0.2">
      <c r="A5" s="2">
        <v>4.6441787962962959E-3</v>
      </c>
      <c r="B5" t="s">
        <v>29</v>
      </c>
      <c r="C5" t="s">
        <v>30</v>
      </c>
      <c r="D5" t="s">
        <v>22</v>
      </c>
      <c r="F5" t="s">
        <v>32</v>
      </c>
      <c r="H5" t="s">
        <v>45</v>
      </c>
      <c r="I5" t="s">
        <v>34</v>
      </c>
      <c r="Z5" t="s">
        <v>32</v>
      </c>
      <c r="AB5" t="s">
        <v>33</v>
      </c>
      <c r="AC5">
        <v>5</v>
      </c>
      <c r="AG5" t="s">
        <v>41</v>
      </c>
    </row>
    <row r="6" spans="1:33" x14ac:dyDescent="0.2">
      <c r="A6" s="2">
        <v>5.466489861111111E-3</v>
      </c>
      <c r="B6" t="s">
        <v>29</v>
      </c>
      <c r="C6" t="s">
        <v>21</v>
      </c>
      <c r="D6" t="s">
        <v>22</v>
      </c>
      <c r="Z6" t="s">
        <v>48</v>
      </c>
      <c r="AB6" t="s">
        <v>49</v>
      </c>
      <c r="AC6">
        <v>6</v>
      </c>
      <c r="AG6" t="s">
        <v>85</v>
      </c>
    </row>
    <row r="7" spans="1:33" x14ac:dyDescent="0.2">
      <c r="A7" s="2">
        <v>5.4329985995370369E-3</v>
      </c>
      <c r="B7" t="s">
        <v>29</v>
      </c>
      <c r="C7" t="s">
        <v>21</v>
      </c>
      <c r="D7" t="s">
        <v>22</v>
      </c>
      <c r="E7" t="s">
        <v>50</v>
      </c>
      <c r="F7" t="s">
        <v>35</v>
      </c>
      <c r="G7" t="s">
        <v>36</v>
      </c>
      <c r="H7" t="s">
        <v>51</v>
      </c>
      <c r="I7" t="s">
        <v>34</v>
      </c>
      <c r="AB7" t="s">
        <v>42</v>
      </c>
      <c r="AC7" t="s">
        <v>34</v>
      </c>
      <c r="AG7" t="s">
        <v>86</v>
      </c>
    </row>
    <row r="8" spans="1:33" x14ac:dyDescent="0.2">
      <c r="A8" s="2">
        <v>6.9941005787037044E-3</v>
      </c>
      <c r="B8" t="s">
        <v>29</v>
      </c>
      <c r="C8" t="s">
        <v>21</v>
      </c>
      <c r="D8" t="s">
        <v>31</v>
      </c>
      <c r="AB8" t="s">
        <v>52</v>
      </c>
      <c r="AG8" t="s">
        <v>87</v>
      </c>
    </row>
    <row r="9" spans="1:33" x14ac:dyDescent="0.2">
      <c r="A9" s="2">
        <v>6.9981153240740741E-3</v>
      </c>
      <c r="B9" t="s">
        <v>29</v>
      </c>
      <c r="C9" t="s">
        <v>30</v>
      </c>
      <c r="D9" t="s">
        <v>31</v>
      </c>
      <c r="F9" t="s">
        <v>32</v>
      </c>
      <c r="G9" t="s">
        <v>24</v>
      </c>
      <c r="H9" t="s">
        <v>33</v>
      </c>
      <c r="I9" t="s">
        <v>34</v>
      </c>
      <c r="AB9" t="s">
        <v>51</v>
      </c>
      <c r="AG9" t="s">
        <v>88</v>
      </c>
    </row>
    <row r="10" spans="1:33" x14ac:dyDescent="0.2">
      <c r="A10" s="2">
        <v>7.7201552893518526E-3</v>
      </c>
      <c r="B10" t="s">
        <v>29</v>
      </c>
      <c r="C10" t="s">
        <v>30</v>
      </c>
      <c r="D10" t="s">
        <v>31</v>
      </c>
      <c r="E10" t="s">
        <v>50</v>
      </c>
      <c r="F10" t="s">
        <v>35</v>
      </c>
      <c r="G10" t="s">
        <v>24</v>
      </c>
      <c r="H10" t="s">
        <v>37</v>
      </c>
      <c r="I10" t="s">
        <v>34</v>
      </c>
      <c r="AB10" t="s">
        <v>53</v>
      </c>
      <c r="AG10" t="s">
        <v>89</v>
      </c>
    </row>
    <row r="11" spans="1:33" x14ac:dyDescent="0.2">
      <c r="A11" s="2">
        <v>8.470079895833333E-3</v>
      </c>
      <c r="B11" t="s">
        <v>29</v>
      </c>
      <c r="C11" t="s">
        <v>30</v>
      </c>
      <c r="D11" t="s">
        <v>31</v>
      </c>
      <c r="H11" t="s">
        <v>25</v>
      </c>
      <c r="I11" t="s">
        <v>34</v>
      </c>
      <c r="AB11" t="s">
        <v>54</v>
      </c>
      <c r="AG11" t="s">
        <v>90</v>
      </c>
    </row>
    <row r="12" spans="1:33" x14ac:dyDescent="0.2">
      <c r="A12" s="2">
        <v>9.5889383101851848E-3</v>
      </c>
      <c r="B12" t="s">
        <v>29</v>
      </c>
      <c r="C12" t="s">
        <v>30</v>
      </c>
      <c r="D12" t="s">
        <v>31</v>
      </c>
      <c r="F12" t="s">
        <v>48</v>
      </c>
      <c r="G12" t="s">
        <v>36</v>
      </c>
      <c r="H12" t="s">
        <v>49</v>
      </c>
      <c r="I12" t="s">
        <v>34</v>
      </c>
      <c r="AB12" t="s">
        <v>55</v>
      </c>
      <c r="AG12" t="s">
        <v>91</v>
      </c>
    </row>
    <row r="13" spans="1:33" x14ac:dyDescent="0.2">
      <c r="A13" s="2">
        <v>1.4394234930555557E-2</v>
      </c>
      <c r="B13" t="s">
        <v>29</v>
      </c>
      <c r="C13" t="s">
        <v>30</v>
      </c>
      <c r="D13" t="s">
        <v>43</v>
      </c>
      <c r="E13" t="s">
        <v>50</v>
      </c>
      <c r="F13" t="s">
        <v>35</v>
      </c>
      <c r="H13" t="s">
        <v>54</v>
      </c>
      <c r="I13" t="s">
        <v>34</v>
      </c>
      <c r="AG13" t="s">
        <v>92</v>
      </c>
    </row>
    <row r="14" spans="1:33" x14ac:dyDescent="0.2">
      <c r="A14" s="2">
        <v>1.717372585648148E-2</v>
      </c>
      <c r="B14" t="s">
        <v>29</v>
      </c>
      <c r="C14" t="s">
        <v>30</v>
      </c>
      <c r="D14" t="s">
        <v>22</v>
      </c>
      <c r="E14" t="s">
        <v>50</v>
      </c>
      <c r="F14" t="s">
        <v>35</v>
      </c>
      <c r="H14" t="s">
        <v>53</v>
      </c>
      <c r="I14" t="s">
        <v>34</v>
      </c>
      <c r="J14" t="s">
        <v>56</v>
      </c>
      <c r="AG14" t="s">
        <v>93</v>
      </c>
    </row>
    <row r="15" spans="1:33" x14ac:dyDescent="0.2">
      <c r="A15" s="2">
        <v>1.9997827581018517E-2</v>
      </c>
      <c r="B15" t="s">
        <v>29</v>
      </c>
      <c r="C15" t="s">
        <v>21</v>
      </c>
      <c r="D15" t="s">
        <v>43</v>
      </c>
      <c r="F15" t="s">
        <v>32</v>
      </c>
      <c r="G15" t="s">
        <v>24</v>
      </c>
      <c r="H15" t="s">
        <v>52</v>
      </c>
      <c r="I15" t="s">
        <v>34</v>
      </c>
      <c r="J15" t="s">
        <v>57</v>
      </c>
      <c r="AG15" t="s">
        <v>94</v>
      </c>
    </row>
    <row r="16" spans="1:33" x14ac:dyDescent="0.2">
      <c r="A16" s="2">
        <v>2.1908718599537039E-2</v>
      </c>
      <c r="B16" t="s">
        <v>29</v>
      </c>
      <c r="C16" t="s">
        <v>21</v>
      </c>
      <c r="D16" t="s">
        <v>22</v>
      </c>
      <c r="E16" t="s">
        <v>58</v>
      </c>
      <c r="F16" t="s">
        <v>32</v>
      </c>
      <c r="G16" t="s">
        <v>36</v>
      </c>
      <c r="H16" t="s">
        <v>53</v>
      </c>
      <c r="I16" t="s">
        <v>34</v>
      </c>
      <c r="J16" t="s">
        <v>59</v>
      </c>
      <c r="AG16" t="s">
        <v>95</v>
      </c>
    </row>
    <row r="17" spans="1:33" x14ac:dyDescent="0.2">
      <c r="A17" s="2">
        <v>2.455613859953704E-2</v>
      </c>
      <c r="B17" t="s">
        <v>29</v>
      </c>
      <c r="C17" t="s">
        <v>21</v>
      </c>
      <c r="D17" t="s">
        <v>22</v>
      </c>
      <c r="E17" t="s">
        <v>58</v>
      </c>
      <c r="F17" t="s">
        <v>35</v>
      </c>
      <c r="G17" t="s">
        <v>36</v>
      </c>
      <c r="H17" t="s">
        <v>54</v>
      </c>
      <c r="I17" t="s">
        <v>34</v>
      </c>
      <c r="J17" t="s">
        <v>60</v>
      </c>
      <c r="AG17" t="s">
        <v>58</v>
      </c>
    </row>
    <row r="18" spans="1:33" x14ac:dyDescent="0.2">
      <c r="A18" s="2">
        <v>2.5777344467592594E-2</v>
      </c>
      <c r="B18" t="s">
        <v>29</v>
      </c>
      <c r="C18" t="s">
        <v>30</v>
      </c>
      <c r="D18" t="s">
        <v>31</v>
      </c>
      <c r="F18" t="s">
        <v>32</v>
      </c>
      <c r="G18" t="s">
        <v>36</v>
      </c>
      <c r="H18" t="s">
        <v>52</v>
      </c>
      <c r="I18" t="s">
        <v>34</v>
      </c>
      <c r="AG18" t="s">
        <v>96</v>
      </c>
    </row>
    <row r="19" spans="1:33" x14ac:dyDescent="0.2">
      <c r="A19" s="2">
        <v>2.8681044884259259E-2</v>
      </c>
      <c r="B19" t="s">
        <v>29</v>
      </c>
      <c r="C19" t="s">
        <v>30</v>
      </c>
      <c r="D19" t="s">
        <v>31</v>
      </c>
      <c r="F19" t="s">
        <v>48</v>
      </c>
      <c r="G19" t="s">
        <v>36</v>
      </c>
      <c r="H19" t="s">
        <v>49</v>
      </c>
      <c r="I19">
        <v>5</v>
      </c>
      <c r="AG19" t="s">
        <v>97</v>
      </c>
    </row>
    <row r="20" spans="1:33" x14ac:dyDescent="0.2">
      <c r="A20" s="2">
        <v>2.9638042835648148E-2</v>
      </c>
      <c r="B20" t="s">
        <v>29</v>
      </c>
      <c r="C20" t="s">
        <v>30</v>
      </c>
      <c r="D20" t="s">
        <v>22</v>
      </c>
      <c r="E20" t="s">
        <v>58</v>
      </c>
      <c r="G20" t="s">
        <v>36</v>
      </c>
      <c r="H20" t="s">
        <v>37</v>
      </c>
      <c r="I20" t="s">
        <v>34</v>
      </c>
      <c r="J20" t="s">
        <v>61</v>
      </c>
      <c r="AG20" t="s">
        <v>50</v>
      </c>
    </row>
    <row r="21" spans="1:33" x14ac:dyDescent="0.2">
      <c r="A21" s="2">
        <v>3.0319582268518518E-2</v>
      </c>
      <c r="B21" t="s">
        <v>29</v>
      </c>
      <c r="C21" t="s">
        <v>30</v>
      </c>
      <c r="D21" t="s">
        <v>43</v>
      </c>
      <c r="F21" t="s">
        <v>32</v>
      </c>
      <c r="H21" t="s">
        <v>33</v>
      </c>
      <c r="I21">
        <v>6</v>
      </c>
      <c r="AG21" t="s">
        <v>98</v>
      </c>
    </row>
    <row r="22" spans="1:33" x14ac:dyDescent="0.2">
      <c r="A22" s="2">
        <v>3.5332049467592594E-2</v>
      </c>
      <c r="B22" t="s">
        <v>62</v>
      </c>
      <c r="C22" t="s">
        <v>21</v>
      </c>
      <c r="D22" t="s">
        <v>22</v>
      </c>
      <c r="E22" t="s">
        <v>58</v>
      </c>
      <c r="F22" t="s">
        <v>32</v>
      </c>
      <c r="G22" t="s">
        <v>36</v>
      </c>
      <c r="H22" t="s">
        <v>33</v>
      </c>
      <c r="I22" t="s">
        <v>34</v>
      </c>
      <c r="J22" t="s">
        <v>63</v>
      </c>
      <c r="AG22" t="s">
        <v>99</v>
      </c>
    </row>
    <row r="23" spans="1:33" x14ac:dyDescent="0.2">
      <c r="A23" s="2">
        <v>3.6811374259259261E-2</v>
      </c>
      <c r="B23" t="s">
        <v>62</v>
      </c>
      <c r="C23" t="s">
        <v>30</v>
      </c>
      <c r="D23" t="s">
        <v>43</v>
      </c>
      <c r="F23" t="s">
        <v>48</v>
      </c>
      <c r="H23" t="s">
        <v>49</v>
      </c>
      <c r="I23">
        <v>5</v>
      </c>
      <c r="AG23" t="s">
        <v>100</v>
      </c>
    </row>
    <row r="24" spans="1:33" x14ac:dyDescent="0.2">
      <c r="A24" s="2">
        <v>3.940507094907407E-2</v>
      </c>
      <c r="B24" t="s">
        <v>62</v>
      </c>
      <c r="C24" t="s">
        <v>21</v>
      </c>
      <c r="D24" t="s">
        <v>43</v>
      </c>
      <c r="E24" t="s">
        <v>58</v>
      </c>
      <c r="F24" t="s">
        <v>32</v>
      </c>
      <c r="H24" t="s">
        <v>52</v>
      </c>
      <c r="I24">
        <v>5</v>
      </c>
    </row>
    <row r="25" spans="1:33" x14ac:dyDescent="0.2">
      <c r="A25" s="2">
        <v>4.2351832800925929E-2</v>
      </c>
      <c r="B25" t="s">
        <v>62</v>
      </c>
      <c r="C25" t="s">
        <v>30</v>
      </c>
      <c r="D25" t="s">
        <v>43</v>
      </c>
      <c r="F25" t="s">
        <v>23</v>
      </c>
      <c r="G25" t="s">
        <v>36</v>
      </c>
      <c r="H25" t="s">
        <v>42</v>
      </c>
      <c r="I25">
        <v>5</v>
      </c>
      <c r="J25" t="s">
        <v>64</v>
      </c>
    </row>
    <row r="26" spans="1:33" x14ac:dyDescent="0.2">
      <c r="A26" s="2">
        <v>4.7825620300925922E-2</v>
      </c>
      <c r="B26" t="s">
        <v>62</v>
      </c>
      <c r="C26" t="s">
        <v>30</v>
      </c>
      <c r="D26" t="s">
        <v>43</v>
      </c>
      <c r="F26" t="s">
        <v>23</v>
      </c>
      <c r="H26" t="s">
        <v>33</v>
      </c>
      <c r="I26">
        <v>6</v>
      </c>
    </row>
    <row r="27" spans="1:33" x14ac:dyDescent="0.2">
      <c r="A27" s="2">
        <v>4.8788726932870369E-2</v>
      </c>
      <c r="B27" t="s">
        <v>62</v>
      </c>
      <c r="C27" t="s">
        <v>21</v>
      </c>
      <c r="D27" t="s">
        <v>31</v>
      </c>
      <c r="F27" t="s">
        <v>48</v>
      </c>
      <c r="H27" t="s">
        <v>54</v>
      </c>
      <c r="I27" t="s">
        <v>34</v>
      </c>
      <c r="J27" t="s">
        <v>65</v>
      </c>
    </row>
    <row r="28" spans="1:33" x14ac:dyDescent="0.2">
      <c r="A28" s="2">
        <v>4.9655646527777784E-2</v>
      </c>
      <c r="B28" t="s">
        <v>62</v>
      </c>
      <c r="C28" t="s">
        <v>30</v>
      </c>
      <c r="D28" t="s">
        <v>31</v>
      </c>
      <c r="F28" t="s">
        <v>48</v>
      </c>
      <c r="G28" t="s">
        <v>36</v>
      </c>
      <c r="H28" t="s">
        <v>52</v>
      </c>
      <c r="I28">
        <v>5</v>
      </c>
    </row>
    <row r="29" spans="1:33" x14ac:dyDescent="0.2">
      <c r="A29" s="2">
        <v>5.0269583680555549E-2</v>
      </c>
      <c r="B29" t="s">
        <v>62</v>
      </c>
      <c r="C29" t="s">
        <v>21</v>
      </c>
      <c r="D29" t="s">
        <v>43</v>
      </c>
      <c r="E29" t="s">
        <v>58</v>
      </c>
      <c r="F29" t="s">
        <v>35</v>
      </c>
      <c r="H29" t="s">
        <v>52</v>
      </c>
      <c r="I29">
        <v>6</v>
      </c>
    </row>
    <row r="30" spans="1:33" x14ac:dyDescent="0.2">
      <c r="A30" s="2">
        <v>5.1731820416666664E-2</v>
      </c>
      <c r="B30" t="s">
        <v>62</v>
      </c>
      <c r="C30" t="s">
        <v>21</v>
      </c>
      <c r="D30" t="s">
        <v>31</v>
      </c>
      <c r="E30" t="s">
        <v>58</v>
      </c>
      <c r="F30" t="s">
        <v>48</v>
      </c>
      <c r="G30" t="s">
        <v>36</v>
      </c>
      <c r="H30" t="s">
        <v>51</v>
      </c>
      <c r="I30" t="s">
        <v>34</v>
      </c>
    </row>
    <row r="31" spans="1:33" x14ac:dyDescent="0.2">
      <c r="A31" s="2">
        <v>5.2954375567129633E-2</v>
      </c>
      <c r="B31" t="s">
        <v>62</v>
      </c>
      <c r="C31" t="s">
        <v>21</v>
      </c>
      <c r="D31" t="s">
        <v>22</v>
      </c>
      <c r="E31" t="s">
        <v>58</v>
      </c>
      <c r="F31" t="s">
        <v>35</v>
      </c>
      <c r="G31" t="s">
        <v>36</v>
      </c>
      <c r="H31" t="s">
        <v>53</v>
      </c>
      <c r="I31">
        <v>5</v>
      </c>
    </row>
    <row r="32" spans="1:33" x14ac:dyDescent="0.2">
      <c r="A32" s="2">
        <v>5.7039313564814821E-2</v>
      </c>
      <c r="B32" t="s">
        <v>62</v>
      </c>
      <c r="C32" t="s">
        <v>30</v>
      </c>
      <c r="D32" t="s">
        <v>22</v>
      </c>
      <c r="E32" t="s">
        <v>58</v>
      </c>
      <c r="F32" t="s">
        <v>35</v>
      </c>
      <c r="G32" t="s">
        <v>36</v>
      </c>
      <c r="H32" t="s">
        <v>33</v>
      </c>
      <c r="I32">
        <v>6</v>
      </c>
    </row>
    <row r="33" spans="1:10" x14ac:dyDescent="0.2">
      <c r="A33" s="2">
        <v>5.9396430567129635E-2</v>
      </c>
      <c r="B33" t="s">
        <v>62</v>
      </c>
      <c r="C33" t="s">
        <v>21</v>
      </c>
      <c r="D33" t="s">
        <v>31</v>
      </c>
      <c r="E33" t="s">
        <v>58</v>
      </c>
      <c r="F33" t="s">
        <v>35</v>
      </c>
      <c r="H33" t="s">
        <v>54</v>
      </c>
      <c r="I33" t="s">
        <v>34</v>
      </c>
    </row>
    <row r="34" spans="1:10" x14ac:dyDescent="0.2">
      <c r="A34" s="2">
        <v>6.0189094340277777E-2</v>
      </c>
      <c r="B34" t="s">
        <v>62</v>
      </c>
      <c r="C34" t="s">
        <v>30</v>
      </c>
      <c r="D34" t="s">
        <v>43</v>
      </c>
      <c r="F34" t="s">
        <v>48</v>
      </c>
      <c r="H34" t="s">
        <v>51</v>
      </c>
      <c r="I34">
        <v>5</v>
      </c>
    </row>
    <row r="35" spans="1:10" x14ac:dyDescent="0.2">
      <c r="A35" s="2">
        <v>6.0847164270833337E-2</v>
      </c>
      <c r="B35" t="s">
        <v>62</v>
      </c>
      <c r="C35" t="s">
        <v>21</v>
      </c>
      <c r="D35" t="s">
        <v>43</v>
      </c>
      <c r="E35" t="s">
        <v>58</v>
      </c>
      <c r="F35" t="s">
        <v>35</v>
      </c>
      <c r="H35" t="s">
        <v>54</v>
      </c>
      <c r="I35" t="s">
        <v>34</v>
      </c>
    </row>
    <row r="36" spans="1:10" x14ac:dyDescent="0.2">
      <c r="A36" s="2">
        <v>6.1732523043981483E-2</v>
      </c>
      <c r="B36" t="s">
        <v>62</v>
      </c>
      <c r="C36" t="s">
        <v>21</v>
      </c>
      <c r="D36" t="s">
        <v>22</v>
      </c>
      <c r="E36" t="s">
        <v>58</v>
      </c>
      <c r="F36" t="s">
        <v>48</v>
      </c>
      <c r="G36" t="s">
        <v>24</v>
      </c>
      <c r="H36" t="s">
        <v>54</v>
      </c>
      <c r="I36">
        <v>5</v>
      </c>
    </row>
    <row r="37" spans="1:10" x14ac:dyDescent="0.2">
      <c r="A37" s="2"/>
    </row>
    <row r="38" spans="1:10" x14ac:dyDescent="0.2">
      <c r="A38" s="4" t="s">
        <v>66</v>
      </c>
      <c r="B38" s="5" t="s">
        <v>67</v>
      </c>
      <c r="C38" s="5" t="s">
        <v>68</v>
      </c>
      <c r="D38" s="5" t="s">
        <v>69</v>
      </c>
    </row>
    <row r="39" spans="1:10" x14ac:dyDescent="0.2">
      <c r="A39" s="6" t="s">
        <v>70</v>
      </c>
      <c r="B39" s="7">
        <f>COUNTIFS(DetailTouches[Lance pour],"N",DetailTouches[Issue],"G")</f>
        <v>7</v>
      </c>
      <c r="C39" s="7">
        <f>COUNTIFS(DetailTouches[Lance pour],"N",DetailTouches[Issue],"P")</f>
        <v>5</v>
      </c>
      <c r="D39" s="7">
        <f>COUNTIFS(DetailTouches[Lance pour],"N",DetailTouches[Issue],"ND")</f>
        <v>4</v>
      </c>
    </row>
    <row r="40" spans="1:10" x14ac:dyDescent="0.2">
      <c r="A40" s="8" t="s">
        <v>71</v>
      </c>
      <c r="B40" s="9">
        <f>COUNTIFS(DetailTouches[Lance pour],"E",DetailTouches[Issue],"P")</f>
        <v>8</v>
      </c>
      <c r="C40" s="9">
        <f>COUNTIFS(DetailTouches[Lance pour],"E",DetailTouches[Issue],"G")</f>
        <v>4</v>
      </c>
      <c r="D40" s="9">
        <f>COUNTIFS(DetailTouches[Lance pour],"E",DetailTouches[Issue],"ND")</f>
        <v>6</v>
      </c>
    </row>
    <row r="42" spans="1:10" ht="18" x14ac:dyDescent="0.2">
      <c r="A42" s="1" t="s">
        <v>72</v>
      </c>
    </row>
    <row r="43" spans="1:10" x14ac:dyDescent="0.2">
      <c r="A43" t="s">
        <v>11</v>
      </c>
      <c r="B43" t="s">
        <v>12</v>
      </c>
      <c r="C43" t="s">
        <v>73</v>
      </c>
      <c r="D43" t="s">
        <v>14</v>
      </c>
      <c r="E43" t="s">
        <v>74</v>
      </c>
      <c r="F43" t="s">
        <v>75</v>
      </c>
      <c r="G43" t="s">
        <v>76</v>
      </c>
      <c r="H43" t="s">
        <v>77</v>
      </c>
      <c r="I43" t="s">
        <v>78</v>
      </c>
      <c r="J43" t="s">
        <v>20</v>
      </c>
    </row>
    <row r="44" spans="1:10" x14ac:dyDescent="0.2">
      <c r="A44" s="2">
        <v>8.9926290277777786E-3</v>
      </c>
      <c r="B44" t="s">
        <v>29</v>
      </c>
      <c r="C44" t="s">
        <v>30</v>
      </c>
      <c r="D44" t="s">
        <v>31</v>
      </c>
      <c r="E44" t="s">
        <v>37</v>
      </c>
      <c r="F44" t="s">
        <v>26</v>
      </c>
      <c r="G44" s="10" t="s">
        <v>79</v>
      </c>
      <c r="H44" s="10"/>
      <c r="I44" s="10"/>
    </row>
    <row r="45" spans="1:10" x14ac:dyDescent="0.2">
      <c r="A45" s="2">
        <v>1.1430104513888888E-2</v>
      </c>
      <c r="B45" t="s">
        <v>29</v>
      </c>
      <c r="C45" t="s">
        <v>30</v>
      </c>
      <c r="D45" t="s">
        <v>31</v>
      </c>
      <c r="E45" t="s">
        <v>49</v>
      </c>
      <c r="F45" t="s">
        <v>26</v>
      </c>
      <c r="G45" s="10"/>
      <c r="H45" s="10" t="s">
        <v>79</v>
      </c>
      <c r="I45" s="10"/>
    </row>
    <row r="46" spans="1:10" x14ac:dyDescent="0.2">
      <c r="A46" s="2">
        <v>1.4991888587962963E-2</v>
      </c>
      <c r="B46" t="s">
        <v>29</v>
      </c>
      <c r="C46" t="s">
        <v>21</v>
      </c>
      <c r="D46" t="s">
        <v>22</v>
      </c>
      <c r="E46" t="s">
        <v>54</v>
      </c>
      <c r="F46" t="s">
        <v>26</v>
      </c>
      <c r="G46" s="10" t="s">
        <v>79</v>
      </c>
      <c r="H46" s="10"/>
      <c r="I46" s="10"/>
    </row>
    <row r="47" spans="1:10" x14ac:dyDescent="0.2">
      <c r="A47" s="2">
        <v>1.7616837094907408E-2</v>
      </c>
      <c r="B47" t="s">
        <v>29</v>
      </c>
      <c r="C47" t="s">
        <v>21</v>
      </c>
      <c r="D47" t="s">
        <v>22</v>
      </c>
      <c r="E47" t="s">
        <v>54</v>
      </c>
      <c r="F47" t="s">
        <v>26</v>
      </c>
      <c r="G47" s="10" t="s">
        <v>79</v>
      </c>
      <c r="H47" s="10"/>
      <c r="I47" s="10"/>
    </row>
    <row r="48" spans="1:10" x14ac:dyDescent="0.2">
      <c r="A48" s="2">
        <v>1.8206262638888887E-2</v>
      </c>
      <c r="B48" t="s">
        <v>29</v>
      </c>
      <c r="C48" t="s">
        <v>30</v>
      </c>
      <c r="D48" t="s">
        <v>31</v>
      </c>
      <c r="E48" t="s">
        <v>53</v>
      </c>
      <c r="F48" t="s">
        <v>26</v>
      </c>
      <c r="G48" s="10"/>
      <c r="H48" s="10"/>
      <c r="I48" s="10" t="s">
        <v>79</v>
      </c>
    </row>
    <row r="49" spans="1:9" x14ac:dyDescent="0.2">
      <c r="A49" s="2">
        <v>2.1484715833333334E-2</v>
      </c>
      <c r="B49" t="s">
        <v>29</v>
      </c>
      <c r="C49" t="s">
        <v>30</v>
      </c>
      <c r="D49" t="s">
        <v>31</v>
      </c>
      <c r="E49" t="s">
        <v>54</v>
      </c>
      <c r="F49" t="s">
        <v>26</v>
      </c>
      <c r="G49" s="10"/>
      <c r="H49" s="10"/>
      <c r="I49" s="10" t="s">
        <v>79</v>
      </c>
    </row>
    <row r="50" spans="1:9" x14ac:dyDescent="0.2">
      <c r="A50" s="2">
        <v>2.2415418460648148E-2</v>
      </c>
      <c r="B50" t="s">
        <v>29</v>
      </c>
      <c r="C50" t="s">
        <v>21</v>
      </c>
      <c r="D50" t="s">
        <v>22</v>
      </c>
      <c r="E50" t="s">
        <v>53</v>
      </c>
      <c r="F50" t="s">
        <v>26</v>
      </c>
      <c r="G50" s="10" t="s">
        <v>79</v>
      </c>
      <c r="H50" s="10"/>
      <c r="I50" s="10"/>
    </row>
    <row r="51" spans="1:9" x14ac:dyDescent="0.2">
      <c r="A51" s="2">
        <v>2.3555047881944444E-2</v>
      </c>
      <c r="B51" t="s">
        <v>29</v>
      </c>
      <c r="C51" t="s">
        <v>30</v>
      </c>
      <c r="D51" t="s">
        <v>31</v>
      </c>
      <c r="E51" t="s">
        <v>42</v>
      </c>
      <c r="F51" t="s">
        <v>46</v>
      </c>
      <c r="G51" s="10" t="s">
        <v>79</v>
      </c>
      <c r="H51" s="10"/>
      <c r="I51" s="10"/>
    </row>
    <row r="52" spans="1:9" x14ac:dyDescent="0.2">
      <c r="A52" s="2">
        <v>2.640842709490741E-2</v>
      </c>
      <c r="B52" t="s">
        <v>29</v>
      </c>
      <c r="C52" t="s">
        <v>21</v>
      </c>
      <c r="D52" t="s">
        <v>22</v>
      </c>
      <c r="E52" t="s">
        <v>51</v>
      </c>
      <c r="F52" t="s">
        <v>38</v>
      </c>
      <c r="G52" s="10"/>
      <c r="H52" s="10" t="s">
        <v>79</v>
      </c>
      <c r="I52" s="10"/>
    </row>
    <row r="53" spans="1:9" x14ac:dyDescent="0.2">
      <c r="A53" s="2">
        <v>3.0717190902777778E-2</v>
      </c>
      <c r="B53" t="s">
        <v>29</v>
      </c>
      <c r="C53" t="s">
        <v>21</v>
      </c>
      <c r="D53" t="s">
        <v>22</v>
      </c>
      <c r="E53" t="s">
        <v>33</v>
      </c>
      <c r="F53" t="s">
        <v>26</v>
      </c>
      <c r="G53" s="10"/>
      <c r="H53" s="10"/>
      <c r="I53" s="10" t="s">
        <v>79</v>
      </c>
    </row>
    <row r="54" spans="1:9" x14ac:dyDescent="0.2">
      <c r="A54" s="2">
        <v>3.7276705104166662E-2</v>
      </c>
      <c r="B54" t="s">
        <v>62</v>
      </c>
      <c r="C54" t="s">
        <v>21</v>
      </c>
      <c r="D54" t="s">
        <v>22</v>
      </c>
      <c r="E54" t="s">
        <v>49</v>
      </c>
      <c r="F54" t="s">
        <v>46</v>
      </c>
      <c r="G54" s="10"/>
      <c r="H54" s="10" t="s">
        <v>79</v>
      </c>
      <c r="I54" s="10"/>
    </row>
    <row r="55" spans="1:9" x14ac:dyDescent="0.2">
      <c r="A55" s="2">
        <v>4.0668567824074076E-2</v>
      </c>
      <c r="B55" t="s">
        <v>62</v>
      </c>
      <c r="C55" t="s">
        <v>21</v>
      </c>
      <c r="D55" t="s">
        <v>22</v>
      </c>
      <c r="E55" t="s">
        <v>54</v>
      </c>
      <c r="F55" t="s">
        <v>46</v>
      </c>
      <c r="G55" s="10"/>
      <c r="H55" s="10" t="s">
        <v>79</v>
      </c>
      <c r="I55" s="10"/>
    </row>
    <row r="56" spans="1:9" x14ac:dyDescent="0.2">
      <c r="A56" s="2">
        <v>4.6315894594907404E-2</v>
      </c>
      <c r="B56" t="s">
        <v>62</v>
      </c>
      <c r="C56" t="s">
        <v>21</v>
      </c>
      <c r="D56" t="s">
        <v>22</v>
      </c>
      <c r="E56" t="s">
        <v>55</v>
      </c>
      <c r="F56" t="s">
        <v>46</v>
      </c>
      <c r="G56" s="10"/>
      <c r="H56" s="10" t="s">
        <v>79</v>
      </c>
      <c r="I56" s="10"/>
    </row>
    <row r="57" spans="1:9" x14ac:dyDescent="0.2">
      <c r="A57" s="2">
        <v>5.4593572118055551E-2</v>
      </c>
      <c r="B57" t="s">
        <v>62</v>
      </c>
      <c r="C57" t="s">
        <v>21</v>
      </c>
      <c r="D57" t="s">
        <v>22</v>
      </c>
      <c r="E57" t="s">
        <v>49</v>
      </c>
      <c r="F57" t="s">
        <v>26</v>
      </c>
      <c r="G57" s="10"/>
      <c r="H57" s="10"/>
      <c r="I57" s="10" t="s">
        <v>79</v>
      </c>
    </row>
    <row r="58" spans="1:9" x14ac:dyDescent="0.2">
      <c r="A58" s="2">
        <v>5.5382858182870372E-2</v>
      </c>
      <c r="B58" t="s">
        <v>62</v>
      </c>
      <c r="C58" t="s">
        <v>21</v>
      </c>
      <c r="D58" t="s">
        <v>22</v>
      </c>
      <c r="E58" t="s">
        <v>51</v>
      </c>
      <c r="F58" t="s">
        <v>46</v>
      </c>
      <c r="G58" s="10" t="s">
        <v>79</v>
      </c>
      <c r="H58" s="10"/>
      <c r="I58" s="10"/>
    </row>
    <row r="59" spans="1:9" x14ac:dyDescent="0.2">
      <c r="A59" s="2">
        <v>5.8182367071759257E-2</v>
      </c>
      <c r="B59" t="s">
        <v>62</v>
      </c>
      <c r="C59" t="s">
        <v>21</v>
      </c>
      <c r="D59" t="s">
        <v>22</v>
      </c>
      <c r="E59" t="s">
        <v>52</v>
      </c>
      <c r="F59" t="s">
        <v>26</v>
      </c>
      <c r="G59" s="10"/>
      <c r="H59" s="10"/>
      <c r="I59" s="10" t="s">
        <v>79</v>
      </c>
    </row>
    <row r="60" spans="1:9" x14ac:dyDescent="0.2">
      <c r="A60" s="2"/>
      <c r="G60" s="10"/>
      <c r="H60" s="10"/>
      <c r="I60" s="10"/>
    </row>
    <row r="61" spans="1:9" x14ac:dyDescent="0.2">
      <c r="A61" s="11" t="s">
        <v>80</v>
      </c>
      <c r="B61" s="12" t="s">
        <v>67</v>
      </c>
      <c r="C61" s="12" t="s">
        <v>68</v>
      </c>
      <c r="G61" s="10"/>
      <c r="H61" s="10"/>
      <c r="I61" s="10"/>
    </row>
    <row r="62" spans="1:9" x14ac:dyDescent="0.2">
      <c r="A62" s="13" t="s">
        <v>70</v>
      </c>
      <c r="B62" s="14">
        <f>COUNTIFS(DetailMelees[Introduction pour],"N",DetailMelees[Issue],"G")</f>
        <v>11</v>
      </c>
      <c r="C62" s="14">
        <f>COUNTIFS(DetailMelees[Introduction pour],"N",DetailMelees[Issue],"P")</f>
        <v>0</v>
      </c>
      <c r="G62" s="10"/>
      <c r="H62" s="10"/>
      <c r="I62" s="10"/>
    </row>
    <row r="63" spans="1:9" x14ac:dyDescent="0.2">
      <c r="A63" s="8" t="s">
        <v>71</v>
      </c>
      <c r="B63" s="9">
        <f>COUNTIFS(DetailMelees[Introduction pour],"E",DetailMelees[Issue],"P")</f>
        <v>5</v>
      </c>
      <c r="C63" s="9">
        <f>COUNTIFS(DetailMelees[Introduction pour],"E",DetailMelees[Issue],"G")</f>
        <v>0</v>
      </c>
      <c r="G63" s="10"/>
      <c r="H63" s="10"/>
      <c r="I63" s="10"/>
    </row>
    <row r="64" spans="1:9" x14ac:dyDescent="0.2">
      <c r="G64" s="10"/>
      <c r="H64" s="10"/>
      <c r="I64" s="10"/>
    </row>
    <row r="65" spans="7:9" ht="16" customHeight="1" x14ac:dyDescent="0.2">
      <c r="G65" s="10"/>
      <c r="H65" s="10"/>
      <c r="I65" s="10"/>
    </row>
    <row r="66" spans="7:9" x14ac:dyDescent="0.2">
      <c r="G66" s="10"/>
      <c r="H66" s="10"/>
      <c r="I66" s="10"/>
    </row>
    <row r="67" spans="7:9" x14ac:dyDescent="0.2">
      <c r="G67" s="10"/>
      <c r="H67" s="10"/>
      <c r="I67" s="10"/>
    </row>
    <row r="68" spans="7:9" x14ac:dyDescent="0.2">
      <c r="G68" s="10"/>
      <c r="H68" s="10"/>
      <c r="I68" s="10"/>
    </row>
    <row r="69" spans="7:9" x14ac:dyDescent="0.2">
      <c r="G69" s="10"/>
      <c r="H69" s="10"/>
      <c r="I69" s="10"/>
    </row>
    <row r="70" spans="7:9" x14ac:dyDescent="0.2">
      <c r="G70" s="10"/>
      <c r="H70" s="10"/>
      <c r="I70" s="10"/>
    </row>
    <row r="71" spans="7:9" x14ac:dyDescent="0.2">
      <c r="G71" s="10"/>
      <c r="H71" s="10"/>
      <c r="I71" s="10"/>
    </row>
    <row r="72" spans="7:9" x14ac:dyDescent="0.2">
      <c r="G72" s="10"/>
      <c r="H72" s="10"/>
      <c r="I72" s="10"/>
    </row>
    <row r="73" spans="7:9" x14ac:dyDescent="0.2">
      <c r="G73" s="10"/>
      <c r="H73" s="10"/>
      <c r="I73" s="10"/>
    </row>
    <row r="74" spans="7:9" x14ac:dyDescent="0.2">
      <c r="G74" s="10"/>
      <c r="H74" s="10"/>
      <c r="I74" s="10"/>
    </row>
  </sheetData>
  <conditionalFormatting sqref="D60">
    <cfRule type="expression" dxfId="19" priority="1" stopIfTrue="1">
      <formula>($C60&amp;$D60)="NP"</formula>
    </cfRule>
    <cfRule type="expression" dxfId="18" priority="2" stopIfTrue="1">
      <formula>($C60&amp;$D60)="EG"</formula>
    </cfRule>
  </conditionalFormatting>
  <conditionalFormatting sqref="A60:J60 E61:J74">
    <cfRule type="expression" dxfId="17" priority="3" stopIfTrue="1">
      <formula>$C60="N"</formula>
    </cfRule>
    <cfRule type="expression" dxfId="16" priority="4" stopIfTrue="1">
      <formula>$C60&lt;&gt;""</formula>
    </cfRule>
  </conditionalFormatting>
  <conditionalFormatting sqref="D3:D36">
    <cfRule type="expression" dxfId="15" priority="5" stopIfTrue="1">
      <formula>($C3&amp;$D3)="NP"</formula>
    </cfRule>
    <cfRule type="expression" dxfId="14" priority="6" stopIfTrue="1">
      <formula>($C3&amp;$D3)="EG"</formula>
    </cfRule>
  </conditionalFormatting>
  <conditionalFormatting sqref="G3:G36">
    <cfRule type="expression" dxfId="13" priority="7" stopIfTrue="1">
      <formula>$G3="F"</formula>
    </cfRule>
    <cfRule type="expression" dxfId="12" priority="8" stopIfTrue="1">
      <formula>$G3="C"</formula>
    </cfRule>
  </conditionalFormatting>
  <conditionalFormatting sqref="A3:J36">
    <cfRule type="expression" dxfId="11" priority="9" stopIfTrue="1">
      <formula>$C3="N"</formula>
    </cfRule>
    <cfRule type="expression" dxfId="10" priority="10" stopIfTrue="1">
      <formula>$C3&lt;&gt;""</formula>
    </cfRule>
  </conditionalFormatting>
  <conditionalFormatting sqref="D44:D59">
    <cfRule type="expression" dxfId="9" priority="11" stopIfTrue="1">
      <formula>($C44&amp;$D44)="NP"</formula>
    </cfRule>
  </conditionalFormatting>
  <conditionalFormatting sqref="D44:D59">
    <cfRule type="expression" dxfId="8" priority="12" stopIfTrue="1">
      <formula>($C44&amp;$D44)="EG"</formula>
    </cfRule>
  </conditionalFormatting>
  <conditionalFormatting sqref="A44:J59">
    <cfRule type="expression" dxfId="7" priority="13" stopIfTrue="1">
      <formula>$C44="N"</formula>
    </cfRule>
  </conditionalFormatting>
  <conditionalFormatting sqref="A44:J59">
    <cfRule type="expression" dxfId="6" priority="14" stopIfTrue="1">
      <formula>$C44&lt;&gt;""</formula>
    </cfRule>
  </conditionalFormatting>
  <dataValidations count="9">
    <dataValidation type="list" allowBlank="1" showInputMessage="1" showErrorMessage="1" sqref="F60:F74 F44:F59" xr:uid="{97A47D27-792D-D244-85E7-CA1FEE1896CB}">
      <formula1>$AD$2:$AD$4</formula1>
    </dataValidation>
    <dataValidation type="list" allowBlank="1" showInputMessage="1" showErrorMessage="1" sqref="D60 D44:D59" xr:uid="{C9DF994D-81EF-1049-B86B-EC2C81826CCD}">
      <formula1>$Y$2:$Y$3</formula1>
    </dataValidation>
    <dataValidation type="list" allowBlank="1" showInputMessage="1" showErrorMessage="1" sqref="C3:C36 C60 C44:C59" xr:uid="{EB2A0F0C-3678-5741-AF78-6875BCD0B353}">
      <formula1>$W$2:$W$3</formula1>
    </dataValidation>
    <dataValidation type="list" allowBlank="1" showInputMessage="1" showErrorMessage="1" sqref="H3:H36 E60:E74 E44:E59" xr:uid="{A8EE250C-AD83-6840-90D6-5515E1E93EDF}">
      <formula1>$AB$2:$AB$12</formula1>
    </dataValidation>
    <dataValidation type="list" allowBlank="1" showInputMessage="1" showErrorMessage="1" sqref="D3:D36" xr:uid="{0CC39E67-848B-6E4E-9F6C-B81F4F791F19}">
      <formula1>$X$2:$X$4</formula1>
    </dataValidation>
    <dataValidation type="list" allowBlank="1" showInputMessage="1" showErrorMessage="1" sqref="F3:F36" xr:uid="{437EAF6C-7058-D94B-8FE5-FDFC5156A0B4}">
      <formula1>$Z$2:$Z$6</formula1>
    </dataValidation>
    <dataValidation type="list" allowBlank="1" showInputMessage="1" showErrorMessage="1" sqref="G3:G36" xr:uid="{898853C0-6E78-E640-A6CB-40F6D81B93A9}">
      <formula1>$AA$2:$AA$3</formula1>
    </dataValidation>
    <dataValidation type="list" allowBlank="1" showInputMessage="1" showErrorMessage="1" sqref="I3:I36" xr:uid="{AF770C5D-6E57-7844-80EC-27EE2FC903EE}">
      <formula1>$AC$2:$AC$7</formula1>
    </dataValidation>
    <dataValidation type="list" allowBlank="1" showInputMessage="1" showErrorMessage="1" sqref="E3:E36" xr:uid="{2EA576F4-BEDD-0D45-AB5B-D9CB1997F01C}">
      <formula1>$AG$2:$AG$23</formula1>
    </dataValidation>
  </dataValidation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Touches Melees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bastien dal lago</dc:creator>
  <cp:lastModifiedBy>bastien dal lago</cp:lastModifiedBy>
  <dcterms:created xsi:type="dcterms:W3CDTF">2026-10-06T14:10:18Z</dcterms:created>
  <dcterms:modified xsi:type="dcterms:W3CDTF">2026-10-06T14:10:23Z</dcterms:modified>
</cp:coreProperties>
</file>