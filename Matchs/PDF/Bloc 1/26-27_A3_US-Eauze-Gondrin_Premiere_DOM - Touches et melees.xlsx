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tiendallago/Library/Mobile Documents/com~apple~CloudDocs/Documents/DD/1- PERSO/12- AUTRES/1- RUGBY/2026-2027 MXV/STAT_VEO/Matchs/"/>
    </mc:Choice>
  </mc:AlternateContent>
  <xr:revisionPtr revIDLastSave="0" documentId="8_{7FD6D6E6-8EC8-DD4A-80E5-E764B054BF17}" xr6:coauthVersionLast="47" xr6:coauthVersionMax="47" xr10:uidLastSave="{00000000-0000-0000-0000-000000000000}"/>
  <bookViews>
    <workbookView xWindow="4860" yWindow="4260" windowWidth="26440" windowHeight="15180" xr2:uid="{D4F548BD-BF86-F143-96A6-E09E929B606F}"/>
  </bookViews>
  <sheets>
    <sheet name="Touches Mele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1" i="1" l="1"/>
  <c r="B51" i="1"/>
  <c r="C50" i="1"/>
  <c r="B50" i="1"/>
  <c r="D33" i="1"/>
  <c r="D32" i="1"/>
  <c r="C33" i="1"/>
  <c r="B33" i="1"/>
  <c r="C32" i="1"/>
  <c r="B32" i="1"/>
</calcChain>
</file>

<file path=xl/sharedStrings.xml><?xml version="1.0" encoding="utf-8"?>
<sst xmlns="http://schemas.openxmlformats.org/spreadsheetml/2006/main" count="352" uniqueCount="98">
  <si>
    <t>TOUCHES</t>
  </si>
  <si>
    <t>LST_TM_LANCE_POUR</t>
  </si>
  <si>
    <t>LST_TM_ISSUE_TOUCHE</t>
  </si>
  <si>
    <t>LST_TM_ISSUE_MELEE</t>
  </si>
  <si>
    <t>LST_TM_ZONE_SAUT</t>
  </si>
  <si>
    <t>LST_TM_BALLON</t>
  </si>
  <si>
    <t>LST_TM_ZONE_LONGUEUR</t>
  </si>
  <si>
    <t>LST_TM_ALIGNEMENT</t>
  </si>
  <si>
    <t>LST_TM_ZONE_LARGEUR</t>
  </si>
  <si>
    <t>LST_TM_UTILISATION</t>
  </si>
  <si>
    <t>LST_TM_BALLON_LONG</t>
  </si>
  <si>
    <t>Temps video</t>
  </si>
  <si>
    <t>Mi-temps</t>
  </si>
  <si>
    <t>Lance pour</t>
  </si>
  <si>
    <t>Issue</t>
  </si>
  <si>
    <t>Sauteur</t>
  </si>
  <si>
    <t>Zone saut</t>
  </si>
  <si>
    <t>Ballon</t>
  </si>
  <si>
    <t>Zone terrain</t>
  </si>
  <si>
    <t>Alignement</t>
  </si>
  <si>
    <t>Observations</t>
  </si>
  <si>
    <t>N</t>
  </si>
  <si>
    <t>G</t>
  </si>
  <si>
    <t>Z0</t>
  </si>
  <si>
    <t>C</t>
  </si>
  <si>
    <t>N en-but</t>
  </si>
  <si>
    <t>Gauche</t>
  </si>
  <si>
    <t>Avants</t>
  </si>
  <si>
    <t>Chaud</t>
  </si>
  <si>
    <t>MT1</t>
  </si>
  <si>
    <t>E</t>
  </si>
  <si>
    <t>P</t>
  </si>
  <si>
    <t>Z2</t>
  </si>
  <si>
    <t>N 40m</t>
  </si>
  <si>
    <t>Complet</t>
  </si>
  <si>
    <t>Z1</t>
  </si>
  <si>
    <t>F</t>
  </si>
  <si>
    <t>N 15m</t>
  </si>
  <si>
    <t>Milieu</t>
  </si>
  <si>
    <t>Trois-quart</t>
  </si>
  <si>
    <t>Froid</t>
  </si>
  <si>
    <t>BARATGIN Julian</t>
  </si>
  <si>
    <t>Z1,5</t>
  </si>
  <si>
    <t>50m</t>
  </si>
  <si>
    <t>ND</t>
  </si>
  <si>
    <t>N 22m</t>
  </si>
  <si>
    <t>Droit</t>
  </si>
  <si>
    <t>Pied</t>
  </si>
  <si>
    <t>ABADIE Emeric</t>
  </si>
  <si>
    <t>E 30m</t>
  </si>
  <si>
    <t>N 30m</t>
  </si>
  <si>
    <t>Z3</t>
  </si>
  <si>
    <t>MULLIER Victor</t>
  </si>
  <si>
    <t>E 40m</t>
  </si>
  <si>
    <t>Bloc saut lobbé, verouilleur part avec le ballon</t>
  </si>
  <si>
    <t>E 22m</t>
  </si>
  <si>
    <t>E 15m</t>
  </si>
  <si>
    <t>E en-but</t>
  </si>
  <si>
    <t>DUTREY Thomas</t>
  </si>
  <si>
    <t>MT2</t>
  </si>
  <si>
    <t>FITAN Maël</t>
  </si>
  <si>
    <t>ABADIE Quentin</t>
  </si>
  <si>
    <t>Sauteur lobbé, joueur derrière le bloc récupère</t>
  </si>
  <si>
    <t xml:space="preserve"> </t>
  </si>
  <si>
    <t>Touches</t>
  </si>
  <si>
    <t>Gagnees</t>
  </si>
  <si>
    <t>Perdues</t>
  </si>
  <si>
    <t>Pas droites</t>
  </si>
  <si>
    <t>Pour nous</t>
  </si>
  <si>
    <t>Pour l'adversaire</t>
  </si>
  <si>
    <t>MELEES</t>
  </si>
  <si>
    <t>Introduction pour</t>
  </si>
  <si>
    <t>Zone longueur</t>
  </si>
  <si>
    <t>Zone largeur</t>
  </si>
  <si>
    <t>Jeu avant</t>
  </si>
  <si>
    <t>Jeu 3/4</t>
  </si>
  <si>
    <t>Jeu pied</t>
  </si>
  <si>
    <t>✓</t>
  </si>
  <si>
    <t>Melees</t>
  </si>
  <si>
    <t>LST_SAUTEURS</t>
  </si>
  <si>
    <t>ABADIE Thomas</t>
  </si>
  <si>
    <t>BAQUE Mickael</t>
  </si>
  <si>
    <t>BOURREC Anthony</t>
  </si>
  <si>
    <t>CESCA Sacha</t>
  </si>
  <si>
    <t>COURREGES Romain</t>
  </si>
  <si>
    <t>DALLA ROSA Jonah</t>
  </si>
  <si>
    <t>GALLINARO Pierrick</t>
  </si>
  <si>
    <t>JOUNAUX Joris</t>
  </si>
  <si>
    <t>KAPFER Bastien</t>
  </si>
  <si>
    <t>LAUDET Jean Baptiste</t>
  </si>
  <si>
    <t>LOUREIRO LABAZUY Antonio</t>
  </si>
  <si>
    <t>MOUDENS Alexis</t>
  </si>
  <si>
    <t>RICHIARDONNE Gregory</t>
  </si>
  <si>
    <t>ROBERT Jimmy</t>
  </si>
  <si>
    <t>SALLES Fabien</t>
  </si>
  <si>
    <t>SOUVILLE Quentin</t>
  </si>
  <si>
    <t>Collectif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</si>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</sst>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"/>
  </numFmts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16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m]:ss"/>
    </dxf>
    <dxf>
      <numFmt numFmtId="164" formatCode="[m]:ss"/>
    </dxf>
    <dxf>
      <border>
        <bottom style="thin">
          <color rgb="FFED7D31"/>
        </bottom>
      </border>
    </dxf>
    <dxf>
      <fill>
        <patternFill>
          <bgColor rgb="FFFCE4D6"/>
        </patternFill>
      </fill>
      <border>
        <bottom style="thin">
          <color rgb="FFED7D31"/>
        </bottom>
      </border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  <dxf>
      <border>
        <bottom style="thin">
          <color rgb="FF4472C4"/>
        </bottom>
      </border>
    </dxf>
    <dxf>
      <fill>
        <patternFill>
          <bgColor rgb="FFD9E2F3"/>
        </patternFill>
      </fill>
      <border>
        <bottom style="thin">
          <color rgb="FF4472C4"/>
        </bottom>
      </border>
    </dxf>
    <dxf>
      <font>
        <b/>
        <i val="0"/>
        <color rgb="FFFFFFFF"/>
      </font>
      <fill>
        <patternFill>
          <bgColor rgb="FFC00000"/>
        </patternFill>
      </fill>
    </dxf>
    <dxf>
      <font>
        <b/>
        <i val="0"/>
        <color rgb="FFFFFFFF"/>
      </font>
      <fill>
        <patternFill>
          <bgColor rgb="FF0070C0"/>
        </patternFill>
      </fill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  <dxf>
      <border>
        <bottom style="thin">
          <color rgb="FFED7D31"/>
        </bottom>
      </border>
    </dxf>
    <dxf>
      <fill>
        <patternFill>
          <bgColor rgb="FFFCE4D6"/>
        </patternFill>
      </fill>
      <border>
        <bottom style="thin">
          <color rgb="FFED7D31"/>
        </bottom>
      </border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BBBC91-422F-084C-94BC-6F3FA96476A9}" name="DetailTouches" displayName="DetailTouches" ref="A2:J30" totalsRowShown="0">
  <autoFilter ref="A2:J30" xr:uid="{25BBBC91-422F-084C-94BC-6F3FA96476A9}"/>
  <tableColumns count="10">
    <tableColumn id="1" xr3:uid="{4F4ADD26-7F54-8441-A0EF-8252285463BA}" name="Temps video" dataDxfId="5"/>
    <tableColumn id="2" xr3:uid="{DE53A533-5446-2042-ACCB-A581CF47A587}" name="Mi-temps"/>
    <tableColumn id="3" xr3:uid="{96A6EAE5-0CAC-F846-90F1-4C4EBEC9AA85}" name="Lance pour"/>
    <tableColumn id="4" xr3:uid="{A23BB438-A724-854A-AF94-26A2F1441E7B}" name="Issue"/>
    <tableColumn id="5" xr3:uid="{C2DBBF5F-F385-7F4D-B185-1E666E0325F8}" name="Sauteur"/>
    <tableColumn id="6" xr3:uid="{19F9CC07-D8EF-304A-A1C4-C92E73B94BEF}" name="Zone saut"/>
    <tableColumn id="7" xr3:uid="{C89810E4-1104-144C-BCF2-8D52D0BC5296}" name="Ballon"/>
    <tableColumn id="8" xr3:uid="{AE3A0EFA-2FA8-E64A-AC7E-CF017E60B391}" name="Zone terrain"/>
    <tableColumn id="9" xr3:uid="{1AF41911-7770-7540-8CD0-F8F8F9E09779}" name="Alignement"/>
    <tableColumn id="10" xr3:uid="{A02A916E-C111-9848-84DC-C25E3CBA4C68}" name="Observation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A4DB74-6805-9047-91E6-0836B4198AAF}" name="DetailMelees" displayName="DetailMelees" ref="A36:J47" totalsRowShown="0" dataDxfId="0">
  <autoFilter ref="A36:J47" xr:uid="{E6A4DB74-6805-9047-91E6-0836B4198AAF}"/>
  <tableColumns count="10">
    <tableColumn id="1" xr3:uid="{1730B263-E859-0448-906D-2DA30318A379}" name="Temps video" dataDxfId="4"/>
    <tableColumn id="2" xr3:uid="{1A669982-6E68-CE48-BB9D-672B2976A56B}" name="Mi-temps"/>
    <tableColumn id="3" xr3:uid="{29FFF550-591E-BC48-A351-7E3B0C5472B3}" name="Introduction pour"/>
    <tableColumn id="4" xr3:uid="{95538688-22A7-E341-A15C-0BB21C1D4BC7}" name="Issue"/>
    <tableColumn id="5" xr3:uid="{857F9301-370A-BF4C-A2ED-AF11A91819DD}" name="Zone longueur"/>
    <tableColumn id="6" xr3:uid="{E4E01425-4F29-5541-817C-F95EDA2F0BBD}" name="Zone largeur"/>
    <tableColumn id="7" xr3:uid="{E211DE05-9684-654F-9F8F-6C2BC5F51591}" name="Jeu avant" dataDxfId="3"/>
    <tableColumn id="8" xr3:uid="{DA2618BB-CC0B-FD4C-8BEC-8F2234FD9AEF}" name="Jeu 3/4" dataDxfId="2"/>
    <tableColumn id="9" xr3:uid="{D3C46729-AD39-7947-92DC-94C4575DA167}" name="Jeu pied" dataDxfId="1"/>
    <tableColumn id="10" xr3:uid="{BDC5FD60-8516-2C4E-9AAE-CCF4386C4ABE}" name="Observations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6DEE-A77E-2245-9FDA-F0000A4EEF7B}">
  <dimension ref="A1:AG57"/>
  <sheetViews>
    <sheetView showGridLines="0" tabSelected="1" workbookViewId="0">
      <selection sqref="A1:AF57"/>
    </sheetView>
  </sheetViews>
  <sheetFormatPr baseColWidth="10" defaultRowHeight="16" x14ac:dyDescent="0.2"/>
  <cols>
    <col min="1" max="1" width="13.6640625" customWidth="1"/>
    <col min="2" max="2" width="12.83203125" customWidth="1"/>
    <col min="3" max="3" width="17.5" customWidth="1"/>
    <col min="4" max="4" width="12.83203125" customWidth="1"/>
    <col min="5" max="5" width="17.6640625" customWidth="1"/>
    <col min="6" max="6" width="13.6640625" customWidth="1"/>
    <col min="7" max="7" width="12.83203125" customWidth="1"/>
    <col min="8" max="8" width="13.33203125" customWidth="1"/>
    <col min="9" max="9" width="13" customWidth="1"/>
    <col min="10" max="10" width="36.33203125" bestFit="1" customWidth="1"/>
    <col min="11" max="20" width="12.83203125" customWidth="1"/>
    <col min="21" max="21" width="30.83203125" customWidth="1"/>
    <col min="22" max="33" width="0" hidden="1" customWidth="1"/>
  </cols>
  <sheetData>
    <row r="1" spans="1:33" ht="18" x14ac:dyDescent="0.2">
      <c r="A1" s="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79</v>
      </c>
    </row>
    <row r="2" spans="1:3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W2" t="s">
        <v>21</v>
      </c>
      <c r="X2" t="s">
        <v>22</v>
      </c>
      <c r="Y2" t="s">
        <v>22</v>
      </c>
      <c r="Z2" t="s">
        <v>23</v>
      </c>
      <c r="AA2" t="s">
        <v>24</v>
      </c>
      <c r="AB2" t="s">
        <v>25</v>
      </c>
      <c r="AC2">
        <v>2</v>
      </c>
      <c r="AD2" t="s">
        <v>26</v>
      </c>
      <c r="AE2" t="s">
        <v>27</v>
      </c>
      <c r="AF2" t="s">
        <v>28</v>
      </c>
      <c r="AG2" t="s">
        <v>48</v>
      </c>
    </row>
    <row r="3" spans="1:33" x14ac:dyDescent="0.2">
      <c r="A3" s="2">
        <v>5.1872701273148148E-3</v>
      </c>
      <c r="B3" t="s">
        <v>29</v>
      </c>
      <c r="C3" t="s">
        <v>30</v>
      </c>
      <c r="D3" t="s">
        <v>31</v>
      </c>
      <c r="F3" t="s">
        <v>32</v>
      </c>
      <c r="G3" t="s">
        <v>24</v>
      </c>
      <c r="H3" t="s">
        <v>33</v>
      </c>
      <c r="I3" t="s">
        <v>34</v>
      </c>
      <c r="W3" t="s">
        <v>30</v>
      </c>
      <c r="X3" t="s">
        <v>31</v>
      </c>
      <c r="Y3" t="s">
        <v>31</v>
      </c>
      <c r="Z3" t="s">
        <v>35</v>
      </c>
      <c r="AA3" t="s">
        <v>36</v>
      </c>
      <c r="AB3" t="s">
        <v>37</v>
      </c>
      <c r="AC3">
        <v>3</v>
      </c>
      <c r="AD3" t="s">
        <v>38</v>
      </c>
      <c r="AE3" s="3" t="s">
        <v>39</v>
      </c>
      <c r="AF3" t="s">
        <v>40</v>
      </c>
      <c r="AG3" t="s">
        <v>61</v>
      </c>
    </row>
    <row r="4" spans="1:33" x14ac:dyDescent="0.2">
      <c r="A4" s="2">
        <v>7.0511375000000005E-3</v>
      </c>
      <c r="B4" t="s">
        <v>29</v>
      </c>
      <c r="C4" t="s">
        <v>30</v>
      </c>
      <c r="D4" t="s">
        <v>22</v>
      </c>
      <c r="E4" t="s">
        <v>41</v>
      </c>
      <c r="F4" t="s">
        <v>42</v>
      </c>
      <c r="G4" t="s">
        <v>36</v>
      </c>
      <c r="H4" t="s">
        <v>43</v>
      </c>
      <c r="I4" t="s">
        <v>34</v>
      </c>
      <c r="X4" t="s">
        <v>44</v>
      </c>
      <c r="Z4" t="s">
        <v>42</v>
      </c>
      <c r="AB4" t="s">
        <v>45</v>
      </c>
      <c r="AC4">
        <v>4</v>
      </c>
      <c r="AD4" t="s">
        <v>46</v>
      </c>
      <c r="AE4" t="s">
        <v>47</v>
      </c>
      <c r="AG4" t="s">
        <v>80</v>
      </c>
    </row>
    <row r="5" spans="1:33" x14ac:dyDescent="0.2">
      <c r="A5" s="2">
        <v>7.9532812037037045E-3</v>
      </c>
      <c r="B5" t="s">
        <v>29</v>
      </c>
      <c r="C5" t="s">
        <v>21</v>
      </c>
      <c r="D5" t="s">
        <v>22</v>
      </c>
      <c r="E5" t="s">
        <v>48</v>
      </c>
      <c r="F5" t="s">
        <v>42</v>
      </c>
      <c r="G5" t="s">
        <v>24</v>
      </c>
      <c r="H5" t="s">
        <v>49</v>
      </c>
      <c r="I5" t="s">
        <v>34</v>
      </c>
      <c r="Z5" t="s">
        <v>32</v>
      </c>
      <c r="AB5" t="s">
        <v>50</v>
      </c>
      <c r="AC5">
        <v>5</v>
      </c>
      <c r="AG5" t="s">
        <v>81</v>
      </c>
    </row>
    <row r="6" spans="1:33" x14ac:dyDescent="0.2">
      <c r="A6" s="2">
        <v>9.3196754398148143E-3</v>
      </c>
      <c r="B6" t="s">
        <v>29</v>
      </c>
      <c r="C6" t="s">
        <v>30</v>
      </c>
      <c r="D6" t="s">
        <v>31</v>
      </c>
      <c r="F6" t="s">
        <v>35</v>
      </c>
      <c r="G6" t="s">
        <v>24</v>
      </c>
      <c r="H6" t="s">
        <v>25</v>
      </c>
      <c r="I6" t="s">
        <v>34</v>
      </c>
      <c r="Z6" t="s">
        <v>51</v>
      </c>
      <c r="AB6" t="s">
        <v>33</v>
      </c>
      <c r="AC6">
        <v>6</v>
      </c>
      <c r="AG6" t="s">
        <v>41</v>
      </c>
    </row>
    <row r="7" spans="1:33" x14ac:dyDescent="0.2">
      <c r="A7" s="2">
        <v>9.8864677777777774E-3</v>
      </c>
      <c r="B7" t="s">
        <v>29</v>
      </c>
      <c r="C7" t="s">
        <v>21</v>
      </c>
      <c r="D7" t="s">
        <v>31</v>
      </c>
      <c r="E7" t="s">
        <v>41</v>
      </c>
      <c r="F7" t="s">
        <v>35</v>
      </c>
      <c r="H7" t="s">
        <v>25</v>
      </c>
      <c r="I7" t="s">
        <v>34</v>
      </c>
      <c r="AB7" t="s">
        <v>43</v>
      </c>
      <c r="AC7" t="s">
        <v>34</v>
      </c>
      <c r="AG7" t="s">
        <v>82</v>
      </c>
    </row>
    <row r="8" spans="1:33" x14ac:dyDescent="0.2">
      <c r="A8" s="2">
        <v>1.4049508287037037E-2</v>
      </c>
      <c r="B8" t="s">
        <v>29</v>
      </c>
      <c r="C8" t="s">
        <v>21</v>
      </c>
      <c r="D8" t="s">
        <v>44</v>
      </c>
      <c r="E8" t="s">
        <v>52</v>
      </c>
      <c r="F8" t="s">
        <v>32</v>
      </c>
      <c r="H8" t="s">
        <v>53</v>
      </c>
      <c r="I8">
        <v>5</v>
      </c>
      <c r="AB8" t="s">
        <v>53</v>
      </c>
      <c r="AG8" t="s">
        <v>83</v>
      </c>
    </row>
    <row r="9" spans="1:33" x14ac:dyDescent="0.2">
      <c r="A9" s="2">
        <v>1.5222834733796296E-2</v>
      </c>
      <c r="B9" t="s">
        <v>29</v>
      </c>
      <c r="C9" t="s">
        <v>30</v>
      </c>
      <c r="D9" t="s">
        <v>44</v>
      </c>
      <c r="F9" t="s">
        <v>32</v>
      </c>
      <c r="H9" t="s">
        <v>50</v>
      </c>
      <c r="I9" t="s">
        <v>34</v>
      </c>
      <c r="AB9" t="s">
        <v>49</v>
      </c>
      <c r="AG9" t="s">
        <v>84</v>
      </c>
    </row>
    <row r="10" spans="1:33" x14ac:dyDescent="0.2">
      <c r="A10" s="2">
        <v>1.6186776932870371E-2</v>
      </c>
      <c r="B10" t="s">
        <v>29</v>
      </c>
      <c r="C10" t="s">
        <v>21</v>
      </c>
      <c r="D10" t="s">
        <v>22</v>
      </c>
      <c r="E10" t="s">
        <v>52</v>
      </c>
      <c r="F10" t="s">
        <v>32</v>
      </c>
      <c r="G10" t="s">
        <v>36</v>
      </c>
      <c r="H10" t="s">
        <v>43</v>
      </c>
      <c r="I10">
        <v>5</v>
      </c>
      <c r="J10" t="s">
        <v>54</v>
      </c>
      <c r="AB10" t="s">
        <v>55</v>
      </c>
      <c r="AG10" t="s">
        <v>85</v>
      </c>
    </row>
    <row r="11" spans="1:33" x14ac:dyDescent="0.2">
      <c r="A11" s="2">
        <v>1.932261431712963E-2</v>
      </c>
      <c r="B11" t="s">
        <v>29</v>
      </c>
      <c r="C11" t="s">
        <v>21</v>
      </c>
      <c r="D11" t="s">
        <v>44</v>
      </c>
      <c r="E11" t="s">
        <v>41</v>
      </c>
      <c r="F11" t="s">
        <v>35</v>
      </c>
      <c r="H11" t="s">
        <v>43</v>
      </c>
      <c r="I11">
        <v>5</v>
      </c>
      <c r="AB11" t="s">
        <v>56</v>
      </c>
      <c r="AG11" t="s">
        <v>58</v>
      </c>
    </row>
    <row r="12" spans="1:33" x14ac:dyDescent="0.2">
      <c r="A12" s="2">
        <v>2.0253061203703702E-2</v>
      </c>
      <c r="B12" t="s">
        <v>29</v>
      </c>
      <c r="C12" t="s">
        <v>21</v>
      </c>
      <c r="D12" t="s">
        <v>31</v>
      </c>
      <c r="E12" t="s">
        <v>48</v>
      </c>
      <c r="F12" t="s">
        <v>32</v>
      </c>
      <c r="H12" t="s">
        <v>53</v>
      </c>
      <c r="I12" t="s">
        <v>34</v>
      </c>
      <c r="AB12" t="s">
        <v>57</v>
      </c>
      <c r="AG12" t="s">
        <v>60</v>
      </c>
    </row>
    <row r="13" spans="1:33" x14ac:dyDescent="0.2">
      <c r="A13" s="2">
        <v>2.0953364594907407E-2</v>
      </c>
      <c r="B13" t="s">
        <v>29</v>
      </c>
      <c r="C13" t="s">
        <v>21</v>
      </c>
      <c r="D13" t="s">
        <v>22</v>
      </c>
      <c r="E13" t="s">
        <v>41</v>
      </c>
      <c r="F13" t="s">
        <v>35</v>
      </c>
      <c r="G13" t="s">
        <v>36</v>
      </c>
      <c r="H13" t="s">
        <v>55</v>
      </c>
      <c r="I13">
        <v>4</v>
      </c>
      <c r="AG13" t="s">
        <v>86</v>
      </c>
    </row>
    <row r="14" spans="1:33" x14ac:dyDescent="0.2">
      <c r="A14" s="2">
        <v>2.3422727488425926E-2</v>
      </c>
      <c r="B14" t="s">
        <v>29</v>
      </c>
      <c r="C14" t="s">
        <v>21</v>
      </c>
      <c r="D14" t="s">
        <v>31</v>
      </c>
      <c r="E14" t="s">
        <v>48</v>
      </c>
      <c r="F14" t="s">
        <v>51</v>
      </c>
      <c r="H14" t="s">
        <v>55</v>
      </c>
      <c r="I14">
        <v>5</v>
      </c>
      <c r="AG14" t="s">
        <v>87</v>
      </c>
    </row>
    <row r="15" spans="1:33" x14ac:dyDescent="0.2">
      <c r="A15" s="2">
        <v>2.6280500613425926E-2</v>
      </c>
      <c r="B15" t="s">
        <v>29</v>
      </c>
      <c r="C15" t="s">
        <v>30</v>
      </c>
      <c r="D15" t="s">
        <v>44</v>
      </c>
      <c r="H15" t="s">
        <v>53</v>
      </c>
      <c r="I15">
        <v>5</v>
      </c>
      <c r="AG15" t="s">
        <v>88</v>
      </c>
    </row>
    <row r="16" spans="1:33" x14ac:dyDescent="0.2">
      <c r="A16" s="2">
        <v>2.8549662847222219E-2</v>
      </c>
      <c r="B16" t="s">
        <v>29</v>
      </c>
      <c r="C16" t="s">
        <v>21</v>
      </c>
      <c r="D16" t="s">
        <v>44</v>
      </c>
      <c r="E16" t="s">
        <v>58</v>
      </c>
      <c r="F16" t="s">
        <v>32</v>
      </c>
      <c r="H16" t="s">
        <v>43</v>
      </c>
      <c r="I16">
        <v>5</v>
      </c>
      <c r="AG16" t="s">
        <v>89</v>
      </c>
    </row>
    <row r="17" spans="1:33" x14ac:dyDescent="0.2">
      <c r="A17" s="2">
        <v>3.3880802951388886E-2</v>
      </c>
      <c r="B17" t="s">
        <v>29</v>
      </c>
      <c r="C17" t="s">
        <v>30</v>
      </c>
      <c r="D17" t="s">
        <v>31</v>
      </c>
      <c r="F17" t="s">
        <v>32</v>
      </c>
      <c r="G17" t="s">
        <v>24</v>
      </c>
      <c r="H17" t="s">
        <v>45</v>
      </c>
      <c r="I17" t="s">
        <v>34</v>
      </c>
      <c r="AG17" t="s">
        <v>90</v>
      </c>
    </row>
    <row r="18" spans="1:33" x14ac:dyDescent="0.2">
      <c r="A18" s="2">
        <v>3.9504903009259261E-2</v>
      </c>
      <c r="B18" t="s">
        <v>59</v>
      </c>
      <c r="C18" t="s">
        <v>21</v>
      </c>
      <c r="D18" t="s">
        <v>22</v>
      </c>
      <c r="E18" t="s">
        <v>60</v>
      </c>
      <c r="F18" t="s">
        <v>35</v>
      </c>
      <c r="G18" t="s">
        <v>36</v>
      </c>
      <c r="H18" t="s">
        <v>53</v>
      </c>
      <c r="I18" t="s">
        <v>34</v>
      </c>
      <c r="AG18" t="s">
        <v>91</v>
      </c>
    </row>
    <row r="19" spans="1:33" x14ac:dyDescent="0.2">
      <c r="A19" s="2">
        <v>4.1785582268518522E-2</v>
      </c>
      <c r="B19" t="s">
        <v>59</v>
      </c>
      <c r="C19" t="s">
        <v>21</v>
      </c>
      <c r="D19" t="s">
        <v>31</v>
      </c>
      <c r="H19" t="s">
        <v>53</v>
      </c>
      <c r="I19">
        <v>5</v>
      </c>
      <c r="AG19" t="s">
        <v>52</v>
      </c>
    </row>
    <row r="20" spans="1:33" x14ac:dyDescent="0.2">
      <c r="A20" s="2">
        <v>4.477153431712963E-2</v>
      </c>
      <c r="B20" t="s">
        <v>59</v>
      </c>
      <c r="C20" t="s">
        <v>21</v>
      </c>
      <c r="D20" t="s">
        <v>31</v>
      </c>
      <c r="E20" t="s">
        <v>41</v>
      </c>
      <c r="F20" t="s">
        <v>42</v>
      </c>
      <c r="H20" t="s">
        <v>53</v>
      </c>
      <c r="I20" t="s">
        <v>34</v>
      </c>
      <c r="AG20" t="s">
        <v>92</v>
      </c>
    </row>
    <row r="21" spans="1:33" x14ac:dyDescent="0.2">
      <c r="A21" s="2">
        <v>4.5936444884259256E-2</v>
      </c>
      <c r="B21" t="s">
        <v>59</v>
      </c>
      <c r="C21" t="s">
        <v>30</v>
      </c>
      <c r="D21" t="s">
        <v>44</v>
      </c>
      <c r="F21" t="s">
        <v>32</v>
      </c>
      <c r="H21" t="s">
        <v>33</v>
      </c>
      <c r="I21">
        <v>5</v>
      </c>
      <c r="AG21" t="s">
        <v>93</v>
      </c>
    </row>
    <row r="22" spans="1:33" x14ac:dyDescent="0.2">
      <c r="A22" s="2">
        <v>4.976612143518519E-2</v>
      </c>
      <c r="B22" t="s">
        <v>59</v>
      </c>
      <c r="C22" t="s">
        <v>21</v>
      </c>
      <c r="D22" t="s">
        <v>22</v>
      </c>
      <c r="E22" t="s">
        <v>60</v>
      </c>
      <c r="F22" t="s">
        <v>35</v>
      </c>
      <c r="G22" t="s">
        <v>24</v>
      </c>
      <c r="H22" t="s">
        <v>53</v>
      </c>
      <c r="I22" t="s">
        <v>34</v>
      </c>
      <c r="AG22" t="s">
        <v>94</v>
      </c>
    </row>
    <row r="23" spans="1:33" x14ac:dyDescent="0.2">
      <c r="A23" s="2">
        <v>5.0697859560185181E-2</v>
      </c>
      <c r="B23" t="s">
        <v>59</v>
      </c>
      <c r="C23" t="s">
        <v>30</v>
      </c>
      <c r="D23" t="s">
        <v>31</v>
      </c>
      <c r="F23" t="s">
        <v>51</v>
      </c>
      <c r="G23" t="s">
        <v>24</v>
      </c>
      <c r="H23" t="s">
        <v>45</v>
      </c>
      <c r="I23" t="s">
        <v>34</v>
      </c>
      <c r="AG23" t="s">
        <v>95</v>
      </c>
    </row>
    <row r="24" spans="1:33" x14ac:dyDescent="0.2">
      <c r="A24" s="2">
        <v>5.1682210856481475E-2</v>
      </c>
      <c r="B24" t="s">
        <v>59</v>
      </c>
      <c r="C24" t="s">
        <v>30</v>
      </c>
      <c r="D24" t="s">
        <v>31</v>
      </c>
      <c r="F24" t="s">
        <v>35</v>
      </c>
      <c r="G24" t="s">
        <v>24</v>
      </c>
      <c r="H24" t="s">
        <v>49</v>
      </c>
      <c r="I24">
        <v>5</v>
      </c>
      <c r="AG24" t="s">
        <v>96</v>
      </c>
    </row>
    <row r="25" spans="1:33" x14ac:dyDescent="0.2">
      <c r="A25" s="2">
        <v>5.296251480324074E-2</v>
      </c>
      <c r="B25" t="s">
        <v>59</v>
      </c>
      <c r="C25" t="s">
        <v>21</v>
      </c>
      <c r="D25" t="s">
        <v>22</v>
      </c>
      <c r="E25" t="s">
        <v>41</v>
      </c>
      <c r="F25" t="s">
        <v>42</v>
      </c>
      <c r="H25" t="s">
        <v>43</v>
      </c>
      <c r="I25" t="s">
        <v>34</v>
      </c>
      <c r="AG25" t="s">
        <v>97</v>
      </c>
    </row>
    <row r="26" spans="1:33" x14ac:dyDescent="0.2">
      <c r="A26" s="2">
        <v>5.5892115439814809E-2</v>
      </c>
      <c r="B26" t="s">
        <v>59</v>
      </c>
      <c r="C26" t="s">
        <v>21</v>
      </c>
      <c r="D26" t="s">
        <v>22</v>
      </c>
      <c r="E26" t="s">
        <v>61</v>
      </c>
      <c r="F26" t="s">
        <v>42</v>
      </c>
      <c r="G26" t="s">
        <v>36</v>
      </c>
      <c r="H26" t="s">
        <v>55</v>
      </c>
      <c r="I26" t="s">
        <v>34</v>
      </c>
      <c r="J26" t="s">
        <v>62</v>
      </c>
    </row>
    <row r="27" spans="1:33" x14ac:dyDescent="0.2">
      <c r="A27" s="2">
        <v>5.7425238194444443E-2</v>
      </c>
      <c r="B27" t="s">
        <v>59</v>
      </c>
      <c r="C27" t="s">
        <v>30</v>
      </c>
      <c r="D27" t="s">
        <v>22</v>
      </c>
      <c r="E27" t="s">
        <v>60</v>
      </c>
      <c r="F27" t="s">
        <v>35</v>
      </c>
      <c r="G27" t="s">
        <v>24</v>
      </c>
      <c r="H27" t="s">
        <v>49</v>
      </c>
      <c r="I27" t="s">
        <v>34</v>
      </c>
    </row>
    <row r="28" spans="1:33" x14ac:dyDescent="0.2">
      <c r="A28" s="2">
        <v>5.9010815671296298E-2</v>
      </c>
      <c r="B28" t="s">
        <v>59</v>
      </c>
      <c r="C28" t="s">
        <v>30</v>
      </c>
      <c r="D28" t="s">
        <v>31</v>
      </c>
      <c r="F28" t="s">
        <v>51</v>
      </c>
      <c r="G28" t="s">
        <v>24</v>
      </c>
      <c r="H28" t="s">
        <v>37</v>
      </c>
      <c r="I28" t="s">
        <v>34</v>
      </c>
    </row>
    <row r="29" spans="1:33" x14ac:dyDescent="0.2">
      <c r="A29" s="2">
        <v>6.1058776840277773E-2</v>
      </c>
      <c r="B29" t="s">
        <v>59</v>
      </c>
      <c r="C29" t="s">
        <v>30</v>
      </c>
      <c r="D29" t="s">
        <v>31</v>
      </c>
      <c r="F29" t="s">
        <v>35</v>
      </c>
      <c r="G29" t="s">
        <v>24</v>
      </c>
      <c r="H29" t="s">
        <v>45</v>
      </c>
      <c r="I29" t="s">
        <v>34</v>
      </c>
    </row>
    <row r="30" spans="1:33" x14ac:dyDescent="0.2">
      <c r="A30" s="2"/>
      <c r="E30" t="s">
        <v>63</v>
      </c>
    </row>
    <row r="31" spans="1:33" x14ac:dyDescent="0.2">
      <c r="A31" s="4" t="s">
        <v>64</v>
      </c>
      <c r="B31" s="5" t="s">
        <v>65</v>
      </c>
      <c r="C31" s="5" t="s">
        <v>66</v>
      </c>
      <c r="D31" s="5" t="s">
        <v>67</v>
      </c>
    </row>
    <row r="32" spans="1:33" x14ac:dyDescent="0.2">
      <c r="A32" s="6" t="s">
        <v>68</v>
      </c>
      <c r="B32" s="7">
        <f>COUNTIFS(DetailTouches[Lance pour],"N",DetailTouches[Issue],"G")</f>
        <v>7</v>
      </c>
      <c r="C32" s="7">
        <f>COUNTIFS(DetailTouches[Lance pour],"N",DetailTouches[Issue],"P")</f>
        <v>5</v>
      </c>
      <c r="D32" s="7">
        <f>COUNTIFS(DetailTouches[Lance pour],"N",DetailTouches[Issue],"ND")</f>
        <v>3</v>
      </c>
    </row>
    <row r="33" spans="1:10" x14ac:dyDescent="0.2">
      <c r="A33" s="8" t="s">
        <v>69</v>
      </c>
      <c r="B33" s="9">
        <f>COUNTIFS(DetailTouches[Lance pour],"E",DetailTouches[Issue],"P")</f>
        <v>7</v>
      </c>
      <c r="C33" s="9">
        <f>COUNTIFS(DetailTouches[Lance pour],"E",DetailTouches[Issue],"G")</f>
        <v>2</v>
      </c>
      <c r="D33" s="9">
        <f>COUNTIFS(DetailTouches[Lance pour],"E",DetailTouches[Issue],"ND")</f>
        <v>3</v>
      </c>
    </row>
    <row r="35" spans="1:10" ht="18" x14ac:dyDescent="0.2">
      <c r="A35" s="1" t="s">
        <v>70</v>
      </c>
    </row>
    <row r="36" spans="1:10" x14ac:dyDescent="0.2">
      <c r="A36" t="s">
        <v>11</v>
      </c>
      <c r="B36" t="s">
        <v>12</v>
      </c>
      <c r="C36" t="s">
        <v>71</v>
      </c>
      <c r="D36" t="s">
        <v>14</v>
      </c>
      <c r="E36" t="s">
        <v>72</v>
      </c>
      <c r="F36" t="s">
        <v>73</v>
      </c>
      <c r="G36" t="s">
        <v>74</v>
      </c>
      <c r="H36" t="s">
        <v>75</v>
      </c>
      <c r="I36" t="s">
        <v>76</v>
      </c>
      <c r="J36" t="s">
        <v>20</v>
      </c>
    </row>
    <row r="37" spans="1:10" x14ac:dyDescent="0.2">
      <c r="A37" s="2">
        <v>8.7726793865740751E-3</v>
      </c>
      <c r="B37" t="s">
        <v>29</v>
      </c>
      <c r="C37" t="s">
        <v>30</v>
      </c>
      <c r="D37" t="s">
        <v>31</v>
      </c>
      <c r="E37" t="s">
        <v>49</v>
      </c>
      <c r="F37" t="s">
        <v>38</v>
      </c>
      <c r="G37" s="10"/>
      <c r="H37" s="10"/>
      <c r="I37" s="10" t="s">
        <v>77</v>
      </c>
    </row>
    <row r="38" spans="1:10" x14ac:dyDescent="0.2">
      <c r="A38" s="2">
        <v>1.4457375046296295E-2</v>
      </c>
      <c r="B38" t="s">
        <v>29</v>
      </c>
      <c r="C38" t="s">
        <v>30</v>
      </c>
      <c r="D38" t="s">
        <v>31</v>
      </c>
      <c r="E38" t="s">
        <v>53</v>
      </c>
      <c r="F38" t="s">
        <v>26</v>
      </c>
      <c r="G38" s="10"/>
      <c r="H38" s="10"/>
      <c r="I38" s="10" t="s">
        <v>77</v>
      </c>
    </row>
    <row r="39" spans="1:10" x14ac:dyDescent="0.2">
      <c r="A39" s="2">
        <v>1.5593814363425924E-2</v>
      </c>
      <c r="B39" t="s">
        <v>29</v>
      </c>
      <c r="C39" t="s">
        <v>21</v>
      </c>
      <c r="D39" t="s">
        <v>22</v>
      </c>
      <c r="E39" t="s">
        <v>50</v>
      </c>
      <c r="F39" t="s">
        <v>46</v>
      </c>
      <c r="G39" s="10"/>
      <c r="H39" s="10"/>
      <c r="I39" s="10" t="s">
        <v>77</v>
      </c>
    </row>
    <row r="40" spans="1:10" x14ac:dyDescent="0.2">
      <c r="A40" s="2">
        <v>1.6665609305555558E-2</v>
      </c>
      <c r="B40" t="s">
        <v>29</v>
      </c>
      <c r="C40" t="s">
        <v>30</v>
      </c>
      <c r="D40" t="s">
        <v>31</v>
      </c>
      <c r="E40" t="s">
        <v>43</v>
      </c>
      <c r="F40" t="s">
        <v>38</v>
      </c>
      <c r="G40" s="10" t="s">
        <v>77</v>
      </c>
      <c r="H40" s="10"/>
      <c r="I40" s="10"/>
    </row>
    <row r="41" spans="1:10" x14ac:dyDescent="0.2">
      <c r="A41" s="2">
        <v>1.861090204861111E-2</v>
      </c>
      <c r="B41" t="s">
        <v>29</v>
      </c>
      <c r="C41" t="s">
        <v>30</v>
      </c>
      <c r="D41" t="s">
        <v>31</v>
      </c>
      <c r="E41" t="s">
        <v>45</v>
      </c>
      <c r="F41" t="s">
        <v>38</v>
      </c>
      <c r="G41" s="10"/>
      <c r="H41" s="10" t="s">
        <v>77</v>
      </c>
      <c r="I41" s="10"/>
    </row>
    <row r="42" spans="1:10" x14ac:dyDescent="0.2">
      <c r="A42" s="2">
        <v>1.9702408217592594E-2</v>
      </c>
      <c r="B42" t="s">
        <v>29</v>
      </c>
      <c r="C42" t="s">
        <v>30</v>
      </c>
      <c r="D42" t="s">
        <v>31</v>
      </c>
      <c r="E42" t="s">
        <v>43</v>
      </c>
      <c r="F42" t="s">
        <v>26</v>
      </c>
      <c r="G42" s="10"/>
      <c r="H42" s="10"/>
      <c r="I42" s="10" t="s">
        <v>77</v>
      </c>
    </row>
    <row r="43" spans="1:10" x14ac:dyDescent="0.2">
      <c r="A43" s="2">
        <v>2.6713173831018518E-2</v>
      </c>
      <c r="B43" t="s">
        <v>29</v>
      </c>
      <c r="C43" t="s">
        <v>21</v>
      </c>
      <c r="D43" t="s">
        <v>22</v>
      </c>
      <c r="E43" t="s">
        <v>53</v>
      </c>
      <c r="F43" t="s">
        <v>26</v>
      </c>
      <c r="G43" s="10" t="s">
        <v>77</v>
      </c>
      <c r="H43" s="10"/>
      <c r="I43" s="10"/>
    </row>
    <row r="44" spans="1:10" x14ac:dyDescent="0.2">
      <c r="A44" s="2">
        <v>2.8905570625000002E-2</v>
      </c>
      <c r="B44" t="s">
        <v>29</v>
      </c>
      <c r="C44" t="s">
        <v>30</v>
      </c>
      <c r="D44" t="s">
        <v>31</v>
      </c>
      <c r="E44" t="s">
        <v>43</v>
      </c>
      <c r="F44" t="s">
        <v>26</v>
      </c>
      <c r="G44" s="10" t="s">
        <v>77</v>
      </c>
      <c r="H44" s="10"/>
      <c r="I44" s="10"/>
    </row>
    <row r="45" spans="1:10" x14ac:dyDescent="0.2">
      <c r="A45" s="2">
        <v>4.636460091435185E-2</v>
      </c>
      <c r="B45" t="s">
        <v>59</v>
      </c>
      <c r="C45" t="s">
        <v>21</v>
      </c>
      <c r="D45" t="s">
        <v>22</v>
      </c>
      <c r="E45" t="s">
        <v>33</v>
      </c>
      <c r="F45" t="s">
        <v>46</v>
      </c>
      <c r="G45" s="10"/>
      <c r="H45" s="10"/>
      <c r="I45" s="10" t="s">
        <v>77</v>
      </c>
    </row>
    <row r="46" spans="1:10" x14ac:dyDescent="0.2">
      <c r="A46" s="2">
        <v>4.8990217418981484E-2</v>
      </c>
      <c r="B46" t="s">
        <v>59</v>
      </c>
      <c r="C46" t="s">
        <v>21</v>
      </c>
      <c r="D46" t="s">
        <v>22</v>
      </c>
      <c r="E46" t="s">
        <v>50</v>
      </c>
      <c r="F46" t="s">
        <v>38</v>
      </c>
      <c r="G46" s="10" t="s">
        <v>77</v>
      </c>
      <c r="H46" s="10"/>
      <c r="I46" s="10"/>
    </row>
    <row r="47" spans="1:10" x14ac:dyDescent="0.2">
      <c r="A47" s="2">
        <v>6.5719857465277767E-2</v>
      </c>
      <c r="B47" t="s">
        <v>59</v>
      </c>
      <c r="C47" t="s">
        <v>30</v>
      </c>
      <c r="D47" t="s">
        <v>31</v>
      </c>
      <c r="E47" t="s">
        <v>43</v>
      </c>
      <c r="F47" t="s">
        <v>46</v>
      </c>
      <c r="G47" s="10" t="s">
        <v>77</v>
      </c>
      <c r="H47" s="10"/>
      <c r="I47" s="10"/>
    </row>
    <row r="48" spans="1:10" x14ac:dyDescent="0.2">
      <c r="A48" s="2"/>
      <c r="G48" s="10"/>
      <c r="H48" s="10"/>
      <c r="I48" s="10"/>
    </row>
    <row r="49" spans="1:9" x14ac:dyDescent="0.2">
      <c r="A49" s="11" t="s">
        <v>78</v>
      </c>
      <c r="B49" s="12" t="s">
        <v>65</v>
      </c>
      <c r="C49" s="12" t="s">
        <v>66</v>
      </c>
      <c r="G49" s="10"/>
      <c r="H49" s="10"/>
      <c r="I49" s="10"/>
    </row>
    <row r="50" spans="1:9" x14ac:dyDescent="0.2">
      <c r="A50" s="13" t="s">
        <v>68</v>
      </c>
      <c r="B50" s="14">
        <f>COUNTIFS(DetailMelees[Introduction pour],"N",DetailMelees[Issue],"G")</f>
        <v>4</v>
      </c>
      <c r="C50" s="14">
        <f>COUNTIFS(DetailMelees[Introduction pour],"N",DetailMelees[Issue],"P")</f>
        <v>0</v>
      </c>
      <c r="G50" s="10"/>
      <c r="H50" s="10"/>
      <c r="I50" s="10"/>
    </row>
    <row r="51" spans="1:9" x14ac:dyDescent="0.2">
      <c r="A51" s="8" t="s">
        <v>69</v>
      </c>
      <c r="B51" s="9">
        <f>COUNTIFS(DetailMelees[Introduction pour],"E",DetailMelees[Issue],"P")</f>
        <v>7</v>
      </c>
      <c r="C51" s="9">
        <f>COUNTIFS(DetailMelees[Introduction pour],"E",DetailMelees[Issue],"G")</f>
        <v>0</v>
      </c>
      <c r="G51" s="10"/>
      <c r="H51" s="10"/>
      <c r="I51" s="10"/>
    </row>
    <row r="52" spans="1:9" x14ac:dyDescent="0.2">
      <c r="G52" s="10"/>
      <c r="H52" s="10"/>
      <c r="I52" s="10"/>
    </row>
    <row r="53" spans="1:9" ht="16" customHeight="1" x14ac:dyDescent="0.2">
      <c r="G53" s="10"/>
      <c r="H53" s="10"/>
      <c r="I53" s="10"/>
    </row>
    <row r="54" spans="1:9" x14ac:dyDescent="0.2">
      <c r="G54" s="10"/>
      <c r="H54" s="10"/>
      <c r="I54" s="10"/>
    </row>
    <row r="55" spans="1:9" x14ac:dyDescent="0.2">
      <c r="G55" s="10"/>
      <c r="H55" s="10"/>
      <c r="I55" s="10"/>
    </row>
    <row r="56" spans="1:9" x14ac:dyDescent="0.2">
      <c r="G56" s="10"/>
      <c r="H56" s="10"/>
      <c r="I56" s="10"/>
    </row>
    <row r="57" spans="1:9" x14ac:dyDescent="0.2">
      <c r="G57" s="10"/>
      <c r="H57" s="10"/>
      <c r="I57" s="10"/>
    </row>
  </sheetData>
  <conditionalFormatting sqref="D48:D49">
    <cfRule type="expression" dxfId="19" priority="1" stopIfTrue="1">
      <formula>($C48&amp;$D48)="NP"</formula>
    </cfRule>
    <cfRule type="expression" dxfId="18" priority="2" stopIfTrue="1">
      <formula>($C48&amp;$D48)="EG"</formula>
    </cfRule>
  </conditionalFormatting>
  <conditionalFormatting sqref="E50:J57 A48:J48 D49:J49">
    <cfRule type="expression" dxfId="17" priority="3" stopIfTrue="1">
      <formula>$C48="N"</formula>
    </cfRule>
    <cfRule type="expression" dxfId="16" priority="4" stopIfTrue="1">
      <formula>$C48&lt;&gt;""</formula>
    </cfRule>
  </conditionalFormatting>
  <conditionalFormatting sqref="D3:D30">
    <cfRule type="expression" dxfId="15" priority="5" stopIfTrue="1">
      <formula>($C3&amp;$D3)="NP"</formula>
    </cfRule>
    <cfRule type="expression" dxfId="14" priority="6" stopIfTrue="1">
      <formula>($C3&amp;$D3)="EG"</formula>
    </cfRule>
  </conditionalFormatting>
  <conditionalFormatting sqref="G3:G30">
    <cfRule type="expression" dxfId="13" priority="7" stopIfTrue="1">
      <formula>$G3="F"</formula>
    </cfRule>
    <cfRule type="expression" dxfId="12" priority="8" stopIfTrue="1">
      <formula>$G3="C"</formula>
    </cfRule>
  </conditionalFormatting>
  <conditionalFormatting sqref="A3:J30">
    <cfRule type="expression" dxfId="11" priority="9" stopIfTrue="1">
      <formula>$C3="N"</formula>
    </cfRule>
    <cfRule type="expression" dxfId="10" priority="10" stopIfTrue="1">
      <formula>$C3&lt;&gt;""</formula>
    </cfRule>
  </conditionalFormatting>
  <conditionalFormatting sqref="D37:D47">
    <cfRule type="expression" dxfId="9" priority="11" stopIfTrue="1">
      <formula>($C37&amp;$D37)="NP"</formula>
    </cfRule>
  </conditionalFormatting>
  <conditionalFormatting sqref="D37:D47">
    <cfRule type="expression" dxfId="8" priority="12" stopIfTrue="1">
      <formula>($C37&amp;$D37)="EG"</formula>
    </cfRule>
  </conditionalFormatting>
  <conditionalFormatting sqref="A37:J47">
    <cfRule type="expression" dxfId="7" priority="13" stopIfTrue="1">
      <formula>$C37="N"</formula>
    </cfRule>
  </conditionalFormatting>
  <conditionalFormatting sqref="A37:J47">
    <cfRule type="expression" dxfId="6" priority="14" stopIfTrue="1">
      <formula>$C37&lt;&gt;""</formula>
    </cfRule>
  </conditionalFormatting>
  <dataValidations count="9">
    <dataValidation type="list" allowBlank="1" showInputMessage="1" showErrorMessage="1" sqref="F48:F57 F37:F47" xr:uid="{2CAB1514-F550-AF41-96D8-3747DA2D0316}">
      <formula1>$AD$2:$AD$4</formula1>
    </dataValidation>
    <dataValidation type="list" allowBlank="1" showInputMessage="1" showErrorMessage="1" sqref="D48:D49 D37:D47" xr:uid="{40FB2AF7-BA34-0046-84A3-B8299343D0CF}">
      <formula1>$Y$2:$Y$3</formula1>
    </dataValidation>
    <dataValidation type="list" allowBlank="1" showInputMessage="1" showErrorMessage="1" sqref="C3:C30 C48 C37:C47" xr:uid="{A64C5DF5-A1D6-5D40-9A5F-B23759A73964}">
      <formula1>$W$2:$W$3</formula1>
    </dataValidation>
    <dataValidation type="list" allowBlank="1" showInputMessage="1" showErrorMessage="1" sqref="H3:H30 E48:E57 E37:E47" xr:uid="{1FD6297B-F33F-F54D-9447-7483E1049912}">
      <formula1>$AB$2:$AB$12</formula1>
    </dataValidation>
    <dataValidation type="list" allowBlank="1" showInputMessage="1" showErrorMessage="1" sqref="D3:D30" xr:uid="{D694E8F6-8D7A-1240-9E16-F2931F0345CB}">
      <formula1>$X$2:$X$4</formula1>
    </dataValidation>
    <dataValidation type="list" allowBlank="1" showInputMessage="1" showErrorMessage="1" sqref="F3:F30" xr:uid="{27B9CE23-750A-FE40-A5FC-D92B98069E54}">
      <formula1>$Z$2:$Z$6</formula1>
    </dataValidation>
    <dataValidation type="list" allowBlank="1" showInputMessage="1" showErrorMessage="1" sqref="G3:G30" xr:uid="{89072C2D-AF84-7341-8226-43BEFF31CDF0}">
      <formula1>$AA$2:$AA$3</formula1>
    </dataValidation>
    <dataValidation type="list" allowBlank="1" showInputMessage="1" showErrorMessage="1" sqref="I3:I30" xr:uid="{61975C24-7FA2-B84E-BD6C-81AC2DE00A0A}">
      <formula1>$AC$2:$AC$7</formula1>
    </dataValidation>
    <dataValidation type="list" allowBlank="1" showInputMessage="1" showErrorMessage="1" sqref="E3:E30" xr:uid="{A7F56C23-796C-4841-A443-1F6CC82CD9E6}">
      <formula1>$AG$2:$AG$25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Touches Melees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dal lago</dc:creator>
  <cp:lastModifiedBy>bastien dal lago</cp:lastModifiedBy>
  <dcterms:created xsi:type="dcterms:W3CDTF">2026-10-05T15:56:10Z</dcterms:created>
  <dcterms:modified xsi:type="dcterms:W3CDTF">2026-10-05T15:56:14Z</dcterms:modified>
</cp:coreProperties>
</file>