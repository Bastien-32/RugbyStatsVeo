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"/>
    </mc:Choice>
  </mc:AlternateContent>
  <xr:revisionPtr revIDLastSave="0" documentId="8_{FA17CC7B-2C96-444E-A185-652216BF7B01}" xr6:coauthVersionLast="47" xr6:coauthVersionMax="47" xr10:uidLastSave="{00000000-0000-0000-0000-000000000000}"/>
  <bookViews>
    <workbookView xWindow="3660" yWindow="2760" windowWidth="27640" windowHeight="16680" xr2:uid="{249992DF-A638-F343-9616-D7D50BE8CC11}"/>
  </bookViews>
  <sheets>
    <sheet name="Touches Mel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1" l="1"/>
  <c r="B51" i="1"/>
  <c r="C50" i="1"/>
  <c r="B50" i="1"/>
  <c r="D28" i="1"/>
  <c r="D27" i="1"/>
  <c r="C28" i="1"/>
  <c r="B28" i="1"/>
  <c r="C27" i="1"/>
  <c r="B27" i="1"/>
</calcChain>
</file>

<file path=xl/sharedStrings.xml><?xml version="1.0" encoding="utf-8"?>
<sst xmlns="http://schemas.openxmlformats.org/spreadsheetml/2006/main" count="331" uniqueCount="102">
  <si>
    <t>TOUCHES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</si>
  <si>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</si>
  <si>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</si>
  <si>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</si>
  <si>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</si>
  <si>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</si>
  <si>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</si>
  <si>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</si>
  <si>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</si>
  <si>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</si>
  <si>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</si>
  <si>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</si>
  <si>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</si>
  <si>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</si>
  <si>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</si>
  <si>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</si>
  <si>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</si>
  <si>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</si>
  <si>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</si>
  <si>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</si>
  <si>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</si>
  <si>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N</t>
  </si>
  <si>
    <t>G</t>
  </si>
  <si>
    <t>Z0</t>
  </si>
  <si>
    <t>C</t>
  </si>
  <si>
    <t>N en-but</t>
  </si>
  <si>
    <t>Gauche</t>
  </si>
  <si>
    <t>Avants</t>
  </si>
  <si>
    <t>Chaud</t>
  </si>
  <si>
    <t>MT1</t>
  </si>
  <si>
    <t>P</t>
  </si>
  <si>
    <t>BIFFI Pierre</t>
  </si>
  <si>
    <t>Z2</t>
  </si>
  <si>
    <t>E 30m</t>
  </si>
  <si>
    <t>Complet</t>
  </si>
  <si>
    <t>sauteur lobbé</t>
  </si>
  <si>
    <t>E</t>
  </si>
  <si>
    <t>Z1</t>
  </si>
  <si>
    <t>F</t>
  </si>
  <si>
    <t>N 15m</t>
  </si>
  <si>
    <t>Milieu</t>
  </si>
  <si>
    <t>Trois-quart</t>
  </si>
  <si>
    <t>Froid</t>
  </si>
  <si>
    <t>BARATGIN Julian</t>
  </si>
  <si>
    <t>ND</t>
  </si>
  <si>
    <t>Z1,5</t>
  </si>
  <si>
    <t>N 22m</t>
  </si>
  <si>
    <t>Droit</t>
  </si>
  <si>
    <t>Pied</t>
  </si>
  <si>
    <t>E 40m</t>
  </si>
  <si>
    <t>N 30m</t>
  </si>
  <si>
    <t>E 15m</t>
  </si>
  <si>
    <t>Z3</t>
  </si>
  <si>
    <t>N 40m</t>
  </si>
  <si>
    <t>50m</t>
  </si>
  <si>
    <t>E 22m</t>
  </si>
  <si>
    <t>Sauteur lobbé</t>
  </si>
  <si>
    <t>E en-but</t>
  </si>
  <si>
    <t>Pas de zone – personne à saut</t>
  </si>
  <si>
    <t>MT2</t>
  </si>
  <si>
    <t>ou Z1,5?</t>
  </si>
  <si>
    <t>2 relayeurs</t>
  </si>
  <si>
    <t>Touches</t>
  </si>
  <si>
    <t>Gagnees</t>
  </si>
  <si>
    <t>Perdues</t>
  </si>
  <si>
    <t>Pas droites</t>
  </si>
  <si>
    <t>Pour nous</t>
  </si>
  <si>
    <t>Pour l'adversaire</t>
  </si>
  <si>
    <t>MELEES</t>
  </si>
  <si>
    <t>Introduction pour</t>
  </si>
  <si>
    <t>Zone longueur</t>
  </si>
  <si>
    <t>Zone largeur</t>
  </si>
  <si>
    <t>Jeu avant</t>
  </si>
  <si>
    <t>Jeu 3/4</t>
  </si>
  <si>
    <t>Jeu pied</t>
  </si>
  <si>
    <t>✓</t>
  </si>
  <si>
    <t>attaque première main</t>
  </si>
  <si>
    <t>8 Ne redresse pas trop de travers</t>
  </si>
  <si>
    <t>Melees</t>
  </si>
  <si>
    <t>LST_SAUTEURS</t>
  </si>
  <si>
    <t>ABADIE Emeric</t>
  </si>
  <si>
    <t>ABADIE Quentin</t>
  </si>
  <si>
    <t>ABADIE Thomas</t>
  </si>
  <si>
    <t>BAUP Bastien</t>
  </si>
  <si>
    <t>BOURREC Anthony</t>
  </si>
  <si>
    <t>CESCA Sacha</t>
  </si>
  <si>
    <t>COURREGES Romain</t>
  </si>
  <si>
    <t>DALLA ROSA Jonah</t>
  </si>
  <si>
    <t>DUTREY Thomas</t>
  </si>
  <si>
    <t>GALLINARO Pierrick</t>
  </si>
  <si>
    <t>JOUNAUX Joris</t>
  </si>
  <si>
    <t>KAPFER Bastien</t>
  </si>
  <si>
    <t>LAUDET Jean Baptiste</t>
  </si>
  <si>
    <t>LOUREIRO LABAZUY Antonio</t>
  </si>
  <si>
    <t>MOUDENS Alexis</t>
  </si>
  <si>
    <t>MULLIER Victor</t>
  </si>
  <si>
    <t>RICHIARDONNE Gregory</t>
  </si>
  <si>
    <t>SALLES Fabien</t>
  </si>
  <si>
    <t>SOUVILLE Quentin</t>
  </si>
  <si>
    <t>STEFANI Titouan</t>
  </si>
  <si>
    <t>Collectif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</si>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</sst>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\ 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\ "/>
    </dxf>
    <dxf>
      <numFmt numFmtId="164" formatCode="[m]:ss\ 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0FEA1B-0264-CB43-90A4-41755043DBDF}" name="DetailTouches" displayName="DetailTouches" ref="A2:J24" totalsRowShown="0">
  <autoFilter ref="A2:J24" xr:uid="{4D0FEA1B-0264-CB43-90A4-41755043DBDF}"/>
  <tableColumns count="10">
    <tableColumn id="1" xr3:uid="{12585794-C9E1-6644-B36F-F15C7315140C}" name="Temps video" dataDxfId="5"/>
    <tableColumn id="2" xr3:uid="{D5EE7D6F-4963-E64D-B3BF-27EB9E9A17E8}" name="Mi-temps"/>
    <tableColumn id="3" xr3:uid="{0D4FED28-AE61-EA47-931E-D8D0FDB0B3C3}" name="Lance pour"/>
    <tableColumn id="4" xr3:uid="{AFB78A94-EFF9-3149-9676-87B4A6F37D01}" name="Issue"/>
    <tableColumn id="5" xr3:uid="{0A068EFE-447F-404C-93D7-47CA4BA9FFD4}" name="Sauteur"/>
    <tableColumn id="6" xr3:uid="{E6F55ED4-96A9-C942-9CB6-791E01A06ACC}" name="Zone saut"/>
    <tableColumn id="7" xr3:uid="{D0AC31B1-5869-1F4B-A2DE-472EE6D57554}" name="Ballon"/>
    <tableColumn id="8" xr3:uid="{3CDC785E-5FD7-E04D-AEFF-3E7DC06E3314}" name="Zone terrain"/>
    <tableColumn id="9" xr3:uid="{7ECA7675-1323-3D40-AC96-B45FE911FDE8}" name="Alignement"/>
    <tableColumn id="10" xr3:uid="{F5A4B4FE-BE20-9541-AFE3-8372E4499F34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6200EE-08B9-0248-BA57-5222B08A2D2B}" name="DetailMelees" displayName="DetailMelees" ref="A32:J47" totalsRowShown="0" dataDxfId="0">
  <autoFilter ref="A32:J47" xr:uid="{BF6200EE-08B9-0248-BA57-5222B08A2D2B}"/>
  <tableColumns count="10">
    <tableColumn id="1" xr3:uid="{B6FD1856-52EA-D743-BD2F-D70F9562206A}" name="Temps video" dataDxfId="4"/>
    <tableColumn id="2" xr3:uid="{82D950D1-D260-3B43-82F8-08DDEA59E938}" name="Mi-temps"/>
    <tableColumn id="3" xr3:uid="{D5F2476D-0762-DC46-AF1E-85BE566D392B}" name="Introduction pour"/>
    <tableColumn id="4" xr3:uid="{3EA32FB5-89C7-0D4F-833A-C70CADEEF1A4}" name="Issue"/>
    <tableColumn id="5" xr3:uid="{CCB051E3-3E1B-3946-99B8-57C0A622E410}" name="Zone longueur"/>
    <tableColumn id="6" xr3:uid="{1C6E72C1-061B-5844-BCA0-0C73AE1C9448}" name="Zone largeur"/>
    <tableColumn id="7" xr3:uid="{A6C02A52-41A7-ED4A-894D-6C3CD26B138E}" name="Jeu avant" dataDxfId="3"/>
    <tableColumn id="8" xr3:uid="{5DF4C243-D120-8D4A-BD9C-F2C629E9D4AD}" name="Jeu 3/4" dataDxfId="2"/>
    <tableColumn id="9" xr3:uid="{5C66AD46-4AD6-F447-B5FA-A5BBF9695B51}" name="Jeu pied" dataDxfId="1"/>
    <tableColumn id="10" xr3:uid="{7FA3A46D-86F3-1648-9460-A521271CC39A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3D29-3DF0-D340-AFFA-91827C2699E9}">
  <sheetPr codeName="Feuil1"/>
  <dimension ref="A1:AG53"/>
  <sheetViews>
    <sheetView showGridLines="0" tabSelected="1" workbookViewId="0">
      <selection activeCell="G26" sqref="G26"/>
    </sheetView>
  </sheetViews>
  <sheetFormatPr baseColWidth="10" defaultRowHeight="16" x14ac:dyDescent="0.2"/>
  <cols>
    <col min="1" max="1" width="14.1640625" bestFit="1" customWidth="1"/>
    <col min="2" max="2" width="11.5" customWidth="1"/>
    <col min="3" max="3" width="17.5" customWidth="1"/>
    <col min="4" max="4" width="10.5" bestFit="1" customWidth="1"/>
    <col min="5" max="5" width="15" customWidth="1"/>
    <col min="6" max="6" width="13.6640625" customWidth="1"/>
    <col min="7" max="7" width="11" customWidth="1"/>
    <col min="8" max="8" width="13.5" bestFit="1" customWidth="1"/>
    <col min="9" max="9" width="13" customWidth="1"/>
    <col min="10" max="10" width="31" bestFit="1" customWidth="1"/>
    <col min="11" max="11" width="12.83203125" customWidth="1"/>
    <col min="12" max="12" width="14.1640625" bestFit="1" customWidth="1"/>
    <col min="13" max="20" width="12.83203125" customWidth="1"/>
    <col min="21" max="21" width="30.83203125" customWidth="1"/>
    <col min="22" max="33" width="0" hidden="1" customWidth="1"/>
  </cols>
  <sheetData>
    <row r="1" spans="1:33" ht="18" x14ac:dyDescent="0.2">
      <c r="A1" s="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79</v>
      </c>
    </row>
    <row r="2" spans="1:3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W2" t="s">
        <v>21</v>
      </c>
      <c r="X2" t="s">
        <v>22</v>
      </c>
      <c r="Y2" t="s">
        <v>22</v>
      </c>
      <c r="Z2" t="s">
        <v>23</v>
      </c>
      <c r="AA2" t="s">
        <v>24</v>
      </c>
      <c r="AB2" t="s">
        <v>25</v>
      </c>
      <c r="AC2">
        <v>2</v>
      </c>
      <c r="AD2" t="s">
        <v>26</v>
      </c>
      <c r="AE2" t="s">
        <v>27</v>
      </c>
      <c r="AF2" t="s">
        <v>28</v>
      </c>
      <c r="AG2" t="s">
        <v>80</v>
      </c>
    </row>
    <row r="3" spans="1:33" x14ac:dyDescent="0.2">
      <c r="A3" s="2">
        <v>6.2463804166666666E-3</v>
      </c>
      <c r="B3" t="s">
        <v>29</v>
      </c>
      <c r="C3" t="s">
        <v>21</v>
      </c>
      <c r="D3" t="s">
        <v>30</v>
      </c>
      <c r="E3" t="s">
        <v>31</v>
      </c>
      <c r="F3" t="s">
        <v>32</v>
      </c>
      <c r="H3" t="s">
        <v>33</v>
      </c>
      <c r="I3" t="s">
        <v>34</v>
      </c>
      <c r="J3" t="s">
        <v>35</v>
      </c>
      <c r="W3" t="s">
        <v>36</v>
      </c>
      <c r="X3" t="s">
        <v>30</v>
      </c>
      <c r="Y3" t="s">
        <v>30</v>
      </c>
      <c r="Z3" t="s">
        <v>37</v>
      </c>
      <c r="AA3" t="s">
        <v>38</v>
      </c>
      <c r="AB3" t="s">
        <v>39</v>
      </c>
      <c r="AC3">
        <v>3</v>
      </c>
      <c r="AD3" t="s">
        <v>40</v>
      </c>
      <c r="AE3" s="3" t="s">
        <v>41</v>
      </c>
      <c r="AF3" t="s">
        <v>42</v>
      </c>
      <c r="AG3" t="s">
        <v>81</v>
      </c>
    </row>
    <row r="4" spans="1:33" x14ac:dyDescent="0.2">
      <c r="A4" s="2">
        <v>7.570339155092593E-3</v>
      </c>
      <c r="B4" t="s">
        <v>29</v>
      </c>
      <c r="C4" t="s">
        <v>36</v>
      </c>
      <c r="D4" t="s">
        <v>22</v>
      </c>
      <c r="E4" t="s">
        <v>43</v>
      </c>
      <c r="F4" t="s">
        <v>37</v>
      </c>
      <c r="G4" t="s">
        <v>24</v>
      </c>
      <c r="H4" t="s">
        <v>33</v>
      </c>
      <c r="I4" t="s">
        <v>34</v>
      </c>
      <c r="X4" t="s">
        <v>44</v>
      </c>
      <c r="Z4" t="s">
        <v>45</v>
      </c>
      <c r="AB4" t="s">
        <v>46</v>
      </c>
      <c r="AC4">
        <v>4</v>
      </c>
      <c r="AD4" t="s">
        <v>47</v>
      </c>
      <c r="AE4" t="s">
        <v>48</v>
      </c>
      <c r="AG4" t="s">
        <v>82</v>
      </c>
    </row>
    <row r="5" spans="1:33" x14ac:dyDescent="0.2">
      <c r="A5" s="2">
        <v>8.774028159722223E-3</v>
      </c>
      <c r="B5" t="s">
        <v>29</v>
      </c>
      <c r="C5" t="s">
        <v>36</v>
      </c>
      <c r="D5" t="s">
        <v>44</v>
      </c>
      <c r="F5" t="s">
        <v>32</v>
      </c>
      <c r="H5" t="s">
        <v>49</v>
      </c>
      <c r="I5">
        <v>6</v>
      </c>
      <c r="Z5" t="s">
        <v>32</v>
      </c>
      <c r="AB5" t="s">
        <v>50</v>
      </c>
      <c r="AC5">
        <v>5</v>
      </c>
      <c r="AG5" t="s">
        <v>43</v>
      </c>
    </row>
    <row r="6" spans="1:33" x14ac:dyDescent="0.2">
      <c r="A6" s="2">
        <v>1.2905092592592593E-2</v>
      </c>
      <c r="B6" t="s">
        <v>29</v>
      </c>
      <c r="C6" t="s">
        <v>21</v>
      </c>
      <c r="D6" t="s">
        <v>30</v>
      </c>
      <c r="E6" t="s">
        <v>31</v>
      </c>
      <c r="F6" t="s">
        <v>45</v>
      </c>
      <c r="H6" t="s">
        <v>51</v>
      </c>
      <c r="I6" t="s">
        <v>34</v>
      </c>
      <c r="J6" t="s">
        <v>35</v>
      </c>
      <c r="Z6" t="s">
        <v>52</v>
      </c>
      <c r="AB6" t="s">
        <v>53</v>
      </c>
      <c r="AC6">
        <v>6</v>
      </c>
      <c r="AG6" t="s">
        <v>83</v>
      </c>
    </row>
    <row r="7" spans="1:33" x14ac:dyDescent="0.2">
      <c r="A7" s="2">
        <v>1.3936346412037037E-2</v>
      </c>
      <c r="B7" t="s">
        <v>29</v>
      </c>
      <c r="C7" t="s">
        <v>36</v>
      </c>
      <c r="D7" t="s">
        <v>22</v>
      </c>
      <c r="E7" t="s">
        <v>43</v>
      </c>
      <c r="F7" t="s">
        <v>37</v>
      </c>
      <c r="H7" t="s">
        <v>46</v>
      </c>
      <c r="I7">
        <v>6</v>
      </c>
      <c r="AB7" t="s">
        <v>54</v>
      </c>
      <c r="AC7" t="s">
        <v>34</v>
      </c>
      <c r="AG7" t="s">
        <v>31</v>
      </c>
    </row>
    <row r="8" spans="1:33" x14ac:dyDescent="0.2">
      <c r="A8" s="2">
        <v>1.4201970405092591E-2</v>
      </c>
      <c r="B8" t="s">
        <v>29</v>
      </c>
      <c r="C8" t="s">
        <v>36</v>
      </c>
      <c r="D8" t="s">
        <v>30</v>
      </c>
      <c r="F8" t="s">
        <v>32</v>
      </c>
      <c r="H8" t="s">
        <v>39</v>
      </c>
      <c r="I8">
        <v>6</v>
      </c>
      <c r="AB8" t="s">
        <v>49</v>
      </c>
      <c r="AG8" t="s">
        <v>84</v>
      </c>
    </row>
    <row r="9" spans="1:33" x14ac:dyDescent="0.2">
      <c r="A9" s="2">
        <v>1.6917279039351852E-2</v>
      </c>
      <c r="B9" t="s">
        <v>29</v>
      </c>
      <c r="C9" t="s">
        <v>36</v>
      </c>
      <c r="D9" t="s">
        <v>22</v>
      </c>
      <c r="E9" t="s">
        <v>31</v>
      </c>
      <c r="F9" t="s">
        <v>32</v>
      </c>
      <c r="H9" t="s">
        <v>49</v>
      </c>
      <c r="I9">
        <v>5</v>
      </c>
      <c r="AB9" t="s">
        <v>33</v>
      </c>
      <c r="AG9" t="s">
        <v>85</v>
      </c>
    </row>
    <row r="10" spans="1:33" x14ac:dyDescent="0.2">
      <c r="A10" s="2">
        <v>1.7881212893518517E-2</v>
      </c>
      <c r="B10" t="s">
        <v>29</v>
      </c>
      <c r="C10" t="s">
        <v>36</v>
      </c>
      <c r="D10" t="s">
        <v>30</v>
      </c>
      <c r="F10" t="s">
        <v>37</v>
      </c>
      <c r="H10" t="s">
        <v>49</v>
      </c>
      <c r="I10">
        <v>4</v>
      </c>
      <c r="AB10" t="s">
        <v>55</v>
      </c>
      <c r="AG10" t="s">
        <v>86</v>
      </c>
    </row>
    <row r="11" spans="1:33" x14ac:dyDescent="0.2">
      <c r="A11" s="2">
        <v>1.8519158668981482E-2</v>
      </c>
      <c r="B11" t="s">
        <v>29</v>
      </c>
      <c r="C11" t="s">
        <v>36</v>
      </c>
      <c r="D11" t="s">
        <v>22</v>
      </c>
      <c r="F11" t="s">
        <v>37</v>
      </c>
      <c r="H11" t="s">
        <v>25</v>
      </c>
      <c r="I11">
        <v>5</v>
      </c>
      <c r="AB11" t="s">
        <v>51</v>
      </c>
      <c r="AG11" t="s">
        <v>87</v>
      </c>
    </row>
    <row r="12" spans="1:33" x14ac:dyDescent="0.2">
      <c r="A12" s="2">
        <v>1.9040562418981482E-2</v>
      </c>
      <c r="B12" t="s">
        <v>29</v>
      </c>
      <c r="C12" t="s">
        <v>36</v>
      </c>
      <c r="D12" t="s">
        <v>22</v>
      </c>
      <c r="F12" t="s">
        <v>32</v>
      </c>
      <c r="H12" t="s">
        <v>53</v>
      </c>
      <c r="I12">
        <v>4</v>
      </c>
      <c r="J12" t="s">
        <v>56</v>
      </c>
      <c r="AB12" t="s">
        <v>57</v>
      </c>
      <c r="AG12" t="s">
        <v>88</v>
      </c>
    </row>
    <row r="13" spans="1:33" x14ac:dyDescent="0.2">
      <c r="A13" s="2">
        <v>2.1946519351851854E-2</v>
      </c>
      <c r="B13" t="s">
        <v>29</v>
      </c>
      <c r="C13" t="s">
        <v>36</v>
      </c>
      <c r="D13" t="s">
        <v>30</v>
      </c>
      <c r="F13" t="s">
        <v>32</v>
      </c>
      <c r="G13" t="s">
        <v>38</v>
      </c>
      <c r="H13" t="s">
        <v>54</v>
      </c>
      <c r="I13">
        <v>5</v>
      </c>
      <c r="AG13" t="s">
        <v>89</v>
      </c>
    </row>
    <row r="14" spans="1:33" x14ac:dyDescent="0.2">
      <c r="A14" s="2">
        <v>2.4705869247685183E-2</v>
      </c>
      <c r="B14" t="s">
        <v>29</v>
      </c>
      <c r="C14" t="s">
        <v>36</v>
      </c>
      <c r="D14" t="s">
        <v>30</v>
      </c>
      <c r="F14" t="s">
        <v>52</v>
      </c>
      <c r="G14" t="s">
        <v>24</v>
      </c>
      <c r="H14" t="s">
        <v>39</v>
      </c>
      <c r="I14">
        <v>6</v>
      </c>
      <c r="AG14" t="s">
        <v>90</v>
      </c>
    </row>
    <row r="15" spans="1:33" x14ac:dyDescent="0.2">
      <c r="A15" s="2">
        <v>2.8567820729166669E-2</v>
      </c>
      <c r="B15" t="s">
        <v>29</v>
      </c>
      <c r="C15" t="s">
        <v>21</v>
      </c>
      <c r="D15" t="s">
        <v>30</v>
      </c>
      <c r="E15" t="s">
        <v>31</v>
      </c>
      <c r="F15" t="s">
        <v>37</v>
      </c>
      <c r="H15" t="s">
        <v>33</v>
      </c>
      <c r="I15">
        <v>6</v>
      </c>
      <c r="AG15" t="s">
        <v>91</v>
      </c>
    </row>
    <row r="16" spans="1:33" x14ac:dyDescent="0.2">
      <c r="A16" s="2">
        <v>2.9694549490740744E-2</v>
      </c>
      <c r="B16" t="s">
        <v>29</v>
      </c>
      <c r="C16" t="s">
        <v>36</v>
      </c>
      <c r="D16" t="s">
        <v>22</v>
      </c>
      <c r="H16" t="s">
        <v>39</v>
      </c>
      <c r="I16">
        <v>6</v>
      </c>
      <c r="J16" t="s">
        <v>58</v>
      </c>
      <c r="AG16" t="s">
        <v>92</v>
      </c>
    </row>
    <row r="17" spans="1:33" x14ac:dyDescent="0.2">
      <c r="A17" s="2">
        <v>4.0407245069444445E-2</v>
      </c>
      <c r="B17" t="s">
        <v>59</v>
      </c>
      <c r="C17" t="s">
        <v>21</v>
      </c>
      <c r="D17" t="s">
        <v>22</v>
      </c>
      <c r="E17" t="s">
        <v>43</v>
      </c>
      <c r="F17" t="s">
        <v>32</v>
      </c>
      <c r="G17" t="s">
        <v>38</v>
      </c>
      <c r="H17" t="s">
        <v>49</v>
      </c>
      <c r="I17">
        <v>5</v>
      </c>
      <c r="J17" t="s">
        <v>60</v>
      </c>
      <c r="AG17" t="s">
        <v>93</v>
      </c>
    </row>
    <row r="18" spans="1:33" x14ac:dyDescent="0.2">
      <c r="A18" s="2">
        <v>4.6125193645833333E-2</v>
      </c>
      <c r="B18" t="s">
        <v>59</v>
      </c>
      <c r="C18" t="s">
        <v>21</v>
      </c>
      <c r="D18" t="s">
        <v>22</v>
      </c>
      <c r="E18" t="s">
        <v>43</v>
      </c>
      <c r="F18" t="s">
        <v>32</v>
      </c>
      <c r="G18" t="s">
        <v>38</v>
      </c>
      <c r="H18" t="s">
        <v>33</v>
      </c>
      <c r="I18">
        <v>5</v>
      </c>
      <c r="AG18" t="s">
        <v>94</v>
      </c>
    </row>
    <row r="19" spans="1:33" x14ac:dyDescent="0.2">
      <c r="A19" s="2">
        <v>4.6997797349537039E-2</v>
      </c>
      <c r="B19" t="s">
        <v>59</v>
      </c>
      <c r="C19" t="s">
        <v>36</v>
      </c>
      <c r="D19" t="s">
        <v>30</v>
      </c>
      <c r="F19" t="s">
        <v>32</v>
      </c>
      <c r="G19" t="s">
        <v>24</v>
      </c>
      <c r="H19" t="s">
        <v>50</v>
      </c>
      <c r="I19">
        <v>5</v>
      </c>
      <c r="J19" t="s">
        <v>61</v>
      </c>
      <c r="AG19" t="s">
        <v>95</v>
      </c>
    </row>
    <row r="20" spans="1:33" x14ac:dyDescent="0.2">
      <c r="A20" s="2">
        <v>4.8755836944444443E-2</v>
      </c>
      <c r="B20" t="s">
        <v>59</v>
      </c>
      <c r="C20" t="s">
        <v>36</v>
      </c>
      <c r="D20" t="s">
        <v>30</v>
      </c>
      <c r="F20" t="s">
        <v>32</v>
      </c>
      <c r="G20" t="s">
        <v>24</v>
      </c>
      <c r="H20" t="s">
        <v>39</v>
      </c>
      <c r="I20">
        <v>6</v>
      </c>
      <c r="AG20" t="s">
        <v>96</v>
      </c>
    </row>
    <row r="21" spans="1:33" x14ac:dyDescent="0.2">
      <c r="A21" s="2">
        <v>5.1981994560185193E-2</v>
      </c>
      <c r="B21" t="s">
        <v>59</v>
      </c>
      <c r="C21" t="s">
        <v>21</v>
      </c>
      <c r="D21" t="s">
        <v>30</v>
      </c>
      <c r="E21" t="s">
        <v>43</v>
      </c>
      <c r="F21" t="s">
        <v>23</v>
      </c>
      <c r="H21" t="s">
        <v>51</v>
      </c>
      <c r="I21">
        <v>5</v>
      </c>
      <c r="AG21" t="s">
        <v>97</v>
      </c>
    </row>
    <row r="22" spans="1:33" x14ac:dyDescent="0.2">
      <c r="A22" s="2">
        <v>5.5310557418981485E-2</v>
      </c>
      <c r="B22" t="s">
        <v>59</v>
      </c>
      <c r="C22" t="s">
        <v>21</v>
      </c>
      <c r="D22" t="s">
        <v>22</v>
      </c>
      <c r="E22" t="s">
        <v>43</v>
      </c>
      <c r="F22" t="s">
        <v>37</v>
      </c>
      <c r="G22" t="s">
        <v>24</v>
      </c>
      <c r="H22" t="s">
        <v>51</v>
      </c>
      <c r="I22">
        <v>5</v>
      </c>
      <c r="AG22" t="s">
        <v>98</v>
      </c>
    </row>
    <row r="23" spans="1:33" x14ac:dyDescent="0.2">
      <c r="A23" s="2">
        <v>5.7266875451388886E-2</v>
      </c>
      <c r="B23" t="s">
        <v>59</v>
      </c>
      <c r="C23" t="s">
        <v>36</v>
      </c>
      <c r="D23" t="s">
        <v>44</v>
      </c>
      <c r="F23" t="s">
        <v>32</v>
      </c>
      <c r="H23" t="s">
        <v>54</v>
      </c>
      <c r="I23">
        <v>6</v>
      </c>
      <c r="AG23" t="s">
        <v>99</v>
      </c>
    </row>
    <row r="24" spans="1:33" x14ac:dyDescent="0.2">
      <c r="A24" s="2">
        <v>6.0771433668981488E-2</v>
      </c>
      <c r="B24" t="s">
        <v>59</v>
      </c>
      <c r="C24" t="s">
        <v>36</v>
      </c>
      <c r="D24" t="s">
        <v>30</v>
      </c>
      <c r="F24" t="s">
        <v>32</v>
      </c>
      <c r="G24" t="s">
        <v>24</v>
      </c>
      <c r="H24" t="s">
        <v>39</v>
      </c>
      <c r="I24">
        <v>6</v>
      </c>
      <c r="AG24" t="s">
        <v>100</v>
      </c>
    </row>
    <row r="25" spans="1:33" x14ac:dyDescent="0.2">
      <c r="AG25" t="s">
        <v>101</v>
      </c>
    </row>
    <row r="26" spans="1:33" x14ac:dyDescent="0.2">
      <c r="A26" s="4" t="s">
        <v>62</v>
      </c>
      <c r="B26" s="5" t="s">
        <v>63</v>
      </c>
      <c r="C26" s="5" t="s">
        <v>64</v>
      </c>
      <c r="D26" s="5" t="s">
        <v>65</v>
      </c>
    </row>
    <row r="27" spans="1:33" x14ac:dyDescent="0.2">
      <c r="A27" s="6" t="s">
        <v>66</v>
      </c>
      <c r="B27" s="7">
        <f>COUNTIFS(DetailTouches[Lance pour],"N",DetailTouches[Issue],"G")</f>
        <v>3</v>
      </c>
      <c r="C27" s="7">
        <f>COUNTIFS(DetailTouches[Lance pour],"N",DetailTouches[Issue],"P")</f>
        <v>4</v>
      </c>
      <c r="D27" s="7">
        <f>COUNTIFS(DetailTouches[Lance pour],"N",DetailTouches[Issue],"ND")</f>
        <v>0</v>
      </c>
    </row>
    <row r="28" spans="1:33" x14ac:dyDescent="0.2">
      <c r="A28" s="8" t="s">
        <v>67</v>
      </c>
      <c r="B28" s="9">
        <f>COUNTIFS(DetailTouches[Lance pour],"E",DetailTouches[Issue],"P")</f>
        <v>7</v>
      </c>
      <c r="C28" s="9">
        <f>COUNTIFS(DetailTouches[Lance pour],"E",DetailTouches[Issue],"G")</f>
        <v>6</v>
      </c>
      <c r="D28" s="9">
        <f>COUNTIFS(DetailTouches[Lance pour],"E",DetailTouches[Issue],"ND")</f>
        <v>2</v>
      </c>
    </row>
    <row r="31" spans="1:33" ht="18" x14ac:dyDescent="0.2">
      <c r="A31" s="1" t="s">
        <v>68</v>
      </c>
    </row>
    <row r="32" spans="1:33" x14ac:dyDescent="0.2">
      <c r="A32" t="s">
        <v>11</v>
      </c>
      <c r="B32" t="s">
        <v>12</v>
      </c>
      <c r="C32" t="s">
        <v>69</v>
      </c>
      <c r="D32" t="s">
        <v>14</v>
      </c>
      <c r="E32" t="s">
        <v>70</v>
      </c>
      <c r="F32" t="s">
        <v>71</v>
      </c>
      <c r="G32" t="s">
        <v>72</v>
      </c>
      <c r="H32" t="s">
        <v>73</v>
      </c>
      <c r="I32" t="s">
        <v>74</v>
      </c>
      <c r="J32" t="s">
        <v>20</v>
      </c>
    </row>
    <row r="33" spans="1:10" x14ac:dyDescent="0.2">
      <c r="A33" s="2">
        <v>1.5196666087962962E-3</v>
      </c>
      <c r="B33" t="s">
        <v>29</v>
      </c>
      <c r="C33" t="s">
        <v>21</v>
      </c>
      <c r="D33" t="s">
        <v>22</v>
      </c>
      <c r="E33" t="s">
        <v>54</v>
      </c>
      <c r="F33" t="s">
        <v>40</v>
      </c>
      <c r="G33" s="10" t="s">
        <v>75</v>
      </c>
      <c r="H33" s="10"/>
      <c r="I33" s="10"/>
    </row>
    <row r="34" spans="1:10" x14ac:dyDescent="0.2">
      <c r="A34" s="2">
        <v>3.5945389351851854E-3</v>
      </c>
      <c r="B34" t="s">
        <v>29</v>
      </c>
      <c r="C34" t="s">
        <v>21</v>
      </c>
      <c r="D34" t="s">
        <v>22</v>
      </c>
      <c r="E34" t="s">
        <v>50</v>
      </c>
      <c r="F34" t="s">
        <v>47</v>
      </c>
      <c r="G34" s="10"/>
      <c r="H34" s="10" t="s">
        <v>75</v>
      </c>
      <c r="I34" s="10"/>
      <c r="J34" t="s">
        <v>76</v>
      </c>
    </row>
    <row r="35" spans="1:10" x14ac:dyDescent="0.2">
      <c r="A35" s="2">
        <v>9.1330586689814808E-3</v>
      </c>
      <c r="B35" t="s">
        <v>29</v>
      </c>
      <c r="C35" t="s">
        <v>21</v>
      </c>
      <c r="D35" t="s">
        <v>22</v>
      </c>
      <c r="E35" t="s">
        <v>54</v>
      </c>
      <c r="F35" t="s">
        <v>47</v>
      </c>
      <c r="G35" s="10"/>
      <c r="H35" s="10" t="s">
        <v>75</v>
      </c>
      <c r="I35" s="10"/>
    </row>
    <row r="36" spans="1:10" x14ac:dyDescent="0.2">
      <c r="A36" s="2">
        <v>1.9498069814814813E-2</v>
      </c>
      <c r="B36" t="s">
        <v>29</v>
      </c>
      <c r="C36" t="s">
        <v>36</v>
      </c>
      <c r="D36" t="s">
        <v>30</v>
      </c>
      <c r="E36" t="s">
        <v>53</v>
      </c>
      <c r="F36" t="s">
        <v>26</v>
      </c>
      <c r="G36" s="10"/>
      <c r="H36" s="10" t="s">
        <v>75</v>
      </c>
      <c r="I36" s="10"/>
    </row>
    <row r="37" spans="1:10" x14ac:dyDescent="0.2">
      <c r="A37" s="2">
        <v>2.2532352314814815E-2</v>
      </c>
      <c r="B37" t="s">
        <v>29</v>
      </c>
      <c r="C37" t="s">
        <v>21</v>
      </c>
      <c r="D37" t="s">
        <v>22</v>
      </c>
      <c r="E37" t="s">
        <v>49</v>
      </c>
      <c r="F37" t="s">
        <v>40</v>
      </c>
      <c r="G37" s="10"/>
      <c r="H37" s="10" t="s">
        <v>75</v>
      </c>
      <c r="I37" s="10"/>
    </row>
    <row r="38" spans="1:10" x14ac:dyDescent="0.2">
      <c r="A38" s="2">
        <v>2.3040061608796295E-2</v>
      </c>
      <c r="B38" t="s">
        <v>29</v>
      </c>
      <c r="C38" t="s">
        <v>36</v>
      </c>
      <c r="D38" t="s">
        <v>30</v>
      </c>
      <c r="E38" t="s">
        <v>49</v>
      </c>
      <c r="F38" t="s">
        <v>26</v>
      </c>
      <c r="G38" s="10"/>
      <c r="H38" s="10"/>
      <c r="I38" s="10" t="s">
        <v>75</v>
      </c>
    </row>
    <row r="39" spans="1:10" x14ac:dyDescent="0.2">
      <c r="A39" s="2">
        <v>2.3721624803240738E-2</v>
      </c>
      <c r="B39" t="s">
        <v>29</v>
      </c>
      <c r="C39" t="s">
        <v>36</v>
      </c>
      <c r="D39" t="s">
        <v>30</v>
      </c>
      <c r="E39" t="s">
        <v>33</v>
      </c>
      <c r="F39" t="s">
        <v>47</v>
      </c>
      <c r="G39" s="10"/>
      <c r="H39" s="10"/>
      <c r="I39" s="10" t="s">
        <v>75</v>
      </c>
    </row>
    <row r="40" spans="1:10" x14ac:dyDescent="0.2">
      <c r="A40" s="2">
        <v>2.5400932534722222E-2</v>
      </c>
      <c r="B40" t="s">
        <v>29</v>
      </c>
      <c r="C40" t="s">
        <v>21</v>
      </c>
      <c r="D40" t="s">
        <v>22</v>
      </c>
      <c r="E40" t="s">
        <v>39</v>
      </c>
      <c r="F40" t="s">
        <v>40</v>
      </c>
      <c r="G40" s="10"/>
      <c r="H40" s="10"/>
      <c r="I40" s="10" t="s">
        <v>75</v>
      </c>
    </row>
    <row r="41" spans="1:10" x14ac:dyDescent="0.2">
      <c r="A41" s="2">
        <v>3.3542458194444444E-2</v>
      </c>
      <c r="B41" t="s">
        <v>59</v>
      </c>
      <c r="C41" t="s">
        <v>21</v>
      </c>
      <c r="D41" t="s">
        <v>22</v>
      </c>
      <c r="E41" t="s">
        <v>33</v>
      </c>
      <c r="F41" t="s">
        <v>26</v>
      </c>
      <c r="G41" s="10" t="s">
        <v>75</v>
      </c>
      <c r="H41" s="10"/>
      <c r="I41" s="10"/>
      <c r="J41" t="s">
        <v>77</v>
      </c>
    </row>
    <row r="42" spans="1:10" x14ac:dyDescent="0.2">
      <c r="A42" s="2">
        <v>3.5299767303240741E-2</v>
      </c>
      <c r="B42" t="s">
        <v>59</v>
      </c>
      <c r="C42" t="s">
        <v>36</v>
      </c>
      <c r="D42" t="s">
        <v>30</v>
      </c>
      <c r="E42" t="s">
        <v>39</v>
      </c>
      <c r="F42" t="s">
        <v>26</v>
      </c>
      <c r="G42" s="10"/>
      <c r="H42" s="10" t="s">
        <v>75</v>
      </c>
      <c r="I42" s="10"/>
    </row>
    <row r="43" spans="1:10" x14ac:dyDescent="0.2">
      <c r="A43" s="2">
        <v>3.5947130347222224E-2</v>
      </c>
      <c r="B43" t="s">
        <v>59</v>
      </c>
      <c r="C43" t="s">
        <v>21</v>
      </c>
      <c r="D43" t="s">
        <v>22</v>
      </c>
      <c r="E43" t="s">
        <v>46</v>
      </c>
      <c r="F43" t="s">
        <v>47</v>
      </c>
      <c r="G43" s="10"/>
      <c r="H43" s="10"/>
      <c r="I43" s="10" t="s">
        <v>75</v>
      </c>
    </row>
    <row r="44" spans="1:10" x14ac:dyDescent="0.2">
      <c r="A44" s="2">
        <v>4.3425288506944444E-2</v>
      </c>
      <c r="B44" t="s">
        <v>59</v>
      </c>
      <c r="C44" t="s">
        <v>36</v>
      </c>
      <c r="D44" t="s">
        <v>30</v>
      </c>
      <c r="E44" t="s">
        <v>33</v>
      </c>
      <c r="F44" t="s">
        <v>47</v>
      </c>
      <c r="G44" s="10" t="s">
        <v>75</v>
      </c>
      <c r="H44" s="10"/>
      <c r="I44" s="10"/>
    </row>
    <row r="45" spans="1:10" x14ac:dyDescent="0.2">
      <c r="A45" s="2">
        <v>4.6624869594907407E-2</v>
      </c>
      <c r="B45" t="s">
        <v>59</v>
      </c>
      <c r="C45" t="s">
        <v>36</v>
      </c>
      <c r="D45" t="s">
        <v>30</v>
      </c>
      <c r="E45" t="s">
        <v>49</v>
      </c>
      <c r="F45" t="s">
        <v>40</v>
      </c>
      <c r="G45" s="10"/>
      <c r="H45" s="10"/>
      <c r="I45" s="10" t="s">
        <v>75</v>
      </c>
    </row>
    <row r="46" spans="1:10" x14ac:dyDescent="0.2">
      <c r="A46" s="2">
        <v>5.4334596921296295E-2</v>
      </c>
      <c r="B46" t="s">
        <v>59</v>
      </c>
      <c r="C46" t="s">
        <v>21</v>
      </c>
      <c r="D46" t="s">
        <v>22</v>
      </c>
      <c r="E46" t="s">
        <v>33</v>
      </c>
      <c r="F46" t="s">
        <v>47</v>
      </c>
      <c r="G46" s="10"/>
      <c r="H46" s="10" t="s">
        <v>75</v>
      </c>
      <c r="I46" s="10"/>
    </row>
    <row r="47" spans="1:10" x14ac:dyDescent="0.2">
      <c r="A47" s="2">
        <v>5.7693504467592596E-2</v>
      </c>
      <c r="B47" t="s">
        <v>59</v>
      </c>
      <c r="C47" t="s">
        <v>21</v>
      </c>
      <c r="D47" t="s">
        <v>22</v>
      </c>
      <c r="E47" t="s">
        <v>54</v>
      </c>
      <c r="F47" t="s">
        <v>26</v>
      </c>
      <c r="G47" s="10" t="s">
        <v>75</v>
      </c>
      <c r="H47" s="10"/>
      <c r="I47" s="10"/>
    </row>
    <row r="49" spans="1:3" x14ac:dyDescent="0.2">
      <c r="A49" s="11" t="s">
        <v>78</v>
      </c>
      <c r="B49" s="12" t="s">
        <v>63</v>
      </c>
      <c r="C49" s="12" t="s">
        <v>64</v>
      </c>
    </row>
    <row r="50" spans="1:3" x14ac:dyDescent="0.2">
      <c r="A50" s="13" t="s">
        <v>66</v>
      </c>
      <c r="B50" s="14">
        <f>COUNTIFS(DetailMelees[Introduction pour],"N",DetailMelees[Issue],"G")</f>
        <v>9</v>
      </c>
      <c r="C50" s="14">
        <f>COUNTIFS(DetailMelees[Introduction pour],"N",DetailMelees[Issue],"P")</f>
        <v>0</v>
      </c>
    </row>
    <row r="51" spans="1:3" x14ac:dyDescent="0.2">
      <c r="A51" s="8" t="s">
        <v>67</v>
      </c>
      <c r="B51" s="9">
        <f>COUNTIFS(DetailMelees[Introduction pour],"E",DetailMelees[Issue],"P")</f>
        <v>6</v>
      </c>
      <c r="C51" s="9">
        <f>COUNTIFS(DetailMelees[Introduction pour],"E",DetailMelees[Issue],"G")</f>
        <v>0</v>
      </c>
    </row>
    <row r="53" spans="1:3" ht="16" customHeight="1" x14ac:dyDescent="0.2"/>
  </sheetData>
  <conditionalFormatting sqref="D3:D24 D33:D47">
    <cfRule type="expression" dxfId="13" priority="1" stopIfTrue="1">
      <formula>($C3&amp;$D3)="NP"</formula>
    </cfRule>
    <cfRule type="expression" dxfId="12" priority="2" stopIfTrue="1">
      <formula>($C3&amp;$D3)="EG"</formula>
    </cfRule>
  </conditionalFormatting>
  <conditionalFormatting sqref="G3:G24">
    <cfRule type="expression" dxfId="11" priority="3" stopIfTrue="1">
      <formula>$G3="F"</formula>
    </cfRule>
    <cfRule type="expression" dxfId="10" priority="4" stopIfTrue="1">
      <formula>$G3="C"</formula>
    </cfRule>
  </conditionalFormatting>
  <conditionalFormatting sqref="A3:J24">
    <cfRule type="expression" dxfId="9" priority="5" stopIfTrue="1">
      <formula>$C3="N"</formula>
    </cfRule>
    <cfRule type="expression" dxfId="8" priority="6" stopIfTrue="1">
      <formula>$C3&lt;&gt;""</formula>
    </cfRule>
  </conditionalFormatting>
  <conditionalFormatting sqref="A33:J47">
    <cfRule type="expression" dxfId="7" priority="7" stopIfTrue="1">
      <formula>$C33="N"</formula>
    </cfRule>
    <cfRule type="expression" dxfId="6" priority="8" stopIfTrue="1">
      <formula>$C33&lt;&gt;""</formula>
    </cfRule>
  </conditionalFormatting>
  <dataValidations count="9">
    <dataValidation type="list" allowBlank="1" showInputMessage="1" showErrorMessage="1" sqref="I3:I24" xr:uid="{412C994D-D63E-A444-90C4-A125C167B4D9}">
      <formula1>$AC$2:$AC$7</formula1>
    </dataValidation>
    <dataValidation type="list" allowBlank="1" showInputMessage="1" showErrorMessage="1" sqref="G3:G24" xr:uid="{17009D26-4EE1-1A44-AC2E-26AC102D075E}">
      <formula1>$AA$2:$AA$3</formula1>
    </dataValidation>
    <dataValidation type="list" allowBlank="1" showInputMessage="1" showErrorMessage="1" sqref="F3:F24" xr:uid="{382B6840-DE27-4546-9F23-A8D13F17175D}">
      <formula1>$Z$2:$Z$6</formula1>
    </dataValidation>
    <dataValidation type="list" allowBlank="1" showInputMessage="1" showErrorMessage="1" sqref="D3:D24" xr:uid="{6C18B7EE-3FC8-964D-BA1E-CECB4389025E}">
      <formula1>$X$2:$X$4</formula1>
    </dataValidation>
    <dataValidation type="list" allowBlank="1" showInputMessage="1" showErrorMessage="1" sqref="F33:F47" xr:uid="{DB1392DD-850F-AB47-9205-F7FEF792DF4C}">
      <formula1>$AD$2:$AD$4</formula1>
    </dataValidation>
    <dataValidation type="list" allowBlank="1" showInputMessage="1" showErrorMessage="1" sqref="D33:D47" xr:uid="{BB1D6936-741B-3548-BE24-638804701828}">
      <formula1>$Y$2:$Y$3</formula1>
    </dataValidation>
    <dataValidation type="list" allowBlank="1" showInputMessage="1" showErrorMessage="1" sqref="H3:H24 E33:E47" xr:uid="{10BC7725-32F3-4B45-A69A-7CD6EEE73835}">
      <formula1>$AB$2:$AB$12</formula1>
    </dataValidation>
    <dataValidation type="list" allowBlank="1" showInputMessage="1" showErrorMessage="1" sqref="C3:C24 C33:C47" xr:uid="{22E2F27F-1034-1940-9E16-56AB33E50DEB}">
      <formula1>$W$2:$W$3</formula1>
    </dataValidation>
    <dataValidation type="list" allowBlank="1" showInputMessage="1" showErrorMessage="1" sqref="E3:E24" xr:uid="{ACA0869D-4775-F04C-A335-6F6E405C2081}">
      <formula1>$AG$2:$AG$25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Touches Melees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2026-09-30T06:51:29Z</dcterms:created>
  <dcterms:modified xsi:type="dcterms:W3CDTF">2026-09-30T06:51:43Z</dcterms:modified>
</cp:coreProperties>
</file>