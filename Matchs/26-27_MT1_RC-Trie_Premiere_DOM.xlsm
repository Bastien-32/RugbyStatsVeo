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F1474141-51C0-744A-B44F-A3EFCA026F3C}" xr6:coauthVersionLast="47" xr6:coauthVersionMax="47" xr10:uidLastSave="{00000000-0000-0000-0000-000000000000}"/>
  <bookViews>
    <workbookView xWindow="660" yWindow="3740" windowWidth="23760" windowHeight="15760" activeTab="4" xr2:uid="{5F0CDC84-7E09-284D-A88D-E03D83E4A36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2" l="1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E42" i="12"/>
  <c r="D42" i="12"/>
  <c r="E41" i="12"/>
  <c r="D41" i="12"/>
  <c r="N39" i="12"/>
  <c r="M39" i="12"/>
  <c r="L39" i="12"/>
  <c r="K39" i="12"/>
  <c r="N38" i="12"/>
  <c r="M38" i="12"/>
  <c r="L38" i="12"/>
  <c r="K38" i="12"/>
  <c r="E38" i="12"/>
  <c r="D38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<sst xmlns="http://schemas.openxmlformats.org/spreadsheetml/2006/main" count="3320" uniqueCount="491">
  <si>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</si>
  <si>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</si>
  <si>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</si>
  <si>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</si>
  <si>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</si>
  <si>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</si>
  <si>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</si>
  <si>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</si>
  <si>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</si>
  <si>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</si>
  <si>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</si>
  <si>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</si>
  <si>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</si>
  <si>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</si>
  <si>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</si>
  <si>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</si>
  <si>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</si>
  <si>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</si>
  <si>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</si>
  <si>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</si>
  <si>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</si>
  <si>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</si>
  <si>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</si>
  <si>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</si>
  <si>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</si>
  <si>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</si>
  <si>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</si>
  <si>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</si>
  <si>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</si>
  <si>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</si>
  <si>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</si>
  <si>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</si>
  <si>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</si>
  <si>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</si>
  <si>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</si>
  <si>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</si>
  <si>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</si>
  <si>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</si>
  <si>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</si>
  <si>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</si>
  <si>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</si>
  <si>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</si>
  <si>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</si>
  <si>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</si>
  <si>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</si>
  <si>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</si>
  <si>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</si>
  <si>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</si>
  <si>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</si>
  <si>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</si>
  <si>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</si>
  <si>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</si>
  <si>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</si>
  <si>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</si>
  <si>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</si>
  <si>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</si>
  <si>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</si>
  <si>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</si>
  <si>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</si>
  <si>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</si>
  <si>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</si>
  <si>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</si>
  <si>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</si>
  <si>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</si>
  <si>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</si>
  <si>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</si>
  <si>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</si>
  <si>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</si>
  <si>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</si>
  <si>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</si>
  <si>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</si>
  <si>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</si>
  <si>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</si>
  <si>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</si>
  <si>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</si>
  <si>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</si>
  <si>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</si>
  <si>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</si>
  <si>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</si>
  <si>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</si>
  <si>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</si>
  <si>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</si>
  <si>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</si>
  <si>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</si>
  <si>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</si>
  <si>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</si>
  <si>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</si>
  <si>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</si>
  <si>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</si>
  <si>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</si>
  <si>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</si>
  <si>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</si>
  <si>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</si>
  <si>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</si>
  <si>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</si>
  <si>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</si>
  <si>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</si>
  <si>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</si>
  <si>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</si>
  <si>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</si>
  <si>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</si>
  <si>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</si>
  <si>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</si>
  <si>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</si>
  <si>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</si>
  <si>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</si>
  <si>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</si>
  <si>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</si>
  <si>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</si>
  <si>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</si>
  <si>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</si>
  <si>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</si>
  <si>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</si>
  <si>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</si>
  <si>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</si>
  <si>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</si>
  <si>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</si>
  <si>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</si>
  <si>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</si>
  <si>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</si>
  <si>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</si>
  <si>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</si>
  <si>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</si>
  <si>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</si>
  <si>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</si>
  <si>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</si>
  <si>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</si>
  <si>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</si>
  <si>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</si>
  <si>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</si>
  <si>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</si>
  <si>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</si>
  <si>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</si>
  <si>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</si>
  <si>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</si>
  <si>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</si>
  <si>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</si>
  <si>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</si>
  <si>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</si>
  <si>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</si>
  <si>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</si>
  <si>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</si>
  <si>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</si>
  <si>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</si>
  <si>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</si>
  <si>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</si>
  <si>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</si>
  <si>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</si>
  <si>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</si>
  <si>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</si>
  <si>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</si>
  <si>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</si>
  <si>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</si>
  <si>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</si>
  <si>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</si>
  <si>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</si>
  <si>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</si>
  <si>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</si>
  <si>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</si>
  <si>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</si>
  <si>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</si>
  <si>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</si>
  <si>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</si>
  <si>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</si>
  <si>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</si>
  <si>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</si>
  <si>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</si>
  <si>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</si>
  <si>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</si>
  <si>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</si>
  <si>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</si>
  <si>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</si>
  <si>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</si>
  <si>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</si>
  <si>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</si>
  <si>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</si>
  <si>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</si>
  <si>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</si>
  <si>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</si>
  <si>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</si>
  <si>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</si>
  <si>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</si>
  <si>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</si>
  <si>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</si>
  <si>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</si>
  <si>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</si>
  <si>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</si>
  <si>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</si>
  <si>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</si>
  <si>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</si>
  <si>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</si>
  <si>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</si>
  <si>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</si>
  <si>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</si>
  <si>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</si>
  <si>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</si>
  <si>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</si>
  <si>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</si>
  <si>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</si>
  <si>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</si>
  <si>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</si>
  <si>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</si>
  <si>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</si>
  <si>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</si>
  <si>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</si>
  <si>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</si>
  <si>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</si>
  <si>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</si>
  <si>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</si>
  <si>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</si>
  <si>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</si>
  <si>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</si>
  <si>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</si>
  <si>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</si>
  <si>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</si>
  <si>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</si>
  <si>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</si>
  <si>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</si>
  <si>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</si>
  <si>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</si>
  <si>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</si>
  <si>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</si>
  <si>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</si>
  <si>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</si>
  <si>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</si>
  <si>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</si>
  <si>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</si>
  <si>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</si>
  <si>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</si>
  <si>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</si>
  <si>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</si>
  <si>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</si>
  <si>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</si>
  <si>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</si>
  <si>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</si>
  <si>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</si>
  <si>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</si>
  <si>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</si>
  <si>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</si>
  <si>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</si>
  <si>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</si>
  <si>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</si>
  <si>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</si>
  <si>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</si>
  <si>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</si>
  <si>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</si>
  <si>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</si>
  <si>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</si>
  <si>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</si>
  <si>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</si>
  <si>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</si>
  <si>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</si>
  <si>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</si>
  <si>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</si>
  <si>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</si>
  <si>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</si>
  <si>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</si>
  <si>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</si>
  <si>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</si>
  <si>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</si>
  <si>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</si>
  <si>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</si>
  <si>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</si>
  <si>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</si>
  <si>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</si>
  <si>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</si>
  <si>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</si>
  <si>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</si>
  <si>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</si>
  <si>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</si>
  <si>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</si>
  <si>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</si>
  <si>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</si>
  <si>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</si>
  <si>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</si>
  <si>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</si>
  <si>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</si>
  <si>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</si>
  <si>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</si>
  <si>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</si>
  <si>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</si>
  <si>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</si>
  <si>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</si>
  <si>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</si>
  <si>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</si>
  <si>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</si>
  <si>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</si>
  <si>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</si>
  <si>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</si>
  <si>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</si>
  <si>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</si>
  <si>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</si>
  <si>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</si>
  <si>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</si>
  <si>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</si>
  <si>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</si>
  <si>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</si>
  <si>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</si>
  <si>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</si>
  <si>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</si>
  <si>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</si>
  <si>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</si>
  <si>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</si>
  <si>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</si>
  <si>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</si>
  <si>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</si>
  <si>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</si>
  <si>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</si>
  <si>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</si>
  <si>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</si>
  <si>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</si>
  <si>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</si>
  <si>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</si>
  <si>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</si>
  <si>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</si>
  <si>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</si>
  <si>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</si>
  <si>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</si>
  <si>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</si>
  <si>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</si>
  <si>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</si>
  <si>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</si>
  <si>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</si>
  <si>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</si>
  <si>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</si>
  <si>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</si>
  <si>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</si>
  <si>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</si>
  <si>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</si>
  <si>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</si>
  <si>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</si>
  <si>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</si>
  <si>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</si>
  <si>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</si>
  <si>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</si>
  <si>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</si>
  <si>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</si>
  <si>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</si>
  <si>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</si>
  <si>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</si>
  <si>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</si>
  <si>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</si>
  <si>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</si>
  <si>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</si>
  <si>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</si>
  <si>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</si>
  <si>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</si>
  <si>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</si>
  <si>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</si>
  <si>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</si>
  <si>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</si>
  <si>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</si>
  <si>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</si>
  <si>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</si>
  <si>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</si>
  <si>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</si>
  <si>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</si>
  <si>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</si>
  <si>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</si>
  <si>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</si>
  <si>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</si>
  <si>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</si>
  <si>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</si>
  <si>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</si>
  <si>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</si>
  <si>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</si>
  <si>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</si>
  <si>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</si>
  <si>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</si>
  <si>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</si>
  <si>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</si>
  <si>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</si>
  <si>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</si>
  <si>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</si>
  <si>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</si>
  <si>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</si>
  <si>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</si>
  <si>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</si>
  <si>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</si>
  <si>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</si>
  <si>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</si>
  <si>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</si>
  <si>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</si>
  <si>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</si>
  <si>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</si>
  <si>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</si>
  <si>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</si>
  <si>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</si>
  <si>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</si>
  <si>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</si>
  <si>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</si>
  <si>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</si>
  <si>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</si>
  <si>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</si>
  <si>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</si>
  <si>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</si>
  <si>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</si>
  <si>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</si>
  <si>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</si>
  <si>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</si>
  <si>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</si>
  <si>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</si>
  <si>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</si>
  <si>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</si>
  <si>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</si>
  <si>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</si>
  <si>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</si>
  <si>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</si>
  <si>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</si>
  <si>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</si>
  <si>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</si>
  <si>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</si>
  <si>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</si>
  <si>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</si>
  <si>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</si>
  <si>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</si>
  <si>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</si>
  <si>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</si>
  <si>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</si>
  <si>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</si>
  <si>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</si>
  <si>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</si>
  <si>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</si>
  <si>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</si>
  <si>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</si>
  <si>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</si>
  <si>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</si>
  <si>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</si>
  <si>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</si>
  <si>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</si>
  <si>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</si>
  <si>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</si>
  <si>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</si>
  <si>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</si>
  <si>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</si>
  <si>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</si>
  <si>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</si>
  <si>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</si>
  <si>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</si>
  <si>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</si>
  <si>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</si>
  <si>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</si>
  <si>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</si>
  <si>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</si>
  <si>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</si>
  <si>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</si>
  <si>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RICHIARDONNE Gregory</t>
  </si>
  <si>
    <t>GALLINARO Pierrick</t>
  </si>
  <si>
    <t>POUYADOU Julien</t>
  </si>
  <si>
    <t>ROUSSEL Mathis</t>
  </si>
  <si>
    <t>BOISVIN Paul</t>
  </si>
  <si>
    <t>LOUREIRO LABAZUY Antonio</t>
  </si>
  <si>
    <t>FITAN Maël</t>
  </si>
  <si>
    <t>GABRELLE Neot</t>
  </si>
  <si>
    <t>LESPINASSE Lucas</t>
  </si>
  <si>
    <t>BALAGNA Rudy</t>
  </si>
  <si>
    <t>RECURT Louis</t>
  </si>
  <si>
    <t>SOUVILLE Quentin</t>
  </si>
  <si>
    <t>VANDEKERKOFF</t>
  </si>
  <si>
    <t>ABADIE Thomas</t>
  </si>
  <si>
    <t>BOUTELOUP Romain</t>
  </si>
  <si>
    <r>
      <t xml:space="preserve">2
</t>
    </r>
    <r>
      <rPr>
        <sz val="9"/>
        <color rgb="FF000000"/>
        <rFont val="Arial"/>
        <family val="2"/>
      </rPr>
      <t>GALLINARO</t>
    </r>
  </si>
  <si>
    <r>
      <t xml:space="preserve">3
</t>
    </r>
    <r>
      <rPr>
        <sz val="9"/>
        <color rgb="FF000000"/>
        <rFont val="Arial"/>
        <family val="2"/>
      </rPr>
      <t>BOUTELOUP</t>
    </r>
  </si>
  <si>
    <r>
      <t xml:space="preserve">5
</t>
    </r>
    <r>
      <rPr>
        <sz val="9"/>
        <color rgb="FF000000"/>
        <rFont val="Arial"/>
        <family val="2"/>
      </rPr>
      <t>BOISVIN</t>
    </r>
  </si>
  <si>
    <r>
      <t xml:space="preserve">6
</t>
    </r>
    <r>
      <rPr>
        <sz val="9"/>
        <color rgb="FF000000"/>
        <rFont val="Arial"/>
        <family val="2"/>
      </rPr>
      <t>LOUREIRO LABAZUY</t>
    </r>
  </si>
  <si>
    <r>
      <t xml:space="preserve">8
</t>
    </r>
    <r>
      <rPr>
        <sz val="9"/>
        <color rgb="FF000000"/>
        <rFont val="Arial"/>
        <family val="2"/>
      </rPr>
      <t>GABRELLE</t>
    </r>
  </si>
  <si>
    <r>
      <t xml:space="preserve">11
</t>
    </r>
    <r>
      <rPr>
        <sz val="9"/>
        <color rgb="FF000000"/>
        <rFont val="Arial"/>
        <family val="2"/>
      </rPr>
      <t>LESPINASSE</t>
    </r>
  </si>
  <si>
    <r>
      <t xml:space="preserve">12
</t>
    </r>
    <r>
      <rPr>
        <sz val="9"/>
        <color rgb="FF000000"/>
        <rFont val="Arial"/>
        <family val="2"/>
      </rPr>
      <t>BALAGNA</t>
    </r>
  </si>
  <si>
    <t>BARATGIN Julian</t>
  </si>
  <si>
    <t>VANDEKERKOFF Aymeric</t>
  </si>
  <si>
    <t>MOUDENS Alexis</t>
  </si>
  <si>
    <r>
      <t xml:space="preserve">9
</t>
    </r>
    <r>
      <rPr>
        <sz val="9"/>
        <color rgb="FF000000"/>
        <rFont val="Arial"/>
        <family val="2"/>
      </rPr>
      <t>MOUDENS</t>
    </r>
  </si>
  <si>
    <t>COURREGES Romain</t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</si>
  <si>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</si>
  <si>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
</t>
    </r>
    <r>
      <rPr>
        <sz val="9"/>
        <color rgb="FF000000"/>
        <rFont val="Arial"/>
        <family val="2"/>
      </rPr>
      <t>FITAN</t>
    </r>
  </si>
  <si>
    <t>ABADIE Emeric</t>
  </si>
  <si>
    <r>
      <t xml:space="preserve">4
</t>
    </r>
    <r>
      <rPr>
        <sz val="9"/>
        <color rgb="FF000000"/>
        <rFont val="Arial"/>
        <family val="2"/>
      </rPr>
      <t>ABADIE</t>
    </r>
  </si>
  <si>
    <r>
      <t xml:space="preserve">7
</t>
    </r>
    <r>
      <rPr>
        <sz val="9"/>
        <color rgb="FF000000"/>
        <rFont val="Arial"/>
        <family val="2"/>
      </rPr>
      <t>BARATGIN</t>
    </r>
  </si>
  <si>
    <r>
      <t xml:space="preserve">13
</t>
    </r>
    <r>
      <rPr>
        <sz val="9"/>
        <color rgb="FF000000"/>
        <rFont val="Arial"/>
        <family val="2"/>
      </rPr>
      <t>VANDEKERKOFF</t>
    </r>
  </si>
  <si>
    <r>
      <t xml:space="preserve">14
</t>
    </r>
    <r>
      <rPr>
        <sz val="9"/>
        <color rgb="FF000000"/>
        <rFont val="Arial"/>
        <family val="2"/>
      </rPr>
      <t>RECURT</t>
    </r>
  </si>
  <si>
    <r>
      <t xml:space="preserve">15
</t>
    </r>
    <r>
      <rPr>
        <sz val="9"/>
        <color rgb="FF000000"/>
        <rFont val="Arial"/>
        <family val="2"/>
      </rPr>
      <t>SOUVILLE</t>
    </r>
  </si>
  <si>
    <t xml:space="preserve">: </t>
  </si>
  <si>
    <r>
      <t xml:space="preserve">16
</t>
    </r>
    <r>
      <rPr>
        <sz val="9"/>
        <color rgb="FF000000"/>
        <rFont val="Arial"/>
        <family val="2"/>
      </rPr>
      <t>POUYADOU</t>
    </r>
  </si>
  <si>
    <r>
      <t xml:space="preserve">17
</t>
    </r>
    <r>
      <rPr>
        <sz val="9"/>
        <color rgb="FF000000"/>
        <rFont val="Arial"/>
        <family val="2"/>
      </rPr>
      <t>RICHIARDONNE</t>
    </r>
  </si>
  <si>
    <r>
      <t xml:space="preserve">18
</t>
    </r>
    <r>
      <rPr>
        <sz val="9"/>
        <color rgb="FF000000"/>
        <rFont val="Arial"/>
        <family val="2"/>
      </rPr>
      <t>ROUSSEL</t>
    </r>
  </si>
  <si>
    <r>
      <t xml:space="preserve">19
</t>
    </r>
    <r>
      <rPr>
        <sz val="9"/>
        <color rgb="FF000000"/>
        <rFont val="Arial"/>
        <family val="2"/>
      </rPr>
      <t>ABADIE</t>
    </r>
  </si>
  <si>
    <t>BARRAILH Francois</t>
  </si>
  <si>
    <r>
      <t xml:space="preserve">20
</t>
    </r>
    <r>
      <rPr>
        <sz val="9"/>
        <color rgb="FF000000"/>
        <rFont val="Arial"/>
        <family val="2"/>
      </rPr>
      <t>BARRAILH</t>
    </r>
  </si>
  <si>
    <t>HENNI Kevin</t>
  </si>
  <si>
    <r>
      <t xml:space="preserve">21
</t>
    </r>
    <r>
      <rPr>
        <sz val="9"/>
        <color rgb="FF000000"/>
        <rFont val="Arial"/>
        <family val="2"/>
      </rPr>
      <t>HENNI</t>
    </r>
  </si>
  <si>
    <t>Duree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</si>
</sst>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1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21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2" dataDxfId="51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0"/>
    <tableColumn id="2" xr3:uid="{0C1B8A30-A3B8-DA4D-B893-C4C99FF33E90}" name="nom" dataDxfId="49"/>
    <tableColumn id="3" xr3:uid="{8AE5AF32-0026-9B41-8B0B-16B9ED0F3727}" name="prenom" dataDxfId="48"/>
    <tableColumn id="4" xr3:uid="{4CE41A86-7158-6B42-B932-A5275F10AB48}" name="prenom NOM" dataDxfId="47">
      <calculatedColumnFormula>LstEffectif[[#This Row],[prenom]] &amp; " " &amp; LstEffectif[[#This Row],[nom]]</calculatedColumnFormula>
    </tableColumn>
    <tableColumn id="5" xr3:uid="{EB017694-E6D2-7440-91BF-61113926AB7D}" name="NOM Prénom" dataDxfId="46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5" dataDxfId="44">
  <autoFilter ref="I1:I11" xr:uid="{037D6424-D1EC-894D-B963-D36ABCA682C4}"/>
  <tableColumns count="1">
    <tableColumn id="1" xr3:uid="{63806632-B9ED-294D-800A-F2FDB2EC48D2}" name="EQUIPES_A_AFFRONTER" dataDxfId="4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2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59" totalsRowShown="0">
  <autoFilter ref="A1:Q259" xr:uid="{274E98FB-BCE1-0347-AD79-C8025C407DEC}"/>
  <sortState xmlns:xlrd2="http://schemas.microsoft.com/office/spreadsheetml/2017/richdata2" ref="A2:Q259">
    <sortCondition descending="1" ref="A1:A259"/>
  </sortState>
  <tableColumns count="17">
    <tableColumn id="1" xr3:uid="{1C6F1113-17EB-A449-86BF-30B1CE9CAC0A}" name="temps video" dataDxfId="5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41" dataDxfId="39" headerRowBorderDxfId="40" tableBorderDxfId="38" totalsRowBorderDxfId="37">
  <autoFilter ref="Q1:R50" xr:uid="{6D1F5F0A-5FD5-AC4E-A195-33A78A5E0E58}"/>
  <tableColumns count="2">
    <tableColumn id="1" xr3:uid="{8A0D5429-5616-B849-BD27-167A576FE99E}" name="Nom de cellule à créer" dataDxfId="36"/>
    <tableColumn id="2" xr3:uid="{19545507-672A-9F40-8818-E4C9060AA52B}" name="Libellé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4" headerRowBorderDxfId="33" tableBorderDxfId="32" totalsRowBorderDxfId="3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0" headerRowBorderDxfId="29" tableBorderDxfId="28" totalsRowBorderDxfId="2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6" dataDxfId="25">
  <autoFilter ref="I14:I20" xr:uid="{CC940AF9-E81A-F746-8EAD-392809C3CFBE}"/>
  <tableColumns count="1">
    <tableColumn id="1" xr3:uid="{816CA1DF-3681-2948-A622-26353E2B9A97}" name="LISTE_LECTEUR_VIDEO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3" dataDxfId="22">
  <autoFilter ref="C1:C4" xr:uid="{61FC7709-08E5-D048-A38B-441B18CF5D35}"/>
  <tableColumns count="1">
    <tableColumn id="1" xr3:uid="{C41B523D-40DA-AF48-A2C2-015B04960B0A}" name="LIEU_MATCH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0" dataDxfId="19">
  <autoFilter ref="C6:C10" xr:uid="{86EA01CF-5567-6445-9906-AD2B60CA0A8A}"/>
  <tableColumns count="1">
    <tableColumn id="1" xr3:uid="{B57F8324-6F25-7B40-9B20-1BFDF9708631}" name="PHASE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7" dataDxfId="16">
  <autoFilter ref="C12:C15" xr:uid="{DAA9B017-78F0-D447-B788-CF8333AEAC38}"/>
  <tableColumns count="1">
    <tableColumn id="1" xr3:uid="{C5E86C3D-762A-054E-B864-5A67DBB9A8CA}" name="RESULTAT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4" dataDxfId="13">
  <autoFilter ref="C17:C21" xr:uid="{F661D9E2-619C-DA44-92C5-8A09E8E281AC}"/>
  <tableColumns count="1">
    <tableColumn id="1" xr3:uid="{ADD3AF05-089E-D149-9728-7C2A6F62FA22}" name="EQUIPE_NIV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4" totalsRowShown="0" headerRowDxfId="11" dataDxfId="9" headerRowBorderDxfId="10" tableBorderDxfId="8" totalsRowBorderDxfId="7">
  <autoFilter ref="K1:K24" xr:uid="{391966D0-8F83-3948-82BB-835638F7D3FE}"/>
  <tableColumns count="1">
    <tableColumn id="1" xr3:uid="{F45BF991-6668-F741-B07C-7905B99AC752}" name="LISTE_JOUEURS_JOURNAL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441</v>
      </c>
    </row>
    <row r="2" spans="1:9" ht="14">
      <c r="A2">
        <v>1</v>
      </c>
      <c r="B2" s="154" t="s">
        <v>324</v>
      </c>
      <c r="C2" s="154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432</v>
      </c>
    </row>
    <row r="3" spans="1:9" ht="14">
      <c r="A3">
        <v>2</v>
      </c>
      <c r="B3" s="154" t="s">
        <v>324</v>
      </c>
      <c r="C3" s="154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433</v>
      </c>
    </row>
    <row r="4" spans="1:9" ht="14">
      <c r="A4">
        <v>3</v>
      </c>
      <c r="B4" s="154" t="s">
        <v>324</v>
      </c>
      <c r="C4" s="154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434</v>
      </c>
    </row>
    <row r="5" spans="1:9" ht="14">
      <c r="A5">
        <v>4</v>
      </c>
      <c r="B5" s="154" t="s">
        <v>327</v>
      </c>
      <c r="C5" s="154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435</v>
      </c>
    </row>
    <row r="6" spans="1:9" ht="14">
      <c r="A6">
        <v>5</v>
      </c>
      <c r="B6" s="154" t="s">
        <v>329</v>
      </c>
      <c r="C6" s="154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436</v>
      </c>
    </row>
    <row r="7" spans="1:9" ht="14">
      <c r="A7">
        <v>6</v>
      </c>
      <c r="B7" s="154" t="s">
        <v>331</v>
      </c>
      <c r="C7" s="154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437</v>
      </c>
    </row>
    <row r="8" spans="1:9" ht="14">
      <c r="A8">
        <v>7</v>
      </c>
      <c r="B8" s="154" t="s">
        <v>333</v>
      </c>
      <c r="C8" s="154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438</v>
      </c>
    </row>
    <row r="9" spans="1:9" ht="14">
      <c r="A9">
        <v>8</v>
      </c>
      <c r="B9" s="154" t="s">
        <v>335</v>
      </c>
      <c r="C9" s="154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439</v>
      </c>
    </row>
    <row r="10" spans="1:9" ht="14">
      <c r="A10">
        <v>9</v>
      </c>
      <c r="B10" s="154" t="s">
        <v>337</v>
      </c>
      <c r="C10" s="154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440</v>
      </c>
    </row>
    <row r="11" spans="1:9" ht="14">
      <c r="A11">
        <v>10</v>
      </c>
      <c r="B11" s="154" t="s">
        <v>339</v>
      </c>
      <c r="C11" s="154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442</v>
      </c>
    </row>
    <row r="12" spans="1:9" ht="14">
      <c r="A12">
        <v>11</v>
      </c>
      <c r="B12" s="154" t="s">
        <v>341</v>
      </c>
      <c r="C12" s="154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4" t="s">
        <v>343</v>
      </c>
      <c r="C13" s="154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4" t="s">
        <v>345</v>
      </c>
      <c r="C14" s="154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4" t="s">
        <v>347</v>
      </c>
      <c r="C15" s="154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4" t="s">
        <v>349</v>
      </c>
      <c r="C16" s="154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4" t="s">
        <v>349</v>
      </c>
      <c r="C17" s="154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4" t="s">
        <v>352</v>
      </c>
      <c r="C18" s="154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4" t="s">
        <v>354</v>
      </c>
      <c r="C19" s="154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4" t="s">
        <v>356</v>
      </c>
      <c r="C20" s="154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4" t="s">
        <v>357</v>
      </c>
      <c r="C21" s="154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4" t="s">
        <v>359</v>
      </c>
      <c r="C22" s="154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4" t="s">
        <v>361</v>
      </c>
      <c r="C23" s="154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4" t="s">
        <v>361</v>
      </c>
      <c r="C24" s="154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4" t="s">
        <v>364</v>
      </c>
      <c r="C25" s="154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4" t="s">
        <v>366</v>
      </c>
      <c r="C26" s="154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4" t="s">
        <v>367</v>
      </c>
      <c r="C27" s="154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4" t="s">
        <v>369</v>
      </c>
      <c r="C28" s="154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4" t="s">
        <v>370</v>
      </c>
      <c r="C29" s="154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4" t="s">
        <v>372</v>
      </c>
      <c r="C30" s="154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4" t="s">
        <v>374</v>
      </c>
      <c r="C31" s="154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4" t="s">
        <v>376</v>
      </c>
      <c r="C32" s="154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4" t="s">
        <v>377</v>
      </c>
      <c r="C33" s="154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4" t="s">
        <v>378</v>
      </c>
      <c r="C34" s="154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4" t="s">
        <v>380</v>
      </c>
      <c r="C35" s="154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4" t="s">
        <v>380</v>
      </c>
      <c r="C36" s="154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4" t="s">
        <v>383</v>
      </c>
      <c r="C37" s="154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4" t="s">
        <v>384</v>
      </c>
      <c r="C38" s="154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4" t="s">
        <v>385</v>
      </c>
      <c r="C39" s="154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4" t="s">
        <v>387</v>
      </c>
      <c r="C40" s="154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4" t="s">
        <v>388</v>
      </c>
      <c r="C41" s="154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4" t="s">
        <v>390</v>
      </c>
      <c r="C42" s="154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4" t="s">
        <v>391</v>
      </c>
      <c r="C43" s="154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4" t="s">
        <v>393</v>
      </c>
      <c r="C44" s="154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4" t="s">
        <v>395</v>
      </c>
      <c r="C45" s="154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4" t="s">
        <v>397</v>
      </c>
      <c r="C46" s="154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4" t="s">
        <v>399</v>
      </c>
      <c r="C47" s="154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4" t="s">
        <v>399</v>
      </c>
      <c r="C48" s="154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4" t="s">
        <v>402</v>
      </c>
      <c r="C49" s="154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4" t="s">
        <v>404</v>
      </c>
      <c r="C50" s="154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4" t="s">
        <v>406</v>
      </c>
      <c r="C51" s="154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4" t="s">
        <v>407</v>
      </c>
      <c r="C52" s="154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4" t="s">
        <v>409</v>
      </c>
      <c r="C53" s="154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4" t="s">
        <v>410</v>
      </c>
      <c r="C54" s="154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4" t="s">
        <v>411</v>
      </c>
      <c r="C55" s="154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4" t="s">
        <v>413</v>
      </c>
      <c r="C56" s="154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4" t="s">
        <v>414</v>
      </c>
      <c r="C57" s="154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4" t="s">
        <v>416</v>
      </c>
      <c r="C58" s="154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4" t="s">
        <v>418</v>
      </c>
      <c r="C59" s="154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4" t="s">
        <v>418</v>
      </c>
      <c r="C60" s="154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4" t="s">
        <v>420</v>
      </c>
      <c r="C61" s="154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4" t="s">
        <v>422</v>
      </c>
      <c r="C62" s="154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4" t="s">
        <v>423</v>
      </c>
      <c r="C63" s="154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4" t="s">
        <v>425</v>
      </c>
      <c r="C64" s="154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4" t="s">
        <v>427</v>
      </c>
      <c r="C65" s="154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4" t="s">
        <v>458</v>
      </c>
      <c r="C66" s="154" t="s">
        <v>428</v>
      </c>
      <c r="D66" t="str">
        <f>LstEffectif[[#This Row],[prenom]] &amp; " " &amp; LstEffectif[[#This Row],[nom]]</f>
        <v>Aymeric VANDEKERKOFF</v>
      </c>
      <c r="E66" t="str">
        <f>LstEffectif[[#This Row],[nom]] &amp; " " &amp; LstEffectif[[#This Row],[prenom]]</f>
        <v>VANDEKERKOFF Aymeric</v>
      </c>
    </row>
    <row r="67" spans="1:5" s="25" customFormat="1" ht="14">
      <c r="A67">
        <v>66</v>
      </c>
      <c r="B67" s="154" t="s">
        <v>429</v>
      </c>
      <c r="C67" s="154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4" t="s">
        <v>430</v>
      </c>
      <c r="C68" s="154" t="s">
        <v>431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04" t="s">
        <v>254</v>
      </c>
      <c r="C2" s="204"/>
      <c r="E2" s="205" t="s">
        <v>255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25" customFormat="1">
      <c r="A5" s="91"/>
      <c r="D5" s="91"/>
    </row>
    <row r="6" spans="1:8">
      <c r="B6" s="70" t="s">
        <v>234</v>
      </c>
      <c r="C6" s="71" t="s">
        <v>443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452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F8" t="s">
        <v>447</v>
      </c>
      <c r="G8" t="s">
        <v>204</v>
      </c>
    </row>
    <row r="9" spans="1:8">
      <c r="B9" s="25"/>
      <c r="C9" s="25"/>
      <c r="E9">
        <v>3</v>
      </c>
      <c r="F9" t="s">
        <v>460</v>
      </c>
      <c r="G9" t="s">
        <v>204</v>
      </c>
    </row>
    <row r="10" spans="1:8">
      <c r="B10" s="70" t="s">
        <v>235</v>
      </c>
      <c r="C10" s="71" t="s">
        <v>442</v>
      </c>
      <c r="E10">
        <v>4</v>
      </c>
      <c r="F10" t="s">
        <v>475</v>
      </c>
      <c r="G10" t="s">
        <v>204</v>
      </c>
    </row>
    <row r="11" spans="1:8">
      <c r="B11" s="25"/>
      <c r="C11" s="25"/>
      <c r="E11">
        <v>5</v>
      </c>
      <c r="F11" t="s">
        <v>450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F12" t="s">
        <v>451</v>
      </c>
      <c r="G12" t="s">
        <v>204</v>
      </c>
    </row>
    <row r="13" spans="1:8">
      <c r="B13" s="25"/>
      <c r="C13" s="25"/>
      <c r="E13">
        <v>7</v>
      </c>
      <c r="F13" t="s">
        <v>468</v>
      </c>
      <c r="G13" t="s">
        <v>204</v>
      </c>
    </row>
    <row r="14" spans="1:8">
      <c r="B14" s="70" t="s">
        <v>236</v>
      </c>
      <c r="C14" s="71" t="s">
        <v>444</v>
      </c>
      <c r="E14">
        <v>8</v>
      </c>
      <c r="F14" t="s">
        <v>453</v>
      </c>
      <c r="G14" t="s">
        <v>204</v>
      </c>
    </row>
    <row r="15" spans="1:8">
      <c r="B15" s="25"/>
      <c r="C15" s="92"/>
      <c r="E15" s="63">
        <v>9</v>
      </c>
      <c r="F15" s="63" t="s">
        <v>470</v>
      </c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F16" t="s">
        <v>472</v>
      </c>
      <c r="G16" t="s">
        <v>222</v>
      </c>
    </row>
    <row r="17" spans="1:8">
      <c r="B17" s="25"/>
      <c r="C17" s="25"/>
      <c r="E17">
        <v>11</v>
      </c>
      <c r="F17" t="s">
        <v>454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F18" t="s">
        <v>455</v>
      </c>
      <c r="G18" t="s">
        <v>222</v>
      </c>
    </row>
    <row r="19" spans="1:8">
      <c r="B19" s="25"/>
      <c r="C19" s="92"/>
      <c r="E19">
        <v>13</v>
      </c>
      <c r="F19" t="s">
        <v>469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F20" t="s">
        <v>456</v>
      </c>
      <c r="G20" t="s">
        <v>222</v>
      </c>
    </row>
    <row r="21" spans="1:8">
      <c r="B21" s="25"/>
      <c r="C21" s="25"/>
      <c r="E21" s="58">
        <v>15</v>
      </c>
      <c r="F21" s="58" t="s">
        <v>457</v>
      </c>
      <c r="G21" s="58" t="s">
        <v>222</v>
      </c>
      <c r="H21" s="58"/>
    </row>
    <row r="22" spans="1:8">
      <c r="B22" s="25"/>
      <c r="C22" s="25"/>
      <c r="E22">
        <v>16</v>
      </c>
      <c r="F22" t="s">
        <v>448</v>
      </c>
      <c r="G22" t="s">
        <v>204</v>
      </c>
    </row>
    <row r="23" spans="1:8">
      <c r="B23" s="25"/>
      <c r="C23" s="25"/>
      <c r="E23">
        <v>17</v>
      </c>
      <c r="F23" t="s">
        <v>446</v>
      </c>
    </row>
    <row r="24" spans="1:8">
      <c r="B24" s="25"/>
      <c r="C24" s="25"/>
      <c r="E24">
        <v>18</v>
      </c>
      <c r="F24" t="s">
        <v>449</v>
      </c>
    </row>
    <row r="25" spans="1:8">
      <c r="B25" s="25"/>
      <c r="C25" s="25"/>
      <c r="E25">
        <v>19</v>
      </c>
      <c r="F25" t="s">
        <v>459</v>
      </c>
    </row>
    <row r="26" spans="1:8">
      <c r="B26" s="25"/>
      <c r="C26" s="25"/>
      <c r="E26">
        <v>20</v>
      </c>
      <c r="F26" t="s">
        <v>486</v>
      </c>
    </row>
    <row r="27" spans="1:8">
      <c r="B27" s="25"/>
      <c r="C27" s="25"/>
      <c r="E27">
        <v>21</v>
      </c>
      <c r="F27" t="s">
        <v>488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445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481</v>
      </c>
      <c r="C1" s="226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5"/>
      <c r="AZ1" s="167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8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2"/>
      <c r="AD3" s="188"/>
      <c r="AE3" s="178"/>
      <c r="AF3" s="178"/>
      <c r="AG3" s="178"/>
      <c r="AH3" s="178"/>
      <c r="AI3" s="187"/>
    </row>
    <row r="4" spans="1:52" ht="42" customHeight="1">
      <c r="A4" s="25"/>
      <c r="B4" s="25"/>
      <c r="C4" s="126"/>
      <c r="D4" s="227" t="s">
        <v>175</v>
      </c>
      <c r="E4" s="228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73"/>
      <c r="R4" s="167" t="s">
        <v>88</v>
      </c>
      <c r="S4" s="188"/>
      <c r="T4" s="39" t="s">
        <v>79</v>
      </c>
      <c r="U4" s="188"/>
      <c r="V4" s="39" t="s">
        <v>102</v>
      </c>
      <c r="W4" s="188"/>
      <c r="X4" s="39" t="s">
        <v>192</v>
      </c>
      <c r="Y4" s="188"/>
      <c r="Z4" s="39" t="s">
        <v>80</v>
      </c>
      <c r="AA4" s="188"/>
      <c r="AB4" s="39" t="s">
        <v>81</v>
      </c>
      <c r="AC4" s="192"/>
      <c r="AD4" s="188"/>
      <c r="AE4" s="178"/>
      <c r="AF4" s="178"/>
      <c r="AG4" s="178"/>
      <c r="AH4" s="178"/>
      <c r="AI4" s="187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85"/>
      <c r="R5" s="191"/>
      <c r="S5" s="186"/>
      <c r="T5" s="191"/>
      <c r="U5" s="186"/>
      <c r="V5" s="191"/>
      <c r="W5" s="186"/>
      <c r="X5" s="191"/>
      <c r="Y5" s="186"/>
      <c r="Z5" s="191"/>
      <c r="AA5" s="186"/>
      <c r="AB5" s="191"/>
      <c r="AC5" s="193"/>
      <c r="AD5" s="188"/>
      <c r="AE5" s="178"/>
      <c r="AF5" s="178"/>
      <c r="AG5" s="178"/>
      <c r="AH5" s="178"/>
      <c r="AI5" s="187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78"/>
      <c r="AE6" s="178"/>
      <c r="AF6" s="178"/>
      <c r="AG6" s="178"/>
      <c r="AH6" s="178"/>
      <c r="AI6" s="187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8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2"/>
      <c r="AD7" s="188"/>
      <c r="AE7" s="178"/>
      <c r="AF7" s="178"/>
      <c r="AG7" s="178"/>
      <c r="AH7" s="178"/>
      <c r="AI7" s="187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73"/>
      <c r="R8" s="167" t="s">
        <v>99</v>
      </c>
      <c r="S8" s="188"/>
      <c r="T8" s="31" t="s">
        <v>83</v>
      </c>
      <c r="U8" s="188"/>
      <c r="V8" s="31" t="s">
        <v>84</v>
      </c>
      <c r="W8" s="188"/>
      <c r="X8" s="31" t="s">
        <v>85</v>
      </c>
      <c r="Y8" s="188"/>
      <c r="Z8" s="31" t="s">
        <v>86</v>
      </c>
      <c r="AA8" s="188"/>
      <c r="AB8" s="24" t="s">
        <v>87</v>
      </c>
      <c r="AC8" s="192"/>
      <c r="AD8" s="188"/>
      <c r="AE8" s="178"/>
      <c r="AF8" s="178"/>
      <c r="AG8" s="178"/>
      <c r="AH8" s="178"/>
      <c r="AI8" s="187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85"/>
      <c r="R9" s="191"/>
      <c r="S9" s="186"/>
      <c r="T9" s="191"/>
      <c r="U9" s="186"/>
      <c r="V9" s="191"/>
      <c r="W9" s="186"/>
      <c r="X9" s="191"/>
      <c r="Y9" s="186"/>
      <c r="Z9" s="191"/>
      <c r="AA9" s="186"/>
      <c r="AB9" s="191"/>
      <c r="AC9" s="193"/>
      <c r="AD9" s="188"/>
      <c r="AE9" s="178"/>
      <c r="AF9" s="178"/>
      <c r="AG9" s="178"/>
      <c r="AH9" s="178"/>
      <c r="AI9" s="187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78"/>
      <c r="AE10" s="178"/>
      <c r="AF10" s="178"/>
      <c r="AG10" s="178"/>
      <c r="AH10" s="178"/>
      <c r="AI10" s="187"/>
    </row>
    <row r="11" spans="1:52" ht="10" customHeight="1" thickTop="1">
      <c r="A11" s="25"/>
      <c r="B11" s="25" t="s">
        <v>95</v>
      </c>
      <c r="C11" s="168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0"/>
      <c r="O11" s="172"/>
      <c r="P11" s="151"/>
      <c r="Q11" s="168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2"/>
    </row>
    <row r="12" spans="1:52" ht="15" customHeight="1">
      <c r="A12" s="25"/>
      <c r="B12" s="25"/>
      <c r="C12" s="173"/>
      <c r="D12" s="229" t="s">
        <v>68</v>
      </c>
      <c r="E12" s="229"/>
      <c r="F12" s="229"/>
      <c r="G12" s="229"/>
      <c r="H12" s="229"/>
      <c r="I12" s="229"/>
      <c r="J12" s="229"/>
      <c r="K12" s="229"/>
      <c r="L12" s="229"/>
      <c r="M12" s="230"/>
      <c r="N12" s="231"/>
      <c r="O12" s="177"/>
      <c r="P12" s="151"/>
      <c r="Q12" s="173"/>
      <c r="R12" s="214" t="s">
        <v>69</v>
      </c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5"/>
      <c r="AH12" s="216"/>
      <c r="AI12" s="192"/>
    </row>
    <row r="13" spans="1:52">
      <c r="A13" s="25"/>
      <c r="B13" s="25"/>
      <c r="C13" s="173"/>
      <c r="D13" s="174"/>
      <c r="E13" s="178"/>
      <c r="F13" s="174"/>
      <c r="G13" s="178"/>
      <c r="H13" s="174"/>
      <c r="I13" s="178"/>
      <c r="J13" s="174"/>
      <c r="K13" s="178"/>
      <c r="L13" s="174"/>
      <c r="M13" s="178"/>
      <c r="N13" s="174"/>
      <c r="O13" s="177"/>
      <c r="P13" s="151"/>
      <c r="Q13" s="173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77"/>
    </row>
    <row r="14" spans="1:52" ht="42" customHeight="1">
      <c r="A14" s="25"/>
      <c r="B14" s="25"/>
      <c r="C14" s="180"/>
      <c r="D14" s="194" t="s">
        <v>474</v>
      </c>
      <c r="E14" s="182"/>
      <c r="F14" s="194" t="s">
        <v>461</v>
      </c>
      <c r="G14" s="182"/>
      <c r="H14" s="194" t="s">
        <v>462</v>
      </c>
      <c r="I14" s="182"/>
      <c r="J14" s="194" t="s">
        <v>476</v>
      </c>
      <c r="K14" s="182"/>
      <c r="L14" s="194" t="s">
        <v>463</v>
      </c>
      <c r="M14" s="182"/>
      <c r="N14" s="194" t="s">
        <v>464</v>
      </c>
      <c r="O14" s="183"/>
      <c r="P14" s="151"/>
      <c r="Q14" s="173"/>
      <c r="R14" s="167" t="s">
        <v>321</v>
      </c>
      <c r="S14" s="188"/>
      <c r="T14" s="29" t="s">
        <v>72</v>
      </c>
      <c r="U14" s="188"/>
      <c r="V14" s="29" t="s">
        <v>70</v>
      </c>
      <c r="W14" s="188"/>
      <c r="X14" s="29" t="s">
        <v>73</v>
      </c>
      <c r="Y14" s="188"/>
      <c r="Z14" s="29" t="s">
        <v>74</v>
      </c>
      <c r="AA14" s="188"/>
      <c r="AB14" s="29" t="s">
        <v>71</v>
      </c>
      <c r="AC14" s="188"/>
      <c r="AD14" s="178"/>
      <c r="AE14" s="178"/>
      <c r="AF14" s="217" t="s">
        <v>299</v>
      </c>
      <c r="AG14" s="218"/>
      <c r="AH14" s="219"/>
      <c r="AI14" s="192"/>
    </row>
    <row r="15" spans="1:52" ht="10" customHeight="1">
      <c r="A15" s="25"/>
      <c r="B15" s="25"/>
      <c r="C15" s="173"/>
      <c r="D15" s="181"/>
      <c r="E15" s="178"/>
      <c r="F15" s="181"/>
      <c r="G15" s="178"/>
      <c r="H15" s="181"/>
      <c r="I15" s="178"/>
      <c r="J15" s="181"/>
      <c r="K15" s="178"/>
      <c r="L15" s="181"/>
      <c r="M15" s="178"/>
      <c r="N15" s="181"/>
      <c r="O15" s="177"/>
      <c r="P15" s="151"/>
      <c r="Q15" s="173"/>
      <c r="R15" s="189"/>
      <c r="S15" s="178"/>
      <c r="T15" s="189"/>
      <c r="U15" s="178"/>
      <c r="V15" s="189"/>
      <c r="W15" s="178"/>
      <c r="X15" s="189"/>
      <c r="Y15" s="178"/>
      <c r="Z15" s="189"/>
      <c r="AA15" s="178"/>
      <c r="AB15" s="189"/>
      <c r="AC15" s="178"/>
      <c r="AD15" s="178"/>
      <c r="AE15" s="178"/>
      <c r="AF15" s="189"/>
      <c r="AG15" s="189"/>
      <c r="AH15" s="189"/>
      <c r="AI15" s="177"/>
    </row>
    <row r="16" spans="1:52" ht="42" customHeight="1">
      <c r="A16" s="25"/>
      <c r="B16" s="25"/>
      <c r="C16" s="180"/>
      <c r="D16" s="194" t="s">
        <v>477</v>
      </c>
      <c r="E16" s="182"/>
      <c r="F16" s="194" t="s">
        <v>465</v>
      </c>
      <c r="G16" s="182"/>
      <c r="H16" s="194" t="s">
        <v>471</v>
      </c>
      <c r="I16" s="182"/>
      <c r="J16" s="194" t="s">
        <v>473</v>
      </c>
      <c r="K16" s="182"/>
      <c r="L16" s="194" t="s">
        <v>466</v>
      </c>
      <c r="M16" s="182"/>
      <c r="N16" s="194" t="s">
        <v>467</v>
      </c>
      <c r="O16" s="183"/>
      <c r="P16" s="151"/>
      <c r="Q16" s="173"/>
      <c r="R16" s="167" t="s">
        <v>276</v>
      </c>
      <c r="S16" s="188"/>
      <c r="T16" s="29" t="s">
        <v>75</v>
      </c>
      <c r="U16" s="188"/>
      <c r="V16" s="29" t="s">
        <v>76</v>
      </c>
      <c r="W16" s="188"/>
      <c r="X16" s="29" t="s">
        <v>96</v>
      </c>
      <c r="Y16" s="188"/>
      <c r="Z16" s="178"/>
      <c r="AA16" s="178"/>
      <c r="AB16" s="178"/>
      <c r="AC16" s="178"/>
      <c r="AD16" s="167" t="s">
        <v>277</v>
      </c>
      <c r="AE16" s="188"/>
      <c r="AF16" s="29" t="s">
        <v>75</v>
      </c>
      <c r="AG16" s="188"/>
      <c r="AH16" s="29" t="s">
        <v>76</v>
      </c>
      <c r="AI16" s="192"/>
    </row>
    <row r="17" spans="1:35" ht="10" customHeight="1">
      <c r="A17" s="25"/>
      <c r="B17" s="25"/>
      <c r="C17" s="173"/>
      <c r="D17" s="181"/>
      <c r="E17" s="178"/>
      <c r="F17" s="181"/>
      <c r="G17" s="178"/>
      <c r="H17" s="181"/>
      <c r="I17" s="178"/>
      <c r="J17" s="181"/>
      <c r="K17" s="178"/>
      <c r="L17" s="181"/>
      <c r="M17" s="178"/>
      <c r="N17" s="181"/>
      <c r="O17" s="177"/>
      <c r="P17" s="151"/>
      <c r="Q17" s="173"/>
      <c r="R17" s="189"/>
      <c r="S17" s="178"/>
      <c r="T17" s="189"/>
      <c r="U17" s="178"/>
      <c r="V17" s="189"/>
      <c r="W17" s="178"/>
      <c r="X17" s="189"/>
      <c r="Y17" s="178"/>
      <c r="Z17" s="178"/>
      <c r="AA17" s="178"/>
      <c r="AB17" s="178"/>
      <c r="AC17" s="178"/>
      <c r="AD17" s="189"/>
      <c r="AE17" s="178"/>
      <c r="AF17" s="189"/>
      <c r="AG17" s="178"/>
      <c r="AH17" s="189"/>
      <c r="AI17" s="177"/>
    </row>
    <row r="18" spans="1:35" ht="42" customHeight="1">
      <c r="A18" s="25"/>
      <c r="B18" s="25"/>
      <c r="C18" s="180"/>
      <c r="D18" s="194" t="s">
        <v>478</v>
      </c>
      <c r="E18" s="182"/>
      <c r="F18" s="194" t="s">
        <v>479</v>
      </c>
      <c r="G18" s="182"/>
      <c r="H18" s="194" t="s">
        <v>480</v>
      </c>
      <c r="I18" s="182"/>
      <c r="J18" s="194" t="s">
        <v>482</v>
      </c>
      <c r="K18" s="182"/>
      <c r="L18" s="194" t="s">
        <v>483</v>
      </c>
      <c r="M18" s="182"/>
      <c r="N18" s="194" t="s">
        <v>484</v>
      </c>
      <c r="O18" s="183"/>
      <c r="P18" s="151"/>
      <c r="Q18" s="173"/>
      <c r="R18" s="167" t="s">
        <v>176</v>
      </c>
      <c r="S18" s="188"/>
      <c r="T18" s="29" t="s">
        <v>177</v>
      </c>
      <c r="U18" s="188"/>
      <c r="V18" s="29" t="s">
        <v>178</v>
      </c>
      <c r="W18" s="188"/>
      <c r="X18" s="29" t="s">
        <v>179</v>
      </c>
      <c r="Y18" s="188"/>
      <c r="Z18" s="29" t="s">
        <v>180</v>
      </c>
      <c r="AA18" s="188"/>
      <c r="AB18" s="29" t="s">
        <v>60</v>
      </c>
      <c r="AC18" s="188"/>
      <c r="AD18" s="29" t="s">
        <v>77</v>
      </c>
      <c r="AE18" s="188"/>
      <c r="AF18" s="29" t="s">
        <v>273</v>
      </c>
      <c r="AG18" s="188"/>
      <c r="AH18" s="178"/>
      <c r="AI18" s="177"/>
    </row>
    <row r="19" spans="1:35" s="25" customFormat="1" ht="10" customHeight="1">
      <c r="C19" s="173"/>
      <c r="D19" s="181"/>
      <c r="E19" s="178"/>
      <c r="F19" s="181"/>
      <c r="G19" s="178"/>
      <c r="H19" s="181"/>
      <c r="I19" s="178"/>
      <c r="J19" s="181"/>
      <c r="K19" s="178"/>
      <c r="L19" s="181"/>
      <c r="M19" s="178"/>
      <c r="N19" s="181"/>
      <c r="O19" s="177"/>
      <c r="P19" s="151"/>
      <c r="Q19" s="173"/>
      <c r="R19" s="189"/>
      <c r="S19" s="178"/>
      <c r="T19" s="189"/>
      <c r="U19" s="178"/>
      <c r="V19" s="189"/>
      <c r="W19" s="178"/>
      <c r="X19" s="189"/>
      <c r="Y19" s="178"/>
      <c r="Z19" s="189"/>
      <c r="AA19" s="178"/>
      <c r="AB19" s="189"/>
      <c r="AC19" s="178"/>
      <c r="AD19" s="189"/>
      <c r="AE19" s="178"/>
      <c r="AF19" s="189"/>
      <c r="AG19" s="178"/>
      <c r="AH19" s="178"/>
      <c r="AI19" s="177"/>
    </row>
    <row r="20" spans="1:35" ht="42" customHeight="1">
      <c r="A20" s="25"/>
      <c r="B20" s="25"/>
      <c r="C20" s="180"/>
      <c r="D20" s="194" t="s">
        <v>485</v>
      </c>
      <c r="E20" s="182"/>
      <c r="F20" s="194" t="s">
        <v>487</v>
      </c>
      <c r="G20" s="182"/>
      <c r="H20" s="194" t="s">
        <v>489</v>
      </c>
      <c r="I20" s="182"/>
      <c r="J20" s="194">
        <v>22</v>
      </c>
      <c r="K20" s="182"/>
      <c r="L20" s="195" t="s">
        <v>92</v>
      </c>
      <c r="M20" s="182"/>
      <c r="N20" s="195" t="s">
        <v>82</v>
      </c>
      <c r="O20" s="179"/>
      <c r="P20" s="151"/>
      <c r="Q20" s="173"/>
      <c r="R20" s="167" t="s">
        <v>116</v>
      </c>
      <c r="S20" s="188"/>
      <c r="T20" s="30" t="s">
        <v>210</v>
      </c>
      <c r="U20" s="188"/>
      <c r="V20" s="30" t="s">
        <v>211</v>
      </c>
      <c r="W20" s="188"/>
      <c r="X20" s="167" t="s">
        <v>205</v>
      </c>
      <c r="Y20" s="188"/>
      <c r="Z20" s="30" t="s">
        <v>206</v>
      </c>
      <c r="AA20" s="188"/>
      <c r="AB20" s="30" t="s">
        <v>207</v>
      </c>
      <c r="AC20" s="188"/>
      <c r="AD20" s="30" t="s">
        <v>208</v>
      </c>
      <c r="AE20" s="188"/>
      <c r="AF20" s="30" t="s">
        <v>209</v>
      </c>
      <c r="AG20" s="188"/>
      <c r="AH20" s="30" t="s">
        <v>135</v>
      </c>
      <c r="AI20" s="192"/>
    </row>
    <row r="21" spans="1:35" ht="10" customHeight="1" thickBot="1">
      <c r="A21" s="25"/>
      <c r="B21" s="25"/>
      <c r="C21" s="173"/>
      <c r="D21" s="184"/>
      <c r="E21" s="178"/>
      <c r="F21" s="184"/>
      <c r="G21" s="178"/>
      <c r="H21" s="184"/>
      <c r="I21" s="178"/>
      <c r="J21" s="184"/>
      <c r="K21" s="178"/>
      <c r="L21" s="184"/>
      <c r="M21" s="178"/>
      <c r="N21" s="196"/>
      <c r="O21" s="169"/>
      <c r="P21" s="152"/>
      <c r="Q21" s="185"/>
      <c r="R21" s="191"/>
      <c r="S21" s="186"/>
      <c r="T21" s="191"/>
      <c r="U21" s="186"/>
      <c r="V21" s="191"/>
      <c r="W21" s="186"/>
      <c r="X21" s="191"/>
      <c r="Y21" s="186"/>
      <c r="Z21" s="191"/>
      <c r="AA21" s="186"/>
      <c r="AB21" s="191"/>
      <c r="AC21" s="186"/>
      <c r="AD21" s="191"/>
      <c r="AE21" s="186"/>
      <c r="AF21" s="191"/>
      <c r="AG21" s="186"/>
      <c r="AH21" s="191"/>
      <c r="AI21" s="193"/>
    </row>
    <row r="22" spans="1:35" ht="10" customHeight="1" thickTop="1" thickBot="1">
      <c r="A22" s="25"/>
      <c r="B22" s="25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90"/>
      <c r="P22" s="25"/>
    </row>
    <row r="23" spans="1:35" ht="10" customHeight="1" thickTop="1">
      <c r="A23" s="25"/>
      <c r="B23" s="25"/>
      <c r="C23" s="168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0"/>
      <c r="O23" s="172"/>
      <c r="P23" s="25"/>
    </row>
    <row r="24" spans="1:35" ht="15" customHeight="1">
      <c r="A24" s="25"/>
      <c r="B24" s="25"/>
      <c r="C24" s="173"/>
      <c r="D24" s="220" t="s">
        <v>90</v>
      </c>
      <c r="E24" s="220"/>
      <c r="F24" s="220"/>
      <c r="G24" s="220"/>
      <c r="H24" s="220"/>
      <c r="I24" s="220"/>
      <c r="J24" s="220"/>
      <c r="K24" s="220"/>
      <c r="L24" s="220"/>
      <c r="M24" s="221"/>
      <c r="N24" s="222"/>
      <c r="O24" s="177"/>
      <c r="P24" s="25"/>
    </row>
    <row r="25" spans="1:35" s="25" customFormat="1" ht="10" customHeight="1">
      <c r="C25" s="173"/>
      <c r="D25" s="175"/>
      <c r="E25" s="178"/>
      <c r="F25" s="178"/>
      <c r="G25" s="178"/>
      <c r="H25" s="178"/>
      <c r="I25" s="178"/>
      <c r="J25" s="178"/>
      <c r="K25" s="178"/>
      <c r="L25" s="178"/>
      <c r="M25" s="178"/>
      <c r="N25" s="178"/>
      <c r="O25" s="177"/>
    </row>
    <row r="26" spans="1:35" ht="15" customHeight="1">
      <c r="A26" s="25"/>
      <c r="B26" s="25"/>
      <c r="C26" s="197"/>
      <c r="D26" s="198" t="s">
        <v>91</v>
      </c>
      <c r="E26" s="178"/>
      <c r="F26" s="178"/>
      <c r="G26" s="178"/>
      <c r="H26" s="178"/>
      <c r="I26" s="178"/>
      <c r="J26" s="178"/>
      <c r="K26" s="178"/>
      <c r="L26" s="178"/>
      <c r="M26" s="178"/>
      <c r="N26" s="178"/>
      <c r="O26" s="177"/>
      <c r="P26" s="25"/>
      <c r="T26" s="25" t="s">
        <v>117</v>
      </c>
    </row>
    <row r="27" spans="1:35" ht="10" customHeight="1">
      <c r="A27" s="25"/>
      <c r="B27" s="25"/>
      <c r="C27" s="173"/>
      <c r="D27" s="178"/>
      <c r="E27" s="178"/>
      <c r="F27" s="175"/>
      <c r="G27" s="178"/>
      <c r="H27" s="174"/>
      <c r="I27" s="178"/>
      <c r="J27" s="174"/>
      <c r="K27" s="178"/>
      <c r="L27" s="174"/>
      <c r="M27" s="178"/>
      <c r="N27" s="174"/>
      <c r="O27" s="177"/>
      <c r="P27" s="25"/>
    </row>
    <row r="28" spans="1:35" ht="42" customHeight="1">
      <c r="A28" s="25"/>
      <c r="B28" s="25"/>
      <c r="C28" s="173"/>
      <c r="D28" s="223">
        <v>3.2670209780092593E-2</v>
      </c>
      <c r="E28" s="224"/>
      <c r="F28" s="225"/>
      <c r="G28" s="199"/>
      <c r="H28" s="200" t="s">
        <v>62</v>
      </c>
      <c r="I28" s="182"/>
      <c r="J28" s="201" t="s">
        <v>61</v>
      </c>
      <c r="K28" s="182"/>
      <c r="L28" s="200" t="s">
        <v>169</v>
      </c>
      <c r="M28" s="182"/>
      <c r="N28" s="202" t="s">
        <v>63</v>
      </c>
      <c r="O28" s="179"/>
      <c r="P28" s="25"/>
      <c r="R28" s="25" t="s">
        <v>117</v>
      </c>
    </row>
    <row r="29" spans="1:35" ht="90" customHeight="1" thickBot="1">
      <c r="A29" s="25"/>
      <c r="B29" s="25"/>
      <c r="C29" s="173"/>
      <c r="D29" s="178"/>
      <c r="E29" s="178"/>
      <c r="F29" s="178"/>
      <c r="G29" s="178"/>
      <c r="H29" s="184"/>
      <c r="I29" s="178"/>
      <c r="J29" s="184"/>
      <c r="K29" s="178"/>
      <c r="L29" s="184"/>
      <c r="M29" s="178"/>
      <c r="N29" s="196"/>
      <c r="O29" s="169"/>
      <c r="P29" s="25"/>
    </row>
    <row r="30" spans="1:35" ht="106" customHeight="1" thickTop="1">
      <c r="A30" s="25"/>
      <c r="B30" s="25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90"/>
      <c r="P30" s="25"/>
    </row>
    <row r="31" spans="1:35" ht="10" customHeight="1">
      <c r="A31" s="25"/>
      <c r="B31" s="25"/>
      <c r="C31" s="178"/>
      <c r="D31" s="178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87"/>
      <c r="P31" s="25"/>
    </row>
    <row r="32" spans="1:35" ht="10" customHeight="1">
      <c r="A32" s="25"/>
      <c r="B32" s="25"/>
      <c r="C32" s="129"/>
      <c r="D32" s="132"/>
      <c r="E32" s="132"/>
      <c r="F32" s="134"/>
      <c r="G32" s="134"/>
      <c r="H32" s="134"/>
      <c r="I32" s="134"/>
      <c r="J32" s="134"/>
      <c r="K32" s="134"/>
      <c r="L32" s="134"/>
      <c r="M32" s="134"/>
      <c r="N32" s="134"/>
      <c r="O32" s="153"/>
      <c r="P32" s="25"/>
    </row>
    <row r="33" spans="1:21" ht="10" customHeight="1">
      <c r="A33" s="25"/>
      <c r="B33" s="25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87"/>
      <c r="P33" s="25"/>
    </row>
    <row r="34" spans="1:21" ht="15" customHeight="1">
      <c r="A34" s="25"/>
      <c r="B34" s="25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87"/>
      <c r="P34" s="25"/>
    </row>
    <row r="35" spans="1:21" ht="13" customHeight="1">
      <c r="A35" s="25"/>
      <c r="B35" s="25"/>
      <c r="C35" s="178"/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87"/>
      <c r="P35" s="25"/>
    </row>
    <row r="36" spans="1:21" ht="42" customHeight="1">
      <c r="A36" s="25"/>
      <c r="B36" s="25"/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87"/>
      <c r="P36" s="25"/>
    </row>
    <row r="37" spans="1:21" ht="10" customHeight="1">
      <c r="A37" s="25"/>
      <c r="B37" s="25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87"/>
      <c r="P37" s="25"/>
    </row>
    <row r="38" spans="1:21" ht="42" customHeight="1">
      <c r="A38" s="25"/>
      <c r="B38" s="25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87"/>
      <c r="P38" s="25"/>
    </row>
    <row r="39" spans="1:21" ht="10" customHeight="1">
      <c r="A39" s="25"/>
      <c r="B39" s="25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87"/>
      <c r="P39" s="25"/>
    </row>
    <row r="40" spans="1:21" ht="42" customHeight="1">
      <c r="A40" s="25"/>
      <c r="B40" s="25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87"/>
      <c r="P40" s="25"/>
      <c r="R40" s="26"/>
      <c r="S40" s="26"/>
    </row>
    <row r="41" spans="1:21" ht="10" customHeight="1">
      <c r="A41" s="25"/>
      <c r="B41" s="25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87"/>
      <c r="P41" s="25"/>
      <c r="R41" s="26"/>
      <c r="S41" s="26"/>
    </row>
    <row r="42" spans="1:21" ht="42" customHeight="1">
      <c r="A42" s="25"/>
      <c r="B42" s="25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87"/>
      <c r="P42" s="25"/>
    </row>
    <row r="43" spans="1:21" s="25" customFormat="1" ht="10" customHeight="1"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87"/>
    </row>
    <row r="44" spans="1:21" ht="10" customHeight="1">
      <c r="A44" s="25"/>
      <c r="B44" s="25"/>
      <c r="C44" s="129"/>
      <c r="D44" s="132"/>
      <c r="E44" s="132"/>
      <c r="F44" s="134"/>
      <c r="G44" s="134"/>
      <c r="H44" s="134"/>
      <c r="I44" s="134"/>
      <c r="J44" s="134"/>
      <c r="K44" s="134"/>
      <c r="L44" s="134"/>
      <c r="M44" s="134"/>
      <c r="N44" s="134"/>
      <c r="O44" s="153"/>
      <c r="P44" s="25"/>
    </row>
    <row r="45" spans="1:21" ht="10" customHeight="1">
      <c r="A45" s="25"/>
      <c r="B45" s="25"/>
      <c r="C45" s="178"/>
      <c r="D45" s="178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87"/>
      <c r="P45" s="25"/>
      <c r="Q45" s="27"/>
      <c r="T45" s="26"/>
      <c r="U45" s="26"/>
    </row>
    <row r="46" spans="1:21" ht="15" customHeight="1">
      <c r="A46" s="25"/>
      <c r="B46" s="25"/>
      <c r="C46" s="178"/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87"/>
      <c r="P46" s="25"/>
      <c r="U46" s="26"/>
    </row>
    <row r="47" spans="1:21" ht="11" customHeight="1">
      <c r="A47" s="25"/>
      <c r="B47" s="25"/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87"/>
      <c r="P47" s="25"/>
      <c r="U47" s="26"/>
    </row>
    <row r="48" spans="1:21">
      <c r="A48" s="25"/>
      <c r="B48" s="25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87"/>
      <c r="P48" s="25"/>
      <c r="Q48" s="25" t="s">
        <v>117</v>
      </c>
      <c r="U48" s="26"/>
    </row>
    <row r="49" spans="1:18" ht="6" customHeight="1">
      <c r="A49" s="25"/>
      <c r="B49" s="25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87"/>
      <c r="P49" s="25"/>
    </row>
    <row r="50" spans="1:18" ht="42" customHeight="1">
      <c r="A50" s="25"/>
      <c r="B50" s="25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87"/>
      <c r="P50" s="25"/>
    </row>
    <row r="51" spans="1:18" ht="93" customHeight="1">
      <c r="A51" s="25"/>
      <c r="B51" s="2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6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7"/>
  <sheetViews>
    <sheetView workbookViewId="0">
      <selection activeCell="E17" sqref="E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1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>
        <v>3.2905503113425924E-2</v>
      </c>
      <c r="B2" t="s">
        <v>97</v>
      </c>
      <c r="C2"/>
      <c r="D2"/>
      <c r="E2" t="s">
        <v>87</v>
      </c>
      <c r="F2"/>
      <c r="G2" t="s">
        <v>98</v>
      </c>
      <c r="H2"/>
      <c r="I2" s="166">
        <v>46278.680983796294</v>
      </c>
      <c r="J2" t="s">
        <v>445</v>
      </c>
      <c r="K2" t="s">
        <v>443</v>
      </c>
      <c r="L2" s="165">
        <v>46277</v>
      </c>
      <c r="M2" t="s">
        <v>442</v>
      </c>
      <c r="N2" t="s">
        <v>231</v>
      </c>
      <c r="O2" t="s">
        <v>444</v>
      </c>
      <c r="P2" t="s">
        <v>97</v>
      </c>
      <c r="Q2" t="s">
        <v>247</v>
      </c>
    </row>
    <row r="3" spans="1:17" s="25" customFormat="1">
      <c r="A3" s="119">
        <v>3.2905503113425924E-2</v>
      </c>
      <c r="B3" t="s">
        <v>97</v>
      </c>
      <c r="C3"/>
      <c r="D3"/>
      <c r="E3" t="s">
        <v>213</v>
      </c>
      <c r="F3" t="s">
        <v>207</v>
      </c>
      <c r="G3" t="s">
        <v>98</v>
      </c>
      <c r="H3"/>
      <c r="I3" s="166">
        <v>46278.680983796294</v>
      </c>
      <c r="J3" t="s">
        <v>445</v>
      </c>
      <c r="K3" t="s">
        <v>443</v>
      </c>
      <c r="L3" s="165">
        <v>46277</v>
      </c>
      <c r="M3" t="s">
        <v>442</v>
      </c>
      <c r="N3" t="s">
        <v>231</v>
      </c>
      <c r="O3" t="s">
        <v>444</v>
      </c>
      <c r="P3" t="s">
        <v>97</v>
      </c>
      <c r="Q3" t="s">
        <v>247</v>
      </c>
    </row>
    <row r="4" spans="1:17" s="25" customFormat="1">
      <c r="A4" s="119">
        <v>3.2720363819444445E-2</v>
      </c>
      <c r="B4" t="s">
        <v>97</v>
      </c>
      <c r="C4" t="s">
        <v>455</v>
      </c>
      <c r="D4"/>
      <c r="E4" t="s">
        <v>58</v>
      </c>
      <c r="F4"/>
      <c r="G4" t="s">
        <v>164</v>
      </c>
      <c r="H4"/>
      <c r="I4" s="166">
        <v>46278.680648148147</v>
      </c>
      <c r="J4" t="s">
        <v>445</v>
      </c>
      <c r="K4" t="s">
        <v>443</v>
      </c>
      <c r="L4" s="165">
        <v>46277</v>
      </c>
      <c r="M4" t="s">
        <v>442</v>
      </c>
      <c r="N4" t="s">
        <v>231</v>
      </c>
      <c r="O4" t="s">
        <v>444</v>
      </c>
      <c r="P4" t="s">
        <v>97</v>
      </c>
      <c r="Q4" t="s">
        <v>247</v>
      </c>
    </row>
    <row r="5" spans="1:17" s="25" customFormat="1">
      <c r="A5" s="119">
        <v>3.2662037037037038E-2</v>
      </c>
      <c r="B5" t="s">
        <v>97</v>
      </c>
      <c r="C5"/>
      <c r="D5"/>
      <c r="E5" t="s">
        <v>285</v>
      </c>
      <c r="F5"/>
      <c r="G5" t="s">
        <v>164</v>
      </c>
      <c r="H5"/>
      <c r="I5" s="166">
        <v>46278.680381944447</v>
      </c>
      <c r="J5" t="s">
        <v>445</v>
      </c>
      <c r="K5" t="s">
        <v>443</v>
      </c>
      <c r="L5" s="165">
        <v>46277</v>
      </c>
      <c r="M5" t="s">
        <v>442</v>
      </c>
      <c r="N5" t="s">
        <v>231</v>
      </c>
      <c r="O5" t="s">
        <v>444</v>
      </c>
      <c r="P5" t="s">
        <v>97</v>
      </c>
      <c r="Q5" t="s">
        <v>247</v>
      </c>
    </row>
    <row r="6" spans="1:17" s="25" customFormat="1">
      <c r="A6" s="119">
        <v>3.258129070601852E-2</v>
      </c>
      <c r="B6" t="s">
        <v>97</v>
      </c>
      <c r="C6"/>
      <c r="D6"/>
      <c r="E6" t="s">
        <v>105</v>
      </c>
      <c r="F6"/>
      <c r="G6" t="s">
        <v>164</v>
      </c>
      <c r="H6"/>
      <c r="I6" s="166">
        <v>46278.680381944447</v>
      </c>
      <c r="J6" t="s">
        <v>445</v>
      </c>
      <c r="K6" t="s">
        <v>443</v>
      </c>
      <c r="L6" s="165">
        <v>46277</v>
      </c>
      <c r="M6" t="s">
        <v>442</v>
      </c>
      <c r="N6" t="s">
        <v>231</v>
      </c>
      <c r="O6" t="s">
        <v>444</v>
      </c>
      <c r="P6" t="s">
        <v>97</v>
      </c>
      <c r="Q6" t="s">
        <v>247</v>
      </c>
    </row>
    <row r="7" spans="1:17" s="25" customFormat="1">
      <c r="A7" s="119">
        <v>3.2058119780092591E-2</v>
      </c>
      <c r="B7" t="s">
        <v>97</v>
      </c>
      <c r="C7"/>
      <c r="D7"/>
      <c r="E7" t="s">
        <v>87</v>
      </c>
      <c r="F7"/>
      <c r="G7" t="s">
        <v>164</v>
      </c>
      <c r="H7"/>
      <c r="I7" s="166">
        <v>46278.679108796299</v>
      </c>
      <c r="J7" t="s">
        <v>445</v>
      </c>
      <c r="K7" t="s">
        <v>443</v>
      </c>
      <c r="L7" s="165">
        <v>46277</v>
      </c>
      <c r="M7" t="s">
        <v>442</v>
      </c>
      <c r="N7" t="s">
        <v>231</v>
      </c>
      <c r="O7" t="s">
        <v>444</v>
      </c>
      <c r="P7" t="s">
        <v>97</v>
      </c>
      <c r="Q7" t="s">
        <v>247</v>
      </c>
    </row>
    <row r="8" spans="1:17" s="25" customFormat="1">
      <c r="A8" s="119">
        <v>3.2058119780092591E-2</v>
      </c>
      <c r="B8" t="s">
        <v>97</v>
      </c>
      <c r="C8" t="s">
        <v>451</v>
      </c>
      <c r="D8" t="s">
        <v>204</v>
      </c>
      <c r="E8" t="s">
        <v>214</v>
      </c>
      <c r="F8" t="s">
        <v>207</v>
      </c>
      <c r="G8" t="s">
        <v>164</v>
      </c>
      <c r="H8"/>
      <c r="I8" s="166">
        <v>46278.679108796299</v>
      </c>
      <c r="J8" t="s">
        <v>445</v>
      </c>
      <c r="K8" t="s">
        <v>443</v>
      </c>
      <c r="L8" s="165">
        <v>46277</v>
      </c>
      <c r="M8" t="s">
        <v>442</v>
      </c>
      <c r="N8" t="s">
        <v>231</v>
      </c>
      <c r="O8" t="s">
        <v>444</v>
      </c>
      <c r="P8" t="s">
        <v>97</v>
      </c>
      <c r="Q8" t="s">
        <v>247</v>
      </c>
    </row>
    <row r="9" spans="1:17" s="25" customFormat="1">
      <c r="A9" s="119">
        <v>3.1994403217592587E-2</v>
      </c>
      <c r="B9" t="s">
        <v>97</v>
      </c>
      <c r="C9" t="s">
        <v>475</v>
      </c>
      <c r="D9"/>
      <c r="E9" t="s">
        <v>108</v>
      </c>
      <c r="F9"/>
      <c r="G9" t="s">
        <v>164</v>
      </c>
      <c r="H9"/>
      <c r="I9" s="166">
        <v>46278.678912037038</v>
      </c>
      <c r="J9" t="s">
        <v>445</v>
      </c>
      <c r="K9" t="s">
        <v>443</v>
      </c>
      <c r="L9" s="165">
        <v>46277</v>
      </c>
      <c r="M9" t="s">
        <v>442</v>
      </c>
      <c r="N9" t="s">
        <v>231</v>
      </c>
      <c r="O9" t="s">
        <v>444</v>
      </c>
      <c r="P9" t="s">
        <v>97</v>
      </c>
      <c r="Q9" t="s">
        <v>247</v>
      </c>
    </row>
    <row r="10" spans="1:17" s="25" customFormat="1">
      <c r="A10" s="119">
        <v>3.1861883634259264E-2</v>
      </c>
      <c r="B10" t="s">
        <v>97</v>
      </c>
      <c r="C10" t="s">
        <v>457</v>
      </c>
      <c r="D10"/>
      <c r="E10" t="s">
        <v>108</v>
      </c>
      <c r="F10"/>
      <c r="G10" t="s">
        <v>164</v>
      </c>
      <c r="H10"/>
      <c r="I10" s="166">
        <v>46278.678391203706</v>
      </c>
      <c r="J10" t="s">
        <v>445</v>
      </c>
      <c r="K10" t="s">
        <v>443</v>
      </c>
      <c r="L10" s="165">
        <v>46277</v>
      </c>
      <c r="M10" t="s">
        <v>442</v>
      </c>
      <c r="N10" t="s">
        <v>231</v>
      </c>
      <c r="O10" t="s">
        <v>444</v>
      </c>
      <c r="P10" t="s">
        <v>97</v>
      </c>
      <c r="Q10" t="s">
        <v>247</v>
      </c>
    </row>
    <row r="11" spans="1:17" s="25" customFormat="1">
      <c r="A11" s="119">
        <v>3.1827181087962959E-2</v>
      </c>
      <c r="B11" t="s">
        <v>97</v>
      </c>
      <c r="C11" t="s">
        <v>455</v>
      </c>
      <c r="D11"/>
      <c r="E11" t="s">
        <v>108</v>
      </c>
      <c r="F11"/>
      <c r="G11" t="s">
        <v>164</v>
      </c>
      <c r="H11"/>
      <c r="I11" s="166">
        <v>46278.678287037037</v>
      </c>
      <c r="J11" t="s">
        <v>445</v>
      </c>
      <c r="K11" t="s">
        <v>443</v>
      </c>
      <c r="L11" s="165">
        <v>46277</v>
      </c>
      <c r="M11" t="s">
        <v>442</v>
      </c>
      <c r="N11" t="s">
        <v>231</v>
      </c>
      <c r="O11" t="s">
        <v>444</v>
      </c>
      <c r="P11" t="s">
        <v>97</v>
      </c>
      <c r="Q11" t="s">
        <v>247</v>
      </c>
    </row>
    <row r="12" spans="1:17" s="25" customFormat="1">
      <c r="A12" s="119">
        <v>3.1815510486111115E-2</v>
      </c>
      <c r="B12" t="s">
        <v>97</v>
      </c>
      <c r="C12" t="s">
        <v>469</v>
      </c>
      <c r="D12"/>
      <c r="E12" t="s">
        <v>108</v>
      </c>
      <c r="F12"/>
      <c r="G12" t="s">
        <v>164</v>
      </c>
      <c r="H12"/>
      <c r="I12" s="166">
        <v>46278.678229166668</v>
      </c>
      <c r="J12" t="s">
        <v>445</v>
      </c>
      <c r="K12" t="s">
        <v>443</v>
      </c>
      <c r="L12" s="165">
        <v>46277</v>
      </c>
      <c r="M12" t="s">
        <v>442</v>
      </c>
      <c r="N12" t="s">
        <v>231</v>
      </c>
      <c r="O12" t="s">
        <v>444</v>
      </c>
      <c r="P12" t="s">
        <v>97</v>
      </c>
      <c r="Q12" t="s">
        <v>247</v>
      </c>
    </row>
    <row r="13" spans="1:17" s="25" customFormat="1">
      <c r="A13" s="119">
        <v>3.1722775625000005E-2</v>
      </c>
      <c r="B13" t="s">
        <v>97</v>
      </c>
      <c r="C13" t="s">
        <v>475</v>
      </c>
      <c r="D13"/>
      <c r="E13" t="s">
        <v>108</v>
      </c>
      <c r="F13"/>
      <c r="G13" t="s">
        <v>164</v>
      </c>
      <c r="H13"/>
      <c r="I13" s="166">
        <v>46278.678043981483</v>
      </c>
      <c r="J13" t="s">
        <v>445</v>
      </c>
      <c r="K13" t="s">
        <v>443</v>
      </c>
      <c r="L13" s="165">
        <v>46277</v>
      </c>
      <c r="M13" t="s">
        <v>442</v>
      </c>
      <c r="N13" t="s">
        <v>231</v>
      </c>
      <c r="O13" t="s">
        <v>444</v>
      </c>
      <c r="P13" t="s">
        <v>97</v>
      </c>
      <c r="Q13" t="s">
        <v>247</v>
      </c>
    </row>
    <row r="14" spans="1:17" s="25" customFormat="1">
      <c r="A14" s="119">
        <v>3.163586616898148E-2</v>
      </c>
      <c r="B14" t="s">
        <v>97</v>
      </c>
      <c r="C14"/>
      <c r="D14"/>
      <c r="E14" t="s">
        <v>60</v>
      </c>
      <c r="F14"/>
      <c r="G14" t="s">
        <v>98</v>
      </c>
      <c r="H14"/>
      <c r="I14" s="166">
        <v>46278.677893518521</v>
      </c>
      <c r="J14" t="s">
        <v>445</v>
      </c>
      <c r="K14" t="s">
        <v>443</v>
      </c>
      <c r="L14" s="165">
        <v>46277</v>
      </c>
      <c r="M14" t="s">
        <v>442</v>
      </c>
      <c r="N14" t="s">
        <v>231</v>
      </c>
      <c r="O14" t="s">
        <v>444</v>
      </c>
      <c r="P14" t="s">
        <v>97</v>
      </c>
      <c r="Q14" t="s">
        <v>247</v>
      </c>
    </row>
    <row r="15" spans="1:17" s="25" customFormat="1">
      <c r="A15" s="119">
        <v>3.154911760416667E-2</v>
      </c>
      <c r="B15" t="s">
        <v>97</v>
      </c>
      <c r="C15"/>
      <c r="D15"/>
      <c r="E15" t="s">
        <v>186</v>
      </c>
      <c r="F15"/>
      <c r="G15" t="s">
        <v>98</v>
      </c>
      <c r="H15"/>
      <c r="I15" s="166">
        <v>46278.677719907406</v>
      </c>
      <c r="J15" t="s">
        <v>445</v>
      </c>
      <c r="K15" t="s">
        <v>443</v>
      </c>
      <c r="L15" s="165">
        <v>46277</v>
      </c>
      <c r="M15" t="s">
        <v>442</v>
      </c>
      <c r="N15" t="s">
        <v>231</v>
      </c>
      <c r="O15" t="s">
        <v>444</v>
      </c>
      <c r="P15" t="s">
        <v>97</v>
      </c>
      <c r="Q15" t="s">
        <v>247</v>
      </c>
    </row>
    <row r="16" spans="1:17" s="25" customFormat="1">
      <c r="A16" s="119">
        <v>3.1478921585648148E-2</v>
      </c>
      <c r="B16" t="s">
        <v>97</v>
      </c>
      <c r="C16"/>
      <c r="D16"/>
      <c r="E16" t="s">
        <v>101</v>
      </c>
      <c r="F16"/>
      <c r="G16" t="s">
        <v>164</v>
      </c>
      <c r="H16"/>
      <c r="I16" s="166">
        <v>46278.677615740744</v>
      </c>
      <c r="J16" t="s">
        <v>445</v>
      </c>
      <c r="K16" t="s">
        <v>443</v>
      </c>
      <c r="L16" s="165">
        <v>46277</v>
      </c>
      <c r="M16" t="s">
        <v>442</v>
      </c>
      <c r="N16" t="s">
        <v>231</v>
      </c>
      <c r="O16" t="s">
        <v>444</v>
      </c>
      <c r="P16" t="s">
        <v>97</v>
      </c>
      <c r="Q16" t="s">
        <v>247</v>
      </c>
    </row>
    <row r="17" spans="1:17" s="25" customFormat="1">
      <c r="A17" s="119">
        <v>3.0515943518518517E-2</v>
      </c>
      <c r="B17" t="s">
        <v>97</v>
      </c>
      <c r="C17"/>
      <c r="D17"/>
      <c r="E17" t="s">
        <v>114</v>
      </c>
      <c r="F17"/>
      <c r="G17" t="s">
        <v>98</v>
      </c>
      <c r="H17"/>
      <c r="I17" s="166">
        <v>46278.675324074073</v>
      </c>
      <c r="J17" t="s">
        <v>445</v>
      </c>
      <c r="K17" t="s">
        <v>443</v>
      </c>
      <c r="L17" s="165">
        <v>46277</v>
      </c>
      <c r="M17" t="s">
        <v>442</v>
      </c>
      <c r="N17" t="s">
        <v>231</v>
      </c>
      <c r="O17" t="s">
        <v>444</v>
      </c>
      <c r="P17" t="s">
        <v>97</v>
      </c>
      <c r="Q17" t="s">
        <v>247</v>
      </c>
    </row>
    <row r="18" spans="1:17" s="25" customFormat="1">
      <c r="A18" s="119">
        <v>3.0515943518518517E-2</v>
      </c>
      <c r="B18" t="s">
        <v>97</v>
      </c>
      <c r="C18"/>
      <c r="D18"/>
      <c r="E18" t="s">
        <v>316</v>
      </c>
      <c r="F18"/>
      <c r="G18" t="s">
        <v>98</v>
      </c>
      <c r="H18"/>
      <c r="I18" s="166">
        <v>46278.675324074073</v>
      </c>
      <c r="J18" t="s">
        <v>445</v>
      </c>
      <c r="K18" t="s">
        <v>443</v>
      </c>
      <c r="L18" s="165">
        <v>46277</v>
      </c>
      <c r="M18" t="s">
        <v>442</v>
      </c>
      <c r="N18" t="s">
        <v>231</v>
      </c>
      <c r="O18" t="s">
        <v>444</v>
      </c>
      <c r="P18" t="s">
        <v>97</v>
      </c>
      <c r="Q18" t="s">
        <v>247</v>
      </c>
    </row>
    <row r="19" spans="1:17" s="25" customFormat="1">
      <c r="A19" s="119">
        <v>3.0515943518518517E-2</v>
      </c>
      <c r="B19" t="s">
        <v>97</v>
      </c>
      <c r="C19"/>
      <c r="D19"/>
      <c r="E19" t="s">
        <v>87</v>
      </c>
      <c r="F19"/>
      <c r="G19" t="s">
        <v>98</v>
      </c>
      <c r="H19"/>
      <c r="I19" s="166">
        <v>46278.675266203703</v>
      </c>
      <c r="J19" t="s">
        <v>445</v>
      </c>
      <c r="K19" t="s">
        <v>443</v>
      </c>
      <c r="L19" s="165">
        <v>46277</v>
      </c>
      <c r="M19" t="s">
        <v>442</v>
      </c>
      <c r="N19" t="s">
        <v>231</v>
      </c>
      <c r="O19" t="s">
        <v>444</v>
      </c>
      <c r="P19" t="s">
        <v>97</v>
      </c>
      <c r="Q19" t="s">
        <v>247</v>
      </c>
    </row>
    <row r="20" spans="1:17" s="25" customFormat="1">
      <c r="A20" s="119">
        <v>3.0515943518518517E-2</v>
      </c>
      <c r="B20" t="s">
        <v>97</v>
      </c>
      <c r="C20"/>
      <c r="D20"/>
      <c r="E20" t="s">
        <v>213</v>
      </c>
      <c r="F20" t="s">
        <v>135</v>
      </c>
      <c r="G20" t="s">
        <v>98</v>
      </c>
      <c r="H20"/>
      <c r="I20" s="166">
        <v>46278.675266203703</v>
      </c>
      <c r="J20" t="s">
        <v>445</v>
      </c>
      <c r="K20" t="s">
        <v>443</v>
      </c>
      <c r="L20" s="165">
        <v>46277</v>
      </c>
      <c r="M20" t="s">
        <v>442</v>
      </c>
      <c r="N20" t="s">
        <v>231</v>
      </c>
      <c r="O20" t="s">
        <v>444</v>
      </c>
      <c r="P20" t="s">
        <v>97</v>
      </c>
      <c r="Q20" t="s">
        <v>247</v>
      </c>
    </row>
    <row r="21" spans="1:17" s="25" customFormat="1">
      <c r="A21" s="119">
        <v>3.0515943518518517E-2</v>
      </c>
      <c r="B21" t="s">
        <v>97</v>
      </c>
      <c r="C21"/>
      <c r="D21"/>
      <c r="E21" t="s">
        <v>135</v>
      </c>
      <c r="F21"/>
      <c r="G21" t="s">
        <v>98</v>
      </c>
      <c r="H21"/>
      <c r="I21" s="166">
        <v>46278.675208333334</v>
      </c>
      <c r="J21" t="s">
        <v>445</v>
      </c>
      <c r="K21" t="s">
        <v>443</v>
      </c>
      <c r="L21" s="165">
        <v>46277</v>
      </c>
      <c r="M21" t="s">
        <v>442</v>
      </c>
      <c r="N21" t="s">
        <v>231</v>
      </c>
      <c r="O21" t="s">
        <v>444</v>
      </c>
      <c r="P21" t="s">
        <v>97</v>
      </c>
      <c r="Q21" t="s">
        <v>247</v>
      </c>
    </row>
    <row r="22" spans="1:17" s="25" customFormat="1">
      <c r="A22" s="119">
        <v>3.0499134849537035E-2</v>
      </c>
      <c r="B22" t="s">
        <v>97</v>
      </c>
      <c r="C22"/>
      <c r="D22"/>
      <c r="E22" t="s">
        <v>59</v>
      </c>
      <c r="F22"/>
      <c r="G22" t="s">
        <v>98</v>
      </c>
      <c r="H22"/>
      <c r="I22" s="166">
        <v>46278.661678240744</v>
      </c>
      <c r="J22" t="s">
        <v>445</v>
      </c>
      <c r="K22" t="s">
        <v>443</v>
      </c>
      <c r="L22" s="165">
        <v>46277</v>
      </c>
      <c r="M22" t="s">
        <v>442</v>
      </c>
      <c r="N22" t="s">
        <v>231</v>
      </c>
      <c r="O22" t="s">
        <v>444</v>
      </c>
      <c r="P22" t="s">
        <v>97</v>
      </c>
      <c r="Q22" t="s">
        <v>247</v>
      </c>
    </row>
    <row r="23" spans="1:17" s="25" customFormat="1">
      <c r="A23" s="119">
        <v>3.0471019398148152E-2</v>
      </c>
      <c r="B23" t="s">
        <v>97</v>
      </c>
      <c r="C23"/>
      <c r="D23"/>
      <c r="E23" t="s">
        <v>101</v>
      </c>
      <c r="F23"/>
      <c r="G23" t="s">
        <v>98</v>
      </c>
      <c r="H23"/>
      <c r="I23" s="166">
        <v>46278.661493055559</v>
      </c>
      <c r="J23" t="s">
        <v>445</v>
      </c>
      <c r="K23" t="s">
        <v>443</v>
      </c>
      <c r="L23" s="165">
        <v>46277</v>
      </c>
      <c r="M23" t="s">
        <v>442</v>
      </c>
      <c r="N23" t="s">
        <v>231</v>
      </c>
      <c r="O23" t="s">
        <v>444</v>
      </c>
      <c r="P23" t="s">
        <v>97</v>
      </c>
      <c r="Q23" t="s">
        <v>247</v>
      </c>
    </row>
    <row r="24" spans="1:17" s="25" customFormat="1">
      <c r="A24" s="119">
        <v>3.0471019398148152E-2</v>
      </c>
      <c r="B24" t="s">
        <v>97</v>
      </c>
      <c r="C24"/>
      <c r="D24"/>
      <c r="E24" t="s">
        <v>87</v>
      </c>
      <c r="F24"/>
      <c r="G24" t="s">
        <v>98</v>
      </c>
      <c r="H24"/>
      <c r="I24" s="166">
        <v>46278.661469907405</v>
      </c>
      <c r="J24" t="s">
        <v>445</v>
      </c>
      <c r="K24" t="s">
        <v>443</v>
      </c>
      <c r="L24" s="165">
        <v>46277</v>
      </c>
      <c r="M24" t="s">
        <v>442</v>
      </c>
      <c r="N24" t="s">
        <v>231</v>
      </c>
      <c r="O24" t="s">
        <v>444</v>
      </c>
      <c r="P24" t="s">
        <v>97</v>
      </c>
      <c r="Q24" t="s">
        <v>247</v>
      </c>
    </row>
    <row r="25" spans="1:17" s="25" customFormat="1">
      <c r="A25" s="119">
        <v>3.0471019398148152E-2</v>
      </c>
      <c r="B25" t="s">
        <v>97</v>
      </c>
      <c r="C25"/>
      <c r="D25"/>
      <c r="E25" t="s">
        <v>213</v>
      </c>
      <c r="F25" t="s">
        <v>208</v>
      </c>
      <c r="G25" t="s">
        <v>98</v>
      </c>
      <c r="H25"/>
      <c r="I25" s="166">
        <v>46278.661469907405</v>
      </c>
      <c r="J25" t="s">
        <v>445</v>
      </c>
      <c r="K25" t="s">
        <v>443</v>
      </c>
      <c r="L25" s="165">
        <v>46277</v>
      </c>
      <c r="M25" t="s">
        <v>442</v>
      </c>
      <c r="N25" t="s">
        <v>231</v>
      </c>
      <c r="O25" t="s">
        <v>444</v>
      </c>
      <c r="P25" t="s">
        <v>97</v>
      </c>
      <c r="Q25" t="s">
        <v>247</v>
      </c>
    </row>
    <row r="26" spans="1:17" s="25" customFormat="1">
      <c r="A26" s="119">
        <v>3.0404386689814815E-2</v>
      </c>
      <c r="B26" t="s">
        <v>97</v>
      </c>
      <c r="C26"/>
      <c r="D26"/>
      <c r="E26" t="s">
        <v>108</v>
      </c>
      <c r="F26"/>
      <c r="G26" t="s">
        <v>98</v>
      </c>
      <c r="H26"/>
      <c r="I26" s="166">
        <v>46278.660763888889</v>
      </c>
      <c r="J26" t="s">
        <v>445</v>
      </c>
      <c r="K26" t="s">
        <v>443</v>
      </c>
      <c r="L26" s="165">
        <v>46277</v>
      </c>
      <c r="M26" t="s">
        <v>442</v>
      </c>
      <c r="N26" t="s">
        <v>231</v>
      </c>
      <c r="O26" t="s">
        <v>444</v>
      </c>
      <c r="P26" t="s">
        <v>97</v>
      </c>
      <c r="Q26" t="s">
        <v>247</v>
      </c>
    </row>
    <row r="27" spans="1:17" s="25" customFormat="1">
      <c r="A27" s="119">
        <v>3.0208782800925926E-2</v>
      </c>
      <c r="B27" t="s">
        <v>97</v>
      </c>
      <c r="C27" t="s">
        <v>468</v>
      </c>
      <c r="D27"/>
      <c r="E27" t="s">
        <v>111</v>
      </c>
      <c r="F27"/>
      <c r="G27" t="s">
        <v>98</v>
      </c>
      <c r="H27"/>
      <c r="I27" s="166">
        <v>46278.660740740743</v>
      </c>
      <c r="J27" t="s">
        <v>445</v>
      </c>
      <c r="K27" t="s">
        <v>443</v>
      </c>
      <c r="L27" s="165">
        <v>46277</v>
      </c>
      <c r="M27" t="s">
        <v>442</v>
      </c>
      <c r="N27" t="s">
        <v>231</v>
      </c>
      <c r="O27" t="s">
        <v>444</v>
      </c>
      <c r="P27" t="s">
        <v>97</v>
      </c>
      <c r="Q27" t="s">
        <v>247</v>
      </c>
    </row>
    <row r="28" spans="1:17" s="25" customFormat="1">
      <c r="A28" s="119">
        <v>3.0058153680555554E-2</v>
      </c>
      <c r="B28" t="s">
        <v>97</v>
      </c>
      <c r="C28"/>
      <c r="D28"/>
      <c r="E28" t="s">
        <v>104</v>
      </c>
      <c r="F28"/>
      <c r="G28" t="s">
        <v>98</v>
      </c>
      <c r="H28"/>
      <c r="I28" s="166">
        <v>46278.660393518519</v>
      </c>
      <c r="J28" t="s">
        <v>445</v>
      </c>
      <c r="K28" t="s">
        <v>443</v>
      </c>
      <c r="L28" s="165">
        <v>46277</v>
      </c>
      <c r="M28" t="s">
        <v>442</v>
      </c>
      <c r="N28" t="s">
        <v>231</v>
      </c>
      <c r="O28" t="s">
        <v>444</v>
      </c>
      <c r="P28" t="s">
        <v>97</v>
      </c>
      <c r="Q28" t="s">
        <v>247</v>
      </c>
    </row>
    <row r="29" spans="1:17" s="25" customFormat="1">
      <c r="A29" s="119">
        <v>2.9769179224537035E-2</v>
      </c>
      <c r="B29" t="s">
        <v>97</v>
      </c>
      <c r="C29"/>
      <c r="D29"/>
      <c r="E29" t="s">
        <v>87</v>
      </c>
      <c r="F29"/>
      <c r="G29" t="s">
        <v>164</v>
      </c>
      <c r="H29"/>
      <c r="I29" s="166">
        <v>46278.660104166665</v>
      </c>
      <c r="J29" t="s">
        <v>445</v>
      </c>
      <c r="K29" t="s">
        <v>443</v>
      </c>
      <c r="L29" s="165">
        <v>46277</v>
      </c>
      <c r="M29" t="s">
        <v>442</v>
      </c>
      <c r="N29" t="s">
        <v>231</v>
      </c>
      <c r="O29" t="s">
        <v>444</v>
      </c>
      <c r="P29" t="s">
        <v>97</v>
      </c>
      <c r="Q29" t="s">
        <v>247</v>
      </c>
    </row>
    <row r="30" spans="1:17" s="25" customFormat="1">
      <c r="A30" s="119">
        <v>2.975180077546296E-2</v>
      </c>
      <c r="B30" t="s">
        <v>97</v>
      </c>
      <c r="C30" t="s">
        <v>451</v>
      </c>
      <c r="D30"/>
      <c r="E30" t="s">
        <v>108</v>
      </c>
      <c r="F30"/>
      <c r="G30" t="s">
        <v>164</v>
      </c>
      <c r="H30"/>
      <c r="I30" s="166">
        <v>46278.66002314815</v>
      </c>
      <c r="J30" t="s">
        <v>445</v>
      </c>
      <c r="K30" t="s">
        <v>443</v>
      </c>
      <c r="L30" s="165">
        <v>46277</v>
      </c>
      <c r="M30" t="s">
        <v>442</v>
      </c>
      <c r="N30" t="s">
        <v>231</v>
      </c>
      <c r="O30" t="s">
        <v>444</v>
      </c>
      <c r="P30" t="s">
        <v>97</v>
      </c>
      <c r="Q30" t="s">
        <v>247</v>
      </c>
    </row>
    <row r="31" spans="1:17" s="25" customFormat="1">
      <c r="A31" s="119">
        <v>2.9725395995370371E-2</v>
      </c>
      <c r="B31" t="s">
        <v>97</v>
      </c>
      <c r="C31"/>
      <c r="D31"/>
      <c r="E31" t="s">
        <v>188</v>
      </c>
      <c r="F31"/>
      <c r="G31" t="s">
        <v>164</v>
      </c>
      <c r="H31"/>
      <c r="I31" s="166">
        <v>46278.659953703704</v>
      </c>
      <c r="J31" t="s">
        <v>445</v>
      </c>
      <c r="K31" t="s">
        <v>443</v>
      </c>
      <c r="L31" s="165">
        <v>46277</v>
      </c>
      <c r="M31" t="s">
        <v>442</v>
      </c>
      <c r="N31" t="s">
        <v>231</v>
      </c>
      <c r="O31" t="s">
        <v>444</v>
      </c>
      <c r="P31" t="s">
        <v>97</v>
      </c>
      <c r="Q31" t="s">
        <v>247</v>
      </c>
    </row>
    <row r="32" spans="1:17" s="25" customFormat="1">
      <c r="A32" s="119">
        <v>2.9666197152777778E-2</v>
      </c>
      <c r="B32" t="s">
        <v>97</v>
      </c>
      <c r="C32"/>
      <c r="D32"/>
      <c r="E32" t="s">
        <v>100</v>
      </c>
      <c r="F32"/>
      <c r="G32" t="s">
        <v>98</v>
      </c>
      <c r="H32"/>
      <c r="I32" s="166">
        <v>46278.658912037034</v>
      </c>
      <c r="J32" t="s">
        <v>445</v>
      </c>
      <c r="K32" t="s">
        <v>443</v>
      </c>
      <c r="L32" s="165">
        <v>46277</v>
      </c>
      <c r="M32" t="s">
        <v>442</v>
      </c>
      <c r="N32" t="s">
        <v>231</v>
      </c>
      <c r="O32" t="s">
        <v>444</v>
      </c>
      <c r="P32" t="s">
        <v>97</v>
      </c>
      <c r="Q32" t="s">
        <v>247</v>
      </c>
    </row>
    <row r="33" spans="1:17" s="25" customFormat="1">
      <c r="A33" s="119">
        <v>2.9226736944444442E-2</v>
      </c>
      <c r="B33" t="s">
        <v>97</v>
      </c>
      <c r="C33"/>
      <c r="D33"/>
      <c r="E33" t="s">
        <v>115</v>
      </c>
      <c r="F33"/>
      <c r="G33" t="s">
        <v>164</v>
      </c>
      <c r="H33"/>
      <c r="I33" s="166">
        <v>46278.658645833333</v>
      </c>
      <c r="J33" t="s">
        <v>445</v>
      </c>
      <c r="K33" t="s">
        <v>443</v>
      </c>
      <c r="L33" s="165">
        <v>46277</v>
      </c>
      <c r="M33" t="s">
        <v>442</v>
      </c>
      <c r="N33" t="s">
        <v>231</v>
      </c>
      <c r="O33" t="s">
        <v>444</v>
      </c>
      <c r="P33" t="s">
        <v>97</v>
      </c>
      <c r="Q33" t="s">
        <v>247</v>
      </c>
    </row>
    <row r="34" spans="1:17" s="25" customFormat="1">
      <c r="A34" s="119">
        <v>2.8649120543981485E-2</v>
      </c>
      <c r="B34" t="s">
        <v>97</v>
      </c>
      <c r="C34"/>
      <c r="D34"/>
      <c r="E34" t="s">
        <v>87</v>
      </c>
      <c r="F34"/>
      <c r="G34" t="s">
        <v>164</v>
      </c>
      <c r="H34"/>
      <c r="I34" s="166">
        <v>46278.658148148148</v>
      </c>
      <c r="J34" t="s">
        <v>445</v>
      </c>
      <c r="K34" t="s">
        <v>443</v>
      </c>
      <c r="L34" s="165">
        <v>46277</v>
      </c>
      <c r="M34" t="s">
        <v>442</v>
      </c>
      <c r="N34" t="s">
        <v>231</v>
      </c>
      <c r="O34" t="s">
        <v>444</v>
      </c>
      <c r="P34" t="s">
        <v>97</v>
      </c>
      <c r="Q34" t="s">
        <v>247</v>
      </c>
    </row>
    <row r="35" spans="1:17" s="25" customFormat="1">
      <c r="A35" s="119">
        <v>2.8649120543981485E-2</v>
      </c>
      <c r="B35" t="s">
        <v>97</v>
      </c>
      <c r="C35"/>
      <c r="D35"/>
      <c r="E35" t="s">
        <v>103</v>
      </c>
      <c r="F35"/>
      <c r="G35" t="s">
        <v>164</v>
      </c>
      <c r="H35"/>
      <c r="I35" s="166">
        <v>46278.658148148148</v>
      </c>
      <c r="J35" t="s">
        <v>445</v>
      </c>
      <c r="K35" t="s">
        <v>443</v>
      </c>
      <c r="L35" s="165">
        <v>46277</v>
      </c>
      <c r="M35" t="s">
        <v>442</v>
      </c>
      <c r="N35" t="s">
        <v>231</v>
      </c>
      <c r="O35" t="s">
        <v>444</v>
      </c>
      <c r="P35" t="s">
        <v>97</v>
      </c>
      <c r="Q35" t="s">
        <v>247</v>
      </c>
    </row>
    <row r="36" spans="1:17" s="25" customFormat="1">
      <c r="A36" s="119">
        <v>2.8615361921296299E-2</v>
      </c>
      <c r="B36" t="s">
        <v>97</v>
      </c>
      <c r="C36" t="s">
        <v>454</v>
      </c>
      <c r="D36"/>
      <c r="E36" t="s">
        <v>108</v>
      </c>
      <c r="F36"/>
      <c r="G36" t="s">
        <v>164</v>
      </c>
      <c r="H36"/>
      <c r="I36" s="166">
        <v>46278.658067129632</v>
      </c>
      <c r="J36" t="s">
        <v>445</v>
      </c>
      <c r="K36" t="s">
        <v>443</v>
      </c>
      <c r="L36" s="165">
        <v>46277</v>
      </c>
      <c r="M36" t="s">
        <v>442</v>
      </c>
      <c r="N36" t="s">
        <v>231</v>
      </c>
      <c r="O36" t="s">
        <v>444</v>
      </c>
      <c r="P36" t="s">
        <v>97</v>
      </c>
      <c r="Q36" t="s">
        <v>247</v>
      </c>
    </row>
    <row r="37" spans="1:17" s="25" customFormat="1">
      <c r="A37" s="119">
        <v>2.8598627060185185E-2</v>
      </c>
      <c r="B37" t="s">
        <v>97</v>
      </c>
      <c r="C37" t="s">
        <v>455</v>
      </c>
      <c r="D37"/>
      <c r="E37" t="s">
        <v>59</v>
      </c>
      <c r="F37"/>
      <c r="G37" t="s">
        <v>164</v>
      </c>
      <c r="H37"/>
      <c r="I37" s="166">
        <v>46278.657650462963</v>
      </c>
      <c r="J37" t="s">
        <v>445</v>
      </c>
      <c r="K37" t="s">
        <v>443</v>
      </c>
      <c r="L37" s="165">
        <v>46277</v>
      </c>
      <c r="M37" t="s">
        <v>442</v>
      </c>
      <c r="N37" t="s">
        <v>231</v>
      </c>
      <c r="O37" t="s">
        <v>444</v>
      </c>
      <c r="P37" t="s">
        <v>97</v>
      </c>
      <c r="Q37" t="s">
        <v>247</v>
      </c>
    </row>
    <row r="38" spans="1:17" s="25" customFormat="1">
      <c r="A38" s="119">
        <v>2.8598627060185185E-2</v>
      </c>
      <c r="B38" t="s">
        <v>97</v>
      </c>
      <c r="C38"/>
      <c r="D38"/>
      <c r="E38" t="s">
        <v>285</v>
      </c>
      <c r="F38"/>
      <c r="G38" t="s">
        <v>164</v>
      </c>
      <c r="H38"/>
      <c r="I38" s="166">
        <v>46278.657592592594</v>
      </c>
      <c r="J38" t="s">
        <v>445</v>
      </c>
      <c r="K38" t="s">
        <v>443</v>
      </c>
      <c r="L38" s="165">
        <v>46277</v>
      </c>
      <c r="M38" t="s">
        <v>442</v>
      </c>
      <c r="N38" t="s">
        <v>231</v>
      </c>
      <c r="O38" t="s">
        <v>444</v>
      </c>
      <c r="P38" t="s">
        <v>97</v>
      </c>
      <c r="Q38" t="s">
        <v>247</v>
      </c>
    </row>
    <row r="39" spans="1:17" s="25" customFormat="1">
      <c r="A39" s="119">
        <v>2.8483796296296295E-2</v>
      </c>
      <c r="B39" t="s">
        <v>97</v>
      </c>
      <c r="C39"/>
      <c r="D39"/>
      <c r="E39" t="s">
        <v>105</v>
      </c>
      <c r="F39"/>
      <c r="G39" t="s">
        <v>164</v>
      </c>
      <c r="H39"/>
      <c r="I39" s="166">
        <v>46278.657592592594</v>
      </c>
      <c r="J39" t="s">
        <v>445</v>
      </c>
      <c r="K39" t="s">
        <v>443</v>
      </c>
      <c r="L39" s="165">
        <v>46277</v>
      </c>
      <c r="M39" t="s">
        <v>442</v>
      </c>
      <c r="N39" t="s">
        <v>231</v>
      </c>
      <c r="O39" t="s">
        <v>444</v>
      </c>
      <c r="P39" t="s">
        <v>97</v>
      </c>
      <c r="Q39" t="s">
        <v>247</v>
      </c>
    </row>
    <row r="40" spans="1:17" s="25" customFormat="1">
      <c r="A40" s="119">
        <v>2.817224173611111E-2</v>
      </c>
      <c r="B40" t="s">
        <v>97</v>
      </c>
      <c r="C40"/>
      <c r="D40"/>
      <c r="E40" t="s">
        <v>87</v>
      </c>
      <c r="F40"/>
      <c r="G40" t="s">
        <v>98</v>
      </c>
      <c r="H40"/>
      <c r="I40" s="166">
        <v>46278.656412037039</v>
      </c>
      <c r="J40" t="s">
        <v>445</v>
      </c>
      <c r="K40" t="s">
        <v>443</v>
      </c>
      <c r="L40" s="165">
        <v>46277</v>
      </c>
      <c r="M40" t="s">
        <v>442</v>
      </c>
      <c r="N40" t="s">
        <v>231</v>
      </c>
      <c r="O40" t="s">
        <v>444</v>
      </c>
      <c r="P40" t="s">
        <v>97</v>
      </c>
      <c r="Q40" t="s">
        <v>247</v>
      </c>
    </row>
    <row r="41" spans="1:17" s="25" customFormat="1">
      <c r="A41" s="119">
        <v>2.802752369212963E-2</v>
      </c>
      <c r="B41" t="s">
        <v>97</v>
      </c>
      <c r="C41"/>
      <c r="D41"/>
      <c r="E41" t="s">
        <v>108</v>
      </c>
      <c r="F41"/>
      <c r="G41" t="s">
        <v>98</v>
      </c>
      <c r="H41"/>
      <c r="I41" s="166">
        <v>46278.656261574077</v>
      </c>
      <c r="J41" t="s">
        <v>445</v>
      </c>
      <c r="K41" t="s">
        <v>443</v>
      </c>
      <c r="L41" s="165">
        <v>46277</v>
      </c>
      <c r="M41" t="s">
        <v>442</v>
      </c>
      <c r="N41" t="s">
        <v>231</v>
      </c>
      <c r="O41" t="s">
        <v>444</v>
      </c>
      <c r="P41" t="s">
        <v>97</v>
      </c>
      <c r="Q41" t="s">
        <v>247</v>
      </c>
    </row>
    <row r="42" spans="1:17" s="25" customFormat="1">
      <c r="A42" s="119">
        <v>2.8015896921296298E-2</v>
      </c>
      <c r="B42" t="s">
        <v>97</v>
      </c>
      <c r="C42"/>
      <c r="D42"/>
      <c r="E42" t="s">
        <v>183</v>
      </c>
      <c r="F42"/>
      <c r="G42" t="s">
        <v>164</v>
      </c>
      <c r="H42"/>
      <c r="I42" s="166">
        <v>46278.656215277777</v>
      </c>
      <c r="J42" t="s">
        <v>445</v>
      </c>
      <c r="K42" t="s">
        <v>443</v>
      </c>
      <c r="L42" s="165">
        <v>46277</v>
      </c>
      <c r="M42" t="s">
        <v>442</v>
      </c>
      <c r="N42" t="s">
        <v>231</v>
      </c>
      <c r="O42" t="s">
        <v>444</v>
      </c>
      <c r="P42" t="s">
        <v>97</v>
      </c>
      <c r="Q42" t="s">
        <v>247</v>
      </c>
    </row>
    <row r="43" spans="1:17" s="25" customFormat="1">
      <c r="A43" s="119">
        <v>2.7923341307870369E-2</v>
      </c>
      <c r="B43" t="s">
        <v>97</v>
      </c>
      <c r="C43" t="s">
        <v>468</v>
      </c>
      <c r="D43"/>
      <c r="E43" t="s">
        <v>108</v>
      </c>
      <c r="F43"/>
      <c r="G43" t="s">
        <v>164</v>
      </c>
      <c r="H43"/>
      <c r="I43" s="166">
        <v>46278.656064814815</v>
      </c>
      <c r="J43" t="s">
        <v>445</v>
      </c>
      <c r="K43" t="s">
        <v>443</v>
      </c>
      <c r="L43" s="165">
        <v>46277</v>
      </c>
      <c r="M43" t="s">
        <v>442</v>
      </c>
      <c r="N43" t="s">
        <v>231</v>
      </c>
      <c r="O43" t="s">
        <v>444</v>
      </c>
      <c r="P43" t="s">
        <v>97</v>
      </c>
      <c r="Q43" t="s">
        <v>247</v>
      </c>
    </row>
    <row r="44" spans="1:17" s="25" customFormat="1">
      <c r="A44" s="119">
        <v>2.7872920370370369E-2</v>
      </c>
      <c r="B44" t="s">
        <v>97</v>
      </c>
      <c r="C44"/>
      <c r="D44"/>
      <c r="E44" t="s">
        <v>101</v>
      </c>
      <c r="F44"/>
      <c r="G44" t="s">
        <v>164</v>
      </c>
      <c r="H44"/>
      <c r="I44" s="166">
        <v>46278.655844907407</v>
      </c>
      <c r="J44" t="s">
        <v>445</v>
      </c>
      <c r="K44" t="s">
        <v>443</v>
      </c>
      <c r="L44" s="165">
        <v>46277</v>
      </c>
      <c r="M44" t="s">
        <v>442</v>
      </c>
      <c r="N44" t="s">
        <v>231</v>
      </c>
      <c r="O44" t="s">
        <v>444</v>
      </c>
      <c r="P44" t="s">
        <v>97</v>
      </c>
      <c r="Q44" t="s">
        <v>247</v>
      </c>
    </row>
    <row r="45" spans="1:17" s="25" customFormat="1">
      <c r="A45" s="119">
        <v>2.7709690625000002E-2</v>
      </c>
      <c r="B45" t="s">
        <v>97</v>
      </c>
      <c r="C45"/>
      <c r="D45"/>
      <c r="E45" t="s">
        <v>87</v>
      </c>
      <c r="F45"/>
      <c r="G45" t="s">
        <v>164</v>
      </c>
      <c r="H45"/>
      <c r="I45" s="166">
        <v>46278.655636574076</v>
      </c>
      <c r="J45" t="s">
        <v>445</v>
      </c>
      <c r="K45" t="s">
        <v>443</v>
      </c>
      <c r="L45" s="165">
        <v>46277</v>
      </c>
      <c r="M45" t="s">
        <v>442</v>
      </c>
      <c r="N45" t="s">
        <v>231</v>
      </c>
      <c r="O45" t="s">
        <v>444</v>
      </c>
      <c r="P45" t="s">
        <v>97</v>
      </c>
      <c r="Q45" t="s">
        <v>247</v>
      </c>
    </row>
    <row r="46" spans="1:17" s="25" customFormat="1">
      <c r="A46" s="119">
        <v>2.7709690625000002E-2</v>
      </c>
      <c r="B46" t="s">
        <v>97</v>
      </c>
      <c r="C46" t="s">
        <v>92</v>
      </c>
      <c r="D46" t="s">
        <v>82</v>
      </c>
      <c r="E46" t="s">
        <v>214</v>
      </c>
      <c r="F46" t="s">
        <v>206</v>
      </c>
      <c r="G46" t="s">
        <v>164</v>
      </c>
      <c r="H46"/>
      <c r="I46" s="166">
        <v>46278.655636574076</v>
      </c>
      <c r="J46" t="s">
        <v>445</v>
      </c>
      <c r="K46" t="s">
        <v>443</v>
      </c>
      <c r="L46" s="165">
        <v>46277</v>
      </c>
      <c r="M46" t="s">
        <v>442</v>
      </c>
      <c r="N46" t="s">
        <v>231</v>
      </c>
      <c r="O46" t="s">
        <v>444</v>
      </c>
      <c r="P46" t="s">
        <v>97</v>
      </c>
      <c r="Q46" t="s">
        <v>247</v>
      </c>
    </row>
    <row r="47" spans="1:17" s="25" customFormat="1">
      <c r="A47" s="119">
        <v>2.7370371875000001E-2</v>
      </c>
      <c r="B47" t="s">
        <v>97</v>
      </c>
      <c r="C47"/>
      <c r="D47"/>
      <c r="E47" t="s">
        <v>104</v>
      </c>
      <c r="F47"/>
      <c r="G47" t="s">
        <v>164</v>
      </c>
      <c r="H47"/>
      <c r="I47" s="166">
        <v>46278.655219907407</v>
      </c>
      <c r="J47" t="s">
        <v>445</v>
      </c>
      <c r="K47" t="s">
        <v>443</v>
      </c>
      <c r="L47" s="165">
        <v>46277</v>
      </c>
      <c r="M47" t="s">
        <v>442</v>
      </c>
      <c r="N47" t="s">
        <v>231</v>
      </c>
      <c r="O47" t="s">
        <v>444</v>
      </c>
      <c r="P47" t="s">
        <v>97</v>
      </c>
      <c r="Q47" t="s">
        <v>247</v>
      </c>
    </row>
    <row r="48" spans="1:17" s="25" customFormat="1">
      <c r="A48" s="119">
        <v>2.6487179456018521E-2</v>
      </c>
      <c r="B48" t="s">
        <v>97</v>
      </c>
      <c r="C48" t="s">
        <v>453</v>
      </c>
      <c r="D48"/>
      <c r="E48" t="s">
        <v>315</v>
      </c>
      <c r="F48"/>
      <c r="G48" t="s">
        <v>164</v>
      </c>
      <c r="H48"/>
      <c r="I48" s="166">
        <v>46278.654502314814</v>
      </c>
      <c r="J48" t="s">
        <v>445</v>
      </c>
      <c r="K48" t="s">
        <v>443</v>
      </c>
      <c r="L48" s="165">
        <v>46277</v>
      </c>
      <c r="M48" t="s">
        <v>442</v>
      </c>
      <c r="N48" t="s">
        <v>231</v>
      </c>
      <c r="O48" t="s">
        <v>444</v>
      </c>
      <c r="P48" t="s">
        <v>97</v>
      </c>
      <c r="Q48" t="s">
        <v>247</v>
      </c>
    </row>
    <row r="49" spans="1:17" s="25" customFormat="1">
      <c r="A49" s="119">
        <v>2.6487179456018521E-2</v>
      </c>
      <c r="B49" t="s">
        <v>97</v>
      </c>
      <c r="C49"/>
      <c r="D49"/>
      <c r="E49" t="s">
        <v>87</v>
      </c>
      <c r="F49"/>
      <c r="G49" t="s">
        <v>164</v>
      </c>
      <c r="H49"/>
      <c r="I49" s="166">
        <v>46278.654432870368</v>
      </c>
      <c r="J49" t="s">
        <v>445</v>
      </c>
      <c r="K49" t="s">
        <v>443</v>
      </c>
      <c r="L49" s="165">
        <v>46277</v>
      </c>
      <c r="M49" t="s">
        <v>442</v>
      </c>
      <c r="N49" t="s">
        <v>231</v>
      </c>
      <c r="O49" t="s">
        <v>444</v>
      </c>
      <c r="P49" t="s">
        <v>97</v>
      </c>
      <c r="Q49" t="s">
        <v>247</v>
      </c>
    </row>
    <row r="50" spans="1:17" s="25" customFormat="1">
      <c r="A50" s="119">
        <v>2.6487179456018521E-2</v>
      </c>
      <c r="B50" t="s">
        <v>97</v>
      </c>
      <c r="C50" t="s">
        <v>453</v>
      </c>
      <c r="D50" t="s">
        <v>204</v>
      </c>
      <c r="E50" t="s">
        <v>214</v>
      </c>
      <c r="F50" t="s">
        <v>135</v>
      </c>
      <c r="G50" t="s">
        <v>164</v>
      </c>
      <c r="H50"/>
      <c r="I50" s="166">
        <v>46278.654432870368</v>
      </c>
      <c r="J50" t="s">
        <v>445</v>
      </c>
      <c r="K50" t="s">
        <v>443</v>
      </c>
      <c r="L50" s="165">
        <v>46277</v>
      </c>
      <c r="M50" t="s">
        <v>442</v>
      </c>
      <c r="N50" t="s">
        <v>231</v>
      </c>
      <c r="O50" t="s">
        <v>444</v>
      </c>
      <c r="P50" t="s">
        <v>97</v>
      </c>
      <c r="Q50" t="s">
        <v>247</v>
      </c>
    </row>
    <row r="51" spans="1:17" s="25" customFormat="1">
      <c r="A51" s="119">
        <v>2.6475482418981483E-2</v>
      </c>
      <c r="B51" t="s">
        <v>97</v>
      </c>
      <c r="C51" t="s">
        <v>453</v>
      </c>
      <c r="D51"/>
      <c r="E51" t="s">
        <v>58</v>
      </c>
      <c r="F51"/>
      <c r="G51" t="s">
        <v>164</v>
      </c>
      <c r="H51"/>
      <c r="I51" s="166">
        <v>46278.654282407406</v>
      </c>
      <c r="J51" t="s">
        <v>445</v>
      </c>
      <c r="K51" t="s">
        <v>443</v>
      </c>
      <c r="L51" s="165">
        <v>46277</v>
      </c>
      <c r="M51" t="s">
        <v>442</v>
      </c>
      <c r="N51" t="s">
        <v>231</v>
      </c>
      <c r="O51" t="s">
        <v>444</v>
      </c>
      <c r="P51" t="s">
        <v>97</v>
      </c>
      <c r="Q51" t="s">
        <v>247</v>
      </c>
    </row>
    <row r="52" spans="1:17" s="25" customFormat="1">
      <c r="A52" s="119">
        <v>2.643476542824074E-2</v>
      </c>
      <c r="B52" t="s">
        <v>97</v>
      </c>
      <c r="C52" t="s">
        <v>451</v>
      </c>
      <c r="D52"/>
      <c r="E52" t="s">
        <v>108</v>
      </c>
      <c r="F52"/>
      <c r="G52" t="s">
        <v>164</v>
      </c>
      <c r="H52"/>
      <c r="I52" s="166">
        <v>46278.654062499998</v>
      </c>
      <c r="J52" t="s">
        <v>445</v>
      </c>
      <c r="K52" t="s">
        <v>443</v>
      </c>
      <c r="L52" s="165">
        <v>46277</v>
      </c>
      <c r="M52" t="s">
        <v>442</v>
      </c>
      <c r="N52" t="s">
        <v>231</v>
      </c>
      <c r="O52" t="s">
        <v>444</v>
      </c>
      <c r="P52" t="s">
        <v>97</v>
      </c>
      <c r="Q52" t="s">
        <v>247</v>
      </c>
    </row>
    <row r="53" spans="1:17" s="25" customFormat="1">
      <c r="A53" s="119">
        <v>2.6400462962962962E-2</v>
      </c>
      <c r="B53" t="s">
        <v>97</v>
      </c>
      <c r="C53"/>
      <c r="D53"/>
      <c r="E53" t="s">
        <v>285</v>
      </c>
      <c r="F53"/>
      <c r="G53" t="s">
        <v>164</v>
      </c>
      <c r="H53"/>
      <c r="I53" s="166">
        <v>46278.653958333336</v>
      </c>
      <c r="J53" t="s">
        <v>445</v>
      </c>
      <c r="K53" t="s">
        <v>443</v>
      </c>
      <c r="L53" s="165">
        <v>46277</v>
      </c>
      <c r="M53" t="s">
        <v>442</v>
      </c>
      <c r="N53" t="s">
        <v>231</v>
      </c>
      <c r="O53" t="s">
        <v>444</v>
      </c>
      <c r="P53" t="s">
        <v>97</v>
      </c>
      <c r="Q53" t="s">
        <v>247</v>
      </c>
    </row>
    <row r="54" spans="1:17" s="25" customFormat="1">
      <c r="A54" s="119">
        <v>2.6395828067129631E-2</v>
      </c>
      <c r="B54" t="s">
        <v>97</v>
      </c>
      <c r="C54"/>
      <c r="D54"/>
      <c r="E54" t="s">
        <v>105</v>
      </c>
      <c r="F54"/>
      <c r="G54" t="s">
        <v>164</v>
      </c>
      <c r="H54"/>
      <c r="I54" s="166">
        <v>46278.653958333336</v>
      </c>
      <c r="J54" t="s">
        <v>445</v>
      </c>
      <c r="K54" t="s">
        <v>443</v>
      </c>
      <c r="L54" s="165">
        <v>46277</v>
      </c>
      <c r="M54" t="s">
        <v>442</v>
      </c>
      <c r="N54" t="s">
        <v>231</v>
      </c>
      <c r="O54" t="s">
        <v>444</v>
      </c>
      <c r="P54" t="s">
        <v>97</v>
      </c>
      <c r="Q54" t="s">
        <v>247</v>
      </c>
    </row>
    <row r="55" spans="1:17" s="25" customFormat="1">
      <c r="A55" s="119">
        <v>2.5941648483796296E-2</v>
      </c>
      <c r="B55" t="s">
        <v>97</v>
      </c>
      <c r="C55"/>
      <c r="D55"/>
      <c r="E55" t="s">
        <v>87</v>
      </c>
      <c r="F55"/>
      <c r="G55" t="s">
        <v>164</v>
      </c>
      <c r="H55"/>
      <c r="I55" s="166">
        <v>46278.653854166667</v>
      </c>
      <c r="J55" t="s">
        <v>445</v>
      </c>
      <c r="K55" t="s">
        <v>443</v>
      </c>
      <c r="L55" s="165">
        <v>46277</v>
      </c>
      <c r="M55" t="s">
        <v>442</v>
      </c>
      <c r="N55" t="s">
        <v>231</v>
      </c>
      <c r="O55" t="s">
        <v>444</v>
      </c>
      <c r="P55" t="s">
        <v>97</v>
      </c>
      <c r="Q55" t="s">
        <v>247</v>
      </c>
    </row>
    <row r="56" spans="1:17" s="25" customFormat="1">
      <c r="A56" s="119">
        <v>2.5769558495370371E-2</v>
      </c>
      <c r="B56" t="s">
        <v>97</v>
      </c>
      <c r="C56" t="s">
        <v>472</v>
      </c>
      <c r="D56"/>
      <c r="E56" t="s">
        <v>183</v>
      </c>
      <c r="F56"/>
      <c r="G56" t="s">
        <v>98</v>
      </c>
      <c r="H56"/>
      <c r="I56" s="166">
        <v>46278.653668981482</v>
      </c>
      <c r="J56" t="s">
        <v>445</v>
      </c>
      <c r="K56" t="s">
        <v>443</v>
      </c>
      <c r="L56" s="165">
        <v>46277</v>
      </c>
      <c r="M56" t="s">
        <v>442</v>
      </c>
      <c r="N56" t="s">
        <v>231</v>
      </c>
      <c r="O56" t="s">
        <v>444</v>
      </c>
      <c r="P56" t="s">
        <v>97</v>
      </c>
      <c r="Q56" t="s">
        <v>247</v>
      </c>
    </row>
    <row r="57" spans="1:17" s="25" customFormat="1">
      <c r="A57" s="119">
        <v>2.5758151516203705E-2</v>
      </c>
      <c r="B57" t="s">
        <v>97</v>
      </c>
      <c r="C57"/>
      <c r="D57"/>
      <c r="E57" t="s">
        <v>108</v>
      </c>
      <c r="F57"/>
      <c r="G57" t="s">
        <v>98</v>
      </c>
      <c r="H57"/>
      <c r="I57" s="166">
        <v>46278.653495370374</v>
      </c>
      <c r="J57" t="s">
        <v>445</v>
      </c>
      <c r="K57" t="s">
        <v>443</v>
      </c>
      <c r="L57" s="165">
        <v>46277</v>
      </c>
      <c r="M57" t="s">
        <v>442</v>
      </c>
      <c r="N57" t="s">
        <v>231</v>
      </c>
      <c r="O57" t="s">
        <v>444</v>
      </c>
      <c r="P57" t="s">
        <v>97</v>
      </c>
      <c r="Q57" t="s">
        <v>247</v>
      </c>
    </row>
    <row r="58" spans="1:17" s="25" customFormat="1">
      <c r="A58" s="119">
        <v>2.5728841354166667E-2</v>
      </c>
      <c r="B58" t="s">
        <v>97</v>
      </c>
      <c r="C58"/>
      <c r="D58"/>
      <c r="E58" t="s">
        <v>59</v>
      </c>
      <c r="F58"/>
      <c r="G58" t="s">
        <v>98</v>
      </c>
      <c r="H58"/>
      <c r="I58" s="166">
        <v>46278.653124999997</v>
      </c>
      <c r="J58" t="s">
        <v>445</v>
      </c>
      <c r="K58" t="s">
        <v>443</v>
      </c>
      <c r="L58" s="165">
        <v>46277</v>
      </c>
      <c r="M58" t="s">
        <v>442</v>
      </c>
      <c r="N58" t="s">
        <v>231</v>
      </c>
      <c r="O58" t="s">
        <v>444</v>
      </c>
      <c r="P58" t="s">
        <v>97</v>
      </c>
      <c r="Q58" t="s">
        <v>247</v>
      </c>
    </row>
    <row r="59" spans="1:17" s="25" customFormat="1">
      <c r="A59" s="119">
        <v>2.5728841354166667E-2</v>
      </c>
      <c r="B59" t="s">
        <v>97</v>
      </c>
      <c r="C59"/>
      <c r="D59"/>
      <c r="E59" t="s">
        <v>186</v>
      </c>
      <c r="F59"/>
      <c r="G59" t="s">
        <v>98</v>
      </c>
      <c r="H59"/>
      <c r="I59" s="166">
        <v>46278.653101851851</v>
      </c>
      <c r="J59" t="s">
        <v>445</v>
      </c>
      <c r="K59" t="s">
        <v>443</v>
      </c>
      <c r="L59" s="165">
        <v>46277</v>
      </c>
      <c r="M59" t="s">
        <v>442</v>
      </c>
      <c r="N59" t="s">
        <v>231</v>
      </c>
      <c r="O59" t="s">
        <v>444</v>
      </c>
      <c r="P59" t="s">
        <v>97</v>
      </c>
      <c r="Q59" t="s">
        <v>247</v>
      </c>
    </row>
    <row r="60" spans="1:17" s="25" customFormat="1">
      <c r="A60" s="119">
        <v>2.5716987071759258E-2</v>
      </c>
      <c r="B60" t="s">
        <v>97</v>
      </c>
      <c r="C60"/>
      <c r="D60"/>
      <c r="E60" t="s">
        <v>184</v>
      </c>
      <c r="F60"/>
      <c r="G60" t="s">
        <v>164</v>
      </c>
      <c r="H60"/>
      <c r="I60" s="166">
        <v>46278.653032407405</v>
      </c>
      <c r="J60" t="s">
        <v>445</v>
      </c>
      <c r="K60" t="s">
        <v>443</v>
      </c>
      <c r="L60" s="165">
        <v>46277</v>
      </c>
      <c r="M60" t="s">
        <v>442</v>
      </c>
      <c r="N60" t="s">
        <v>231</v>
      </c>
      <c r="O60" t="s">
        <v>444</v>
      </c>
      <c r="P60" t="s">
        <v>97</v>
      </c>
      <c r="Q60" t="s">
        <v>247</v>
      </c>
    </row>
    <row r="61" spans="1:17" s="25" customFormat="1">
      <c r="A61" s="119">
        <v>2.5636157592592593E-2</v>
      </c>
      <c r="B61" t="s">
        <v>97</v>
      </c>
      <c r="C61"/>
      <c r="D61"/>
      <c r="E61" t="s">
        <v>188</v>
      </c>
      <c r="F61"/>
      <c r="G61" t="s">
        <v>164</v>
      </c>
      <c r="H61"/>
      <c r="I61" s="166">
        <v>46278.652858796297</v>
      </c>
      <c r="J61" t="s">
        <v>445</v>
      </c>
      <c r="K61" t="s">
        <v>443</v>
      </c>
      <c r="L61" s="165">
        <v>46277</v>
      </c>
      <c r="M61" t="s">
        <v>442</v>
      </c>
      <c r="N61" t="s">
        <v>231</v>
      </c>
      <c r="O61" t="s">
        <v>444</v>
      </c>
      <c r="P61" t="s">
        <v>97</v>
      </c>
      <c r="Q61" t="s">
        <v>247</v>
      </c>
    </row>
    <row r="62" spans="1:17" s="25" customFormat="1">
      <c r="A62" s="119">
        <v>2.5612969791666669E-2</v>
      </c>
      <c r="B62" t="s">
        <v>97</v>
      </c>
      <c r="C62"/>
      <c r="D62"/>
      <c r="E62" t="s">
        <v>184</v>
      </c>
      <c r="F62"/>
      <c r="G62" t="s">
        <v>98</v>
      </c>
      <c r="H62"/>
      <c r="I62" s="166">
        <v>46278.652800925927</v>
      </c>
      <c r="J62" t="s">
        <v>445</v>
      </c>
      <c r="K62" t="s">
        <v>443</v>
      </c>
      <c r="L62" s="165">
        <v>46277</v>
      </c>
      <c r="M62" t="s">
        <v>442</v>
      </c>
      <c r="N62" t="s">
        <v>231</v>
      </c>
      <c r="O62" t="s">
        <v>444</v>
      </c>
      <c r="P62" t="s">
        <v>97</v>
      </c>
      <c r="Q62" t="s">
        <v>247</v>
      </c>
    </row>
    <row r="63" spans="1:17" s="25" customFormat="1">
      <c r="A63" s="119">
        <v>2.5578061307870371E-2</v>
      </c>
      <c r="B63" t="s">
        <v>97</v>
      </c>
      <c r="C63"/>
      <c r="D63"/>
      <c r="E63" t="s">
        <v>186</v>
      </c>
      <c r="F63"/>
      <c r="G63" t="s">
        <v>98</v>
      </c>
      <c r="H63"/>
      <c r="I63" s="166">
        <v>46278.652743055558</v>
      </c>
      <c r="J63" t="s">
        <v>445</v>
      </c>
      <c r="K63" t="s">
        <v>443</v>
      </c>
      <c r="L63" s="165">
        <v>46277</v>
      </c>
      <c r="M63" t="s">
        <v>442</v>
      </c>
      <c r="N63" t="s">
        <v>231</v>
      </c>
      <c r="O63" t="s">
        <v>444</v>
      </c>
      <c r="P63" t="s">
        <v>97</v>
      </c>
      <c r="Q63" t="s">
        <v>247</v>
      </c>
    </row>
    <row r="64" spans="1:17" s="25" customFormat="1">
      <c r="A64" s="119">
        <v>2.5531785567129629E-2</v>
      </c>
      <c r="B64" t="s">
        <v>97</v>
      </c>
      <c r="C64"/>
      <c r="D64"/>
      <c r="E64" t="s">
        <v>184</v>
      </c>
      <c r="F64"/>
      <c r="G64" t="s">
        <v>164</v>
      </c>
      <c r="H64"/>
      <c r="I64" s="166">
        <v>46278.652685185189</v>
      </c>
      <c r="J64" t="s">
        <v>445</v>
      </c>
      <c r="K64" t="s">
        <v>443</v>
      </c>
      <c r="L64" s="165">
        <v>46277</v>
      </c>
      <c r="M64" t="s">
        <v>442</v>
      </c>
      <c r="N64" t="s">
        <v>231</v>
      </c>
      <c r="O64" t="s">
        <v>444</v>
      </c>
      <c r="P64" t="s">
        <v>97</v>
      </c>
      <c r="Q64" t="s">
        <v>247</v>
      </c>
    </row>
    <row r="65" spans="1:17" s="25" customFormat="1">
      <c r="A65" s="119">
        <v>2.5485392523148149E-2</v>
      </c>
      <c r="B65" t="s">
        <v>97</v>
      </c>
      <c r="C65" t="s">
        <v>460</v>
      </c>
      <c r="D65"/>
      <c r="E65" t="s">
        <v>108</v>
      </c>
      <c r="F65"/>
      <c r="G65" t="s">
        <v>164</v>
      </c>
      <c r="H65"/>
      <c r="I65" s="166">
        <v>46278.65253472222</v>
      </c>
      <c r="J65" t="s">
        <v>445</v>
      </c>
      <c r="K65" t="s">
        <v>443</v>
      </c>
      <c r="L65" s="165">
        <v>46277</v>
      </c>
      <c r="M65" t="s">
        <v>442</v>
      </c>
      <c r="N65" t="s">
        <v>231</v>
      </c>
      <c r="O65" t="s">
        <v>444</v>
      </c>
      <c r="P65" t="s">
        <v>97</v>
      </c>
      <c r="Q65" t="s">
        <v>247</v>
      </c>
    </row>
    <row r="66" spans="1:17" s="25" customFormat="1">
      <c r="A66" s="119">
        <v>2.5465801898148149E-2</v>
      </c>
      <c r="B66" t="s">
        <v>97</v>
      </c>
      <c r="C66" t="s">
        <v>453</v>
      </c>
      <c r="D66"/>
      <c r="E66" t="s">
        <v>59</v>
      </c>
      <c r="F66"/>
      <c r="G66" t="s">
        <v>164</v>
      </c>
      <c r="H66"/>
      <c r="I66" s="166">
        <v>46278.652129629627</v>
      </c>
      <c r="J66" t="s">
        <v>445</v>
      </c>
      <c r="K66" t="s">
        <v>443</v>
      </c>
      <c r="L66" s="165">
        <v>46277</v>
      </c>
      <c r="M66" t="s">
        <v>442</v>
      </c>
      <c r="N66" t="s">
        <v>231</v>
      </c>
      <c r="O66" t="s">
        <v>444</v>
      </c>
      <c r="P66" t="s">
        <v>97</v>
      </c>
      <c r="Q66" t="s">
        <v>247</v>
      </c>
    </row>
    <row r="67" spans="1:17" s="25" customFormat="1">
      <c r="A67" s="119">
        <v>2.5414908148148146E-2</v>
      </c>
      <c r="B67" t="s">
        <v>97</v>
      </c>
      <c r="C67" t="s">
        <v>451</v>
      </c>
      <c r="D67"/>
      <c r="E67" t="s">
        <v>108</v>
      </c>
      <c r="F67"/>
      <c r="G67" t="s">
        <v>164</v>
      </c>
      <c r="H67"/>
      <c r="I67" s="166">
        <v>46278.651145833333</v>
      </c>
      <c r="J67" t="s">
        <v>445</v>
      </c>
      <c r="K67" t="s">
        <v>443</v>
      </c>
      <c r="L67" s="165">
        <v>46277</v>
      </c>
      <c r="M67" t="s">
        <v>442</v>
      </c>
      <c r="N67" t="s">
        <v>231</v>
      </c>
      <c r="O67" t="s">
        <v>444</v>
      </c>
      <c r="P67" t="s">
        <v>97</v>
      </c>
      <c r="Q67" t="s">
        <v>247</v>
      </c>
    </row>
    <row r="68" spans="1:17" s="25" customFormat="1">
      <c r="A68" s="119">
        <v>2.5354221886574071E-2</v>
      </c>
      <c r="B68" t="s">
        <v>97</v>
      </c>
      <c r="C68" t="s">
        <v>475</v>
      </c>
      <c r="D68"/>
      <c r="E68" t="s">
        <v>108</v>
      </c>
      <c r="F68"/>
      <c r="G68" t="s">
        <v>164</v>
      </c>
      <c r="H68"/>
      <c r="I68" s="166">
        <v>46278.650636574072</v>
      </c>
      <c r="J68" t="s">
        <v>445</v>
      </c>
      <c r="K68" t="s">
        <v>443</v>
      </c>
      <c r="L68" s="165">
        <v>46277</v>
      </c>
      <c r="M68" t="s">
        <v>442</v>
      </c>
      <c r="N68" t="s">
        <v>231</v>
      </c>
      <c r="O68" t="s">
        <v>444</v>
      </c>
      <c r="P68" t="s">
        <v>97</v>
      </c>
      <c r="Q68" t="s">
        <v>247</v>
      </c>
    </row>
    <row r="69" spans="1:17" s="25" customFormat="1">
      <c r="A69" s="119">
        <v>2.5274022060185187E-2</v>
      </c>
      <c r="B69" t="s">
        <v>97</v>
      </c>
      <c r="C69" t="s">
        <v>447</v>
      </c>
      <c r="D69"/>
      <c r="E69" t="s">
        <v>108</v>
      </c>
      <c r="F69"/>
      <c r="G69" t="s">
        <v>164</v>
      </c>
      <c r="H69"/>
      <c r="I69" s="166">
        <v>46278.650335648148</v>
      </c>
      <c r="J69" t="s">
        <v>445</v>
      </c>
      <c r="K69" t="s">
        <v>443</v>
      </c>
      <c r="L69" s="165">
        <v>46277</v>
      </c>
      <c r="M69" t="s">
        <v>442</v>
      </c>
      <c r="N69" t="s">
        <v>231</v>
      </c>
      <c r="O69" t="s">
        <v>444</v>
      </c>
      <c r="P69" t="s">
        <v>97</v>
      </c>
      <c r="Q69" t="s">
        <v>247</v>
      </c>
    </row>
    <row r="70" spans="1:17" s="25" customFormat="1">
      <c r="A70" s="119">
        <v>2.5175426689814814E-2</v>
      </c>
      <c r="B70" t="s">
        <v>97</v>
      </c>
      <c r="C70" t="s">
        <v>469</v>
      </c>
      <c r="D70"/>
      <c r="E70" t="s">
        <v>108</v>
      </c>
      <c r="F70"/>
      <c r="G70" t="s">
        <v>164</v>
      </c>
      <c r="H70"/>
      <c r="I70" s="166">
        <v>46278.650150462963</v>
      </c>
      <c r="J70" t="s">
        <v>445</v>
      </c>
      <c r="K70" t="s">
        <v>443</v>
      </c>
      <c r="L70" s="165">
        <v>46277</v>
      </c>
      <c r="M70" t="s">
        <v>442</v>
      </c>
      <c r="N70" t="s">
        <v>231</v>
      </c>
      <c r="O70" t="s">
        <v>444</v>
      </c>
      <c r="P70" t="s">
        <v>97</v>
      </c>
      <c r="Q70" t="s">
        <v>247</v>
      </c>
    </row>
    <row r="71" spans="1:17" s="25" customFormat="1">
      <c r="A71" s="119">
        <v>2.5154105486111113E-2</v>
      </c>
      <c r="B71" t="s">
        <v>97</v>
      </c>
      <c r="C71" t="s">
        <v>456</v>
      </c>
      <c r="D71"/>
      <c r="E71" t="s">
        <v>108</v>
      </c>
      <c r="F71"/>
      <c r="G71" t="s">
        <v>164</v>
      </c>
      <c r="H71"/>
      <c r="I71" s="166">
        <v>46278.649861111109</v>
      </c>
      <c r="J71" t="s">
        <v>445</v>
      </c>
      <c r="K71" t="s">
        <v>443</v>
      </c>
      <c r="L71" s="165">
        <v>46277</v>
      </c>
      <c r="M71" t="s">
        <v>442</v>
      </c>
      <c r="N71" t="s">
        <v>231</v>
      </c>
      <c r="O71" t="s">
        <v>444</v>
      </c>
      <c r="P71" t="s">
        <v>97</v>
      </c>
      <c r="Q71" t="s">
        <v>247</v>
      </c>
    </row>
    <row r="72" spans="1:17" s="25" customFormat="1">
      <c r="A72" s="119">
        <v>2.5119242696759258E-2</v>
      </c>
      <c r="B72" t="s">
        <v>97</v>
      </c>
      <c r="C72" t="s">
        <v>455</v>
      </c>
      <c r="D72"/>
      <c r="E72" t="s">
        <v>108</v>
      </c>
      <c r="F72"/>
      <c r="G72" t="s">
        <v>164</v>
      </c>
      <c r="H72"/>
      <c r="I72" s="166">
        <v>46278.649756944447</v>
      </c>
      <c r="J72" t="s">
        <v>445</v>
      </c>
      <c r="K72" t="s">
        <v>443</v>
      </c>
      <c r="L72" s="165">
        <v>46277</v>
      </c>
      <c r="M72" t="s">
        <v>442</v>
      </c>
      <c r="N72" t="s">
        <v>231</v>
      </c>
      <c r="O72" t="s">
        <v>444</v>
      </c>
      <c r="P72" t="s">
        <v>97</v>
      </c>
      <c r="Q72" t="s">
        <v>247</v>
      </c>
    </row>
    <row r="73" spans="1:17" s="25" customFormat="1">
      <c r="A73" s="119">
        <v>2.507677289351852E-2</v>
      </c>
      <c r="B73" t="s">
        <v>97</v>
      </c>
      <c r="C73"/>
      <c r="D73"/>
      <c r="E73" t="s">
        <v>113</v>
      </c>
      <c r="F73"/>
      <c r="G73" t="s">
        <v>164</v>
      </c>
      <c r="H73"/>
      <c r="I73" s="166">
        <v>46278.649733796294</v>
      </c>
      <c r="J73" t="s">
        <v>445</v>
      </c>
      <c r="K73" t="s">
        <v>443</v>
      </c>
      <c r="L73" s="165">
        <v>46277</v>
      </c>
      <c r="M73" t="s">
        <v>442</v>
      </c>
      <c r="N73" t="s">
        <v>231</v>
      </c>
      <c r="O73" t="s">
        <v>444</v>
      </c>
      <c r="P73" t="s">
        <v>97</v>
      </c>
      <c r="Q73" t="s">
        <v>247</v>
      </c>
    </row>
    <row r="74" spans="1:17" s="25" customFormat="1">
      <c r="A74" s="119">
        <v>2.4984640995370372E-2</v>
      </c>
      <c r="B74" t="s">
        <v>97</v>
      </c>
      <c r="C74"/>
      <c r="D74"/>
      <c r="E74" t="s">
        <v>104</v>
      </c>
      <c r="F74"/>
      <c r="G74" t="s">
        <v>98</v>
      </c>
      <c r="H74"/>
      <c r="I74" s="166">
        <v>46278.649444444447</v>
      </c>
      <c r="J74" t="s">
        <v>445</v>
      </c>
      <c r="K74" t="s">
        <v>443</v>
      </c>
      <c r="L74" s="165">
        <v>46277</v>
      </c>
      <c r="M74" t="s">
        <v>442</v>
      </c>
      <c r="N74" t="s">
        <v>231</v>
      </c>
      <c r="O74" t="s">
        <v>444</v>
      </c>
      <c r="P74" t="s">
        <v>97</v>
      </c>
      <c r="Q74" t="s">
        <v>247</v>
      </c>
    </row>
    <row r="75" spans="1:17" s="25" customFormat="1">
      <c r="A75" s="119">
        <v>2.4616293541666664E-2</v>
      </c>
      <c r="B75" t="s">
        <v>97</v>
      </c>
      <c r="C75"/>
      <c r="D75"/>
      <c r="E75" t="s">
        <v>87</v>
      </c>
      <c r="F75"/>
      <c r="G75" t="s">
        <v>98</v>
      </c>
      <c r="H75"/>
      <c r="I75" s="166">
        <v>46278.649305555555</v>
      </c>
      <c r="J75" t="s">
        <v>445</v>
      </c>
      <c r="K75" t="s">
        <v>443</v>
      </c>
      <c r="L75" s="165">
        <v>46277</v>
      </c>
      <c r="M75" t="s">
        <v>442</v>
      </c>
      <c r="N75" t="s">
        <v>231</v>
      </c>
      <c r="O75" t="s">
        <v>444</v>
      </c>
      <c r="P75" t="s">
        <v>97</v>
      </c>
      <c r="Q75" t="s">
        <v>247</v>
      </c>
    </row>
    <row r="76" spans="1:17" s="25" customFormat="1">
      <c r="A76" s="119">
        <v>2.4564054293981483E-2</v>
      </c>
      <c r="B76" t="s">
        <v>97</v>
      </c>
      <c r="C76"/>
      <c r="D76"/>
      <c r="E76" t="s">
        <v>184</v>
      </c>
      <c r="F76"/>
      <c r="G76" t="s">
        <v>98</v>
      </c>
      <c r="H76"/>
      <c r="I76" s="166">
        <v>46278.649259259262</v>
      </c>
      <c r="J76" t="s">
        <v>445</v>
      </c>
      <c r="K76" t="s">
        <v>443</v>
      </c>
      <c r="L76" s="165">
        <v>46277</v>
      </c>
      <c r="M76" t="s">
        <v>442</v>
      </c>
      <c r="N76" t="s">
        <v>231</v>
      </c>
      <c r="O76" t="s">
        <v>444</v>
      </c>
      <c r="P76" t="s">
        <v>97</v>
      </c>
      <c r="Q76" t="s">
        <v>247</v>
      </c>
    </row>
    <row r="77" spans="1:17" s="25" customFormat="1">
      <c r="A77" s="119">
        <v>2.4523518067129629E-2</v>
      </c>
      <c r="B77" t="s">
        <v>97</v>
      </c>
      <c r="C77"/>
      <c r="D77"/>
      <c r="E77" t="s">
        <v>186</v>
      </c>
      <c r="F77"/>
      <c r="G77" t="s">
        <v>98</v>
      </c>
      <c r="H77"/>
      <c r="I77" s="166">
        <v>46278.649178240739</v>
      </c>
      <c r="J77" t="s">
        <v>445</v>
      </c>
      <c r="K77" t="s">
        <v>443</v>
      </c>
      <c r="L77" s="165">
        <v>46277</v>
      </c>
      <c r="M77" t="s">
        <v>442</v>
      </c>
      <c r="N77" t="s">
        <v>231</v>
      </c>
      <c r="O77" t="s">
        <v>444</v>
      </c>
      <c r="P77" t="s">
        <v>97</v>
      </c>
      <c r="Q77" t="s">
        <v>247</v>
      </c>
    </row>
    <row r="78" spans="1:17" s="25" customFormat="1">
      <c r="A78" s="119">
        <v>2.4486652395833336E-2</v>
      </c>
      <c r="B78" t="s">
        <v>97</v>
      </c>
      <c r="C78"/>
      <c r="D78"/>
      <c r="E78" t="s">
        <v>100</v>
      </c>
      <c r="F78"/>
      <c r="G78" t="s">
        <v>98</v>
      </c>
      <c r="H78"/>
      <c r="I78" s="166">
        <v>46278.649143518516</v>
      </c>
      <c r="J78" t="s">
        <v>445</v>
      </c>
      <c r="K78" t="s">
        <v>443</v>
      </c>
      <c r="L78" s="165">
        <v>46277</v>
      </c>
      <c r="M78" t="s">
        <v>442</v>
      </c>
      <c r="N78" t="s">
        <v>231</v>
      </c>
      <c r="O78" t="s">
        <v>444</v>
      </c>
      <c r="P78" t="s">
        <v>97</v>
      </c>
      <c r="Q78" t="s">
        <v>247</v>
      </c>
    </row>
    <row r="79" spans="1:17" s="25" customFormat="1">
      <c r="A79" s="119">
        <v>2.4134965439814818E-2</v>
      </c>
      <c r="B79" t="s">
        <v>97</v>
      </c>
      <c r="C79" t="s">
        <v>472</v>
      </c>
      <c r="D79"/>
      <c r="E79" t="s">
        <v>115</v>
      </c>
      <c r="F79"/>
      <c r="G79" t="s">
        <v>98</v>
      </c>
      <c r="H79"/>
      <c r="I79" s="166">
        <v>46278.648935185185</v>
      </c>
      <c r="J79" t="s">
        <v>445</v>
      </c>
      <c r="K79" t="s">
        <v>443</v>
      </c>
      <c r="L79" s="165">
        <v>46277</v>
      </c>
      <c r="M79" t="s">
        <v>442</v>
      </c>
      <c r="N79" t="s">
        <v>231</v>
      </c>
      <c r="O79" t="s">
        <v>444</v>
      </c>
      <c r="P79" t="s">
        <v>97</v>
      </c>
      <c r="Q79" t="s">
        <v>247</v>
      </c>
    </row>
    <row r="80" spans="1:17" s="25" customFormat="1">
      <c r="A80" s="119">
        <v>2.3302530613425926E-2</v>
      </c>
      <c r="B80" t="s">
        <v>97</v>
      </c>
      <c r="C80"/>
      <c r="D80"/>
      <c r="E80" t="s">
        <v>87</v>
      </c>
      <c r="F80"/>
      <c r="G80" t="s">
        <v>98</v>
      </c>
      <c r="H80"/>
      <c r="I80" s="166">
        <v>46278.648564814815</v>
      </c>
      <c r="J80" t="s">
        <v>445</v>
      </c>
      <c r="K80" t="s">
        <v>443</v>
      </c>
      <c r="L80" s="165">
        <v>46277</v>
      </c>
      <c r="M80" t="s">
        <v>442</v>
      </c>
      <c r="N80" t="s">
        <v>231</v>
      </c>
      <c r="O80" t="s">
        <v>444</v>
      </c>
      <c r="P80" t="s">
        <v>97</v>
      </c>
      <c r="Q80" t="s">
        <v>247</v>
      </c>
    </row>
    <row r="81" spans="1:17" s="25" customFormat="1">
      <c r="A81" s="119">
        <v>2.3302530613425926E-2</v>
      </c>
      <c r="B81" t="s">
        <v>97</v>
      </c>
      <c r="C81" t="s">
        <v>475</v>
      </c>
      <c r="D81"/>
      <c r="E81" t="s">
        <v>103</v>
      </c>
      <c r="F81"/>
      <c r="G81" t="s">
        <v>98</v>
      </c>
      <c r="H81"/>
      <c r="I81" s="166">
        <v>46278.648564814815</v>
      </c>
      <c r="J81" t="s">
        <v>445</v>
      </c>
      <c r="K81" t="s">
        <v>443</v>
      </c>
      <c r="L81" s="165">
        <v>46277</v>
      </c>
      <c r="M81" t="s">
        <v>442</v>
      </c>
      <c r="N81" t="s">
        <v>231</v>
      </c>
      <c r="O81" t="s">
        <v>444</v>
      </c>
      <c r="P81" t="s">
        <v>97</v>
      </c>
      <c r="Q81" t="s">
        <v>247</v>
      </c>
    </row>
    <row r="82" spans="1:17" s="25" customFormat="1">
      <c r="A82" s="119">
        <v>2.3255990231481481E-2</v>
      </c>
      <c r="B82" t="s">
        <v>97</v>
      </c>
      <c r="C82"/>
      <c r="D82"/>
      <c r="E82" t="s">
        <v>59</v>
      </c>
      <c r="F82"/>
      <c r="G82" t="s">
        <v>98</v>
      </c>
      <c r="H82"/>
      <c r="I82" s="166">
        <v>46278.648252314815</v>
      </c>
      <c r="J82" t="s">
        <v>445</v>
      </c>
      <c r="K82" t="s">
        <v>443</v>
      </c>
      <c r="L82" s="165">
        <v>46277</v>
      </c>
      <c r="M82" t="s">
        <v>442</v>
      </c>
      <c r="N82" t="s">
        <v>231</v>
      </c>
      <c r="O82" t="s">
        <v>444</v>
      </c>
      <c r="P82" t="s">
        <v>97</v>
      </c>
      <c r="Q82" t="s">
        <v>247</v>
      </c>
    </row>
    <row r="83" spans="1:17" s="25" customFormat="1">
      <c r="A83" s="119">
        <v>2.3199748113425928E-2</v>
      </c>
      <c r="B83" t="s">
        <v>97</v>
      </c>
      <c r="C83"/>
      <c r="D83"/>
      <c r="E83" t="s">
        <v>108</v>
      </c>
      <c r="F83"/>
      <c r="G83" t="s">
        <v>98</v>
      </c>
      <c r="H83"/>
      <c r="I83" s="166">
        <v>46278.6481712963</v>
      </c>
      <c r="J83" t="s">
        <v>445</v>
      </c>
      <c r="K83" t="s">
        <v>443</v>
      </c>
      <c r="L83" s="165">
        <v>46277</v>
      </c>
      <c r="M83" t="s">
        <v>442</v>
      </c>
      <c r="N83" t="s">
        <v>231</v>
      </c>
      <c r="O83" t="s">
        <v>444</v>
      </c>
      <c r="P83" t="s">
        <v>97</v>
      </c>
      <c r="Q83" t="s">
        <v>247</v>
      </c>
    </row>
    <row r="84" spans="1:17" s="25" customFormat="1">
      <c r="A84" s="119">
        <v>2.2807243333333335E-2</v>
      </c>
      <c r="B84" t="s">
        <v>97</v>
      </c>
      <c r="C84" t="s">
        <v>475</v>
      </c>
      <c r="D84"/>
      <c r="E84" t="s">
        <v>111</v>
      </c>
      <c r="F84"/>
      <c r="G84" t="s">
        <v>98</v>
      </c>
      <c r="H84"/>
      <c r="I84" s="166">
        <v>46278.648159722223</v>
      </c>
      <c r="J84" t="s">
        <v>445</v>
      </c>
      <c r="K84" t="s">
        <v>443</v>
      </c>
      <c r="L84" s="165">
        <v>46277</v>
      </c>
      <c r="M84" t="s">
        <v>442</v>
      </c>
      <c r="N84" t="s">
        <v>231</v>
      </c>
      <c r="O84" t="s">
        <v>444</v>
      </c>
      <c r="P84" t="s">
        <v>97</v>
      </c>
      <c r="Q84" t="s">
        <v>247</v>
      </c>
    </row>
    <row r="85" spans="1:17" s="25" customFormat="1">
      <c r="A85" s="119">
        <v>2.2770241342592593E-2</v>
      </c>
      <c r="B85" t="s">
        <v>97</v>
      </c>
      <c r="C85"/>
      <c r="D85"/>
      <c r="E85" t="s">
        <v>104</v>
      </c>
      <c r="F85"/>
      <c r="G85" t="s">
        <v>164</v>
      </c>
      <c r="H85"/>
      <c r="I85" s="166">
        <v>46278.647511574076</v>
      </c>
      <c r="J85" t="s">
        <v>445</v>
      </c>
      <c r="K85" t="s">
        <v>443</v>
      </c>
      <c r="L85" s="165">
        <v>46277</v>
      </c>
      <c r="M85" t="s">
        <v>442</v>
      </c>
      <c r="N85" t="s">
        <v>231</v>
      </c>
      <c r="O85" t="s">
        <v>444</v>
      </c>
      <c r="P85" t="s">
        <v>97</v>
      </c>
      <c r="Q85" t="s">
        <v>247</v>
      </c>
    </row>
    <row r="86" spans="1:17" s="25" customFormat="1">
      <c r="A86" s="119">
        <v>2.2195846458333331E-2</v>
      </c>
      <c r="B86" t="s">
        <v>97</v>
      </c>
      <c r="C86"/>
      <c r="D86"/>
      <c r="E86" t="s">
        <v>87</v>
      </c>
      <c r="F86"/>
      <c r="G86" t="s">
        <v>164</v>
      </c>
      <c r="H86"/>
      <c r="I86" s="166">
        <v>46278.646782407406</v>
      </c>
      <c r="J86" t="s">
        <v>445</v>
      </c>
      <c r="K86" t="s">
        <v>443</v>
      </c>
      <c r="L86" s="165">
        <v>46277</v>
      </c>
      <c r="M86" t="s">
        <v>442</v>
      </c>
      <c r="N86" t="s">
        <v>231</v>
      </c>
      <c r="O86" t="s">
        <v>444</v>
      </c>
      <c r="P86" t="s">
        <v>97</v>
      </c>
      <c r="Q86" t="s">
        <v>247</v>
      </c>
    </row>
    <row r="87" spans="1:17" s="25" customFormat="1">
      <c r="A87" s="119">
        <v>2.2174803159722221E-2</v>
      </c>
      <c r="B87" t="s">
        <v>97</v>
      </c>
      <c r="C87" t="s">
        <v>82</v>
      </c>
      <c r="D87"/>
      <c r="E87" t="s">
        <v>214</v>
      </c>
      <c r="F87" t="s">
        <v>135</v>
      </c>
      <c r="G87" t="s">
        <v>98</v>
      </c>
      <c r="H87"/>
      <c r="I87" s="166">
        <v>46278.646770833337</v>
      </c>
      <c r="J87" t="s">
        <v>445</v>
      </c>
      <c r="K87" t="s">
        <v>443</v>
      </c>
      <c r="L87" s="165">
        <v>46277</v>
      </c>
      <c r="M87" t="s">
        <v>442</v>
      </c>
      <c r="N87" t="s">
        <v>231</v>
      </c>
      <c r="O87" t="s">
        <v>444</v>
      </c>
      <c r="P87" t="s">
        <v>97</v>
      </c>
      <c r="Q87" t="s">
        <v>247</v>
      </c>
    </row>
    <row r="88" spans="1:17" s="25" customFormat="1">
      <c r="A88" s="119">
        <v>2.2008378298611114E-2</v>
      </c>
      <c r="B88" t="s">
        <v>97</v>
      </c>
      <c r="C88"/>
      <c r="D88"/>
      <c r="E88" t="s">
        <v>108</v>
      </c>
      <c r="F88"/>
      <c r="G88" t="s">
        <v>98</v>
      </c>
      <c r="H88"/>
      <c r="I88" s="166">
        <v>46278.646597222221</v>
      </c>
      <c r="J88" t="s">
        <v>445</v>
      </c>
      <c r="K88" t="s">
        <v>443</v>
      </c>
      <c r="L88" s="165">
        <v>46277</v>
      </c>
      <c r="M88" t="s">
        <v>442</v>
      </c>
      <c r="N88" t="s">
        <v>231</v>
      </c>
      <c r="O88" t="s">
        <v>444</v>
      </c>
      <c r="P88" t="s">
        <v>97</v>
      </c>
      <c r="Q88" t="s">
        <v>247</v>
      </c>
    </row>
    <row r="89" spans="1:17" s="25" customFormat="1">
      <c r="A89" s="119">
        <v>2.1897690289351852E-2</v>
      </c>
      <c r="B89" t="s">
        <v>97</v>
      </c>
      <c r="C89"/>
      <c r="D89"/>
      <c r="E89" t="s">
        <v>108</v>
      </c>
      <c r="F89"/>
      <c r="G89" t="s">
        <v>98</v>
      </c>
      <c r="H89"/>
      <c r="I89" s="166">
        <v>46278.646481481483</v>
      </c>
      <c r="J89" t="s">
        <v>445</v>
      </c>
      <c r="K89" t="s">
        <v>443</v>
      </c>
      <c r="L89" s="165">
        <v>46277</v>
      </c>
      <c r="M89" t="s">
        <v>442</v>
      </c>
      <c r="N89" t="s">
        <v>231</v>
      </c>
      <c r="O89" t="s">
        <v>444</v>
      </c>
      <c r="P89" t="s">
        <v>97</v>
      </c>
      <c r="Q89" t="s">
        <v>247</v>
      </c>
    </row>
    <row r="90" spans="1:17" s="25" customFormat="1">
      <c r="A90" s="119">
        <v>2.1850780324074073E-2</v>
      </c>
      <c r="B90" t="s">
        <v>97</v>
      </c>
      <c r="C90"/>
      <c r="D90"/>
      <c r="E90" t="s">
        <v>108</v>
      </c>
      <c r="F90"/>
      <c r="G90" t="s">
        <v>98</v>
      </c>
      <c r="H90"/>
      <c r="I90" s="166">
        <v>46278.646435185183</v>
      </c>
      <c r="J90" t="s">
        <v>445</v>
      </c>
      <c r="K90" t="s">
        <v>443</v>
      </c>
      <c r="L90" s="165">
        <v>46277</v>
      </c>
      <c r="M90" t="s">
        <v>442</v>
      </c>
      <c r="N90" t="s">
        <v>231</v>
      </c>
      <c r="O90" t="s">
        <v>444</v>
      </c>
      <c r="P90" t="s">
        <v>97</v>
      </c>
      <c r="Q90" t="s">
        <v>247</v>
      </c>
    </row>
    <row r="91" spans="1:17" s="25" customFormat="1">
      <c r="A91" s="119">
        <v>2.1815858819444443E-2</v>
      </c>
      <c r="B91" t="s">
        <v>97</v>
      </c>
      <c r="C91"/>
      <c r="D91"/>
      <c r="E91" t="s">
        <v>59</v>
      </c>
      <c r="F91"/>
      <c r="G91" t="s">
        <v>98</v>
      </c>
      <c r="H91"/>
      <c r="I91" s="166">
        <v>46278.646192129629</v>
      </c>
      <c r="J91" t="s">
        <v>445</v>
      </c>
      <c r="K91" t="s">
        <v>443</v>
      </c>
      <c r="L91" s="165">
        <v>46277</v>
      </c>
      <c r="M91" t="s">
        <v>442</v>
      </c>
      <c r="N91" t="s">
        <v>231</v>
      </c>
      <c r="O91" t="s">
        <v>444</v>
      </c>
      <c r="P91" t="s">
        <v>97</v>
      </c>
      <c r="Q91" t="s">
        <v>247</v>
      </c>
    </row>
    <row r="92" spans="1:17" s="25" customFormat="1">
      <c r="A92" s="119">
        <v>2.1786884479166668E-2</v>
      </c>
      <c r="B92" t="s">
        <v>97</v>
      </c>
      <c r="C92"/>
      <c r="D92"/>
      <c r="E92" t="s">
        <v>108</v>
      </c>
      <c r="F92"/>
      <c r="G92" t="s">
        <v>98</v>
      </c>
      <c r="H92"/>
      <c r="I92" s="166">
        <v>46278.646122685182</v>
      </c>
      <c r="J92" t="s">
        <v>445</v>
      </c>
      <c r="K92" t="s">
        <v>443</v>
      </c>
      <c r="L92" s="165">
        <v>46277</v>
      </c>
      <c r="M92" t="s">
        <v>442</v>
      </c>
      <c r="N92" t="s">
        <v>231</v>
      </c>
      <c r="O92" t="s">
        <v>444</v>
      </c>
      <c r="P92" t="s">
        <v>97</v>
      </c>
      <c r="Q92" t="s">
        <v>247</v>
      </c>
    </row>
    <row r="93" spans="1:17" s="25" customFormat="1">
      <c r="A93" s="119">
        <v>2.1729784606481482E-2</v>
      </c>
      <c r="B93" t="s">
        <v>97</v>
      </c>
      <c r="C93"/>
      <c r="D93"/>
      <c r="E93" t="s">
        <v>186</v>
      </c>
      <c r="F93"/>
      <c r="G93" t="s">
        <v>98</v>
      </c>
      <c r="H93"/>
      <c r="I93" s="166">
        <v>46278.645949074074</v>
      </c>
      <c r="J93" t="s">
        <v>445</v>
      </c>
      <c r="K93" t="s">
        <v>443</v>
      </c>
      <c r="L93" s="165">
        <v>46277</v>
      </c>
      <c r="M93" t="s">
        <v>442</v>
      </c>
      <c r="N93" t="s">
        <v>231</v>
      </c>
      <c r="O93" t="s">
        <v>444</v>
      </c>
      <c r="P93" t="s">
        <v>97</v>
      </c>
      <c r="Q93" t="s">
        <v>247</v>
      </c>
    </row>
    <row r="94" spans="1:17" s="25" customFormat="1">
      <c r="A94" s="119">
        <v>2.167755127314815E-2</v>
      </c>
      <c r="B94" t="s">
        <v>97</v>
      </c>
      <c r="C94"/>
      <c r="D94"/>
      <c r="E94" t="s">
        <v>184</v>
      </c>
      <c r="F94"/>
      <c r="G94" t="s">
        <v>164</v>
      </c>
      <c r="H94"/>
      <c r="I94" s="166">
        <v>46278.645868055559</v>
      </c>
      <c r="J94" t="s">
        <v>445</v>
      </c>
      <c r="K94" t="s">
        <v>443</v>
      </c>
      <c r="L94" s="165">
        <v>46277</v>
      </c>
      <c r="M94" t="s">
        <v>442</v>
      </c>
      <c r="N94" t="s">
        <v>231</v>
      </c>
      <c r="O94" t="s">
        <v>444</v>
      </c>
      <c r="P94" t="s">
        <v>97</v>
      </c>
      <c r="Q94" t="s">
        <v>247</v>
      </c>
    </row>
    <row r="95" spans="1:17" s="25" customFormat="1">
      <c r="A95" s="119">
        <v>2.1597222222222223E-2</v>
      </c>
      <c r="B95" t="s">
        <v>97</v>
      </c>
      <c r="C95"/>
      <c r="D95"/>
      <c r="E95" t="s">
        <v>285</v>
      </c>
      <c r="F95"/>
      <c r="G95" t="s">
        <v>164</v>
      </c>
      <c r="H95"/>
      <c r="I95" s="166">
        <v>46278.645752314813</v>
      </c>
      <c r="J95" t="s">
        <v>445</v>
      </c>
      <c r="K95" t="s">
        <v>443</v>
      </c>
      <c r="L95" s="165">
        <v>46277</v>
      </c>
      <c r="M95" t="s">
        <v>442</v>
      </c>
      <c r="N95" t="s">
        <v>231</v>
      </c>
      <c r="O95" t="s">
        <v>444</v>
      </c>
      <c r="P95" t="s">
        <v>97</v>
      </c>
      <c r="Q95" t="s">
        <v>247</v>
      </c>
    </row>
    <row r="96" spans="1:17" s="25" customFormat="1">
      <c r="A96" s="119">
        <v>2.1479168425925926E-2</v>
      </c>
      <c r="B96" t="s">
        <v>97</v>
      </c>
      <c r="C96"/>
      <c r="D96"/>
      <c r="E96" t="s">
        <v>105</v>
      </c>
      <c r="F96"/>
      <c r="G96" t="s">
        <v>164</v>
      </c>
      <c r="H96"/>
      <c r="I96" s="166">
        <v>46278.645752314813</v>
      </c>
      <c r="J96" t="s">
        <v>445</v>
      </c>
      <c r="K96" t="s">
        <v>443</v>
      </c>
      <c r="L96" s="165">
        <v>46277</v>
      </c>
      <c r="M96" t="s">
        <v>442</v>
      </c>
      <c r="N96" t="s">
        <v>231</v>
      </c>
      <c r="O96" t="s">
        <v>444</v>
      </c>
      <c r="P96" t="s">
        <v>97</v>
      </c>
      <c r="Q96" t="s">
        <v>247</v>
      </c>
    </row>
    <row r="97" spans="1:17" s="25" customFormat="1">
      <c r="A97" s="119">
        <v>2.115051886574074E-2</v>
      </c>
      <c r="B97" t="s">
        <v>97</v>
      </c>
      <c r="C97"/>
      <c r="D97"/>
      <c r="E97" t="s">
        <v>87</v>
      </c>
      <c r="F97"/>
      <c r="G97" t="s">
        <v>164</v>
      </c>
      <c r="H97"/>
      <c r="I97" s="166">
        <v>46278.644837962966</v>
      </c>
      <c r="J97" t="s">
        <v>445</v>
      </c>
      <c r="K97" t="s">
        <v>443</v>
      </c>
      <c r="L97" s="165">
        <v>46277</v>
      </c>
      <c r="M97" t="s">
        <v>442</v>
      </c>
      <c r="N97" t="s">
        <v>231</v>
      </c>
      <c r="O97" t="s">
        <v>444</v>
      </c>
      <c r="P97" t="s">
        <v>97</v>
      </c>
      <c r="Q97" t="s">
        <v>247</v>
      </c>
    </row>
    <row r="98" spans="1:17" s="25" customFormat="1">
      <c r="A98" s="119">
        <v>2.1138845578703703E-2</v>
      </c>
      <c r="B98" t="s">
        <v>97</v>
      </c>
      <c r="C98" t="s">
        <v>457</v>
      </c>
      <c r="D98"/>
      <c r="E98" t="s">
        <v>183</v>
      </c>
      <c r="F98"/>
      <c r="G98" t="s">
        <v>98</v>
      </c>
      <c r="H98"/>
      <c r="I98" s="166">
        <v>46278.644826388889</v>
      </c>
      <c r="J98" t="s">
        <v>445</v>
      </c>
      <c r="K98" t="s">
        <v>443</v>
      </c>
      <c r="L98" s="165">
        <v>46277</v>
      </c>
      <c r="M98" t="s">
        <v>442</v>
      </c>
      <c r="N98" t="s">
        <v>231</v>
      </c>
      <c r="O98" t="s">
        <v>444</v>
      </c>
      <c r="P98" t="s">
        <v>97</v>
      </c>
      <c r="Q98" t="s">
        <v>247</v>
      </c>
    </row>
    <row r="99" spans="1:17" s="25" customFormat="1">
      <c r="A99" s="119">
        <v>2.1109694421296298E-2</v>
      </c>
      <c r="B99" t="s">
        <v>97</v>
      </c>
      <c r="C99"/>
      <c r="D99"/>
      <c r="E99" t="s">
        <v>108</v>
      </c>
      <c r="F99"/>
      <c r="G99" t="s">
        <v>98</v>
      </c>
      <c r="H99"/>
      <c r="I99" s="166">
        <v>46278.64472222222</v>
      </c>
      <c r="J99" t="s">
        <v>445</v>
      </c>
      <c r="K99" t="s">
        <v>443</v>
      </c>
      <c r="L99" s="165">
        <v>46277</v>
      </c>
      <c r="M99" t="s">
        <v>442</v>
      </c>
      <c r="N99" t="s">
        <v>231</v>
      </c>
      <c r="O99" t="s">
        <v>444</v>
      </c>
      <c r="P99" t="s">
        <v>97</v>
      </c>
      <c r="Q99" t="s">
        <v>247</v>
      </c>
    </row>
    <row r="100" spans="1:17" s="25" customFormat="1">
      <c r="A100" s="119">
        <v>2.1030092592592593E-2</v>
      </c>
      <c r="B100" t="s">
        <v>97</v>
      </c>
      <c r="C100"/>
      <c r="D100"/>
      <c r="E100" t="s">
        <v>279</v>
      </c>
      <c r="F100"/>
      <c r="G100" t="s">
        <v>98</v>
      </c>
      <c r="H100"/>
      <c r="I100" s="166">
        <v>46278.644618055558</v>
      </c>
      <c r="J100" t="s">
        <v>445</v>
      </c>
      <c r="K100" t="s">
        <v>443</v>
      </c>
      <c r="L100" s="165">
        <v>46277</v>
      </c>
      <c r="M100" t="s">
        <v>442</v>
      </c>
      <c r="N100" t="s">
        <v>231</v>
      </c>
      <c r="O100" t="s">
        <v>444</v>
      </c>
      <c r="P100" t="s">
        <v>97</v>
      </c>
      <c r="Q100" t="s">
        <v>247</v>
      </c>
    </row>
    <row r="101" spans="1:17" s="25" customFormat="1">
      <c r="A101" s="119">
        <v>2.0945316724537037E-2</v>
      </c>
      <c r="B101" t="s">
        <v>97</v>
      </c>
      <c r="C101"/>
      <c r="D101"/>
      <c r="E101" t="s">
        <v>105</v>
      </c>
      <c r="F101"/>
      <c r="G101" t="s">
        <v>98</v>
      </c>
      <c r="H101"/>
      <c r="I101" s="166">
        <v>46278.644618055558</v>
      </c>
      <c r="J101" t="s">
        <v>445</v>
      </c>
      <c r="K101" t="s">
        <v>443</v>
      </c>
      <c r="L101" s="165">
        <v>46277</v>
      </c>
      <c r="M101" t="s">
        <v>442</v>
      </c>
      <c r="N101" t="s">
        <v>231</v>
      </c>
      <c r="O101" t="s">
        <v>444</v>
      </c>
      <c r="P101" t="s">
        <v>97</v>
      </c>
      <c r="Q101" t="s">
        <v>247</v>
      </c>
    </row>
    <row r="102" spans="1:17" s="25" customFormat="1">
      <c r="A102" s="119">
        <v>2.0588645636574074E-2</v>
      </c>
      <c r="B102" t="s">
        <v>97</v>
      </c>
      <c r="C102"/>
      <c r="D102"/>
      <c r="E102" t="s">
        <v>87</v>
      </c>
      <c r="F102"/>
      <c r="G102" t="s">
        <v>98</v>
      </c>
      <c r="H102"/>
      <c r="I102" s="166">
        <v>46278.644467592596</v>
      </c>
      <c r="J102" t="s">
        <v>445</v>
      </c>
      <c r="K102" t="s">
        <v>443</v>
      </c>
      <c r="L102" s="165">
        <v>46277</v>
      </c>
      <c r="M102" t="s">
        <v>442</v>
      </c>
      <c r="N102" t="s">
        <v>231</v>
      </c>
      <c r="O102" t="s">
        <v>444</v>
      </c>
      <c r="P102" t="s">
        <v>97</v>
      </c>
      <c r="Q102" t="s">
        <v>247</v>
      </c>
    </row>
    <row r="103" spans="1:17" s="25" customFormat="1">
      <c r="A103" s="119">
        <v>2.0588645636574074E-2</v>
      </c>
      <c r="B103" t="s">
        <v>97</v>
      </c>
      <c r="C103"/>
      <c r="D103"/>
      <c r="E103" t="s">
        <v>183</v>
      </c>
      <c r="F103"/>
      <c r="G103" t="s">
        <v>164</v>
      </c>
      <c r="H103"/>
      <c r="I103" s="166">
        <v>46278.644456018519</v>
      </c>
      <c r="J103" t="s">
        <v>445</v>
      </c>
      <c r="K103" t="s">
        <v>443</v>
      </c>
      <c r="L103" s="165">
        <v>46277</v>
      </c>
      <c r="M103" t="s">
        <v>442</v>
      </c>
      <c r="N103" t="s">
        <v>231</v>
      </c>
      <c r="O103" t="s">
        <v>444</v>
      </c>
      <c r="P103" t="s">
        <v>97</v>
      </c>
      <c r="Q103" t="s">
        <v>247</v>
      </c>
    </row>
    <row r="104" spans="1:17" s="25" customFormat="1">
      <c r="A104" s="119">
        <v>2.0588645636574074E-2</v>
      </c>
      <c r="B104" t="s">
        <v>97</v>
      </c>
      <c r="C104" t="s">
        <v>475</v>
      </c>
      <c r="D104"/>
      <c r="E104" t="s">
        <v>108</v>
      </c>
      <c r="F104"/>
      <c r="G104" t="s">
        <v>164</v>
      </c>
      <c r="H104"/>
      <c r="I104" s="166">
        <v>46278.64439814815</v>
      </c>
      <c r="J104" t="s">
        <v>445</v>
      </c>
      <c r="K104" t="s">
        <v>443</v>
      </c>
      <c r="L104" s="165">
        <v>46277</v>
      </c>
      <c r="M104" t="s">
        <v>442</v>
      </c>
      <c r="N104" t="s">
        <v>231</v>
      </c>
      <c r="O104" t="s">
        <v>444</v>
      </c>
      <c r="P104" t="s">
        <v>97</v>
      </c>
      <c r="Q104" t="s">
        <v>247</v>
      </c>
    </row>
    <row r="105" spans="1:17" s="25" customFormat="1">
      <c r="A105" s="119">
        <v>2.0531468206018519E-2</v>
      </c>
      <c r="B105" t="s">
        <v>97</v>
      </c>
      <c r="C105" t="s">
        <v>457</v>
      </c>
      <c r="D105"/>
      <c r="E105" t="s">
        <v>59</v>
      </c>
      <c r="F105"/>
      <c r="G105" t="s">
        <v>164</v>
      </c>
      <c r="H105"/>
      <c r="I105" s="166">
        <v>46278.643969907411</v>
      </c>
      <c r="J105" t="s">
        <v>445</v>
      </c>
      <c r="K105" t="s">
        <v>443</v>
      </c>
      <c r="L105" s="165">
        <v>46277</v>
      </c>
      <c r="M105" t="s">
        <v>442</v>
      </c>
      <c r="N105" t="s">
        <v>231</v>
      </c>
      <c r="O105" t="s">
        <v>444</v>
      </c>
      <c r="P105" t="s">
        <v>97</v>
      </c>
      <c r="Q105" t="s">
        <v>247</v>
      </c>
    </row>
    <row r="106" spans="1:17" s="25" customFormat="1">
      <c r="A106" s="119">
        <v>2.0478192337962962E-2</v>
      </c>
      <c r="B106" t="s">
        <v>97</v>
      </c>
      <c r="C106"/>
      <c r="D106"/>
      <c r="E106" t="s">
        <v>188</v>
      </c>
      <c r="F106"/>
      <c r="G106" t="s">
        <v>164</v>
      </c>
      <c r="H106"/>
      <c r="I106" s="166">
        <v>46278.643449074072</v>
      </c>
      <c r="J106" t="s">
        <v>445</v>
      </c>
      <c r="K106" t="s">
        <v>443</v>
      </c>
      <c r="L106" s="165">
        <v>46277</v>
      </c>
      <c r="M106" t="s">
        <v>442</v>
      </c>
      <c r="N106" t="s">
        <v>231</v>
      </c>
      <c r="O106" t="s">
        <v>444</v>
      </c>
      <c r="P106" t="s">
        <v>97</v>
      </c>
      <c r="Q106" t="s">
        <v>247</v>
      </c>
    </row>
    <row r="107" spans="1:17" s="25" customFormat="1">
      <c r="A107" s="119">
        <v>2.0425874733796298E-2</v>
      </c>
      <c r="B107" t="s">
        <v>97</v>
      </c>
      <c r="C107"/>
      <c r="D107"/>
      <c r="E107" t="s">
        <v>184</v>
      </c>
      <c r="F107"/>
      <c r="G107" t="s">
        <v>98</v>
      </c>
      <c r="H107"/>
      <c r="I107" s="166">
        <v>46278.64335648148</v>
      </c>
      <c r="J107" t="s">
        <v>445</v>
      </c>
      <c r="K107" t="s">
        <v>443</v>
      </c>
      <c r="L107" s="165">
        <v>46277</v>
      </c>
      <c r="M107" t="s">
        <v>442</v>
      </c>
      <c r="N107" t="s">
        <v>231</v>
      </c>
      <c r="O107" t="s">
        <v>444</v>
      </c>
      <c r="P107" t="s">
        <v>97</v>
      </c>
      <c r="Q107" t="s">
        <v>247</v>
      </c>
    </row>
    <row r="108" spans="1:17" s="25" customFormat="1">
      <c r="A108" s="119">
        <v>2.0339034444444445E-2</v>
      </c>
      <c r="B108" t="s">
        <v>97</v>
      </c>
      <c r="C108"/>
      <c r="D108"/>
      <c r="E108" t="s">
        <v>108</v>
      </c>
      <c r="F108"/>
      <c r="G108" t="s">
        <v>98</v>
      </c>
      <c r="H108"/>
      <c r="I108" s="166">
        <v>46278.643125000002</v>
      </c>
      <c r="J108" t="s">
        <v>445</v>
      </c>
      <c r="K108" t="s">
        <v>443</v>
      </c>
      <c r="L108" s="165">
        <v>46277</v>
      </c>
      <c r="M108" t="s">
        <v>442</v>
      </c>
      <c r="N108" t="s">
        <v>231</v>
      </c>
      <c r="O108" t="s">
        <v>444</v>
      </c>
      <c r="P108" t="s">
        <v>97</v>
      </c>
      <c r="Q108" t="s">
        <v>247</v>
      </c>
    </row>
    <row r="109" spans="1:17" s="25" customFormat="1">
      <c r="A109" s="119">
        <v>2.0327416712962964E-2</v>
      </c>
      <c r="B109" t="s">
        <v>97</v>
      </c>
      <c r="C109"/>
      <c r="D109"/>
      <c r="E109" t="s">
        <v>59</v>
      </c>
      <c r="F109"/>
      <c r="G109" t="s">
        <v>98</v>
      </c>
      <c r="H109"/>
      <c r="I109" s="166">
        <v>46278.643067129633</v>
      </c>
      <c r="J109" t="s">
        <v>445</v>
      </c>
      <c r="K109" t="s">
        <v>443</v>
      </c>
      <c r="L109" s="165">
        <v>46277</v>
      </c>
      <c r="M109" t="s">
        <v>442</v>
      </c>
      <c r="N109" t="s">
        <v>231</v>
      </c>
      <c r="O109" t="s">
        <v>444</v>
      </c>
      <c r="P109" t="s">
        <v>97</v>
      </c>
      <c r="Q109" t="s">
        <v>247</v>
      </c>
    </row>
    <row r="110" spans="1:17" s="25" customFormat="1">
      <c r="A110" s="119">
        <v>2.0316714664351851E-2</v>
      </c>
      <c r="B110" t="s">
        <v>97</v>
      </c>
      <c r="C110"/>
      <c r="D110"/>
      <c r="E110" t="s">
        <v>59</v>
      </c>
      <c r="F110"/>
      <c r="G110" t="s">
        <v>98</v>
      </c>
      <c r="H110"/>
      <c r="I110" s="166">
        <v>46278.642870370371</v>
      </c>
      <c r="J110" t="s">
        <v>445</v>
      </c>
      <c r="K110" t="s">
        <v>443</v>
      </c>
      <c r="L110" s="165">
        <v>46277</v>
      </c>
      <c r="M110" t="s">
        <v>442</v>
      </c>
      <c r="N110" t="s">
        <v>231</v>
      </c>
      <c r="O110" t="s">
        <v>444</v>
      </c>
      <c r="P110" t="s">
        <v>97</v>
      </c>
      <c r="Q110" t="s">
        <v>247</v>
      </c>
    </row>
    <row r="111" spans="1:17" s="25" customFormat="1">
      <c r="A111" s="119">
        <v>2.0289819456018519E-2</v>
      </c>
      <c r="B111" t="s">
        <v>97</v>
      </c>
      <c r="C111"/>
      <c r="D111"/>
      <c r="E111" t="s">
        <v>186</v>
      </c>
      <c r="F111"/>
      <c r="G111" t="s">
        <v>98</v>
      </c>
      <c r="H111"/>
      <c r="I111" s="166">
        <v>46278.642627314817</v>
      </c>
      <c r="J111" t="s">
        <v>445</v>
      </c>
      <c r="K111" t="s">
        <v>443</v>
      </c>
      <c r="L111" s="165">
        <v>46277</v>
      </c>
      <c r="M111" t="s">
        <v>442</v>
      </c>
      <c r="N111" t="s">
        <v>231</v>
      </c>
      <c r="O111" t="s">
        <v>444</v>
      </c>
      <c r="P111" t="s">
        <v>97</v>
      </c>
      <c r="Q111" t="s">
        <v>247</v>
      </c>
    </row>
    <row r="112" spans="1:17" s="25" customFormat="1">
      <c r="A112" s="119">
        <v>2.025366929398148E-2</v>
      </c>
      <c r="B112" t="s">
        <v>97</v>
      </c>
      <c r="C112"/>
      <c r="D112"/>
      <c r="E112" t="s">
        <v>100</v>
      </c>
      <c r="F112"/>
      <c r="G112" t="s">
        <v>164</v>
      </c>
      <c r="H112"/>
      <c r="I112" s="166">
        <v>46278.642407407409</v>
      </c>
      <c r="J112" t="s">
        <v>445</v>
      </c>
      <c r="K112" t="s">
        <v>443</v>
      </c>
      <c r="L112" s="165">
        <v>46277</v>
      </c>
      <c r="M112" t="s">
        <v>442</v>
      </c>
      <c r="N112" t="s">
        <v>231</v>
      </c>
      <c r="O112" t="s">
        <v>444</v>
      </c>
      <c r="P112" t="s">
        <v>97</v>
      </c>
      <c r="Q112" t="s">
        <v>247</v>
      </c>
    </row>
    <row r="113" spans="1:17" s="25" customFormat="1">
      <c r="A113" s="119">
        <v>1.9947710092592594E-2</v>
      </c>
      <c r="B113" t="s">
        <v>97</v>
      </c>
      <c r="C113" t="s">
        <v>472</v>
      </c>
      <c r="D113"/>
      <c r="E113" t="s">
        <v>115</v>
      </c>
      <c r="F113"/>
      <c r="G113" t="s">
        <v>98</v>
      </c>
      <c r="H113"/>
      <c r="I113" s="166">
        <v>46278.642083333332</v>
      </c>
      <c r="J113" t="s">
        <v>445</v>
      </c>
      <c r="K113" t="s">
        <v>443</v>
      </c>
      <c r="L113" s="165">
        <v>46277</v>
      </c>
      <c r="M113" t="s">
        <v>442</v>
      </c>
      <c r="N113" t="s">
        <v>231</v>
      </c>
      <c r="O113" t="s">
        <v>444</v>
      </c>
      <c r="P113" t="s">
        <v>97</v>
      </c>
      <c r="Q113" t="s">
        <v>247</v>
      </c>
    </row>
    <row r="114" spans="1:17" s="25" customFormat="1">
      <c r="A114" s="119">
        <v>1.9085870104166666E-2</v>
      </c>
      <c r="B114" t="s">
        <v>97</v>
      </c>
      <c r="C114"/>
      <c r="D114"/>
      <c r="E114" t="s">
        <v>87</v>
      </c>
      <c r="F114"/>
      <c r="G114" t="s">
        <v>98</v>
      </c>
      <c r="H114"/>
      <c r="I114" s="166">
        <v>46278.641770833332</v>
      </c>
      <c r="J114" t="s">
        <v>445</v>
      </c>
      <c r="K114" t="s">
        <v>443</v>
      </c>
      <c r="L114" s="165">
        <v>46277</v>
      </c>
      <c r="M114" t="s">
        <v>442</v>
      </c>
      <c r="N114" t="s">
        <v>231</v>
      </c>
      <c r="O114" t="s">
        <v>444</v>
      </c>
      <c r="P114" t="s">
        <v>97</v>
      </c>
      <c r="Q114" t="s">
        <v>247</v>
      </c>
    </row>
    <row r="115" spans="1:17" s="25" customFormat="1">
      <c r="A115" s="119">
        <v>1.9085870104166666E-2</v>
      </c>
      <c r="B115" t="s">
        <v>97</v>
      </c>
      <c r="C115" t="s">
        <v>469</v>
      </c>
      <c r="D115"/>
      <c r="E115" t="s">
        <v>103</v>
      </c>
      <c r="F115"/>
      <c r="G115" t="s">
        <v>98</v>
      </c>
      <c r="H115"/>
      <c r="I115" s="166">
        <v>46278.641770833332</v>
      </c>
      <c r="J115" t="s">
        <v>445</v>
      </c>
      <c r="K115" t="s">
        <v>443</v>
      </c>
      <c r="L115" s="165">
        <v>46277</v>
      </c>
      <c r="M115" t="s">
        <v>442</v>
      </c>
      <c r="N115" t="s">
        <v>231</v>
      </c>
      <c r="O115" t="s">
        <v>444</v>
      </c>
      <c r="P115" t="s">
        <v>97</v>
      </c>
      <c r="Q115" t="s">
        <v>247</v>
      </c>
    </row>
    <row r="116" spans="1:17" s="25" customFormat="1">
      <c r="A116" s="119">
        <v>1.899326658564815E-2</v>
      </c>
      <c r="B116" t="s">
        <v>97</v>
      </c>
      <c r="C116" t="s">
        <v>472</v>
      </c>
      <c r="D116"/>
      <c r="E116" t="s">
        <v>304</v>
      </c>
      <c r="F116"/>
      <c r="G116" t="s">
        <v>98</v>
      </c>
      <c r="H116"/>
      <c r="I116" s="166">
        <v>46278.641400462962</v>
      </c>
      <c r="J116" t="s">
        <v>445</v>
      </c>
      <c r="K116" t="s">
        <v>443</v>
      </c>
      <c r="L116" s="165">
        <v>46277</v>
      </c>
      <c r="M116" t="s">
        <v>442</v>
      </c>
      <c r="N116" t="s">
        <v>231</v>
      </c>
      <c r="O116" t="s">
        <v>444</v>
      </c>
      <c r="P116" t="s">
        <v>97</v>
      </c>
      <c r="Q116" t="s">
        <v>247</v>
      </c>
    </row>
    <row r="117" spans="1:17" s="25" customFormat="1">
      <c r="A117" s="119">
        <v>1.899326658564815E-2</v>
      </c>
      <c r="B117" t="s">
        <v>97</v>
      </c>
      <c r="C117"/>
      <c r="D117"/>
      <c r="E117" t="s">
        <v>59</v>
      </c>
      <c r="F117"/>
      <c r="G117" t="s">
        <v>98</v>
      </c>
      <c r="H117"/>
      <c r="I117" s="166">
        <v>46278.641319444447</v>
      </c>
      <c r="J117" t="s">
        <v>445</v>
      </c>
      <c r="K117" t="s">
        <v>443</v>
      </c>
      <c r="L117" s="165">
        <v>46277</v>
      </c>
      <c r="M117" t="s">
        <v>442</v>
      </c>
      <c r="N117" t="s">
        <v>231</v>
      </c>
      <c r="O117" t="s">
        <v>444</v>
      </c>
      <c r="P117" t="s">
        <v>97</v>
      </c>
      <c r="Q117" t="s">
        <v>247</v>
      </c>
    </row>
    <row r="118" spans="1:17" s="25" customFormat="1">
      <c r="A118" s="119">
        <v>1.8952862523148147E-2</v>
      </c>
      <c r="B118" t="s">
        <v>97</v>
      </c>
      <c r="C118"/>
      <c r="D118"/>
      <c r="E118" t="s">
        <v>108</v>
      </c>
      <c r="F118"/>
      <c r="G118" t="s">
        <v>98</v>
      </c>
      <c r="H118"/>
      <c r="I118" s="166">
        <v>46278.641226851854</v>
      </c>
      <c r="J118" t="s">
        <v>445</v>
      </c>
      <c r="K118" t="s">
        <v>443</v>
      </c>
      <c r="L118" s="165">
        <v>46277</v>
      </c>
      <c r="M118" t="s">
        <v>442</v>
      </c>
      <c r="N118" t="s">
        <v>231</v>
      </c>
      <c r="O118" t="s">
        <v>444</v>
      </c>
      <c r="P118" t="s">
        <v>97</v>
      </c>
      <c r="Q118" t="s">
        <v>247</v>
      </c>
    </row>
    <row r="119" spans="1:17" s="25" customFormat="1">
      <c r="A119" s="119">
        <v>1.8952862523148147E-2</v>
      </c>
      <c r="B119" t="s">
        <v>97</v>
      </c>
      <c r="C119"/>
      <c r="D119"/>
      <c r="E119" t="s">
        <v>59</v>
      </c>
      <c r="F119"/>
      <c r="G119" t="s">
        <v>98</v>
      </c>
      <c r="H119"/>
      <c r="I119" s="166">
        <v>46278.641215277778</v>
      </c>
      <c r="J119" t="s">
        <v>445</v>
      </c>
      <c r="K119" t="s">
        <v>443</v>
      </c>
      <c r="L119" s="165">
        <v>46277</v>
      </c>
      <c r="M119" t="s">
        <v>442</v>
      </c>
      <c r="N119" t="s">
        <v>231</v>
      </c>
      <c r="O119" t="s">
        <v>444</v>
      </c>
      <c r="P119" t="s">
        <v>97</v>
      </c>
      <c r="Q119" t="s">
        <v>247</v>
      </c>
    </row>
    <row r="120" spans="1:17" s="25" customFormat="1">
      <c r="A120" s="119">
        <v>1.8889261203703704E-2</v>
      </c>
      <c r="B120" t="s">
        <v>97</v>
      </c>
      <c r="C120"/>
      <c r="D120"/>
      <c r="E120" t="s">
        <v>108</v>
      </c>
      <c r="F120"/>
      <c r="G120" t="s">
        <v>98</v>
      </c>
      <c r="H120"/>
      <c r="I120" s="166">
        <v>46278.641111111108</v>
      </c>
      <c r="J120" t="s">
        <v>445</v>
      </c>
      <c r="K120" t="s">
        <v>443</v>
      </c>
      <c r="L120" s="165">
        <v>46277</v>
      </c>
      <c r="M120" t="s">
        <v>442</v>
      </c>
      <c r="N120" t="s">
        <v>231</v>
      </c>
      <c r="O120" t="s">
        <v>444</v>
      </c>
      <c r="P120" t="s">
        <v>97</v>
      </c>
      <c r="Q120" t="s">
        <v>247</v>
      </c>
    </row>
    <row r="121" spans="1:17" s="25" customFormat="1">
      <c r="A121" s="119">
        <v>1.8820069895833333E-2</v>
      </c>
      <c r="B121" t="s">
        <v>97</v>
      </c>
      <c r="C121"/>
      <c r="D121"/>
      <c r="E121" t="s">
        <v>108</v>
      </c>
      <c r="F121"/>
      <c r="G121" t="s">
        <v>98</v>
      </c>
      <c r="H121"/>
      <c r="I121" s="166">
        <v>46278.641006944446</v>
      </c>
      <c r="J121" t="s">
        <v>445</v>
      </c>
      <c r="K121" t="s">
        <v>443</v>
      </c>
      <c r="L121" s="165">
        <v>46277</v>
      </c>
      <c r="M121" t="s">
        <v>442</v>
      </c>
      <c r="N121" t="s">
        <v>231</v>
      </c>
      <c r="O121" t="s">
        <v>444</v>
      </c>
      <c r="P121" t="s">
        <v>97</v>
      </c>
      <c r="Q121" t="s">
        <v>247</v>
      </c>
    </row>
    <row r="122" spans="1:17" s="25" customFormat="1">
      <c r="A122" s="119">
        <v>1.8688371527777779E-2</v>
      </c>
      <c r="B122" t="s">
        <v>97</v>
      </c>
      <c r="C122" t="s">
        <v>452</v>
      </c>
      <c r="D122"/>
      <c r="E122" t="s">
        <v>111</v>
      </c>
      <c r="F122"/>
      <c r="G122" t="s">
        <v>98</v>
      </c>
      <c r="H122"/>
      <c r="I122" s="166">
        <v>46278.640983796293</v>
      </c>
      <c r="J122" t="s">
        <v>445</v>
      </c>
      <c r="K122" t="s">
        <v>443</v>
      </c>
      <c r="L122" s="165">
        <v>46277</v>
      </c>
      <c r="M122" t="s">
        <v>442</v>
      </c>
      <c r="N122" t="s">
        <v>231</v>
      </c>
      <c r="O122" t="s">
        <v>444</v>
      </c>
      <c r="P122" t="s">
        <v>97</v>
      </c>
      <c r="Q122" t="s">
        <v>247</v>
      </c>
    </row>
    <row r="123" spans="1:17" s="25" customFormat="1">
      <c r="A123" s="119">
        <v>1.8479279212962961E-2</v>
      </c>
      <c r="B123" t="s">
        <v>97</v>
      </c>
      <c r="C123"/>
      <c r="D123"/>
      <c r="E123" t="s">
        <v>104</v>
      </c>
      <c r="F123"/>
      <c r="G123" t="s">
        <v>98</v>
      </c>
      <c r="H123"/>
      <c r="I123" s="166">
        <v>46278.640520833331</v>
      </c>
      <c r="J123" t="s">
        <v>445</v>
      </c>
      <c r="K123" t="s">
        <v>443</v>
      </c>
      <c r="L123" s="165">
        <v>46277</v>
      </c>
      <c r="M123" t="s">
        <v>442</v>
      </c>
      <c r="N123" t="s">
        <v>231</v>
      </c>
      <c r="O123" t="s">
        <v>444</v>
      </c>
      <c r="P123" t="s">
        <v>97</v>
      </c>
      <c r="Q123" t="s">
        <v>247</v>
      </c>
    </row>
    <row r="124" spans="1:17" s="25" customFormat="1">
      <c r="A124" s="119">
        <v>1.8192985810185185E-2</v>
      </c>
      <c r="B124" t="s">
        <v>97</v>
      </c>
      <c r="C124"/>
      <c r="D124"/>
      <c r="E124" t="s">
        <v>87</v>
      </c>
      <c r="F124"/>
      <c r="G124" t="s">
        <v>98</v>
      </c>
      <c r="H124"/>
      <c r="I124" s="166">
        <v>46278.64025462963</v>
      </c>
      <c r="J124" t="s">
        <v>445</v>
      </c>
      <c r="K124" t="s">
        <v>443</v>
      </c>
      <c r="L124" s="165">
        <v>46277</v>
      </c>
      <c r="M124" t="s">
        <v>442</v>
      </c>
      <c r="N124" t="s">
        <v>231</v>
      </c>
      <c r="O124" t="s">
        <v>444</v>
      </c>
      <c r="P124" t="s">
        <v>97</v>
      </c>
      <c r="Q124" t="s">
        <v>247</v>
      </c>
    </row>
    <row r="125" spans="1:17" s="25" customFormat="1">
      <c r="A125" s="119">
        <v>1.8123377986111112E-2</v>
      </c>
      <c r="B125" t="s">
        <v>97</v>
      </c>
      <c r="C125" t="s">
        <v>469</v>
      </c>
      <c r="D125"/>
      <c r="E125" t="s">
        <v>108</v>
      </c>
      <c r="F125"/>
      <c r="G125" t="s">
        <v>164</v>
      </c>
      <c r="H125"/>
      <c r="I125" s="166">
        <v>46278.639525462961</v>
      </c>
      <c r="J125" t="s">
        <v>445</v>
      </c>
      <c r="K125" t="s">
        <v>443</v>
      </c>
      <c r="L125" s="165">
        <v>46277</v>
      </c>
      <c r="M125" t="s">
        <v>442</v>
      </c>
      <c r="N125" t="s">
        <v>231</v>
      </c>
      <c r="O125" t="s">
        <v>444</v>
      </c>
      <c r="P125" t="s">
        <v>97</v>
      </c>
      <c r="Q125" t="s">
        <v>247</v>
      </c>
    </row>
    <row r="126" spans="1:17" s="25" customFormat="1">
      <c r="A126" s="119">
        <v>1.8027526342592592E-2</v>
      </c>
      <c r="B126" t="s">
        <v>97</v>
      </c>
      <c r="C126"/>
      <c r="D126"/>
      <c r="E126" t="s">
        <v>113</v>
      </c>
      <c r="F126"/>
      <c r="G126" t="s">
        <v>164</v>
      </c>
      <c r="H126"/>
      <c r="I126" s="166">
        <v>46278.639513888891</v>
      </c>
      <c r="J126" t="s">
        <v>445</v>
      </c>
      <c r="K126" t="s">
        <v>443</v>
      </c>
      <c r="L126" s="165">
        <v>46277</v>
      </c>
      <c r="M126" t="s">
        <v>442</v>
      </c>
      <c r="N126" t="s">
        <v>231</v>
      </c>
      <c r="O126" t="s">
        <v>444</v>
      </c>
      <c r="P126" t="s">
        <v>97</v>
      </c>
      <c r="Q126" t="s">
        <v>247</v>
      </c>
    </row>
    <row r="127" spans="1:17" s="25" customFormat="1">
      <c r="A127" s="119">
        <v>1.7984386388888888E-2</v>
      </c>
      <c r="B127" t="s">
        <v>97</v>
      </c>
      <c r="C127"/>
      <c r="D127"/>
      <c r="E127" t="s">
        <v>104</v>
      </c>
      <c r="F127"/>
      <c r="G127" t="s">
        <v>164</v>
      </c>
      <c r="H127"/>
      <c r="I127" s="166">
        <v>46278.638506944444</v>
      </c>
      <c r="J127" t="s">
        <v>445</v>
      </c>
      <c r="K127" t="s">
        <v>443</v>
      </c>
      <c r="L127" s="165">
        <v>46277</v>
      </c>
      <c r="M127" t="s">
        <v>442</v>
      </c>
      <c r="N127" t="s">
        <v>231</v>
      </c>
      <c r="O127" t="s">
        <v>444</v>
      </c>
      <c r="P127" t="s">
        <v>97</v>
      </c>
      <c r="Q127" t="s">
        <v>247</v>
      </c>
    </row>
    <row r="128" spans="1:17" s="25" customFormat="1">
      <c r="A128" s="119">
        <v>1.4779492303240742E-2</v>
      </c>
      <c r="B128" t="s">
        <v>97</v>
      </c>
      <c r="C128"/>
      <c r="D128"/>
      <c r="E128" t="s">
        <v>87</v>
      </c>
      <c r="F128"/>
      <c r="G128" t="s">
        <v>164</v>
      </c>
      <c r="H128"/>
      <c r="I128" s="166">
        <v>46278.629942129628</v>
      </c>
      <c r="J128" t="s">
        <v>445</v>
      </c>
      <c r="K128" t="s">
        <v>443</v>
      </c>
      <c r="L128" s="165">
        <v>46277</v>
      </c>
      <c r="M128" t="s">
        <v>442</v>
      </c>
      <c r="N128" t="s">
        <v>231</v>
      </c>
      <c r="O128" t="s">
        <v>444</v>
      </c>
      <c r="P128" t="s">
        <v>97</v>
      </c>
      <c r="Q128" t="s">
        <v>247</v>
      </c>
    </row>
    <row r="129" spans="1:17" s="25" customFormat="1">
      <c r="A129" s="119">
        <v>1.4779492303240742E-2</v>
      </c>
      <c r="B129" t="s">
        <v>97</v>
      </c>
      <c r="C129" t="s">
        <v>82</v>
      </c>
      <c r="D129" t="s">
        <v>82</v>
      </c>
      <c r="E129" t="s">
        <v>214</v>
      </c>
      <c r="F129" t="s">
        <v>207</v>
      </c>
      <c r="G129" t="s">
        <v>164</v>
      </c>
      <c r="H129"/>
      <c r="I129" s="166">
        <v>46278.629942129628</v>
      </c>
      <c r="J129" t="s">
        <v>445</v>
      </c>
      <c r="K129" t="s">
        <v>443</v>
      </c>
      <c r="L129" s="165">
        <v>46277</v>
      </c>
      <c r="M129" t="s">
        <v>442</v>
      </c>
      <c r="N129" t="s">
        <v>231</v>
      </c>
      <c r="O129" t="s">
        <v>444</v>
      </c>
      <c r="P129" t="s">
        <v>97</v>
      </c>
      <c r="Q129" t="s">
        <v>247</v>
      </c>
    </row>
    <row r="130" spans="1:17" s="25" customFormat="1">
      <c r="A130" s="119">
        <v>1.4618637222222222E-2</v>
      </c>
      <c r="B130" t="s">
        <v>97</v>
      </c>
      <c r="C130"/>
      <c r="D130"/>
      <c r="E130" t="s">
        <v>183</v>
      </c>
      <c r="F130"/>
      <c r="G130" t="s">
        <v>164</v>
      </c>
      <c r="H130"/>
      <c r="I130" s="166">
        <v>46278.628449074073</v>
      </c>
      <c r="J130" t="s">
        <v>445</v>
      </c>
      <c r="K130" t="s">
        <v>443</v>
      </c>
      <c r="L130" s="165">
        <v>46277</v>
      </c>
      <c r="M130" t="s">
        <v>442</v>
      </c>
      <c r="N130" t="s">
        <v>231</v>
      </c>
      <c r="O130" t="s">
        <v>444</v>
      </c>
      <c r="P130" t="s">
        <v>97</v>
      </c>
      <c r="Q130" t="s">
        <v>247</v>
      </c>
    </row>
    <row r="131" spans="1:17" s="25" customFormat="1">
      <c r="A131" s="119">
        <v>1.4618637222222222E-2</v>
      </c>
      <c r="B131" t="s">
        <v>97</v>
      </c>
      <c r="C131" t="s">
        <v>454</v>
      </c>
      <c r="D131"/>
      <c r="E131" t="s">
        <v>108</v>
      </c>
      <c r="F131"/>
      <c r="G131" t="s">
        <v>164</v>
      </c>
      <c r="H131"/>
      <c r="I131" s="166">
        <v>46278.628321759257</v>
      </c>
      <c r="J131" t="s">
        <v>445</v>
      </c>
      <c r="K131" t="s">
        <v>443</v>
      </c>
      <c r="L131" s="165">
        <v>46277</v>
      </c>
      <c r="M131" t="s">
        <v>442</v>
      </c>
      <c r="N131" t="s">
        <v>231</v>
      </c>
      <c r="O131" t="s">
        <v>444</v>
      </c>
      <c r="P131" t="s">
        <v>97</v>
      </c>
      <c r="Q131" t="s">
        <v>247</v>
      </c>
    </row>
    <row r="132" spans="1:17" s="25" customFormat="1">
      <c r="A132" s="119">
        <v>1.446879795138889E-2</v>
      </c>
      <c r="B132" t="s">
        <v>97</v>
      </c>
      <c r="C132" t="s">
        <v>456</v>
      </c>
      <c r="D132"/>
      <c r="E132" t="s">
        <v>108</v>
      </c>
      <c r="F132"/>
      <c r="G132" t="s">
        <v>164</v>
      </c>
      <c r="H132"/>
      <c r="I132" s="166">
        <v>46278.627881944441</v>
      </c>
      <c r="J132" t="s">
        <v>445</v>
      </c>
      <c r="K132" t="s">
        <v>443</v>
      </c>
      <c r="L132" s="165">
        <v>46277</v>
      </c>
      <c r="M132" t="s">
        <v>442</v>
      </c>
      <c r="N132" t="s">
        <v>231</v>
      </c>
      <c r="O132" t="s">
        <v>444</v>
      </c>
      <c r="P132" t="s">
        <v>97</v>
      </c>
      <c r="Q132" t="s">
        <v>247</v>
      </c>
    </row>
    <row r="133" spans="1:17" s="25" customFormat="1">
      <c r="A133" s="119">
        <v>1.4447897951388889E-2</v>
      </c>
      <c r="B133" t="s">
        <v>97</v>
      </c>
      <c r="C133"/>
      <c r="D133"/>
      <c r="E133" t="s">
        <v>188</v>
      </c>
      <c r="F133"/>
      <c r="G133" t="s">
        <v>164</v>
      </c>
      <c r="H133"/>
      <c r="I133" s="166">
        <v>46278.627800925926</v>
      </c>
      <c r="J133" t="s">
        <v>445</v>
      </c>
      <c r="K133" t="s">
        <v>443</v>
      </c>
      <c r="L133" s="165">
        <v>46277</v>
      </c>
      <c r="M133" t="s">
        <v>442</v>
      </c>
      <c r="N133" t="s">
        <v>231</v>
      </c>
      <c r="O133" t="s">
        <v>444</v>
      </c>
      <c r="P133" t="s">
        <v>97</v>
      </c>
      <c r="Q133" t="s">
        <v>247</v>
      </c>
    </row>
    <row r="134" spans="1:17" s="25" customFormat="1">
      <c r="A134" s="119">
        <v>1.4389016412037037E-2</v>
      </c>
      <c r="B134" t="s">
        <v>97</v>
      </c>
      <c r="C134"/>
      <c r="D134"/>
      <c r="E134" t="s">
        <v>184</v>
      </c>
      <c r="F134"/>
      <c r="G134" t="s">
        <v>98</v>
      </c>
      <c r="H134"/>
      <c r="I134" s="166">
        <v>46278.627627314818</v>
      </c>
      <c r="J134" t="s">
        <v>445</v>
      </c>
      <c r="K134" t="s">
        <v>443</v>
      </c>
      <c r="L134" s="165">
        <v>46277</v>
      </c>
      <c r="M134" t="s">
        <v>442</v>
      </c>
      <c r="N134" t="s">
        <v>231</v>
      </c>
      <c r="O134" t="s">
        <v>444</v>
      </c>
      <c r="P134" t="s">
        <v>97</v>
      </c>
      <c r="Q134" t="s">
        <v>247</v>
      </c>
    </row>
    <row r="135" spans="1:17" s="25" customFormat="1">
      <c r="A135" s="119">
        <v>1.4355728865740741E-2</v>
      </c>
      <c r="B135" t="s">
        <v>97</v>
      </c>
      <c r="C135" t="s">
        <v>449</v>
      </c>
      <c r="D135"/>
      <c r="E135" t="s">
        <v>111</v>
      </c>
      <c r="F135"/>
      <c r="G135" t="s">
        <v>98</v>
      </c>
      <c r="H135"/>
      <c r="I135" s="166">
        <v>46278.627615740741</v>
      </c>
      <c r="J135" t="s">
        <v>445</v>
      </c>
      <c r="K135" t="s">
        <v>443</v>
      </c>
      <c r="L135" s="165">
        <v>46277</v>
      </c>
      <c r="M135" t="s">
        <v>442</v>
      </c>
      <c r="N135" t="s">
        <v>231</v>
      </c>
      <c r="O135" t="s">
        <v>444</v>
      </c>
      <c r="P135" t="s">
        <v>97</v>
      </c>
      <c r="Q135" t="s">
        <v>247</v>
      </c>
    </row>
    <row r="136" spans="1:17" s="25" customFormat="1">
      <c r="A136" s="119">
        <v>1.4281900937500001E-2</v>
      </c>
      <c r="B136" t="s">
        <v>97</v>
      </c>
      <c r="C136"/>
      <c r="D136"/>
      <c r="E136" t="s">
        <v>104</v>
      </c>
      <c r="F136"/>
      <c r="G136" t="s">
        <v>98</v>
      </c>
      <c r="H136"/>
      <c r="I136" s="166">
        <v>46278.627384259256</v>
      </c>
      <c r="J136" t="s">
        <v>445</v>
      </c>
      <c r="K136" t="s">
        <v>443</v>
      </c>
      <c r="L136" s="165">
        <v>46277</v>
      </c>
      <c r="M136" t="s">
        <v>442</v>
      </c>
      <c r="N136" t="s">
        <v>231</v>
      </c>
      <c r="O136" t="s">
        <v>444</v>
      </c>
      <c r="P136" t="s">
        <v>97</v>
      </c>
      <c r="Q136" t="s">
        <v>247</v>
      </c>
    </row>
    <row r="137" spans="1:17" s="25" customFormat="1">
      <c r="A137" s="119">
        <v>1.3825767060185186E-2</v>
      </c>
      <c r="B137" t="s">
        <v>97</v>
      </c>
      <c r="C137"/>
      <c r="D137"/>
      <c r="E137" t="s">
        <v>87</v>
      </c>
      <c r="F137"/>
      <c r="G137" t="s">
        <v>98</v>
      </c>
      <c r="H137"/>
      <c r="I137" s="166">
        <v>46278.62699074074</v>
      </c>
      <c r="J137" t="s">
        <v>445</v>
      </c>
      <c r="K137" t="s">
        <v>443</v>
      </c>
      <c r="L137" s="165">
        <v>46277</v>
      </c>
      <c r="M137" t="s">
        <v>442</v>
      </c>
      <c r="N137" t="s">
        <v>231</v>
      </c>
      <c r="O137" t="s">
        <v>444</v>
      </c>
      <c r="P137" t="s">
        <v>97</v>
      </c>
      <c r="Q137" t="s">
        <v>247</v>
      </c>
    </row>
    <row r="138" spans="1:17" s="25" customFormat="1">
      <c r="A138" s="119">
        <v>1.3825767060185186E-2</v>
      </c>
      <c r="B138" t="s">
        <v>97</v>
      </c>
      <c r="C138"/>
      <c r="D138"/>
      <c r="E138" t="s">
        <v>213</v>
      </c>
      <c r="F138" t="s">
        <v>135</v>
      </c>
      <c r="G138" t="s">
        <v>98</v>
      </c>
      <c r="H138"/>
      <c r="I138" s="166">
        <v>46278.62699074074</v>
      </c>
      <c r="J138" t="s">
        <v>445</v>
      </c>
      <c r="K138" t="s">
        <v>443</v>
      </c>
      <c r="L138" s="165">
        <v>46277</v>
      </c>
      <c r="M138" t="s">
        <v>442</v>
      </c>
      <c r="N138" t="s">
        <v>231</v>
      </c>
      <c r="O138" t="s">
        <v>444</v>
      </c>
      <c r="P138" t="s">
        <v>97</v>
      </c>
      <c r="Q138" t="s">
        <v>247</v>
      </c>
    </row>
    <row r="139" spans="1:17" s="25" customFormat="1">
      <c r="A139" s="119">
        <v>1.3761816481481483E-2</v>
      </c>
      <c r="B139" t="s">
        <v>97</v>
      </c>
      <c r="C139"/>
      <c r="D139"/>
      <c r="E139" t="s">
        <v>135</v>
      </c>
      <c r="F139"/>
      <c r="G139" t="s">
        <v>98</v>
      </c>
      <c r="H139"/>
      <c r="I139" s="166">
        <v>46278.626782407409</v>
      </c>
      <c r="J139" t="s">
        <v>445</v>
      </c>
      <c r="K139" t="s">
        <v>443</v>
      </c>
      <c r="L139" s="165">
        <v>46277</v>
      </c>
      <c r="M139" t="s">
        <v>442</v>
      </c>
      <c r="N139" t="s">
        <v>231</v>
      </c>
      <c r="O139" t="s">
        <v>444</v>
      </c>
      <c r="P139" t="s">
        <v>97</v>
      </c>
      <c r="Q139" t="s">
        <v>247</v>
      </c>
    </row>
    <row r="140" spans="1:17" s="25" customFormat="1">
      <c r="A140" s="119">
        <v>1.3721102881944445E-2</v>
      </c>
      <c r="B140" t="s">
        <v>97</v>
      </c>
      <c r="C140"/>
      <c r="D140"/>
      <c r="E140" t="s">
        <v>59</v>
      </c>
      <c r="F140"/>
      <c r="G140" t="s">
        <v>98</v>
      </c>
      <c r="H140"/>
      <c r="I140" s="166">
        <v>46278.626493055555</v>
      </c>
      <c r="J140" t="s">
        <v>445</v>
      </c>
      <c r="K140" t="s">
        <v>443</v>
      </c>
      <c r="L140" s="165">
        <v>46277</v>
      </c>
      <c r="M140" t="s">
        <v>442</v>
      </c>
      <c r="N140" t="s">
        <v>231</v>
      </c>
      <c r="O140" t="s">
        <v>444</v>
      </c>
      <c r="P140" t="s">
        <v>97</v>
      </c>
      <c r="Q140" t="s">
        <v>247</v>
      </c>
    </row>
    <row r="141" spans="1:17" s="25" customFormat="1">
      <c r="A141" s="119">
        <v>1.3721102881944445E-2</v>
      </c>
      <c r="B141" t="s">
        <v>97</v>
      </c>
      <c r="C141"/>
      <c r="D141"/>
      <c r="E141" t="s">
        <v>183</v>
      </c>
      <c r="F141"/>
      <c r="G141" t="s">
        <v>164</v>
      </c>
      <c r="H141"/>
      <c r="I141" s="166">
        <v>46278.626435185186</v>
      </c>
      <c r="J141" t="s">
        <v>445</v>
      </c>
      <c r="K141" t="s">
        <v>443</v>
      </c>
      <c r="L141" s="165">
        <v>46277</v>
      </c>
      <c r="M141" t="s">
        <v>442</v>
      </c>
      <c r="N141" t="s">
        <v>231</v>
      </c>
      <c r="O141" t="s">
        <v>444</v>
      </c>
      <c r="P141" t="s">
        <v>97</v>
      </c>
      <c r="Q141" t="s">
        <v>247</v>
      </c>
    </row>
    <row r="142" spans="1:17" s="25" customFormat="1">
      <c r="A142" s="119">
        <v>1.3640091979166666E-2</v>
      </c>
      <c r="B142" t="s">
        <v>97</v>
      </c>
      <c r="C142"/>
      <c r="D142"/>
      <c r="E142" t="s">
        <v>113</v>
      </c>
      <c r="F142"/>
      <c r="G142" t="s">
        <v>164</v>
      </c>
      <c r="H142"/>
      <c r="I142" s="166">
        <v>46278.626273148147</v>
      </c>
      <c r="J142" t="s">
        <v>445</v>
      </c>
      <c r="K142" t="s">
        <v>443</v>
      </c>
      <c r="L142" s="165">
        <v>46277</v>
      </c>
      <c r="M142" t="s">
        <v>442</v>
      </c>
      <c r="N142" t="s">
        <v>231</v>
      </c>
      <c r="O142" t="s">
        <v>444</v>
      </c>
      <c r="P142" t="s">
        <v>97</v>
      </c>
      <c r="Q142" t="s">
        <v>247</v>
      </c>
    </row>
    <row r="143" spans="1:17" s="25" customFormat="1">
      <c r="A143" s="119">
        <v>1.3210661226851852E-2</v>
      </c>
      <c r="B143" t="s">
        <v>97</v>
      </c>
      <c r="C143"/>
      <c r="D143"/>
      <c r="E143" t="s">
        <v>104</v>
      </c>
      <c r="F143"/>
      <c r="G143" t="s">
        <v>98</v>
      </c>
      <c r="H143"/>
      <c r="I143" s="166">
        <v>46278.625949074078</v>
      </c>
      <c r="J143" t="s">
        <v>445</v>
      </c>
      <c r="K143" t="s">
        <v>443</v>
      </c>
      <c r="L143" s="165">
        <v>46277</v>
      </c>
      <c r="M143" t="s">
        <v>442</v>
      </c>
      <c r="N143" t="s">
        <v>231</v>
      </c>
      <c r="O143" t="s">
        <v>444</v>
      </c>
      <c r="P143" t="s">
        <v>97</v>
      </c>
      <c r="Q143" t="s">
        <v>247</v>
      </c>
    </row>
    <row r="144" spans="1:17" s="25" customFormat="1">
      <c r="A144" s="119">
        <v>1.286451130787037E-2</v>
      </c>
      <c r="B144" t="s">
        <v>97</v>
      </c>
      <c r="C144"/>
      <c r="D144"/>
      <c r="E144" t="s">
        <v>87</v>
      </c>
      <c r="F144"/>
      <c r="G144" t="s">
        <v>164</v>
      </c>
      <c r="H144"/>
      <c r="I144" s="166">
        <v>46278.625578703701</v>
      </c>
      <c r="J144" t="s">
        <v>445</v>
      </c>
      <c r="K144" t="s">
        <v>443</v>
      </c>
      <c r="L144" s="165">
        <v>46277</v>
      </c>
      <c r="M144" t="s">
        <v>442</v>
      </c>
      <c r="N144" t="s">
        <v>231</v>
      </c>
      <c r="O144" t="s">
        <v>444</v>
      </c>
      <c r="P144" t="s">
        <v>97</v>
      </c>
      <c r="Q144" t="s">
        <v>247</v>
      </c>
    </row>
    <row r="145" spans="1:17" s="25" customFormat="1">
      <c r="A145" s="119">
        <v>1.286451130787037E-2</v>
      </c>
      <c r="B145" t="s">
        <v>97</v>
      </c>
      <c r="C145" t="s">
        <v>82</v>
      </c>
      <c r="D145" t="s">
        <v>82</v>
      </c>
      <c r="E145" t="s">
        <v>214</v>
      </c>
      <c r="F145" t="s">
        <v>82</v>
      </c>
      <c r="G145" t="s">
        <v>164</v>
      </c>
      <c r="H145"/>
      <c r="I145" s="166">
        <v>46278.625578703701</v>
      </c>
      <c r="J145" t="s">
        <v>445</v>
      </c>
      <c r="K145" t="s">
        <v>443</v>
      </c>
      <c r="L145" s="165">
        <v>46277</v>
      </c>
      <c r="M145" t="s">
        <v>442</v>
      </c>
      <c r="N145" t="s">
        <v>231</v>
      </c>
      <c r="O145" t="s">
        <v>444</v>
      </c>
      <c r="P145" t="s">
        <v>97</v>
      </c>
      <c r="Q145" t="s">
        <v>247</v>
      </c>
    </row>
    <row r="146" spans="1:17" s="25" customFormat="1">
      <c r="A146" s="119">
        <v>1.2789020439814815E-2</v>
      </c>
      <c r="B146" t="s">
        <v>97</v>
      </c>
      <c r="C146" t="s">
        <v>447</v>
      </c>
      <c r="D146"/>
      <c r="E146" t="s">
        <v>108</v>
      </c>
      <c r="F146"/>
      <c r="G146" t="s">
        <v>164</v>
      </c>
      <c r="H146"/>
      <c r="I146" s="166">
        <v>46278.624780092592</v>
      </c>
      <c r="J146" t="s">
        <v>445</v>
      </c>
      <c r="K146" t="s">
        <v>443</v>
      </c>
      <c r="L146" s="165">
        <v>46277</v>
      </c>
      <c r="M146" t="s">
        <v>442</v>
      </c>
      <c r="N146" t="s">
        <v>231</v>
      </c>
      <c r="O146" t="s">
        <v>444</v>
      </c>
      <c r="P146" t="s">
        <v>97</v>
      </c>
      <c r="Q146" t="s">
        <v>247</v>
      </c>
    </row>
    <row r="147" spans="1:17" s="25" customFormat="1">
      <c r="A147" s="119">
        <v>1.2702217708333335E-2</v>
      </c>
      <c r="B147" t="s">
        <v>97</v>
      </c>
      <c r="C147" t="s">
        <v>451</v>
      </c>
      <c r="D147"/>
      <c r="E147" t="s">
        <v>59</v>
      </c>
      <c r="F147"/>
      <c r="G147" t="s">
        <v>164</v>
      </c>
      <c r="H147"/>
      <c r="I147" s="166">
        <v>46278.624618055554</v>
      </c>
      <c r="J147" t="s">
        <v>445</v>
      </c>
      <c r="K147" t="s">
        <v>443</v>
      </c>
      <c r="L147" s="165">
        <v>46277</v>
      </c>
      <c r="M147" t="s">
        <v>442</v>
      </c>
      <c r="N147" t="s">
        <v>231</v>
      </c>
      <c r="O147" t="s">
        <v>444</v>
      </c>
      <c r="P147" t="s">
        <v>97</v>
      </c>
      <c r="Q147" t="s">
        <v>247</v>
      </c>
    </row>
    <row r="148" spans="1:17" s="25" customFormat="1">
      <c r="A148" s="119">
        <v>1.2697212881944446E-2</v>
      </c>
      <c r="B148" t="s">
        <v>97</v>
      </c>
      <c r="C148" t="s">
        <v>447</v>
      </c>
      <c r="D148"/>
      <c r="E148" t="s">
        <v>59</v>
      </c>
      <c r="F148"/>
      <c r="G148" t="s">
        <v>164</v>
      </c>
      <c r="H148"/>
      <c r="I148" s="166">
        <v>46278.624374999999</v>
      </c>
      <c r="J148" t="s">
        <v>445</v>
      </c>
      <c r="K148" t="s">
        <v>443</v>
      </c>
      <c r="L148" s="165">
        <v>46277</v>
      </c>
      <c r="M148" t="s">
        <v>442</v>
      </c>
      <c r="N148" t="s">
        <v>231</v>
      </c>
      <c r="O148" t="s">
        <v>444</v>
      </c>
      <c r="P148" t="s">
        <v>97</v>
      </c>
      <c r="Q148" t="s">
        <v>247</v>
      </c>
    </row>
    <row r="149" spans="1:17" s="25" customFormat="1">
      <c r="A149" s="119">
        <v>1.2541775E-2</v>
      </c>
      <c r="B149" t="s">
        <v>97</v>
      </c>
      <c r="C149" t="s">
        <v>457</v>
      </c>
      <c r="D149"/>
      <c r="E149" t="s">
        <v>108</v>
      </c>
      <c r="F149"/>
      <c r="G149" t="s">
        <v>164</v>
      </c>
      <c r="H149"/>
      <c r="I149" s="166">
        <v>46278.623784722222</v>
      </c>
      <c r="J149" t="s">
        <v>445</v>
      </c>
      <c r="K149" t="s">
        <v>443</v>
      </c>
      <c r="L149" s="165">
        <v>46277</v>
      </c>
      <c r="M149" t="s">
        <v>442</v>
      </c>
      <c r="N149" t="s">
        <v>231</v>
      </c>
      <c r="O149" t="s">
        <v>444</v>
      </c>
      <c r="P149" t="s">
        <v>97</v>
      </c>
      <c r="Q149" t="s">
        <v>247</v>
      </c>
    </row>
    <row r="150" spans="1:17" s="25" customFormat="1">
      <c r="A150" s="119">
        <v>1.2391336921296296E-2</v>
      </c>
      <c r="B150" t="s">
        <v>97</v>
      </c>
      <c r="C150" t="s">
        <v>451</v>
      </c>
      <c r="D150"/>
      <c r="E150" t="s">
        <v>108</v>
      </c>
      <c r="F150"/>
      <c r="G150" t="s">
        <v>164</v>
      </c>
      <c r="H150"/>
      <c r="I150" s="166">
        <v>46278.623425925929</v>
      </c>
      <c r="J150" t="s">
        <v>445</v>
      </c>
      <c r="K150" t="s">
        <v>443</v>
      </c>
      <c r="L150" s="165">
        <v>46277</v>
      </c>
      <c r="M150" t="s">
        <v>442</v>
      </c>
      <c r="N150" t="s">
        <v>231</v>
      </c>
      <c r="O150" t="s">
        <v>444</v>
      </c>
      <c r="P150" t="s">
        <v>97</v>
      </c>
      <c r="Q150" t="s">
        <v>247</v>
      </c>
    </row>
    <row r="151" spans="1:17" s="25" customFormat="1">
      <c r="A151" s="119">
        <v>1.2312343148148148E-2</v>
      </c>
      <c r="B151" t="s">
        <v>97</v>
      </c>
      <c r="C151" t="s">
        <v>449</v>
      </c>
      <c r="D151"/>
      <c r="E151" t="s">
        <v>58</v>
      </c>
      <c r="F151"/>
      <c r="G151" t="s">
        <v>164</v>
      </c>
      <c r="H151"/>
      <c r="I151" s="166">
        <v>46278.622025462966</v>
      </c>
      <c r="J151" t="s">
        <v>445</v>
      </c>
      <c r="K151" t="s">
        <v>443</v>
      </c>
      <c r="L151" s="165">
        <v>46277</v>
      </c>
      <c r="M151" t="s">
        <v>442</v>
      </c>
      <c r="N151" t="s">
        <v>231</v>
      </c>
      <c r="O151" t="s">
        <v>444</v>
      </c>
      <c r="P151" t="s">
        <v>97</v>
      </c>
      <c r="Q151" t="s">
        <v>247</v>
      </c>
    </row>
    <row r="152" spans="1:17" s="25" customFormat="1">
      <c r="A152" s="119">
        <v>1.2237452337962964E-2</v>
      </c>
      <c r="B152" t="s">
        <v>97</v>
      </c>
      <c r="C152" t="s">
        <v>455</v>
      </c>
      <c r="D152"/>
      <c r="E152" t="s">
        <v>108</v>
      </c>
      <c r="F152"/>
      <c r="G152" t="s">
        <v>164</v>
      </c>
      <c r="H152"/>
      <c r="I152" s="166">
        <v>46278.621712962966</v>
      </c>
      <c r="J152" t="s">
        <v>445</v>
      </c>
      <c r="K152" t="s">
        <v>443</v>
      </c>
      <c r="L152" s="165">
        <v>46277</v>
      </c>
      <c r="M152" t="s">
        <v>442</v>
      </c>
      <c r="N152" t="s">
        <v>231</v>
      </c>
      <c r="O152" t="s">
        <v>444</v>
      </c>
      <c r="P152" t="s">
        <v>97</v>
      </c>
      <c r="Q152" t="s">
        <v>247</v>
      </c>
    </row>
    <row r="153" spans="1:17" s="25" customFormat="1">
      <c r="A153" s="119">
        <v>1.2115841967592592E-2</v>
      </c>
      <c r="B153" t="s">
        <v>97</v>
      </c>
      <c r="C153" t="s">
        <v>450</v>
      </c>
      <c r="D153"/>
      <c r="E153" t="s">
        <v>108</v>
      </c>
      <c r="F153"/>
      <c r="G153" t="s">
        <v>164</v>
      </c>
      <c r="H153"/>
      <c r="I153" s="166">
        <v>46278.621527777781</v>
      </c>
      <c r="J153" t="s">
        <v>445</v>
      </c>
      <c r="K153" t="s">
        <v>443</v>
      </c>
      <c r="L153" s="165">
        <v>46277</v>
      </c>
      <c r="M153" t="s">
        <v>442</v>
      </c>
      <c r="N153" t="s">
        <v>231</v>
      </c>
      <c r="O153" t="s">
        <v>444</v>
      </c>
      <c r="P153" t="s">
        <v>97</v>
      </c>
      <c r="Q153" t="s">
        <v>247</v>
      </c>
    </row>
    <row r="154" spans="1:17" s="25" customFormat="1">
      <c r="A154" s="119">
        <v>1.1974361956018519E-2</v>
      </c>
      <c r="B154" t="s">
        <v>97</v>
      </c>
      <c r="C154" t="s">
        <v>449</v>
      </c>
      <c r="D154"/>
      <c r="E154" t="s">
        <v>108</v>
      </c>
      <c r="F154"/>
      <c r="G154" t="s">
        <v>164</v>
      </c>
      <c r="H154"/>
      <c r="I154" s="166">
        <v>46278.621111111112</v>
      </c>
      <c r="J154" t="s">
        <v>445</v>
      </c>
      <c r="K154" t="s">
        <v>443</v>
      </c>
      <c r="L154" s="165">
        <v>46277</v>
      </c>
      <c r="M154" t="s">
        <v>442</v>
      </c>
      <c r="N154" t="s">
        <v>231</v>
      </c>
      <c r="O154" t="s">
        <v>444</v>
      </c>
      <c r="P154" t="s">
        <v>97</v>
      </c>
      <c r="Q154" t="s">
        <v>247</v>
      </c>
    </row>
    <row r="155" spans="1:17" s="25" customFormat="1">
      <c r="A155" s="119">
        <v>1.1970809895833334E-2</v>
      </c>
      <c r="B155" t="s">
        <v>97</v>
      </c>
      <c r="C155"/>
      <c r="D155"/>
      <c r="E155" t="s">
        <v>188</v>
      </c>
      <c r="F155"/>
      <c r="G155" t="s">
        <v>164</v>
      </c>
      <c r="H155"/>
      <c r="I155" s="166">
        <v>46278.620833333334</v>
      </c>
      <c r="J155" t="s">
        <v>445</v>
      </c>
      <c r="K155" t="s">
        <v>443</v>
      </c>
      <c r="L155" s="165">
        <v>46277</v>
      </c>
      <c r="M155" t="s">
        <v>442</v>
      </c>
      <c r="N155" t="s">
        <v>231</v>
      </c>
      <c r="O155" t="s">
        <v>444</v>
      </c>
      <c r="P155" t="s">
        <v>97</v>
      </c>
      <c r="Q155" t="s">
        <v>247</v>
      </c>
    </row>
    <row r="156" spans="1:17" s="25" customFormat="1">
      <c r="A156" s="119">
        <v>1.1946061817129629E-2</v>
      </c>
      <c r="B156" t="s">
        <v>97</v>
      </c>
      <c r="C156"/>
      <c r="D156"/>
      <c r="E156" t="s">
        <v>184</v>
      </c>
      <c r="F156"/>
      <c r="G156" t="s">
        <v>98</v>
      </c>
      <c r="H156"/>
      <c r="I156" s="166">
        <v>46278.620763888888</v>
      </c>
      <c r="J156" t="s">
        <v>445</v>
      </c>
      <c r="K156" t="s">
        <v>443</v>
      </c>
      <c r="L156" s="165">
        <v>46277</v>
      </c>
      <c r="M156" t="s">
        <v>442</v>
      </c>
      <c r="N156" t="s">
        <v>231</v>
      </c>
      <c r="O156" t="s">
        <v>444</v>
      </c>
      <c r="P156" t="s">
        <v>97</v>
      </c>
      <c r="Q156" t="s">
        <v>247</v>
      </c>
    </row>
    <row r="157" spans="1:17" s="25" customFormat="1">
      <c r="A157" s="119">
        <v>1.1917058668981481E-2</v>
      </c>
      <c r="B157" t="s">
        <v>97</v>
      </c>
      <c r="C157"/>
      <c r="D157"/>
      <c r="E157" t="s">
        <v>108</v>
      </c>
      <c r="F157"/>
      <c r="G157" t="s">
        <v>98</v>
      </c>
      <c r="H157"/>
      <c r="I157" s="166">
        <v>46278.620706018519</v>
      </c>
      <c r="J157" t="s">
        <v>445</v>
      </c>
      <c r="K157" t="s">
        <v>443</v>
      </c>
      <c r="L157" s="165">
        <v>46277</v>
      </c>
      <c r="M157" t="s">
        <v>442</v>
      </c>
      <c r="N157" t="s">
        <v>231</v>
      </c>
      <c r="O157" t="s">
        <v>444</v>
      </c>
      <c r="P157" t="s">
        <v>97</v>
      </c>
      <c r="Q157" t="s">
        <v>247</v>
      </c>
    </row>
    <row r="158" spans="1:17" s="25" customFormat="1">
      <c r="A158" s="119">
        <v>1.1876425740740741E-2</v>
      </c>
      <c r="B158" t="s">
        <v>97</v>
      </c>
      <c r="C158"/>
      <c r="D158"/>
      <c r="E158" t="s">
        <v>183</v>
      </c>
      <c r="F158"/>
      <c r="G158" t="s">
        <v>164</v>
      </c>
      <c r="H158"/>
      <c r="I158" s="166">
        <v>46278.620613425926</v>
      </c>
      <c r="J158" t="s">
        <v>445</v>
      </c>
      <c r="K158" t="s">
        <v>443</v>
      </c>
      <c r="L158" s="165">
        <v>46277</v>
      </c>
      <c r="M158" t="s">
        <v>442</v>
      </c>
      <c r="N158" t="s">
        <v>231</v>
      </c>
      <c r="O158" t="s">
        <v>444</v>
      </c>
      <c r="P158" t="s">
        <v>97</v>
      </c>
      <c r="Q158" t="s">
        <v>247</v>
      </c>
    </row>
    <row r="159" spans="1:17" s="25" customFormat="1">
      <c r="A159" s="119">
        <v>1.186651457175926E-2</v>
      </c>
      <c r="B159" t="s">
        <v>97</v>
      </c>
      <c r="C159" t="s">
        <v>454</v>
      </c>
      <c r="D159"/>
      <c r="E159" t="s">
        <v>108</v>
      </c>
      <c r="F159"/>
      <c r="G159" t="s">
        <v>164</v>
      </c>
      <c r="H159"/>
      <c r="I159" s="166">
        <v>46278.620370370372</v>
      </c>
      <c r="J159" t="s">
        <v>445</v>
      </c>
      <c r="K159" t="s">
        <v>443</v>
      </c>
      <c r="L159" s="165">
        <v>46277</v>
      </c>
      <c r="M159" t="s">
        <v>442</v>
      </c>
      <c r="N159" t="s">
        <v>231</v>
      </c>
      <c r="O159" t="s">
        <v>444</v>
      </c>
      <c r="P159" t="s">
        <v>97</v>
      </c>
      <c r="Q159" t="s">
        <v>247</v>
      </c>
    </row>
    <row r="160" spans="1:17" s="25" customFormat="1">
      <c r="A160" s="119">
        <v>1.1733411793981482E-2</v>
      </c>
      <c r="B160" t="s">
        <v>97</v>
      </c>
      <c r="C160" t="s">
        <v>448</v>
      </c>
      <c r="D160"/>
      <c r="E160" t="s">
        <v>108</v>
      </c>
      <c r="F160"/>
      <c r="G160" t="s">
        <v>164</v>
      </c>
      <c r="H160"/>
      <c r="I160" s="166">
        <v>46278.620150462964</v>
      </c>
      <c r="J160" t="s">
        <v>445</v>
      </c>
      <c r="K160" t="s">
        <v>443</v>
      </c>
      <c r="L160" s="165">
        <v>46277</v>
      </c>
      <c r="M160" t="s">
        <v>442</v>
      </c>
      <c r="N160" t="s">
        <v>231</v>
      </c>
      <c r="O160" t="s">
        <v>444</v>
      </c>
      <c r="P160" t="s">
        <v>97</v>
      </c>
      <c r="Q160" t="s">
        <v>247</v>
      </c>
    </row>
    <row r="161" spans="1:17" s="25" customFormat="1">
      <c r="A161" s="119">
        <v>1.1670832962962962E-2</v>
      </c>
      <c r="B161" t="s">
        <v>97</v>
      </c>
      <c r="C161" t="s">
        <v>446</v>
      </c>
      <c r="D161"/>
      <c r="E161" t="s">
        <v>58</v>
      </c>
      <c r="F161"/>
      <c r="G161" t="s">
        <v>164</v>
      </c>
      <c r="H161"/>
      <c r="I161" s="166">
        <v>46278.61991898148</v>
      </c>
      <c r="J161" t="s">
        <v>445</v>
      </c>
      <c r="K161" t="s">
        <v>443</v>
      </c>
      <c r="L161" s="165">
        <v>46277</v>
      </c>
      <c r="M161" t="s">
        <v>442</v>
      </c>
      <c r="N161" t="s">
        <v>231</v>
      </c>
      <c r="O161" t="s">
        <v>444</v>
      </c>
      <c r="P161" t="s">
        <v>97</v>
      </c>
      <c r="Q161" t="s">
        <v>247</v>
      </c>
    </row>
    <row r="162" spans="1:17" s="25" customFormat="1">
      <c r="A162" s="119">
        <v>1.1568041087962963E-2</v>
      </c>
      <c r="B162" t="s">
        <v>97</v>
      </c>
      <c r="C162" t="s">
        <v>453</v>
      </c>
      <c r="D162"/>
      <c r="E162" t="s">
        <v>108</v>
      </c>
      <c r="F162"/>
      <c r="G162" t="s">
        <v>164</v>
      </c>
      <c r="H162"/>
      <c r="I162" s="166">
        <v>46278.619074074071</v>
      </c>
      <c r="J162" t="s">
        <v>445</v>
      </c>
      <c r="K162" t="s">
        <v>443</v>
      </c>
      <c r="L162" s="165">
        <v>46277</v>
      </c>
      <c r="M162" t="s">
        <v>442</v>
      </c>
      <c r="N162" t="s">
        <v>231</v>
      </c>
      <c r="O162" t="s">
        <v>444</v>
      </c>
      <c r="P162" t="s">
        <v>97</v>
      </c>
      <c r="Q162" t="s">
        <v>247</v>
      </c>
    </row>
    <row r="163" spans="1:17" s="25" customFormat="1">
      <c r="A163" s="119">
        <v>1.1527325787037038E-2</v>
      </c>
      <c r="B163" t="s">
        <v>97</v>
      </c>
      <c r="C163" t="s">
        <v>457</v>
      </c>
      <c r="D163"/>
      <c r="E163" t="s">
        <v>108</v>
      </c>
      <c r="F163"/>
      <c r="G163" t="s">
        <v>164</v>
      </c>
      <c r="H163"/>
      <c r="I163" s="166">
        <v>46278.618935185186</v>
      </c>
      <c r="J163" t="s">
        <v>445</v>
      </c>
      <c r="K163" t="s">
        <v>443</v>
      </c>
      <c r="L163" s="165">
        <v>46277</v>
      </c>
      <c r="M163" t="s">
        <v>442</v>
      </c>
      <c r="N163" t="s">
        <v>231</v>
      </c>
      <c r="O163" t="s">
        <v>444</v>
      </c>
      <c r="P163" t="s">
        <v>97</v>
      </c>
      <c r="Q163" t="s">
        <v>247</v>
      </c>
    </row>
    <row r="164" spans="1:17" s="25" customFormat="1">
      <c r="A164" s="119">
        <v>1.1504943807870371E-2</v>
      </c>
      <c r="B164" t="s">
        <v>97</v>
      </c>
      <c r="C164"/>
      <c r="D164"/>
      <c r="E164" t="s">
        <v>188</v>
      </c>
      <c r="F164"/>
      <c r="G164" t="s">
        <v>164</v>
      </c>
      <c r="H164"/>
      <c r="I164" s="166">
        <v>46278.618541666663</v>
      </c>
      <c r="J164" t="s">
        <v>445</v>
      </c>
      <c r="K164" t="s">
        <v>443</v>
      </c>
      <c r="L164" s="165">
        <v>46277</v>
      </c>
      <c r="M164" t="s">
        <v>442</v>
      </c>
      <c r="N164" t="s">
        <v>231</v>
      </c>
      <c r="O164" t="s">
        <v>444</v>
      </c>
      <c r="P164" t="s">
        <v>97</v>
      </c>
      <c r="Q164" t="s">
        <v>247</v>
      </c>
    </row>
    <row r="165" spans="1:17" s="25" customFormat="1">
      <c r="A165" s="119">
        <v>1.1441079375000001E-2</v>
      </c>
      <c r="B165" t="s">
        <v>97</v>
      </c>
      <c r="C165"/>
      <c r="D165"/>
      <c r="E165" t="s">
        <v>184</v>
      </c>
      <c r="F165"/>
      <c r="G165" t="s">
        <v>98</v>
      </c>
      <c r="H165"/>
      <c r="I165" s="166">
        <v>46278.618437500001</v>
      </c>
      <c r="J165" t="s">
        <v>445</v>
      </c>
      <c r="K165" t="s">
        <v>443</v>
      </c>
      <c r="L165" s="165">
        <v>46277</v>
      </c>
      <c r="M165" t="s">
        <v>442</v>
      </c>
      <c r="N165" t="s">
        <v>231</v>
      </c>
      <c r="O165" t="s">
        <v>444</v>
      </c>
      <c r="P165" t="s">
        <v>97</v>
      </c>
      <c r="Q165" t="s">
        <v>247</v>
      </c>
    </row>
    <row r="166" spans="1:17" s="25" customFormat="1">
      <c r="A166" s="119">
        <v>1.1304091898148148E-2</v>
      </c>
      <c r="B166" t="s">
        <v>97</v>
      </c>
      <c r="C166"/>
      <c r="D166"/>
      <c r="E166" t="s">
        <v>186</v>
      </c>
      <c r="F166"/>
      <c r="G166" t="s">
        <v>98</v>
      </c>
      <c r="H166"/>
      <c r="I166" s="166">
        <v>46278.618136574078</v>
      </c>
      <c r="J166" t="s">
        <v>445</v>
      </c>
      <c r="K166" t="s">
        <v>443</v>
      </c>
      <c r="L166" s="165">
        <v>46277</v>
      </c>
      <c r="M166" t="s">
        <v>442</v>
      </c>
      <c r="N166" t="s">
        <v>231</v>
      </c>
      <c r="O166" t="s">
        <v>444</v>
      </c>
      <c r="P166" t="s">
        <v>97</v>
      </c>
      <c r="Q166" t="s">
        <v>247</v>
      </c>
    </row>
    <row r="167" spans="1:17" s="25" customFormat="1">
      <c r="A167" s="119">
        <v>1.1269777511574075E-2</v>
      </c>
      <c r="B167" t="s">
        <v>97</v>
      </c>
      <c r="C167"/>
      <c r="D167"/>
      <c r="E167" t="s">
        <v>100</v>
      </c>
      <c r="F167"/>
      <c r="G167" t="s">
        <v>98</v>
      </c>
      <c r="H167"/>
      <c r="I167" s="166">
        <v>46278.61577546296</v>
      </c>
      <c r="J167" t="s">
        <v>445</v>
      </c>
      <c r="K167" t="s">
        <v>443</v>
      </c>
      <c r="L167" s="165">
        <v>46277</v>
      </c>
      <c r="M167" t="s">
        <v>442</v>
      </c>
      <c r="N167" t="s">
        <v>231</v>
      </c>
      <c r="O167" t="s">
        <v>444</v>
      </c>
      <c r="P167" t="s">
        <v>97</v>
      </c>
      <c r="Q167" t="s">
        <v>247</v>
      </c>
    </row>
    <row r="168" spans="1:17" s="25" customFormat="1">
      <c r="A168" s="119">
        <v>1.0916322326388889E-2</v>
      </c>
      <c r="B168" t="s">
        <v>97</v>
      </c>
      <c r="C168" t="s">
        <v>82</v>
      </c>
      <c r="D168"/>
      <c r="E168" t="s">
        <v>115</v>
      </c>
      <c r="F168"/>
      <c r="G168" t="s">
        <v>98</v>
      </c>
      <c r="H168"/>
      <c r="I168" s="166">
        <v>46278.615763888891</v>
      </c>
      <c r="J168" t="s">
        <v>445</v>
      </c>
      <c r="K168" t="s">
        <v>443</v>
      </c>
      <c r="L168" s="165">
        <v>46277</v>
      </c>
      <c r="M168" t="s">
        <v>442</v>
      </c>
      <c r="N168" t="s">
        <v>231</v>
      </c>
      <c r="O168" t="s">
        <v>444</v>
      </c>
      <c r="P168" t="s">
        <v>97</v>
      </c>
      <c r="Q168" t="s">
        <v>247</v>
      </c>
    </row>
    <row r="169" spans="1:17" s="25" customFormat="1">
      <c r="A169" s="119">
        <v>1.0110267372685186E-2</v>
      </c>
      <c r="B169" t="s">
        <v>97</v>
      </c>
      <c r="C169"/>
      <c r="D169"/>
      <c r="E169" t="s">
        <v>108</v>
      </c>
      <c r="F169"/>
      <c r="G169" t="s">
        <v>98</v>
      </c>
      <c r="H169"/>
      <c r="I169" s="166">
        <v>46278.615219907406</v>
      </c>
      <c r="J169" t="s">
        <v>445</v>
      </c>
      <c r="K169" t="s">
        <v>443</v>
      </c>
      <c r="L169" s="165">
        <v>46277</v>
      </c>
      <c r="M169" t="s">
        <v>442</v>
      </c>
      <c r="N169" t="s">
        <v>231</v>
      </c>
      <c r="O169" t="s">
        <v>444</v>
      </c>
      <c r="P169" t="s">
        <v>97</v>
      </c>
      <c r="Q169" t="s">
        <v>247</v>
      </c>
    </row>
    <row r="170" spans="1:17" s="25" customFormat="1">
      <c r="A170" s="119">
        <v>1.0103750416666666E-2</v>
      </c>
      <c r="B170" t="s">
        <v>97</v>
      </c>
      <c r="C170"/>
      <c r="D170"/>
      <c r="E170" t="s">
        <v>87</v>
      </c>
      <c r="F170"/>
      <c r="G170" t="s">
        <v>98</v>
      </c>
      <c r="H170"/>
      <c r="I170" s="166">
        <v>46278.615358796298</v>
      </c>
      <c r="J170" t="s">
        <v>445</v>
      </c>
      <c r="K170" t="s">
        <v>443</v>
      </c>
      <c r="L170" s="165">
        <v>46277</v>
      </c>
      <c r="M170" t="s">
        <v>442</v>
      </c>
      <c r="N170" t="s">
        <v>231</v>
      </c>
      <c r="O170" t="s">
        <v>444</v>
      </c>
      <c r="P170" t="s">
        <v>97</v>
      </c>
      <c r="Q170" t="s">
        <v>247</v>
      </c>
    </row>
    <row r="171" spans="1:17" s="25" customFormat="1">
      <c r="A171" s="119">
        <v>1.0103750416666666E-2</v>
      </c>
      <c r="B171" t="s">
        <v>97</v>
      </c>
      <c r="C171" t="s">
        <v>457</v>
      </c>
      <c r="D171"/>
      <c r="E171" t="s">
        <v>103</v>
      </c>
      <c r="F171"/>
      <c r="G171" t="s">
        <v>98</v>
      </c>
      <c r="H171"/>
      <c r="I171" s="166">
        <v>46278.615358796298</v>
      </c>
      <c r="J171" t="s">
        <v>445</v>
      </c>
      <c r="K171" t="s">
        <v>443</v>
      </c>
      <c r="L171" s="165">
        <v>46277</v>
      </c>
      <c r="M171" t="s">
        <v>442</v>
      </c>
      <c r="N171" t="s">
        <v>231</v>
      </c>
      <c r="O171" t="s">
        <v>444</v>
      </c>
      <c r="P171" t="s">
        <v>97</v>
      </c>
      <c r="Q171" t="s">
        <v>247</v>
      </c>
    </row>
    <row r="172" spans="1:17" s="25" customFormat="1">
      <c r="A172" s="119">
        <v>1.0011574074074074E-2</v>
      </c>
      <c r="B172" t="s">
        <v>97</v>
      </c>
      <c r="C172"/>
      <c r="D172"/>
      <c r="E172" t="s">
        <v>279</v>
      </c>
      <c r="F172"/>
      <c r="G172" t="s">
        <v>98</v>
      </c>
      <c r="H172"/>
      <c r="I172" s="166">
        <v>46278.615011574075</v>
      </c>
      <c r="J172" t="s">
        <v>445</v>
      </c>
      <c r="K172" t="s">
        <v>443</v>
      </c>
      <c r="L172" s="165">
        <v>46277</v>
      </c>
      <c r="M172" t="s">
        <v>442</v>
      </c>
      <c r="N172" t="s">
        <v>231</v>
      </c>
      <c r="O172" t="s">
        <v>444</v>
      </c>
      <c r="P172" t="s">
        <v>97</v>
      </c>
      <c r="Q172" t="s">
        <v>247</v>
      </c>
    </row>
    <row r="173" spans="1:17" s="25" customFormat="1">
      <c r="A173" s="119">
        <v>9.9041633101851854E-3</v>
      </c>
      <c r="B173" t="s">
        <v>97</v>
      </c>
      <c r="C173"/>
      <c r="D173"/>
      <c r="E173" t="s">
        <v>105</v>
      </c>
      <c r="F173"/>
      <c r="G173" t="s">
        <v>98</v>
      </c>
      <c r="H173"/>
      <c r="I173" s="166">
        <v>46278.615011574075</v>
      </c>
      <c r="J173" t="s">
        <v>445</v>
      </c>
      <c r="K173" t="s">
        <v>443</v>
      </c>
      <c r="L173" s="165">
        <v>46277</v>
      </c>
      <c r="M173" t="s">
        <v>442</v>
      </c>
      <c r="N173" t="s">
        <v>231</v>
      </c>
      <c r="O173" t="s">
        <v>444</v>
      </c>
      <c r="P173" t="s">
        <v>97</v>
      </c>
      <c r="Q173" t="s">
        <v>247</v>
      </c>
    </row>
    <row r="174" spans="1:17" s="25" customFormat="1">
      <c r="A174" s="119">
        <v>9.3153232175925919E-3</v>
      </c>
      <c r="B174" t="s">
        <v>97</v>
      </c>
      <c r="C174"/>
      <c r="D174"/>
      <c r="E174" t="s">
        <v>87</v>
      </c>
      <c r="F174"/>
      <c r="G174" t="s">
        <v>98</v>
      </c>
      <c r="H174"/>
      <c r="I174" s="166">
        <v>46278.614710648151</v>
      </c>
      <c r="J174" t="s">
        <v>445</v>
      </c>
      <c r="K174" t="s">
        <v>443</v>
      </c>
      <c r="L174" s="165">
        <v>46277</v>
      </c>
      <c r="M174" t="s">
        <v>442</v>
      </c>
      <c r="N174" t="s">
        <v>231</v>
      </c>
      <c r="O174" t="s">
        <v>444</v>
      </c>
      <c r="P174" t="s">
        <v>97</v>
      </c>
      <c r="Q174" t="s">
        <v>247</v>
      </c>
    </row>
    <row r="175" spans="1:17" s="25" customFormat="1">
      <c r="A175" s="119">
        <v>9.3153232175925919E-3</v>
      </c>
      <c r="B175" t="s">
        <v>97</v>
      </c>
      <c r="C175"/>
      <c r="D175"/>
      <c r="E175" t="s">
        <v>213</v>
      </c>
      <c r="F175" t="s">
        <v>133</v>
      </c>
      <c r="G175" t="s">
        <v>98</v>
      </c>
      <c r="H175"/>
      <c r="I175" s="166">
        <v>46278.614710648151</v>
      </c>
      <c r="J175" t="s">
        <v>445</v>
      </c>
      <c r="K175" t="s">
        <v>443</v>
      </c>
      <c r="L175" s="165">
        <v>46277</v>
      </c>
      <c r="M175" t="s">
        <v>442</v>
      </c>
      <c r="N175" t="s">
        <v>231</v>
      </c>
      <c r="O175" t="s">
        <v>444</v>
      </c>
      <c r="P175" t="s">
        <v>97</v>
      </c>
      <c r="Q175" t="s">
        <v>247</v>
      </c>
    </row>
    <row r="176" spans="1:17" s="25" customFormat="1">
      <c r="A176" s="119">
        <v>9.290659016203703E-3</v>
      </c>
      <c r="B176" t="s">
        <v>97</v>
      </c>
      <c r="C176"/>
      <c r="D176"/>
      <c r="E176" t="s">
        <v>108</v>
      </c>
      <c r="F176"/>
      <c r="G176" t="s">
        <v>98</v>
      </c>
      <c r="H176"/>
      <c r="I176" s="166">
        <v>46278.614166666666</v>
      </c>
      <c r="J176" t="s">
        <v>445</v>
      </c>
      <c r="K176" t="s">
        <v>443</v>
      </c>
      <c r="L176" s="165">
        <v>46277</v>
      </c>
      <c r="M176" t="s">
        <v>442</v>
      </c>
      <c r="N176" t="s">
        <v>231</v>
      </c>
      <c r="O176" t="s">
        <v>444</v>
      </c>
      <c r="P176" t="s">
        <v>97</v>
      </c>
      <c r="Q176" t="s">
        <v>247</v>
      </c>
    </row>
    <row r="177" spans="1:17" s="25" customFormat="1">
      <c r="A177" s="119">
        <v>9.1977616782407401E-3</v>
      </c>
      <c r="B177" t="s">
        <v>97</v>
      </c>
      <c r="C177"/>
      <c r="D177"/>
      <c r="E177" t="s">
        <v>133</v>
      </c>
      <c r="F177"/>
      <c r="G177" t="s">
        <v>98</v>
      </c>
      <c r="H177"/>
      <c r="I177" s="166">
        <v>46278.613923611112</v>
      </c>
      <c r="J177" t="s">
        <v>445</v>
      </c>
      <c r="K177" t="s">
        <v>443</v>
      </c>
      <c r="L177" s="165">
        <v>46277</v>
      </c>
      <c r="M177" t="s">
        <v>442</v>
      </c>
      <c r="N177" t="s">
        <v>231</v>
      </c>
      <c r="O177" t="s">
        <v>444</v>
      </c>
      <c r="P177" t="s">
        <v>97</v>
      </c>
      <c r="Q177" t="s">
        <v>247</v>
      </c>
    </row>
    <row r="178" spans="1:17" s="25" customFormat="1">
      <c r="A178" s="119">
        <v>9.0990280324074069E-3</v>
      </c>
      <c r="B178" t="s">
        <v>97</v>
      </c>
      <c r="C178"/>
      <c r="D178"/>
      <c r="E178" t="s">
        <v>108</v>
      </c>
      <c r="F178"/>
      <c r="G178" t="s">
        <v>98</v>
      </c>
      <c r="H178"/>
      <c r="I178" s="166">
        <v>46278.61378472222</v>
      </c>
      <c r="J178" t="s">
        <v>445</v>
      </c>
      <c r="K178" t="s">
        <v>443</v>
      </c>
      <c r="L178" s="165">
        <v>46277</v>
      </c>
      <c r="M178" t="s">
        <v>442</v>
      </c>
      <c r="N178" t="s">
        <v>231</v>
      </c>
      <c r="O178" t="s">
        <v>444</v>
      </c>
      <c r="P178" t="s">
        <v>97</v>
      </c>
      <c r="Q178" t="s">
        <v>247</v>
      </c>
    </row>
    <row r="179" spans="1:17" s="25" customFormat="1">
      <c r="A179" s="119">
        <v>9.0295189583333331E-3</v>
      </c>
      <c r="B179" t="s">
        <v>97</v>
      </c>
      <c r="C179"/>
      <c r="D179"/>
      <c r="E179" t="s">
        <v>108</v>
      </c>
      <c r="F179"/>
      <c r="G179" t="s">
        <v>98</v>
      </c>
      <c r="H179"/>
      <c r="I179" s="166">
        <v>46278.613692129627</v>
      </c>
      <c r="J179" t="s">
        <v>445</v>
      </c>
      <c r="K179" t="s">
        <v>443</v>
      </c>
      <c r="L179" s="165">
        <v>46277</v>
      </c>
      <c r="M179" t="s">
        <v>442</v>
      </c>
      <c r="N179" t="s">
        <v>231</v>
      </c>
      <c r="O179" t="s">
        <v>444</v>
      </c>
      <c r="P179" t="s">
        <v>97</v>
      </c>
      <c r="Q179" t="s">
        <v>247</v>
      </c>
    </row>
    <row r="180" spans="1:17" s="25" customFormat="1">
      <c r="A180" s="119">
        <v>8.9364686458333342E-3</v>
      </c>
      <c r="B180" t="s">
        <v>97</v>
      </c>
      <c r="C180"/>
      <c r="D180"/>
      <c r="E180" t="s">
        <v>108</v>
      </c>
      <c r="F180"/>
      <c r="G180" t="s">
        <v>98</v>
      </c>
      <c r="H180"/>
      <c r="I180" s="166">
        <v>46278.613553240742</v>
      </c>
      <c r="J180" t="s">
        <v>445</v>
      </c>
      <c r="K180" t="s">
        <v>443</v>
      </c>
      <c r="L180" s="165">
        <v>46277</v>
      </c>
      <c r="M180" t="s">
        <v>442</v>
      </c>
      <c r="N180" t="s">
        <v>231</v>
      </c>
      <c r="O180" t="s">
        <v>444</v>
      </c>
      <c r="P180" t="s">
        <v>97</v>
      </c>
      <c r="Q180" t="s">
        <v>247</v>
      </c>
    </row>
    <row r="181" spans="1:17" s="25" customFormat="1">
      <c r="A181" s="119">
        <v>8.9073463425925932E-3</v>
      </c>
      <c r="B181" t="s">
        <v>97</v>
      </c>
      <c r="C181"/>
      <c r="D181"/>
      <c r="E181" t="s">
        <v>108</v>
      </c>
      <c r="F181"/>
      <c r="G181" t="s">
        <v>98</v>
      </c>
      <c r="H181"/>
      <c r="I181" s="166">
        <v>46278.613483796296</v>
      </c>
      <c r="J181" t="s">
        <v>445</v>
      </c>
      <c r="K181" t="s">
        <v>443</v>
      </c>
      <c r="L181" s="165">
        <v>46277</v>
      </c>
      <c r="M181" t="s">
        <v>442</v>
      </c>
      <c r="N181" t="s">
        <v>231</v>
      </c>
      <c r="O181" t="s">
        <v>444</v>
      </c>
      <c r="P181" t="s">
        <v>97</v>
      </c>
      <c r="Q181" t="s">
        <v>247</v>
      </c>
    </row>
    <row r="182" spans="1:17" s="25" customFormat="1">
      <c r="A182" s="119">
        <v>8.7016589583333338E-3</v>
      </c>
      <c r="B182" t="s">
        <v>97</v>
      </c>
      <c r="C182"/>
      <c r="D182"/>
      <c r="E182" t="s">
        <v>101</v>
      </c>
      <c r="F182"/>
      <c r="G182" t="s">
        <v>98</v>
      </c>
      <c r="H182"/>
      <c r="I182" s="166">
        <v>46278.613136574073</v>
      </c>
      <c r="J182" t="s">
        <v>445</v>
      </c>
      <c r="K182" t="s">
        <v>443</v>
      </c>
      <c r="L182" s="165">
        <v>46277</v>
      </c>
      <c r="M182" t="s">
        <v>442</v>
      </c>
      <c r="N182" t="s">
        <v>231</v>
      </c>
      <c r="O182" t="s">
        <v>444</v>
      </c>
      <c r="P182" t="s">
        <v>97</v>
      </c>
      <c r="Q182" t="s">
        <v>247</v>
      </c>
    </row>
    <row r="183" spans="1:17" s="25" customFormat="1">
      <c r="A183" s="119">
        <v>8.4219059490740749E-3</v>
      </c>
      <c r="B183" t="s">
        <v>97</v>
      </c>
      <c r="C183"/>
      <c r="D183"/>
      <c r="E183" t="s">
        <v>87</v>
      </c>
      <c r="F183"/>
      <c r="G183" t="s">
        <v>98</v>
      </c>
      <c r="H183"/>
      <c r="I183" s="166">
        <v>46278.612893518519</v>
      </c>
      <c r="J183" t="s">
        <v>445</v>
      </c>
      <c r="K183" t="s">
        <v>443</v>
      </c>
      <c r="L183" s="165">
        <v>46277</v>
      </c>
      <c r="M183" t="s">
        <v>442</v>
      </c>
      <c r="N183" t="s">
        <v>231</v>
      </c>
      <c r="O183" t="s">
        <v>444</v>
      </c>
      <c r="P183" t="s">
        <v>97</v>
      </c>
      <c r="Q183" t="s">
        <v>247</v>
      </c>
    </row>
    <row r="184" spans="1:17" s="25" customFormat="1">
      <c r="A184" s="119">
        <v>8.4219059490740749E-3</v>
      </c>
      <c r="B184" t="s">
        <v>97</v>
      </c>
      <c r="C184"/>
      <c r="D184"/>
      <c r="E184" t="s">
        <v>213</v>
      </c>
      <c r="F184" t="s">
        <v>206</v>
      </c>
      <c r="G184" t="s">
        <v>98</v>
      </c>
      <c r="H184"/>
      <c r="I184" s="166">
        <v>46278.612893518519</v>
      </c>
      <c r="J184" t="s">
        <v>445</v>
      </c>
      <c r="K184" t="s">
        <v>443</v>
      </c>
      <c r="L184" s="165">
        <v>46277</v>
      </c>
      <c r="M184" t="s">
        <v>442</v>
      </c>
      <c r="N184" t="s">
        <v>231</v>
      </c>
      <c r="O184" t="s">
        <v>444</v>
      </c>
      <c r="P184" t="s">
        <v>97</v>
      </c>
      <c r="Q184" t="s">
        <v>247</v>
      </c>
    </row>
    <row r="185" spans="1:17" s="25" customFormat="1">
      <c r="A185" s="119">
        <v>8.2111929166666653E-3</v>
      </c>
      <c r="B185" t="s">
        <v>97</v>
      </c>
      <c r="C185" t="s">
        <v>452</v>
      </c>
      <c r="D185"/>
      <c r="E185" t="s">
        <v>111</v>
      </c>
      <c r="F185"/>
      <c r="G185" t="s">
        <v>98</v>
      </c>
      <c r="H185"/>
      <c r="I185" s="166">
        <v>46278.612847222219</v>
      </c>
      <c r="J185" t="s">
        <v>445</v>
      </c>
      <c r="K185" t="s">
        <v>443</v>
      </c>
      <c r="L185" s="165">
        <v>46277</v>
      </c>
      <c r="M185" t="s">
        <v>442</v>
      </c>
      <c r="N185" t="s">
        <v>231</v>
      </c>
      <c r="O185" t="s">
        <v>444</v>
      </c>
      <c r="P185" t="s">
        <v>97</v>
      </c>
      <c r="Q185" t="s">
        <v>247</v>
      </c>
    </row>
    <row r="186" spans="1:17" s="25" customFormat="1">
      <c r="A186" s="119">
        <v>7.9300521527777782E-3</v>
      </c>
      <c r="B186" t="s">
        <v>97</v>
      </c>
      <c r="C186"/>
      <c r="D186"/>
      <c r="E186" t="s">
        <v>104</v>
      </c>
      <c r="F186"/>
      <c r="G186" t="s">
        <v>98</v>
      </c>
      <c r="H186"/>
      <c r="I186" s="166">
        <v>46278.612164351849</v>
      </c>
      <c r="J186" t="s">
        <v>445</v>
      </c>
      <c r="K186" t="s">
        <v>443</v>
      </c>
      <c r="L186" s="165">
        <v>46277</v>
      </c>
      <c r="M186" t="s">
        <v>442</v>
      </c>
      <c r="N186" t="s">
        <v>231</v>
      </c>
      <c r="O186" t="s">
        <v>444</v>
      </c>
      <c r="P186" t="s">
        <v>97</v>
      </c>
      <c r="Q186" t="s">
        <v>247</v>
      </c>
    </row>
    <row r="187" spans="1:17" s="25" customFormat="1">
      <c r="A187" s="119">
        <v>7.767041736111111E-3</v>
      </c>
      <c r="B187" t="s">
        <v>97</v>
      </c>
      <c r="C187"/>
      <c r="D187"/>
      <c r="E187" t="s">
        <v>87</v>
      </c>
      <c r="F187"/>
      <c r="G187" t="s">
        <v>98</v>
      </c>
      <c r="H187"/>
      <c r="I187" s="166">
        <v>46278.612141203703</v>
      </c>
      <c r="J187" t="s">
        <v>445</v>
      </c>
      <c r="K187" t="s">
        <v>443</v>
      </c>
      <c r="L187" s="165">
        <v>46277</v>
      </c>
      <c r="M187" t="s">
        <v>442</v>
      </c>
      <c r="N187" t="s">
        <v>231</v>
      </c>
      <c r="O187" t="s">
        <v>444</v>
      </c>
      <c r="P187" t="s">
        <v>97</v>
      </c>
      <c r="Q187" t="s">
        <v>247</v>
      </c>
    </row>
    <row r="188" spans="1:17" s="25" customFormat="1">
      <c r="A188" s="119">
        <v>7.767041736111111E-3</v>
      </c>
      <c r="B188" t="s">
        <v>97</v>
      </c>
      <c r="C188"/>
      <c r="D188"/>
      <c r="E188" t="s">
        <v>213</v>
      </c>
      <c r="F188" t="s">
        <v>82</v>
      </c>
      <c r="G188" t="s">
        <v>98</v>
      </c>
      <c r="H188"/>
      <c r="I188" s="166">
        <v>46278.612141203703</v>
      </c>
      <c r="J188" t="s">
        <v>445</v>
      </c>
      <c r="K188" t="s">
        <v>443</v>
      </c>
      <c r="L188" s="165">
        <v>46277</v>
      </c>
      <c r="M188" t="s">
        <v>442</v>
      </c>
      <c r="N188" t="s">
        <v>231</v>
      </c>
      <c r="O188" t="s">
        <v>444</v>
      </c>
      <c r="P188" t="s">
        <v>97</v>
      </c>
      <c r="Q188" t="s">
        <v>247</v>
      </c>
    </row>
    <row r="189" spans="1:17" s="25" customFormat="1">
      <c r="A189" s="119">
        <v>7.503018969907408E-3</v>
      </c>
      <c r="B189" t="s">
        <v>97</v>
      </c>
      <c r="C189"/>
      <c r="D189"/>
      <c r="E189" t="s">
        <v>87</v>
      </c>
      <c r="F189"/>
      <c r="G189" t="s">
        <v>98</v>
      </c>
      <c r="H189"/>
      <c r="I189" s="166">
        <v>46278.611516203702</v>
      </c>
      <c r="J189" t="s">
        <v>445</v>
      </c>
      <c r="K189" t="s">
        <v>443</v>
      </c>
      <c r="L189" s="165">
        <v>46277</v>
      </c>
      <c r="M189" t="s">
        <v>442</v>
      </c>
      <c r="N189" t="s">
        <v>231</v>
      </c>
      <c r="O189" t="s">
        <v>444</v>
      </c>
      <c r="P189" t="s">
        <v>97</v>
      </c>
      <c r="Q189" t="s">
        <v>247</v>
      </c>
    </row>
    <row r="190" spans="1:17" s="25" customFormat="1">
      <c r="A190" s="119">
        <v>7.4140054166666669E-3</v>
      </c>
      <c r="B190" t="s">
        <v>97</v>
      </c>
      <c r="C190"/>
      <c r="D190"/>
      <c r="E190" t="s">
        <v>184</v>
      </c>
      <c r="F190"/>
      <c r="G190" t="s">
        <v>98</v>
      </c>
      <c r="H190"/>
      <c r="I190" s="166">
        <v>46278.61141203704</v>
      </c>
      <c r="J190" t="s">
        <v>445</v>
      </c>
      <c r="K190" t="s">
        <v>443</v>
      </c>
      <c r="L190" s="165">
        <v>46277</v>
      </c>
      <c r="M190" t="s">
        <v>442</v>
      </c>
      <c r="N190" t="s">
        <v>231</v>
      </c>
      <c r="O190" t="s">
        <v>444</v>
      </c>
      <c r="P190" t="s">
        <v>97</v>
      </c>
      <c r="Q190" t="s">
        <v>247</v>
      </c>
    </row>
    <row r="191" spans="1:17" s="25" customFormat="1">
      <c r="A191" s="119">
        <v>7.3040432754629629E-3</v>
      </c>
      <c r="B191" t="s">
        <v>97</v>
      </c>
      <c r="C191"/>
      <c r="D191"/>
      <c r="E191" t="s">
        <v>108</v>
      </c>
      <c r="F191"/>
      <c r="G191" t="s">
        <v>98</v>
      </c>
      <c r="H191"/>
      <c r="I191" s="166">
        <v>46278.611250000002</v>
      </c>
      <c r="J191" t="s">
        <v>445</v>
      </c>
      <c r="K191" t="s">
        <v>443</v>
      </c>
      <c r="L191" s="165">
        <v>46277</v>
      </c>
      <c r="M191" t="s">
        <v>442</v>
      </c>
      <c r="N191" t="s">
        <v>231</v>
      </c>
      <c r="O191" t="s">
        <v>444</v>
      </c>
      <c r="P191" t="s">
        <v>97</v>
      </c>
      <c r="Q191" t="s">
        <v>247</v>
      </c>
    </row>
    <row r="192" spans="1:17" s="25" customFormat="1">
      <c r="A192" s="119">
        <v>7.2265313310185186E-3</v>
      </c>
      <c r="B192" t="s">
        <v>97</v>
      </c>
      <c r="C192"/>
      <c r="D192"/>
      <c r="E192" t="s">
        <v>108</v>
      </c>
      <c r="F192"/>
      <c r="G192" t="s">
        <v>98</v>
      </c>
      <c r="H192"/>
      <c r="I192" s="166">
        <v>46278.611134259256</v>
      </c>
      <c r="J192" t="s">
        <v>445</v>
      </c>
      <c r="K192" t="s">
        <v>443</v>
      </c>
      <c r="L192" s="165">
        <v>46277</v>
      </c>
      <c r="M192" t="s">
        <v>442</v>
      </c>
      <c r="N192" t="s">
        <v>231</v>
      </c>
      <c r="O192" t="s">
        <v>444</v>
      </c>
      <c r="P192" t="s">
        <v>97</v>
      </c>
      <c r="Q192" t="s">
        <v>247</v>
      </c>
    </row>
    <row r="193" spans="1:17" s="25" customFormat="1">
      <c r="A193" s="119">
        <v>7.2112585648148146E-3</v>
      </c>
      <c r="B193" t="s">
        <v>97</v>
      </c>
      <c r="C193"/>
      <c r="D193"/>
      <c r="E193" t="s">
        <v>108</v>
      </c>
      <c r="F193"/>
      <c r="G193" t="s">
        <v>98</v>
      </c>
      <c r="H193"/>
      <c r="I193" s="166">
        <v>46278.61109953704</v>
      </c>
      <c r="J193" t="s">
        <v>445</v>
      </c>
      <c r="K193" t="s">
        <v>443</v>
      </c>
      <c r="L193" s="165">
        <v>46277</v>
      </c>
      <c r="M193" t="s">
        <v>442</v>
      </c>
      <c r="N193" t="s">
        <v>231</v>
      </c>
      <c r="O193" t="s">
        <v>444</v>
      </c>
      <c r="P193" t="s">
        <v>97</v>
      </c>
      <c r="Q193" t="s">
        <v>247</v>
      </c>
    </row>
    <row r="194" spans="1:17" s="25" customFormat="1">
      <c r="A194" s="119">
        <v>7.1995526388888885E-3</v>
      </c>
      <c r="B194" t="s">
        <v>97</v>
      </c>
      <c r="C194"/>
      <c r="D194"/>
      <c r="E194" t="s">
        <v>108</v>
      </c>
      <c r="F194"/>
      <c r="G194" t="s">
        <v>98</v>
      </c>
      <c r="H194"/>
      <c r="I194" s="166">
        <v>46278.61105324074</v>
      </c>
      <c r="J194" t="s">
        <v>445</v>
      </c>
      <c r="K194" t="s">
        <v>443</v>
      </c>
      <c r="L194" s="165">
        <v>46277</v>
      </c>
      <c r="M194" t="s">
        <v>442</v>
      </c>
      <c r="N194" t="s">
        <v>231</v>
      </c>
      <c r="O194" t="s">
        <v>444</v>
      </c>
      <c r="P194" t="s">
        <v>97</v>
      </c>
      <c r="Q194" t="s">
        <v>247</v>
      </c>
    </row>
    <row r="195" spans="1:17" s="25" customFormat="1">
      <c r="A195" s="119">
        <v>7.0836234837962963E-3</v>
      </c>
      <c r="B195" t="s">
        <v>97</v>
      </c>
      <c r="C195"/>
      <c r="D195"/>
      <c r="E195" t="s">
        <v>108</v>
      </c>
      <c r="F195"/>
      <c r="G195" t="s">
        <v>98</v>
      </c>
      <c r="H195"/>
      <c r="I195" s="166">
        <v>46278.610879629632</v>
      </c>
      <c r="J195" t="s">
        <v>445</v>
      </c>
      <c r="K195" t="s">
        <v>443</v>
      </c>
      <c r="L195" s="165">
        <v>46277</v>
      </c>
      <c r="M195" t="s">
        <v>442</v>
      </c>
      <c r="N195" t="s">
        <v>231</v>
      </c>
      <c r="O195" t="s">
        <v>444</v>
      </c>
      <c r="P195" t="s">
        <v>97</v>
      </c>
      <c r="Q195" t="s">
        <v>247</v>
      </c>
    </row>
    <row r="196" spans="1:17" s="25" customFormat="1">
      <c r="A196" s="119">
        <v>7.0083878472222225E-3</v>
      </c>
      <c r="B196" t="s">
        <v>97</v>
      </c>
      <c r="C196"/>
      <c r="D196"/>
      <c r="E196" t="s">
        <v>133</v>
      </c>
      <c r="F196"/>
      <c r="G196" t="s">
        <v>98</v>
      </c>
      <c r="H196"/>
      <c r="I196" s="166">
        <v>46278.61074074074</v>
      </c>
      <c r="J196" t="s">
        <v>445</v>
      </c>
      <c r="K196" t="s">
        <v>443</v>
      </c>
      <c r="L196" s="165">
        <v>46277</v>
      </c>
      <c r="M196" t="s">
        <v>442</v>
      </c>
      <c r="N196" t="s">
        <v>231</v>
      </c>
      <c r="O196" t="s">
        <v>444</v>
      </c>
      <c r="P196" t="s">
        <v>97</v>
      </c>
      <c r="Q196" t="s">
        <v>247</v>
      </c>
    </row>
    <row r="197" spans="1:17" s="25" customFormat="1">
      <c r="A197" s="119">
        <v>6.990975717592593E-3</v>
      </c>
      <c r="B197" t="s">
        <v>97</v>
      </c>
      <c r="C197"/>
      <c r="D197"/>
      <c r="E197" t="s">
        <v>59</v>
      </c>
      <c r="F197"/>
      <c r="G197" t="s">
        <v>98</v>
      </c>
      <c r="H197"/>
      <c r="I197" s="166">
        <v>46278.610671296294</v>
      </c>
      <c r="J197" t="s">
        <v>445</v>
      </c>
      <c r="K197" t="s">
        <v>443</v>
      </c>
      <c r="L197" s="165">
        <v>46277</v>
      </c>
      <c r="M197" t="s">
        <v>442</v>
      </c>
      <c r="N197" t="s">
        <v>231</v>
      </c>
      <c r="O197" t="s">
        <v>444</v>
      </c>
      <c r="P197" t="s">
        <v>97</v>
      </c>
      <c r="Q197" t="s">
        <v>247</v>
      </c>
    </row>
    <row r="198" spans="1:17" s="25" customFormat="1">
      <c r="A198" s="119">
        <v>6.9792203125000002E-3</v>
      </c>
      <c r="B198" t="s">
        <v>97</v>
      </c>
      <c r="C198"/>
      <c r="D198"/>
      <c r="E198" t="s">
        <v>59</v>
      </c>
      <c r="F198"/>
      <c r="G198" t="s">
        <v>98</v>
      </c>
      <c r="H198"/>
      <c r="I198" s="166">
        <v>46278.610636574071</v>
      </c>
      <c r="J198" t="s">
        <v>445</v>
      </c>
      <c r="K198" t="s">
        <v>443</v>
      </c>
      <c r="L198" s="165">
        <v>46277</v>
      </c>
      <c r="M198" t="s">
        <v>442</v>
      </c>
      <c r="N198" t="s">
        <v>231</v>
      </c>
      <c r="O198" t="s">
        <v>444</v>
      </c>
      <c r="P198" t="s">
        <v>97</v>
      </c>
      <c r="Q198" t="s">
        <v>247</v>
      </c>
    </row>
    <row r="199" spans="1:17" s="25" customFormat="1">
      <c r="A199" s="119">
        <v>6.9749233449074074E-3</v>
      </c>
      <c r="B199" t="s">
        <v>97</v>
      </c>
      <c r="C199"/>
      <c r="D199"/>
      <c r="E199" t="s">
        <v>59</v>
      </c>
      <c r="F199"/>
      <c r="G199" t="s">
        <v>98</v>
      </c>
      <c r="H199"/>
      <c r="I199" s="166">
        <v>46278.610543981478</v>
      </c>
      <c r="J199" t="s">
        <v>445</v>
      </c>
      <c r="K199" t="s">
        <v>443</v>
      </c>
      <c r="L199" s="165">
        <v>46277</v>
      </c>
      <c r="M199" t="s">
        <v>442</v>
      </c>
      <c r="N199" t="s">
        <v>231</v>
      </c>
      <c r="O199" t="s">
        <v>444</v>
      </c>
      <c r="P199" t="s">
        <v>97</v>
      </c>
      <c r="Q199" t="s">
        <v>247</v>
      </c>
    </row>
    <row r="200" spans="1:17" s="25" customFormat="1">
      <c r="A200" s="119">
        <v>6.8653221643518517E-3</v>
      </c>
      <c r="B200" t="s">
        <v>97</v>
      </c>
      <c r="C200" t="s">
        <v>449</v>
      </c>
      <c r="D200"/>
      <c r="E200" t="s">
        <v>111</v>
      </c>
      <c r="F200"/>
      <c r="G200" t="s">
        <v>98</v>
      </c>
      <c r="H200"/>
      <c r="I200" s="166">
        <v>46278.610532407409</v>
      </c>
      <c r="J200" t="s">
        <v>445</v>
      </c>
      <c r="K200" t="s">
        <v>443</v>
      </c>
      <c r="L200" s="165">
        <v>46277</v>
      </c>
      <c r="M200" t="s">
        <v>442</v>
      </c>
      <c r="N200" t="s">
        <v>231</v>
      </c>
      <c r="O200" t="s">
        <v>444</v>
      </c>
      <c r="P200" t="s">
        <v>97</v>
      </c>
      <c r="Q200" t="s">
        <v>247</v>
      </c>
    </row>
    <row r="201" spans="1:17" s="25" customFormat="1">
      <c r="A201" s="119">
        <v>6.754448217592593E-3</v>
      </c>
      <c r="B201" t="s">
        <v>97</v>
      </c>
      <c r="C201"/>
      <c r="D201"/>
      <c r="E201" t="s">
        <v>104</v>
      </c>
      <c r="F201"/>
      <c r="G201" t="s">
        <v>98</v>
      </c>
      <c r="H201"/>
      <c r="I201" s="166">
        <v>46278.610185185185</v>
      </c>
      <c r="J201" t="s">
        <v>445</v>
      </c>
      <c r="K201" t="s">
        <v>443</v>
      </c>
      <c r="L201" s="165">
        <v>46277</v>
      </c>
      <c r="M201" t="s">
        <v>442</v>
      </c>
      <c r="N201" t="s">
        <v>231</v>
      </c>
      <c r="O201" t="s">
        <v>444</v>
      </c>
      <c r="P201" t="s">
        <v>97</v>
      </c>
      <c r="Q201" t="s">
        <v>247</v>
      </c>
    </row>
    <row r="202" spans="1:17" s="25" customFormat="1">
      <c r="A202" s="119">
        <v>6.4054742824074078E-3</v>
      </c>
      <c r="B202" t="s">
        <v>97</v>
      </c>
      <c r="C202"/>
      <c r="D202"/>
      <c r="E202" t="s">
        <v>87</v>
      </c>
      <c r="F202"/>
      <c r="G202" t="s">
        <v>164</v>
      </c>
      <c r="H202"/>
      <c r="I202" s="166">
        <v>46278.609965277778</v>
      </c>
      <c r="J202" t="s">
        <v>445</v>
      </c>
      <c r="K202" t="s">
        <v>443</v>
      </c>
      <c r="L202" s="165">
        <v>46277</v>
      </c>
      <c r="M202" t="s">
        <v>442</v>
      </c>
      <c r="N202" t="s">
        <v>231</v>
      </c>
      <c r="O202" t="s">
        <v>444</v>
      </c>
      <c r="P202" t="s">
        <v>97</v>
      </c>
      <c r="Q202" t="s">
        <v>247</v>
      </c>
    </row>
    <row r="203" spans="1:17" s="25" customFormat="1">
      <c r="A203" s="119">
        <v>6.366230347222222E-3</v>
      </c>
      <c r="B203" t="s">
        <v>97</v>
      </c>
      <c r="C203"/>
      <c r="D203"/>
      <c r="E203" t="s">
        <v>184</v>
      </c>
      <c r="F203"/>
      <c r="G203" t="s">
        <v>164</v>
      </c>
      <c r="H203"/>
      <c r="I203" s="166">
        <v>46278.609826388885</v>
      </c>
      <c r="J203" t="s">
        <v>445</v>
      </c>
      <c r="K203" t="s">
        <v>443</v>
      </c>
      <c r="L203" s="165">
        <v>46277</v>
      </c>
      <c r="M203" t="s">
        <v>442</v>
      </c>
      <c r="N203" t="s">
        <v>231</v>
      </c>
      <c r="O203" t="s">
        <v>444</v>
      </c>
      <c r="P203" t="s">
        <v>97</v>
      </c>
      <c r="Q203" t="s">
        <v>247</v>
      </c>
    </row>
    <row r="204" spans="1:17" s="25" customFormat="1">
      <c r="A204" s="119">
        <v>6.3418829050925921E-3</v>
      </c>
      <c r="B204" t="s">
        <v>97</v>
      </c>
      <c r="C204"/>
      <c r="D204"/>
      <c r="E204" t="s">
        <v>188</v>
      </c>
      <c r="F204"/>
      <c r="G204" t="s">
        <v>164</v>
      </c>
      <c r="H204"/>
      <c r="I204" s="166">
        <v>46278.609791666669</v>
      </c>
      <c r="J204" t="s">
        <v>445</v>
      </c>
      <c r="K204" t="s">
        <v>443</v>
      </c>
      <c r="L204" s="165">
        <v>46277</v>
      </c>
      <c r="M204" t="s">
        <v>442</v>
      </c>
      <c r="N204" t="s">
        <v>231</v>
      </c>
      <c r="O204" t="s">
        <v>444</v>
      </c>
      <c r="P204" t="s">
        <v>97</v>
      </c>
      <c r="Q204" t="s">
        <v>247</v>
      </c>
    </row>
    <row r="205" spans="1:17" s="25" customFormat="1">
      <c r="A205" s="119">
        <v>6.2952657060185192E-3</v>
      </c>
      <c r="B205" t="s">
        <v>97</v>
      </c>
      <c r="C205"/>
      <c r="D205"/>
      <c r="E205" t="s">
        <v>184</v>
      </c>
      <c r="F205"/>
      <c r="G205" t="s">
        <v>98</v>
      </c>
      <c r="H205"/>
      <c r="I205" s="166">
        <v>46278.609699074077</v>
      </c>
      <c r="J205" t="s">
        <v>445</v>
      </c>
      <c r="K205" t="s">
        <v>443</v>
      </c>
      <c r="L205" s="165">
        <v>46277</v>
      </c>
      <c r="M205" t="s">
        <v>442</v>
      </c>
      <c r="N205" t="s">
        <v>231</v>
      </c>
      <c r="O205" t="s">
        <v>444</v>
      </c>
      <c r="P205" t="s">
        <v>97</v>
      </c>
      <c r="Q205" t="s">
        <v>247</v>
      </c>
    </row>
    <row r="206" spans="1:17" s="25" customFormat="1">
      <c r="A206" s="119">
        <v>6.2381563194444448E-3</v>
      </c>
      <c r="B206" t="s">
        <v>97</v>
      </c>
      <c r="C206"/>
      <c r="D206"/>
      <c r="E206" t="s">
        <v>108</v>
      </c>
      <c r="F206"/>
      <c r="G206" t="s">
        <v>98</v>
      </c>
      <c r="H206"/>
      <c r="I206" s="166">
        <v>46278.609479166669</v>
      </c>
      <c r="J206" t="s">
        <v>445</v>
      </c>
      <c r="K206" t="s">
        <v>443</v>
      </c>
      <c r="L206" s="165">
        <v>46277</v>
      </c>
      <c r="M206" t="s">
        <v>442</v>
      </c>
      <c r="N206" t="s">
        <v>231</v>
      </c>
      <c r="O206" t="s">
        <v>444</v>
      </c>
      <c r="P206" t="s">
        <v>97</v>
      </c>
      <c r="Q206" t="s">
        <v>247</v>
      </c>
    </row>
    <row r="207" spans="1:17" s="25" customFormat="1">
      <c r="A207" s="119">
        <v>6.1568975231481487E-3</v>
      </c>
      <c r="B207" t="s">
        <v>97</v>
      </c>
      <c r="C207"/>
      <c r="D207"/>
      <c r="E207" t="s">
        <v>108</v>
      </c>
      <c r="F207"/>
      <c r="G207" t="s">
        <v>98</v>
      </c>
      <c r="H207"/>
      <c r="I207" s="166">
        <v>46278.609363425923</v>
      </c>
      <c r="J207" t="s">
        <v>445</v>
      </c>
      <c r="K207" t="s">
        <v>443</v>
      </c>
      <c r="L207" s="165">
        <v>46277</v>
      </c>
      <c r="M207" t="s">
        <v>442</v>
      </c>
      <c r="N207" t="s">
        <v>231</v>
      </c>
      <c r="O207" t="s">
        <v>444</v>
      </c>
      <c r="P207" t="s">
        <v>97</v>
      </c>
      <c r="Q207" t="s">
        <v>247</v>
      </c>
    </row>
    <row r="208" spans="1:17" s="25" customFormat="1">
      <c r="A208" s="119">
        <v>6.0470320138888891E-3</v>
      </c>
      <c r="B208" t="s">
        <v>97</v>
      </c>
      <c r="C208"/>
      <c r="D208"/>
      <c r="E208" t="s">
        <v>108</v>
      </c>
      <c r="F208"/>
      <c r="G208" t="s">
        <v>98</v>
      </c>
      <c r="H208"/>
      <c r="I208" s="166">
        <v>46278.609201388892</v>
      </c>
      <c r="J208" t="s">
        <v>445</v>
      </c>
      <c r="K208" t="s">
        <v>443</v>
      </c>
      <c r="L208" s="165">
        <v>46277</v>
      </c>
      <c r="M208" t="s">
        <v>442</v>
      </c>
      <c r="N208" t="s">
        <v>231</v>
      </c>
      <c r="O208" t="s">
        <v>444</v>
      </c>
      <c r="P208" t="s">
        <v>97</v>
      </c>
      <c r="Q208" t="s">
        <v>247</v>
      </c>
    </row>
    <row r="209" spans="1:17" s="25" customFormat="1">
      <c r="A209" s="119">
        <v>6.0296271412037042E-3</v>
      </c>
      <c r="B209" t="s">
        <v>97</v>
      </c>
      <c r="C209"/>
      <c r="D209"/>
      <c r="E209" t="s">
        <v>59</v>
      </c>
      <c r="F209"/>
      <c r="G209" t="s">
        <v>98</v>
      </c>
      <c r="H209"/>
      <c r="I209" s="166">
        <v>46278.609155092592</v>
      </c>
      <c r="J209" t="s">
        <v>445</v>
      </c>
      <c r="K209" t="s">
        <v>443</v>
      </c>
      <c r="L209" s="165">
        <v>46277</v>
      </c>
      <c r="M209" t="s">
        <v>442</v>
      </c>
      <c r="N209" t="s">
        <v>231</v>
      </c>
      <c r="O209" t="s">
        <v>444</v>
      </c>
      <c r="P209" t="s">
        <v>97</v>
      </c>
      <c r="Q209" t="s">
        <v>247</v>
      </c>
    </row>
    <row r="210" spans="1:17" s="25" customFormat="1">
      <c r="A210" s="119">
        <v>5.9663476041666667E-3</v>
      </c>
      <c r="B210" t="s">
        <v>97</v>
      </c>
      <c r="C210"/>
      <c r="D210"/>
      <c r="E210" t="s">
        <v>108</v>
      </c>
      <c r="F210"/>
      <c r="G210" t="s">
        <v>98</v>
      </c>
      <c r="H210"/>
      <c r="I210" s="166">
        <v>46278.608842592592</v>
      </c>
      <c r="J210" t="s">
        <v>445</v>
      </c>
      <c r="K210" t="s">
        <v>443</v>
      </c>
      <c r="L210" s="165">
        <v>46277</v>
      </c>
      <c r="M210" t="s">
        <v>442</v>
      </c>
      <c r="N210" t="s">
        <v>231</v>
      </c>
      <c r="O210" t="s">
        <v>444</v>
      </c>
      <c r="P210" t="s">
        <v>97</v>
      </c>
      <c r="Q210" t="s">
        <v>247</v>
      </c>
    </row>
    <row r="211" spans="1:17" s="25" customFormat="1">
      <c r="A211" s="119">
        <v>5.8650041319444441E-3</v>
      </c>
      <c r="B211" t="s">
        <v>97</v>
      </c>
      <c r="C211"/>
      <c r="D211"/>
      <c r="E211" t="s">
        <v>108</v>
      </c>
      <c r="F211"/>
      <c r="G211" t="s">
        <v>98</v>
      </c>
      <c r="H211"/>
      <c r="I211" s="166">
        <v>46278.608414351853</v>
      </c>
      <c r="J211" t="s">
        <v>445</v>
      </c>
      <c r="K211" t="s">
        <v>443</v>
      </c>
      <c r="L211" s="165">
        <v>46277</v>
      </c>
      <c r="M211" t="s">
        <v>442</v>
      </c>
      <c r="N211" t="s">
        <v>231</v>
      </c>
      <c r="O211" t="s">
        <v>444</v>
      </c>
      <c r="P211" t="s">
        <v>97</v>
      </c>
      <c r="Q211" t="s">
        <v>247</v>
      </c>
    </row>
    <row r="212" spans="1:17" s="25" customFormat="1">
      <c r="A212" s="119">
        <v>5.8217592592592592E-3</v>
      </c>
      <c r="B212" t="s">
        <v>97</v>
      </c>
      <c r="C212"/>
      <c r="D212"/>
      <c r="E212" t="s">
        <v>279</v>
      </c>
      <c r="F212"/>
      <c r="G212" t="s">
        <v>98</v>
      </c>
      <c r="H212"/>
      <c r="I212" s="166">
        <v>46278.608217592591</v>
      </c>
      <c r="J212" t="s">
        <v>445</v>
      </c>
      <c r="K212" t="s">
        <v>443</v>
      </c>
      <c r="L212" s="165">
        <v>46277</v>
      </c>
      <c r="M212" t="s">
        <v>442</v>
      </c>
      <c r="N212" t="s">
        <v>231</v>
      </c>
      <c r="O212" t="s">
        <v>444</v>
      </c>
      <c r="P212" t="s">
        <v>97</v>
      </c>
      <c r="Q212" t="s">
        <v>247</v>
      </c>
    </row>
    <row r="213" spans="1:17" s="25" customFormat="1">
      <c r="A213" s="119">
        <v>5.5793516898148153E-3</v>
      </c>
      <c r="B213" t="s">
        <v>97</v>
      </c>
      <c r="C213"/>
      <c r="D213"/>
      <c r="E213" t="s">
        <v>105</v>
      </c>
      <c r="F213"/>
      <c r="G213" t="s">
        <v>98</v>
      </c>
      <c r="H213"/>
      <c r="I213" s="166">
        <v>46278.608217592591</v>
      </c>
      <c r="J213" t="s">
        <v>445</v>
      </c>
      <c r="K213" t="s">
        <v>443</v>
      </c>
      <c r="L213" s="165">
        <v>46277</v>
      </c>
      <c r="M213" t="s">
        <v>442</v>
      </c>
      <c r="N213" t="s">
        <v>231</v>
      </c>
      <c r="O213" t="s">
        <v>444</v>
      </c>
      <c r="P213" t="s">
        <v>97</v>
      </c>
      <c r="Q213" t="s">
        <v>247</v>
      </c>
    </row>
    <row r="214" spans="1:17" s="25" customFormat="1">
      <c r="A214" s="119">
        <v>5.2836150115740744E-3</v>
      </c>
      <c r="B214" t="s">
        <v>97</v>
      </c>
      <c r="C214"/>
      <c r="D214"/>
      <c r="E214" t="s">
        <v>87</v>
      </c>
      <c r="F214"/>
      <c r="G214" t="s">
        <v>98</v>
      </c>
      <c r="H214"/>
      <c r="I214" s="166">
        <v>46278.607951388891</v>
      </c>
      <c r="J214" t="s">
        <v>445</v>
      </c>
      <c r="K214" t="s">
        <v>443</v>
      </c>
      <c r="L214" s="165">
        <v>46277</v>
      </c>
      <c r="M214" t="s">
        <v>442</v>
      </c>
      <c r="N214" t="s">
        <v>231</v>
      </c>
      <c r="O214" t="s">
        <v>444</v>
      </c>
      <c r="P214" t="s">
        <v>97</v>
      </c>
      <c r="Q214" t="s">
        <v>247</v>
      </c>
    </row>
    <row r="215" spans="1:17" s="25" customFormat="1">
      <c r="A215" s="119">
        <v>5.2836150115740744E-3</v>
      </c>
      <c r="B215" t="s">
        <v>97</v>
      </c>
      <c r="C215"/>
      <c r="D215"/>
      <c r="E215" t="s">
        <v>183</v>
      </c>
      <c r="F215"/>
      <c r="G215" t="s">
        <v>164</v>
      </c>
      <c r="H215"/>
      <c r="I215" s="166">
        <v>46278.607870370368</v>
      </c>
      <c r="J215" t="s">
        <v>445</v>
      </c>
      <c r="K215" t="s">
        <v>443</v>
      </c>
      <c r="L215" s="165">
        <v>46277</v>
      </c>
      <c r="M215" t="s">
        <v>442</v>
      </c>
      <c r="N215" t="s">
        <v>231</v>
      </c>
      <c r="O215" t="s">
        <v>444</v>
      </c>
      <c r="P215" t="s">
        <v>97</v>
      </c>
      <c r="Q215" t="s">
        <v>247</v>
      </c>
    </row>
    <row r="216" spans="1:17" s="25" customFormat="1">
      <c r="A216" s="119">
        <v>5.2836150115740744E-3</v>
      </c>
      <c r="B216" t="s">
        <v>97</v>
      </c>
      <c r="C216"/>
      <c r="D216"/>
      <c r="E216" t="s">
        <v>188</v>
      </c>
      <c r="F216"/>
      <c r="G216" t="s">
        <v>164</v>
      </c>
      <c r="H216"/>
      <c r="I216" s="166">
        <v>46278.607847222222</v>
      </c>
      <c r="J216" t="s">
        <v>445</v>
      </c>
      <c r="K216" t="s">
        <v>443</v>
      </c>
      <c r="L216" s="165">
        <v>46277</v>
      </c>
      <c r="M216" t="s">
        <v>442</v>
      </c>
      <c r="N216" t="s">
        <v>231</v>
      </c>
      <c r="O216" t="s">
        <v>444</v>
      </c>
      <c r="P216" t="s">
        <v>97</v>
      </c>
      <c r="Q216" t="s">
        <v>247</v>
      </c>
    </row>
    <row r="217" spans="1:17" s="25" customFormat="1">
      <c r="A217" s="119">
        <v>5.2141521759259263E-3</v>
      </c>
      <c r="B217" t="s">
        <v>97</v>
      </c>
      <c r="C217"/>
      <c r="D217"/>
      <c r="E217" t="s">
        <v>184</v>
      </c>
      <c r="F217"/>
      <c r="G217" t="s">
        <v>98</v>
      </c>
      <c r="H217"/>
      <c r="I217" s="166">
        <v>46278.607731481483</v>
      </c>
      <c r="J217" t="s">
        <v>445</v>
      </c>
      <c r="K217" t="s">
        <v>443</v>
      </c>
      <c r="L217" s="165">
        <v>46277</v>
      </c>
      <c r="M217" t="s">
        <v>442</v>
      </c>
      <c r="N217" t="s">
        <v>231</v>
      </c>
      <c r="O217" t="s">
        <v>444</v>
      </c>
      <c r="P217" t="s">
        <v>97</v>
      </c>
      <c r="Q217" t="s">
        <v>247</v>
      </c>
    </row>
    <row r="218" spans="1:17" s="25" customFormat="1">
      <c r="A218" s="119">
        <v>5.2004850231481487E-3</v>
      </c>
      <c r="B218" t="s">
        <v>97</v>
      </c>
      <c r="C218"/>
      <c r="D218"/>
      <c r="E218" t="s">
        <v>186</v>
      </c>
      <c r="F218"/>
      <c r="G218" t="s">
        <v>98</v>
      </c>
      <c r="H218"/>
      <c r="I218" s="166">
        <v>46278.607685185183</v>
      </c>
      <c r="J218" t="s">
        <v>445</v>
      </c>
      <c r="K218" t="s">
        <v>443</v>
      </c>
      <c r="L218" s="165">
        <v>46277</v>
      </c>
      <c r="M218" t="s">
        <v>442</v>
      </c>
      <c r="N218" t="s">
        <v>231</v>
      </c>
      <c r="O218" t="s">
        <v>444</v>
      </c>
      <c r="P218" t="s">
        <v>97</v>
      </c>
      <c r="Q218" t="s">
        <v>247</v>
      </c>
    </row>
    <row r="219" spans="1:17" s="25" customFormat="1">
      <c r="A219" s="119">
        <v>5.1512811111111114E-3</v>
      </c>
      <c r="B219" t="s">
        <v>97</v>
      </c>
      <c r="C219"/>
      <c r="D219"/>
      <c r="E219" t="s">
        <v>100</v>
      </c>
      <c r="F219"/>
      <c r="G219"/>
      <c r="H219"/>
      <c r="I219" s="166">
        <v>46278.607638888891</v>
      </c>
      <c r="J219" t="s">
        <v>445</v>
      </c>
      <c r="K219" t="s">
        <v>443</v>
      </c>
      <c r="L219" s="165">
        <v>46277</v>
      </c>
      <c r="M219" t="s">
        <v>442</v>
      </c>
      <c r="N219" t="s">
        <v>231</v>
      </c>
      <c r="O219" t="s">
        <v>444</v>
      </c>
      <c r="P219" t="s">
        <v>97</v>
      </c>
      <c r="Q219" t="s">
        <v>247</v>
      </c>
    </row>
    <row r="220" spans="1:17" s="25" customFormat="1">
      <c r="A220" s="119">
        <v>3.7245135069444448E-3</v>
      </c>
      <c r="B220" t="s">
        <v>97</v>
      </c>
      <c r="C220"/>
      <c r="D220"/>
      <c r="E220" t="s">
        <v>87</v>
      </c>
      <c r="F220"/>
      <c r="G220" t="s">
        <v>98</v>
      </c>
      <c r="H220"/>
      <c r="I220" s="166">
        <v>46278.592789351853</v>
      </c>
      <c r="J220" t="s">
        <v>445</v>
      </c>
      <c r="K220" t="s">
        <v>443</v>
      </c>
      <c r="L220" s="165">
        <v>46277</v>
      </c>
      <c r="M220" t="s">
        <v>442</v>
      </c>
      <c r="N220" t="s">
        <v>231</v>
      </c>
      <c r="O220" t="s">
        <v>444</v>
      </c>
      <c r="P220" t="s">
        <v>97</v>
      </c>
      <c r="Q220" t="s">
        <v>247</v>
      </c>
    </row>
    <row r="221" spans="1:17" s="25" customFormat="1">
      <c r="A221" s="119">
        <v>3.7245135069444448E-3</v>
      </c>
      <c r="B221" t="s">
        <v>97</v>
      </c>
      <c r="C221" t="s">
        <v>449</v>
      </c>
      <c r="D221"/>
      <c r="E221" t="s">
        <v>103</v>
      </c>
      <c r="F221"/>
      <c r="G221" t="s">
        <v>98</v>
      </c>
      <c r="H221"/>
      <c r="I221" s="166">
        <v>46278.592789351853</v>
      </c>
      <c r="J221" t="s">
        <v>445</v>
      </c>
      <c r="K221" t="s">
        <v>443</v>
      </c>
      <c r="L221" s="165">
        <v>46277</v>
      </c>
      <c r="M221" t="s">
        <v>442</v>
      </c>
      <c r="N221" t="s">
        <v>231</v>
      </c>
      <c r="O221" t="s">
        <v>444</v>
      </c>
      <c r="P221" t="s">
        <v>97</v>
      </c>
      <c r="Q221" t="s">
        <v>247</v>
      </c>
    </row>
    <row r="222" spans="1:17" s="25" customFormat="1">
      <c r="A222" s="119">
        <v>3.4498408564814817E-3</v>
      </c>
      <c r="B222" t="s">
        <v>97</v>
      </c>
      <c r="C222" t="s">
        <v>452</v>
      </c>
      <c r="D222"/>
      <c r="E222" t="s">
        <v>111</v>
      </c>
      <c r="F222"/>
      <c r="G222" t="s">
        <v>98</v>
      </c>
      <c r="H222"/>
      <c r="I222" s="166">
        <v>46278.592777777776</v>
      </c>
      <c r="J222" t="s">
        <v>445</v>
      </c>
      <c r="K222" t="s">
        <v>443</v>
      </c>
      <c r="L222" s="165">
        <v>46277</v>
      </c>
      <c r="M222" t="s">
        <v>442</v>
      </c>
      <c r="N222" t="s">
        <v>231</v>
      </c>
      <c r="O222" t="s">
        <v>444</v>
      </c>
      <c r="P222" t="s">
        <v>97</v>
      </c>
      <c r="Q222" t="s">
        <v>247</v>
      </c>
    </row>
    <row r="223" spans="1:17" s="25" customFormat="1">
      <c r="A223" s="119">
        <v>3.1055685300925926E-3</v>
      </c>
      <c r="B223" t="s">
        <v>97</v>
      </c>
      <c r="C223"/>
      <c r="D223"/>
      <c r="E223" t="s">
        <v>104</v>
      </c>
      <c r="F223"/>
      <c r="G223" t="s">
        <v>98</v>
      </c>
      <c r="H223"/>
      <c r="I223" s="166">
        <v>46278.591932870368</v>
      </c>
      <c r="J223" t="s">
        <v>445</v>
      </c>
      <c r="K223" t="s">
        <v>443</v>
      </c>
      <c r="L223" s="165">
        <v>46277</v>
      </c>
      <c r="M223" t="s">
        <v>442</v>
      </c>
      <c r="N223" t="s">
        <v>231</v>
      </c>
      <c r="O223" t="s">
        <v>444</v>
      </c>
      <c r="P223" t="s">
        <v>97</v>
      </c>
      <c r="Q223" t="s">
        <v>247</v>
      </c>
    </row>
    <row r="224" spans="1:17" s="25" customFormat="1">
      <c r="A224" s="119">
        <v>2.5975843981481481E-3</v>
      </c>
      <c r="B224" t="s">
        <v>97</v>
      </c>
      <c r="C224"/>
      <c r="D224"/>
      <c r="E224" t="s">
        <v>87</v>
      </c>
      <c r="F224"/>
      <c r="G224" t="s">
        <v>98</v>
      </c>
      <c r="H224"/>
      <c r="I224" s="166">
        <v>46278.591412037036</v>
      </c>
      <c r="J224" t="s">
        <v>445</v>
      </c>
      <c r="K224" t="s">
        <v>443</v>
      </c>
      <c r="L224" s="165">
        <v>46277</v>
      </c>
      <c r="M224" t="s">
        <v>442</v>
      </c>
      <c r="N224" t="s">
        <v>231</v>
      </c>
      <c r="O224" t="s">
        <v>444</v>
      </c>
      <c r="P224" t="s">
        <v>97</v>
      </c>
      <c r="Q224" t="s">
        <v>247</v>
      </c>
    </row>
    <row r="225" spans="1:17" s="25" customFormat="1">
      <c r="A225" s="119">
        <v>2.5884304166666665E-3</v>
      </c>
      <c r="B225" t="s">
        <v>97</v>
      </c>
      <c r="C225"/>
      <c r="D225"/>
      <c r="E225" t="s">
        <v>135</v>
      </c>
      <c r="F225"/>
      <c r="G225" t="s">
        <v>98</v>
      </c>
      <c r="H225"/>
      <c r="I225" s="166">
        <v>46278.591157407405</v>
      </c>
      <c r="J225" t="s">
        <v>445</v>
      </c>
      <c r="K225" t="s">
        <v>443</v>
      </c>
      <c r="L225" s="165">
        <v>46277</v>
      </c>
      <c r="M225" t="s">
        <v>442</v>
      </c>
      <c r="N225" t="s">
        <v>231</v>
      </c>
      <c r="O225" t="s">
        <v>444</v>
      </c>
      <c r="P225" t="s">
        <v>97</v>
      </c>
      <c r="Q225" t="s">
        <v>247</v>
      </c>
    </row>
    <row r="226" spans="1:17" s="25" customFormat="1">
      <c r="A226" s="119">
        <v>2.5545733912037036E-3</v>
      </c>
      <c r="B226" t="s">
        <v>97</v>
      </c>
      <c r="C226"/>
      <c r="D226"/>
      <c r="E226" t="s">
        <v>108</v>
      </c>
      <c r="F226"/>
      <c r="G226" t="s">
        <v>98</v>
      </c>
      <c r="H226"/>
      <c r="I226" s="166">
        <v>46278.590937499997</v>
      </c>
      <c r="J226" t="s">
        <v>445</v>
      </c>
      <c r="K226" t="s">
        <v>443</v>
      </c>
      <c r="L226" s="165">
        <v>46277</v>
      </c>
      <c r="M226" t="s">
        <v>442</v>
      </c>
      <c r="N226" t="s">
        <v>231</v>
      </c>
      <c r="O226" t="s">
        <v>444</v>
      </c>
      <c r="P226" t="s">
        <v>97</v>
      </c>
      <c r="Q226" t="s">
        <v>247</v>
      </c>
    </row>
    <row r="227" spans="1:17" s="25" customFormat="1">
      <c r="A227" s="119">
        <v>2.4744650231481482E-3</v>
      </c>
      <c r="B227" t="s">
        <v>97</v>
      </c>
      <c r="C227"/>
      <c r="D227"/>
      <c r="E227" t="s">
        <v>108</v>
      </c>
      <c r="F227"/>
      <c r="G227" t="s">
        <v>98</v>
      </c>
      <c r="H227"/>
      <c r="I227" s="166">
        <v>46278.590405092589</v>
      </c>
      <c r="J227" t="s">
        <v>445</v>
      </c>
      <c r="K227" t="s">
        <v>443</v>
      </c>
      <c r="L227" s="165">
        <v>46277</v>
      </c>
      <c r="M227" t="s">
        <v>442</v>
      </c>
      <c r="N227" t="s">
        <v>231</v>
      </c>
      <c r="O227" t="s">
        <v>444</v>
      </c>
      <c r="P227" t="s">
        <v>97</v>
      </c>
      <c r="Q227" t="s">
        <v>247</v>
      </c>
    </row>
    <row r="228" spans="1:17" s="25" customFormat="1">
      <c r="A228" s="119">
        <v>2.4165946527777778E-3</v>
      </c>
      <c r="B228" t="s">
        <v>97</v>
      </c>
      <c r="C228"/>
      <c r="D228"/>
      <c r="E228" t="s">
        <v>279</v>
      </c>
      <c r="F228"/>
      <c r="G228" t="s">
        <v>98</v>
      </c>
      <c r="H228"/>
      <c r="I228" s="166">
        <v>46278.590682870374</v>
      </c>
      <c r="J228" t="s">
        <v>445</v>
      </c>
      <c r="K228" t="s">
        <v>443</v>
      </c>
      <c r="L228" s="165">
        <v>46277</v>
      </c>
      <c r="M228" t="s">
        <v>442</v>
      </c>
      <c r="N228" t="s">
        <v>231</v>
      </c>
      <c r="O228" t="s">
        <v>444</v>
      </c>
      <c r="P228" t="s">
        <v>97</v>
      </c>
      <c r="Q228" t="s">
        <v>247</v>
      </c>
    </row>
    <row r="229" spans="1:17" s="25" customFormat="1">
      <c r="A229" s="119">
        <v>2.2280398148148148E-3</v>
      </c>
      <c r="B229" t="s">
        <v>97</v>
      </c>
      <c r="C229"/>
      <c r="D229"/>
      <c r="E229" t="s">
        <v>105</v>
      </c>
      <c r="F229"/>
      <c r="G229" t="s">
        <v>98</v>
      </c>
      <c r="H229"/>
      <c r="I229" s="166">
        <v>46278.588333333333</v>
      </c>
      <c r="J229" t="s">
        <v>445</v>
      </c>
      <c r="K229" t="s">
        <v>443</v>
      </c>
      <c r="L229" s="165">
        <v>46277</v>
      </c>
      <c r="M229" t="s">
        <v>442</v>
      </c>
      <c r="N229" t="s">
        <v>231</v>
      </c>
      <c r="O229" t="s">
        <v>444</v>
      </c>
      <c r="P229" t="s">
        <v>97</v>
      </c>
      <c r="Q229" t="s">
        <v>247</v>
      </c>
    </row>
    <row r="230" spans="1:17" s="25" customFormat="1">
      <c r="A230" s="119">
        <v>1.8980436226851852E-3</v>
      </c>
      <c r="B230" t="s">
        <v>97</v>
      </c>
      <c r="C230"/>
      <c r="D230"/>
      <c r="E230" t="s">
        <v>87</v>
      </c>
      <c r="F230"/>
      <c r="G230" t="s">
        <v>98</v>
      </c>
      <c r="H230"/>
      <c r="I230" s="166">
        <v>46278.588171296295</v>
      </c>
      <c r="J230" t="s">
        <v>445</v>
      </c>
      <c r="K230" t="s">
        <v>443</v>
      </c>
      <c r="L230" s="165">
        <v>46277</v>
      </c>
      <c r="M230" t="s">
        <v>442</v>
      </c>
      <c r="N230" t="s">
        <v>231</v>
      </c>
      <c r="O230" t="s">
        <v>444</v>
      </c>
      <c r="P230" t="s">
        <v>97</v>
      </c>
      <c r="Q230" t="s">
        <v>247</v>
      </c>
    </row>
    <row r="231" spans="1:17" s="25" customFormat="1">
      <c r="A231" s="119">
        <v>1.8762968402777777E-3</v>
      </c>
      <c r="B231" t="s">
        <v>97</v>
      </c>
      <c r="C231"/>
      <c r="D231"/>
      <c r="E231" t="s">
        <v>183</v>
      </c>
      <c r="F231"/>
      <c r="G231" t="s">
        <v>164</v>
      </c>
      <c r="H231"/>
      <c r="I231" s="166">
        <v>46278.588125000002</v>
      </c>
      <c r="J231" t="s">
        <v>445</v>
      </c>
      <c r="K231" t="s">
        <v>443</v>
      </c>
      <c r="L231" s="165">
        <v>46277</v>
      </c>
      <c r="M231" t="s">
        <v>442</v>
      </c>
      <c r="N231" t="s">
        <v>231</v>
      </c>
      <c r="O231" t="s">
        <v>444</v>
      </c>
      <c r="P231" t="s">
        <v>97</v>
      </c>
      <c r="Q231" t="s">
        <v>247</v>
      </c>
    </row>
    <row r="232" spans="1:17" s="25" customFormat="1">
      <c r="A232" s="119">
        <v>1.859243599537037E-3</v>
      </c>
      <c r="B232" t="s">
        <v>97</v>
      </c>
      <c r="C232" t="s">
        <v>82</v>
      </c>
      <c r="D232"/>
      <c r="E232" t="s">
        <v>108</v>
      </c>
      <c r="F232"/>
      <c r="G232" t="s">
        <v>164</v>
      </c>
      <c r="H232"/>
      <c r="I232" s="166">
        <v>46278.587199074071</v>
      </c>
      <c r="J232" t="s">
        <v>445</v>
      </c>
      <c r="K232" t="s">
        <v>443</v>
      </c>
      <c r="L232" s="165">
        <v>46277</v>
      </c>
      <c r="M232" t="s">
        <v>442</v>
      </c>
      <c r="N232" t="s">
        <v>231</v>
      </c>
      <c r="O232" t="s">
        <v>444</v>
      </c>
      <c r="P232" t="s">
        <v>97</v>
      </c>
      <c r="Q232" t="s">
        <v>247</v>
      </c>
    </row>
    <row r="233" spans="1:17" s="25" customFormat="1">
      <c r="A233" s="119">
        <v>1.7347701967592591E-3</v>
      </c>
      <c r="B233" t="s">
        <v>97</v>
      </c>
      <c r="C233" t="s">
        <v>446</v>
      </c>
      <c r="D233"/>
      <c r="E233" t="s">
        <v>59</v>
      </c>
      <c r="F233"/>
      <c r="G233" t="s">
        <v>164</v>
      </c>
      <c r="H233"/>
      <c r="I233" s="166">
        <v>46278.553969907407</v>
      </c>
      <c r="J233" t="s">
        <v>445</v>
      </c>
      <c r="K233" t="s">
        <v>443</v>
      </c>
      <c r="L233" s="165">
        <v>46277</v>
      </c>
      <c r="M233" t="s">
        <v>442</v>
      </c>
      <c r="N233" t="s">
        <v>231</v>
      </c>
      <c r="O233" t="s">
        <v>444</v>
      </c>
      <c r="P233" t="s">
        <v>97</v>
      </c>
      <c r="Q233" t="s">
        <v>247</v>
      </c>
    </row>
    <row r="234" spans="1:17" s="25" customFormat="1">
      <c r="A234" s="119">
        <v>1.7231565972222222E-3</v>
      </c>
      <c r="B234" t="s">
        <v>97</v>
      </c>
      <c r="C234" t="s">
        <v>449</v>
      </c>
      <c r="D234"/>
      <c r="E234" t="s">
        <v>59</v>
      </c>
      <c r="F234"/>
      <c r="G234" t="s">
        <v>164</v>
      </c>
      <c r="H234"/>
      <c r="I234" s="166">
        <v>46278.553773148145</v>
      </c>
      <c r="J234" t="s">
        <v>445</v>
      </c>
      <c r="K234" t="s">
        <v>443</v>
      </c>
      <c r="L234" s="165">
        <v>46277</v>
      </c>
      <c r="M234" t="s">
        <v>442</v>
      </c>
      <c r="N234" t="s">
        <v>231</v>
      </c>
      <c r="O234" t="s">
        <v>444</v>
      </c>
      <c r="P234" t="s">
        <v>97</v>
      </c>
      <c r="Q234" t="s">
        <v>247</v>
      </c>
    </row>
    <row r="235" spans="1:17" s="25" customFormat="1">
      <c r="A235" s="119">
        <v>1.7018712847222221E-3</v>
      </c>
      <c r="B235" t="s">
        <v>97</v>
      </c>
      <c r="C235"/>
      <c r="D235"/>
      <c r="E235" t="s">
        <v>188</v>
      </c>
      <c r="F235"/>
      <c r="G235" t="s">
        <v>164</v>
      </c>
      <c r="H235"/>
      <c r="I235" s="166">
        <v>46278.517002314817</v>
      </c>
      <c r="J235" t="s">
        <v>445</v>
      </c>
      <c r="K235" t="s">
        <v>443</v>
      </c>
      <c r="L235" s="165">
        <v>46277</v>
      </c>
      <c r="M235" t="s">
        <v>442</v>
      </c>
      <c r="N235" t="s">
        <v>231</v>
      </c>
      <c r="O235" t="s">
        <v>444</v>
      </c>
      <c r="P235" t="s">
        <v>97</v>
      </c>
      <c r="Q235" t="s">
        <v>247</v>
      </c>
    </row>
    <row r="236" spans="1:17" s="25" customFormat="1">
      <c r="A236" s="119">
        <v>1.7002125578703705E-3</v>
      </c>
      <c r="B236" t="s">
        <v>97</v>
      </c>
      <c r="C236" t="s">
        <v>457</v>
      </c>
      <c r="D236"/>
      <c r="E236" t="s">
        <v>59</v>
      </c>
      <c r="F236"/>
      <c r="G236" t="s">
        <v>164</v>
      </c>
      <c r="H236"/>
      <c r="I236" s="166">
        <v>46278.553587962961</v>
      </c>
      <c r="J236" t="s">
        <v>445</v>
      </c>
      <c r="K236" t="s">
        <v>443</v>
      </c>
      <c r="L236" s="165">
        <v>46277</v>
      </c>
      <c r="M236" t="s">
        <v>442</v>
      </c>
      <c r="N236" t="s">
        <v>231</v>
      </c>
      <c r="O236" t="s">
        <v>444</v>
      </c>
      <c r="P236" t="s">
        <v>97</v>
      </c>
      <c r="Q236" t="s">
        <v>247</v>
      </c>
    </row>
    <row r="237" spans="1:17" s="25" customFormat="1">
      <c r="A237" s="119">
        <v>1.6093897222222223E-3</v>
      </c>
      <c r="B237" t="s">
        <v>97</v>
      </c>
      <c r="C237"/>
      <c r="D237"/>
      <c r="E237" t="s">
        <v>184</v>
      </c>
      <c r="F237"/>
      <c r="G237" t="s">
        <v>98</v>
      </c>
      <c r="H237"/>
      <c r="I237" s="166">
        <v>46278.516898148147</v>
      </c>
      <c r="J237" t="s">
        <v>445</v>
      </c>
      <c r="K237" t="s">
        <v>443</v>
      </c>
      <c r="L237" s="165">
        <v>46277</v>
      </c>
      <c r="M237" t="s">
        <v>442</v>
      </c>
      <c r="N237" t="s">
        <v>231</v>
      </c>
      <c r="O237" t="s">
        <v>444</v>
      </c>
      <c r="P237" t="s">
        <v>97</v>
      </c>
      <c r="Q237" t="s">
        <v>247</v>
      </c>
    </row>
    <row r="238" spans="1:17" s="25" customFormat="1">
      <c r="A238" s="119">
        <v>1.4936130092592593E-3</v>
      </c>
      <c r="B238" t="s">
        <v>97</v>
      </c>
      <c r="C238"/>
      <c r="D238"/>
      <c r="E238" t="s">
        <v>279</v>
      </c>
      <c r="F238"/>
      <c r="G238" t="s">
        <v>98</v>
      </c>
      <c r="H238"/>
      <c r="I238" s="166">
        <v>46278.516724537039</v>
      </c>
      <c r="J238" t="s">
        <v>445</v>
      </c>
      <c r="K238" t="s">
        <v>443</v>
      </c>
      <c r="L238" s="165">
        <v>46277</v>
      </c>
      <c r="M238" t="s">
        <v>442</v>
      </c>
      <c r="N238" t="s">
        <v>231</v>
      </c>
      <c r="O238" t="s">
        <v>444</v>
      </c>
      <c r="P238" t="s">
        <v>97</v>
      </c>
      <c r="Q238" t="s">
        <v>247</v>
      </c>
    </row>
    <row r="239" spans="1:17" s="25" customFormat="1">
      <c r="A239" s="119">
        <v>1.4936130092592593E-3</v>
      </c>
      <c r="B239" t="s">
        <v>97</v>
      </c>
      <c r="C239"/>
      <c r="D239"/>
      <c r="E239" t="s">
        <v>105</v>
      </c>
      <c r="F239"/>
      <c r="G239" t="s">
        <v>98</v>
      </c>
      <c r="H239"/>
      <c r="I239" s="166">
        <v>46278.516724537039</v>
      </c>
      <c r="J239" t="s">
        <v>445</v>
      </c>
      <c r="K239" t="s">
        <v>443</v>
      </c>
      <c r="L239" s="165">
        <v>46277</v>
      </c>
      <c r="M239" t="s">
        <v>442</v>
      </c>
      <c r="N239" t="s">
        <v>231</v>
      </c>
      <c r="O239" t="s">
        <v>444</v>
      </c>
      <c r="P239" t="s">
        <v>97</v>
      </c>
      <c r="Q239" t="s">
        <v>247</v>
      </c>
    </row>
    <row r="240" spans="1:17" s="25" customFormat="1">
      <c r="A240" s="119">
        <v>1.059842789351852E-3</v>
      </c>
      <c r="B240" t="s">
        <v>97</v>
      </c>
      <c r="C240"/>
      <c r="D240"/>
      <c r="E240" t="s">
        <v>87</v>
      </c>
      <c r="F240"/>
      <c r="G240" t="s">
        <v>98</v>
      </c>
      <c r="H240"/>
      <c r="I240" s="166">
        <v>46278.516435185185</v>
      </c>
      <c r="J240" t="s">
        <v>445</v>
      </c>
      <c r="K240" t="s">
        <v>443</v>
      </c>
      <c r="L240" s="165">
        <v>46277</v>
      </c>
      <c r="M240" t="s">
        <v>442</v>
      </c>
      <c r="N240" t="s">
        <v>231</v>
      </c>
      <c r="O240" t="s">
        <v>444</v>
      </c>
      <c r="P240" t="s">
        <v>97</v>
      </c>
      <c r="Q240" t="s">
        <v>247</v>
      </c>
    </row>
    <row r="241" spans="1:17" s="25" customFormat="1">
      <c r="A241" s="119">
        <v>1.0574115162037038E-3</v>
      </c>
      <c r="B241" t="s">
        <v>97</v>
      </c>
      <c r="C241"/>
      <c r="D241"/>
      <c r="E241" t="s">
        <v>183</v>
      </c>
      <c r="F241"/>
      <c r="G241" t="s">
        <v>164</v>
      </c>
      <c r="H241"/>
      <c r="I241" s="166">
        <v>46278.516053240739</v>
      </c>
      <c r="J241" t="s">
        <v>445</v>
      </c>
      <c r="K241" t="s">
        <v>443</v>
      </c>
      <c r="L241" s="165">
        <v>46277</v>
      </c>
      <c r="M241" t="s">
        <v>442</v>
      </c>
      <c r="N241" t="s">
        <v>231</v>
      </c>
      <c r="O241" t="s">
        <v>444</v>
      </c>
      <c r="P241" t="s">
        <v>97</v>
      </c>
      <c r="Q241" t="s">
        <v>247</v>
      </c>
    </row>
    <row r="242" spans="1:17" s="25" customFormat="1">
      <c r="A242" s="119">
        <v>1.0286597337962962E-3</v>
      </c>
      <c r="B242" t="s">
        <v>97</v>
      </c>
      <c r="C242" t="s">
        <v>446</v>
      </c>
      <c r="D242"/>
      <c r="E242" t="s">
        <v>108</v>
      </c>
      <c r="F242"/>
      <c r="G242" t="s">
        <v>164</v>
      </c>
      <c r="H242"/>
      <c r="I242" s="166">
        <v>46278.497245370374</v>
      </c>
      <c r="J242" t="s">
        <v>445</v>
      </c>
      <c r="K242" t="s">
        <v>443</v>
      </c>
      <c r="L242" s="165">
        <v>46277</v>
      </c>
      <c r="M242" t="s">
        <v>442</v>
      </c>
      <c r="N242" t="s">
        <v>231</v>
      </c>
      <c r="O242" t="s">
        <v>444</v>
      </c>
      <c r="P242" t="s">
        <v>97</v>
      </c>
      <c r="Q242" t="s">
        <v>247</v>
      </c>
    </row>
    <row r="243" spans="1:17" s="25" customFormat="1">
      <c r="A243" s="119">
        <v>1.0113155324074075E-3</v>
      </c>
      <c r="B243" t="s">
        <v>97</v>
      </c>
      <c r="C243" t="s">
        <v>447</v>
      </c>
      <c r="D243"/>
      <c r="E243" t="s">
        <v>108</v>
      </c>
      <c r="F243"/>
      <c r="G243" t="s">
        <v>164</v>
      </c>
      <c r="H243"/>
      <c r="I243" s="166">
        <v>46278.497106481482</v>
      </c>
      <c r="J243" t="s">
        <v>445</v>
      </c>
      <c r="K243" t="s">
        <v>443</v>
      </c>
      <c r="L243" s="165">
        <v>46277</v>
      </c>
      <c r="M243" t="s">
        <v>442</v>
      </c>
      <c r="N243" t="s">
        <v>231</v>
      </c>
      <c r="O243" t="s">
        <v>444</v>
      </c>
      <c r="P243" t="s">
        <v>97</v>
      </c>
      <c r="Q243" t="s">
        <v>247</v>
      </c>
    </row>
    <row r="244" spans="1:17" s="25" customFormat="1">
      <c r="A244" s="119">
        <v>1.0053289004629629E-3</v>
      </c>
      <c r="B244" t="s">
        <v>97</v>
      </c>
      <c r="C244" t="s">
        <v>452</v>
      </c>
      <c r="D244"/>
      <c r="E244" t="s">
        <v>59</v>
      </c>
      <c r="F244"/>
      <c r="G244" t="s">
        <v>164</v>
      </c>
      <c r="H244"/>
      <c r="I244" s="166">
        <v>46278.496365740742</v>
      </c>
      <c r="J244" t="s">
        <v>445</v>
      </c>
      <c r="K244" t="s">
        <v>443</v>
      </c>
      <c r="L244" s="165">
        <v>46277</v>
      </c>
      <c r="M244" t="s">
        <v>442</v>
      </c>
      <c r="N244" t="s">
        <v>231</v>
      </c>
      <c r="O244" t="s">
        <v>444</v>
      </c>
      <c r="P244" t="s">
        <v>97</v>
      </c>
      <c r="Q244" t="s">
        <v>247</v>
      </c>
    </row>
    <row r="245" spans="1:17" s="25" customFormat="1">
      <c r="A245" s="119">
        <v>9.4770785879629623E-4</v>
      </c>
      <c r="B245" t="s">
        <v>97</v>
      </c>
      <c r="C245"/>
      <c r="D245"/>
      <c r="E245" t="s">
        <v>188</v>
      </c>
      <c r="F245"/>
      <c r="G245" t="s">
        <v>164</v>
      </c>
      <c r="H245"/>
      <c r="I245" s="166">
        <v>46278.49559027778</v>
      </c>
      <c r="J245" t="s">
        <v>445</v>
      </c>
      <c r="K245" t="s">
        <v>443</v>
      </c>
      <c r="L245" s="165">
        <v>46277</v>
      </c>
      <c r="M245" t="s">
        <v>442</v>
      </c>
      <c r="N245" t="s">
        <v>231</v>
      </c>
      <c r="O245" t="s">
        <v>444</v>
      </c>
      <c r="P245" t="s">
        <v>97</v>
      </c>
      <c r="Q245" t="s">
        <v>247</v>
      </c>
    </row>
    <row r="246" spans="1:17" s="25" customFormat="1">
      <c r="A246" s="119">
        <v>9.0116850694444436E-4</v>
      </c>
      <c r="B246" t="s">
        <v>97</v>
      </c>
      <c r="C246"/>
      <c r="D246"/>
      <c r="E246" t="s">
        <v>184</v>
      </c>
      <c r="F246"/>
      <c r="G246" t="s">
        <v>98</v>
      </c>
      <c r="H246"/>
      <c r="I246" s="166">
        <v>46278.495509259257</v>
      </c>
      <c r="J246" t="s">
        <v>445</v>
      </c>
      <c r="K246" t="s">
        <v>443</v>
      </c>
      <c r="L246" s="165">
        <v>46277</v>
      </c>
      <c r="M246" t="s">
        <v>442</v>
      </c>
      <c r="N246" t="s">
        <v>231</v>
      </c>
      <c r="O246" t="s">
        <v>444</v>
      </c>
      <c r="P246" t="s">
        <v>97</v>
      </c>
      <c r="Q246" t="s">
        <v>247</v>
      </c>
    </row>
    <row r="247" spans="1:17" s="25" customFormat="1">
      <c r="A247" s="119">
        <v>8.1418607638888887E-4</v>
      </c>
      <c r="B247" t="s">
        <v>97</v>
      </c>
      <c r="C247"/>
      <c r="D247"/>
      <c r="E247" t="s">
        <v>108</v>
      </c>
      <c r="F247"/>
      <c r="G247" t="s">
        <v>98</v>
      </c>
      <c r="H247"/>
      <c r="I247" s="166">
        <v>46278.495370370372</v>
      </c>
      <c r="J247" t="s">
        <v>445</v>
      </c>
      <c r="K247" t="s">
        <v>443</v>
      </c>
      <c r="L247" s="165">
        <v>46277</v>
      </c>
      <c r="M247" t="s">
        <v>442</v>
      </c>
      <c r="N247" t="s">
        <v>231</v>
      </c>
      <c r="O247" t="s">
        <v>444</v>
      </c>
      <c r="P247" t="s">
        <v>97</v>
      </c>
      <c r="Q247" t="s">
        <v>247</v>
      </c>
    </row>
    <row r="248" spans="1:17" s="25" customFormat="1">
      <c r="A248" s="119">
        <v>7.7945718750000001E-4</v>
      </c>
      <c r="B248" t="s">
        <v>97</v>
      </c>
      <c r="C248"/>
      <c r="D248"/>
      <c r="E248" t="s">
        <v>108</v>
      </c>
      <c r="F248"/>
      <c r="G248" t="s">
        <v>98</v>
      </c>
      <c r="H248"/>
      <c r="I248" s="166">
        <v>46278.49527777778</v>
      </c>
      <c r="J248" t="s">
        <v>445</v>
      </c>
      <c r="K248" t="s">
        <v>443</v>
      </c>
      <c r="L248" s="165">
        <v>46277</v>
      </c>
      <c r="M248" t="s">
        <v>442</v>
      </c>
      <c r="N248" t="s">
        <v>231</v>
      </c>
      <c r="O248" t="s">
        <v>444</v>
      </c>
      <c r="P248" t="s">
        <v>97</v>
      </c>
      <c r="Q248" t="s">
        <v>247</v>
      </c>
    </row>
    <row r="249" spans="1:17" s="25" customFormat="1">
      <c r="A249" s="119">
        <v>7.6280895833333339E-4</v>
      </c>
      <c r="B249" t="s">
        <v>97</v>
      </c>
      <c r="C249"/>
      <c r="D249"/>
      <c r="E249" t="s">
        <v>186</v>
      </c>
      <c r="F249"/>
      <c r="G249" t="s">
        <v>98</v>
      </c>
      <c r="H249"/>
      <c r="I249" s="166">
        <v>46278.495023148149</v>
      </c>
      <c r="J249" t="s">
        <v>445</v>
      </c>
      <c r="K249" t="s">
        <v>443</v>
      </c>
      <c r="L249" s="165">
        <v>46277</v>
      </c>
      <c r="M249" t="s">
        <v>442</v>
      </c>
      <c r="N249" t="s">
        <v>231</v>
      </c>
      <c r="O249" t="s">
        <v>444</v>
      </c>
      <c r="P249" t="s">
        <v>97</v>
      </c>
      <c r="Q249" t="s">
        <v>247</v>
      </c>
    </row>
    <row r="250" spans="1:17" s="25" customFormat="1">
      <c r="A250" s="119">
        <v>6.8182850694444442E-4</v>
      </c>
      <c r="B250" t="s">
        <v>97</v>
      </c>
      <c r="C250"/>
      <c r="D250"/>
      <c r="E250" t="s">
        <v>184</v>
      </c>
      <c r="F250"/>
      <c r="G250" t="s">
        <v>164</v>
      </c>
      <c r="H250"/>
      <c r="I250" s="166">
        <v>46278.494328703702</v>
      </c>
      <c r="J250" t="s">
        <v>445</v>
      </c>
      <c r="K250" t="s">
        <v>443</v>
      </c>
      <c r="L250" s="165">
        <v>46277</v>
      </c>
      <c r="M250" t="s">
        <v>442</v>
      </c>
      <c r="N250" t="s">
        <v>231</v>
      </c>
      <c r="O250" t="s">
        <v>444</v>
      </c>
      <c r="P250" t="s">
        <v>97</v>
      </c>
      <c r="Q250" t="s">
        <v>247</v>
      </c>
    </row>
    <row r="251" spans="1:17" s="25" customFormat="1">
      <c r="A251" s="119">
        <v>6.2413225694444446E-4</v>
      </c>
      <c r="B251" t="s">
        <v>97</v>
      </c>
      <c r="C251" t="s">
        <v>456</v>
      </c>
      <c r="D251"/>
      <c r="E251" t="s">
        <v>108</v>
      </c>
      <c r="F251"/>
      <c r="G251" t="s">
        <v>164</v>
      </c>
      <c r="H251"/>
      <c r="I251" s="166">
        <v>46278.494016203702</v>
      </c>
      <c r="J251" t="s">
        <v>445</v>
      </c>
      <c r="K251" t="s">
        <v>443</v>
      </c>
      <c r="L251" s="165">
        <v>46277</v>
      </c>
      <c r="M251" t="s">
        <v>442</v>
      </c>
      <c r="N251" t="s">
        <v>231</v>
      </c>
      <c r="O251" t="s">
        <v>444</v>
      </c>
      <c r="P251" t="s">
        <v>97</v>
      </c>
      <c r="Q251" t="s">
        <v>247</v>
      </c>
    </row>
    <row r="252" spans="1:17" s="25" customFormat="1">
      <c r="A252" s="119">
        <v>6.0687258101851851E-4</v>
      </c>
      <c r="B252" t="s">
        <v>97</v>
      </c>
      <c r="C252" t="s">
        <v>459</v>
      </c>
      <c r="D252"/>
      <c r="E252" t="s">
        <v>59</v>
      </c>
      <c r="F252"/>
      <c r="G252" t="s">
        <v>164</v>
      </c>
      <c r="H252"/>
      <c r="I252" s="166">
        <v>46278.493715277778</v>
      </c>
      <c r="J252" t="s">
        <v>445</v>
      </c>
      <c r="K252" t="s">
        <v>443</v>
      </c>
      <c r="L252" s="165">
        <v>46277</v>
      </c>
      <c r="M252" t="s">
        <v>442</v>
      </c>
      <c r="N252" t="s">
        <v>231</v>
      </c>
      <c r="O252" t="s">
        <v>444</v>
      </c>
      <c r="P252" t="s">
        <v>97</v>
      </c>
      <c r="Q252" t="s">
        <v>247</v>
      </c>
    </row>
    <row r="253" spans="1:17" s="25" customFormat="1">
      <c r="A253" s="119">
        <v>6.0402999999999997E-4</v>
      </c>
      <c r="B253" t="s">
        <v>97</v>
      </c>
      <c r="C253" t="s">
        <v>450</v>
      </c>
      <c r="D253"/>
      <c r="E253" t="s">
        <v>59</v>
      </c>
      <c r="F253"/>
      <c r="G253" t="s">
        <v>164</v>
      </c>
      <c r="H253"/>
      <c r="I253" s="166">
        <v>46278.491840277777</v>
      </c>
      <c r="J253" t="s">
        <v>445</v>
      </c>
      <c r="K253" t="s">
        <v>443</v>
      </c>
      <c r="L253" s="165">
        <v>46277</v>
      </c>
      <c r="M253" t="s">
        <v>442</v>
      </c>
      <c r="N253" t="s">
        <v>231</v>
      </c>
      <c r="O253" t="s">
        <v>444</v>
      </c>
      <c r="P253" t="s">
        <v>97</v>
      </c>
      <c r="Q253" t="s">
        <v>247</v>
      </c>
    </row>
    <row r="254" spans="1:17" s="25" customFormat="1">
      <c r="A254" s="119">
        <v>5.5593335648148148E-4</v>
      </c>
      <c r="B254" t="s">
        <v>97</v>
      </c>
      <c r="C254" t="s">
        <v>459</v>
      </c>
      <c r="D254"/>
      <c r="E254" t="s">
        <v>108</v>
      </c>
      <c r="F254"/>
      <c r="G254" t="s">
        <v>164</v>
      </c>
      <c r="H254"/>
      <c r="I254" s="166">
        <v>46278.490601851852</v>
      </c>
      <c r="J254" t="s">
        <v>445</v>
      </c>
      <c r="K254" t="s">
        <v>443</v>
      </c>
      <c r="L254" s="165">
        <v>46277</v>
      </c>
      <c r="M254" t="s">
        <v>442</v>
      </c>
      <c r="N254" t="s">
        <v>231</v>
      </c>
      <c r="O254" t="s">
        <v>444</v>
      </c>
      <c r="P254" t="s">
        <v>97</v>
      </c>
      <c r="Q254" t="s">
        <v>247</v>
      </c>
    </row>
    <row r="255" spans="1:17" s="25" customFormat="1">
      <c r="A255" s="119">
        <v>5.4274680555555551E-4</v>
      </c>
      <c r="B255" t="s">
        <v>97</v>
      </c>
      <c r="C255" t="s">
        <v>446</v>
      </c>
      <c r="D255"/>
      <c r="E255" t="s">
        <v>59</v>
      </c>
      <c r="F255"/>
      <c r="G255" t="s">
        <v>164</v>
      </c>
      <c r="H255"/>
      <c r="I255" s="166">
        <v>46278.489942129629</v>
      </c>
      <c r="J255" t="s">
        <v>445</v>
      </c>
      <c r="K255" t="s">
        <v>443</v>
      </c>
      <c r="L255" s="165">
        <v>46277</v>
      </c>
      <c r="M255" t="s">
        <v>442</v>
      </c>
      <c r="N255" t="s">
        <v>231</v>
      </c>
      <c r="O255" t="s">
        <v>444</v>
      </c>
      <c r="P255" t="s">
        <v>97</v>
      </c>
      <c r="Q255" t="s">
        <v>247</v>
      </c>
    </row>
    <row r="256" spans="1:17" s="25" customFormat="1">
      <c r="A256" s="119">
        <v>5.1610113425925924E-4</v>
      </c>
      <c r="B256" t="s">
        <v>97</v>
      </c>
      <c r="C256" t="s">
        <v>455</v>
      </c>
      <c r="D256"/>
      <c r="E256" t="s">
        <v>59</v>
      </c>
      <c r="F256"/>
      <c r="G256" t="s">
        <v>164</v>
      </c>
      <c r="H256"/>
      <c r="I256" s="166">
        <v>46278.489155092589</v>
      </c>
      <c r="J256" t="s">
        <v>445</v>
      </c>
      <c r="K256" t="s">
        <v>443</v>
      </c>
      <c r="L256" s="165">
        <v>46277</v>
      </c>
      <c r="M256" t="s">
        <v>442</v>
      </c>
      <c r="N256" t="s">
        <v>231</v>
      </c>
      <c r="O256" t="s">
        <v>444</v>
      </c>
      <c r="P256" t="s">
        <v>97</v>
      </c>
      <c r="Q256" t="s">
        <v>247</v>
      </c>
    </row>
    <row r="257" spans="1:17" s="25" customFormat="1">
      <c r="A257" s="119">
        <v>4.0658905092592592E-4</v>
      </c>
      <c r="B257" t="s">
        <v>97</v>
      </c>
      <c r="C257" t="s">
        <v>451</v>
      </c>
      <c r="D257"/>
      <c r="E257" t="s">
        <v>108</v>
      </c>
      <c r="F257"/>
      <c r="G257" t="s">
        <v>164</v>
      </c>
      <c r="H257"/>
      <c r="I257" s="166">
        <v>46278.487384259257</v>
      </c>
      <c r="J257" t="s">
        <v>445</v>
      </c>
      <c r="K257" t="s">
        <v>443</v>
      </c>
      <c r="L257" s="165">
        <v>46277</v>
      </c>
      <c r="M257" t="s">
        <v>442</v>
      </c>
      <c r="N257" t="s">
        <v>231</v>
      </c>
      <c r="O257" t="s">
        <v>444</v>
      </c>
      <c r="P257" t="s">
        <v>97</v>
      </c>
      <c r="Q257" t="s">
        <v>247</v>
      </c>
    </row>
    <row r="258" spans="1:17" s="25" customFormat="1">
      <c r="A258" s="119">
        <v>3.8603476851851851E-4</v>
      </c>
      <c r="B258" t="s">
        <v>97</v>
      </c>
      <c r="C258"/>
      <c r="D258"/>
      <c r="E258" t="s">
        <v>188</v>
      </c>
      <c r="F258"/>
      <c r="G258" t="s">
        <v>164</v>
      </c>
      <c r="H258"/>
      <c r="I258" s="166">
        <v>46278.486689814818</v>
      </c>
      <c r="J258" t="s">
        <v>445</v>
      </c>
      <c r="K258" t="s">
        <v>443</v>
      </c>
      <c r="L258" s="165">
        <v>46277</v>
      </c>
      <c r="M258" t="s">
        <v>442</v>
      </c>
      <c r="N258" t="s">
        <v>231</v>
      </c>
      <c r="O258" t="s">
        <v>444</v>
      </c>
      <c r="P258" t="s">
        <v>97</v>
      </c>
      <c r="Q258" t="s">
        <v>247</v>
      </c>
    </row>
    <row r="259" spans="1:17" s="25" customFormat="1">
      <c r="A259" s="119">
        <v>3.2276678240740741E-4</v>
      </c>
      <c r="B259" t="s">
        <v>97</v>
      </c>
      <c r="C259"/>
      <c r="D259"/>
      <c r="E259" t="s">
        <v>100</v>
      </c>
      <c r="F259"/>
      <c r="G259" t="s">
        <v>98</v>
      </c>
      <c r="H259"/>
      <c r="I259" s="166">
        <v>46278.485682870371</v>
      </c>
      <c r="J259" t="s">
        <v>445</v>
      </c>
      <c r="K259" t="s">
        <v>443</v>
      </c>
      <c r="L259" s="165">
        <v>46277</v>
      </c>
      <c r="M259" t="s">
        <v>442</v>
      </c>
      <c r="N259" t="s">
        <v>231</v>
      </c>
      <c r="O259" t="s">
        <v>444</v>
      </c>
      <c r="P259" t="s">
        <v>97</v>
      </c>
      <c r="Q259" t="s">
        <v>247</v>
      </c>
    </row>
    <row r="260" spans="1:17" s="25" customFormat="1"/>
    <row r="261" spans="1:17" s="25" customFormat="1"/>
    <row r="262" spans="1:17" s="25" customFormat="1"/>
    <row r="263" spans="1:17" s="25" customFormat="1"/>
    <row r="264" spans="1:17" s="25" customFormat="1"/>
    <row r="265" spans="1:17" s="25" customFormat="1"/>
    <row r="266" spans="1:17" s="25" customFormat="1"/>
    <row r="267" spans="1:17" s="25" customFormat="1"/>
    <row r="268" spans="1:17" s="25" customFormat="1"/>
    <row r="269" spans="1:17" s="25" customFormat="1"/>
    <row r="270" spans="1:17" s="25" customFormat="1"/>
    <row r="271" spans="1:17" s="25" customFormat="1"/>
    <row r="272" spans="1:17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pans="1:17" s="25" customFormat="1"/>
    <row r="338" spans="1:17" s="25" customFormat="1"/>
    <row r="339" spans="1:17" s="25" customFormat="1"/>
    <row r="340" spans="1:17" s="25" customFormat="1"/>
    <row r="341" spans="1:17" s="25" customFormat="1"/>
    <row r="342" spans="1:17" s="25" customFormat="1"/>
    <row r="343" spans="1:17" s="25" customFormat="1"/>
    <row r="344" spans="1:17" s="25" customFormat="1"/>
    <row r="345" spans="1:17" s="25" customFormat="1"/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</sheetData>
  <phoneticPr fontId="20" type="noConversion"/>
  <dataValidations count="6">
    <dataValidation type="list" allowBlank="1" showErrorMessage="1" sqref="B2:B259" xr:uid="{A980C638-D7BA-AC49-B2F3-16B20C414D4F}">
      <formula1>LISTE_MT_JOURNAL</formula1>
    </dataValidation>
    <dataValidation type="list" allowBlank="1" showErrorMessage="1" sqref="C2:C259" xr:uid="{37986974-EF77-CA4A-8EFA-5457838C5E7D}">
      <formula1>LISTE_JOUEURS_JOURNAL</formula1>
    </dataValidation>
    <dataValidation type="list" allowBlank="1" showErrorMessage="1" sqref="E2:E259" xr:uid="{43C7DB6C-5B98-5949-8A91-8FDE93949208}">
      <formula1>LISTE_ACTIONS_JOURNAL</formula1>
    </dataValidation>
    <dataValidation type="list" allowBlank="1" showErrorMessage="1" sqref="G2:G259" xr:uid="{DCD36B08-114D-A94B-A148-49277E1A06A6}">
      <formula1>LISTE_EQUIPES_JOURNAL</formula1>
    </dataValidation>
    <dataValidation type="list" allowBlank="1" showErrorMessage="1" sqref="F2:F259" xr:uid="{EA1772CC-05C7-2342-8455-C37470891C6B}">
      <formula1>LISTE_MOTIFS_PENALITE</formula1>
    </dataValidation>
    <dataValidation type="list" allowBlank="1" showInputMessage="1" showErrorMessage="1" sqref="D2:D259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tabSelected="1" topLeftCell="A11" workbookViewId="0">
      <selection activeCell="G36" sqref="G36:H42"/>
    </sheetView>
  </sheetViews>
  <sheetFormatPr baseColWidth="10" defaultRowHeight="13"/>
  <cols>
    <col min="1" max="1" width="12.83203125" style="25" customWidth="1"/>
    <col min="2" max="2" width="25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32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4"/>
    </row>
    <row r="4" spans="2:31" s="25" customFormat="1">
      <c r="B4" s="235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7"/>
    </row>
    <row r="5" spans="2:31" s="25" customFormat="1"/>
    <row r="6" spans="2:31" ht="14" customHeight="1">
      <c r="B6" s="238" t="s">
        <v>64</v>
      </c>
      <c r="C6" s="240" t="str">
        <f>ACT_PL_NORMAL</f>
        <v>Plaquage normal</v>
      </c>
      <c r="D6" s="241"/>
      <c r="E6" s="240" t="str">
        <f>ACT_PL_OFF</f>
        <v>Plaquage offensif</v>
      </c>
      <c r="F6" s="241"/>
      <c r="G6" s="240" t="str">
        <f>ACT_PL_RATE</f>
        <v>Plaquage raté</v>
      </c>
      <c r="H6" s="241"/>
      <c r="I6" s="240" t="str">
        <f>ACT_PL_A2</f>
        <v>Plaquage à 2</v>
      </c>
      <c r="J6" s="242"/>
      <c r="K6" s="242" t="str">
        <f>ACT_PL_HAUT</f>
        <v>Plaquage haut</v>
      </c>
      <c r="L6" s="241"/>
      <c r="M6" s="242" t="str">
        <f>ACT_GRATTAGE</f>
        <v>Grattage</v>
      </c>
      <c r="N6" s="241"/>
      <c r="O6" s="243" t="s">
        <v>286</v>
      </c>
      <c r="P6" s="244"/>
      <c r="Q6" s="244"/>
      <c r="R6" s="244"/>
      <c r="S6" s="244"/>
      <c r="T6" s="245"/>
      <c r="Z6"/>
      <c r="AA6"/>
    </row>
    <row r="7" spans="2:31" ht="13" customHeight="1">
      <c r="B7" s="239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str" cm="1">
        <f t="array" ref="B8:B28">_xlfn._xlws.SORT(_xlfn._xlws.FILTER(COMPO[Nom du joueur],(COMPO[Nom du joueur]&lt;&gt;"")*(COMPO[Nom du joueur]&lt;&gt;"Collectif")*(COMPO[Nom du joueur]&lt;&gt;"?")))</f>
        <v>ABADIE Emeric</v>
      </c>
      <c r="C8" s="61">
        <f>IF(COUNTIFS(JournalActions[Joueur],$B8,JournalActions[Action],$C$6,JournalActions[Mi-temps],C$7)=0,"",COUNTIFS(JournalActions[Joueur],$B8,JournalActions[Action],$C$6,JournalActions[Mi-temps],C$7))</f>
        <v>4</v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 t="str">
        <v>ABADIE Thomas</v>
      </c>
      <c r="C9" s="56">
        <f>IF(COUNTIFS(JournalActions[Joueur],$B9,JournalActions[Action],$C$6,JournalActions[Mi-temps],C$7)=0,"",COUNTIFS(JournalActions[Joueur],$B9,JournalActions[Action],$C$6,JournalActions[Mi-temps],C$7))</f>
        <v>1</v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>
        <f>IF(COUNTIFS(JournalActions[Joueur],$B9,JournalActions[Action],$G$6,JournalActions[Mi-temps],G$7)=0,"",COUNTIFS(JournalActions[Joueur],$B9,JournalActions[Action],$G$6,JournalActions[Mi-temps],G$7))</f>
        <v>1</v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 t="str">
        <v>BALAGNA Rudy</v>
      </c>
      <c r="C10" s="56">
        <f>IF(COUNTIFS(JournalActions[Joueur],$B10,JournalActions[Action],$C$6,JournalActions[Mi-temps],C$7)=0,"",COUNTIFS(JournalActions[Joueur],$B10,JournalActions[Action],$C$6,JournalActions[Mi-temps],C$7))</f>
        <v>3</v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>
        <f>IF(COUNTIFS(JournalActions[Joueur],$B10,JournalActions[Action],$E$6,JournalActions[Mi-temps],E$7)=0,"",COUNTIFS(JournalActions[Joueur],$B10,JournalActions[Action],$E$6,JournalActions[Mi-temps],E$7))</f>
        <v>1</v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>
        <f>IF(COUNTIFS(JournalActions[Joueur],$B10,JournalActions[Action],$G$6,JournalActions[Mi-temps],G$7)=0,"",COUNTIFS(JournalActions[Joueur],$B10,JournalActions[Action],$G$6,JournalActions[Mi-temps],G$7))</f>
        <v>2</v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 t="str">
        <v>BARATGIN Julian</v>
      </c>
      <c r="C11" s="56">
        <f>IF(COUNTIFS(JournalActions[Joueur],$B11,JournalActions[Action],$C$6,JournalActions[Mi-temps],C$7)=0,"",COUNTIFS(JournalActions[Joueur],$B11,JournalActions[Action],$C$6,JournalActions[Mi-temps],C$7))</f>
        <v>1</v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 t="str">
        <v>BARRAILH Francois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 t="str">
        <v>BOISVIN Paul</v>
      </c>
      <c r="C13" s="56">
        <f>IF(COUNTIFS(JournalActions[Joueur],$B13,JournalActions[Action],$C$6,JournalActions[Mi-temps],C$7)=0,"",COUNTIFS(JournalActions[Joueur],$B13,JournalActions[Action],$C$6,JournalActions[Mi-temps],C$7))</f>
        <v>1</v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>
        <f>IF(COUNTIFS(JournalActions[Joueur],$B13,JournalActions[Action],$G$6,JournalActions[Mi-temps],G$7)=0,"",COUNTIFS(JournalActions[Joueur],$B13,JournalActions[Action],$G$6,JournalActions[Mi-temps],G$7))</f>
        <v>1</v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 t="str">
        <v>BOUTELOUP Romain</v>
      </c>
      <c r="C14" s="56">
        <f>IF(COUNTIFS(JournalActions[Joueur],$B14,JournalActions[Action],$C$6,JournalActions[Mi-temps],C$7)=0,"",COUNTIFS(JournalActions[Joueur],$B14,JournalActions[Action],$C$6,JournalActions[Mi-temps],C$7))</f>
        <v>1</v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 t="str">
        <v>COURREGES Romain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 t="str">
        <v>FITAN Maël</v>
      </c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>
        <f>IF(COUNTIFS(JournalActions[Joueur],$B16,JournalActions[Action],$G$6,JournalActions[Mi-temps],G$7)=0,"",COUNTIFS(JournalActions[Joueur],$B16,JournalActions[Action],$G$6,JournalActions[Mi-temps],G$7))</f>
        <v>1</v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 t="str">
        <v>GABRELLE Neot</v>
      </c>
      <c r="C17" s="56">
        <f>IF(COUNTIFS(JournalActions[Joueur],$B17,JournalActions[Action],$C$6,JournalActions[Mi-temps],C$7)=0,"",COUNTIFS(JournalActions[Joueur],$B17,JournalActions[Action],$C$6,JournalActions[Mi-temps],C$7))</f>
        <v>1</v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>
        <f>IF(COUNTIFS(JournalActions[Joueur],$B17,JournalActions[Action],$E$6,JournalActions[Mi-temps],E$7)=0,"",COUNTIFS(JournalActions[Joueur],$B17,JournalActions[Action],$E$6,JournalActions[Mi-temps],E$7))</f>
        <v>1</v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>
        <f>IF(COUNTIFS(JournalActions[Joueur],$B17,JournalActions[Action],$G$6,JournalActions[Mi-temps],G$7)=0,"",COUNTIFS(JournalActions[Joueur],$B17,JournalActions[Action],$G$6,JournalActions[Mi-temps],G$7))</f>
        <v>1</v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>1</v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 t="str">
        <v>GALLINARO Pierrick</v>
      </c>
      <c r="C18" s="56">
        <f>IF(COUNTIFS(JournalActions[Joueur],$B18,JournalActions[Action],$C$6,JournalActions[Mi-temps],C$7)=0,"",COUNTIFS(JournalActions[Joueur],$B18,JournalActions[Action],$C$6,JournalActions[Mi-temps],C$7))</f>
        <v>3</v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>
        <f>IF(COUNTIFS(JournalActions[Joueur],$B18,JournalActions[Action],$G$6,JournalActions[Mi-temps],G$7)=0,"",COUNTIFS(JournalActions[Joueur],$B18,JournalActions[Action],$G$6,JournalActions[Mi-temps],G$7))</f>
        <v>1</v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 t="str">
        <v>HENNI Kevin</v>
      </c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 t="str">
        <v>LESPINASSE Lucas</v>
      </c>
      <c r="C20" s="56">
        <f>IF(COUNTIFS(JournalActions[Joueur],$B20,JournalActions[Action],$C$6,JournalActions[Mi-temps],C$7)=0,"",COUNTIFS(JournalActions[Joueur],$B20,JournalActions[Action],$C$6,JournalActions[Mi-temps],C$7))</f>
        <v>3</v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 t="str">
        <v>LOUREIRO LABAZUY Antonio</v>
      </c>
      <c r="C21" s="56">
        <f>IF(COUNTIFS(JournalActions[Joueur],$B21,JournalActions[Action],$C$6,JournalActions[Mi-temps],C$7)=0,"",COUNTIFS(JournalActions[Joueur],$B21,JournalActions[Action],$C$6,JournalActions[Mi-temps],C$7))</f>
        <v>5</v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>
        <f>IF(COUNTIFS(JournalActions[Joueur],$B21,JournalActions[Action],$G$6,JournalActions[Mi-temps],G$7)=0,"",COUNTIFS(JournalActions[Joueur],$B21,JournalActions[Action],$G$6,JournalActions[Mi-temps],G$7))</f>
        <v>1</v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>1</v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 t="str">
        <v>MOUDENS Alexis</v>
      </c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 t="str">
        <v>POUYADOU Julien</v>
      </c>
      <c r="C23" s="56">
        <f>IF(COUNTIFS(JournalActions[Joueur],$B23,JournalActions[Action],$C$6,JournalActions[Mi-temps],C$7)=0,"",COUNTIFS(JournalActions[Joueur],$B23,JournalActions[Action],$C$6,JournalActions[Mi-temps],C$7))</f>
        <v>1</v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 t="str">
        <v>RECURT Louis</v>
      </c>
      <c r="C24" s="56">
        <f>IF(COUNTIFS(JournalActions[Joueur],$B24,JournalActions[Action],$C$6,JournalActions[Mi-temps],C$7)=0,"",COUNTIFS(JournalActions[Joueur],$B24,JournalActions[Action],$C$6,JournalActions[Mi-temps],C$7))</f>
        <v>3</v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 t="str">
        <v>RICHIARDONNE Gregory</v>
      </c>
      <c r="C25" s="56">
        <f>IF(COUNTIFS(JournalActions[Joueur],$B25,JournalActions[Action],$C$6,JournalActions[Mi-temps],C$7)=0,"",COUNTIFS(JournalActions[Joueur],$B25,JournalActions[Action],$C$6,JournalActions[Mi-temps],C$7))</f>
        <v>1</v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>
        <f>IF(COUNTIFS(JournalActions[Joueur],$B25,JournalActions[Action],$E$6,JournalActions[Mi-temps],E$7)=0,"",COUNTIFS(JournalActions[Joueur],$B25,JournalActions[Action],$E$6,JournalActions[Mi-temps],E$7))</f>
        <v>1</v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>
        <f>IF(COUNTIFS(JournalActions[Joueur],$B25,JournalActions[Action],$G$6,JournalActions[Mi-temps],G$7)=0,"",COUNTIFS(JournalActions[Joueur],$B25,JournalActions[Action],$G$6,JournalActions[Mi-temps],G$7))</f>
        <v>2</v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 t="str">
        <v>ROUSSEL Mathis</v>
      </c>
      <c r="C26" s="56">
        <f>IF(COUNTIFS(JournalActions[Joueur],$B26,JournalActions[Action],$C$6,JournalActions[Mi-temps],C$7)=0,"",COUNTIFS(JournalActions[Joueur],$B26,JournalActions[Action],$C$6,JournalActions[Mi-temps],C$7))</f>
        <v>1</v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>
        <f>IF(COUNTIFS(JournalActions[Joueur],$B26,JournalActions[Action],$E$6,JournalActions[Mi-temps],E$7)=0,"",COUNTIFS(JournalActions[Joueur],$B26,JournalActions[Action],$E$6,JournalActions[Mi-temps],E$7))</f>
        <v>1</v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>
        <f>IF(COUNTIFS(JournalActions[Joueur],$B26,JournalActions[Action],$G$6,JournalActions[Mi-temps],G$7)=0,"",COUNTIFS(JournalActions[Joueur],$B26,JournalActions[Action],$G$6,JournalActions[Mi-temps],G$7))</f>
        <v>1</v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 t="str">
        <v>SOUVILLE Quentin</v>
      </c>
      <c r="C27" s="56">
        <f>IF(COUNTIFS(JournalActions[Joueur],$B27,JournalActions[Action],$C$6,JournalActions[Mi-temps],C$7)=0,"",COUNTIFS(JournalActions[Joueur],$B27,JournalActions[Action],$C$6,JournalActions[Mi-temps],C$7))</f>
        <v>3</v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>
        <f>IF(COUNTIFS(JournalActions[Joueur],$B27,JournalActions[Action],$G$6,JournalActions[Mi-temps],G$7)=0,"",COUNTIFS(JournalActions[Joueur],$B27,JournalActions[Action],$G$6,JournalActions[Mi-temps],G$7))</f>
        <v>2</v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 t="str">
        <v>VANDEKERKOFF Aymeric</v>
      </c>
      <c r="C28" s="56">
        <f>IF(COUNTIFS(JournalActions[Joueur],$B28,JournalActions[Action],$C$6,JournalActions[Mi-temps],C$7)=0,"",COUNTIFS(JournalActions[Joueur],$B28,JournalActions[Action],$C$6,JournalActions[Mi-temps],C$7))</f>
        <v>3</v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>
        <f>IF(COUNTIFS(JournalActions[Joueur],$B30,JournalActions[Action],ACT_PEN_CONTRE_NOUS,JournalActions[Motif penalite],O$7)=0,"",COUNTIFS(JournalActions[Joueur],$B30,JournalActions[Action],ACT_PEN_CONTRE_NOUS,JournalActions[Motif penalite],O$7))</f>
        <v>1</v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>
        <f>IF(COUNTIFS(JournalActions[Joueur],$B31,JournalActions[Action],$C$6,JournalActions[Mi-temps],C$7)=0,"",COUNTIFS(JournalActions[Joueur],$B31,JournalActions[Action],$C$6,JournalActions[Mi-temps],C$7))</f>
        <v>1</v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>1</v>
      </c>
      <c r="S31" s="97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>1</v>
      </c>
      <c r="T31" s="9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1" s="25" customFormat="1" ht="22" customHeight="1">
      <c r="B32" s="80" t="s">
        <v>230</v>
      </c>
      <c r="C32" s="81">
        <f>SUM(C8:C31)</f>
        <v>36</v>
      </c>
      <c r="D32" s="82">
        <f t="shared" ref="D32:T32" si="0">SUM(D8:D31)</f>
        <v>0</v>
      </c>
      <c r="E32" s="81">
        <f t="shared" si="0"/>
        <v>4</v>
      </c>
      <c r="F32" s="82">
        <f t="shared" si="0"/>
        <v>0</v>
      </c>
      <c r="G32" s="81">
        <f t="shared" si="0"/>
        <v>13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246">
        <f t="shared" si="0"/>
        <v>1</v>
      </c>
      <c r="P32" s="246">
        <f t="shared" si="0"/>
        <v>0</v>
      </c>
      <c r="Q32" s="246">
        <f t="shared" si="0"/>
        <v>0</v>
      </c>
      <c r="R32" s="246">
        <f t="shared" si="0"/>
        <v>2</v>
      </c>
      <c r="S32" s="246">
        <f t="shared" si="0"/>
        <v>2</v>
      </c>
      <c r="T32" s="246">
        <f t="shared" si="0"/>
        <v>1</v>
      </c>
    </row>
    <row r="33" spans="2:20" s="69" customFormat="1" ht="25" customHeight="1">
      <c r="B33" s="83" t="s">
        <v>229</v>
      </c>
      <c r="C33" s="250">
        <f>C32+D32</f>
        <v>36</v>
      </c>
      <c r="D33" s="251"/>
      <c r="E33" s="252">
        <f t="shared" ref="E33" si="1">E32+F32</f>
        <v>4</v>
      </c>
      <c r="F33" s="252"/>
      <c r="G33" s="250">
        <f t="shared" ref="G33" si="2">G32+H32</f>
        <v>13</v>
      </c>
      <c r="H33" s="251"/>
      <c r="I33" s="250">
        <f>I32+J32</f>
        <v>0</v>
      </c>
      <c r="J33" s="251"/>
      <c r="K33" s="250">
        <f t="shared" ref="K33" si="3">K32+L32</f>
        <v>0</v>
      </c>
      <c r="L33" s="251"/>
      <c r="M33" s="252">
        <f t="shared" ref="M33" si="4">M32+N32</f>
        <v>0</v>
      </c>
      <c r="N33" s="251"/>
      <c r="O33" s="247"/>
      <c r="P33" s="247"/>
      <c r="Q33" s="247"/>
      <c r="R33" s="247"/>
      <c r="S33" s="247"/>
      <c r="T33" s="247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265</v>
      </c>
      <c r="E36" s="85" t="s">
        <v>195</v>
      </c>
      <c r="F36" s="25"/>
      <c r="G36" s="240" t="s">
        <v>224</v>
      </c>
      <c r="H36" s="241"/>
      <c r="J36" s="240" t="s">
        <v>78</v>
      </c>
      <c r="K36" s="240" t="s">
        <v>198</v>
      </c>
      <c r="L36" s="242"/>
      <c r="M36" s="241"/>
      <c r="N36" s="241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7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33</v>
      </c>
      <c r="I37" s="25"/>
      <c r="J37" s="253"/>
      <c r="K37" s="98" t="s">
        <v>204</v>
      </c>
      <c r="L37" s="94" t="s">
        <v>223</v>
      </c>
      <c r="M37" s="99" t="s">
        <v>82</v>
      </c>
      <c r="N37" s="254"/>
    </row>
    <row r="38" spans="2:20">
      <c r="B38" s="25"/>
      <c r="C38" s="36" t="s">
        <v>226</v>
      </c>
      <c r="D38" s="36">
        <f>COUNTIFS(JournalActions[Action],ACT_TO_ADV_PERDUE,JournalActions[Mi-temps],"MT1")</f>
        <v>3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7</v>
      </c>
      <c r="I38" s="25"/>
      <c r="J38" s="61" t="s">
        <v>97</v>
      </c>
      <c r="K38" s="96">
        <f>COUNTIFS(JournalActions[Action],ACT_PEN_CONTRE_NOUS,JournalActions[Mi-temps],"MT1",JournalActions[Groupe fautif],"Avant*")</f>
        <v>2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N38" s="62">
        <f>COUNTIFS(JournalActions[Action],ACT_PEN_CONTRE_ADV,JournalActions[Mi-temps],"MT1")</f>
        <v>7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265</v>
      </c>
      <c r="E40" s="85" t="s">
        <v>195</v>
      </c>
      <c r="F40" s="25"/>
      <c r="G40" s="240" t="s">
        <v>200</v>
      </c>
      <c r="H40" s="241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33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7</v>
      </c>
      <c r="I42" s="25"/>
      <c r="J42" s="248" t="s">
        <v>31</v>
      </c>
      <c r="K42" s="249"/>
      <c r="L42" s="66">
        <f>COUNTIFS(JournalActions[Action],ACT_PEN_CONTRE_NOUS,JournalActions[Motif penalite],ACT_PEN_MAUL)</f>
        <v>1</v>
      </c>
      <c r="M42" s="66">
        <f>COUNTIFS(JournalActions[Action],ACT_PEN_CONTRE_ADV,JournalActions[Motif penalite],ACT_PEN_MAUL)</f>
        <v>1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57" t="s">
        <v>33</v>
      </c>
      <c r="K43" s="258"/>
      <c r="L43" s="38">
        <f>COUNTIFS(JournalActions[Action],ACT_PEN_CONTRE_NOUS,JournalActions[Motif penalite],ACT_PEN_RUCK)</f>
        <v>2</v>
      </c>
      <c r="M43" s="38">
        <f>COUNTIFS(JournalActions[Action],ACT_PEN_CONTRE_ADV,JournalActions[Motif penalite],ACT_PEN_RUCK)</f>
        <v>1</v>
      </c>
      <c r="N43" s="25"/>
    </row>
    <row r="44" spans="2:20" ht="14">
      <c r="B44" s="25"/>
      <c r="C44" s="84" t="s">
        <v>287</v>
      </c>
      <c r="D44" s="84" t="s">
        <v>265</v>
      </c>
      <c r="E44" s="85" t="s">
        <v>195</v>
      </c>
      <c r="F44" s="25"/>
      <c r="G44" s="240" t="s">
        <v>291</v>
      </c>
      <c r="H44" s="241"/>
      <c r="I44" s="25"/>
      <c r="J44" s="248" t="s">
        <v>35</v>
      </c>
      <c r="K44" s="249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1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5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1.3785211817129606E-2</v>
      </c>
      <c r="I45" s="25"/>
      <c r="J45" s="257" t="s">
        <v>37</v>
      </c>
      <c r="K45" s="258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1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4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248" t="s">
        <v>39</v>
      </c>
      <c r="K46" s="249"/>
      <c r="L46" s="66">
        <f>COUNTIFS(JournalActions[Action],ACT_PEN_CONTRE_NOUS,JournalActions[Motif penalite],ACT_PEN_PL_HAUT)</f>
        <v>2</v>
      </c>
      <c r="M46" s="66">
        <f>COUNTIFS(JournalActions[Action],ACT_PEN_CONTRE_ADV,JournalActions[Motif penalite],ACT_PEN_PL_HAUT)</f>
        <v>2</v>
      </c>
      <c r="N46" s="25"/>
    </row>
    <row r="47" spans="2:20">
      <c r="B47" s="25"/>
      <c r="C47" s="25"/>
      <c r="D47" s="25"/>
      <c r="E47" s="25"/>
      <c r="F47" s="25"/>
      <c r="G47" s="107" t="s">
        <v>292</v>
      </c>
      <c r="H47" s="108">
        <v>1.3785211817129606E-2</v>
      </c>
      <c r="I47" s="25"/>
      <c r="J47" s="257" t="s">
        <v>220</v>
      </c>
      <c r="K47" s="258"/>
      <c r="L47" s="38">
        <f>COUNTIFS(JournalActions[Action],ACT_PEN_CONTRE_NOUS,JournalActions[Motif penalite],"~?")</f>
        <v>1</v>
      </c>
      <c r="M47" s="38">
        <f>COUNTIFS(JournalActions[Action],ACT_PEN_CONTRE_ADV,JournalActions[Motif penalite],"~?")</f>
        <v>1</v>
      </c>
      <c r="N47" s="25"/>
    </row>
    <row r="48" spans="2:20" ht="14">
      <c r="B48" s="25"/>
      <c r="C48" s="84" t="s">
        <v>288</v>
      </c>
      <c r="D48" s="84" t="s">
        <v>265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59" t="s">
        <v>289</v>
      </c>
      <c r="C56" s="260"/>
      <c r="D56" s="260"/>
      <c r="E56" s="260"/>
      <c r="F56" s="260"/>
      <c r="G56" s="260"/>
      <c r="H56" s="260"/>
      <c r="I56" s="260"/>
      <c r="J56" s="260"/>
      <c r="K56" s="261"/>
    </row>
    <row r="57" spans="2:14" s="25" customForma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</row>
    <row r="58" spans="2:14" s="25" customFormat="1" ht="14" thickBot="1">
      <c r="B58" s="265"/>
      <c r="C58" s="266"/>
      <c r="D58" s="266"/>
      <c r="E58" s="266"/>
      <c r="F58" s="266"/>
      <c r="G58" s="266"/>
      <c r="H58" s="266"/>
      <c r="I58" s="266"/>
      <c r="J58" s="266"/>
      <c r="K58" s="267"/>
    </row>
    <row r="59" spans="2:14" s="25" customFormat="1"/>
    <row r="60" spans="2:14" s="25" customFormat="1" ht="14">
      <c r="B60" s="238" t="s">
        <v>64</v>
      </c>
      <c r="C60" s="240" t="str">
        <f>ACT_TO_NS_G</f>
        <v>Touche à nous conservée</v>
      </c>
      <c r="D60" s="241"/>
      <c r="E60" s="240" t="str">
        <f>ACT_TO_ADV_VOLEE</f>
        <v>Touche à eux volée</v>
      </c>
      <c r="F60" s="241"/>
      <c r="H60" s="268" t="str">
        <f>ACT_TO_NS_P</f>
        <v>Touche à nous perdue</v>
      </c>
      <c r="I60" s="269"/>
      <c r="J60" s="268" t="str">
        <f>ACT_TO_NS_PAS_DROIT</f>
        <v>Touche à nous pas droite</v>
      </c>
      <c r="K60" s="269"/>
    </row>
    <row r="61" spans="2:14" s="25" customFormat="1" ht="14">
      <c r="B61" s="239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str" cm="1">
        <f t="array" ref="B62:B82">_xlfn._xlws.SORT(_xlfn._xlws.FILTER(COMPO[Nom du joueur],(COMPO[Nom du joueur]&lt;&gt;"")*(COMPO[Nom du joueur]&lt;&gt;"Collectif")*(COMPO[Nom du joueur]&lt;&gt;"?")))</f>
        <v>ABADIE Emeric</v>
      </c>
      <c r="C62" s="56">
        <f>IF(COUNTIFS(JournalActions[Joueur],$B62,JournalActions[Action],$C$60,JournalActions[Mi-temps],C$61)=0,"",COUNTIFS(JournalActions[Joueur],$B62,JournalActions[Action],$C$60,JournalActions[Mi-temps],C$61))</f>
        <v>1</v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 t="str">
        <v>ABADIE Thomas</v>
      </c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 t="str">
        <v>BALAGNA Rudy</v>
      </c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 t="str">
        <v>BARATGIN Julian</v>
      </c>
      <c r="C65" s="56">
        <f>IF(COUNTIFS(JournalActions[Joueur],$B65,JournalActions[Action],$C$60,JournalActions[Mi-temps],C$61)=0,"",COUNTIFS(JournalActions[Joueur],$B65,JournalActions[Action],$C$60,JournalActions[Mi-temps],C$61))</f>
        <v>1</v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 t="str">
        <v>BARRAILH Francois</v>
      </c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 t="str">
        <v>BOISVIN Paul</v>
      </c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 t="str">
        <v>BOUTELOUP Romain</v>
      </c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 t="str">
        <v>COURREGES Romain</v>
      </c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 t="str">
        <v>FITAN Maël</v>
      </c>
      <c r="C70" s="56">
        <f>IF(COUNTIFS(JournalActions[Joueur],$B70,JournalActions[Action],$C$60,JournalActions[Mi-temps],C$61)=0,"",COUNTIFS(JournalActions[Joueur],$B70,JournalActions[Action],$C$60,JournalActions[Mi-temps],C$61))</f>
        <v>3</v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 t="str">
        <v>GABRELLE Neot</v>
      </c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 t="str">
        <v>GALLINARO Pierrick</v>
      </c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 t="str">
        <v>HENNI Kevin</v>
      </c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 t="str">
        <v>LESPINASSE Lucas</v>
      </c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 t="str">
        <v>LOUREIRO LABAZUY Antonio</v>
      </c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 t="str">
        <v>MOUDENS Alexis</v>
      </c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 t="str">
        <v>POUYADOU Julien</v>
      </c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 t="str">
        <v>RECURT Louis</v>
      </c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 t="str">
        <v>RICHIARDONNE Gregory</v>
      </c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 t="str">
        <v>ROUSSEL Mathis</v>
      </c>
      <c r="C80" s="56">
        <f>IF(COUNTIFS(JournalActions[Joueur],$B80,JournalActions[Action],$C$60,JournalActions[Mi-temps],C$61)=0,"",COUNTIFS(JournalActions[Joueur],$B80,JournalActions[Action],$C$60,JournalActions[Mi-temps],C$61))</f>
        <v>2</v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 t="str">
        <v>SOUVILLE Quentin</v>
      </c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 t="str">
        <v>VANDEKERKOFF Aymeric</v>
      </c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7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50">
        <f>C86+D86</f>
        <v>7</v>
      </c>
      <c r="D87" s="251"/>
      <c r="E87" s="250">
        <f>E86+F86</f>
        <v>0</v>
      </c>
      <c r="F87" s="251"/>
      <c r="H87" s="255">
        <f>H86+I86</f>
        <v>0</v>
      </c>
      <c r="I87" s="256"/>
      <c r="J87" s="255">
        <f>J86+K86</f>
        <v>0</v>
      </c>
      <c r="K87" s="256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490</v>
      </c>
      <c r="C92" s="112" t="s">
        <v>98</v>
      </c>
      <c r="D92" s="113" t="s">
        <v>164</v>
      </c>
    </row>
    <row r="93" spans="2:11" s="25" customFormat="1" ht="16">
      <c r="B93" s="114" t="s">
        <v>293</v>
      </c>
      <c r="C93" s="111">
        <v>21</v>
      </c>
      <c r="D93" s="115">
        <v>14</v>
      </c>
    </row>
    <row r="94" spans="2:11" s="25" customFormat="1" ht="16">
      <c r="B94" s="114" t="s">
        <v>294</v>
      </c>
      <c r="C94" s="111">
        <v>6</v>
      </c>
      <c r="D94" s="115">
        <v>10</v>
      </c>
    </row>
    <row r="95" spans="2:11" s="25" customFormat="1" ht="16">
      <c r="B95" s="114" t="s">
        <v>295</v>
      </c>
      <c r="C95" s="111">
        <v>5</v>
      </c>
      <c r="D95" s="115">
        <v>0</v>
      </c>
    </row>
    <row r="96" spans="2:11" s="25" customFormat="1" ht="16">
      <c r="B96" s="114" t="s">
        <v>296</v>
      </c>
      <c r="C96" s="111">
        <v>3</v>
      </c>
      <c r="D96" s="115">
        <v>2</v>
      </c>
    </row>
    <row r="97" spans="2:4" s="25" customFormat="1" ht="17" thickBot="1">
      <c r="B97" s="116" t="s">
        <v>297</v>
      </c>
      <c r="C97" s="117">
        <v>1</v>
      </c>
      <c r="D97" s="118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203" t="s">
        <v>452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203" t="s">
        <v>447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203" t="s">
        <v>460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203" t="s">
        <v>475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203" t="s">
        <v>450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203" t="s">
        <v>451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203" t="s">
        <v>468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203" t="s">
        <v>453</v>
      </c>
      <c r="Q9" s="46" t="s">
        <v>138</v>
      </c>
      <c r="R9" s="46" t="s">
        <v>112</v>
      </c>
    </row>
    <row r="10" spans="3:18" ht="30" customHeight="1">
      <c r="C10" s="44" t="s">
        <v>444</v>
      </c>
      <c r="D10" s="44"/>
      <c r="F10" s="42" t="s">
        <v>159</v>
      </c>
      <c r="G10" s="33"/>
      <c r="I10" s="73" t="s">
        <v>268</v>
      </c>
      <c r="K10" s="203" t="s">
        <v>470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 s="203" t="s">
        <v>472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K12" s="203" t="s">
        <v>454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 s="203" t="s">
        <v>455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203" t="s">
        <v>469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203" t="s">
        <v>456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203" t="s">
        <v>457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203" t="s">
        <v>448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203" t="s">
        <v>446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203" t="s">
        <v>449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203" t="s">
        <v>459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203" t="s">
        <v>486</v>
      </c>
      <c r="Q21" s="45" t="s">
        <v>147</v>
      </c>
      <c r="R21" s="93" t="s">
        <v>105</v>
      </c>
    </row>
    <row r="22" spans="3:18" ht="30" customHeight="1">
      <c r="C22" s="44"/>
      <c r="D22" s="44"/>
      <c r="K22" s="203" t="s">
        <v>488</v>
      </c>
      <c r="Q22" s="45" t="s">
        <v>148</v>
      </c>
      <c r="R22" s="93" t="s">
        <v>100</v>
      </c>
    </row>
    <row r="23" spans="3:18" ht="30" customHeight="1">
      <c r="C23" s="44"/>
      <c r="D23" s="44"/>
      <c r="K23" s="203" t="s">
        <v>92</v>
      </c>
      <c r="Q23" s="45" t="s">
        <v>149</v>
      </c>
      <c r="R23" s="93" t="s">
        <v>101</v>
      </c>
    </row>
    <row r="24" spans="3:18" ht="30" customHeight="1">
      <c r="C24" s="44"/>
      <c r="D24" s="44"/>
      <c r="K24" s="203" t="s">
        <v>82</v>
      </c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0" t="s">
        <v>127</v>
      </c>
      <c r="D5" s="270"/>
      <c r="E5" s="270"/>
      <c r="F5" s="270"/>
      <c r="G5" s="270"/>
    </row>
    <row r="6" spans="3:7" ht="14" thickBot="1"/>
    <row r="7" spans="3:7">
      <c r="C7" s="155"/>
      <c r="D7" s="156"/>
      <c r="E7" s="156"/>
      <c r="F7" s="156"/>
      <c r="G7" s="157"/>
    </row>
    <row r="8" spans="3:7">
      <c r="C8" s="158"/>
      <c r="G8" s="159"/>
    </row>
    <row r="9" spans="3:7">
      <c r="C9" s="160" t="s">
        <v>125</v>
      </c>
      <c r="D9" s="164"/>
      <c r="G9" s="159"/>
    </row>
    <row r="10" spans="3:7">
      <c r="C10" s="160"/>
      <c r="G10" s="159"/>
    </row>
    <row r="11" spans="3:7">
      <c r="C11" s="160" t="s">
        <v>126</v>
      </c>
      <c r="D11" s="164"/>
      <c r="G11" s="159"/>
    </row>
    <row r="12" spans="3:7">
      <c r="C12" s="158"/>
      <c r="G12" s="159"/>
    </row>
    <row r="13" spans="3:7" ht="14" thickBot="1">
      <c r="C13" s="161"/>
      <c r="D13" s="162"/>
      <c r="E13" s="162"/>
      <c r="F13" s="162"/>
      <c r="G13" s="163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2026-09-14T10:52:35Z</dcterms:modified>
</cp:coreProperties>
</file>