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Matchs/"/>
    </mc:Choice>
  </mc:AlternateContent>
  <xr:revisionPtr revIDLastSave="0" documentId="13_ncr:1_{5F912659-DF92-584D-AA58-E99DB05C99BC}" xr6:coauthVersionLast="47" xr6:coauthVersionMax="47" xr10:uidLastSave="{00000000-0000-0000-0000-000000000000}"/>
  <bookViews>
    <workbookView xWindow="13460" yWindow="660" windowWidth="21100" windowHeight="21680" xr2:uid="{4C620DC8-4A92-4A74-A2C1-CAFBAFF2AB7D}"/>
    <workbookView xWindow="0" yWindow="12560" windowWidth="25280" windowHeight="9780" activeTab="2" xr2:uid="{F63182D2-CE73-214C-9866-DD0CFA84CE53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<sst xmlns="http://schemas.openxmlformats.org/spreadsheetml/2006/main" count="5491" uniqueCount="406">
  <si>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</si>
  <si>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</si>
  <si>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</si>
  <si>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</si>
  <si>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</si>
  <si>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</si>
  <si>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</si>
  <si>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</si>
  <si>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</si>
  <si>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</si>
  <si>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</si>
  <si>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</si>
  <si>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</si>
  <si>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</si>
  <si>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</si>
  <si>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</si>
  <si>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</si>
  <si>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</si>
  <si>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</si>
  <si>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</si>
  <si>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</si>
  <si>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</si>
  <si>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</si>
  <si>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</si>
  <si>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</si>
  <si>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</si>
  <si>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</si>
  <si>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</si>
  <si>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</si>
  <si>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</si>
  <si>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</si>
  <si>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</si>
  <si>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</si>
  <si>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</si>
  <si>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</si>
  <si>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</si>
  <si>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</si>
  <si>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</si>
  <si>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</si>
  <si>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</si>
  <si>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</si>
  <si>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</si>
  <si>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</si>
  <si>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</si>
  <si>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</si>
  <si>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</si>
  <si>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</si>
  <si>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</si>
  <si>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</si>
  <si>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</si>
  <si>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</si>
  <si>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</si>
  <si>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</si>
  <si>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</si>
  <si>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</si>
  <si>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</si>
  <si>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</si>
  <si>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</si>
  <si>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</si>
  <si>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</si>
  <si>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</si>
  <si>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</si>
  <si>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</si>
  <si>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</si>
  <si>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</si>
  <si>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</si>
  <si>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</si>
  <si>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</si>
  <si>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</si>
  <si>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</si>
  <si>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</si>
  <si>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</si>
  <si>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</si>
  <si>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</si>
  <si>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</si>
  <si>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</si>
  <si>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</si>
  <si>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</si>
  <si>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</si>
  <si>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</si>
  <si>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</si>
  <si>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</si>
  <si>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</si>
  <si>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</si>
  <si>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</si>
  <si>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</si>
  <si>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</si>
  <si>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</si>
  <si>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</si>
  <si>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</si>
  <si>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</si>
  <si>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</si>
  <si>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</si>
  <si>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</si>
  <si>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</si>
  <si>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</si>
  <si>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</si>
  <si>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</si>
  <si>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</si>
  <si>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</si>
  <si>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</si>
  <si>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</si>
  <si>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</si>
  <si>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</si>
  <si>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</si>
  <si>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</si>
  <si>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</si>
  <si>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</si>
  <si>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</si>
  <si>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</si>
  <si>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</si>
  <si>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</si>
  <si>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</si>
  <si>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</si>
  <si>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</si>
  <si>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</si>
  <si>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</si>
  <si>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</si>
  <si>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</si>
  <si>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</si>
  <si>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</si>
  <si>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</si>
  <si>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</si>
  <si>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</si>
  <si>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</si>
  <si>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</si>
  <si>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</si>
  <si>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</si>
  <si>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</si>
  <si>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</si>
  <si>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</si>
  <si>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</si>
  <si>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</si>
  <si>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</si>
  <si>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</si>
  <si>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</si>
  <si>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</si>
  <si>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</si>
  <si>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</si>
  <si>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</si>
  <si>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</si>
  <si>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</si>
  <si>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</si>
  <si>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</si>
  <si>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</si>
  <si>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</si>
  <si>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</si>
  <si>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</si>
  <si>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</si>
  <si>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</si>
  <si>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</si>
  <si>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</si>
  <si>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</si>
  <si>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</si>
  <si>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</si>
  <si>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</si>
  <si>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</si>
  <si>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</si>
  <si>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</si>
  <si>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</si>
  <si>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</si>
  <si>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</si>
  <si>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</si>
  <si>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</si>
  <si>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</si>
  <si>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</si>
  <si>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</si>
  <si>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</si>
  <si>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</si>
  <si>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</si>
  <si>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</si>
  <si>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</si>
  <si>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</si>
  <si>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</si>
  <si>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</si>
  <si>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</si>
  <si>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</si>
  <si>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</si>
  <si>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</si>
  <si>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</si>
  <si>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</si>
  <si>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</si>
  <si>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</si>
  <si>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</si>
  <si>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</si>
  <si>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</si>
  <si>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</si>
  <si>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</si>
  <si>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</si>
  <si>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</si>
  <si>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</si>
  <si>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</si>
  <si>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</si>
  <si>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</si>
  <si>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</si>
  <si>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</si>
  <si>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</si>
  <si>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</si>
  <si>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</si>
  <si>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</si>
  <si>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</si>
  <si>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</si>
  <si>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</si>
  <si>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</si>
  <si>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</si>
  <si>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</si>
  <si>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</si>
  <si>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</si>
  <si>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</si>
  <si>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</si>
  <si>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</si>
  <si>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</si>
  <si>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</si>
  <si>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</si>
  <si>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</si>
  <si>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</si>
  <si>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</si>
  <si>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</si>
  <si>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</si>
  <si>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</si>
  <si>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</si>
  <si>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</si>
  <si>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</si>
  <si>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</si>
  <si>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</si>
  <si>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</si>
  <si>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</si>
  <si>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</si>
  <si>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</si>
  <si>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</si>
  <si>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</si>
  <si>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</si>
  <si>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</si>
  <si>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</si>
  <si>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</si>
  <si>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</si>
  <si>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</si>
  <si>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</si>
  <si>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</si>
  <si>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</si>
  <si>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</si>
  <si>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</si>
  <si>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</si>
  <si>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</si>
  <si>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</si>
  <si>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</si>
  <si>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</si>
  <si>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</si>
  <si>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</si>
  <si>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</si>
  <si>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</si>
  <si>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</si>
  <si>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</si>
  <si>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</si>
  <si>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</si>
  <si>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</si>
  <si>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</si>
  <si>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</si>
  <si>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</si>
  <si>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</si>
  <si>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</si>
  <si>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</si>
  <si>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</si>
  <si>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</si>
  <si>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</si>
  <si>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</si>
  <si>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</si>
  <si>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</si>
  <si>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</si>
  <si>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</si>
  <si>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</si>
  <si>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</si>
  <si>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</si>
  <si>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</si>
  <si>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</si>
  <si>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</si>
  <si>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</si>
  <si>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</si>
  <si>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</si>
  <si>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</si>
  <si>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</si>
  <si>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</si>
  <si>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</si>
  <si>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</si>
  <si>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</si>
  <si>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</si>
  <si>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</si>
  <si>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</si>
  <si>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</si>
  <si>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</si>
  <si>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</si>
  <si>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</si>
  <si>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</si>
  <si>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</si>
  <si>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</si>
  <si>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</si>
  <si>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</si>
  <si>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</si>
  <si>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</si>
  <si>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</si>
  <si>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</si>
  <si>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</si>
  <si>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</si>
  <si>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</si>
  <si>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</si>
  <si>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</si>
  <si>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</si>
  <si>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</si>
  <si>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</si>
  <si>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</si>
  <si>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</si>
  <si>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</si>
  <si>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</si>
  <si>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</si>
  <si>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</si>
  <si>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</si>
  <si>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</si>
  <si>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</si>
  <si>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</si>
  <si>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</si>
  <si>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</si>
  <si>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</si>
  <si>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</si>
  <si>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</si>
  <si>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</si>
  <si>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</si>
  <si>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</si>
  <si>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</si>
  <si>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</si>
  <si>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</si>
  <si>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</si>
  <si>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</si>
  <si>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</si>
  <si>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</si>
  <si>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</si>
  <si>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</si>
  <si>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</si>
  <si>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</si>
  <si>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</si>
  <si>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</si>
  <si>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</si>
  <si>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</si>
  <si>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</si>
  <si>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</si>
  <si>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</si>
  <si>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</si>
  <si>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</si>
  <si>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</si>
  <si>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</si>
  <si>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</si>
  <si>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</si>
  <si>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</si>
  <si>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</si>
  <si>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</si>
  <si>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</si>
  <si>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</si>
  <si>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</si>
  <si>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</si>
  <si>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</si>
  <si>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DALLA ROSA Jonah</t>
  </si>
  <si>
    <r>
      <t xml:space="preserve">1
</t>
    </r>
    <r>
      <rPr>
        <sz val="9"/>
        <color theme="1"/>
        <rFont val="Arial"/>
        <family val="2"/>
      </rPr>
      <t>DALLA ROSA</t>
    </r>
  </si>
  <si>
    <t>DASTUGUE Thomas</t>
  </si>
  <si>
    <r>
      <t xml:space="preserve">2
</t>
    </r>
    <r>
      <rPr>
        <sz val="9"/>
        <color theme="1"/>
        <rFont val="Arial"/>
        <family val="2"/>
      </rPr>
      <t>DASTUGUE</t>
    </r>
  </si>
  <si>
    <t>MULLIER Martin</t>
  </si>
  <si>
    <r>
      <t xml:space="preserve">3
</t>
    </r>
    <r>
      <rPr>
        <sz val="9"/>
        <color theme="1"/>
        <rFont val="Arial"/>
        <family val="2"/>
      </rPr>
      <t>MULLIER</t>
    </r>
  </si>
  <si>
    <t>ABADIE  Emeric</t>
  </si>
  <si>
    <r>
      <t xml:space="preserve">4
</t>
    </r>
    <r>
      <rPr>
        <sz val="9"/>
        <color theme="1"/>
        <rFont val="Arial"/>
        <family val="2"/>
      </rPr>
      <t xml:space="preserve">ABADIE </t>
    </r>
  </si>
  <si>
    <t>MICHELIN Paul</t>
  </si>
  <si>
    <r>
      <t xml:space="preserve">5
</t>
    </r>
    <r>
      <rPr>
        <sz val="9"/>
        <color theme="1"/>
        <rFont val="Arial"/>
        <family val="2"/>
      </rPr>
      <t>MICHELIN</t>
    </r>
  </si>
  <si>
    <t>BARATGIN Julian</t>
  </si>
  <si>
    <r>
      <t xml:space="preserve">6
</t>
    </r>
    <r>
      <rPr>
        <sz val="9"/>
        <color theme="1"/>
        <rFont val="Arial"/>
        <family val="2"/>
      </rPr>
      <t>BARATGIN</t>
    </r>
  </si>
  <si>
    <t>SALLES Dorian</t>
  </si>
  <si>
    <r>
      <t xml:space="preserve">7
</t>
    </r>
    <r>
      <rPr>
        <sz val="9"/>
        <color theme="1"/>
        <rFont val="Arial"/>
        <family val="2"/>
      </rPr>
      <t>SALLES</t>
    </r>
  </si>
  <si>
    <t>PIQUEMIL Maxime</t>
  </si>
  <si>
    <r>
      <t xml:space="preserve">8
</t>
    </r>
    <r>
      <rPr>
        <sz val="9"/>
        <color theme="1"/>
        <rFont val="Arial"/>
        <family val="2"/>
      </rPr>
      <t>PIQUEMIL</t>
    </r>
  </si>
  <si>
    <t>MONLOR Yohan</t>
  </si>
  <si>
    <r>
      <t xml:space="preserve">9
</t>
    </r>
    <r>
      <rPr>
        <sz val="9"/>
        <color theme="1"/>
        <rFont val="Arial"/>
        <family val="2"/>
      </rPr>
      <t>MONLOR</t>
    </r>
  </si>
  <si>
    <t>BAQUE Lucas</t>
  </si>
  <si>
    <r>
      <t xml:space="preserve">10
</t>
    </r>
    <r>
      <rPr>
        <sz val="9"/>
        <color theme="1"/>
        <rFont val="Arial"/>
        <family val="2"/>
      </rPr>
      <t>BAQUE</t>
    </r>
  </si>
  <si>
    <t>BOURREC Anthony</t>
  </si>
  <si>
    <r>
      <t xml:space="preserve">11
</t>
    </r>
    <r>
      <rPr>
        <sz val="9"/>
        <color theme="1"/>
        <rFont val="Arial"/>
        <family val="2"/>
      </rPr>
      <t>BOURREC</t>
    </r>
  </si>
  <si>
    <t>FAULONG Marius</t>
  </si>
  <si>
    <r>
      <t xml:space="preserve">12
</t>
    </r>
    <r>
      <rPr>
        <sz val="9"/>
        <color theme="1"/>
        <rFont val="Arial"/>
        <family val="2"/>
      </rPr>
      <t>FAULONG</t>
    </r>
  </si>
  <si>
    <t>LAUDET Jean-Baptiste</t>
  </si>
  <si>
    <r>
      <t xml:space="preserve">13
</t>
    </r>
    <r>
      <rPr>
        <sz val="9"/>
        <color theme="1"/>
        <rFont val="Arial"/>
        <family val="2"/>
      </rPr>
      <t>LAUDET</t>
    </r>
  </si>
  <si>
    <t>KAPFER Bastien</t>
  </si>
  <si>
    <r>
      <t xml:space="preserve">14
</t>
    </r>
    <r>
      <rPr>
        <sz val="9"/>
        <color theme="1"/>
        <rFont val="Arial"/>
        <family val="2"/>
      </rPr>
      <t>KAPFER</t>
    </r>
  </si>
  <si>
    <t>SALLES Fabien</t>
  </si>
  <si>
    <r>
      <t xml:space="preserve">15
</t>
    </r>
    <r>
      <rPr>
        <sz val="9"/>
        <color theme="1"/>
        <rFont val="Arial"/>
        <family val="2"/>
      </rPr>
      <t>SALLES</t>
    </r>
  </si>
  <si>
    <t>RICHIARDONNE Gregory</t>
  </si>
  <si>
    <r>
      <t xml:space="preserve">16
</t>
    </r>
    <r>
      <rPr>
        <sz val="9"/>
        <color theme="1"/>
        <rFont val="Arial"/>
        <family val="2"/>
      </rPr>
      <t>RICHIARDONNE</t>
    </r>
  </si>
  <si>
    <t>BAUP Bastien</t>
  </si>
  <si>
    <r>
      <t xml:space="preserve">17
</t>
    </r>
    <r>
      <rPr>
        <sz val="9"/>
        <color theme="1"/>
        <rFont val="Arial"/>
        <family val="2"/>
      </rPr>
      <t>BAUP</t>
    </r>
  </si>
  <si>
    <t>BOUTELOUP Romain</t>
  </si>
  <si>
    <r>
      <t xml:space="preserve">18
</t>
    </r>
    <r>
      <rPr>
        <sz val="9"/>
        <color theme="1"/>
        <rFont val="Arial"/>
        <family val="2"/>
      </rPr>
      <t>BOUTELOUP</t>
    </r>
  </si>
  <si>
    <t>ROUSSEL Mathis</t>
  </si>
  <si>
    <r>
      <t xml:space="preserve">19
</t>
    </r>
    <r>
      <rPr>
        <sz val="9"/>
        <color theme="1"/>
        <rFont val="Arial"/>
        <family val="2"/>
      </rPr>
      <t>ROUSSEL</t>
    </r>
  </si>
  <si>
    <t>LOUREIRO LABAZUY Antonio</t>
  </si>
  <si>
    <r>
      <t xml:space="preserve">20
</t>
    </r>
    <r>
      <rPr>
        <sz val="9"/>
        <color theme="1"/>
        <rFont val="Arial"/>
        <family val="2"/>
      </rPr>
      <t>LOUREIRO LABAZUY</t>
    </r>
  </si>
  <si>
    <t>MOUDENS Alexis</t>
  </si>
  <si>
    <r>
      <t xml:space="preserve">21
</t>
    </r>
    <r>
      <rPr>
        <sz val="9"/>
        <color theme="1"/>
        <rFont val="Arial"/>
        <family val="2"/>
      </rPr>
      <t>MOUDENS</t>
    </r>
  </si>
  <si>
    <t>JOUNAUX Joris</t>
  </si>
  <si>
    <r>
      <t xml:space="preserve">22
</t>
    </r>
    <r>
      <rPr>
        <sz val="9"/>
        <color theme="1"/>
        <rFont val="Arial"/>
        <family val="2"/>
      </rPr>
      <t>JOUNAUX</t>
    </r>
  </si>
  <si>
    <t xml:space="preserve">   </t>
  </si>
  <si>
    <t>Rabastens-Coufouleux</t>
  </si>
  <si>
    <t>25-26_R1_Rabastens-Coufouleux_Première_EXT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</si>
</sst>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3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14" fontId="0" fillId="0" borderId="0" xfId="0" applyNumberFormat="1"/>
    <xf numFmtId="22" fontId="0" fillId="0" borderId="0" xfId="0" applyNumberFormat="1"/>
    <xf numFmtId="0" fontId="26" fillId="0" borderId="0" xfId="0" applyFont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m/d/yy"/>
    </dxf>
    <dxf>
      <numFmt numFmtId="167" formatCode="m/d/yy\ h:mm"/>
    </dxf>
    <dxf>
      <numFmt numFmtId="31" formatCode="[h]:mm:ss"/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4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527" totalsRowShown="0">
  <autoFilter ref="A1:Q527" xr:uid="{274E98FB-BCE1-0347-AD79-C8025C407DEC}"/>
  <tableColumns count="17">
    <tableColumn id="1" xr3:uid="{1C6F1113-17EB-A449-86BF-30B1CE9CAC0A}" name="temps video" dataDxfId="4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35" dataDxfId="33" headerRowBorderDxfId="34" tableBorderDxfId="32" totalsRowBorderDxfId="31">
  <autoFilter ref="Q1:R41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5" dataDxfId="3" headerRowBorderDxfId="4" tableBorderDxfId="2" totalsRowBorderDxfId="1">
  <autoFilter ref="K1:K25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C10" sqref="C10"/>
    </sheetView>
    <sheetView workbookViewId="1"/>
  </sheetViews>
  <sheetFormatPr baseColWidth="10" defaultRowHeight="13"/>
  <cols>
    <col min="1" max="1" width="8.33203125" style="138" bestFit="1" customWidth="1"/>
    <col min="2" max="2" width="17.83203125" customWidth="1"/>
    <col min="3" max="3" width="24.83203125" customWidth="1"/>
    <col min="4" max="4" width="14.1640625" style="13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8"/>
      <c r="D1" s="138"/>
    </row>
    <row r="2" spans="1:8" ht="19" customHeight="1">
      <c r="B2" s="160" t="s">
        <v>303</v>
      </c>
      <c r="C2" s="160"/>
      <c r="E2" s="161" t="s">
        <v>304</v>
      </c>
      <c r="F2" s="162"/>
      <c r="G2" s="162"/>
      <c r="H2" s="163"/>
    </row>
    <row r="3" spans="1:8" ht="19" customHeight="1">
      <c r="B3" s="160"/>
      <c r="C3" s="160"/>
      <c r="E3" s="164"/>
      <c r="F3" s="165"/>
      <c r="G3" s="165"/>
      <c r="H3" s="166"/>
    </row>
    <row r="4" spans="1:8" ht="19" customHeight="1" thickBot="1">
      <c r="B4" s="160"/>
      <c r="C4" s="160"/>
      <c r="E4" s="167"/>
      <c r="F4" s="168"/>
      <c r="G4" s="168"/>
      <c r="H4" s="169"/>
    </row>
    <row r="5" spans="1:8" s="29" customFormat="1">
      <c r="A5" s="138"/>
      <c r="D5" s="138"/>
    </row>
    <row r="6" spans="1:8">
      <c r="B6" s="107" t="s">
        <v>274</v>
      </c>
      <c r="C6" s="108" t="s">
        <v>358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F7" t="s">
        <v>359</v>
      </c>
      <c r="G7" t="s">
        <v>244</v>
      </c>
    </row>
    <row r="8" spans="1:8">
      <c r="B8" s="107" t="s">
        <v>312</v>
      </c>
      <c r="C8" s="108">
        <v>46167</v>
      </c>
      <c r="E8">
        <v>2</v>
      </c>
      <c r="F8" t="s">
        <v>361</v>
      </c>
      <c r="G8" t="s">
        <v>244</v>
      </c>
    </row>
    <row r="9" spans="1:8">
      <c r="B9" s="29"/>
      <c r="C9" s="29"/>
      <c r="E9">
        <v>3</v>
      </c>
      <c r="F9" t="s">
        <v>363</v>
      </c>
      <c r="G9" t="s">
        <v>244</v>
      </c>
    </row>
    <row r="10" spans="1:8">
      <c r="B10" s="107" t="s">
        <v>275</v>
      </c>
      <c r="C10" s="108" t="s">
        <v>404</v>
      </c>
      <c r="E10">
        <v>4</v>
      </c>
      <c r="F10" t="s">
        <v>365</v>
      </c>
      <c r="G10" t="s">
        <v>244</v>
      </c>
    </row>
    <row r="11" spans="1:8">
      <c r="B11" s="29"/>
      <c r="C11" s="29"/>
      <c r="E11">
        <v>5</v>
      </c>
      <c r="F11" t="s">
        <v>367</v>
      </c>
      <c r="G11" t="s">
        <v>244</v>
      </c>
    </row>
    <row r="12" spans="1:8">
      <c r="B12" s="107" t="s">
        <v>311</v>
      </c>
      <c r="C12" s="108" t="s">
        <v>290</v>
      </c>
      <c r="E12">
        <v>6</v>
      </c>
      <c r="F12" t="s">
        <v>369</v>
      </c>
      <c r="G12" t="s">
        <v>244</v>
      </c>
    </row>
    <row r="13" spans="1:8">
      <c r="B13" s="29"/>
      <c r="C13" s="29"/>
      <c r="E13">
        <v>7</v>
      </c>
      <c r="F13" t="s">
        <v>371</v>
      </c>
      <c r="G13" t="s">
        <v>244</v>
      </c>
    </row>
    <row r="14" spans="1:8">
      <c r="B14" s="107" t="s">
        <v>276</v>
      </c>
      <c r="C14" s="108" t="s">
        <v>293</v>
      </c>
      <c r="E14">
        <v>8</v>
      </c>
      <c r="F14" t="s">
        <v>373</v>
      </c>
      <c r="G14" t="s">
        <v>244</v>
      </c>
    </row>
    <row r="15" spans="1:8">
      <c r="B15" s="29"/>
      <c r="C15" s="139"/>
      <c r="E15" s="100">
        <v>9</v>
      </c>
      <c r="F15" s="100" t="s">
        <v>375</v>
      </c>
      <c r="G15" s="100" t="s">
        <v>262</v>
      </c>
      <c r="H15" s="100"/>
    </row>
    <row r="16" spans="1:8">
      <c r="B16" s="107" t="s">
        <v>277</v>
      </c>
      <c r="C16" s="109">
        <v>1</v>
      </c>
      <c r="E16">
        <v>10</v>
      </c>
      <c r="F16" t="s">
        <v>377</v>
      </c>
      <c r="G16" t="s">
        <v>262</v>
      </c>
    </row>
    <row r="17" spans="1:8">
      <c r="B17" s="29"/>
      <c r="C17" s="29"/>
      <c r="E17">
        <v>11</v>
      </c>
      <c r="F17" t="s">
        <v>379</v>
      </c>
      <c r="G17" t="s">
        <v>262</v>
      </c>
    </row>
    <row r="18" spans="1:8">
      <c r="B18" s="107" t="s">
        <v>278</v>
      </c>
      <c r="C18" s="108" t="s">
        <v>273</v>
      </c>
      <c r="E18">
        <v>12</v>
      </c>
      <c r="F18" t="s">
        <v>381</v>
      </c>
      <c r="G18" t="s">
        <v>262</v>
      </c>
    </row>
    <row r="19" spans="1:8">
      <c r="B19" s="29"/>
      <c r="C19" s="139"/>
      <c r="E19">
        <v>13</v>
      </c>
      <c r="F19" t="s">
        <v>383</v>
      </c>
      <c r="G19" t="s">
        <v>262</v>
      </c>
    </row>
    <row r="20" spans="1:8">
      <c r="B20" s="107" t="s">
        <v>310</v>
      </c>
      <c r="C20" s="108" t="s">
        <v>306</v>
      </c>
      <c r="E20">
        <v>14</v>
      </c>
      <c r="F20" t="s">
        <v>385</v>
      </c>
      <c r="G20" t="s">
        <v>262</v>
      </c>
    </row>
    <row r="21" spans="1:8">
      <c r="B21" s="29"/>
      <c r="C21" s="29"/>
      <c r="E21" s="95">
        <v>15</v>
      </c>
      <c r="F21" s="95" t="s">
        <v>387</v>
      </c>
      <c r="G21" s="95" t="s">
        <v>262</v>
      </c>
      <c r="H21" s="95"/>
    </row>
    <row r="22" spans="1:8">
      <c r="B22" s="29"/>
      <c r="C22" s="29"/>
      <c r="E22">
        <v>16</v>
      </c>
      <c r="F22" t="s">
        <v>389</v>
      </c>
      <c r="G22" t="s">
        <v>244</v>
      </c>
    </row>
    <row r="23" spans="1:8">
      <c r="B23" s="29"/>
      <c r="C23" s="29"/>
      <c r="E23">
        <v>17</v>
      </c>
      <c r="F23" t="s">
        <v>391</v>
      </c>
      <c r="G23" t="s">
        <v>244</v>
      </c>
    </row>
    <row r="24" spans="1:8">
      <c r="B24" s="29"/>
      <c r="C24" s="29"/>
      <c r="E24">
        <v>18</v>
      </c>
      <c r="F24" t="s">
        <v>393</v>
      </c>
      <c r="G24" t="s">
        <v>244</v>
      </c>
    </row>
    <row r="25" spans="1:8">
      <c r="B25" s="29"/>
      <c r="C25" s="29"/>
      <c r="E25">
        <v>19</v>
      </c>
      <c r="F25" t="s">
        <v>395</v>
      </c>
      <c r="G25" t="s">
        <v>244</v>
      </c>
    </row>
    <row r="26" spans="1:8">
      <c r="B26" s="29"/>
      <c r="C26" s="29"/>
      <c r="E26">
        <v>20</v>
      </c>
      <c r="F26" t="s">
        <v>397</v>
      </c>
      <c r="G26" t="s">
        <v>262</v>
      </c>
    </row>
    <row r="27" spans="1:8">
      <c r="B27" s="29"/>
      <c r="C27" s="29"/>
      <c r="E27">
        <v>21</v>
      </c>
      <c r="F27" t="s">
        <v>399</v>
      </c>
      <c r="G27" t="s">
        <v>262</v>
      </c>
    </row>
    <row r="28" spans="1:8">
      <c r="B28" s="29"/>
      <c r="C28" s="29"/>
      <c r="E28">
        <v>22</v>
      </c>
      <c r="F28" t="s">
        <v>401</v>
      </c>
      <c r="G28" t="s">
        <v>262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279</v>
      </c>
      <c r="C59" s="29" t="s">
        <v>405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  <sheetView workbookViewId="1"/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70" t="str">
        <f>"Match "&amp;IF('Compo'!C14="Aller","A",IF('Compo'!C14="Retour","R","PF"))&amp;'Compo'!C16&amp;IF('Compo'!C12="Extérieur"," : "&amp;'Compo'!C10&amp;" / MXV"," : MXV / "&amp;'Compo'!C10)</f>
        <v>Match PF1 : MXV / Rabastens-Coufouleux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77" t="s">
        <v>215</v>
      </c>
      <c r="E4" s="177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71" t="s">
        <v>70</v>
      </c>
      <c r="E8" s="171"/>
      <c r="F8" s="172"/>
      <c r="G8" s="172"/>
      <c r="H8" s="172"/>
      <c r="I8" s="172"/>
      <c r="J8" s="172"/>
      <c r="K8" s="172"/>
      <c r="L8" s="172"/>
      <c r="M8" s="172"/>
      <c r="N8" s="172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329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330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326</v>
      </c>
      <c r="K18" s="65"/>
      <c r="L18" s="70"/>
      <c r="M18" s="70"/>
      <c r="N18" s="70" t="s">
        <v>403</v>
      </c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75" t="s">
        <v>68</v>
      </c>
      <c r="E30" s="175"/>
      <c r="F30" s="176"/>
      <c r="G30" s="176"/>
      <c r="H30" s="176"/>
      <c r="I30" s="176"/>
      <c r="J30" s="176"/>
      <c r="K30" s="176"/>
      <c r="L30" s="176"/>
      <c r="M30" s="176"/>
      <c r="N30" s="176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 t="s">
        <v>360</v>
      </c>
      <c r="E32" s="86"/>
      <c r="F32" s="87" t="s">
        <v>362</v>
      </c>
      <c r="G32" s="86"/>
      <c r="H32" s="87" t="s">
        <v>364</v>
      </c>
      <c r="I32" s="86"/>
      <c r="J32" s="87" t="s">
        <v>366</v>
      </c>
      <c r="K32" s="86"/>
      <c r="L32" s="87" t="s">
        <v>368</v>
      </c>
      <c r="M32" s="86"/>
      <c r="N32" s="87" t="s">
        <v>370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 t="s">
        <v>372</v>
      </c>
      <c r="E34" s="86"/>
      <c r="F34" s="87" t="s">
        <v>374</v>
      </c>
      <c r="G34" s="86"/>
      <c r="H34" s="87" t="s">
        <v>376</v>
      </c>
      <c r="I34" s="86"/>
      <c r="J34" s="87" t="s">
        <v>378</v>
      </c>
      <c r="K34" s="86"/>
      <c r="L34" s="87" t="s">
        <v>380</v>
      </c>
      <c r="M34" s="86"/>
      <c r="N34" s="87" t="s">
        <v>382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 t="s">
        <v>384</v>
      </c>
      <c r="E36" s="86"/>
      <c r="F36" s="87" t="s">
        <v>386</v>
      </c>
      <c r="G36" s="86"/>
      <c r="H36" s="87" t="s">
        <v>388</v>
      </c>
      <c r="I36" s="86"/>
      <c r="J36" s="87" t="s">
        <v>390</v>
      </c>
      <c r="K36" s="86"/>
      <c r="L36" s="87" t="s">
        <v>392</v>
      </c>
      <c r="M36" s="86"/>
      <c r="N36" s="87" t="s">
        <v>394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 t="s">
        <v>396</v>
      </c>
      <c r="E38" s="86"/>
      <c r="F38" s="87" t="s">
        <v>398</v>
      </c>
      <c r="G38" s="86"/>
      <c r="H38" s="87" t="s">
        <v>400</v>
      </c>
      <c r="I38" s="86"/>
      <c r="J38" s="87" t="s">
        <v>402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71" t="s">
        <v>91</v>
      </c>
      <c r="E42" s="171"/>
      <c r="F42" s="172"/>
      <c r="G42" s="172"/>
      <c r="H42" s="172"/>
      <c r="I42" s="172"/>
      <c r="J42" s="172"/>
      <c r="K42" s="172"/>
      <c r="L42" s="172"/>
      <c r="M42" s="172"/>
      <c r="N42" s="172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73">
        <v>6.9166495868055552E-2</v>
      </c>
      <c r="E46" s="174"/>
      <c r="F46" s="174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138"/>
  <sheetViews>
    <sheetView workbookViewId="0">
      <selection activeCell="A535" sqref="A535"/>
    </sheetView>
    <sheetView tabSelected="1" workbookViewId="1">
      <selection activeCell="S4" sqref="S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 ht="15" customHeight="1">
      <c r="A1" t="s">
        <v>318</v>
      </c>
      <c r="B1" t="s">
        <v>57</v>
      </c>
      <c r="C1" t="s">
        <v>64</v>
      </c>
      <c r="D1" t="s">
        <v>259</v>
      </c>
      <c r="E1" t="s">
        <v>65</v>
      </c>
      <c r="F1" t="s">
        <v>315</v>
      </c>
      <c r="G1" t="s">
        <v>234</v>
      </c>
      <c r="H1" t="s">
        <v>66</v>
      </c>
      <c r="I1" t="s">
        <v>67</v>
      </c>
      <c r="J1" t="s">
        <v>297</v>
      </c>
      <c r="K1" t="s">
        <v>298</v>
      </c>
      <c r="L1" t="s">
        <v>299</v>
      </c>
      <c r="M1" t="s">
        <v>125</v>
      </c>
      <c r="N1" t="s">
        <v>300</v>
      </c>
      <c r="O1" t="s">
        <v>301</v>
      </c>
      <c r="P1" t="s">
        <v>313</v>
      </c>
      <c r="Q1" t="s">
        <v>316</v>
      </c>
    </row>
    <row r="2" spans="1:17" s="29" customFormat="1">
      <c r="A2" s="41">
        <v>6.8695119224537041E-2</v>
      </c>
      <c r="B2" t="s">
        <v>113</v>
      </c>
      <c r="C2"/>
      <c r="D2"/>
      <c r="E2" t="s">
        <v>88</v>
      </c>
      <c r="F2"/>
      <c r="G2" t="s">
        <v>204</v>
      </c>
      <c r="H2"/>
      <c r="I2" s="158">
        <v>46241.751562500001</v>
      </c>
      <c r="J2" t="s">
        <v>324</v>
      </c>
      <c r="K2" t="s">
        <v>358</v>
      </c>
      <c r="L2" s="157">
        <v>46167</v>
      </c>
      <c r="M2" t="s">
        <v>282</v>
      </c>
      <c r="N2" t="s">
        <v>290</v>
      </c>
      <c r="O2" t="s">
        <v>293</v>
      </c>
      <c r="P2">
        <v>3</v>
      </c>
      <c r="Q2" t="s">
        <v>273</v>
      </c>
    </row>
    <row r="3" spans="1:17" s="29" customFormat="1">
      <c r="A3" s="41">
        <v>6.857966152777778E-2</v>
      </c>
      <c r="B3" t="s">
        <v>113</v>
      </c>
      <c r="C3" t="s">
        <v>383</v>
      </c>
      <c r="D3"/>
      <c r="E3" t="s">
        <v>58</v>
      </c>
      <c r="F3"/>
      <c r="G3" t="s">
        <v>204</v>
      </c>
      <c r="H3"/>
      <c r="I3" s="158">
        <v>46241.75141203704</v>
      </c>
      <c r="J3" t="s">
        <v>324</v>
      </c>
      <c r="K3" t="s">
        <v>358</v>
      </c>
      <c r="L3" s="157">
        <v>46167</v>
      </c>
      <c r="M3" t="s">
        <v>282</v>
      </c>
      <c r="N3" t="s">
        <v>290</v>
      </c>
      <c r="O3" t="s">
        <v>293</v>
      </c>
      <c r="P3">
        <v>3</v>
      </c>
      <c r="Q3" t="s">
        <v>273</v>
      </c>
    </row>
    <row r="4" spans="1:17" s="29" customFormat="1">
      <c r="A4" s="41">
        <v>6.8494110983796291E-2</v>
      </c>
      <c r="B4" t="s">
        <v>113</v>
      </c>
      <c r="C4" t="s">
        <v>377</v>
      </c>
      <c r="D4"/>
      <c r="E4" t="s">
        <v>127</v>
      </c>
      <c r="F4"/>
      <c r="G4" t="s">
        <v>204</v>
      </c>
      <c r="H4"/>
      <c r="I4" s="158">
        <v>46241.751157407409</v>
      </c>
      <c r="J4" t="s">
        <v>324</v>
      </c>
      <c r="K4" t="s">
        <v>358</v>
      </c>
      <c r="L4" s="157">
        <v>46167</v>
      </c>
      <c r="M4" t="s">
        <v>282</v>
      </c>
      <c r="N4" t="s">
        <v>290</v>
      </c>
      <c r="O4" t="s">
        <v>293</v>
      </c>
      <c r="P4">
        <v>3</v>
      </c>
      <c r="Q4" t="s">
        <v>273</v>
      </c>
    </row>
    <row r="5" spans="1:17" s="29" customFormat="1">
      <c r="A5" s="41">
        <v>6.846595925925926E-2</v>
      </c>
      <c r="B5" t="s">
        <v>113</v>
      </c>
      <c r="C5"/>
      <c r="D5"/>
      <c r="E5" t="s">
        <v>228</v>
      </c>
      <c r="F5"/>
      <c r="G5" t="s">
        <v>204</v>
      </c>
      <c r="H5"/>
      <c r="I5" s="158">
        <v>46241.751006944447</v>
      </c>
      <c r="J5" t="s">
        <v>324</v>
      </c>
      <c r="K5" t="s">
        <v>358</v>
      </c>
      <c r="L5" s="157">
        <v>46167</v>
      </c>
      <c r="M5" t="s">
        <v>282</v>
      </c>
      <c r="N5" t="s">
        <v>290</v>
      </c>
      <c r="O5" t="s">
        <v>293</v>
      </c>
      <c r="P5">
        <v>3</v>
      </c>
      <c r="Q5" t="s">
        <v>273</v>
      </c>
    </row>
    <row r="6" spans="1:17" s="29" customFormat="1">
      <c r="A6" s="41">
        <v>6.8425988645833338E-2</v>
      </c>
      <c r="B6" t="s">
        <v>113</v>
      </c>
      <c r="C6"/>
      <c r="D6"/>
      <c r="E6" t="s">
        <v>119</v>
      </c>
      <c r="F6"/>
      <c r="G6" t="s">
        <v>204</v>
      </c>
      <c r="H6"/>
      <c r="I6" s="158">
        <v>46241.750960648147</v>
      </c>
      <c r="J6" t="s">
        <v>324</v>
      </c>
      <c r="K6" t="s">
        <v>358</v>
      </c>
      <c r="L6" s="157">
        <v>46167</v>
      </c>
      <c r="M6" t="s">
        <v>282</v>
      </c>
      <c r="N6" t="s">
        <v>290</v>
      </c>
      <c r="O6" t="s">
        <v>293</v>
      </c>
      <c r="P6">
        <v>3</v>
      </c>
      <c r="Q6" t="s">
        <v>273</v>
      </c>
    </row>
    <row r="7" spans="1:17" s="29" customFormat="1">
      <c r="A7" s="41">
        <v>6.8167364143518525E-2</v>
      </c>
      <c r="B7" t="s">
        <v>113</v>
      </c>
      <c r="C7"/>
      <c r="D7"/>
      <c r="E7" t="s">
        <v>135</v>
      </c>
      <c r="F7"/>
      <c r="G7" t="s">
        <v>204</v>
      </c>
      <c r="H7"/>
      <c r="I7" s="158">
        <v>46241.750763888886</v>
      </c>
      <c r="J7" t="s">
        <v>324</v>
      </c>
      <c r="K7" t="s">
        <v>358</v>
      </c>
      <c r="L7" s="157">
        <v>46167</v>
      </c>
      <c r="M7" t="s">
        <v>282</v>
      </c>
      <c r="N7" t="s">
        <v>290</v>
      </c>
      <c r="O7" t="s">
        <v>293</v>
      </c>
      <c r="P7">
        <v>3</v>
      </c>
      <c r="Q7" t="s">
        <v>273</v>
      </c>
    </row>
    <row r="8" spans="1:17" s="29" customFormat="1">
      <c r="A8" s="41">
        <v>6.7481927060185187E-2</v>
      </c>
      <c r="B8" t="s">
        <v>113</v>
      </c>
      <c r="C8"/>
      <c r="D8"/>
      <c r="E8" t="s">
        <v>88</v>
      </c>
      <c r="F8"/>
      <c r="G8" t="s">
        <v>204</v>
      </c>
      <c r="H8"/>
      <c r="I8" s="158">
        <v>46241.750486111108</v>
      </c>
      <c r="J8" t="s">
        <v>324</v>
      </c>
      <c r="K8" t="s">
        <v>358</v>
      </c>
      <c r="L8" s="157">
        <v>46167</v>
      </c>
      <c r="M8" t="s">
        <v>282</v>
      </c>
      <c r="N8" t="s">
        <v>290</v>
      </c>
      <c r="O8" t="s">
        <v>293</v>
      </c>
      <c r="P8">
        <v>3</v>
      </c>
      <c r="Q8" t="s">
        <v>273</v>
      </c>
    </row>
    <row r="9" spans="1:17" s="29" customFormat="1">
      <c r="A9" s="41">
        <v>6.7481927060185187E-2</v>
      </c>
      <c r="B9" t="s">
        <v>113</v>
      </c>
      <c r="C9" t="s">
        <v>373</v>
      </c>
      <c r="D9" t="s">
        <v>244</v>
      </c>
      <c r="E9" t="s">
        <v>254</v>
      </c>
      <c r="F9" t="s">
        <v>247</v>
      </c>
      <c r="G9" t="s">
        <v>204</v>
      </c>
      <c r="H9"/>
      <c r="I9" s="158">
        <v>46241.750486111108</v>
      </c>
      <c r="J9" t="s">
        <v>324</v>
      </c>
      <c r="K9" t="s">
        <v>358</v>
      </c>
      <c r="L9" s="157">
        <v>46167</v>
      </c>
      <c r="M9" t="s">
        <v>282</v>
      </c>
      <c r="N9" t="s">
        <v>290</v>
      </c>
      <c r="O9" t="s">
        <v>293</v>
      </c>
      <c r="P9">
        <v>3</v>
      </c>
      <c r="Q9" t="s">
        <v>273</v>
      </c>
    </row>
    <row r="10" spans="1:17" s="29" customFormat="1">
      <c r="A10" s="41">
        <v>6.7389572974537029E-2</v>
      </c>
      <c r="B10" t="s">
        <v>113</v>
      </c>
      <c r="C10" t="s">
        <v>383</v>
      </c>
      <c r="D10"/>
      <c r="E10" t="s">
        <v>127</v>
      </c>
      <c r="F10"/>
      <c r="G10" t="s">
        <v>204</v>
      </c>
      <c r="H10"/>
      <c r="I10" s="158">
        <v>46241.749965277777</v>
      </c>
      <c r="J10" t="s">
        <v>324</v>
      </c>
      <c r="K10" t="s">
        <v>358</v>
      </c>
      <c r="L10" s="157">
        <v>46167</v>
      </c>
      <c r="M10" t="s">
        <v>282</v>
      </c>
      <c r="N10" t="s">
        <v>290</v>
      </c>
      <c r="O10" t="s">
        <v>293</v>
      </c>
      <c r="P10">
        <v>3</v>
      </c>
      <c r="Q10" t="s">
        <v>273</v>
      </c>
    </row>
    <row r="11" spans="1:17" s="29" customFormat="1">
      <c r="A11" s="41">
        <v>6.737699598379629E-2</v>
      </c>
      <c r="B11" t="s">
        <v>113</v>
      </c>
      <c r="C11" t="s">
        <v>83</v>
      </c>
      <c r="D11"/>
      <c r="E11" t="s">
        <v>59</v>
      </c>
      <c r="F11"/>
      <c r="G11" t="s">
        <v>204</v>
      </c>
      <c r="H11"/>
      <c r="I11" s="158">
        <v>46241.749641203707</v>
      </c>
      <c r="J11" t="s">
        <v>324</v>
      </c>
      <c r="K11" t="s">
        <v>358</v>
      </c>
      <c r="L11" s="157">
        <v>46167</v>
      </c>
      <c r="M11" t="s">
        <v>282</v>
      </c>
      <c r="N11" t="s">
        <v>290</v>
      </c>
      <c r="O11" t="s">
        <v>293</v>
      </c>
      <c r="P11">
        <v>3</v>
      </c>
      <c r="Q11" t="s">
        <v>273</v>
      </c>
    </row>
    <row r="12" spans="1:17" s="29" customFormat="1">
      <c r="A12" s="41">
        <v>6.736695326388889E-2</v>
      </c>
      <c r="B12" t="s">
        <v>113</v>
      </c>
      <c r="C12" t="s">
        <v>367</v>
      </c>
      <c r="D12"/>
      <c r="E12" t="s">
        <v>59</v>
      </c>
      <c r="F12"/>
      <c r="G12" t="s">
        <v>204</v>
      </c>
      <c r="H12"/>
      <c r="I12" s="158">
        <v>46241.749259259261</v>
      </c>
      <c r="J12" t="s">
        <v>324</v>
      </c>
      <c r="K12" t="s">
        <v>358</v>
      </c>
      <c r="L12" s="157">
        <v>46167</v>
      </c>
      <c r="M12" t="s">
        <v>282</v>
      </c>
      <c r="N12" t="s">
        <v>290</v>
      </c>
      <c r="O12" t="s">
        <v>293</v>
      </c>
      <c r="P12">
        <v>3</v>
      </c>
      <c r="Q12" t="s">
        <v>273</v>
      </c>
    </row>
    <row r="13" spans="1:17" s="29" customFormat="1">
      <c r="A13" s="41">
        <v>6.730994077546297E-2</v>
      </c>
      <c r="B13" t="s">
        <v>113</v>
      </c>
      <c r="C13" t="s">
        <v>369</v>
      </c>
      <c r="D13"/>
      <c r="E13" t="s">
        <v>127</v>
      </c>
      <c r="F13"/>
      <c r="G13" t="s">
        <v>204</v>
      </c>
      <c r="H13"/>
      <c r="I13" s="158">
        <v>46241.749039351853</v>
      </c>
      <c r="J13" t="s">
        <v>324</v>
      </c>
      <c r="K13" t="s">
        <v>358</v>
      </c>
      <c r="L13" s="157">
        <v>46167</v>
      </c>
      <c r="M13" t="s">
        <v>282</v>
      </c>
      <c r="N13" t="s">
        <v>290</v>
      </c>
      <c r="O13" t="s">
        <v>293</v>
      </c>
      <c r="P13">
        <v>3</v>
      </c>
      <c r="Q13" t="s">
        <v>273</v>
      </c>
    </row>
    <row r="14" spans="1:17" s="29" customFormat="1">
      <c r="A14" s="41">
        <v>6.7255007499999991E-2</v>
      </c>
      <c r="B14" t="s">
        <v>113</v>
      </c>
      <c r="C14"/>
      <c r="D14"/>
      <c r="E14" t="s">
        <v>338</v>
      </c>
      <c r="F14"/>
      <c r="G14" t="s">
        <v>204</v>
      </c>
      <c r="H14"/>
      <c r="I14" s="158">
        <v>46241.748831018522</v>
      </c>
      <c r="J14" t="s">
        <v>324</v>
      </c>
      <c r="K14" t="s">
        <v>358</v>
      </c>
      <c r="L14" s="157">
        <v>46167</v>
      </c>
      <c r="M14" t="s">
        <v>282</v>
      </c>
      <c r="N14" t="s">
        <v>290</v>
      </c>
      <c r="O14" t="s">
        <v>293</v>
      </c>
      <c r="P14">
        <v>3</v>
      </c>
      <c r="Q14" t="s">
        <v>273</v>
      </c>
    </row>
    <row r="15" spans="1:17" s="29" customFormat="1">
      <c r="A15" s="41">
        <v>6.7206562418981486E-2</v>
      </c>
      <c r="B15" t="s">
        <v>113</v>
      </c>
      <c r="C15"/>
      <c r="D15"/>
      <c r="E15" t="s">
        <v>124</v>
      </c>
      <c r="F15"/>
      <c r="G15" t="s">
        <v>204</v>
      </c>
      <c r="H15"/>
      <c r="I15" s="158">
        <v>46241.748784722222</v>
      </c>
      <c r="J15" t="s">
        <v>324</v>
      </c>
      <c r="K15" t="s">
        <v>358</v>
      </c>
      <c r="L15" s="157">
        <v>46167</v>
      </c>
      <c r="M15" t="s">
        <v>282</v>
      </c>
      <c r="N15" t="s">
        <v>290</v>
      </c>
      <c r="O15" t="s">
        <v>293</v>
      </c>
      <c r="P15">
        <v>3</v>
      </c>
      <c r="Q15" t="s">
        <v>273</v>
      </c>
    </row>
    <row r="16" spans="1:17" s="29" customFormat="1">
      <c r="A16" s="41">
        <v>6.6623440532407402E-2</v>
      </c>
      <c r="B16" t="s">
        <v>113</v>
      </c>
      <c r="C16"/>
      <c r="D16"/>
      <c r="E16" t="s">
        <v>88</v>
      </c>
      <c r="F16"/>
      <c r="G16" t="s">
        <v>204</v>
      </c>
      <c r="H16"/>
      <c r="I16" s="158">
        <v>46241.748715277776</v>
      </c>
      <c r="J16" t="s">
        <v>324</v>
      </c>
      <c r="K16" t="s">
        <v>358</v>
      </c>
      <c r="L16" s="157">
        <v>46167</v>
      </c>
      <c r="M16" t="s">
        <v>282</v>
      </c>
      <c r="N16" t="s">
        <v>290</v>
      </c>
      <c r="O16" t="s">
        <v>293</v>
      </c>
      <c r="P16">
        <v>3</v>
      </c>
      <c r="Q16" t="s">
        <v>273</v>
      </c>
    </row>
    <row r="17" spans="1:17" s="29" customFormat="1">
      <c r="A17" s="41">
        <v>6.6623440532407402E-2</v>
      </c>
      <c r="B17" t="s">
        <v>113</v>
      </c>
      <c r="C17" t="s">
        <v>383</v>
      </c>
      <c r="D17"/>
      <c r="E17" t="s">
        <v>223</v>
      </c>
      <c r="F17"/>
      <c r="G17" t="s">
        <v>117</v>
      </c>
      <c r="H17"/>
      <c r="I17" s="158">
        <v>46241.748692129629</v>
      </c>
      <c r="J17" t="s">
        <v>324</v>
      </c>
      <c r="K17" t="s">
        <v>358</v>
      </c>
      <c r="L17" s="157">
        <v>46167</v>
      </c>
      <c r="M17" t="s">
        <v>282</v>
      </c>
      <c r="N17" t="s">
        <v>290</v>
      </c>
      <c r="O17" t="s">
        <v>293</v>
      </c>
      <c r="P17">
        <v>3</v>
      </c>
      <c r="Q17" t="s">
        <v>273</v>
      </c>
    </row>
    <row r="18" spans="1:17" s="29" customFormat="1">
      <c r="A18" s="41">
        <v>6.6615792534722218E-2</v>
      </c>
      <c r="B18" t="s">
        <v>113</v>
      </c>
      <c r="C18"/>
      <c r="D18"/>
      <c r="E18" t="s">
        <v>127</v>
      </c>
      <c r="F18"/>
      <c r="G18" t="s">
        <v>117</v>
      </c>
      <c r="H18"/>
      <c r="I18" s="158">
        <v>46241.748310185183</v>
      </c>
      <c r="J18" t="s">
        <v>324</v>
      </c>
      <c r="K18" t="s">
        <v>358</v>
      </c>
      <c r="L18" s="157">
        <v>46167</v>
      </c>
      <c r="M18" t="s">
        <v>282</v>
      </c>
      <c r="N18" t="s">
        <v>290</v>
      </c>
      <c r="O18" t="s">
        <v>293</v>
      </c>
      <c r="P18">
        <v>3</v>
      </c>
      <c r="Q18" t="s">
        <v>273</v>
      </c>
    </row>
    <row r="19" spans="1:17" s="29" customFormat="1">
      <c r="A19" s="41">
        <v>6.6579580706018521E-2</v>
      </c>
      <c r="B19" t="s">
        <v>113</v>
      </c>
      <c r="C19"/>
      <c r="D19"/>
      <c r="E19" t="s">
        <v>59</v>
      </c>
      <c r="F19"/>
      <c r="G19" t="s">
        <v>117</v>
      </c>
      <c r="H19"/>
      <c r="I19" s="158">
        <v>46241.748159722221</v>
      </c>
      <c r="J19" t="s">
        <v>324</v>
      </c>
      <c r="K19" t="s">
        <v>358</v>
      </c>
      <c r="L19" s="157">
        <v>46167</v>
      </c>
      <c r="M19" t="s">
        <v>282</v>
      </c>
      <c r="N19" t="s">
        <v>290</v>
      </c>
      <c r="O19" t="s">
        <v>293</v>
      </c>
      <c r="P19">
        <v>3</v>
      </c>
      <c r="Q19" t="s">
        <v>273</v>
      </c>
    </row>
    <row r="20" spans="1:17" s="29" customFormat="1">
      <c r="A20" s="41">
        <v>6.6546871099537039E-2</v>
      </c>
      <c r="B20" t="s">
        <v>113</v>
      </c>
      <c r="C20"/>
      <c r="D20"/>
      <c r="E20" t="s">
        <v>332</v>
      </c>
      <c r="F20"/>
      <c r="G20" t="s">
        <v>117</v>
      </c>
      <c r="H20"/>
      <c r="I20" s="158">
        <v>46241.748124999998</v>
      </c>
      <c r="J20" t="s">
        <v>324</v>
      </c>
      <c r="K20" t="s">
        <v>358</v>
      </c>
      <c r="L20" s="157">
        <v>46167</v>
      </c>
      <c r="M20" t="s">
        <v>282</v>
      </c>
      <c r="N20" t="s">
        <v>290</v>
      </c>
      <c r="O20" t="s">
        <v>293</v>
      </c>
      <c r="P20">
        <v>3</v>
      </c>
      <c r="Q20" t="s">
        <v>273</v>
      </c>
    </row>
    <row r="21" spans="1:17" s="29" customFormat="1">
      <c r="A21" s="41">
        <v>6.6502729652777787E-2</v>
      </c>
      <c r="B21" t="s">
        <v>113</v>
      </c>
      <c r="C21"/>
      <c r="D21"/>
      <c r="E21" t="s">
        <v>124</v>
      </c>
      <c r="F21"/>
      <c r="G21" t="s">
        <v>117</v>
      </c>
      <c r="H21"/>
      <c r="I21" s="158">
        <v>46241.748090277775</v>
      </c>
      <c r="J21" t="s">
        <v>324</v>
      </c>
      <c r="K21" t="s">
        <v>358</v>
      </c>
      <c r="L21" s="157">
        <v>46167</v>
      </c>
      <c r="M21" t="s">
        <v>282</v>
      </c>
      <c r="N21" t="s">
        <v>290</v>
      </c>
      <c r="O21" t="s">
        <v>293</v>
      </c>
      <c r="P21">
        <v>3</v>
      </c>
      <c r="Q21" t="s">
        <v>273</v>
      </c>
    </row>
    <row r="22" spans="1:17" s="29" customFormat="1">
      <c r="A22" s="41">
        <v>6.604875859953703E-2</v>
      </c>
      <c r="B22" t="s">
        <v>113</v>
      </c>
      <c r="C22"/>
      <c r="D22"/>
      <c r="E22" t="s">
        <v>88</v>
      </c>
      <c r="F22"/>
      <c r="G22" t="s">
        <v>117</v>
      </c>
      <c r="H22"/>
      <c r="I22" s="158">
        <v>46241.747974537036</v>
      </c>
      <c r="J22" t="s">
        <v>324</v>
      </c>
      <c r="K22" t="s">
        <v>358</v>
      </c>
      <c r="L22" s="157">
        <v>46167</v>
      </c>
      <c r="M22" t="s">
        <v>282</v>
      </c>
      <c r="N22" t="s">
        <v>290</v>
      </c>
      <c r="O22" t="s">
        <v>293</v>
      </c>
      <c r="P22">
        <v>3</v>
      </c>
      <c r="Q22" t="s">
        <v>273</v>
      </c>
    </row>
    <row r="23" spans="1:17" s="29" customFormat="1">
      <c r="A23" s="41">
        <v>6.604875859953703E-2</v>
      </c>
      <c r="B23" t="s">
        <v>113</v>
      </c>
      <c r="C23"/>
      <c r="D23"/>
      <c r="E23" t="s">
        <v>223</v>
      </c>
      <c r="F23"/>
      <c r="G23" t="s">
        <v>204</v>
      </c>
      <c r="H23"/>
      <c r="I23" s="158">
        <v>46241.74795138889</v>
      </c>
      <c r="J23" t="s">
        <v>324</v>
      </c>
      <c r="K23" t="s">
        <v>358</v>
      </c>
      <c r="L23" s="157">
        <v>46167</v>
      </c>
      <c r="M23" t="s">
        <v>282</v>
      </c>
      <c r="N23" t="s">
        <v>290</v>
      </c>
      <c r="O23" t="s">
        <v>293</v>
      </c>
      <c r="P23">
        <v>3</v>
      </c>
      <c r="Q23" t="s">
        <v>273</v>
      </c>
    </row>
    <row r="24" spans="1:17" s="29" customFormat="1">
      <c r="A24" s="41">
        <v>6.5963240185185193E-2</v>
      </c>
      <c r="B24" t="s">
        <v>113</v>
      </c>
      <c r="C24"/>
      <c r="D24"/>
      <c r="E24" t="s">
        <v>127</v>
      </c>
      <c r="F24"/>
      <c r="G24" t="s">
        <v>117</v>
      </c>
      <c r="H24"/>
      <c r="I24" s="158">
        <v>46241.747731481482</v>
      </c>
      <c r="J24" t="s">
        <v>324</v>
      </c>
      <c r="K24" t="s">
        <v>358</v>
      </c>
      <c r="L24" s="157">
        <v>46167</v>
      </c>
      <c r="M24" t="s">
        <v>282</v>
      </c>
      <c r="N24" t="s">
        <v>290</v>
      </c>
      <c r="O24" t="s">
        <v>293</v>
      </c>
      <c r="P24">
        <v>3</v>
      </c>
      <c r="Q24" t="s">
        <v>273</v>
      </c>
    </row>
    <row r="25" spans="1:17" s="29" customFormat="1">
      <c r="A25" s="41">
        <v>6.5923260868055555E-2</v>
      </c>
      <c r="B25" t="s">
        <v>113</v>
      </c>
      <c r="C25"/>
      <c r="D25"/>
      <c r="E25" t="s">
        <v>127</v>
      </c>
      <c r="F25"/>
      <c r="G25" t="s">
        <v>117</v>
      </c>
      <c r="H25"/>
      <c r="I25" s="158">
        <v>46241.747627314813</v>
      </c>
      <c r="J25" t="s">
        <v>324</v>
      </c>
      <c r="K25" t="s">
        <v>358</v>
      </c>
      <c r="L25" s="157">
        <v>46167</v>
      </c>
      <c r="M25" t="s">
        <v>282</v>
      </c>
      <c r="N25" t="s">
        <v>290</v>
      </c>
      <c r="O25" t="s">
        <v>293</v>
      </c>
      <c r="P25">
        <v>3</v>
      </c>
      <c r="Q25" t="s">
        <v>273</v>
      </c>
    </row>
    <row r="26" spans="1:17" s="29" customFormat="1">
      <c r="A26" s="41">
        <v>6.5911229791666665E-2</v>
      </c>
      <c r="B26" t="s">
        <v>113</v>
      </c>
      <c r="C26"/>
      <c r="D26"/>
      <c r="E26" t="s">
        <v>59</v>
      </c>
      <c r="F26"/>
      <c r="G26" t="s">
        <v>117</v>
      </c>
      <c r="H26"/>
      <c r="I26" s="158">
        <v>46241.74759259259</v>
      </c>
      <c r="J26" t="s">
        <v>324</v>
      </c>
      <c r="K26" t="s">
        <v>358</v>
      </c>
      <c r="L26" s="157">
        <v>46167</v>
      </c>
      <c r="M26" t="s">
        <v>282</v>
      </c>
      <c r="N26" t="s">
        <v>290</v>
      </c>
      <c r="O26" t="s">
        <v>293</v>
      </c>
      <c r="P26">
        <v>3</v>
      </c>
      <c r="Q26" t="s">
        <v>273</v>
      </c>
    </row>
    <row r="27" spans="1:17" s="29" customFormat="1">
      <c r="A27" s="41">
        <v>6.5839555416666667E-2</v>
      </c>
      <c r="B27" t="s">
        <v>113</v>
      </c>
      <c r="C27"/>
      <c r="D27"/>
      <c r="E27" t="s">
        <v>226</v>
      </c>
      <c r="F27"/>
      <c r="G27" t="s">
        <v>117</v>
      </c>
      <c r="H27"/>
      <c r="I27" s="158">
        <v>46241.747372685182</v>
      </c>
      <c r="J27" t="s">
        <v>324</v>
      </c>
      <c r="K27" t="s">
        <v>358</v>
      </c>
      <c r="L27" s="157">
        <v>46167</v>
      </c>
      <c r="M27" t="s">
        <v>282</v>
      </c>
      <c r="N27" t="s">
        <v>290</v>
      </c>
      <c r="O27" t="s">
        <v>293</v>
      </c>
      <c r="P27">
        <v>3</v>
      </c>
      <c r="Q27" t="s">
        <v>273</v>
      </c>
    </row>
    <row r="28" spans="1:17" s="29" customFormat="1">
      <c r="A28" s="41">
        <v>6.5790779351851861E-2</v>
      </c>
      <c r="B28" t="s">
        <v>113</v>
      </c>
      <c r="C28"/>
      <c r="D28"/>
      <c r="E28" t="s">
        <v>224</v>
      </c>
      <c r="F28"/>
      <c r="G28" t="s">
        <v>204</v>
      </c>
      <c r="H28"/>
      <c r="I28" s="158">
        <v>46241.747291666667</v>
      </c>
      <c r="J28" t="s">
        <v>324</v>
      </c>
      <c r="K28" t="s">
        <v>358</v>
      </c>
      <c r="L28" s="157">
        <v>46167</v>
      </c>
      <c r="M28" t="s">
        <v>282</v>
      </c>
      <c r="N28" t="s">
        <v>290</v>
      </c>
      <c r="O28" t="s">
        <v>293</v>
      </c>
      <c r="P28">
        <v>3</v>
      </c>
      <c r="Q28" t="s">
        <v>273</v>
      </c>
    </row>
    <row r="29" spans="1:17" s="29" customFormat="1">
      <c r="A29" s="41">
        <v>6.5767916307870378E-2</v>
      </c>
      <c r="B29" t="s">
        <v>113</v>
      </c>
      <c r="C29"/>
      <c r="D29"/>
      <c r="E29" t="s">
        <v>228</v>
      </c>
      <c r="F29"/>
      <c r="G29" t="s">
        <v>204</v>
      </c>
      <c r="H29"/>
      <c r="I29" s="158">
        <v>46241.747106481482</v>
      </c>
      <c r="J29" t="s">
        <v>324</v>
      </c>
      <c r="K29" t="s">
        <v>358</v>
      </c>
      <c r="L29" s="157">
        <v>46167</v>
      </c>
      <c r="M29" t="s">
        <v>282</v>
      </c>
      <c r="N29" t="s">
        <v>290</v>
      </c>
      <c r="O29" t="s">
        <v>293</v>
      </c>
      <c r="P29">
        <v>3</v>
      </c>
      <c r="Q29" t="s">
        <v>273</v>
      </c>
    </row>
    <row r="30" spans="1:17" s="29" customFormat="1">
      <c r="A30" s="41">
        <v>6.5767916307870378E-2</v>
      </c>
      <c r="B30" t="s">
        <v>113</v>
      </c>
      <c r="C30"/>
      <c r="D30"/>
      <c r="E30" t="s">
        <v>119</v>
      </c>
      <c r="F30"/>
      <c r="G30" t="s">
        <v>117</v>
      </c>
      <c r="H30"/>
      <c r="I30" s="158">
        <v>46241.747060185182</v>
      </c>
      <c r="J30" t="s">
        <v>324</v>
      </c>
      <c r="K30" t="s">
        <v>358</v>
      </c>
      <c r="L30" s="157">
        <v>46167</v>
      </c>
      <c r="M30" t="s">
        <v>282</v>
      </c>
      <c r="N30" t="s">
        <v>290</v>
      </c>
      <c r="O30" t="s">
        <v>293</v>
      </c>
      <c r="P30">
        <v>3</v>
      </c>
      <c r="Q30" t="s">
        <v>273</v>
      </c>
    </row>
    <row r="31" spans="1:17" s="29" customFormat="1">
      <c r="A31" s="41">
        <v>6.4942308171296301E-2</v>
      </c>
      <c r="B31" t="s">
        <v>113</v>
      </c>
      <c r="C31"/>
      <c r="D31"/>
      <c r="E31" t="s">
        <v>88</v>
      </c>
      <c r="F31"/>
      <c r="G31" t="s">
        <v>117</v>
      </c>
      <c r="H31"/>
      <c r="I31" s="158">
        <v>46241.746655092589</v>
      </c>
      <c r="J31" t="s">
        <v>324</v>
      </c>
      <c r="K31" t="s">
        <v>358</v>
      </c>
      <c r="L31" s="157">
        <v>46167</v>
      </c>
      <c r="M31" t="s">
        <v>282</v>
      </c>
      <c r="N31" t="s">
        <v>290</v>
      </c>
      <c r="O31" t="s">
        <v>293</v>
      </c>
      <c r="P31">
        <v>3</v>
      </c>
      <c r="Q31" t="s">
        <v>273</v>
      </c>
    </row>
    <row r="32" spans="1:17" s="29" customFormat="1">
      <c r="A32" s="41">
        <v>6.4942308171296301E-2</v>
      </c>
      <c r="B32" t="s">
        <v>113</v>
      </c>
      <c r="C32"/>
      <c r="D32"/>
      <c r="E32" t="s">
        <v>253</v>
      </c>
      <c r="F32" t="s">
        <v>247</v>
      </c>
      <c r="G32" t="s">
        <v>117</v>
      </c>
      <c r="H32"/>
      <c r="I32" s="158">
        <v>46241.746655092589</v>
      </c>
      <c r="J32" t="s">
        <v>324</v>
      </c>
      <c r="K32" t="s">
        <v>358</v>
      </c>
      <c r="L32" s="157">
        <v>46167</v>
      </c>
      <c r="M32" t="s">
        <v>282</v>
      </c>
      <c r="N32" t="s">
        <v>290</v>
      </c>
      <c r="O32" t="s">
        <v>293</v>
      </c>
      <c r="P32">
        <v>3</v>
      </c>
      <c r="Q32" t="s">
        <v>273</v>
      </c>
    </row>
    <row r="33" spans="1:17" s="29" customFormat="1">
      <c r="A33" s="41">
        <v>6.4839169814814815E-2</v>
      </c>
      <c r="B33" t="s">
        <v>113</v>
      </c>
      <c r="C33" t="s">
        <v>395</v>
      </c>
      <c r="D33"/>
      <c r="E33" t="s">
        <v>58</v>
      </c>
      <c r="F33"/>
      <c r="G33" t="s">
        <v>204</v>
      </c>
      <c r="H33"/>
      <c r="I33" s="158">
        <v>46241.746261574073</v>
      </c>
      <c r="J33" t="s">
        <v>324</v>
      </c>
      <c r="K33" t="s">
        <v>358</v>
      </c>
      <c r="L33" s="157">
        <v>46167</v>
      </c>
      <c r="M33" t="s">
        <v>282</v>
      </c>
      <c r="N33" t="s">
        <v>290</v>
      </c>
      <c r="O33" t="s">
        <v>293</v>
      </c>
      <c r="P33">
        <v>3</v>
      </c>
      <c r="Q33" t="s">
        <v>273</v>
      </c>
    </row>
    <row r="34" spans="1:17" s="29" customFormat="1">
      <c r="A34" s="41">
        <v>6.4741627106481486E-2</v>
      </c>
      <c r="B34" t="s">
        <v>113</v>
      </c>
      <c r="C34" t="s">
        <v>83</v>
      </c>
      <c r="D34"/>
      <c r="E34" t="s">
        <v>127</v>
      </c>
      <c r="F34"/>
      <c r="G34" t="s">
        <v>204</v>
      </c>
      <c r="H34"/>
      <c r="I34" s="158">
        <v>46241.745983796296</v>
      </c>
      <c r="J34" t="s">
        <v>324</v>
      </c>
      <c r="K34" t="s">
        <v>358</v>
      </c>
      <c r="L34" s="157">
        <v>46167</v>
      </c>
      <c r="M34" t="s">
        <v>282</v>
      </c>
      <c r="N34" t="s">
        <v>290</v>
      </c>
      <c r="O34" t="s">
        <v>293</v>
      </c>
      <c r="P34">
        <v>3</v>
      </c>
      <c r="Q34" t="s">
        <v>273</v>
      </c>
    </row>
    <row r="35" spans="1:17" s="29" customFormat="1">
      <c r="A35" s="41">
        <v>6.4657642083333328E-2</v>
      </c>
      <c r="B35" t="s">
        <v>113</v>
      </c>
      <c r="C35" t="s">
        <v>391</v>
      </c>
      <c r="D35"/>
      <c r="E35" t="s">
        <v>127</v>
      </c>
      <c r="F35"/>
      <c r="G35" t="s">
        <v>204</v>
      </c>
      <c r="H35"/>
      <c r="I35" s="158">
        <v>46241.745659722219</v>
      </c>
      <c r="J35" t="s">
        <v>324</v>
      </c>
      <c r="K35" t="s">
        <v>358</v>
      </c>
      <c r="L35" s="157">
        <v>46167</v>
      </c>
      <c r="M35" t="s">
        <v>282</v>
      </c>
      <c r="N35" t="s">
        <v>290</v>
      </c>
      <c r="O35" t="s">
        <v>293</v>
      </c>
      <c r="P35">
        <v>3</v>
      </c>
      <c r="Q35" t="s">
        <v>273</v>
      </c>
    </row>
    <row r="36" spans="1:17" s="29" customFormat="1">
      <c r="A36" s="41">
        <v>6.460014106481482E-2</v>
      </c>
      <c r="B36" t="s">
        <v>113</v>
      </c>
      <c r="C36" t="s">
        <v>391</v>
      </c>
      <c r="D36"/>
      <c r="E36" t="s">
        <v>127</v>
      </c>
      <c r="F36"/>
      <c r="G36" t="s">
        <v>204</v>
      </c>
      <c r="H36"/>
      <c r="I36" s="158">
        <v>46241.745497685188</v>
      </c>
      <c r="J36" t="s">
        <v>324</v>
      </c>
      <c r="K36" t="s">
        <v>358</v>
      </c>
      <c r="L36" s="157">
        <v>46167</v>
      </c>
      <c r="M36" t="s">
        <v>282</v>
      </c>
      <c r="N36" t="s">
        <v>290</v>
      </c>
      <c r="O36" t="s">
        <v>293</v>
      </c>
      <c r="P36">
        <v>3</v>
      </c>
      <c r="Q36" t="s">
        <v>273</v>
      </c>
    </row>
    <row r="37" spans="1:17" s="29" customFormat="1">
      <c r="A37" s="41">
        <v>6.4541143078703705E-2</v>
      </c>
      <c r="B37" t="s">
        <v>113</v>
      </c>
      <c r="C37" t="s">
        <v>377</v>
      </c>
      <c r="D37"/>
      <c r="E37" t="s">
        <v>127</v>
      </c>
      <c r="F37"/>
      <c r="G37" t="s">
        <v>204</v>
      </c>
      <c r="H37"/>
      <c r="I37" s="158">
        <v>46241.745046296295</v>
      </c>
      <c r="J37" t="s">
        <v>324</v>
      </c>
      <c r="K37" t="s">
        <v>358</v>
      </c>
      <c r="L37" s="157">
        <v>46167</v>
      </c>
      <c r="M37" t="s">
        <v>282</v>
      </c>
      <c r="N37" t="s">
        <v>290</v>
      </c>
      <c r="O37" t="s">
        <v>293</v>
      </c>
      <c r="P37">
        <v>3</v>
      </c>
      <c r="Q37" t="s">
        <v>273</v>
      </c>
    </row>
    <row r="38" spans="1:17" s="29" customFormat="1">
      <c r="A38" s="41">
        <v>6.4494926504629624E-2</v>
      </c>
      <c r="B38" t="s">
        <v>113</v>
      </c>
      <c r="C38" t="s">
        <v>383</v>
      </c>
      <c r="D38"/>
      <c r="E38" t="s">
        <v>127</v>
      </c>
      <c r="F38"/>
      <c r="G38" t="s">
        <v>204</v>
      </c>
      <c r="H38"/>
      <c r="I38" s="158">
        <v>46241.744942129626</v>
      </c>
      <c r="J38" t="s">
        <v>324</v>
      </c>
      <c r="K38" t="s">
        <v>358</v>
      </c>
      <c r="L38" s="157">
        <v>46167</v>
      </c>
      <c r="M38" t="s">
        <v>282</v>
      </c>
      <c r="N38" t="s">
        <v>290</v>
      </c>
      <c r="O38" t="s">
        <v>293</v>
      </c>
      <c r="P38">
        <v>3</v>
      </c>
      <c r="Q38" t="s">
        <v>273</v>
      </c>
    </row>
    <row r="39" spans="1:17" s="29" customFormat="1">
      <c r="A39" s="41">
        <v>6.4472736979166667E-2</v>
      </c>
      <c r="B39" t="s">
        <v>113</v>
      </c>
      <c r="C39" t="s">
        <v>377</v>
      </c>
      <c r="D39"/>
      <c r="E39" t="s">
        <v>127</v>
      </c>
      <c r="F39"/>
      <c r="G39" t="s">
        <v>204</v>
      </c>
      <c r="H39"/>
      <c r="I39" s="158">
        <v>46241.744872685187</v>
      </c>
      <c r="J39" t="s">
        <v>324</v>
      </c>
      <c r="K39" t="s">
        <v>358</v>
      </c>
      <c r="L39" s="157">
        <v>46167</v>
      </c>
      <c r="M39" t="s">
        <v>282</v>
      </c>
      <c r="N39" t="s">
        <v>290</v>
      </c>
      <c r="O39" t="s">
        <v>293</v>
      </c>
      <c r="P39">
        <v>3</v>
      </c>
      <c r="Q39" t="s">
        <v>273</v>
      </c>
    </row>
    <row r="40" spans="1:17" s="29" customFormat="1">
      <c r="A40" s="41">
        <v>6.4356212743055558E-2</v>
      </c>
      <c r="B40" t="s">
        <v>113</v>
      </c>
      <c r="C40" t="s">
        <v>391</v>
      </c>
      <c r="D40"/>
      <c r="E40" t="s">
        <v>127</v>
      </c>
      <c r="F40"/>
      <c r="G40" t="s">
        <v>204</v>
      </c>
      <c r="H40"/>
      <c r="I40" s="158">
        <v>46241.744733796295</v>
      </c>
      <c r="J40" t="s">
        <v>324</v>
      </c>
      <c r="K40" t="s">
        <v>358</v>
      </c>
      <c r="L40" s="157">
        <v>46167</v>
      </c>
      <c r="M40" t="s">
        <v>282</v>
      </c>
      <c r="N40" t="s">
        <v>290</v>
      </c>
      <c r="O40" t="s">
        <v>293</v>
      </c>
      <c r="P40">
        <v>3</v>
      </c>
      <c r="Q40" t="s">
        <v>273</v>
      </c>
    </row>
    <row r="41" spans="1:17" s="29" customFormat="1">
      <c r="A41" s="41">
        <v>6.4295895821759264E-2</v>
      </c>
      <c r="B41" t="s">
        <v>113</v>
      </c>
      <c r="C41" t="s">
        <v>83</v>
      </c>
      <c r="D41"/>
      <c r="E41" t="s">
        <v>127</v>
      </c>
      <c r="F41"/>
      <c r="G41" t="s">
        <v>204</v>
      </c>
      <c r="H41"/>
      <c r="I41" s="158">
        <v>46241.727777777778</v>
      </c>
      <c r="J41" t="s">
        <v>324</v>
      </c>
      <c r="K41" t="s">
        <v>358</v>
      </c>
      <c r="L41" s="157">
        <v>46167</v>
      </c>
      <c r="M41" t="s">
        <v>282</v>
      </c>
      <c r="N41" t="s">
        <v>290</v>
      </c>
      <c r="O41" t="s">
        <v>293</v>
      </c>
      <c r="P41">
        <v>3</v>
      </c>
      <c r="Q41" t="s">
        <v>273</v>
      </c>
    </row>
    <row r="42" spans="1:17" s="29" customFormat="1">
      <c r="A42" s="41">
        <v>6.4244768055555554E-2</v>
      </c>
      <c r="B42" t="s">
        <v>113</v>
      </c>
      <c r="C42" t="s">
        <v>83</v>
      </c>
      <c r="D42"/>
      <c r="E42" t="s">
        <v>127</v>
      </c>
      <c r="F42"/>
      <c r="G42" t="s">
        <v>204</v>
      </c>
      <c r="H42"/>
      <c r="I42" s="158">
        <v>46241.727581018517</v>
      </c>
      <c r="J42" t="s">
        <v>324</v>
      </c>
      <c r="K42" t="s">
        <v>358</v>
      </c>
      <c r="L42" s="157">
        <v>46167</v>
      </c>
      <c r="M42" t="s">
        <v>282</v>
      </c>
      <c r="N42" t="s">
        <v>290</v>
      </c>
      <c r="O42" t="s">
        <v>293</v>
      </c>
      <c r="P42">
        <v>3</v>
      </c>
      <c r="Q42" t="s">
        <v>273</v>
      </c>
    </row>
    <row r="43" spans="1:17" s="29" customFormat="1">
      <c r="A43" s="41">
        <v>6.4237730763888889E-2</v>
      </c>
      <c r="B43" t="s">
        <v>113</v>
      </c>
      <c r="C43" t="s">
        <v>395</v>
      </c>
      <c r="D43"/>
      <c r="E43" t="s">
        <v>223</v>
      </c>
      <c r="F43"/>
      <c r="G43" t="s">
        <v>117</v>
      </c>
      <c r="H43"/>
      <c r="I43" s="158">
        <v>46241.727256944447</v>
      </c>
      <c r="J43" t="s">
        <v>324</v>
      </c>
      <c r="K43" t="s">
        <v>358</v>
      </c>
      <c r="L43" s="157">
        <v>46167</v>
      </c>
      <c r="M43" t="s">
        <v>282</v>
      </c>
      <c r="N43" t="s">
        <v>290</v>
      </c>
      <c r="O43" t="s">
        <v>293</v>
      </c>
      <c r="P43">
        <v>3</v>
      </c>
      <c r="Q43" t="s">
        <v>273</v>
      </c>
    </row>
    <row r="44" spans="1:17" s="29" customFormat="1">
      <c r="A44" s="41">
        <v>6.4220333576388886E-2</v>
      </c>
      <c r="B44" t="s">
        <v>113</v>
      </c>
      <c r="C44" t="s">
        <v>83</v>
      </c>
      <c r="D44"/>
      <c r="E44" t="s">
        <v>130</v>
      </c>
      <c r="F44"/>
      <c r="G44" t="s">
        <v>117</v>
      </c>
      <c r="H44"/>
      <c r="I44" s="158">
        <v>46241.727233796293</v>
      </c>
      <c r="J44" t="s">
        <v>324</v>
      </c>
      <c r="K44" t="s">
        <v>358</v>
      </c>
      <c r="L44" s="157">
        <v>46167</v>
      </c>
      <c r="M44" t="s">
        <v>282</v>
      </c>
      <c r="N44" t="s">
        <v>290</v>
      </c>
      <c r="O44" t="s">
        <v>293</v>
      </c>
      <c r="P44">
        <v>3</v>
      </c>
      <c r="Q44" t="s">
        <v>273</v>
      </c>
    </row>
    <row r="45" spans="1:17" s="29" customFormat="1">
      <c r="A45" s="41">
        <v>6.4158838136574081E-2</v>
      </c>
      <c r="B45" t="s">
        <v>113</v>
      </c>
      <c r="C45"/>
      <c r="D45"/>
      <c r="E45" t="s">
        <v>123</v>
      </c>
      <c r="F45"/>
      <c r="G45" t="s">
        <v>117</v>
      </c>
      <c r="H45"/>
      <c r="I45" s="158">
        <v>46241.72693287037</v>
      </c>
      <c r="J45" t="s">
        <v>324</v>
      </c>
      <c r="K45" t="s">
        <v>358</v>
      </c>
      <c r="L45" s="157">
        <v>46167</v>
      </c>
      <c r="M45" t="s">
        <v>282</v>
      </c>
      <c r="N45" t="s">
        <v>290</v>
      </c>
      <c r="O45" t="s">
        <v>293</v>
      </c>
      <c r="P45">
        <v>3</v>
      </c>
      <c r="Q45" t="s">
        <v>273</v>
      </c>
    </row>
    <row r="46" spans="1:17" s="29" customFormat="1">
      <c r="A46" s="41">
        <v>6.3622002627314808E-2</v>
      </c>
      <c r="B46" t="s">
        <v>113</v>
      </c>
      <c r="C46"/>
      <c r="D46"/>
      <c r="E46" t="s">
        <v>88</v>
      </c>
      <c r="F46"/>
      <c r="G46" t="s">
        <v>117</v>
      </c>
      <c r="H46"/>
      <c r="I46" s="158">
        <v>46241.726875</v>
      </c>
      <c r="J46" t="s">
        <v>324</v>
      </c>
      <c r="K46" t="s">
        <v>358</v>
      </c>
      <c r="L46" s="157">
        <v>46167</v>
      </c>
      <c r="M46" t="s">
        <v>282</v>
      </c>
      <c r="N46" t="s">
        <v>290</v>
      </c>
      <c r="O46" t="s">
        <v>293</v>
      </c>
      <c r="P46">
        <v>3</v>
      </c>
      <c r="Q46" t="s">
        <v>273</v>
      </c>
    </row>
    <row r="47" spans="1:17" s="29" customFormat="1">
      <c r="A47" s="41">
        <v>6.3622002627314808E-2</v>
      </c>
      <c r="B47" t="s">
        <v>113</v>
      </c>
      <c r="C47"/>
      <c r="D47"/>
      <c r="E47" t="s">
        <v>253</v>
      </c>
      <c r="F47" t="s">
        <v>247</v>
      </c>
      <c r="G47" t="s">
        <v>117</v>
      </c>
      <c r="H47"/>
      <c r="I47" s="158">
        <v>46241.726875</v>
      </c>
      <c r="J47" t="s">
        <v>324</v>
      </c>
      <c r="K47" t="s">
        <v>358</v>
      </c>
      <c r="L47" s="157">
        <v>46167</v>
      </c>
      <c r="M47" t="s">
        <v>282</v>
      </c>
      <c r="N47" t="s">
        <v>290</v>
      </c>
      <c r="O47" t="s">
        <v>293</v>
      </c>
      <c r="P47">
        <v>3</v>
      </c>
      <c r="Q47" t="s">
        <v>273</v>
      </c>
    </row>
    <row r="48" spans="1:17" s="29" customFormat="1">
      <c r="A48" s="41">
        <v>6.3546629027777787E-2</v>
      </c>
      <c r="B48" t="s">
        <v>113</v>
      </c>
      <c r="C48" t="s">
        <v>83</v>
      </c>
      <c r="D48"/>
      <c r="E48" t="s">
        <v>127</v>
      </c>
      <c r="F48"/>
      <c r="G48" t="s">
        <v>204</v>
      </c>
      <c r="H48"/>
      <c r="I48" s="158">
        <v>46241.726666666669</v>
      </c>
      <c r="J48" t="s">
        <v>324</v>
      </c>
      <c r="K48" t="s">
        <v>358</v>
      </c>
      <c r="L48" s="157">
        <v>46167</v>
      </c>
      <c r="M48" t="s">
        <v>282</v>
      </c>
      <c r="N48" t="s">
        <v>290</v>
      </c>
      <c r="O48" t="s">
        <v>293</v>
      </c>
      <c r="P48">
        <v>3</v>
      </c>
      <c r="Q48" t="s">
        <v>273</v>
      </c>
    </row>
    <row r="49" spans="1:17" s="29" customFormat="1">
      <c r="A49" s="41">
        <v>6.3516887893518517E-2</v>
      </c>
      <c r="B49" t="s">
        <v>113</v>
      </c>
      <c r="C49" t="s">
        <v>83</v>
      </c>
      <c r="D49"/>
      <c r="E49" t="s">
        <v>127</v>
      </c>
      <c r="F49"/>
      <c r="G49" t="s">
        <v>204</v>
      </c>
      <c r="H49"/>
      <c r="I49" s="158">
        <v>46241.726481481484</v>
      </c>
      <c r="J49" t="s">
        <v>324</v>
      </c>
      <c r="K49" t="s">
        <v>358</v>
      </c>
      <c r="L49" s="157">
        <v>46167</v>
      </c>
      <c r="M49" t="s">
        <v>282</v>
      </c>
      <c r="N49" t="s">
        <v>290</v>
      </c>
      <c r="O49" t="s">
        <v>293</v>
      </c>
      <c r="P49">
        <v>3</v>
      </c>
      <c r="Q49" t="s">
        <v>273</v>
      </c>
    </row>
    <row r="50" spans="1:17" s="29" customFormat="1">
      <c r="A50" s="41">
        <v>6.3470783518518523E-2</v>
      </c>
      <c r="B50" t="s">
        <v>113</v>
      </c>
      <c r="C50"/>
      <c r="D50"/>
      <c r="E50" t="s">
        <v>228</v>
      </c>
      <c r="F50"/>
      <c r="G50" t="s">
        <v>204</v>
      </c>
      <c r="H50"/>
      <c r="I50" s="158">
        <v>46241.726284722223</v>
      </c>
      <c r="J50" t="s">
        <v>324</v>
      </c>
      <c r="K50" t="s">
        <v>358</v>
      </c>
      <c r="L50" s="157">
        <v>46167</v>
      </c>
      <c r="M50" t="s">
        <v>282</v>
      </c>
      <c r="N50" t="s">
        <v>290</v>
      </c>
      <c r="O50" t="s">
        <v>293</v>
      </c>
      <c r="P50">
        <v>3</v>
      </c>
      <c r="Q50" t="s">
        <v>273</v>
      </c>
    </row>
    <row r="51" spans="1:17" s="29" customFormat="1">
      <c r="A51" s="41">
        <v>6.3428133958333327E-2</v>
      </c>
      <c r="B51" t="s">
        <v>113</v>
      </c>
      <c r="C51"/>
      <c r="D51"/>
      <c r="E51" t="s">
        <v>119</v>
      </c>
      <c r="F51"/>
      <c r="G51" t="s">
        <v>117</v>
      </c>
      <c r="H51"/>
      <c r="I51" s="158">
        <v>46241.72625</v>
      </c>
      <c r="J51" t="s">
        <v>324</v>
      </c>
      <c r="K51" t="s">
        <v>358</v>
      </c>
      <c r="L51" s="157">
        <v>46167</v>
      </c>
      <c r="M51" t="s">
        <v>282</v>
      </c>
      <c r="N51" t="s">
        <v>290</v>
      </c>
      <c r="O51" t="s">
        <v>293</v>
      </c>
      <c r="P51">
        <v>3</v>
      </c>
      <c r="Q51" t="s">
        <v>273</v>
      </c>
    </row>
    <row r="52" spans="1:17" s="29" customFormat="1">
      <c r="A52" s="41">
        <v>6.2874923761574067E-2</v>
      </c>
      <c r="B52" t="s">
        <v>113</v>
      </c>
      <c r="C52" t="s">
        <v>83</v>
      </c>
      <c r="D52"/>
      <c r="E52" t="s">
        <v>134</v>
      </c>
      <c r="F52"/>
      <c r="G52" t="s">
        <v>117</v>
      </c>
      <c r="H52"/>
      <c r="I52" s="158">
        <v>46241.726226851853</v>
      </c>
      <c r="J52" t="s">
        <v>324</v>
      </c>
      <c r="K52" t="s">
        <v>358</v>
      </c>
      <c r="L52" s="157">
        <v>46167</v>
      </c>
      <c r="M52" t="s">
        <v>282</v>
      </c>
      <c r="N52" t="s">
        <v>290</v>
      </c>
      <c r="O52" t="s">
        <v>293</v>
      </c>
      <c r="P52">
        <v>3</v>
      </c>
      <c r="Q52" t="s">
        <v>273</v>
      </c>
    </row>
    <row r="53" spans="1:17" s="29" customFormat="1">
      <c r="A53" s="41">
        <v>6.2372526319444441E-2</v>
      </c>
      <c r="B53" t="s">
        <v>113</v>
      </c>
      <c r="C53"/>
      <c r="D53"/>
      <c r="E53" t="s">
        <v>88</v>
      </c>
      <c r="F53"/>
      <c r="G53" t="s">
        <v>117</v>
      </c>
      <c r="H53"/>
      <c r="I53" s="158">
        <v>46241.725960648146</v>
      </c>
      <c r="J53" t="s">
        <v>324</v>
      </c>
      <c r="K53" t="s">
        <v>358</v>
      </c>
      <c r="L53" s="157">
        <v>46167</v>
      </c>
      <c r="M53" t="s">
        <v>282</v>
      </c>
      <c r="N53" t="s">
        <v>290</v>
      </c>
      <c r="O53" t="s">
        <v>293</v>
      </c>
      <c r="P53">
        <v>3</v>
      </c>
      <c r="Q53" t="s">
        <v>273</v>
      </c>
    </row>
    <row r="54" spans="1:17" s="29" customFormat="1">
      <c r="A54" s="41">
        <v>6.2372526319444441E-2</v>
      </c>
      <c r="B54" t="s">
        <v>113</v>
      </c>
      <c r="C54"/>
      <c r="D54"/>
      <c r="E54" t="s">
        <v>122</v>
      </c>
      <c r="F54"/>
      <c r="G54" t="s">
        <v>117</v>
      </c>
      <c r="H54"/>
      <c r="I54" s="158">
        <v>46241.725960648146</v>
      </c>
      <c r="J54" t="s">
        <v>324</v>
      </c>
      <c r="K54" t="s">
        <v>358</v>
      </c>
      <c r="L54" s="157">
        <v>46167</v>
      </c>
      <c r="M54" t="s">
        <v>282</v>
      </c>
      <c r="N54" t="s">
        <v>290</v>
      </c>
      <c r="O54" t="s">
        <v>293</v>
      </c>
      <c r="P54">
        <v>3</v>
      </c>
      <c r="Q54" t="s">
        <v>273</v>
      </c>
    </row>
    <row r="55" spans="1:17" s="29" customFormat="1">
      <c r="A55" s="41">
        <v>6.2323295682870372E-2</v>
      </c>
      <c r="B55" t="s">
        <v>113</v>
      </c>
      <c r="C55"/>
      <c r="D55"/>
      <c r="E55" t="s">
        <v>226</v>
      </c>
      <c r="F55"/>
      <c r="G55" t="s">
        <v>117</v>
      </c>
      <c r="H55"/>
      <c r="I55" s="158">
        <v>46241.72587962963</v>
      </c>
      <c r="J55" t="s">
        <v>324</v>
      </c>
      <c r="K55" t="s">
        <v>358</v>
      </c>
      <c r="L55" s="157">
        <v>46167</v>
      </c>
      <c r="M55" t="s">
        <v>282</v>
      </c>
      <c r="N55" t="s">
        <v>290</v>
      </c>
      <c r="O55" t="s">
        <v>293</v>
      </c>
      <c r="P55">
        <v>3</v>
      </c>
      <c r="Q55" t="s">
        <v>273</v>
      </c>
    </row>
    <row r="56" spans="1:17" s="29" customFormat="1">
      <c r="A56" s="41">
        <v>6.2300041597222224E-2</v>
      </c>
      <c r="B56" t="s">
        <v>113</v>
      </c>
      <c r="C56"/>
      <c r="D56"/>
      <c r="E56" t="s">
        <v>224</v>
      </c>
      <c r="F56"/>
      <c r="G56" t="s">
        <v>204</v>
      </c>
      <c r="H56"/>
      <c r="I56" s="158">
        <v>46241.725821759261</v>
      </c>
      <c r="J56" t="s">
        <v>324</v>
      </c>
      <c r="K56" t="s">
        <v>358</v>
      </c>
      <c r="L56" s="157">
        <v>46167</v>
      </c>
      <c r="M56" t="s">
        <v>282</v>
      </c>
      <c r="N56" t="s">
        <v>290</v>
      </c>
      <c r="O56" t="s">
        <v>293</v>
      </c>
      <c r="P56">
        <v>3</v>
      </c>
      <c r="Q56" t="s">
        <v>273</v>
      </c>
    </row>
    <row r="57" spans="1:17" s="29" customFormat="1">
      <c r="A57" s="41">
        <v>6.2257012858796298E-2</v>
      </c>
      <c r="B57" t="s">
        <v>113</v>
      </c>
      <c r="C57"/>
      <c r="D57"/>
      <c r="E57" t="s">
        <v>338</v>
      </c>
      <c r="F57"/>
      <c r="G57" t="s">
        <v>204</v>
      </c>
      <c r="H57"/>
      <c r="I57" s="158">
        <v>46241.725775462961</v>
      </c>
      <c r="J57" t="s">
        <v>324</v>
      </c>
      <c r="K57" t="s">
        <v>358</v>
      </c>
      <c r="L57" s="157">
        <v>46167</v>
      </c>
      <c r="M57" t="s">
        <v>282</v>
      </c>
      <c r="N57" t="s">
        <v>290</v>
      </c>
      <c r="O57" t="s">
        <v>293</v>
      </c>
      <c r="P57">
        <v>3</v>
      </c>
      <c r="Q57" t="s">
        <v>273</v>
      </c>
    </row>
    <row r="58" spans="1:17" s="29" customFormat="1">
      <c r="A58" s="41">
        <v>6.217853502314815E-2</v>
      </c>
      <c r="B58" t="s">
        <v>113</v>
      </c>
      <c r="C58"/>
      <c r="D58"/>
      <c r="E58" t="s">
        <v>124</v>
      </c>
      <c r="F58"/>
      <c r="G58" t="s">
        <v>204</v>
      </c>
      <c r="H58"/>
      <c r="I58" s="158">
        <v>46241.725694444445</v>
      </c>
      <c r="J58" t="s">
        <v>324</v>
      </c>
      <c r="K58" t="s">
        <v>358</v>
      </c>
      <c r="L58" s="157">
        <v>46167</v>
      </c>
      <c r="M58" t="s">
        <v>282</v>
      </c>
      <c r="N58" t="s">
        <v>290</v>
      </c>
      <c r="O58" t="s">
        <v>293</v>
      </c>
      <c r="P58">
        <v>3</v>
      </c>
      <c r="Q58" t="s">
        <v>273</v>
      </c>
    </row>
    <row r="59" spans="1:17" s="29" customFormat="1">
      <c r="A59" s="41">
        <v>6.1468606828703705E-2</v>
      </c>
      <c r="B59" t="s">
        <v>113</v>
      </c>
      <c r="C59"/>
      <c r="D59"/>
      <c r="E59" t="s">
        <v>88</v>
      </c>
      <c r="F59"/>
      <c r="G59" t="s">
        <v>204</v>
      </c>
      <c r="H59"/>
      <c r="I59" s="158">
        <v>46241.725601851853</v>
      </c>
      <c r="J59" t="s">
        <v>324</v>
      </c>
      <c r="K59" t="s">
        <v>358</v>
      </c>
      <c r="L59" s="157">
        <v>46167</v>
      </c>
      <c r="M59" t="s">
        <v>282</v>
      </c>
      <c r="N59" t="s">
        <v>290</v>
      </c>
      <c r="O59" t="s">
        <v>293</v>
      </c>
      <c r="P59">
        <v>3</v>
      </c>
      <c r="Q59" t="s">
        <v>273</v>
      </c>
    </row>
    <row r="60" spans="1:17" s="29" customFormat="1">
      <c r="A60" s="41">
        <v>6.1468606828703705E-2</v>
      </c>
      <c r="B60" t="s">
        <v>113</v>
      </c>
      <c r="C60" t="s">
        <v>83</v>
      </c>
      <c r="D60"/>
      <c r="E60" t="s">
        <v>223</v>
      </c>
      <c r="F60"/>
      <c r="G60" t="s">
        <v>117</v>
      </c>
      <c r="H60"/>
      <c r="I60" s="158">
        <v>46241.725590277776</v>
      </c>
      <c r="J60" t="s">
        <v>324</v>
      </c>
      <c r="K60" t="s">
        <v>358</v>
      </c>
      <c r="L60" s="157">
        <v>46167</v>
      </c>
      <c r="M60" t="s">
        <v>282</v>
      </c>
      <c r="N60" t="s">
        <v>290</v>
      </c>
      <c r="O60" t="s">
        <v>293</v>
      </c>
      <c r="P60">
        <v>3</v>
      </c>
      <c r="Q60" t="s">
        <v>273</v>
      </c>
    </row>
    <row r="61" spans="1:17" s="29" customFormat="1">
      <c r="A61" s="41">
        <v>6.1398530879629626E-2</v>
      </c>
      <c r="B61" t="s">
        <v>113</v>
      </c>
      <c r="C61"/>
      <c r="D61"/>
      <c r="E61" t="s">
        <v>127</v>
      </c>
      <c r="F61"/>
      <c r="G61" t="s">
        <v>117</v>
      </c>
      <c r="H61"/>
      <c r="I61" s="158">
        <v>46241.725474537037</v>
      </c>
      <c r="J61" t="s">
        <v>324</v>
      </c>
      <c r="K61" t="s">
        <v>358</v>
      </c>
      <c r="L61" s="157">
        <v>46167</v>
      </c>
      <c r="M61" t="s">
        <v>282</v>
      </c>
      <c r="N61" t="s">
        <v>290</v>
      </c>
      <c r="O61" t="s">
        <v>293</v>
      </c>
      <c r="P61">
        <v>3</v>
      </c>
      <c r="Q61" t="s">
        <v>273</v>
      </c>
    </row>
    <row r="62" spans="1:17" s="29" customFormat="1">
      <c r="A62" s="41">
        <v>6.1303223437499998E-2</v>
      </c>
      <c r="B62" t="s">
        <v>113</v>
      </c>
      <c r="C62"/>
      <c r="D62"/>
      <c r="E62" t="s">
        <v>127</v>
      </c>
      <c r="F62"/>
      <c r="G62" t="s">
        <v>117</v>
      </c>
      <c r="H62"/>
      <c r="I62" s="158">
        <v>46241.725381944445</v>
      </c>
      <c r="J62" t="s">
        <v>324</v>
      </c>
      <c r="K62" t="s">
        <v>358</v>
      </c>
      <c r="L62" s="157">
        <v>46167</v>
      </c>
      <c r="M62" t="s">
        <v>282</v>
      </c>
      <c r="N62" t="s">
        <v>290</v>
      </c>
      <c r="O62" t="s">
        <v>293</v>
      </c>
      <c r="P62">
        <v>3</v>
      </c>
      <c r="Q62" t="s">
        <v>273</v>
      </c>
    </row>
    <row r="63" spans="1:17" s="29" customFormat="1">
      <c r="A63" s="41">
        <v>6.1247876909722221E-2</v>
      </c>
      <c r="B63" t="s">
        <v>113</v>
      </c>
      <c r="C63"/>
      <c r="D63"/>
      <c r="E63" t="s">
        <v>127</v>
      </c>
      <c r="F63"/>
      <c r="G63" t="s">
        <v>117</v>
      </c>
      <c r="H63"/>
      <c r="I63" s="158">
        <v>46241.725324074076</v>
      </c>
      <c r="J63" t="s">
        <v>324</v>
      </c>
      <c r="K63" t="s">
        <v>358</v>
      </c>
      <c r="L63" s="157">
        <v>46167</v>
      </c>
      <c r="M63" t="s">
        <v>282</v>
      </c>
      <c r="N63" t="s">
        <v>290</v>
      </c>
      <c r="O63" t="s">
        <v>293</v>
      </c>
      <c r="P63">
        <v>3</v>
      </c>
      <c r="Q63" t="s">
        <v>273</v>
      </c>
    </row>
    <row r="64" spans="1:17" s="29" customFormat="1">
      <c r="A64" s="41">
        <v>6.1174090775462958E-2</v>
      </c>
      <c r="B64" t="s">
        <v>113</v>
      </c>
      <c r="C64"/>
      <c r="D64"/>
      <c r="E64" t="s">
        <v>127</v>
      </c>
      <c r="F64"/>
      <c r="G64" t="s">
        <v>117</v>
      </c>
      <c r="H64"/>
      <c r="I64" s="158">
        <v>46241.725254629629</v>
      </c>
      <c r="J64" t="s">
        <v>324</v>
      </c>
      <c r="K64" t="s">
        <v>358</v>
      </c>
      <c r="L64" s="157">
        <v>46167</v>
      </c>
      <c r="M64" t="s">
        <v>282</v>
      </c>
      <c r="N64" t="s">
        <v>290</v>
      </c>
      <c r="O64" t="s">
        <v>293</v>
      </c>
      <c r="P64">
        <v>3</v>
      </c>
      <c r="Q64" t="s">
        <v>273</v>
      </c>
    </row>
    <row r="65" spans="1:17" s="29" customFormat="1">
      <c r="A65" s="41">
        <v>6.1150248576388885E-2</v>
      </c>
      <c r="B65" t="s">
        <v>113</v>
      </c>
      <c r="C65"/>
      <c r="D65"/>
      <c r="E65" t="s">
        <v>59</v>
      </c>
      <c r="F65"/>
      <c r="G65" t="s">
        <v>117</v>
      </c>
      <c r="H65"/>
      <c r="I65" s="158">
        <v>46241.725231481483</v>
      </c>
      <c r="J65" t="s">
        <v>324</v>
      </c>
      <c r="K65" t="s">
        <v>358</v>
      </c>
      <c r="L65" s="157">
        <v>46167</v>
      </c>
      <c r="M65" t="s">
        <v>282</v>
      </c>
      <c r="N65" t="s">
        <v>290</v>
      </c>
      <c r="O65" t="s">
        <v>293</v>
      </c>
      <c r="P65">
        <v>3</v>
      </c>
      <c r="Q65" t="s">
        <v>273</v>
      </c>
    </row>
    <row r="66" spans="1:17" s="29" customFormat="1">
      <c r="A66" s="41">
        <v>6.1110472835648147E-2</v>
      </c>
      <c r="B66" t="s">
        <v>113</v>
      </c>
      <c r="C66"/>
      <c r="D66"/>
      <c r="E66" t="s">
        <v>226</v>
      </c>
      <c r="F66"/>
      <c r="G66" t="s">
        <v>117</v>
      </c>
      <c r="H66"/>
      <c r="I66" s="158">
        <v>46241.725127314814</v>
      </c>
      <c r="J66" t="s">
        <v>324</v>
      </c>
      <c r="K66" t="s">
        <v>358</v>
      </c>
      <c r="L66" s="157">
        <v>46167</v>
      </c>
      <c r="M66" t="s">
        <v>282</v>
      </c>
      <c r="N66" t="s">
        <v>290</v>
      </c>
      <c r="O66" t="s">
        <v>293</v>
      </c>
      <c r="P66">
        <v>3</v>
      </c>
      <c r="Q66" t="s">
        <v>273</v>
      </c>
    </row>
    <row r="67" spans="1:17" s="29" customFormat="1">
      <c r="A67" s="41">
        <v>6.1064353541666672E-2</v>
      </c>
      <c r="B67" t="s">
        <v>113</v>
      </c>
      <c r="C67"/>
      <c r="D67"/>
      <c r="E67" t="s">
        <v>224</v>
      </c>
      <c r="F67"/>
      <c r="G67" t="s">
        <v>204</v>
      </c>
      <c r="H67"/>
      <c r="I67" s="158">
        <v>46241.725069444445</v>
      </c>
      <c r="J67" t="s">
        <v>324</v>
      </c>
      <c r="K67" t="s">
        <v>358</v>
      </c>
      <c r="L67" s="157">
        <v>46167</v>
      </c>
      <c r="M67" t="s">
        <v>282</v>
      </c>
      <c r="N67" t="s">
        <v>290</v>
      </c>
      <c r="O67" t="s">
        <v>293</v>
      </c>
      <c r="P67">
        <v>3</v>
      </c>
      <c r="Q67" t="s">
        <v>273</v>
      </c>
    </row>
    <row r="68" spans="1:17" s="29" customFormat="1">
      <c r="A68" s="41">
        <v>6.1006577604166667E-2</v>
      </c>
      <c r="B68" t="s">
        <v>113</v>
      </c>
      <c r="C68" t="s">
        <v>83</v>
      </c>
      <c r="D68"/>
      <c r="E68" t="s">
        <v>127</v>
      </c>
      <c r="F68"/>
      <c r="G68" t="s">
        <v>204</v>
      </c>
      <c r="H68"/>
      <c r="I68" s="158">
        <v>46241.724849537037</v>
      </c>
      <c r="J68" t="s">
        <v>324</v>
      </c>
      <c r="K68" t="s">
        <v>358</v>
      </c>
      <c r="L68" s="157">
        <v>46167</v>
      </c>
      <c r="M68" t="s">
        <v>282</v>
      </c>
      <c r="N68" t="s">
        <v>290</v>
      </c>
      <c r="O68" t="s">
        <v>293</v>
      </c>
      <c r="P68">
        <v>3</v>
      </c>
      <c r="Q68" t="s">
        <v>273</v>
      </c>
    </row>
    <row r="69" spans="1:17" s="29" customFormat="1">
      <c r="A69" s="41">
        <v>6.0901208194444445E-2</v>
      </c>
      <c r="B69" t="s">
        <v>113</v>
      </c>
      <c r="C69" t="s">
        <v>383</v>
      </c>
      <c r="D69"/>
      <c r="E69" t="s">
        <v>127</v>
      </c>
      <c r="F69"/>
      <c r="G69" t="s">
        <v>204</v>
      </c>
      <c r="H69"/>
      <c r="I69" s="158">
        <v>46241.724456018521</v>
      </c>
      <c r="J69" t="s">
        <v>324</v>
      </c>
      <c r="K69" t="s">
        <v>358</v>
      </c>
      <c r="L69" s="157">
        <v>46167</v>
      </c>
      <c r="M69" t="s">
        <v>282</v>
      </c>
      <c r="N69" t="s">
        <v>290</v>
      </c>
      <c r="O69" t="s">
        <v>293</v>
      </c>
      <c r="P69">
        <v>3</v>
      </c>
      <c r="Q69" t="s">
        <v>273</v>
      </c>
    </row>
    <row r="70" spans="1:17" s="29" customFormat="1">
      <c r="A70" s="41">
        <v>6.0865983067129634E-2</v>
      </c>
      <c r="B70" t="s">
        <v>113</v>
      </c>
      <c r="C70" t="s">
        <v>385</v>
      </c>
      <c r="D70"/>
      <c r="E70" t="s">
        <v>127</v>
      </c>
      <c r="F70"/>
      <c r="G70" t="s">
        <v>204</v>
      </c>
      <c r="H70"/>
      <c r="I70" s="158">
        <v>46241.724317129629</v>
      </c>
      <c r="J70" t="s">
        <v>324</v>
      </c>
      <c r="K70" t="s">
        <v>358</v>
      </c>
      <c r="L70" s="157">
        <v>46167</v>
      </c>
      <c r="M70" t="s">
        <v>282</v>
      </c>
      <c r="N70" t="s">
        <v>290</v>
      </c>
      <c r="O70" t="s">
        <v>293</v>
      </c>
      <c r="P70">
        <v>3</v>
      </c>
      <c r="Q70" t="s">
        <v>273</v>
      </c>
    </row>
    <row r="71" spans="1:17" s="29" customFormat="1">
      <c r="A71" s="41">
        <v>6.0847529618055556E-2</v>
      </c>
      <c r="B71" t="s">
        <v>113</v>
      </c>
      <c r="C71"/>
      <c r="D71"/>
      <c r="E71" t="s">
        <v>228</v>
      </c>
      <c r="F71"/>
      <c r="G71" t="s">
        <v>204</v>
      </c>
      <c r="H71"/>
      <c r="I71" s="158">
        <v>46241.723946759259</v>
      </c>
      <c r="J71" t="s">
        <v>324</v>
      </c>
      <c r="K71" t="s">
        <v>358</v>
      </c>
      <c r="L71" s="157">
        <v>46167</v>
      </c>
      <c r="M71" t="s">
        <v>282</v>
      </c>
      <c r="N71" t="s">
        <v>290</v>
      </c>
      <c r="O71" t="s">
        <v>293</v>
      </c>
      <c r="P71">
        <v>3</v>
      </c>
      <c r="Q71" t="s">
        <v>273</v>
      </c>
    </row>
    <row r="72" spans="1:17" s="29" customFormat="1">
      <c r="A72" s="41">
        <v>6.0822937361111114E-2</v>
      </c>
      <c r="B72" t="s">
        <v>113</v>
      </c>
      <c r="C72"/>
      <c r="D72"/>
      <c r="E72" t="s">
        <v>224</v>
      </c>
      <c r="F72"/>
      <c r="G72" t="s">
        <v>117</v>
      </c>
      <c r="H72"/>
      <c r="I72" s="158">
        <v>46241.723923611113</v>
      </c>
      <c r="J72" t="s">
        <v>324</v>
      </c>
      <c r="K72" t="s">
        <v>358</v>
      </c>
      <c r="L72" s="157">
        <v>46167</v>
      </c>
      <c r="M72" t="s">
        <v>282</v>
      </c>
      <c r="N72" t="s">
        <v>290</v>
      </c>
      <c r="O72" t="s">
        <v>293</v>
      </c>
      <c r="P72">
        <v>3</v>
      </c>
      <c r="Q72" t="s">
        <v>273</v>
      </c>
    </row>
    <row r="73" spans="1:17" s="29" customFormat="1">
      <c r="A73" s="41">
        <v>6.0795269826388887E-2</v>
      </c>
      <c r="B73" t="s">
        <v>113</v>
      </c>
      <c r="C73"/>
      <c r="D73"/>
      <c r="E73" t="s">
        <v>127</v>
      </c>
      <c r="F73"/>
      <c r="G73" t="s">
        <v>117</v>
      </c>
      <c r="H73"/>
      <c r="I73" s="158">
        <v>46241.72388888889</v>
      </c>
      <c r="J73" t="s">
        <v>324</v>
      </c>
      <c r="K73" t="s">
        <v>358</v>
      </c>
      <c r="L73" s="157">
        <v>46167</v>
      </c>
      <c r="M73" t="s">
        <v>282</v>
      </c>
      <c r="N73" t="s">
        <v>290</v>
      </c>
      <c r="O73" t="s">
        <v>293</v>
      </c>
      <c r="P73">
        <v>3</v>
      </c>
      <c r="Q73" t="s">
        <v>273</v>
      </c>
    </row>
    <row r="74" spans="1:17" s="29" customFormat="1">
      <c r="A74" s="41">
        <v>6.0696892141203704E-2</v>
      </c>
      <c r="B74" t="s">
        <v>113</v>
      </c>
      <c r="C74"/>
      <c r="D74"/>
      <c r="E74" t="s">
        <v>223</v>
      </c>
      <c r="F74"/>
      <c r="G74" t="s">
        <v>204</v>
      </c>
      <c r="H74"/>
      <c r="I74" s="158">
        <v>46241.723796296297</v>
      </c>
      <c r="J74" t="s">
        <v>324</v>
      </c>
      <c r="K74" t="s">
        <v>358</v>
      </c>
      <c r="L74" s="157">
        <v>46167</v>
      </c>
      <c r="M74" t="s">
        <v>282</v>
      </c>
      <c r="N74" t="s">
        <v>290</v>
      </c>
      <c r="O74" t="s">
        <v>293</v>
      </c>
      <c r="P74">
        <v>3</v>
      </c>
      <c r="Q74" t="s">
        <v>273</v>
      </c>
    </row>
    <row r="75" spans="1:17" s="29" customFormat="1">
      <c r="A75" s="41">
        <v>6.0641816284722226E-2</v>
      </c>
      <c r="B75" t="s">
        <v>113</v>
      </c>
      <c r="C75"/>
      <c r="D75"/>
      <c r="E75" t="s">
        <v>338</v>
      </c>
      <c r="F75"/>
      <c r="G75" t="s">
        <v>204</v>
      </c>
      <c r="H75"/>
      <c r="I75" s="158">
        <v>46241.723622685182</v>
      </c>
      <c r="J75" t="s">
        <v>324</v>
      </c>
      <c r="K75" t="s">
        <v>358</v>
      </c>
      <c r="L75" s="157">
        <v>46167</v>
      </c>
      <c r="M75" t="s">
        <v>282</v>
      </c>
      <c r="N75" t="s">
        <v>290</v>
      </c>
      <c r="O75" t="s">
        <v>293</v>
      </c>
      <c r="P75">
        <v>3</v>
      </c>
      <c r="Q75" t="s">
        <v>273</v>
      </c>
    </row>
    <row r="76" spans="1:17" s="29" customFormat="1">
      <c r="A76" s="41">
        <v>6.0561630983796293E-2</v>
      </c>
      <c r="B76" t="s">
        <v>113</v>
      </c>
      <c r="C76"/>
      <c r="D76"/>
      <c r="E76" t="s">
        <v>124</v>
      </c>
      <c r="F76"/>
      <c r="G76" t="s">
        <v>204</v>
      </c>
      <c r="H76"/>
      <c r="I76" s="158">
        <v>46241.723541666666</v>
      </c>
      <c r="J76" t="s">
        <v>324</v>
      </c>
      <c r="K76" t="s">
        <v>358</v>
      </c>
      <c r="L76" s="157">
        <v>46167</v>
      </c>
      <c r="M76" t="s">
        <v>282</v>
      </c>
      <c r="N76" t="s">
        <v>290</v>
      </c>
      <c r="O76" t="s">
        <v>293</v>
      </c>
      <c r="P76">
        <v>3</v>
      </c>
      <c r="Q76" t="s">
        <v>273</v>
      </c>
    </row>
    <row r="77" spans="1:17" s="29" customFormat="1">
      <c r="A77" s="41">
        <v>6.0085189027777777E-2</v>
      </c>
      <c r="B77" t="s">
        <v>113</v>
      </c>
      <c r="C77"/>
      <c r="D77"/>
      <c r="E77" t="s">
        <v>88</v>
      </c>
      <c r="F77"/>
      <c r="G77" t="s">
        <v>204</v>
      </c>
      <c r="H77"/>
      <c r="I77" s="158">
        <v>46241.72347222222</v>
      </c>
      <c r="J77" t="s">
        <v>324</v>
      </c>
      <c r="K77" t="s">
        <v>358</v>
      </c>
      <c r="L77" s="157">
        <v>46167</v>
      </c>
      <c r="M77" t="s">
        <v>282</v>
      </c>
      <c r="N77" t="s">
        <v>290</v>
      </c>
      <c r="O77" t="s">
        <v>293</v>
      </c>
      <c r="P77">
        <v>3</v>
      </c>
      <c r="Q77" t="s">
        <v>273</v>
      </c>
    </row>
    <row r="78" spans="1:17" s="29" customFormat="1">
      <c r="A78" s="41">
        <v>6.0085189027777777E-2</v>
      </c>
      <c r="B78" t="s">
        <v>113</v>
      </c>
      <c r="C78" t="s">
        <v>83</v>
      </c>
      <c r="D78"/>
      <c r="E78" t="s">
        <v>223</v>
      </c>
      <c r="F78"/>
      <c r="G78" t="s">
        <v>117</v>
      </c>
      <c r="H78"/>
      <c r="I78" s="158">
        <v>46241.723449074074</v>
      </c>
      <c r="J78" t="s">
        <v>324</v>
      </c>
      <c r="K78" t="s">
        <v>358</v>
      </c>
      <c r="L78" s="157">
        <v>46167</v>
      </c>
      <c r="M78" t="s">
        <v>282</v>
      </c>
      <c r="N78" t="s">
        <v>290</v>
      </c>
      <c r="O78" t="s">
        <v>293</v>
      </c>
      <c r="P78">
        <v>3</v>
      </c>
      <c r="Q78" t="s">
        <v>273</v>
      </c>
    </row>
    <row r="79" spans="1:17" s="29" customFormat="1">
      <c r="A79" s="41">
        <v>6.0085189027777777E-2</v>
      </c>
      <c r="B79" t="s">
        <v>113</v>
      </c>
      <c r="C79"/>
      <c r="D79"/>
      <c r="E79" t="s">
        <v>127</v>
      </c>
      <c r="F79"/>
      <c r="G79" t="s">
        <v>117</v>
      </c>
      <c r="H79"/>
      <c r="I79" s="158">
        <v>46241.723379629628</v>
      </c>
      <c r="J79" t="s">
        <v>324</v>
      </c>
      <c r="K79" t="s">
        <v>358</v>
      </c>
      <c r="L79" s="157">
        <v>46167</v>
      </c>
      <c r="M79" t="s">
        <v>282</v>
      </c>
      <c r="N79" t="s">
        <v>290</v>
      </c>
      <c r="O79" t="s">
        <v>293</v>
      </c>
      <c r="P79">
        <v>3</v>
      </c>
      <c r="Q79" t="s">
        <v>273</v>
      </c>
    </row>
    <row r="80" spans="1:17" s="29" customFormat="1">
      <c r="A80" s="41">
        <v>5.9943277534722221E-2</v>
      </c>
      <c r="B80" t="s">
        <v>113</v>
      </c>
      <c r="C80"/>
      <c r="D80"/>
      <c r="E80" t="s">
        <v>332</v>
      </c>
      <c r="F80"/>
      <c r="G80" t="s">
        <v>117</v>
      </c>
      <c r="H80"/>
      <c r="I80" s="158">
        <v>46241.72314814815</v>
      </c>
      <c r="J80" t="s">
        <v>324</v>
      </c>
      <c r="K80" t="s">
        <v>358</v>
      </c>
      <c r="L80" s="157">
        <v>46167</v>
      </c>
      <c r="M80" t="s">
        <v>282</v>
      </c>
      <c r="N80" t="s">
        <v>290</v>
      </c>
      <c r="O80" t="s">
        <v>293</v>
      </c>
      <c r="P80">
        <v>3</v>
      </c>
      <c r="Q80" t="s">
        <v>273</v>
      </c>
    </row>
    <row r="81" spans="1:17" s="29" customFormat="1">
      <c r="A81" s="41">
        <v>5.986948818287037E-2</v>
      </c>
      <c r="B81" t="s">
        <v>113</v>
      </c>
      <c r="C81"/>
      <c r="D81"/>
      <c r="E81" t="s">
        <v>124</v>
      </c>
      <c r="F81"/>
      <c r="G81" t="s">
        <v>117</v>
      </c>
      <c r="H81"/>
      <c r="I81" s="158">
        <v>46241.723078703704</v>
      </c>
      <c r="J81" t="s">
        <v>324</v>
      </c>
      <c r="K81" t="s">
        <v>358</v>
      </c>
      <c r="L81" s="157">
        <v>46167</v>
      </c>
      <c r="M81" t="s">
        <v>282</v>
      </c>
      <c r="N81" t="s">
        <v>290</v>
      </c>
      <c r="O81" t="s">
        <v>293</v>
      </c>
      <c r="P81">
        <v>3</v>
      </c>
      <c r="Q81" t="s">
        <v>273</v>
      </c>
    </row>
    <row r="82" spans="1:17" s="29" customFormat="1">
      <c r="A82" s="41">
        <v>5.9544080740740739E-2</v>
      </c>
      <c r="B82" t="s">
        <v>113</v>
      </c>
      <c r="C82"/>
      <c r="D82"/>
      <c r="E82" t="s">
        <v>88</v>
      </c>
      <c r="F82"/>
      <c r="G82" t="s">
        <v>117</v>
      </c>
      <c r="H82"/>
      <c r="I82" s="158">
        <v>46241.723020833335</v>
      </c>
      <c r="J82" t="s">
        <v>324</v>
      </c>
      <c r="K82" t="s">
        <v>358</v>
      </c>
      <c r="L82" s="157">
        <v>46167</v>
      </c>
      <c r="M82" t="s">
        <v>282</v>
      </c>
      <c r="N82" t="s">
        <v>290</v>
      </c>
      <c r="O82" t="s">
        <v>293</v>
      </c>
      <c r="P82">
        <v>3</v>
      </c>
      <c r="Q82" t="s">
        <v>273</v>
      </c>
    </row>
    <row r="83" spans="1:17" s="29" customFormat="1">
      <c r="A83" s="41">
        <v>5.9562785729166665E-2</v>
      </c>
      <c r="B83" t="s">
        <v>113</v>
      </c>
      <c r="C83"/>
      <c r="D83"/>
      <c r="E83" t="s">
        <v>328</v>
      </c>
      <c r="F83"/>
      <c r="G83" t="s">
        <v>204</v>
      </c>
      <c r="H83"/>
      <c r="I83" s="158">
        <v>46241.722581018519</v>
      </c>
      <c r="J83" t="s">
        <v>324</v>
      </c>
      <c r="K83" t="s">
        <v>358</v>
      </c>
      <c r="L83" s="157">
        <v>46167</v>
      </c>
      <c r="M83" t="s">
        <v>282</v>
      </c>
      <c r="N83" t="s">
        <v>290</v>
      </c>
      <c r="O83" t="s">
        <v>293</v>
      </c>
      <c r="P83">
        <v>3</v>
      </c>
      <c r="Q83" t="s">
        <v>273</v>
      </c>
    </row>
    <row r="84" spans="1:17" s="29" customFormat="1">
      <c r="A84" s="41">
        <v>5.9507460567129633E-2</v>
      </c>
      <c r="B84" t="s">
        <v>113</v>
      </c>
      <c r="C84"/>
      <c r="D84"/>
      <c r="E84" t="s">
        <v>123</v>
      </c>
      <c r="F84"/>
      <c r="G84" t="s">
        <v>204</v>
      </c>
      <c r="H84"/>
      <c r="I84" s="158">
        <v>46241.72252314815</v>
      </c>
      <c r="J84" t="s">
        <v>324</v>
      </c>
      <c r="K84" t="s">
        <v>358</v>
      </c>
      <c r="L84" s="157">
        <v>46167</v>
      </c>
      <c r="M84" t="s">
        <v>282</v>
      </c>
      <c r="N84" t="s">
        <v>290</v>
      </c>
      <c r="O84" t="s">
        <v>293</v>
      </c>
      <c r="P84">
        <v>3</v>
      </c>
      <c r="Q84" t="s">
        <v>273</v>
      </c>
    </row>
    <row r="85" spans="1:17" s="29" customFormat="1">
      <c r="A85" s="41">
        <v>5.8969339722222222E-2</v>
      </c>
      <c r="B85" t="s">
        <v>113</v>
      </c>
      <c r="C85"/>
      <c r="D85"/>
      <c r="E85" t="s">
        <v>88</v>
      </c>
      <c r="F85"/>
      <c r="G85" t="s">
        <v>204</v>
      </c>
      <c r="H85"/>
      <c r="I85" s="158">
        <v>46241.722407407404</v>
      </c>
      <c r="J85" t="s">
        <v>324</v>
      </c>
      <c r="K85" t="s">
        <v>358</v>
      </c>
      <c r="L85" s="157">
        <v>46167</v>
      </c>
      <c r="M85" t="s">
        <v>282</v>
      </c>
      <c r="N85" t="s">
        <v>290</v>
      </c>
      <c r="O85" t="s">
        <v>293</v>
      </c>
      <c r="P85">
        <v>3</v>
      </c>
      <c r="Q85" t="s">
        <v>273</v>
      </c>
    </row>
    <row r="86" spans="1:17" s="29" customFormat="1">
      <c r="A86" s="41">
        <v>5.8969339722222222E-2</v>
      </c>
      <c r="B86" t="s">
        <v>113</v>
      </c>
      <c r="C86" t="s">
        <v>367</v>
      </c>
      <c r="D86" t="s">
        <v>244</v>
      </c>
      <c r="E86" t="s">
        <v>254</v>
      </c>
      <c r="F86" t="s">
        <v>247</v>
      </c>
      <c r="G86" t="s">
        <v>204</v>
      </c>
      <c r="H86"/>
      <c r="I86" s="158">
        <v>46241.722407407404</v>
      </c>
      <c r="J86" t="s">
        <v>324</v>
      </c>
      <c r="K86" t="s">
        <v>358</v>
      </c>
      <c r="L86" s="157">
        <v>46167</v>
      </c>
      <c r="M86" t="s">
        <v>282</v>
      </c>
      <c r="N86" t="s">
        <v>290</v>
      </c>
      <c r="O86" t="s">
        <v>293</v>
      </c>
      <c r="P86">
        <v>3</v>
      </c>
      <c r="Q86" t="s">
        <v>273</v>
      </c>
    </row>
    <row r="87" spans="1:17" s="29" customFormat="1">
      <c r="A87" s="41">
        <v>5.8904777569444448E-2</v>
      </c>
      <c r="B87" t="s">
        <v>113</v>
      </c>
      <c r="C87"/>
      <c r="D87"/>
      <c r="E87" t="s">
        <v>127</v>
      </c>
      <c r="F87"/>
      <c r="G87" t="s">
        <v>117</v>
      </c>
      <c r="H87"/>
      <c r="I87" s="158">
        <v>46241.722210648149</v>
      </c>
      <c r="J87" t="s">
        <v>324</v>
      </c>
      <c r="K87" t="s">
        <v>358</v>
      </c>
      <c r="L87" s="157">
        <v>46167</v>
      </c>
      <c r="M87" t="s">
        <v>282</v>
      </c>
      <c r="N87" t="s">
        <v>290</v>
      </c>
      <c r="O87" t="s">
        <v>293</v>
      </c>
      <c r="P87">
        <v>3</v>
      </c>
      <c r="Q87" t="s">
        <v>273</v>
      </c>
    </row>
    <row r="88" spans="1:17" s="29" customFormat="1">
      <c r="A88" s="41">
        <v>5.8834256157407408E-2</v>
      </c>
      <c r="B88" t="s">
        <v>113</v>
      </c>
      <c r="C88"/>
      <c r="D88"/>
      <c r="E88" t="s">
        <v>58</v>
      </c>
      <c r="F88"/>
      <c r="G88" t="s">
        <v>117</v>
      </c>
      <c r="H88"/>
      <c r="I88" s="158">
        <v>46241.722118055557</v>
      </c>
      <c r="J88" t="s">
        <v>324</v>
      </c>
      <c r="K88" t="s">
        <v>358</v>
      </c>
      <c r="L88" s="157">
        <v>46167</v>
      </c>
      <c r="M88" t="s">
        <v>282</v>
      </c>
      <c r="N88" t="s">
        <v>290</v>
      </c>
      <c r="O88" t="s">
        <v>293</v>
      </c>
      <c r="P88">
        <v>3</v>
      </c>
      <c r="Q88" t="s">
        <v>273</v>
      </c>
    </row>
    <row r="89" spans="1:17" s="29" customFormat="1">
      <c r="A89" s="41">
        <v>5.8761231284722222E-2</v>
      </c>
      <c r="B89" t="s">
        <v>113</v>
      </c>
      <c r="C89"/>
      <c r="D89"/>
      <c r="E89" t="s">
        <v>336</v>
      </c>
      <c r="F89"/>
      <c r="G89" t="s">
        <v>204</v>
      </c>
      <c r="H89"/>
      <c r="I89" s="158">
        <v>46241.722002314818</v>
      </c>
      <c r="J89" t="s">
        <v>324</v>
      </c>
      <c r="K89" t="s">
        <v>358</v>
      </c>
      <c r="L89" s="157">
        <v>46167</v>
      </c>
      <c r="M89" t="s">
        <v>282</v>
      </c>
      <c r="N89" t="s">
        <v>290</v>
      </c>
      <c r="O89" t="s">
        <v>293</v>
      </c>
      <c r="P89">
        <v>3</v>
      </c>
      <c r="Q89" t="s">
        <v>273</v>
      </c>
    </row>
    <row r="90" spans="1:17" s="29" customFormat="1">
      <c r="A90" s="41">
        <v>5.8733554641203702E-2</v>
      </c>
      <c r="B90" t="s">
        <v>113</v>
      </c>
      <c r="C90"/>
      <c r="D90"/>
      <c r="E90" t="s">
        <v>124</v>
      </c>
      <c r="F90"/>
      <c r="G90" t="s">
        <v>204</v>
      </c>
      <c r="H90"/>
      <c r="I90" s="158">
        <v>46241.721979166665</v>
      </c>
      <c r="J90" t="s">
        <v>324</v>
      </c>
      <c r="K90" t="s">
        <v>358</v>
      </c>
      <c r="L90" s="157">
        <v>46167</v>
      </c>
      <c r="M90" t="s">
        <v>282</v>
      </c>
      <c r="N90" t="s">
        <v>290</v>
      </c>
      <c r="O90" t="s">
        <v>293</v>
      </c>
      <c r="P90">
        <v>3</v>
      </c>
      <c r="Q90" t="s">
        <v>273</v>
      </c>
    </row>
    <row r="91" spans="1:17" s="29" customFormat="1">
      <c r="A91" s="41">
        <v>5.8368749143518514E-2</v>
      </c>
      <c r="B91" t="s">
        <v>113</v>
      </c>
      <c r="C91"/>
      <c r="D91"/>
      <c r="E91" t="s">
        <v>88</v>
      </c>
      <c r="F91"/>
      <c r="G91" t="s">
        <v>204</v>
      </c>
      <c r="H91"/>
      <c r="I91" s="158">
        <v>46241.721851851849</v>
      </c>
      <c r="J91" t="s">
        <v>324</v>
      </c>
      <c r="K91" t="s">
        <v>358</v>
      </c>
      <c r="L91" s="157">
        <v>46167</v>
      </c>
      <c r="M91" t="s">
        <v>282</v>
      </c>
      <c r="N91" t="s">
        <v>290</v>
      </c>
      <c r="O91" t="s">
        <v>293</v>
      </c>
      <c r="P91">
        <v>3</v>
      </c>
      <c r="Q91" t="s">
        <v>273</v>
      </c>
    </row>
    <row r="92" spans="1:17" s="29" customFormat="1">
      <c r="A92" s="41">
        <v>5.8368749143518514E-2</v>
      </c>
      <c r="B92" t="s">
        <v>113</v>
      </c>
      <c r="C92" t="s">
        <v>83</v>
      </c>
      <c r="D92"/>
      <c r="E92" t="s">
        <v>223</v>
      </c>
      <c r="F92"/>
      <c r="G92" t="s">
        <v>117</v>
      </c>
      <c r="H92"/>
      <c r="I92" s="158">
        <v>46241.72184027778</v>
      </c>
      <c r="J92" t="s">
        <v>324</v>
      </c>
      <c r="K92" t="s">
        <v>358</v>
      </c>
      <c r="L92" s="157">
        <v>46167</v>
      </c>
      <c r="M92" t="s">
        <v>282</v>
      </c>
      <c r="N92" t="s">
        <v>290</v>
      </c>
      <c r="O92" t="s">
        <v>293</v>
      </c>
      <c r="P92">
        <v>3</v>
      </c>
      <c r="Q92" t="s">
        <v>273</v>
      </c>
    </row>
    <row r="93" spans="1:17" s="29" customFormat="1">
      <c r="A93" s="41">
        <v>5.8282861493055553E-2</v>
      </c>
      <c r="B93" t="s">
        <v>113</v>
      </c>
      <c r="C93"/>
      <c r="D93"/>
      <c r="E93" t="s">
        <v>127</v>
      </c>
      <c r="F93"/>
      <c r="G93" t="s">
        <v>117</v>
      </c>
      <c r="H93"/>
      <c r="I93" s="158">
        <v>46241.72152777778</v>
      </c>
      <c r="J93" t="s">
        <v>324</v>
      </c>
      <c r="K93" t="s">
        <v>358</v>
      </c>
      <c r="L93" s="157">
        <v>46167</v>
      </c>
      <c r="M93" t="s">
        <v>282</v>
      </c>
      <c r="N93" t="s">
        <v>290</v>
      </c>
      <c r="O93" t="s">
        <v>293</v>
      </c>
      <c r="P93">
        <v>3</v>
      </c>
      <c r="Q93" t="s">
        <v>273</v>
      </c>
    </row>
    <row r="94" spans="1:17" s="29" customFormat="1">
      <c r="A94" s="41">
        <v>5.8207128171296293E-2</v>
      </c>
      <c r="B94" t="s">
        <v>113</v>
      </c>
      <c r="C94"/>
      <c r="D94"/>
      <c r="E94" t="s">
        <v>336</v>
      </c>
      <c r="F94"/>
      <c r="G94" t="s">
        <v>204</v>
      </c>
      <c r="H94"/>
      <c r="I94" s="158">
        <v>46241.721319444441</v>
      </c>
      <c r="J94" t="s">
        <v>324</v>
      </c>
      <c r="K94" t="s">
        <v>358</v>
      </c>
      <c r="L94" s="157">
        <v>46167</v>
      </c>
      <c r="M94" t="s">
        <v>282</v>
      </c>
      <c r="N94" t="s">
        <v>290</v>
      </c>
      <c r="O94" t="s">
        <v>293</v>
      </c>
      <c r="P94">
        <v>3</v>
      </c>
      <c r="Q94" t="s">
        <v>273</v>
      </c>
    </row>
    <row r="95" spans="1:17" s="29" customFormat="1">
      <c r="A95" s="41">
        <v>5.8151792812499999E-2</v>
      </c>
      <c r="B95" t="s">
        <v>113</v>
      </c>
      <c r="C95"/>
      <c r="D95"/>
      <c r="E95" t="s">
        <v>124</v>
      </c>
      <c r="F95"/>
      <c r="G95" t="s">
        <v>204</v>
      </c>
      <c r="H95"/>
      <c r="I95" s="158">
        <v>46241.721261574072</v>
      </c>
      <c r="J95" t="s">
        <v>324</v>
      </c>
      <c r="K95" t="s">
        <v>358</v>
      </c>
      <c r="L95" s="157">
        <v>46167</v>
      </c>
      <c r="M95" t="s">
        <v>282</v>
      </c>
      <c r="N95" t="s">
        <v>290</v>
      </c>
      <c r="O95" t="s">
        <v>293</v>
      </c>
      <c r="P95">
        <v>3</v>
      </c>
      <c r="Q95" t="s">
        <v>273</v>
      </c>
    </row>
    <row r="96" spans="1:17" s="29" customFormat="1">
      <c r="A96" s="41">
        <v>5.7534038460648147E-2</v>
      </c>
      <c r="B96" t="s">
        <v>113</v>
      </c>
      <c r="C96"/>
      <c r="D96"/>
      <c r="E96" t="s">
        <v>88</v>
      </c>
      <c r="F96"/>
      <c r="G96" t="s">
        <v>204</v>
      </c>
      <c r="H96"/>
      <c r="I96" s="158">
        <v>46241.721215277779</v>
      </c>
      <c r="J96" t="s">
        <v>324</v>
      </c>
      <c r="K96" t="s">
        <v>358</v>
      </c>
      <c r="L96" s="157">
        <v>46167</v>
      </c>
      <c r="M96" t="s">
        <v>282</v>
      </c>
      <c r="N96" t="s">
        <v>290</v>
      </c>
      <c r="O96" t="s">
        <v>293</v>
      </c>
      <c r="P96">
        <v>3</v>
      </c>
      <c r="Q96" t="s">
        <v>273</v>
      </c>
    </row>
    <row r="97" spans="1:17" s="29" customFormat="1">
      <c r="A97" s="41">
        <v>5.750945064814815E-2</v>
      </c>
      <c r="B97" t="s">
        <v>113</v>
      </c>
      <c r="C97" t="s">
        <v>83</v>
      </c>
      <c r="D97"/>
      <c r="E97" t="s">
        <v>223</v>
      </c>
      <c r="F97"/>
      <c r="G97" t="s">
        <v>117</v>
      </c>
      <c r="H97"/>
      <c r="I97" s="158">
        <v>46241.721203703702</v>
      </c>
      <c r="J97" t="s">
        <v>324</v>
      </c>
      <c r="K97" t="s">
        <v>358</v>
      </c>
      <c r="L97" s="157">
        <v>46167</v>
      </c>
      <c r="M97" t="s">
        <v>282</v>
      </c>
      <c r="N97" t="s">
        <v>290</v>
      </c>
      <c r="O97" t="s">
        <v>293</v>
      </c>
      <c r="P97">
        <v>3</v>
      </c>
      <c r="Q97" t="s">
        <v>273</v>
      </c>
    </row>
    <row r="98" spans="1:17" s="29" customFormat="1">
      <c r="A98" s="41">
        <v>5.7455178032407406E-2</v>
      </c>
      <c r="B98" t="s">
        <v>113</v>
      </c>
      <c r="C98" t="s">
        <v>83</v>
      </c>
      <c r="D98"/>
      <c r="E98" t="s">
        <v>130</v>
      </c>
      <c r="F98"/>
      <c r="G98" t="s">
        <v>117</v>
      </c>
      <c r="H98"/>
      <c r="I98" s="158">
        <v>46241.720381944448</v>
      </c>
      <c r="J98" t="s">
        <v>324</v>
      </c>
      <c r="K98" t="s">
        <v>358</v>
      </c>
      <c r="L98" s="157">
        <v>46167</v>
      </c>
      <c r="M98" t="s">
        <v>282</v>
      </c>
      <c r="N98" t="s">
        <v>290</v>
      </c>
      <c r="O98" t="s">
        <v>293</v>
      </c>
      <c r="P98">
        <v>3</v>
      </c>
      <c r="Q98" t="s">
        <v>273</v>
      </c>
    </row>
    <row r="99" spans="1:17" s="29" customFormat="1">
      <c r="A99" s="41">
        <v>5.7390272395833337E-2</v>
      </c>
      <c r="B99" t="s">
        <v>113</v>
      </c>
      <c r="C99"/>
      <c r="D99"/>
      <c r="E99" t="s">
        <v>123</v>
      </c>
      <c r="F99"/>
      <c r="G99" t="s">
        <v>117</v>
      </c>
      <c r="H99"/>
      <c r="I99" s="158">
        <v>46241.720138888886</v>
      </c>
      <c r="J99" t="s">
        <v>324</v>
      </c>
      <c r="K99" t="s">
        <v>358</v>
      </c>
      <c r="L99" s="157">
        <v>46167</v>
      </c>
      <c r="M99" t="s">
        <v>282</v>
      </c>
      <c r="N99" t="s">
        <v>290</v>
      </c>
      <c r="O99" t="s">
        <v>293</v>
      </c>
      <c r="P99">
        <v>3</v>
      </c>
      <c r="Q99" t="s">
        <v>273</v>
      </c>
    </row>
    <row r="100" spans="1:17" s="29" customFormat="1">
      <c r="A100" s="41">
        <v>5.6575452175925925E-2</v>
      </c>
      <c r="B100" t="s">
        <v>113</v>
      </c>
      <c r="C100"/>
      <c r="D100"/>
      <c r="E100" t="s">
        <v>88</v>
      </c>
      <c r="F100"/>
      <c r="G100" t="s">
        <v>117</v>
      </c>
      <c r="H100"/>
      <c r="I100" s="158">
        <v>46241.720046296294</v>
      </c>
      <c r="J100" t="s">
        <v>324</v>
      </c>
      <c r="K100" t="s">
        <v>358</v>
      </c>
      <c r="L100" s="157">
        <v>46167</v>
      </c>
      <c r="M100" t="s">
        <v>282</v>
      </c>
      <c r="N100" t="s">
        <v>290</v>
      </c>
      <c r="O100" t="s">
        <v>293</v>
      </c>
      <c r="P100">
        <v>3</v>
      </c>
      <c r="Q100" t="s">
        <v>273</v>
      </c>
    </row>
    <row r="101" spans="1:17" s="29" customFormat="1">
      <c r="A101" s="41">
        <v>5.6575452175925925E-2</v>
      </c>
      <c r="B101" t="s">
        <v>113</v>
      </c>
      <c r="C101"/>
      <c r="D101"/>
      <c r="E101" t="s">
        <v>253</v>
      </c>
      <c r="F101" t="s">
        <v>83</v>
      </c>
      <c r="G101" t="s">
        <v>117</v>
      </c>
      <c r="H101"/>
      <c r="I101" s="158">
        <v>46241.720046296294</v>
      </c>
      <c r="J101" t="s">
        <v>324</v>
      </c>
      <c r="K101" t="s">
        <v>358</v>
      </c>
      <c r="L101" s="157">
        <v>46167</v>
      </c>
      <c r="M101" t="s">
        <v>282</v>
      </c>
      <c r="N101" t="s">
        <v>290</v>
      </c>
      <c r="O101" t="s">
        <v>293</v>
      </c>
      <c r="P101">
        <v>3</v>
      </c>
      <c r="Q101" t="s">
        <v>273</v>
      </c>
    </row>
    <row r="102" spans="1:17" s="29" customFormat="1">
      <c r="A102" s="41">
        <v>5.6501663206018522E-2</v>
      </c>
      <c r="B102" t="s">
        <v>113</v>
      </c>
      <c r="C102"/>
      <c r="D102"/>
      <c r="E102" t="s">
        <v>127</v>
      </c>
      <c r="F102"/>
      <c r="G102" t="s">
        <v>117</v>
      </c>
      <c r="H102"/>
      <c r="I102" s="158">
        <v>46241.719548611109</v>
      </c>
      <c r="J102" t="s">
        <v>324</v>
      </c>
      <c r="K102" t="s">
        <v>358</v>
      </c>
      <c r="L102" s="157">
        <v>46167</v>
      </c>
      <c r="M102" t="s">
        <v>282</v>
      </c>
      <c r="N102" t="s">
        <v>290</v>
      </c>
      <c r="O102" t="s">
        <v>293</v>
      </c>
      <c r="P102">
        <v>3</v>
      </c>
      <c r="Q102" t="s">
        <v>273</v>
      </c>
    </row>
    <row r="103" spans="1:17" s="29" customFormat="1">
      <c r="A103" s="41">
        <v>5.6440349826388889E-2</v>
      </c>
      <c r="B103" t="s">
        <v>113</v>
      </c>
      <c r="C103"/>
      <c r="D103"/>
      <c r="E103" t="s">
        <v>127</v>
      </c>
      <c r="F103"/>
      <c r="G103" t="s">
        <v>117</v>
      </c>
      <c r="H103"/>
      <c r="I103" s="158">
        <v>46241.719444444447</v>
      </c>
      <c r="J103" t="s">
        <v>324</v>
      </c>
      <c r="K103" t="s">
        <v>358</v>
      </c>
      <c r="L103" s="157">
        <v>46167</v>
      </c>
      <c r="M103" t="s">
        <v>282</v>
      </c>
      <c r="N103" t="s">
        <v>290</v>
      </c>
      <c r="O103" t="s">
        <v>293</v>
      </c>
      <c r="P103">
        <v>3</v>
      </c>
      <c r="Q103" t="s">
        <v>273</v>
      </c>
    </row>
    <row r="104" spans="1:17" s="29" customFormat="1">
      <c r="A104" s="41">
        <v>5.6313114594907406E-2</v>
      </c>
      <c r="B104" t="s">
        <v>113</v>
      </c>
      <c r="C104" t="s">
        <v>83</v>
      </c>
      <c r="D104"/>
      <c r="E104" t="s">
        <v>130</v>
      </c>
      <c r="F104"/>
      <c r="G104" t="s">
        <v>117</v>
      </c>
      <c r="H104"/>
      <c r="I104" s="158">
        <v>46241.71943287037</v>
      </c>
      <c r="J104" t="s">
        <v>324</v>
      </c>
      <c r="K104" t="s">
        <v>358</v>
      </c>
      <c r="L104" s="157">
        <v>46167</v>
      </c>
      <c r="M104" t="s">
        <v>282</v>
      </c>
      <c r="N104" t="s">
        <v>290</v>
      </c>
      <c r="O104" t="s">
        <v>293</v>
      </c>
      <c r="P104">
        <v>3</v>
      </c>
      <c r="Q104" t="s">
        <v>273</v>
      </c>
    </row>
    <row r="105" spans="1:17" s="29" customFormat="1">
      <c r="A105" s="41">
        <v>5.6239121435185183E-2</v>
      </c>
      <c r="B105" t="s">
        <v>113</v>
      </c>
      <c r="C105"/>
      <c r="D105"/>
      <c r="E105" t="s">
        <v>123</v>
      </c>
      <c r="F105"/>
      <c r="G105" t="s">
        <v>117</v>
      </c>
      <c r="H105"/>
      <c r="I105" s="158">
        <v>46241.719224537039</v>
      </c>
      <c r="J105" t="s">
        <v>324</v>
      </c>
      <c r="K105" t="s">
        <v>358</v>
      </c>
      <c r="L105" s="157">
        <v>46167</v>
      </c>
      <c r="M105" t="s">
        <v>282</v>
      </c>
      <c r="N105" t="s">
        <v>290</v>
      </c>
      <c r="O105" t="s">
        <v>293</v>
      </c>
      <c r="P105">
        <v>3</v>
      </c>
      <c r="Q105" t="s">
        <v>273</v>
      </c>
    </row>
    <row r="106" spans="1:17" s="29" customFormat="1">
      <c r="A106" s="41">
        <v>5.5463850740740742E-2</v>
      </c>
      <c r="B106" t="s">
        <v>113</v>
      </c>
      <c r="C106"/>
      <c r="D106"/>
      <c r="E106" t="s">
        <v>88</v>
      </c>
      <c r="F106"/>
      <c r="G106" t="s">
        <v>117</v>
      </c>
      <c r="H106"/>
      <c r="I106" s="158">
        <v>46241.719155092593</v>
      </c>
      <c r="J106" t="s">
        <v>324</v>
      </c>
      <c r="K106" t="s">
        <v>358</v>
      </c>
      <c r="L106" s="157">
        <v>46167</v>
      </c>
      <c r="M106" t="s">
        <v>282</v>
      </c>
      <c r="N106" t="s">
        <v>290</v>
      </c>
      <c r="O106" t="s">
        <v>293</v>
      </c>
      <c r="P106">
        <v>3</v>
      </c>
      <c r="Q106" t="s">
        <v>273</v>
      </c>
    </row>
    <row r="107" spans="1:17" s="29" customFormat="1">
      <c r="A107" s="41">
        <v>5.5463850740740742E-2</v>
      </c>
      <c r="B107" t="s">
        <v>113</v>
      </c>
      <c r="C107"/>
      <c r="D107"/>
      <c r="E107" t="s">
        <v>253</v>
      </c>
      <c r="F107" t="s">
        <v>175</v>
      </c>
      <c r="G107" t="s">
        <v>117</v>
      </c>
      <c r="H107"/>
      <c r="I107" s="158">
        <v>46241.719155092593</v>
      </c>
      <c r="J107" t="s">
        <v>324</v>
      </c>
      <c r="K107" t="s">
        <v>358</v>
      </c>
      <c r="L107" s="157">
        <v>46167</v>
      </c>
      <c r="M107" t="s">
        <v>282</v>
      </c>
      <c r="N107" t="s">
        <v>290</v>
      </c>
      <c r="O107" t="s">
        <v>293</v>
      </c>
      <c r="P107">
        <v>3</v>
      </c>
      <c r="Q107" t="s">
        <v>273</v>
      </c>
    </row>
    <row r="108" spans="1:17" s="29" customFormat="1">
      <c r="A108" s="41">
        <v>5.5426980243055556E-2</v>
      </c>
      <c r="B108" t="s">
        <v>113</v>
      </c>
      <c r="C108"/>
      <c r="D108"/>
      <c r="E108" t="s">
        <v>228</v>
      </c>
      <c r="F108"/>
      <c r="G108" t="s">
        <v>204</v>
      </c>
      <c r="H108"/>
      <c r="I108" s="158">
        <v>46241.718819444446</v>
      </c>
      <c r="J108" t="s">
        <v>324</v>
      </c>
      <c r="K108" t="s">
        <v>358</v>
      </c>
      <c r="L108" s="157">
        <v>46167</v>
      </c>
      <c r="M108" t="s">
        <v>282</v>
      </c>
      <c r="N108" t="s">
        <v>290</v>
      </c>
      <c r="O108" t="s">
        <v>293</v>
      </c>
      <c r="P108">
        <v>3</v>
      </c>
      <c r="Q108" t="s">
        <v>273</v>
      </c>
    </row>
    <row r="109" spans="1:17" s="29" customFormat="1">
      <c r="A109" s="41">
        <v>5.5396335057870373E-2</v>
      </c>
      <c r="B109" t="s">
        <v>113</v>
      </c>
      <c r="C109"/>
      <c r="D109"/>
      <c r="E109" t="s">
        <v>224</v>
      </c>
      <c r="F109"/>
      <c r="G109" t="s">
        <v>117</v>
      </c>
      <c r="H109"/>
      <c r="I109" s="158">
        <v>46241.718773148146</v>
      </c>
      <c r="J109" t="s">
        <v>324</v>
      </c>
      <c r="K109" t="s">
        <v>358</v>
      </c>
      <c r="L109" s="157">
        <v>46167</v>
      </c>
      <c r="M109" t="s">
        <v>282</v>
      </c>
      <c r="N109" t="s">
        <v>290</v>
      </c>
      <c r="O109" t="s">
        <v>293</v>
      </c>
      <c r="P109">
        <v>3</v>
      </c>
      <c r="Q109" t="s">
        <v>273</v>
      </c>
    </row>
    <row r="110" spans="1:17" s="29" customFormat="1">
      <c r="A110" s="41">
        <v>5.5298403171296293E-2</v>
      </c>
      <c r="B110" t="s">
        <v>113</v>
      </c>
      <c r="C110" t="s">
        <v>383</v>
      </c>
      <c r="D110"/>
      <c r="E110" t="s">
        <v>326</v>
      </c>
      <c r="F110"/>
      <c r="G110" t="s">
        <v>204</v>
      </c>
      <c r="H110"/>
      <c r="I110" s="158">
        <v>46241.718356481484</v>
      </c>
      <c r="J110" t="s">
        <v>324</v>
      </c>
      <c r="K110" t="s">
        <v>358</v>
      </c>
      <c r="L110" s="157">
        <v>46167</v>
      </c>
      <c r="M110" t="s">
        <v>282</v>
      </c>
      <c r="N110" t="s">
        <v>290</v>
      </c>
      <c r="O110" t="s">
        <v>293</v>
      </c>
      <c r="P110">
        <v>3</v>
      </c>
      <c r="Q110" t="s">
        <v>273</v>
      </c>
    </row>
    <row r="111" spans="1:17" s="29" customFormat="1">
      <c r="A111" s="41">
        <v>5.5287004548611116E-2</v>
      </c>
      <c r="B111" t="s">
        <v>113</v>
      </c>
      <c r="C111" t="s">
        <v>381</v>
      </c>
      <c r="D111"/>
      <c r="E111" t="s">
        <v>127</v>
      </c>
      <c r="F111"/>
      <c r="G111" t="s">
        <v>204</v>
      </c>
      <c r="H111"/>
      <c r="I111" s="158">
        <v>46241.718252314815</v>
      </c>
      <c r="J111" t="s">
        <v>324</v>
      </c>
      <c r="K111" t="s">
        <v>358</v>
      </c>
      <c r="L111" s="157">
        <v>46167</v>
      </c>
      <c r="M111" t="s">
        <v>282</v>
      </c>
      <c r="N111" t="s">
        <v>290</v>
      </c>
      <c r="O111" t="s">
        <v>293</v>
      </c>
      <c r="P111">
        <v>3</v>
      </c>
      <c r="Q111" t="s">
        <v>273</v>
      </c>
    </row>
    <row r="112" spans="1:17" s="29" customFormat="1">
      <c r="A112" s="41">
        <v>5.5219442002314809E-2</v>
      </c>
      <c r="B112" t="s">
        <v>113</v>
      </c>
      <c r="C112" t="s">
        <v>399</v>
      </c>
      <c r="D112"/>
      <c r="E112" t="s">
        <v>127</v>
      </c>
      <c r="F112"/>
      <c r="G112" t="s">
        <v>204</v>
      </c>
      <c r="H112"/>
      <c r="I112" s="158">
        <v>46241.717627314814</v>
      </c>
      <c r="J112" t="s">
        <v>324</v>
      </c>
      <c r="K112" t="s">
        <v>358</v>
      </c>
      <c r="L112" s="157">
        <v>46167</v>
      </c>
      <c r="M112" t="s">
        <v>282</v>
      </c>
      <c r="N112" t="s">
        <v>290</v>
      </c>
      <c r="O112" t="s">
        <v>293</v>
      </c>
      <c r="P112">
        <v>3</v>
      </c>
      <c r="Q112" t="s">
        <v>273</v>
      </c>
    </row>
    <row r="113" spans="1:17" s="29" customFormat="1">
      <c r="A113" s="41">
        <v>5.5173030567129626E-2</v>
      </c>
      <c r="B113" t="s">
        <v>113</v>
      </c>
      <c r="C113" t="s">
        <v>377</v>
      </c>
      <c r="D113"/>
      <c r="E113" t="s">
        <v>127</v>
      </c>
      <c r="F113"/>
      <c r="G113" t="s">
        <v>204</v>
      </c>
      <c r="H113"/>
      <c r="I113" s="158">
        <v>46241.717083333337</v>
      </c>
      <c r="J113" t="s">
        <v>324</v>
      </c>
      <c r="K113" t="s">
        <v>358</v>
      </c>
      <c r="L113" s="157">
        <v>46167</v>
      </c>
      <c r="M113" t="s">
        <v>282</v>
      </c>
      <c r="N113" t="s">
        <v>290</v>
      </c>
      <c r="O113" t="s">
        <v>293</v>
      </c>
      <c r="P113">
        <v>3</v>
      </c>
      <c r="Q113" t="s">
        <v>273</v>
      </c>
    </row>
    <row r="114" spans="1:17" s="29" customFormat="1">
      <c r="A114" s="41">
        <v>5.5001335023148142E-2</v>
      </c>
      <c r="B114" t="s">
        <v>113</v>
      </c>
      <c r="C114"/>
      <c r="D114"/>
      <c r="E114" t="s">
        <v>132</v>
      </c>
      <c r="F114"/>
      <c r="G114" t="s">
        <v>204</v>
      </c>
      <c r="H114"/>
      <c r="I114" s="158">
        <v>46241.716608796298</v>
      </c>
      <c r="J114" t="s">
        <v>324</v>
      </c>
      <c r="K114" t="s">
        <v>358</v>
      </c>
      <c r="L114" s="157">
        <v>46167</v>
      </c>
      <c r="M114" t="s">
        <v>282</v>
      </c>
      <c r="N114" t="s">
        <v>290</v>
      </c>
      <c r="O114" t="s">
        <v>293</v>
      </c>
      <c r="P114">
        <v>3</v>
      </c>
      <c r="Q114" t="s">
        <v>273</v>
      </c>
    </row>
    <row r="115" spans="1:17" s="29" customFormat="1">
      <c r="A115" s="41">
        <v>5.4942983078703704E-2</v>
      </c>
      <c r="B115" t="s">
        <v>113</v>
      </c>
      <c r="C115"/>
      <c r="D115"/>
      <c r="E115" t="s">
        <v>123</v>
      </c>
      <c r="F115"/>
      <c r="G115" t="s">
        <v>204</v>
      </c>
      <c r="H115"/>
      <c r="I115" s="158">
        <v>46241.716539351852</v>
      </c>
      <c r="J115" t="s">
        <v>324</v>
      </c>
      <c r="K115" t="s">
        <v>358</v>
      </c>
      <c r="L115" s="157">
        <v>46167</v>
      </c>
      <c r="M115" t="s">
        <v>282</v>
      </c>
      <c r="N115" t="s">
        <v>290</v>
      </c>
      <c r="O115" t="s">
        <v>293</v>
      </c>
      <c r="P115">
        <v>3</v>
      </c>
      <c r="Q115" t="s">
        <v>273</v>
      </c>
    </row>
    <row r="116" spans="1:17" s="29" customFormat="1">
      <c r="A116" s="41">
        <v>5.4453916967592587E-2</v>
      </c>
      <c r="B116" t="s">
        <v>113</v>
      </c>
      <c r="C116"/>
      <c r="D116"/>
      <c r="E116" t="s">
        <v>88</v>
      </c>
      <c r="F116"/>
      <c r="G116" t="s">
        <v>117</v>
      </c>
      <c r="H116"/>
      <c r="I116" s="158">
        <v>46241.716319444444</v>
      </c>
      <c r="J116" t="s">
        <v>324</v>
      </c>
      <c r="K116" t="s">
        <v>358</v>
      </c>
      <c r="L116" s="157">
        <v>46167</v>
      </c>
      <c r="M116" t="s">
        <v>282</v>
      </c>
      <c r="N116" t="s">
        <v>290</v>
      </c>
      <c r="O116" t="s">
        <v>293</v>
      </c>
      <c r="P116">
        <v>3</v>
      </c>
      <c r="Q116" t="s">
        <v>273</v>
      </c>
    </row>
    <row r="117" spans="1:17" s="29" customFormat="1">
      <c r="A117" s="41">
        <v>5.4419062905092588E-2</v>
      </c>
      <c r="B117" t="s">
        <v>113</v>
      </c>
      <c r="C117"/>
      <c r="D117"/>
      <c r="E117" t="s">
        <v>224</v>
      </c>
      <c r="F117"/>
      <c r="G117" t="s">
        <v>117</v>
      </c>
      <c r="H117"/>
      <c r="I117" s="158">
        <v>46241.716261574074</v>
      </c>
      <c r="J117" t="s">
        <v>324</v>
      </c>
      <c r="K117" t="s">
        <v>358</v>
      </c>
      <c r="L117" s="157">
        <v>46167</v>
      </c>
      <c r="M117" t="s">
        <v>282</v>
      </c>
      <c r="N117" t="s">
        <v>290</v>
      </c>
      <c r="O117" t="s">
        <v>293</v>
      </c>
      <c r="P117">
        <v>3</v>
      </c>
      <c r="Q117" t="s">
        <v>273</v>
      </c>
    </row>
    <row r="118" spans="1:17" s="29" customFormat="1">
      <c r="A118" s="41">
        <v>5.4330337453703699E-2</v>
      </c>
      <c r="B118" t="s">
        <v>113</v>
      </c>
      <c r="C118"/>
      <c r="D118"/>
      <c r="E118" t="s">
        <v>127</v>
      </c>
      <c r="F118"/>
      <c r="G118" t="s">
        <v>117</v>
      </c>
      <c r="H118"/>
      <c r="I118" s="158">
        <v>46241.716134259259</v>
      </c>
      <c r="J118" t="s">
        <v>324</v>
      </c>
      <c r="K118" t="s">
        <v>358</v>
      </c>
      <c r="L118" s="157">
        <v>46167</v>
      </c>
      <c r="M118" t="s">
        <v>282</v>
      </c>
      <c r="N118" t="s">
        <v>290</v>
      </c>
      <c r="O118" t="s">
        <v>293</v>
      </c>
      <c r="P118">
        <v>3</v>
      </c>
      <c r="Q118" t="s">
        <v>273</v>
      </c>
    </row>
    <row r="119" spans="1:17" s="29" customFormat="1">
      <c r="A119" s="41">
        <v>5.4216633784722225E-2</v>
      </c>
      <c r="B119" t="s">
        <v>113</v>
      </c>
      <c r="C119"/>
      <c r="D119"/>
      <c r="E119" t="s">
        <v>58</v>
      </c>
      <c r="F119"/>
      <c r="G119" t="s">
        <v>117</v>
      </c>
      <c r="H119"/>
      <c r="I119" s="158">
        <v>46241.715937499997</v>
      </c>
      <c r="J119" t="s">
        <v>324</v>
      </c>
      <c r="K119" t="s">
        <v>358</v>
      </c>
      <c r="L119" s="157">
        <v>46167</v>
      </c>
      <c r="M119" t="s">
        <v>282</v>
      </c>
      <c r="N119" t="s">
        <v>290</v>
      </c>
      <c r="O119" t="s">
        <v>293</v>
      </c>
      <c r="P119">
        <v>3</v>
      </c>
      <c r="Q119" t="s">
        <v>273</v>
      </c>
    </row>
    <row r="120" spans="1:17" s="29" customFormat="1">
      <c r="A120" s="41">
        <v>5.4176432696759258E-2</v>
      </c>
      <c r="B120" t="s">
        <v>113</v>
      </c>
      <c r="C120"/>
      <c r="D120"/>
      <c r="E120" t="s">
        <v>226</v>
      </c>
      <c r="F120"/>
      <c r="G120" t="s">
        <v>117</v>
      </c>
      <c r="H120"/>
      <c r="I120" s="158">
        <v>46241.715891203705</v>
      </c>
      <c r="J120" t="s">
        <v>324</v>
      </c>
      <c r="K120" t="s">
        <v>358</v>
      </c>
      <c r="L120" s="157">
        <v>46167</v>
      </c>
      <c r="M120" t="s">
        <v>282</v>
      </c>
      <c r="N120" t="s">
        <v>290</v>
      </c>
      <c r="O120" t="s">
        <v>293</v>
      </c>
      <c r="P120">
        <v>3</v>
      </c>
      <c r="Q120" t="s">
        <v>273</v>
      </c>
    </row>
    <row r="121" spans="1:17" s="29" customFormat="1">
      <c r="A121" s="41">
        <v>5.4118197893518516E-2</v>
      </c>
      <c r="B121" t="s">
        <v>113</v>
      </c>
      <c r="C121"/>
      <c r="D121"/>
      <c r="E121" t="s">
        <v>224</v>
      </c>
      <c r="F121"/>
      <c r="G121" t="s">
        <v>204</v>
      </c>
      <c r="H121"/>
      <c r="I121" s="158">
        <v>46241.715798611112</v>
      </c>
      <c r="J121" t="s">
        <v>324</v>
      </c>
      <c r="K121" t="s">
        <v>358</v>
      </c>
      <c r="L121" s="157">
        <v>46167</v>
      </c>
      <c r="M121" t="s">
        <v>282</v>
      </c>
      <c r="N121" t="s">
        <v>290</v>
      </c>
      <c r="O121" t="s">
        <v>293</v>
      </c>
      <c r="P121">
        <v>3</v>
      </c>
      <c r="Q121" t="s">
        <v>273</v>
      </c>
    </row>
    <row r="122" spans="1:17" s="29" customFormat="1">
      <c r="A122" s="41">
        <v>5.4072852673611109E-2</v>
      </c>
      <c r="B122" t="s">
        <v>113</v>
      </c>
      <c r="C122"/>
      <c r="D122"/>
      <c r="E122" t="s">
        <v>338</v>
      </c>
      <c r="F122"/>
      <c r="G122" t="s">
        <v>204</v>
      </c>
      <c r="H122"/>
      <c r="I122" s="158">
        <v>46241.715729166666</v>
      </c>
      <c r="J122" t="s">
        <v>324</v>
      </c>
      <c r="K122" t="s">
        <v>358</v>
      </c>
      <c r="L122" s="157">
        <v>46167</v>
      </c>
      <c r="M122" t="s">
        <v>282</v>
      </c>
      <c r="N122" t="s">
        <v>290</v>
      </c>
      <c r="O122" t="s">
        <v>293</v>
      </c>
      <c r="P122">
        <v>3</v>
      </c>
      <c r="Q122" t="s">
        <v>273</v>
      </c>
    </row>
    <row r="123" spans="1:17" s="29" customFormat="1">
      <c r="A123" s="41">
        <v>5.4020600393518518E-2</v>
      </c>
      <c r="B123" t="s">
        <v>113</v>
      </c>
      <c r="C123"/>
      <c r="D123"/>
      <c r="E123" t="s">
        <v>124</v>
      </c>
      <c r="F123"/>
      <c r="G123" t="s">
        <v>204</v>
      </c>
      <c r="H123"/>
      <c r="I123" s="158">
        <v>46241.715671296297</v>
      </c>
      <c r="J123" t="s">
        <v>324</v>
      </c>
      <c r="K123" t="s">
        <v>358</v>
      </c>
      <c r="L123" s="157">
        <v>46167</v>
      </c>
      <c r="M123" t="s">
        <v>282</v>
      </c>
      <c r="N123" t="s">
        <v>290</v>
      </c>
      <c r="O123" t="s">
        <v>293</v>
      </c>
      <c r="P123">
        <v>3</v>
      </c>
      <c r="Q123" t="s">
        <v>273</v>
      </c>
    </row>
    <row r="124" spans="1:17" s="29" customFormat="1">
      <c r="A124" s="41">
        <v>5.362878440972222E-2</v>
      </c>
      <c r="B124" t="s">
        <v>113</v>
      </c>
      <c r="C124"/>
      <c r="D124"/>
      <c r="E124" t="s">
        <v>88</v>
      </c>
      <c r="F124"/>
      <c r="G124" t="s">
        <v>204</v>
      </c>
      <c r="H124"/>
      <c r="I124" s="158">
        <v>46241.715590277781</v>
      </c>
      <c r="J124" t="s">
        <v>324</v>
      </c>
      <c r="K124" t="s">
        <v>358</v>
      </c>
      <c r="L124" s="157">
        <v>46167</v>
      </c>
      <c r="M124" t="s">
        <v>282</v>
      </c>
      <c r="N124" t="s">
        <v>290</v>
      </c>
      <c r="O124" t="s">
        <v>293</v>
      </c>
      <c r="P124">
        <v>3</v>
      </c>
      <c r="Q124" t="s">
        <v>273</v>
      </c>
    </row>
    <row r="125" spans="1:17" s="29" customFormat="1">
      <c r="A125" s="41">
        <v>5.3603088252314808E-2</v>
      </c>
      <c r="B125" t="s">
        <v>113</v>
      </c>
      <c r="C125" t="s">
        <v>83</v>
      </c>
      <c r="D125"/>
      <c r="E125" t="s">
        <v>223</v>
      </c>
      <c r="F125"/>
      <c r="G125" t="s">
        <v>117</v>
      </c>
      <c r="H125"/>
      <c r="I125" s="158">
        <v>46241.715567129628</v>
      </c>
      <c r="J125" t="s">
        <v>324</v>
      </c>
      <c r="K125" t="s">
        <v>358</v>
      </c>
      <c r="L125" s="157">
        <v>46167</v>
      </c>
      <c r="M125" t="s">
        <v>282</v>
      </c>
      <c r="N125" t="s">
        <v>290</v>
      </c>
      <c r="O125" t="s">
        <v>293</v>
      </c>
      <c r="P125">
        <v>3</v>
      </c>
      <c r="Q125" t="s">
        <v>273</v>
      </c>
    </row>
    <row r="126" spans="1:17" s="29" customFormat="1">
      <c r="A126" s="41">
        <v>5.356312065972222E-2</v>
      </c>
      <c r="B126" t="s">
        <v>113</v>
      </c>
      <c r="C126"/>
      <c r="D126"/>
      <c r="E126" t="s">
        <v>127</v>
      </c>
      <c r="F126"/>
      <c r="G126" t="s">
        <v>117</v>
      </c>
      <c r="H126"/>
      <c r="I126" s="158">
        <v>46241.715520833335</v>
      </c>
      <c r="J126" t="s">
        <v>324</v>
      </c>
      <c r="K126" t="s">
        <v>358</v>
      </c>
      <c r="L126" s="157">
        <v>46167</v>
      </c>
      <c r="M126" t="s">
        <v>282</v>
      </c>
      <c r="N126" t="s">
        <v>290</v>
      </c>
      <c r="O126" t="s">
        <v>293</v>
      </c>
      <c r="P126">
        <v>3</v>
      </c>
      <c r="Q126" t="s">
        <v>273</v>
      </c>
    </row>
    <row r="127" spans="1:17" s="29" customFormat="1">
      <c r="A127" s="41">
        <v>5.3489885949074077E-2</v>
      </c>
      <c r="B127" t="s">
        <v>113</v>
      </c>
      <c r="C127"/>
      <c r="D127"/>
      <c r="E127" t="s">
        <v>127</v>
      </c>
      <c r="F127"/>
      <c r="G127" t="s">
        <v>117</v>
      </c>
      <c r="H127"/>
      <c r="I127" s="158">
        <v>46241.715439814812</v>
      </c>
      <c r="J127" t="s">
        <v>324</v>
      </c>
      <c r="K127" t="s">
        <v>358</v>
      </c>
      <c r="L127" s="157">
        <v>46167</v>
      </c>
      <c r="M127" t="s">
        <v>282</v>
      </c>
      <c r="N127" t="s">
        <v>290</v>
      </c>
      <c r="O127" t="s">
        <v>293</v>
      </c>
      <c r="P127">
        <v>3</v>
      </c>
      <c r="Q127" t="s">
        <v>273</v>
      </c>
    </row>
    <row r="128" spans="1:17" s="29" customFormat="1">
      <c r="A128" s="41">
        <v>5.3424761087962958E-2</v>
      </c>
      <c r="B128" t="s">
        <v>113</v>
      </c>
      <c r="C128"/>
      <c r="D128"/>
      <c r="E128" t="s">
        <v>127</v>
      </c>
      <c r="F128"/>
      <c r="G128" t="s">
        <v>117</v>
      </c>
      <c r="H128"/>
      <c r="I128" s="158">
        <v>46241.715381944443</v>
      </c>
      <c r="J128" t="s">
        <v>324</v>
      </c>
      <c r="K128" t="s">
        <v>358</v>
      </c>
      <c r="L128" s="157">
        <v>46167</v>
      </c>
      <c r="M128" t="s">
        <v>282</v>
      </c>
      <c r="N128" t="s">
        <v>290</v>
      </c>
      <c r="O128" t="s">
        <v>293</v>
      </c>
      <c r="P128">
        <v>3</v>
      </c>
      <c r="Q128" t="s">
        <v>273</v>
      </c>
    </row>
    <row r="129" spans="1:17" s="29" customFormat="1">
      <c r="A129" s="41">
        <v>5.3351199143518518E-2</v>
      </c>
      <c r="B129" t="s">
        <v>113</v>
      </c>
      <c r="C129"/>
      <c r="D129"/>
      <c r="E129" t="s">
        <v>127</v>
      </c>
      <c r="F129"/>
      <c r="G129" t="s">
        <v>117</v>
      </c>
      <c r="H129"/>
      <c r="I129" s="158">
        <v>46241.715312499997</v>
      </c>
      <c r="J129" t="s">
        <v>324</v>
      </c>
      <c r="K129" t="s">
        <v>358</v>
      </c>
      <c r="L129" s="157">
        <v>46167</v>
      </c>
      <c r="M129" t="s">
        <v>282</v>
      </c>
      <c r="N129" t="s">
        <v>290</v>
      </c>
      <c r="O129" t="s">
        <v>293</v>
      </c>
      <c r="P129">
        <v>3</v>
      </c>
      <c r="Q129" t="s">
        <v>273</v>
      </c>
    </row>
    <row r="130" spans="1:17" s="29" customFormat="1">
      <c r="A130" s="41">
        <v>5.3271057523148153E-2</v>
      </c>
      <c r="B130" t="s">
        <v>113</v>
      </c>
      <c r="C130"/>
      <c r="D130"/>
      <c r="E130" t="s">
        <v>127</v>
      </c>
      <c r="F130"/>
      <c r="G130" t="s">
        <v>117</v>
      </c>
      <c r="H130"/>
      <c r="I130" s="158">
        <v>46241.715231481481</v>
      </c>
      <c r="J130" t="s">
        <v>324</v>
      </c>
      <c r="K130" t="s">
        <v>358</v>
      </c>
      <c r="L130" s="157">
        <v>46167</v>
      </c>
      <c r="M130" t="s">
        <v>282</v>
      </c>
      <c r="N130" t="s">
        <v>290</v>
      </c>
      <c r="O130" t="s">
        <v>293</v>
      </c>
      <c r="P130">
        <v>3</v>
      </c>
      <c r="Q130" t="s">
        <v>273</v>
      </c>
    </row>
    <row r="131" spans="1:17" s="29" customFormat="1">
      <c r="A131" s="41">
        <v>5.3191117916666669E-2</v>
      </c>
      <c r="B131" t="s">
        <v>113</v>
      </c>
      <c r="C131"/>
      <c r="D131"/>
      <c r="E131" t="s">
        <v>127</v>
      </c>
      <c r="F131"/>
      <c r="G131" t="s">
        <v>117</v>
      </c>
      <c r="H131"/>
      <c r="I131" s="158">
        <v>46241.715150462966</v>
      </c>
      <c r="J131" t="s">
        <v>324</v>
      </c>
      <c r="K131" t="s">
        <v>358</v>
      </c>
      <c r="L131" s="157">
        <v>46167</v>
      </c>
      <c r="M131" t="s">
        <v>282</v>
      </c>
      <c r="N131" t="s">
        <v>290</v>
      </c>
      <c r="O131" t="s">
        <v>293</v>
      </c>
      <c r="P131">
        <v>3</v>
      </c>
      <c r="Q131" t="s">
        <v>273</v>
      </c>
    </row>
    <row r="132" spans="1:17" s="29" customFormat="1">
      <c r="A132" s="41">
        <v>5.315115277777778E-2</v>
      </c>
      <c r="B132" t="s">
        <v>113</v>
      </c>
      <c r="C132"/>
      <c r="D132"/>
      <c r="E132" t="s">
        <v>120</v>
      </c>
      <c r="F132"/>
      <c r="G132" t="s">
        <v>117</v>
      </c>
      <c r="H132"/>
      <c r="I132" s="158">
        <v>46241.715104166666</v>
      </c>
      <c r="J132" t="s">
        <v>324</v>
      </c>
      <c r="K132" t="s">
        <v>358</v>
      </c>
      <c r="L132" s="157">
        <v>46167</v>
      </c>
      <c r="M132" t="s">
        <v>282</v>
      </c>
      <c r="N132" t="s">
        <v>290</v>
      </c>
      <c r="O132" t="s">
        <v>293</v>
      </c>
      <c r="P132">
        <v>3</v>
      </c>
      <c r="Q132" t="s">
        <v>273</v>
      </c>
    </row>
    <row r="133" spans="1:17" s="29" customFormat="1">
      <c r="A133" s="41">
        <v>5.3059319363425922E-2</v>
      </c>
      <c r="B133" t="s">
        <v>113</v>
      </c>
      <c r="C133"/>
      <c r="D133"/>
      <c r="E133" t="s">
        <v>88</v>
      </c>
      <c r="F133"/>
      <c r="G133" t="s">
        <v>117</v>
      </c>
      <c r="H133"/>
      <c r="I133" s="158">
        <v>46241.71466435185</v>
      </c>
      <c r="J133" t="s">
        <v>324</v>
      </c>
      <c r="K133" t="s">
        <v>358</v>
      </c>
      <c r="L133" s="157">
        <v>46167</v>
      </c>
      <c r="M133" t="s">
        <v>282</v>
      </c>
      <c r="N133" t="s">
        <v>290</v>
      </c>
      <c r="O133" t="s">
        <v>293</v>
      </c>
      <c r="P133">
        <v>3</v>
      </c>
      <c r="Q133" t="s">
        <v>273</v>
      </c>
    </row>
    <row r="134" spans="1:17" s="29" customFormat="1">
      <c r="A134" s="41">
        <v>5.3059319363425922E-2</v>
      </c>
      <c r="B134" t="s">
        <v>113</v>
      </c>
      <c r="C134"/>
      <c r="D134"/>
      <c r="E134" t="s">
        <v>253</v>
      </c>
      <c r="F134" t="s">
        <v>247</v>
      </c>
      <c r="G134" t="s">
        <v>117</v>
      </c>
      <c r="H134"/>
      <c r="I134" s="158">
        <v>46241.71466435185</v>
      </c>
      <c r="J134" t="s">
        <v>324</v>
      </c>
      <c r="K134" t="s">
        <v>358</v>
      </c>
      <c r="L134" s="157">
        <v>46167</v>
      </c>
      <c r="M134" t="s">
        <v>282</v>
      </c>
      <c r="N134" t="s">
        <v>290</v>
      </c>
      <c r="O134" t="s">
        <v>293</v>
      </c>
      <c r="P134">
        <v>3</v>
      </c>
      <c r="Q134" t="s">
        <v>273</v>
      </c>
    </row>
    <row r="135" spans="1:17" s="29" customFormat="1">
      <c r="A135" s="41">
        <v>5.2991187500000002E-2</v>
      </c>
      <c r="B135" t="s">
        <v>113</v>
      </c>
      <c r="C135" t="s">
        <v>395</v>
      </c>
      <c r="D135"/>
      <c r="E135" t="s">
        <v>127</v>
      </c>
      <c r="F135"/>
      <c r="G135" t="s">
        <v>204</v>
      </c>
      <c r="H135"/>
      <c r="I135" s="158">
        <v>46241.714409722219</v>
      </c>
      <c r="J135" t="s">
        <v>324</v>
      </c>
      <c r="K135" t="s">
        <v>358</v>
      </c>
      <c r="L135" s="157">
        <v>46167</v>
      </c>
      <c r="M135" t="s">
        <v>282</v>
      </c>
      <c r="N135" t="s">
        <v>290</v>
      </c>
      <c r="O135" t="s">
        <v>293</v>
      </c>
      <c r="P135">
        <v>3</v>
      </c>
      <c r="Q135" t="s">
        <v>273</v>
      </c>
    </row>
    <row r="136" spans="1:17" s="29" customFormat="1">
      <c r="A136" s="41">
        <v>5.2911830451388885E-2</v>
      </c>
      <c r="B136" t="s">
        <v>113</v>
      </c>
      <c r="C136" t="s">
        <v>393</v>
      </c>
      <c r="D136"/>
      <c r="E136" t="s">
        <v>127</v>
      </c>
      <c r="F136"/>
      <c r="G136" t="s">
        <v>204</v>
      </c>
      <c r="H136"/>
      <c r="I136" s="158">
        <v>46241.714201388888</v>
      </c>
      <c r="J136" t="s">
        <v>324</v>
      </c>
      <c r="K136" t="s">
        <v>358</v>
      </c>
      <c r="L136" s="157">
        <v>46167</v>
      </c>
      <c r="M136" t="s">
        <v>282</v>
      </c>
      <c r="N136" t="s">
        <v>290</v>
      </c>
      <c r="O136" t="s">
        <v>293</v>
      </c>
      <c r="P136">
        <v>3</v>
      </c>
      <c r="Q136" t="s">
        <v>273</v>
      </c>
    </row>
    <row r="137" spans="1:17" s="29" customFormat="1">
      <c r="A137" s="41">
        <v>5.2838048518518518E-2</v>
      </c>
      <c r="B137" t="s">
        <v>113</v>
      </c>
      <c r="C137" t="s">
        <v>365</v>
      </c>
      <c r="D137"/>
      <c r="E137" t="s">
        <v>128</v>
      </c>
      <c r="F137"/>
      <c r="G137" t="s">
        <v>117</v>
      </c>
      <c r="H137"/>
      <c r="I137" s="158">
        <v>46241.714120370372</v>
      </c>
      <c r="J137" t="s">
        <v>324</v>
      </c>
      <c r="K137" t="s">
        <v>358</v>
      </c>
      <c r="L137" s="157">
        <v>46167</v>
      </c>
      <c r="M137" t="s">
        <v>282</v>
      </c>
      <c r="N137" t="s">
        <v>290</v>
      </c>
      <c r="O137" t="s">
        <v>293</v>
      </c>
      <c r="P137">
        <v>3</v>
      </c>
      <c r="Q137" t="s">
        <v>273</v>
      </c>
    </row>
    <row r="138" spans="1:17" s="29" customFormat="1">
      <c r="A138" s="41">
        <v>5.2775138032407409E-2</v>
      </c>
      <c r="B138" t="s">
        <v>113</v>
      </c>
      <c r="C138"/>
      <c r="D138"/>
      <c r="E138" t="s">
        <v>123</v>
      </c>
      <c r="F138"/>
      <c r="G138" t="s">
        <v>117</v>
      </c>
      <c r="H138"/>
      <c r="I138" s="158">
        <v>46241.713923611111</v>
      </c>
      <c r="J138" t="s">
        <v>324</v>
      </c>
      <c r="K138" t="s">
        <v>358</v>
      </c>
      <c r="L138" s="157">
        <v>46167</v>
      </c>
      <c r="M138" t="s">
        <v>282</v>
      </c>
      <c r="N138" t="s">
        <v>290</v>
      </c>
      <c r="O138" t="s">
        <v>293</v>
      </c>
      <c r="P138">
        <v>3</v>
      </c>
      <c r="Q138" t="s">
        <v>273</v>
      </c>
    </row>
    <row r="139" spans="1:17" s="29" customFormat="1">
      <c r="A139" s="41">
        <v>5.1800108819444447E-2</v>
      </c>
      <c r="B139" t="s">
        <v>113</v>
      </c>
      <c r="C139"/>
      <c r="D139"/>
      <c r="E139" t="s">
        <v>88</v>
      </c>
      <c r="F139"/>
      <c r="G139" t="s">
        <v>117</v>
      </c>
      <c r="H139"/>
      <c r="I139" s="158">
        <v>46241.713807870372</v>
      </c>
      <c r="J139" t="s">
        <v>324</v>
      </c>
      <c r="K139" t="s">
        <v>358</v>
      </c>
      <c r="L139" s="157">
        <v>46167</v>
      </c>
      <c r="M139" t="s">
        <v>282</v>
      </c>
      <c r="N139" t="s">
        <v>290</v>
      </c>
      <c r="O139" t="s">
        <v>293</v>
      </c>
      <c r="P139">
        <v>3</v>
      </c>
      <c r="Q139" t="s">
        <v>273</v>
      </c>
    </row>
    <row r="140" spans="1:17" s="29" customFormat="1">
      <c r="A140" s="41">
        <v>5.1800108819444447E-2</v>
      </c>
      <c r="B140" t="s">
        <v>113</v>
      </c>
      <c r="C140"/>
      <c r="D140"/>
      <c r="E140" t="s">
        <v>253</v>
      </c>
      <c r="F140" t="s">
        <v>247</v>
      </c>
      <c r="G140" t="s">
        <v>117</v>
      </c>
      <c r="H140"/>
      <c r="I140" s="158">
        <v>46241.713807870372</v>
      </c>
      <c r="J140" t="s">
        <v>324</v>
      </c>
      <c r="K140" t="s">
        <v>358</v>
      </c>
      <c r="L140" s="157">
        <v>46167</v>
      </c>
      <c r="M140" t="s">
        <v>282</v>
      </c>
      <c r="N140" t="s">
        <v>290</v>
      </c>
      <c r="O140" t="s">
        <v>293</v>
      </c>
      <c r="P140">
        <v>3</v>
      </c>
      <c r="Q140" t="s">
        <v>273</v>
      </c>
    </row>
    <row r="141" spans="1:17" s="29" customFormat="1">
      <c r="A141" s="41">
        <v>5.1732752743055561E-2</v>
      </c>
      <c r="B141" t="s">
        <v>113</v>
      </c>
      <c r="C141" t="s">
        <v>393</v>
      </c>
      <c r="D141"/>
      <c r="E141" t="s">
        <v>127</v>
      </c>
      <c r="F141"/>
      <c r="G141" t="s">
        <v>204</v>
      </c>
      <c r="H141"/>
      <c r="I141" s="158">
        <v>46241.713692129626</v>
      </c>
      <c r="J141" t="s">
        <v>324</v>
      </c>
      <c r="K141" t="s">
        <v>358</v>
      </c>
      <c r="L141" s="157">
        <v>46167</v>
      </c>
      <c r="M141" t="s">
        <v>282</v>
      </c>
      <c r="N141" t="s">
        <v>290</v>
      </c>
      <c r="O141" t="s">
        <v>293</v>
      </c>
      <c r="P141">
        <v>3</v>
      </c>
      <c r="Q141" t="s">
        <v>273</v>
      </c>
    </row>
    <row r="142" spans="1:17" s="29" customFormat="1">
      <c r="A142" s="41">
        <v>5.1696172071759264E-2</v>
      </c>
      <c r="B142" t="s">
        <v>113</v>
      </c>
      <c r="C142" t="s">
        <v>369</v>
      </c>
      <c r="D142"/>
      <c r="E142" t="s">
        <v>127</v>
      </c>
      <c r="F142"/>
      <c r="G142" t="s">
        <v>204</v>
      </c>
      <c r="H142"/>
      <c r="I142" s="158">
        <v>46241.713402777779</v>
      </c>
      <c r="J142" t="s">
        <v>324</v>
      </c>
      <c r="K142" t="s">
        <v>358</v>
      </c>
      <c r="L142" s="157">
        <v>46167</v>
      </c>
      <c r="M142" t="s">
        <v>282</v>
      </c>
      <c r="N142" t="s">
        <v>290</v>
      </c>
      <c r="O142" t="s">
        <v>293</v>
      </c>
      <c r="P142">
        <v>3</v>
      </c>
      <c r="Q142" t="s">
        <v>273</v>
      </c>
    </row>
    <row r="143" spans="1:17" s="29" customFormat="1">
      <c r="A143" s="41">
        <v>5.1662043217592594E-2</v>
      </c>
      <c r="B143" t="s">
        <v>113</v>
      </c>
      <c r="C143" t="s">
        <v>399</v>
      </c>
      <c r="D143"/>
      <c r="E143" t="s">
        <v>59</v>
      </c>
      <c r="F143"/>
      <c r="G143" t="s">
        <v>204</v>
      </c>
      <c r="H143"/>
      <c r="I143" s="158">
        <v>46241.713206018518</v>
      </c>
      <c r="J143" t="s">
        <v>324</v>
      </c>
      <c r="K143" t="s">
        <v>358</v>
      </c>
      <c r="L143" s="157">
        <v>46167</v>
      </c>
      <c r="M143" t="s">
        <v>282</v>
      </c>
      <c r="N143" t="s">
        <v>290</v>
      </c>
      <c r="O143" t="s">
        <v>293</v>
      </c>
      <c r="P143">
        <v>3</v>
      </c>
      <c r="Q143" t="s">
        <v>273</v>
      </c>
    </row>
    <row r="144" spans="1:17" s="29" customFormat="1">
      <c r="A144" s="41">
        <v>5.1652865115740743E-2</v>
      </c>
      <c r="B144" t="s">
        <v>113</v>
      </c>
      <c r="C144" t="s">
        <v>377</v>
      </c>
      <c r="D144"/>
      <c r="E144" t="s">
        <v>59</v>
      </c>
      <c r="F144"/>
      <c r="G144" t="s">
        <v>204</v>
      </c>
      <c r="H144"/>
      <c r="I144" s="158">
        <v>46241.712812500002</v>
      </c>
      <c r="J144" t="s">
        <v>324</v>
      </c>
      <c r="K144" t="s">
        <v>358</v>
      </c>
      <c r="L144" s="157">
        <v>46167</v>
      </c>
      <c r="M144" t="s">
        <v>282</v>
      </c>
      <c r="N144" t="s">
        <v>290</v>
      </c>
      <c r="O144" t="s">
        <v>293</v>
      </c>
      <c r="P144">
        <v>3</v>
      </c>
      <c r="Q144" t="s">
        <v>273</v>
      </c>
    </row>
    <row r="145" spans="1:17" s="29" customFormat="1">
      <c r="A145" s="41">
        <v>5.1590549155092591E-2</v>
      </c>
      <c r="B145" t="s">
        <v>113</v>
      </c>
      <c r="C145"/>
      <c r="D145"/>
      <c r="E145" t="s">
        <v>338</v>
      </c>
      <c r="F145"/>
      <c r="G145" t="s">
        <v>204</v>
      </c>
      <c r="H145"/>
      <c r="I145" s="158">
        <v>46241.712696759256</v>
      </c>
      <c r="J145" t="s">
        <v>324</v>
      </c>
      <c r="K145" t="s">
        <v>358</v>
      </c>
      <c r="L145" s="157">
        <v>46167</v>
      </c>
      <c r="M145" t="s">
        <v>282</v>
      </c>
      <c r="N145" t="s">
        <v>290</v>
      </c>
      <c r="O145" t="s">
        <v>293</v>
      </c>
      <c r="P145">
        <v>3</v>
      </c>
      <c r="Q145" t="s">
        <v>273</v>
      </c>
    </row>
    <row r="146" spans="1:17" s="29" customFormat="1">
      <c r="A146" s="41">
        <v>5.1532130462962962E-2</v>
      </c>
      <c r="B146" t="s">
        <v>113</v>
      </c>
      <c r="C146"/>
      <c r="D146"/>
      <c r="E146" t="s">
        <v>124</v>
      </c>
      <c r="F146"/>
      <c r="G146" t="s">
        <v>204</v>
      </c>
      <c r="H146"/>
      <c r="I146" s="158">
        <v>46241.712638888886</v>
      </c>
      <c r="J146" t="s">
        <v>324</v>
      </c>
      <c r="K146" t="s">
        <v>358</v>
      </c>
      <c r="L146" s="157">
        <v>46167</v>
      </c>
      <c r="M146" t="s">
        <v>282</v>
      </c>
      <c r="N146" t="s">
        <v>290</v>
      </c>
      <c r="O146" t="s">
        <v>293</v>
      </c>
      <c r="P146">
        <v>3</v>
      </c>
      <c r="Q146" t="s">
        <v>273</v>
      </c>
    </row>
    <row r="147" spans="1:17" s="29" customFormat="1">
      <c r="A147" s="41">
        <v>5.1131351238425923E-2</v>
      </c>
      <c r="B147" t="s">
        <v>113</v>
      </c>
      <c r="C147"/>
      <c r="D147"/>
      <c r="E147" t="s">
        <v>88</v>
      </c>
      <c r="F147"/>
      <c r="G147" t="s">
        <v>204</v>
      </c>
      <c r="H147"/>
      <c r="I147" s="158">
        <v>46241.712557870371</v>
      </c>
      <c r="J147" t="s">
        <v>324</v>
      </c>
      <c r="K147" t="s">
        <v>358</v>
      </c>
      <c r="L147" s="157">
        <v>46167</v>
      </c>
      <c r="M147" t="s">
        <v>282</v>
      </c>
      <c r="N147" t="s">
        <v>290</v>
      </c>
      <c r="O147" t="s">
        <v>293</v>
      </c>
      <c r="P147">
        <v>3</v>
      </c>
      <c r="Q147" t="s">
        <v>273</v>
      </c>
    </row>
    <row r="148" spans="1:17" s="29" customFormat="1">
      <c r="A148" s="41">
        <v>5.1097893796296298E-2</v>
      </c>
      <c r="B148" t="s">
        <v>113</v>
      </c>
      <c r="C148" t="s">
        <v>383</v>
      </c>
      <c r="D148"/>
      <c r="E148" t="s">
        <v>223</v>
      </c>
      <c r="F148"/>
      <c r="G148" t="s">
        <v>117</v>
      </c>
      <c r="H148"/>
      <c r="I148" s="158">
        <v>46241.712476851855</v>
      </c>
      <c r="J148" t="s">
        <v>324</v>
      </c>
      <c r="K148" t="s">
        <v>358</v>
      </c>
      <c r="L148" s="157">
        <v>46167</v>
      </c>
      <c r="M148" t="s">
        <v>282</v>
      </c>
      <c r="N148" t="s">
        <v>290</v>
      </c>
      <c r="O148" t="s">
        <v>293</v>
      </c>
      <c r="P148">
        <v>3</v>
      </c>
      <c r="Q148" t="s">
        <v>273</v>
      </c>
    </row>
    <row r="149" spans="1:17" s="29" customFormat="1">
      <c r="A149" s="41">
        <v>5.1011780543981478E-2</v>
      </c>
      <c r="B149" t="s">
        <v>113</v>
      </c>
      <c r="C149" t="s">
        <v>393</v>
      </c>
      <c r="D149"/>
      <c r="E149" t="s">
        <v>127</v>
      </c>
      <c r="F149"/>
      <c r="G149" t="s">
        <v>204</v>
      </c>
      <c r="H149"/>
      <c r="I149" s="158">
        <v>46241.712233796294</v>
      </c>
      <c r="J149" t="s">
        <v>324</v>
      </c>
      <c r="K149" t="s">
        <v>358</v>
      </c>
      <c r="L149" s="157">
        <v>46167</v>
      </c>
      <c r="M149" t="s">
        <v>282</v>
      </c>
      <c r="N149" t="s">
        <v>290</v>
      </c>
      <c r="O149" t="s">
        <v>293</v>
      </c>
      <c r="P149">
        <v>3</v>
      </c>
      <c r="Q149" t="s">
        <v>273</v>
      </c>
    </row>
    <row r="150" spans="1:17" s="29" customFormat="1">
      <c r="A150" s="41">
        <v>5.0970813796296296E-2</v>
      </c>
      <c r="B150" t="s">
        <v>113</v>
      </c>
      <c r="C150"/>
      <c r="D150"/>
      <c r="E150" t="s">
        <v>228</v>
      </c>
      <c r="F150"/>
      <c r="G150" t="s">
        <v>204</v>
      </c>
      <c r="H150"/>
      <c r="I150" s="158">
        <v>46241.711967592593</v>
      </c>
      <c r="J150" t="s">
        <v>324</v>
      </c>
      <c r="K150" t="s">
        <v>358</v>
      </c>
      <c r="L150" s="157">
        <v>46167</v>
      </c>
      <c r="M150" t="s">
        <v>282</v>
      </c>
      <c r="N150" t="s">
        <v>290</v>
      </c>
      <c r="O150" t="s">
        <v>293</v>
      </c>
      <c r="P150">
        <v>3</v>
      </c>
      <c r="Q150" t="s">
        <v>273</v>
      </c>
    </row>
    <row r="151" spans="1:17" s="29" customFormat="1">
      <c r="A151" s="41">
        <v>5.0931801226851849E-2</v>
      </c>
      <c r="B151" t="s">
        <v>113</v>
      </c>
      <c r="C151"/>
      <c r="D151"/>
      <c r="E151" t="s">
        <v>119</v>
      </c>
      <c r="F151"/>
      <c r="G151" t="s">
        <v>204</v>
      </c>
      <c r="H151"/>
      <c r="I151" s="158">
        <v>46241.711875000001</v>
      </c>
      <c r="J151" t="s">
        <v>324</v>
      </c>
      <c r="K151" t="s">
        <v>358</v>
      </c>
      <c r="L151" s="157">
        <v>46167</v>
      </c>
      <c r="M151" t="s">
        <v>282</v>
      </c>
      <c r="N151" t="s">
        <v>290</v>
      </c>
      <c r="O151" t="s">
        <v>293</v>
      </c>
      <c r="P151">
        <v>3</v>
      </c>
      <c r="Q151" t="s">
        <v>273</v>
      </c>
    </row>
    <row r="152" spans="1:17" s="29" customFormat="1">
      <c r="A152" s="41">
        <v>5.0173818877314813E-2</v>
      </c>
      <c r="B152" t="s">
        <v>113</v>
      </c>
      <c r="C152"/>
      <c r="D152"/>
      <c r="E152" t="s">
        <v>134</v>
      </c>
      <c r="F152"/>
      <c r="G152" t="s">
        <v>204</v>
      </c>
      <c r="H152"/>
      <c r="I152" s="158">
        <v>46241.710231481484</v>
      </c>
      <c r="J152" t="s">
        <v>324</v>
      </c>
      <c r="K152" t="s">
        <v>358</v>
      </c>
      <c r="L152" s="157">
        <v>46167</v>
      </c>
      <c r="M152" t="s">
        <v>282</v>
      </c>
      <c r="N152" t="s">
        <v>290</v>
      </c>
      <c r="O152" t="s">
        <v>293</v>
      </c>
      <c r="P152">
        <v>3</v>
      </c>
      <c r="Q152" t="s">
        <v>273</v>
      </c>
    </row>
    <row r="153" spans="1:17" s="29" customFormat="1">
      <c r="A153" s="41">
        <v>4.9620118148148151E-2</v>
      </c>
      <c r="B153" t="s">
        <v>113</v>
      </c>
      <c r="C153"/>
      <c r="D153"/>
      <c r="E153" t="s">
        <v>88</v>
      </c>
      <c r="F153"/>
      <c r="G153" t="s">
        <v>204</v>
      </c>
      <c r="H153"/>
      <c r="I153" s="158">
        <v>46241.710034722222</v>
      </c>
      <c r="J153" t="s">
        <v>324</v>
      </c>
      <c r="K153" t="s">
        <v>358</v>
      </c>
      <c r="L153" s="157">
        <v>46167</v>
      </c>
      <c r="M153" t="s">
        <v>282</v>
      </c>
      <c r="N153" t="s">
        <v>290</v>
      </c>
      <c r="O153" t="s">
        <v>293</v>
      </c>
      <c r="P153">
        <v>3</v>
      </c>
      <c r="Q153" t="s">
        <v>273</v>
      </c>
    </row>
    <row r="154" spans="1:17" s="29" customFormat="1">
      <c r="A154" s="41">
        <v>4.9620118148148151E-2</v>
      </c>
      <c r="B154" t="s">
        <v>113</v>
      </c>
      <c r="C154"/>
      <c r="D154"/>
      <c r="E154" t="s">
        <v>122</v>
      </c>
      <c r="F154"/>
      <c r="G154" t="s">
        <v>204</v>
      </c>
      <c r="H154"/>
      <c r="I154" s="158">
        <v>46241.710034722222</v>
      </c>
      <c r="J154" t="s">
        <v>324</v>
      </c>
      <c r="K154" t="s">
        <v>358</v>
      </c>
      <c r="L154" s="157">
        <v>46167</v>
      </c>
      <c r="M154" t="s">
        <v>282</v>
      </c>
      <c r="N154" t="s">
        <v>290</v>
      </c>
      <c r="O154" t="s">
        <v>293</v>
      </c>
      <c r="P154">
        <v>3</v>
      </c>
      <c r="Q154" t="s">
        <v>273</v>
      </c>
    </row>
    <row r="155" spans="1:17" s="29" customFormat="1">
      <c r="A155" s="41">
        <v>4.9576226851851854E-2</v>
      </c>
      <c r="B155" t="s">
        <v>113</v>
      </c>
      <c r="C155"/>
      <c r="D155"/>
      <c r="E155" t="s">
        <v>120</v>
      </c>
      <c r="F155"/>
      <c r="G155" t="s">
        <v>204</v>
      </c>
      <c r="H155"/>
      <c r="I155" s="158">
        <v>46241.70989583333</v>
      </c>
      <c r="J155" t="s">
        <v>324</v>
      </c>
      <c r="K155" t="s">
        <v>358</v>
      </c>
      <c r="L155" s="157">
        <v>46167</v>
      </c>
      <c r="M155" t="s">
        <v>282</v>
      </c>
      <c r="N155" t="s">
        <v>290</v>
      </c>
      <c r="O155" t="s">
        <v>293</v>
      </c>
      <c r="P155">
        <v>3</v>
      </c>
      <c r="Q155" t="s">
        <v>273</v>
      </c>
    </row>
    <row r="156" spans="1:17" s="29" customFormat="1">
      <c r="A156" s="41">
        <v>4.9471549340277775E-2</v>
      </c>
      <c r="B156" t="s">
        <v>113</v>
      </c>
      <c r="C156"/>
      <c r="D156"/>
      <c r="E156" t="s">
        <v>88</v>
      </c>
      <c r="F156"/>
      <c r="G156" t="s">
        <v>204</v>
      </c>
      <c r="H156"/>
      <c r="I156" s="158">
        <v>46241.709768518522</v>
      </c>
      <c r="J156" t="s">
        <v>324</v>
      </c>
      <c r="K156" t="s">
        <v>358</v>
      </c>
      <c r="L156" s="157">
        <v>46167</v>
      </c>
      <c r="M156" t="s">
        <v>282</v>
      </c>
      <c r="N156" t="s">
        <v>290</v>
      </c>
      <c r="O156" t="s">
        <v>293</v>
      </c>
      <c r="P156">
        <v>3</v>
      </c>
      <c r="Q156" t="s">
        <v>273</v>
      </c>
    </row>
    <row r="157" spans="1:17" s="29" customFormat="1">
      <c r="A157" s="41">
        <v>4.9471549340277775E-2</v>
      </c>
      <c r="B157" t="s">
        <v>113</v>
      </c>
      <c r="C157" t="s">
        <v>83</v>
      </c>
      <c r="D157" t="s">
        <v>83</v>
      </c>
      <c r="E157" t="s">
        <v>254</v>
      </c>
      <c r="F157" t="s">
        <v>248</v>
      </c>
      <c r="G157" t="s">
        <v>204</v>
      </c>
      <c r="H157"/>
      <c r="I157" s="158">
        <v>46241.709768518522</v>
      </c>
      <c r="J157" t="s">
        <v>324</v>
      </c>
      <c r="K157" t="s">
        <v>358</v>
      </c>
      <c r="L157" s="157">
        <v>46167</v>
      </c>
      <c r="M157" t="s">
        <v>282</v>
      </c>
      <c r="N157" t="s">
        <v>290</v>
      </c>
      <c r="O157" t="s">
        <v>293</v>
      </c>
      <c r="P157">
        <v>3</v>
      </c>
      <c r="Q157" t="s">
        <v>273</v>
      </c>
    </row>
    <row r="158" spans="1:17" s="29" customFormat="1">
      <c r="A158" s="41">
        <v>4.9407141249999995E-2</v>
      </c>
      <c r="B158" t="s">
        <v>113</v>
      </c>
      <c r="C158" t="s">
        <v>399</v>
      </c>
      <c r="D158"/>
      <c r="E158" t="s">
        <v>127</v>
      </c>
      <c r="F158"/>
      <c r="G158" t="s">
        <v>204</v>
      </c>
      <c r="H158"/>
      <c r="I158" s="158">
        <v>46241.709374999999</v>
      </c>
      <c r="J158" t="s">
        <v>324</v>
      </c>
      <c r="K158" t="s">
        <v>358</v>
      </c>
      <c r="L158" s="157">
        <v>46167</v>
      </c>
      <c r="M158" t="s">
        <v>282</v>
      </c>
      <c r="N158" t="s">
        <v>290</v>
      </c>
      <c r="O158" t="s">
        <v>293</v>
      </c>
      <c r="P158">
        <v>3</v>
      </c>
      <c r="Q158" t="s">
        <v>273</v>
      </c>
    </row>
    <row r="159" spans="1:17" s="29" customFormat="1">
      <c r="A159" s="41">
        <v>4.935642305555555E-2</v>
      </c>
      <c r="B159" t="s">
        <v>113</v>
      </c>
      <c r="C159" t="s">
        <v>365</v>
      </c>
      <c r="D159"/>
      <c r="E159" t="s">
        <v>127</v>
      </c>
      <c r="F159"/>
      <c r="G159" t="s">
        <v>204</v>
      </c>
      <c r="H159"/>
      <c r="I159" s="158">
        <v>46241.708854166667</v>
      </c>
      <c r="J159" t="s">
        <v>324</v>
      </c>
      <c r="K159" t="s">
        <v>358</v>
      </c>
      <c r="L159" s="157">
        <v>46167</v>
      </c>
      <c r="M159" t="s">
        <v>282</v>
      </c>
      <c r="N159" t="s">
        <v>290</v>
      </c>
      <c r="O159" t="s">
        <v>293</v>
      </c>
      <c r="P159">
        <v>3</v>
      </c>
      <c r="Q159" t="s">
        <v>273</v>
      </c>
    </row>
    <row r="160" spans="1:17" s="29" customFormat="1">
      <c r="A160" s="41">
        <v>4.9308964837962967E-2</v>
      </c>
      <c r="B160" t="s">
        <v>113</v>
      </c>
      <c r="C160" t="s">
        <v>377</v>
      </c>
      <c r="D160"/>
      <c r="E160" t="s">
        <v>127</v>
      </c>
      <c r="F160"/>
      <c r="G160" t="s">
        <v>204</v>
      </c>
      <c r="H160"/>
      <c r="I160" s="158">
        <v>46241.70853009259</v>
      </c>
      <c r="J160" t="s">
        <v>324</v>
      </c>
      <c r="K160" t="s">
        <v>358</v>
      </c>
      <c r="L160" s="157">
        <v>46167</v>
      </c>
      <c r="M160" t="s">
        <v>282</v>
      </c>
      <c r="N160" t="s">
        <v>290</v>
      </c>
      <c r="O160" t="s">
        <v>293</v>
      </c>
      <c r="P160">
        <v>3</v>
      </c>
      <c r="Q160" t="s">
        <v>273</v>
      </c>
    </row>
    <row r="161" spans="1:17" s="29" customFormat="1">
      <c r="A161" s="41">
        <v>4.9281819791666667E-2</v>
      </c>
      <c r="B161" t="s">
        <v>113</v>
      </c>
      <c r="C161" t="s">
        <v>379</v>
      </c>
      <c r="D161"/>
      <c r="E161" t="s">
        <v>59</v>
      </c>
      <c r="F161"/>
      <c r="G161" t="s">
        <v>204</v>
      </c>
      <c r="H161"/>
      <c r="I161" s="158">
        <v>46241.708298611113</v>
      </c>
      <c r="J161" t="s">
        <v>324</v>
      </c>
      <c r="K161" t="s">
        <v>358</v>
      </c>
      <c r="L161" s="157">
        <v>46167</v>
      </c>
      <c r="M161" t="s">
        <v>282</v>
      </c>
      <c r="N161" t="s">
        <v>290</v>
      </c>
      <c r="O161" t="s">
        <v>293</v>
      </c>
      <c r="P161">
        <v>3</v>
      </c>
      <c r="Q161" t="s">
        <v>273</v>
      </c>
    </row>
    <row r="162" spans="1:17" s="29" customFormat="1">
      <c r="A162" s="41">
        <v>4.9252764212962964E-2</v>
      </c>
      <c r="B162" t="s">
        <v>113</v>
      </c>
      <c r="C162" t="s">
        <v>399</v>
      </c>
      <c r="D162"/>
      <c r="E162" t="s">
        <v>59</v>
      </c>
      <c r="F162"/>
      <c r="G162" t="s">
        <v>204</v>
      </c>
      <c r="H162"/>
      <c r="I162" s="158">
        <v>46241.70821759259</v>
      </c>
      <c r="J162" t="s">
        <v>324</v>
      </c>
      <c r="K162" t="s">
        <v>358</v>
      </c>
      <c r="L162" s="157">
        <v>46167</v>
      </c>
      <c r="M162" t="s">
        <v>282</v>
      </c>
      <c r="N162" t="s">
        <v>290</v>
      </c>
      <c r="O162" t="s">
        <v>293</v>
      </c>
      <c r="P162">
        <v>3</v>
      </c>
      <c r="Q162" t="s">
        <v>273</v>
      </c>
    </row>
    <row r="163" spans="1:17" s="29" customFormat="1">
      <c r="A163" s="41">
        <v>4.9240758680555552E-2</v>
      </c>
      <c r="B163" t="s">
        <v>113</v>
      </c>
      <c r="C163" t="s">
        <v>359</v>
      </c>
      <c r="D163"/>
      <c r="E163" t="s">
        <v>59</v>
      </c>
      <c r="F163"/>
      <c r="G163" t="s">
        <v>204</v>
      </c>
      <c r="H163"/>
      <c r="I163" s="158">
        <v>46241.707800925928</v>
      </c>
      <c r="J163" t="s">
        <v>324</v>
      </c>
      <c r="K163" t="s">
        <v>358</v>
      </c>
      <c r="L163" s="157">
        <v>46167</v>
      </c>
      <c r="M163" t="s">
        <v>282</v>
      </c>
      <c r="N163" t="s">
        <v>290</v>
      </c>
      <c r="O163" t="s">
        <v>293</v>
      </c>
      <c r="P163">
        <v>3</v>
      </c>
      <c r="Q163" t="s">
        <v>273</v>
      </c>
    </row>
    <row r="164" spans="1:17" s="29" customFormat="1">
      <c r="A164" s="41">
        <v>4.9211066377314809E-2</v>
      </c>
      <c r="B164" t="s">
        <v>113</v>
      </c>
      <c r="C164"/>
      <c r="D164"/>
      <c r="E164" t="s">
        <v>60</v>
      </c>
      <c r="F164"/>
      <c r="G164" t="s">
        <v>117</v>
      </c>
      <c r="H164"/>
      <c r="I164" s="158">
        <v>46241.707557870373</v>
      </c>
      <c r="J164" t="s">
        <v>324</v>
      </c>
      <c r="K164" t="s">
        <v>358</v>
      </c>
      <c r="L164" s="157">
        <v>46167</v>
      </c>
      <c r="M164" t="s">
        <v>282</v>
      </c>
      <c r="N164" t="s">
        <v>290</v>
      </c>
      <c r="O164" t="s">
        <v>293</v>
      </c>
      <c r="P164">
        <v>3</v>
      </c>
      <c r="Q164" t="s">
        <v>273</v>
      </c>
    </row>
    <row r="165" spans="1:17" s="29" customFormat="1">
      <c r="A165" s="41">
        <v>4.9059915185185182E-2</v>
      </c>
      <c r="B165" t="s">
        <v>113</v>
      </c>
      <c r="C165"/>
      <c r="D165"/>
      <c r="E165" t="s">
        <v>127</v>
      </c>
      <c r="F165"/>
      <c r="G165" t="s">
        <v>117</v>
      </c>
      <c r="H165"/>
      <c r="I165" s="158">
        <v>46241.707395833335</v>
      </c>
      <c r="J165" t="s">
        <v>324</v>
      </c>
      <c r="K165" t="s">
        <v>358</v>
      </c>
      <c r="L165" s="157">
        <v>46167</v>
      </c>
      <c r="M165" t="s">
        <v>282</v>
      </c>
      <c r="N165" t="s">
        <v>290</v>
      </c>
      <c r="O165" t="s">
        <v>293</v>
      </c>
      <c r="P165">
        <v>3</v>
      </c>
      <c r="Q165" t="s">
        <v>273</v>
      </c>
    </row>
    <row r="166" spans="1:17" s="29" customFormat="1">
      <c r="A166" s="41">
        <v>4.9023026435185184E-2</v>
      </c>
      <c r="B166" t="s">
        <v>113</v>
      </c>
      <c r="C166"/>
      <c r="D166"/>
      <c r="E166" t="s">
        <v>332</v>
      </c>
      <c r="F166"/>
      <c r="G166" t="s">
        <v>117</v>
      </c>
      <c r="H166"/>
      <c r="I166" s="158">
        <v>46241.707361111112</v>
      </c>
      <c r="J166" t="s">
        <v>324</v>
      </c>
      <c r="K166" t="s">
        <v>358</v>
      </c>
      <c r="L166" s="157">
        <v>46167</v>
      </c>
      <c r="M166" t="s">
        <v>282</v>
      </c>
      <c r="N166" t="s">
        <v>290</v>
      </c>
      <c r="O166" t="s">
        <v>293</v>
      </c>
      <c r="P166">
        <v>3</v>
      </c>
      <c r="Q166" t="s">
        <v>273</v>
      </c>
    </row>
    <row r="167" spans="1:17" s="29" customFormat="1">
      <c r="A167" s="41">
        <v>4.8976901643518513E-2</v>
      </c>
      <c r="B167" t="s">
        <v>113</v>
      </c>
      <c r="C167"/>
      <c r="D167"/>
      <c r="E167" t="s">
        <v>124</v>
      </c>
      <c r="F167"/>
      <c r="G167" t="s">
        <v>117</v>
      </c>
      <c r="H167"/>
      <c r="I167" s="158">
        <v>46241.707314814812</v>
      </c>
      <c r="J167" t="s">
        <v>324</v>
      </c>
      <c r="K167" t="s">
        <v>358</v>
      </c>
      <c r="L167" s="157">
        <v>46167</v>
      </c>
      <c r="M167" t="s">
        <v>282</v>
      </c>
      <c r="N167" t="s">
        <v>290</v>
      </c>
      <c r="O167" t="s">
        <v>293</v>
      </c>
      <c r="P167">
        <v>3</v>
      </c>
      <c r="Q167" t="s">
        <v>273</v>
      </c>
    </row>
    <row r="168" spans="1:17" s="29" customFormat="1">
      <c r="A168" s="41">
        <v>4.8568388738425929E-2</v>
      </c>
      <c r="B168" t="s">
        <v>113</v>
      </c>
      <c r="C168"/>
      <c r="D168"/>
      <c r="E168" t="s">
        <v>88</v>
      </c>
      <c r="F168"/>
      <c r="G168" t="s">
        <v>117</v>
      </c>
      <c r="H168"/>
      <c r="I168" s="158">
        <v>46241.707048611112</v>
      </c>
      <c r="J168" t="s">
        <v>324</v>
      </c>
      <c r="K168" t="s">
        <v>358</v>
      </c>
      <c r="L168" s="157">
        <v>46167</v>
      </c>
      <c r="M168" t="s">
        <v>282</v>
      </c>
      <c r="N168" t="s">
        <v>290</v>
      </c>
      <c r="O168" t="s">
        <v>293</v>
      </c>
      <c r="P168">
        <v>3</v>
      </c>
      <c r="Q168" t="s">
        <v>273</v>
      </c>
    </row>
    <row r="169" spans="1:17" s="29" customFormat="1">
      <c r="A169" s="41">
        <v>4.8568388738425929E-2</v>
      </c>
      <c r="B169" t="s">
        <v>113</v>
      </c>
      <c r="C169"/>
      <c r="D169"/>
      <c r="E169" t="s">
        <v>223</v>
      </c>
      <c r="F169"/>
      <c r="G169" t="s">
        <v>204</v>
      </c>
      <c r="H169"/>
      <c r="I169" s="158">
        <v>46241.706805555557</v>
      </c>
      <c r="J169" t="s">
        <v>324</v>
      </c>
      <c r="K169" t="s">
        <v>358</v>
      </c>
      <c r="L169" s="157">
        <v>46167</v>
      </c>
      <c r="M169" t="s">
        <v>282</v>
      </c>
      <c r="N169" t="s">
        <v>290</v>
      </c>
      <c r="O169" t="s">
        <v>293</v>
      </c>
      <c r="P169">
        <v>3</v>
      </c>
      <c r="Q169" t="s">
        <v>273</v>
      </c>
    </row>
    <row r="170" spans="1:17" s="29" customFormat="1">
      <c r="A170" s="41">
        <v>4.8595667870370368E-2</v>
      </c>
      <c r="B170" t="s">
        <v>113</v>
      </c>
      <c r="C170" t="s">
        <v>83</v>
      </c>
      <c r="D170"/>
      <c r="E170" t="s">
        <v>129</v>
      </c>
      <c r="F170"/>
      <c r="G170" t="s">
        <v>204</v>
      </c>
      <c r="H170"/>
      <c r="I170" s="158">
        <v>46241.706412037034</v>
      </c>
      <c r="J170" t="s">
        <v>324</v>
      </c>
      <c r="K170" t="s">
        <v>358</v>
      </c>
      <c r="L170" s="157">
        <v>46167</v>
      </c>
      <c r="M170" t="s">
        <v>282</v>
      </c>
      <c r="N170" t="s">
        <v>290</v>
      </c>
      <c r="O170" t="s">
        <v>293</v>
      </c>
      <c r="P170">
        <v>3</v>
      </c>
      <c r="Q170" t="s">
        <v>273</v>
      </c>
    </row>
    <row r="171" spans="1:17" s="29" customFormat="1">
      <c r="A171" s="41">
        <v>4.8532035462962961E-2</v>
      </c>
      <c r="B171" t="s">
        <v>113</v>
      </c>
      <c r="C171"/>
      <c r="D171"/>
      <c r="E171" t="s">
        <v>123</v>
      </c>
      <c r="F171"/>
      <c r="G171" t="s">
        <v>204</v>
      </c>
      <c r="H171"/>
      <c r="I171" s="158">
        <v>46241.706331018519</v>
      </c>
      <c r="J171" t="s">
        <v>324</v>
      </c>
      <c r="K171" t="s">
        <v>358</v>
      </c>
      <c r="L171" s="157">
        <v>46167</v>
      </c>
      <c r="M171" t="s">
        <v>282</v>
      </c>
      <c r="N171" t="s">
        <v>290</v>
      </c>
      <c r="O171" t="s">
        <v>293</v>
      </c>
      <c r="P171">
        <v>3</v>
      </c>
      <c r="Q171" t="s">
        <v>273</v>
      </c>
    </row>
    <row r="172" spans="1:17" s="29" customFormat="1">
      <c r="A172" s="41">
        <v>4.8217671203703703E-2</v>
      </c>
      <c r="B172" t="s">
        <v>113</v>
      </c>
      <c r="C172"/>
      <c r="D172"/>
      <c r="E172" t="s">
        <v>88</v>
      </c>
      <c r="F172"/>
      <c r="G172" t="s">
        <v>117</v>
      </c>
      <c r="H172"/>
      <c r="I172" s="158">
        <v>46241.706087962964</v>
      </c>
      <c r="J172" t="s">
        <v>324</v>
      </c>
      <c r="K172" t="s">
        <v>358</v>
      </c>
      <c r="L172" s="157">
        <v>46167</v>
      </c>
      <c r="M172" t="s">
        <v>282</v>
      </c>
      <c r="N172" t="s">
        <v>290</v>
      </c>
      <c r="O172" t="s">
        <v>293</v>
      </c>
      <c r="P172">
        <v>3</v>
      </c>
      <c r="Q172" t="s">
        <v>273</v>
      </c>
    </row>
    <row r="173" spans="1:17" s="29" customFormat="1">
      <c r="A173" s="41">
        <v>4.8119291898148141E-2</v>
      </c>
      <c r="B173" t="s">
        <v>113</v>
      </c>
      <c r="C173"/>
      <c r="D173"/>
      <c r="E173" t="s">
        <v>224</v>
      </c>
      <c r="F173"/>
      <c r="G173" t="s">
        <v>117</v>
      </c>
      <c r="H173"/>
      <c r="I173" s="158">
        <v>46241.705983796295</v>
      </c>
      <c r="J173" t="s">
        <v>324</v>
      </c>
      <c r="K173" t="s">
        <v>358</v>
      </c>
      <c r="L173" s="157">
        <v>46167</v>
      </c>
      <c r="M173" t="s">
        <v>282</v>
      </c>
      <c r="N173" t="s">
        <v>290</v>
      </c>
      <c r="O173" t="s">
        <v>293</v>
      </c>
      <c r="P173">
        <v>3</v>
      </c>
      <c r="Q173" t="s">
        <v>273</v>
      </c>
    </row>
    <row r="174" spans="1:17" s="29" customFormat="1">
      <c r="A174" s="41">
        <v>4.8079320231481475E-2</v>
      </c>
      <c r="B174" t="s">
        <v>113</v>
      </c>
      <c r="C174"/>
      <c r="D174"/>
      <c r="E174" t="s">
        <v>226</v>
      </c>
      <c r="F174"/>
      <c r="G174" t="s">
        <v>117</v>
      </c>
      <c r="H174"/>
      <c r="I174" s="158">
        <v>46241.705949074072</v>
      </c>
      <c r="J174" t="s">
        <v>324</v>
      </c>
      <c r="K174" t="s">
        <v>358</v>
      </c>
      <c r="L174" s="157">
        <v>46167</v>
      </c>
      <c r="M174" t="s">
        <v>282</v>
      </c>
      <c r="N174" t="s">
        <v>290</v>
      </c>
      <c r="O174" t="s">
        <v>293</v>
      </c>
      <c r="P174">
        <v>3</v>
      </c>
      <c r="Q174" t="s">
        <v>273</v>
      </c>
    </row>
    <row r="175" spans="1:17" s="29" customFormat="1">
      <c r="A175" s="41">
        <v>4.8039348796296295E-2</v>
      </c>
      <c r="B175" t="s">
        <v>113</v>
      </c>
      <c r="C175"/>
      <c r="D175"/>
      <c r="E175" t="s">
        <v>224</v>
      </c>
      <c r="F175"/>
      <c r="G175" t="s">
        <v>204</v>
      </c>
      <c r="H175"/>
      <c r="I175" s="158">
        <v>46241.70590277778</v>
      </c>
      <c r="J175" t="s">
        <v>324</v>
      </c>
      <c r="K175" t="s">
        <v>358</v>
      </c>
      <c r="L175" s="157">
        <v>46167</v>
      </c>
      <c r="M175" t="s">
        <v>282</v>
      </c>
      <c r="N175" t="s">
        <v>290</v>
      </c>
      <c r="O175" t="s">
        <v>293</v>
      </c>
      <c r="P175">
        <v>3</v>
      </c>
      <c r="Q175" t="s">
        <v>273</v>
      </c>
    </row>
    <row r="176" spans="1:17" s="29" customFormat="1">
      <c r="A176" s="41">
        <v>4.7993246342592596E-2</v>
      </c>
      <c r="B176" t="s">
        <v>113</v>
      </c>
      <c r="C176"/>
      <c r="D176"/>
      <c r="E176" t="s">
        <v>228</v>
      </c>
      <c r="F176"/>
      <c r="G176" t="s">
        <v>204</v>
      </c>
      <c r="H176"/>
      <c r="I176" s="158">
        <v>46241.70585648148</v>
      </c>
      <c r="J176" t="s">
        <v>324</v>
      </c>
      <c r="K176" t="s">
        <v>358</v>
      </c>
      <c r="L176" s="157">
        <v>46167</v>
      </c>
      <c r="M176" t="s">
        <v>282</v>
      </c>
      <c r="N176" t="s">
        <v>290</v>
      </c>
      <c r="O176" t="s">
        <v>293</v>
      </c>
      <c r="P176">
        <v>3</v>
      </c>
      <c r="Q176" t="s">
        <v>273</v>
      </c>
    </row>
    <row r="177" spans="1:17" s="29" customFormat="1">
      <c r="A177" s="41">
        <v>4.7947684537037044E-2</v>
      </c>
      <c r="B177" t="s">
        <v>113</v>
      </c>
      <c r="C177"/>
      <c r="D177"/>
      <c r="E177" t="s">
        <v>224</v>
      </c>
      <c r="F177"/>
      <c r="G177" t="s">
        <v>117</v>
      </c>
      <c r="H177"/>
      <c r="I177" s="158">
        <v>46241.705520833333</v>
      </c>
      <c r="J177" t="s">
        <v>324</v>
      </c>
      <c r="K177" t="s">
        <v>358</v>
      </c>
      <c r="L177" s="157">
        <v>46167</v>
      </c>
      <c r="M177" t="s">
        <v>282</v>
      </c>
      <c r="N177" t="s">
        <v>290</v>
      </c>
      <c r="O177" t="s">
        <v>293</v>
      </c>
      <c r="P177">
        <v>3</v>
      </c>
      <c r="Q177" t="s">
        <v>273</v>
      </c>
    </row>
    <row r="178" spans="1:17" s="29" customFormat="1">
      <c r="A178" s="41">
        <v>4.791387422453703E-2</v>
      </c>
      <c r="B178" t="s">
        <v>113</v>
      </c>
      <c r="C178"/>
      <c r="D178"/>
      <c r="E178" t="s">
        <v>226</v>
      </c>
      <c r="F178"/>
      <c r="G178" t="s">
        <v>117</v>
      </c>
      <c r="H178"/>
      <c r="I178" s="158">
        <v>46241.70548611111</v>
      </c>
      <c r="J178" t="s">
        <v>324</v>
      </c>
      <c r="K178" t="s">
        <v>358</v>
      </c>
      <c r="L178" s="157">
        <v>46167</v>
      </c>
      <c r="M178" t="s">
        <v>282</v>
      </c>
      <c r="N178" t="s">
        <v>290</v>
      </c>
      <c r="O178" t="s">
        <v>293</v>
      </c>
      <c r="P178">
        <v>3</v>
      </c>
      <c r="Q178" t="s">
        <v>273</v>
      </c>
    </row>
    <row r="179" spans="1:17" s="29" customFormat="1">
      <c r="A179" s="41">
        <v>4.7833966087962962E-2</v>
      </c>
      <c r="B179" t="s">
        <v>113</v>
      </c>
      <c r="C179"/>
      <c r="D179"/>
      <c r="E179" t="s">
        <v>224</v>
      </c>
      <c r="F179"/>
      <c r="G179" t="s">
        <v>204</v>
      </c>
      <c r="H179"/>
      <c r="I179" s="158">
        <v>46241.705370370371</v>
      </c>
      <c r="J179" t="s">
        <v>324</v>
      </c>
      <c r="K179" t="s">
        <v>358</v>
      </c>
      <c r="L179" s="157">
        <v>46167</v>
      </c>
      <c r="M179" t="s">
        <v>282</v>
      </c>
      <c r="N179" t="s">
        <v>290</v>
      </c>
      <c r="O179" t="s">
        <v>293</v>
      </c>
      <c r="P179">
        <v>3</v>
      </c>
      <c r="Q179" t="s">
        <v>273</v>
      </c>
    </row>
    <row r="180" spans="1:17" s="29" customFormat="1">
      <c r="A180" s="41">
        <v>4.7781970983796294E-2</v>
      </c>
      <c r="B180" t="s">
        <v>113</v>
      </c>
      <c r="C180" t="s">
        <v>381</v>
      </c>
      <c r="D180"/>
      <c r="E180" t="s">
        <v>127</v>
      </c>
      <c r="F180"/>
      <c r="G180" t="s">
        <v>204</v>
      </c>
      <c r="H180"/>
      <c r="I180" s="158">
        <v>46241.705254629633</v>
      </c>
      <c r="J180" t="s">
        <v>324</v>
      </c>
      <c r="K180" t="s">
        <v>358</v>
      </c>
      <c r="L180" s="157">
        <v>46167</v>
      </c>
      <c r="M180" t="s">
        <v>282</v>
      </c>
      <c r="N180" t="s">
        <v>290</v>
      </c>
      <c r="O180" t="s">
        <v>293</v>
      </c>
      <c r="P180">
        <v>3</v>
      </c>
      <c r="Q180" t="s">
        <v>273</v>
      </c>
    </row>
    <row r="181" spans="1:17" s="29" customFormat="1">
      <c r="A181" s="41">
        <v>4.7753807939814819E-2</v>
      </c>
      <c r="B181" t="s">
        <v>113</v>
      </c>
      <c r="C181" t="s">
        <v>83</v>
      </c>
      <c r="D181"/>
      <c r="E181" t="s">
        <v>326</v>
      </c>
      <c r="F181"/>
      <c r="G181" t="s">
        <v>117</v>
      </c>
      <c r="H181"/>
      <c r="I181" s="158">
        <v>46241.705231481479</v>
      </c>
      <c r="J181" t="s">
        <v>324</v>
      </c>
      <c r="K181" t="s">
        <v>358</v>
      </c>
      <c r="L181" s="157">
        <v>46167</v>
      </c>
      <c r="M181" t="s">
        <v>282</v>
      </c>
      <c r="N181" t="s">
        <v>290</v>
      </c>
      <c r="O181" t="s">
        <v>293</v>
      </c>
      <c r="P181">
        <v>3</v>
      </c>
      <c r="Q181" t="s">
        <v>273</v>
      </c>
    </row>
    <row r="182" spans="1:17" s="29" customFormat="1">
      <c r="A182" s="41">
        <v>4.771047185185185E-2</v>
      </c>
      <c r="B182" t="s">
        <v>113</v>
      </c>
      <c r="C182"/>
      <c r="D182"/>
      <c r="E182" t="s">
        <v>127</v>
      </c>
      <c r="F182"/>
      <c r="G182" t="s">
        <v>117</v>
      </c>
      <c r="H182"/>
      <c r="I182" s="158">
        <v>46241.704942129632</v>
      </c>
      <c r="J182" t="s">
        <v>324</v>
      </c>
      <c r="K182" t="s">
        <v>358</v>
      </c>
      <c r="L182" s="157">
        <v>46167</v>
      </c>
      <c r="M182" t="s">
        <v>282</v>
      </c>
      <c r="N182" t="s">
        <v>290</v>
      </c>
      <c r="O182" t="s">
        <v>293</v>
      </c>
      <c r="P182">
        <v>3</v>
      </c>
      <c r="Q182" t="s">
        <v>273</v>
      </c>
    </row>
    <row r="183" spans="1:17" s="29" customFormat="1">
      <c r="A183" s="41">
        <v>4.7609223576388887E-2</v>
      </c>
      <c r="B183" t="s">
        <v>113</v>
      </c>
      <c r="C183"/>
      <c r="D183"/>
      <c r="E183" t="s">
        <v>127</v>
      </c>
      <c r="F183"/>
      <c r="G183" t="s">
        <v>117</v>
      </c>
      <c r="H183"/>
      <c r="I183" s="158">
        <v>46241.704826388886</v>
      </c>
      <c r="J183" t="s">
        <v>324</v>
      </c>
      <c r="K183" t="s">
        <v>358</v>
      </c>
      <c r="L183" s="157">
        <v>46167</v>
      </c>
      <c r="M183" t="s">
        <v>282</v>
      </c>
      <c r="N183" t="s">
        <v>290</v>
      </c>
      <c r="O183" t="s">
        <v>293</v>
      </c>
      <c r="P183">
        <v>3</v>
      </c>
      <c r="Q183" t="s">
        <v>273</v>
      </c>
    </row>
    <row r="184" spans="1:17" s="29" customFormat="1">
      <c r="A184" s="41">
        <v>4.7686147164351857E-2</v>
      </c>
      <c r="B184" t="s">
        <v>113</v>
      </c>
      <c r="C184" t="s">
        <v>83</v>
      </c>
      <c r="D184"/>
      <c r="E184" t="s">
        <v>60</v>
      </c>
      <c r="F184"/>
      <c r="G184" t="s">
        <v>204</v>
      </c>
      <c r="H184"/>
      <c r="I184" s="158">
        <v>46241.704710648148</v>
      </c>
      <c r="J184" t="s">
        <v>324</v>
      </c>
      <c r="K184" t="s">
        <v>358</v>
      </c>
      <c r="L184" s="157">
        <v>46167</v>
      </c>
      <c r="M184" t="s">
        <v>282</v>
      </c>
      <c r="N184" t="s">
        <v>290</v>
      </c>
      <c r="O184" t="s">
        <v>293</v>
      </c>
      <c r="P184">
        <v>3</v>
      </c>
      <c r="Q184" t="s">
        <v>273</v>
      </c>
    </row>
    <row r="185" spans="1:17" s="29" customFormat="1">
      <c r="A185" s="41">
        <v>4.7558676030092596E-2</v>
      </c>
      <c r="B185" t="s">
        <v>113</v>
      </c>
      <c r="C185"/>
      <c r="D185"/>
      <c r="E185" t="s">
        <v>127</v>
      </c>
      <c r="F185"/>
      <c r="G185" t="s">
        <v>117</v>
      </c>
      <c r="H185"/>
      <c r="I185" s="158">
        <v>46241.703958333332</v>
      </c>
      <c r="J185" t="s">
        <v>324</v>
      </c>
      <c r="K185" t="s">
        <v>358</v>
      </c>
      <c r="L185" s="157">
        <v>46167</v>
      </c>
      <c r="M185" t="s">
        <v>282</v>
      </c>
      <c r="N185" t="s">
        <v>290</v>
      </c>
      <c r="O185" t="s">
        <v>293</v>
      </c>
      <c r="P185">
        <v>3</v>
      </c>
      <c r="Q185" t="s">
        <v>273</v>
      </c>
    </row>
    <row r="186" spans="1:17" s="29" customFormat="1">
      <c r="A186" s="41">
        <v>4.7508838182870376E-2</v>
      </c>
      <c r="B186" t="s">
        <v>113</v>
      </c>
      <c r="C186"/>
      <c r="D186"/>
      <c r="E186" t="s">
        <v>226</v>
      </c>
      <c r="F186"/>
      <c r="G186" t="s">
        <v>117</v>
      </c>
      <c r="H186"/>
      <c r="I186" s="158">
        <v>46241.703900462962</v>
      </c>
      <c r="J186" t="s">
        <v>324</v>
      </c>
      <c r="K186" t="s">
        <v>358</v>
      </c>
      <c r="L186" s="157">
        <v>46167</v>
      </c>
      <c r="M186" t="s">
        <v>282</v>
      </c>
      <c r="N186" t="s">
        <v>290</v>
      </c>
      <c r="O186" t="s">
        <v>293</v>
      </c>
      <c r="P186">
        <v>3</v>
      </c>
      <c r="Q186" t="s">
        <v>273</v>
      </c>
    </row>
    <row r="187" spans="1:17" s="29" customFormat="1">
      <c r="A187" s="41">
        <v>4.746021790509259E-2</v>
      </c>
      <c r="B187" t="s">
        <v>113</v>
      </c>
      <c r="C187"/>
      <c r="D187"/>
      <c r="E187" t="s">
        <v>119</v>
      </c>
      <c r="F187"/>
      <c r="G187" t="s">
        <v>204</v>
      </c>
      <c r="H187"/>
      <c r="I187" s="158">
        <v>46241.70385416667</v>
      </c>
      <c r="J187" t="s">
        <v>324</v>
      </c>
      <c r="K187" t="s">
        <v>358</v>
      </c>
      <c r="L187" s="157">
        <v>46167</v>
      </c>
      <c r="M187" t="s">
        <v>282</v>
      </c>
      <c r="N187" t="s">
        <v>290</v>
      </c>
      <c r="O187" t="s">
        <v>293</v>
      </c>
      <c r="P187">
        <v>3</v>
      </c>
      <c r="Q187" t="s">
        <v>273</v>
      </c>
    </row>
    <row r="188" spans="1:17" s="29" customFormat="1">
      <c r="A188" s="41">
        <v>4.7103878368055553E-2</v>
      </c>
      <c r="B188" t="s">
        <v>113</v>
      </c>
      <c r="C188"/>
      <c r="D188"/>
      <c r="E188" t="s">
        <v>88</v>
      </c>
      <c r="F188"/>
      <c r="G188" t="s">
        <v>117</v>
      </c>
      <c r="H188"/>
      <c r="I188" s="158">
        <v>46241.7034375</v>
      </c>
      <c r="J188" t="s">
        <v>324</v>
      </c>
      <c r="K188" t="s">
        <v>358</v>
      </c>
      <c r="L188" s="157">
        <v>46167</v>
      </c>
      <c r="M188" t="s">
        <v>282</v>
      </c>
      <c r="N188" t="s">
        <v>290</v>
      </c>
      <c r="O188" t="s">
        <v>293</v>
      </c>
      <c r="P188">
        <v>3</v>
      </c>
      <c r="Q188" t="s">
        <v>273</v>
      </c>
    </row>
    <row r="189" spans="1:17" s="29" customFormat="1">
      <c r="A189" s="41">
        <v>4.6894304768518517E-2</v>
      </c>
      <c r="B189" t="s">
        <v>113</v>
      </c>
      <c r="C189"/>
      <c r="D189"/>
      <c r="E189" t="s">
        <v>127</v>
      </c>
      <c r="F189"/>
      <c r="G189" t="s">
        <v>117</v>
      </c>
      <c r="H189"/>
      <c r="I189" s="158">
        <v>46241.703217592592</v>
      </c>
      <c r="J189" t="s">
        <v>324</v>
      </c>
      <c r="K189" t="s">
        <v>358</v>
      </c>
      <c r="L189" s="157">
        <v>46167</v>
      </c>
      <c r="M189" t="s">
        <v>282</v>
      </c>
      <c r="N189" t="s">
        <v>290</v>
      </c>
      <c r="O189" t="s">
        <v>293</v>
      </c>
      <c r="P189">
        <v>3</v>
      </c>
      <c r="Q189" t="s">
        <v>273</v>
      </c>
    </row>
    <row r="190" spans="1:17" s="29" customFormat="1">
      <c r="A190" s="41">
        <v>4.685176931712963E-2</v>
      </c>
      <c r="B190" t="s">
        <v>113</v>
      </c>
      <c r="C190"/>
      <c r="D190"/>
      <c r="E190" t="s">
        <v>120</v>
      </c>
      <c r="F190"/>
      <c r="G190" t="s">
        <v>117</v>
      </c>
      <c r="H190"/>
      <c r="I190" s="158">
        <v>46241.703182870369</v>
      </c>
      <c r="J190" t="s">
        <v>324</v>
      </c>
      <c r="K190" t="s">
        <v>358</v>
      </c>
      <c r="L190" s="157">
        <v>46167</v>
      </c>
      <c r="M190" t="s">
        <v>282</v>
      </c>
      <c r="N190" t="s">
        <v>290</v>
      </c>
      <c r="O190" t="s">
        <v>293</v>
      </c>
      <c r="P190">
        <v>3</v>
      </c>
      <c r="Q190" t="s">
        <v>273</v>
      </c>
    </row>
    <row r="191" spans="1:17" s="29" customFormat="1">
      <c r="A191" s="41">
        <v>4.6572005983796294E-2</v>
      </c>
      <c r="B191" t="s">
        <v>113</v>
      </c>
      <c r="C191"/>
      <c r="D191"/>
      <c r="E191" t="s">
        <v>253</v>
      </c>
      <c r="F191" t="s">
        <v>248</v>
      </c>
      <c r="G191" t="s">
        <v>117</v>
      </c>
      <c r="H191"/>
      <c r="I191" s="158">
        <v>46241.702951388892</v>
      </c>
      <c r="J191" t="s">
        <v>324</v>
      </c>
      <c r="K191" t="s">
        <v>358</v>
      </c>
      <c r="L191" s="157">
        <v>46167</v>
      </c>
      <c r="M191" t="s">
        <v>282</v>
      </c>
      <c r="N191" t="s">
        <v>290</v>
      </c>
      <c r="O191" t="s">
        <v>293</v>
      </c>
      <c r="P191">
        <v>3</v>
      </c>
      <c r="Q191" t="s">
        <v>273</v>
      </c>
    </row>
    <row r="192" spans="1:17" s="29" customFormat="1">
      <c r="A192" s="41">
        <v>4.6513599131944444E-2</v>
      </c>
      <c r="B192" t="s">
        <v>113</v>
      </c>
      <c r="C192"/>
      <c r="D192"/>
      <c r="E192" t="s">
        <v>88</v>
      </c>
      <c r="F192"/>
      <c r="G192" t="s">
        <v>117</v>
      </c>
      <c r="H192"/>
      <c r="I192" s="158">
        <v>46241.702847222223</v>
      </c>
      <c r="J192" t="s">
        <v>324</v>
      </c>
      <c r="K192" t="s">
        <v>358</v>
      </c>
      <c r="L192" s="157">
        <v>46167</v>
      </c>
      <c r="M192" t="s">
        <v>282</v>
      </c>
      <c r="N192" t="s">
        <v>290</v>
      </c>
      <c r="O192" t="s">
        <v>293</v>
      </c>
      <c r="P192">
        <v>3</v>
      </c>
      <c r="Q192" t="s">
        <v>273</v>
      </c>
    </row>
    <row r="193" spans="1:17" s="29" customFormat="1">
      <c r="A193" s="41">
        <v>4.643735084490741E-2</v>
      </c>
      <c r="B193" t="s">
        <v>113</v>
      </c>
      <c r="C193"/>
      <c r="D193"/>
      <c r="E193" t="s">
        <v>59</v>
      </c>
      <c r="F193"/>
      <c r="G193" t="s">
        <v>117</v>
      </c>
      <c r="H193"/>
      <c r="I193" s="158">
        <v>46241.702731481484</v>
      </c>
      <c r="J193" t="s">
        <v>324</v>
      </c>
      <c r="K193" t="s">
        <v>358</v>
      </c>
      <c r="L193" s="157">
        <v>46167</v>
      </c>
      <c r="M193" t="s">
        <v>282</v>
      </c>
      <c r="N193" t="s">
        <v>290</v>
      </c>
      <c r="O193" t="s">
        <v>293</v>
      </c>
      <c r="P193">
        <v>3</v>
      </c>
      <c r="Q193" t="s">
        <v>273</v>
      </c>
    </row>
    <row r="194" spans="1:17" s="29" customFormat="1">
      <c r="A194" s="41">
        <v>4.6458290949074076E-2</v>
      </c>
      <c r="B194" t="s">
        <v>113</v>
      </c>
      <c r="C194"/>
      <c r="D194"/>
      <c r="E194" t="s">
        <v>127</v>
      </c>
      <c r="F194"/>
      <c r="G194" t="s">
        <v>117</v>
      </c>
      <c r="H194"/>
      <c r="I194" s="158">
        <v>46241.702615740738</v>
      </c>
      <c r="J194" t="s">
        <v>324</v>
      </c>
      <c r="K194" t="s">
        <v>358</v>
      </c>
      <c r="L194" s="157">
        <v>46167</v>
      </c>
      <c r="M194" t="s">
        <v>282</v>
      </c>
      <c r="N194" t="s">
        <v>290</v>
      </c>
      <c r="O194" t="s">
        <v>293</v>
      </c>
      <c r="P194">
        <v>3</v>
      </c>
      <c r="Q194" t="s">
        <v>273</v>
      </c>
    </row>
    <row r="195" spans="1:17" s="29" customFormat="1">
      <c r="A195" s="41">
        <v>4.6436890381944443E-2</v>
      </c>
      <c r="B195" t="s">
        <v>113</v>
      </c>
      <c r="C195"/>
      <c r="D195"/>
      <c r="E195" t="s">
        <v>59</v>
      </c>
      <c r="F195"/>
      <c r="G195" t="s">
        <v>117</v>
      </c>
      <c r="H195"/>
      <c r="I195" s="158">
        <v>46241.702534722222</v>
      </c>
      <c r="J195" t="s">
        <v>324</v>
      </c>
      <c r="K195" t="s">
        <v>358</v>
      </c>
      <c r="L195" s="157">
        <v>46167</v>
      </c>
      <c r="M195" t="s">
        <v>282</v>
      </c>
      <c r="N195" t="s">
        <v>290</v>
      </c>
      <c r="O195" t="s">
        <v>293</v>
      </c>
      <c r="P195">
        <v>3</v>
      </c>
      <c r="Q195" t="s">
        <v>273</v>
      </c>
    </row>
    <row r="196" spans="1:17" s="29" customFormat="1">
      <c r="A196" s="41">
        <v>4.6389828368055552E-2</v>
      </c>
      <c r="B196" t="s">
        <v>113</v>
      </c>
      <c r="C196"/>
      <c r="D196"/>
      <c r="E196" t="s">
        <v>127</v>
      </c>
      <c r="F196"/>
      <c r="G196" t="s">
        <v>117</v>
      </c>
      <c r="H196"/>
      <c r="I196" s="158">
        <v>46241.702418981484</v>
      </c>
      <c r="J196" t="s">
        <v>324</v>
      </c>
      <c r="K196" t="s">
        <v>358</v>
      </c>
      <c r="L196" s="157">
        <v>46167</v>
      </c>
      <c r="M196" t="s">
        <v>282</v>
      </c>
      <c r="N196" t="s">
        <v>290</v>
      </c>
      <c r="O196" t="s">
        <v>293</v>
      </c>
      <c r="P196">
        <v>3</v>
      </c>
      <c r="Q196" t="s">
        <v>273</v>
      </c>
    </row>
    <row r="197" spans="1:17" s="29" customFormat="1">
      <c r="A197" s="41">
        <v>4.6291367789351855E-2</v>
      </c>
      <c r="B197" t="s">
        <v>113</v>
      </c>
      <c r="C197"/>
      <c r="D197"/>
      <c r="E197" t="s">
        <v>173</v>
      </c>
      <c r="F197"/>
      <c r="G197" t="s">
        <v>117</v>
      </c>
      <c r="H197"/>
      <c r="I197" s="158">
        <v>46241.702303240738</v>
      </c>
      <c r="J197" t="s">
        <v>324</v>
      </c>
      <c r="K197" t="s">
        <v>358</v>
      </c>
      <c r="L197" s="157">
        <v>46167</v>
      </c>
      <c r="M197" t="s">
        <v>282</v>
      </c>
      <c r="N197" t="s">
        <v>290</v>
      </c>
      <c r="O197" t="s">
        <v>293</v>
      </c>
      <c r="P197">
        <v>3</v>
      </c>
      <c r="Q197" t="s">
        <v>273</v>
      </c>
    </row>
    <row r="198" spans="1:17" s="29" customFormat="1">
      <c r="A198" s="41">
        <v>4.6217025462962961E-2</v>
      </c>
      <c r="B198" t="s">
        <v>113</v>
      </c>
      <c r="C198"/>
      <c r="D198"/>
      <c r="E198" t="s">
        <v>127</v>
      </c>
      <c r="F198"/>
      <c r="G198" t="s">
        <v>117</v>
      </c>
      <c r="H198"/>
      <c r="I198" s="158">
        <v>46241.702094907407</v>
      </c>
      <c r="J198" t="s">
        <v>324</v>
      </c>
      <c r="K198" t="s">
        <v>358</v>
      </c>
      <c r="L198" s="157">
        <v>46167</v>
      </c>
      <c r="M198" t="s">
        <v>282</v>
      </c>
      <c r="N198" t="s">
        <v>290</v>
      </c>
      <c r="O198" t="s">
        <v>293</v>
      </c>
      <c r="P198">
        <v>3</v>
      </c>
      <c r="Q198" t="s">
        <v>273</v>
      </c>
    </row>
    <row r="199" spans="1:17" s="29" customFormat="1">
      <c r="A199" s="41">
        <v>4.6170867210648149E-2</v>
      </c>
      <c r="B199" t="s">
        <v>113</v>
      </c>
      <c r="C199"/>
      <c r="D199"/>
      <c r="E199" t="s">
        <v>173</v>
      </c>
      <c r="F199"/>
      <c r="G199" t="s">
        <v>117</v>
      </c>
      <c r="H199"/>
      <c r="I199" s="158">
        <v>46241.702002314814</v>
      </c>
      <c r="J199" t="s">
        <v>324</v>
      </c>
      <c r="K199" t="s">
        <v>358</v>
      </c>
      <c r="L199" s="157">
        <v>46167</v>
      </c>
      <c r="M199" t="s">
        <v>282</v>
      </c>
      <c r="N199" t="s">
        <v>290</v>
      </c>
      <c r="O199" t="s">
        <v>293</v>
      </c>
      <c r="P199">
        <v>3</v>
      </c>
      <c r="Q199" t="s">
        <v>273</v>
      </c>
    </row>
    <row r="200" spans="1:17" s="29" customFormat="1">
      <c r="A200" s="41">
        <v>4.6020606030092594E-2</v>
      </c>
      <c r="B200" t="s">
        <v>113</v>
      </c>
      <c r="C200" t="s">
        <v>365</v>
      </c>
      <c r="D200"/>
      <c r="E200" t="s">
        <v>130</v>
      </c>
      <c r="F200"/>
      <c r="G200" t="s">
        <v>117</v>
      </c>
      <c r="H200"/>
      <c r="I200" s="158">
        <v>46241.701793981483</v>
      </c>
      <c r="J200" t="s">
        <v>324</v>
      </c>
      <c r="K200" t="s">
        <v>358</v>
      </c>
      <c r="L200" s="157">
        <v>46167</v>
      </c>
      <c r="M200" t="s">
        <v>282</v>
      </c>
      <c r="N200" t="s">
        <v>290</v>
      </c>
      <c r="O200" t="s">
        <v>293</v>
      </c>
      <c r="P200">
        <v>3</v>
      </c>
      <c r="Q200" t="s">
        <v>273</v>
      </c>
    </row>
    <row r="201" spans="1:17" s="29" customFormat="1">
      <c r="A201" s="41">
        <v>4.5951260752314815E-2</v>
      </c>
      <c r="B201" t="s">
        <v>113</v>
      </c>
      <c r="C201"/>
      <c r="D201"/>
      <c r="E201" t="s">
        <v>123</v>
      </c>
      <c r="F201"/>
      <c r="G201" t="s">
        <v>117</v>
      </c>
      <c r="H201"/>
      <c r="I201" s="158">
        <v>46241.701504629629</v>
      </c>
      <c r="J201" t="s">
        <v>324</v>
      </c>
      <c r="K201" t="s">
        <v>358</v>
      </c>
      <c r="L201" s="157">
        <v>46167</v>
      </c>
      <c r="M201" t="s">
        <v>282</v>
      </c>
      <c r="N201" t="s">
        <v>290</v>
      </c>
      <c r="O201" t="s">
        <v>293</v>
      </c>
      <c r="P201">
        <v>3</v>
      </c>
      <c r="Q201" t="s">
        <v>273</v>
      </c>
    </row>
    <row r="202" spans="1:17" s="29" customFormat="1">
      <c r="A202" s="41">
        <v>4.4436043611111108E-2</v>
      </c>
      <c r="B202" t="s">
        <v>113</v>
      </c>
      <c r="C202"/>
      <c r="D202"/>
      <c r="E202" t="s">
        <v>88</v>
      </c>
      <c r="F202"/>
      <c r="G202" t="s">
        <v>204</v>
      </c>
      <c r="H202"/>
      <c r="I202" s="158">
        <v>46241.70140046296</v>
      </c>
      <c r="J202" t="s">
        <v>324</v>
      </c>
      <c r="K202" t="s">
        <v>358</v>
      </c>
      <c r="L202" s="157">
        <v>46167</v>
      </c>
      <c r="M202" t="s">
        <v>282</v>
      </c>
      <c r="N202" t="s">
        <v>290</v>
      </c>
      <c r="O202" t="s">
        <v>293</v>
      </c>
      <c r="P202">
        <v>3</v>
      </c>
      <c r="Q202" t="s">
        <v>273</v>
      </c>
    </row>
    <row r="203" spans="1:17" s="29" customFormat="1">
      <c r="A203" s="41">
        <v>4.4436043611111108E-2</v>
      </c>
      <c r="B203" t="s">
        <v>113</v>
      </c>
      <c r="C203"/>
      <c r="D203"/>
      <c r="E203" t="s">
        <v>228</v>
      </c>
      <c r="F203"/>
      <c r="G203" t="s">
        <v>204</v>
      </c>
      <c r="H203"/>
      <c r="I203" s="158">
        <v>46241.701365740744</v>
      </c>
      <c r="J203" t="s">
        <v>324</v>
      </c>
      <c r="K203" t="s">
        <v>358</v>
      </c>
      <c r="L203" s="157">
        <v>46167</v>
      </c>
      <c r="M203" t="s">
        <v>282</v>
      </c>
      <c r="N203" t="s">
        <v>290</v>
      </c>
      <c r="O203" t="s">
        <v>293</v>
      </c>
      <c r="P203">
        <v>3</v>
      </c>
      <c r="Q203" t="s">
        <v>273</v>
      </c>
    </row>
    <row r="204" spans="1:17" s="29" customFormat="1">
      <c r="A204" s="41">
        <v>4.4395688414351854E-2</v>
      </c>
      <c r="B204" t="s">
        <v>113</v>
      </c>
      <c r="C204"/>
      <c r="D204"/>
      <c r="E204" t="s">
        <v>224</v>
      </c>
      <c r="F204"/>
      <c r="G204" t="s">
        <v>117</v>
      </c>
      <c r="H204"/>
      <c r="I204" s="158">
        <v>46241.701284722221</v>
      </c>
      <c r="J204" t="s">
        <v>324</v>
      </c>
      <c r="K204" t="s">
        <v>358</v>
      </c>
      <c r="L204" s="157">
        <v>46167</v>
      </c>
      <c r="M204" t="s">
        <v>282</v>
      </c>
      <c r="N204" t="s">
        <v>290</v>
      </c>
      <c r="O204" t="s">
        <v>293</v>
      </c>
      <c r="P204">
        <v>3</v>
      </c>
      <c r="Q204" t="s">
        <v>273</v>
      </c>
    </row>
    <row r="205" spans="1:17" s="29" customFormat="1">
      <c r="A205" s="41">
        <v>4.4365181076388885E-2</v>
      </c>
      <c r="B205" t="s">
        <v>113</v>
      </c>
      <c r="C205"/>
      <c r="D205"/>
      <c r="E205" t="s">
        <v>332</v>
      </c>
      <c r="F205"/>
      <c r="G205" t="s">
        <v>117</v>
      </c>
      <c r="H205"/>
      <c r="I205" s="158">
        <v>46241.70113425926</v>
      </c>
      <c r="J205" t="s">
        <v>324</v>
      </c>
      <c r="K205" t="s">
        <v>358</v>
      </c>
      <c r="L205" s="157">
        <v>46167</v>
      </c>
      <c r="M205" t="s">
        <v>282</v>
      </c>
      <c r="N205" t="s">
        <v>290</v>
      </c>
      <c r="O205" t="s">
        <v>293</v>
      </c>
      <c r="P205">
        <v>3</v>
      </c>
      <c r="Q205" t="s">
        <v>273</v>
      </c>
    </row>
    <row r="206" spans="1:17" s="29" customFormat="1">
      <c r="A206" s="41">
        <v>4.4338629027777778E-2</v>
      </c>
      <c r="B206" t="s">
        <v>113</v>
      </c>
      <c r="C206"/>
      <c r="D206"/>
      <c r="E206" t="s">
        <v>124</v>
      </c>
      <c r="F206"/>
      <c r="G206" t="s">
        <v>117</v>
      </c>
      <c r="H206"/>
      <c r="I206" s="158">
        <v>46241.701111111113</v>
      </c>
      <c r="J206" t="s">
        <v>324</v>
      </c>
      <c r="K206" t="s">
        <v>358</v>
      </c>
      <c r="L206" s="157">
        <v>46167</v>
      </c>
      <c r="M206" t="s">
        <v>282</v>
      </c>
      <c r="N206" t="s">
        <v>290</v>
      </c>
      <c r="O206" t="s">
        <v>293</v>
      </c>
      <c r="P206">
        <v>3</v>
      </c>
      <c r="Q206" t="s">
        <v>273</v>
      </c>
    </row>
    <row r="207" spans="1:17" s="29" customFormat="1">
      <c r="A207" s="41">
        <v>4.3802420219907406E-2</v>
      </c>
      <c r="B207" t="s">
        <v>113</v>
      </c>
      <c r="C207"/>
      <c r="D207"/>
      <c r="E207" t="s">
        <v>88</v>
      </c>
      <c r="F207"/>
      <c r="G207" t="s">
        <v>117</v>
      </c>
      <c r="H207"/>
      <c r="I207" s="158">
        <v>46241.700995370367</v>
      </c>
      <c r="J207" t="s">
        <v>324</v>
      </c>
      <c r="K207" t="s">
        <v>358</v>
      </c>
      <c r="L207" s="157">
        <v>46167</v>
      </c>
      <c r="M207" t="s">
        <v>282</v>
      </c>
      <c r="N207" t="s">
        <v>290</v>
      </c>
      <c r="O207" t="s">
        <v>293</v>
      </c>
      <c r="P207">
        <v>3</v>
      </c>
      <c r="Q207" t="s">
        <v>273</v>
      </c>
    </row>
    <row r="208" spans="1:17" s="29" customFormat="1">
      <c r="A208" s="41">
        <v>4.3783432604166665E-2</v>
      </c>
      <c r="B208" t="s">
        <v>113</v>
      </c>
      <c r="C208"/>
      <c r="D208"/>
      <c r="E208" t="s">
        <v>223</v>
      </c>
      <c r="F208"/>
      <c r="G208" t="s">
        <v>204</v>
      </c>
      <c r="H208"/>
      <c r="I208" s="158">
        <v>46241.700462962966</v>
      </c>
      <c r="J208" t="s">
        <v>324</v>
      </c>
      <c r="K208" t="s">
        <v>358</v>
      </c>
      <c r="L208" s="157">
        <v>46167</v>
      </c>
      <c r="M208" t="s">
        <v>282</v>
      </c>
      <c r="N208" t="s">
        <v>290</v>
      </c>
      <c r="O208" t="s">
        <v>293</v>
      </c>
      <c r="P208">
        <v>3</v>
      </c>
      <c r="Q208" t="s">
        <v>273</v>
      </c>
    </row>
    <row r="209" spans="1:17" s="29" customFormat="1">
      <c r="A209" s="41">
        <v>4.3756073182870371E-2</v>
      </c>
      <c r="B209" t="s">
        <v>113</v>
      </c>
      <c r="C209"/>
      <c r="D209"/>
      <c r="E209" t="s">
        <v>228</v>
      </c>
      <c r="F209"/>
      <c r="G209" t="s">
        <v>204</v>
      </c>
      <c r="H209"/>
      <c r="I209" s="158">
        <v>46241.700416666667</v>
      </c>
      <c r="J209" t="s">
        <v>324</v>
      </c>
      <c r="K209" t="s">
        <v>358</v>
      </c>
      <c r="L209" s="157">
        <v>46167</v>
      </c>
      <c r="M209" t="s">
        <v>282</v>
      </c>
      <c r="N209" t="s">
        <v>290</v>
      </c>
      <c r="O209" t="s">
        <v>293</v>
      </c>
      <c r="P209">
        <v>3</v>
      </c>
      <c r="Q209" t="s">
        <v>273</v>
      </c>
    </row>
    <row r="210" spans="1:17" s="29" customFormat="1">
      <c r="A210" s="41">
        <v>4.372526451388889E-2</v>
      </c>
      <c r="B210" t="s">
        <v>113</v>
      </c>
      <c r="C210"/>
      <c r="D210"/>
      <c r="E210" t="s">
        <v>224</v>
      </c>
      <c r="F210"/>
      <c r="G210" t="s">
        <v>117</v>
      </c>
      <c r="H210"/>
      <c r="I210" s="158">
        <v>46241.700358796297</v>
      </c>
      <c r="J210" t="s">
        <v>324</v>
      </c>
      <c r="K210" t="s">
        <v>358</v>
      </c>
      <c r="L210" s="157">
        <v>46167</v>
      </c>
      <c r="M210" t="s">
        <v>282</v>
      </c>
      <c r="N210" t="s">
        <v>290</v>
      </c>
      <c r="O210" t="s">
        <v>293</v>
      </c>
      <c r="P210">
        <v>3</v>
      </c>
      <c r="Q210" t="s">
        <v>273</v>
      </c>
    </row>
    <row r="211" spans="1:17" s="29" customFormat="1">
      <c r="A211" s="41">
        <v>4.3707826041666668E-2</v>
      </c>
      <c r="B211" t="s">
        <v>113</v>
      </c>
      <c r="C211"/>
      <c r="D211"/>
      <c r="E211" t="s">
        <v>226</v>
      </c>
      <c r="F211"/>
      <c r="G211" t="s">
        <v>117</v>
      </c>
      <c r="H211"/>
      <c r="I211" s="158">
        <v>46241.700335648151</v>
      </c>
      <c r="J211" t="s">
        <v>324</v>
      </c>
      <c r="K211" t="s">
        <v>358</v>
      </c>
      <c r="L211" s="157">
        <v>46167</v>
      </c>
      <c r="M211" t="s">
        <v>282</v>
      </c>
      <c r="N211" t="s">
        <v>290</v>
      </c>
      <c r="O211" t="s">
        <v>293</v>
      </c>
      <c r="P211">
        <v>3</v>
      </c>
      <c r="Q211" t="s">
        <v>273</v>
      </c>
    </row>
    <row r="212" spans="1:17" s="29" customFormat="1">
      <c r="A212" s="41">
        <v>4.3673173946759257E-2</v>
      </c>
      <c r="B212" t="s">
        <v>113</v>
      </c>
      <c r="C212"/>
      <c r="D212"/>
      <c r="E212" t="s">
        <v>224</v>
      </c>
      <c r="F212"/>
      <c r="G212" t="s">
        <v>204</v>
      </c>
      <c r="H212"/>
      <c r="I212" s="158">
        <v>46241.700266203705</v>
      </c>
      <c r="J212" t="s">
        <v>324</v>
      </c>
      <c r="K212" t="s">
        <v>358</v>
      </c>
      <c r="L212" s="157">
        <v>46167</v>
      </c>
      <c r="M212" t="s">
        <v>282</v>
      </c>
      <c r="N212" t="s">
        <v>290</v>
      </c>
      <c r="O212" t="s">
        <v>293</v>
      </c>
      <c r="P212">
        <v>3</v>
      </c>
      <c r="Q212" t="s">
        <v>273</v>
      </c>
    </row>
    <row r="213" spans="1:17" s="29" customFormat="1">
      <c r="A213" s="41">
        <v>4.3621192812500001E-2</v>
      </c>
      <c r="B213" t="s">
        <v>113</v>
      </c>
      <c r="C213" t="s">
        <v>383</v>
      </c>
      <c r="D213"/>
      <c r="E213" t="s">
        <v>127</v>
      </c>
      <c r="F213"/>
      <c r="G213" t="s">
        <v>204</v>
      </c>
      <c r="H213"/>
      <c r="I213" s="158">
        <v>46241.700127314813</v>
      </c>
      <c r="J213" t="s">
        <v>324</v>
      </c>
      <c r="K213" t="s">
        <v>358</v>
      </c>
      <c r="L213" s="157">
        <v>46167</v>
      </c>
      <c r="M213" t="s">
        <v>282</v>
      </c>
      <c r="N213" t="s">
        <v>290</v>
      </c>
      <c r="O213" t="s">
        <v>293</v>
      </c>
      <c r="P213">
        <v>3</v>
      </c>
      <c r="Q213" t="s">
        <v>273</v>
      </c>
    </row>
    <row r="214" spans="1:17" s="29" customFormat="1">
      <c r="A214" s="41">
        <v>4.3579279745370368E-2</v>
      </c>
      <c r="B214" t="s">
        <v>113</v>
      </c>
      <c r="C214"/>
      <c r="D214"/>
      <c r="E214" t="s">
        <v>338</v>
      </c>
      <c r="F214"/>
      <c r="G214" t="s">
        <v>204</v>
      </c>
      <c r="H214"/>
      <c r="I214" s="158">
        <v>46241.700046296297</v>
      </c>
      <c r="J214" t="s">
        <v>324</v>
      </c>
      <c r="K214" t="s">
        <v>358</v>
      </c>
      <c r="L214" s="157">
        <v>46167</v>
      </c>
      <c r="M214" t="s">
        <v>282</v>
      </c>
      <c r="N214" t="s">
        <v>290</v>
      </c>
      <c r="O214" t="s">
        <v>293</v>
      </c>
      <c r="P214">
        <v>3</v>
      </c>
      <c r="Q214" t="s">
        <v>273</v>
      </c>
    </row>
    <row r="215" spans="1:17" s="29" customFormat="1">
      <c r="A215" s="41">
        <v>4.3542385949074079E-2</v>
      </c>
      <c r="B215" t="s">
        <v>113</v>
      </c>
      <c r="C215"/>
      <c r="D215"/>
      <c r="E215" t="s">
        <v>124</v>
      </c>
      <c r="F215"/>
      <c r="G215" t="s">
        <v>204</v>
      </c>
      <c r="H215"/>
      <c r="I215" s="158">
        <v>46241.700011574074</v>
      </c>
      <c r="J215" t="s">
        <v>324</v>
      </c>
      <c r="K215" t="s">
        <v>358</v>
      </c>
      <c r="L215" s="157">
        <v>46167</v>
      </c>
      <c r="M215" t="s">
        <v>282</v>
      </c>
      <c r="N215" t="s">
        <v>290</v>
      </c>
      <c r="O215" t="s">
        <v>293</v>
      </c>
      <c r="P215">
        <v>3</v>
      </c>
      <c r="Q215" t="s">
        <v>273</v>
      </c>
    </row>
    <row r="216" spans="1:17" s="29" customFormat="1">
      <c r="A216" s="41">
        <v>4.3070867395833337E-2</v>
      </c>
      <c r="B216" t="s">
        <v>113</v>
      </c>
      <c r="C216" t="s">
        <v>83</v>
      </c>
      <c r="D216"/>
      <c r="E216" t="s">
        <v>223</v>
      </c>
      <c r="F216"/>
      <c r="G216" t="s">
        <v>117</v>
      </c>
      <c r="H216"/>
      <c r="I216" s="158">
        <v>46241.699803240743</v>
      </c>
      <c r="J216" t="s">
        <v>324</v>
      </c>
      <c r="K216" t="s">
        <v>358</v>
      </c>
      <c r="L216" s="157">
        <v>46167</v>
      </c>
      <c r="M216" t="s">
        <v>282</v>
      </c>
      <c r="N216" t="s">
        <v>290</v>
      </c>
      <c r="O216" t="s">
        <v>293</v>
      </c>
      <c r="P216">
        <v>3</v>
      </c>
      <c r="Q216" t="s">
        <v>273</v>
      </c>
    </row>
    <row r="217" spans="1:17" s="29" customFormat="1">
      <c r="A217" s="41">
        <v>4.3032035960648148E-2</v>
      </c>
      <c r="B217" t="s">
        <v>113</v>
      </c>
      <c r="C217"/>
      <c r="D217"/>
      <c r="E217" t="s">
        <v>127</v>
      </c>
      <c r="F217"/>
      <c r="G217" t="s">
        <v>117</v>
      </c>
      <c r="H217"/>
      <c r="I217" s="158">
        <v>46241.699571759258</v>
      </c>
      <c r="J217" t="s">
        <v>324</v>
      </c>
      <c r="K217" t="s">
        <v>358</v>
      </c>
      <c r="L217" s="157">
        <v>46167</v>
      </c>
      <c r="M217" t="s">
        <v>282</v>
      </c>
      <c r="N217" t="s">
        <v>290</v>
      </c>
      <c r="O217" t="s">
        <v>293</v>
      </c>
      <c r="P217">
        <v>3</v>
      </c>
      <c r="Q217" t="s">
        <v>273</v>
      </c>
    </row>
    <row r="218" spans="1:17" s="29" customFormat="1">
      <c r="A218" s="41">
        <v>4.2967471678240741E-2</v>
      </c>
      <c r="B218" t="s">
        <v>113</v>
      </c>
      <c r="C218"/>
      <c r="D218"/>
      <c r="E218" t="s">
        <v>127</v>
      </c>
      <c r="F218"/>
      <c r="G218" t="s">
        <v>117</v>
      </c>
      <c r="H218"/>
      <c r="I218" s="158">
        <v>46241.699502314812</v>
      </c>
      <c r="J218" t="s">
        <v>324</v>
      </c>
      <c r="K218" t="s">
        <v>358</v>
      </c>
      <c r="L218" s="157">
        <v>46167</v>
      </c>
      <c r="M218" t="s">
        <v>282</v>
      </c>
      <c r="N218" t="s">
        <v>290</v>
      </c>
      <c r="O218" t="s">
        <v>293</v>
      </c>
      <c r="P218">
        <v>3</v>
      </c>
      <c r="Q218" t="s">
        <v>273</v>
      </c>
    </row>
    <row r="219" spans="1:17" s="29" customFormat="1">
      <c r="A219" s="41">
        <v>4.2902873217592591E-2</v>
      </c>
      <c r="B219" t="s">
        <v>113</v>
      </c>
      <c r="C219"/>
      <c r="D219"/>
      <c r="E219" t="s">
        <v>127</v>
      </c>
      <c r="F219"/>
      <c r="G219" t="s">
        <v>117</v>
      </c>
      <c r="H219"/>
      <c r="I219" s="158">
        <v>46241.699421296296</v>
      </c>
      <c r="J219" t="s">
        <v>324</v>
      </c>
      <c r="K219" t="s">
        <v>358</v>
      </c>
      <c r="L219" s="157">
        <v>46167</v>
      </c>
      <c r="M219" t="s">
        <v>282</v>
      </c>
      <c r="N219" t="s">
        <v>290</v>
      </c>
      <c r="O219" t="s">
        <v>293</v>
      </c>
      <c r="P219">
        <v>3</v>
      </c>
      <c r="Q219" t="s">
        <v>273</v>
      </c>
    </row>
    <row r="220" spans="1:17" s="29" customFormat="1">
      <c r="A220" s="41">
        <v>4.2874359687500002E-2</v>
      </c>
      <c r="B220" t="s">
        <v>113</v>
      </c>
      <c r="C220" t="s">
        <v>83</v>
      </c>
      <c r="D220"/>
      <c r="E220" t="s">
        <v>130</v>
      </c>
      <c r="F220"/>
      <c r="G220" t="s">
        <v>117</v>
      </c>
      <c r="H220"/>
      <c r="I220" s="158">
        <v>46241.69940972222</v>
      </c>
      <c r="J220" t="s">
        <v>324</v>
      </c>
      <c r="K220" t="s">
        <v>358</v>
      </c>
      <c r="L220" s="157">
        <v>46167</v>
      </c>
      <c r="M220" t="s">
        <v>282</v>
      </c>
      <c r="N220" t="s">
        <v>290</v>
      </c>
      <c r="O220" t="s">
        <v>293</v>
      </c>
      <c r="P220">
        <v>3</v>
      </c>
      <c r="Q220" t="s">
        <v>273</v>
      </c>
    </row>
    <row r="221" spans="1:17" s="29" customFormat="1">
      <c r="A221" s="41">
        <v>4.2822096909722225E-2</v>
      </c>
      <c r="B221" t="s">
        <v>113</v>
      </c>
      <c r="C221"/>
      <c r="D221"/>
      <c r="E221" t="s">
        <v>123</v>
      </c>
      <c r="F221"/>
      <c r="G221" t="s">
        <v>117</v>
      </c>
      <c r="H221"/>
      <c r="I221" s="158">
        <v>46241.699328703704</v>
      </c>
      <c r="J221" t="s">
        <v>324</v>
      </c>
      <c r="K221" t="s">
        <v>358</v>
      </c>
      <c r="L221" s="157">
        <v>46167</v>
      </c>
      <c r="M221" t="s">
        <v>282</v>
      </c>
      <c r="N221" t="s">
        <v>290</v>
      </c>
      <c r="O221" t="s">
        <v>293</v>
      </c>
      <c r="P221">
        <v>3</v>
      </c>
      <c r="Q221" t="s">
        <v>273</v>
      </c>
    </row>
    <row r="222" spans="1:17" s="29" customFormat="1">
      <c r="A222" s="41">
        <v>4.2425018182870373E-2</v>
      </c>
      <c r="B222" t="s">
        <v>113</v>
      </c>
      <c r="C222"/>
      <c r="D222"/>
      <c r="E222" t="s">
        <v>88</v>
      </c>
      <c r="F222"/>
      <c r="G222" t="s">
        <v>117</v>
      </c>
      <c r="H222"/>
      <c r="I222" s="158">
        <v>46241.699004629627</v>
      </c>
      <c r="J222" t="s">
        <v>324</v>
      </c>
      <c r="K222" t="s">
        <v>358</v>
      </c>
      <c r="L222" s="157">
        <v>46167</v>
      </c>
      <c r="M222" t="s">
        <v>282</v>
      </c>
      <c r="N222" t="s">
        <v>290</v>
      </c>
      <c r="O222" t="s">
        <v>293</v>
      </c>
      <c r="P222">
        <v>3</v>
      </c>
      <c r="Q222" t="s">
        <v>273</v>
      </c>
    </row>
    <row r="223" spans="1:17" s="29" customFormat="1">
      <c r="A223" s="41">
        <v>4.2372980196759259E-2</v>
      </c>
      <c r="B223" t="s">
        <v>113</v>
      </c>
      <c r="C223"/>
      <c r="D223"/>
      <c r="E223" t="s">
        <v>127</v>
      </c>
      <c r="F223"/>
      <c r="G223" t="s">
        <v>117</v>
      </c>
      <c r="H223"/>
      <c r="I223" s="158">
        <v>46241.698738425926</v>
      </c>
      <c r="J223" t="s">
        <v>324</v>
      </c>
      <c r="K223" t="s">
        <v>358</v>
      </c>
      <c r="L223" s="157">
        <v>46167</v>
      </c>
      <c r="M223" t="s">
        <v>282</v>
      </c>
      <c r="N223" t="s">
        <v>290</v>
      </c>
      <c r="O223" t="s">
        <v>293</v>
      </c>
      <c r="P223">
        <v>3</v>
      </c>
      <c r="Q223" t="s">
        <v>273</v>
      </c>
    </row>
    <row r="224" spans="1:17" s="29" customFormat="1">
      <c r="A224" s="41">
        <v>4.2332329664351846E-2</v>
      </c>
      <c r="B224" t="s">
        <v>113</v>
      </c>
      <c r="C224"/>
      <c r="D224"/>
      <c r="E224" t="s">
        <v>120</v>
      </c>
      <c r="F224"/>
      <c r="G224" t="s">
        <v>117</v>
      </c>
      <c r="H224"/>
      <c r="I224" s="158">
        <v>46241.698622685188</v>
      </c>
      <c r="J224" t="s">
        <v>324</v>
      </c>
      <c r="K224" t="s">
        <v>358</v>
      </c>
      <c r="L224" s="157">
        <v>46167</v>
      </c>
      <c r="M224" t="s">
        <v>282</v>
      </c>
      <c r="N224" t="s">
        <v>290</v>
      </c>
      <c r="O224" t="s">
        <v>293</v>
      </c>
      <c r="P224">
        <v>3</v>
      </c>
      <c r="Q224" t="s">
        <v>273</v>
      </c>
    </row>
    <row r="225" spans="1:17" s="29" customFormat="1">
      <c r="A225" s="41">
        <v>4.1315082037037036E-2</v>
      </c>
      <c r="B225" t="s">
        <v>113</v>
      </c>
      <c r="C225"/>
      <c r="D225"/>
      <c r="E225" t="s">
        <v>88</v>
      </c>
      <c r="F225"/>
      <c r="G225" t="s">
        <v>117</v>
      </c>
      <c r="H225"/>
      <c r="I225" s="158">
        <v>46241.69840277778</v>
      </c>
      <c r="J225" t="s">
        <v>324</v>
      </c>
      <c r="K225" t="s">
        <v>358</v>
      </c>
      <c r="L225" s="157">
        <v>46167</v>
      </c>
      <c r="M225" t="s">
        <v>282</v>
      </c>
      <c r="N225" t="s">
        <v>290</v>
      </c>
      <c r="O225" t="s">
        <v>293</v>
      </c>
      <c r="P225">
        <v>3</v>
      </c>
      <c r="Q225" t="s">
        <v>273</v>
      </c>
    </row>
    <row r="226" spans="1:17" s="29" customFormat="1">
      <c r="A226" s="41">
        <v>4.1315082037037036E-2</v>
      </c>
      <c r="B226" t="s">
        <v>113</v>
      </c>
      <c r="C226"/>
      <c r="D226"/>
      <c r="E226" t="s">
        <v>253</v>
      </c>
      <c r="F226" t="s">
        <v>247</v>
      </c>
      <c r="G226" t="s">
        <v>117</v>
      </c>
      <c r="H226"/>
      <c r="I226" s="158">
        <v>46241.69840277778</v>
      </c>
      <c r="J226" t="s">
        <v>324</v>
      </c>
      <c r="K226" t="s">
        <v>358</v>
      </c>
      <c r="L226" s="157">
        <v>46167</v>
      </c>
      <c r="M226" t="s">
        <v>282</v>
      </c>
      <c r="N226" t="s">
        <v>290</v>
      </c>
      <c r="O226" t="s">
        <v>293</v>
      </c>
      <c r="P226">
        <v>3</v>
      </c>
      <c r="Q226" t="s">
        <v>273</v>
      </c>
    </row>
    <row r="227" spans="1:17" s="29" customFormat="1">
      <c r="A227" s="41">
        <v>4.1274889849537033E-2</v>
      </c>
      <c r="B227" t="s">
        <v>113</v>
      </c>
      <c r="C227" t="s">
        <v>395</v>
      </c>
      <c r="D227"/>
      <c r="E227" t="s">
        <v>127</v>
      </c>
      <c r="F227"/>
      <c r="G227" t="s">
        <v>204</v>
      </c>
      <c r="H227"/>
      <c r="I227" s="158">
        <v>46241.698275462964</v>
      </c>
      <c r="J227" t="s">
        <v>324</v>
      </c>
      <c r="K227" t="s">
        <v>358</v>
      </c>
      <c r="L227" s="157">
        <v>46167</v>
      </c>
      <c r="M227" t="s">
        <v>282</v>
      </c>
      <c r="N227" t="s">
        <v>290</v>
      </c>
      <c r="O227" t="s">
        <v>293</v>
      </c>
      <c r="P227">
        <v>3</v>
      </c>
      <c r="Q227" t="s">
        <v>273</v>
      </c>
    </row>
    <row r="228" spans="1:17" s="29" customFormat="1">
      <c r="A228" s="41">
        <v>4.126650266203704E-2</v>
      </c>
      <c r="B228" t="s">
        <v>113</v>
      </c>
      <c r="C228" t="s">
        <v>369</v>
      </c>
      <c r="D228"/>
      <c r="E228" t="s">
        <v>127</v>
      </c>
      <c r="F228"/>
      <c r="G228" t="s">
        <v>204</v>
      </c>
      <c r="H228"/>
      <c r="I228" s="158">
        <v>46241.697881944441</v>
      </c>
      <c r="J228" t="s">
        <v>324</v>
      </c>
      <c r="K228" t="s">
        <v>358</v>
      </c>
      <c r="L228" s="157">
        <v>46167</v>
      </c>
      <c r="M228" t="s">
        <v>282</v>
      </c>
      <c r="N228" t="s">
        <v>290</v>
      </c>
      <c r="O228" t="s">
        <v>293</v>
      </c>
      <c r="P228">
        <v>3</v>
      </c>
      <c r="Q228" t="s">
        <v>273</v>
      </c>
    </row>
    <row r="229" spans="1:17" s="29" customFormat="1">
      <c r="A229" s="41">
        <v>4.123464790509259E-2</v>
      </c>
      <c r="B229" t="s">
        <v>113</v>
      </c>
      <c r="C229" t="s">
        <v>375</v>
      </c>
      <c r="D229"/>
      <c r="E229" t="s">
        <v>59</v>
      </c>
      <c r="F229"/>
      <c r="G229" t="s">
        <v>204</v>
      </c>
      <c r="H229"/>
      <c r="I229" s="158">
        <v>46241.697546296295</v>
      </c>
      <c r="J229" t="s">
        <v>324</v>
      </c>
      <c r="K229" t="s">
        <v>358</v>
      </c>
      <c r="L229" s="157">
        <v>46167</v>
      </c>
      <c r="M229" t="s">
        <v>282</v>
      </c>
      <c r="N229" t="s">
        <v>290</v>
      </c>
      <c r="O229" t="s">
        <v>293</v>
      </c>
      <c r="P229">
        <v>3</v>
      </c>
      <c r="Q229" t="s">
        <v>273</v>
      </c>
    </row>
    <row r="230" spans="1:17" s="29" customFormat="1">
      <c r="A230" s="41">
        <v>4.1218596886574074E-2</v>
      </c>
      <c r="B230" t="s">
        <v>113</v>
      </c>
      <c r="C230" t="s">
        <v>367</v>
      </c>
      <c r="D230"/>
      <c r="E230" t="s">
        <v>59</v>
      </c>
      <c r="F230"/>
      <c r="G230" t="s">
        <v>204</v>
      </c>
      <c r="H230"/>
      <c r="I230" s="158">
        <v>46241.697280092594</v>
      </c>
      <c r="J230" t="s">
        <v>324</v>
      </c>
      <c r="K230" t="s">
        <v>358</v>
      </c>
      <c r="L230" s="157">
        <v>46167</v>
      </c>
      <c r="M230" t="s">
        <v>282</v>
      </c>
      <c r="N230" t="s">
        <v>290</v>
      </c>
      <c r="O230" t="s">
        <v>293</v>
      </c>
      <c r="P230">
        <v>3</v>
      </c>
      <c r="Q230" t="s">
        <v>273</v>
      </c>
    </row>
    <row r="231" spans="1:17" s="29" customFormat="1">
      <c r="A231" s="41">
        <v>4.115144087962963E-2</v>
      </c>
      <c r="B231" t="s">
        <v>113</v>
      </c>
      <c r="C231" t="s">
        <v>377</v>
      </c>
      <c r="D231"/>
      <c r="E231" t="s">
        <v>127</v>
      </c>
      <c r="F231"/>
      <c r="G231" t="s">
        <v>204</v>
      </c>
      <c r="H231"/>
      <c r="I231" s="158">
        <v>46241.697025462963</v>
      </c>
      <c r="J231" t="s">
        <v>324</v>
      </c>
      <c r="K231" t="s">
        <v>358</v>
      </c>
      <c r="L231" s="157">
        <v>46167</v>
      </c>
      <c r="M231" t="s">
        <v>282</v>
      </c>
      <c r="N231" t="s">
        <v>290</v>
      </c>
      <c r="O231" t="s">
        <v>293</v>
      </c>
      <c r="P231">
        <v>3</v>
      </c>
      <c r="Q231" t="s">
        <v>273</v>
      </c>
    </row>
    <row r="232" spans="1:17" s="29" customFormat="1">
      <c r="A232" s="41">
        <v>4.1062186030092589E-2</v>
      </c>
      <c r="B232" t="s">
        <v>113</v>
      </c>
      <c r="C232"/>
      <c r="D232"/>
      <c r="E232" t="s">
        <v>132</v>
      </c>
      <c r="F232"/>
      <c r="G232" t="s">
        <v>204</v>
      </c>
      <c r="H232"/>
      <c r="I232" s="158">
        <v>46241.696886574071</v>
      </c>
      <c r="J232" t="s">
        <v>324</v>
      </c>
      <c r="K232" t="s">
        <v>358</v>
      </c>
      <c r="L232" s="157">
        <v>46167</v>
      </c>
      <c r="M232" t="s">
        <v>282</v>
      </c>
      <c r="N232" t="s">
        <v>290</v>
      </c>
      <c r="O232" t="s">
        <v>293</v>
      </c>
      <c r="P232">
        <v>3</v>
      </c>
      <c r="Q232" t="s">
        <v>273</v>
      </c>
    </row>
    <row r="233" spans="1:17" s="29" customFormat="1">
      <c r="A233" s="41">
        <v>4.0979176840277777E-2</v>
      </c>
      <c r="B233" t="s">
        <v>113</v>
      </c>
      <c r="C233"/>
      <c r="D233"/>
      <c r="E233" t="s">
        <v>123</v>
      </c>
      <c r="F233"/>
      <c r="G233" t="s">
        <v>204</v>
      </c>
      <c r="H233"/>
      <c r="I233" s="158">
        <v>46241.696805555555</v>
      </c>
      <c r="J233" t="s">
        <v>324</v>
      </c>
      <c r="K233" t="s">
        <v>358</v>
      </c>
      <c r="L233" s="157">
        <v>46167</v>
      </c>
      <c r="M233" t="s">
        <v>282</v>
      </c>
      <c r="N233" t="s">
        <v>290</v>
      </c>
      <c r="O233" t="s">
        <v>293</v>
      </c>
      <c r="P233">
        <v>3</v>
      </c>
      <c r="Q233" t="s">
        <v>273</v>
      </c>
    </row>
    <row r="234" spans="1:17" s="29" customFormat="1">
      <c r="A234" s="41">
        <v>4.0799616666666663E-2</v>
      </c>
      <c r="B234" t="s">
        <v>113</v>
      </c>
      <c r="C234"/>
      <c r="D234"/>
      <c r="E234" t="s">
        <v>88</v>
      </c>
      <c r="F234"/>
      <c r="G234" t="s">
        <v>117</v>
      </c>
      <c r="H234"/>
      <c r="I234" s="158">
        <v>46241.696689814817</v>
      </c>
      <c r="J234" t="s">
        <v>324</v>
      </c>
      <c r="K234" t="s">
        <v>358</v>
      </c>
      <c r="L234" s="157">
        <v>46167</v>
      </c>
      <c r="M234" t="s">
        <v>282</v>
      </c>
      <c r="N234" t="s">
        <v>290</v>
      </c>
      <c r="O234" t="s">
        <v>293</v>
      </c>
      <c r="P234">
        <v>3</v>
      </c>
      <c r="Q234" t="s">
        <v>273</v>
      </c>
    </row>
    <row r="235" spans="1:17" s="29" customFormat="1">
      <c r="A235" s="41">
        <v>4.0747409143518515E-2</v>
      </c>
      <c r="B235" t="s">
        <v>113</v>
      </c>
      <c r="C235" t="s">
        <v>369</v>
      </c>
      <c r="D235"/>
      <c r="E235" t="s">
        <v>129</v>
      </c>
      <c r="F235"/>
      <c r="G235" t="s">
        <v>204</v>
      </c>
      <c r="H235"/>
      <c r="I235" s="158">
        <v>46241.696608796294</v>
      </c>
      <c r="J235" t="s">
        <v>324</v>
      </c>
      <c r="K235" t="s">
        <v>358</v>
      </c>
      <c r="L235" s="157">
        <v>46167</v>
      </c>
      <c r="M235" t="s">
        <v>282</v>
      </c>
      <c r="N235" t="s">
        <v>290</v>
      </c>
      <c r="O235" t="s">
        <v>293</v>
      </c>
      <c r="P235">
        <v>3</v>
      </c>
      <c r="Q235" t="s">
        <v>273</v>
      </c>
    </row>
    <row r="236" spans="1:17" s="29" customFormat="1">
      <c r="A236" s="41">
        <v>4.0735795868055556E-2</v>
      </c>
      <c r="B236" t="s">
        <v>113</v>
      </c>
      <c r="C236"/>
      <c r="D236"/>
      <c r="E236" t="s">
        <v>123</v>
      </c>
      <c r="F236"/>
      <c r="G236" t="s">
        <v>204</v>
      </c>
      <c r="H236"/>
      <c r="I236" s="158">
        <v>46241.696493055555</v>
      </c>
      <c r="J236" t="s">
        <v>324</v>
      </c>
      <c r="K236" t="s">
        <v>358</v>
      </c>
      <c r="L236" s="157">
        <v>46167</v>
      </c>
      <c r="M236" t="s">
        <v>282</v>
      </c>
      <c r="N236" t="s">
        <v>290</v>
      </c>
      <c r="O236" t="s">
        <v>293</v>
      </c>
      <c r="P236">
        <v>3</v>
      </c>
      <c r="Q236" t="s">
        <v>273</v>
      </c>
    </row>
    <row r="237" spans="1:17" s="29" customFormat="1">
      <c r="A237" s="41">
        <v>4.0261796805555555E-2</v>
      </c>
      <c r="B237" t="s">
        <v>113</v>
      </c>
      <c r="C237"/>
      <c r="D237"/>
      <c r="E237" t="s">
        <v>88</v>
      </c>
      <c r="F237"/>
      <c r="G237" t="s">
        <v>117</v>
      </c>
      <c r="H237"/>
      <c r="I237" s="158">
        <v>46241.695833333331</v>
      </c>
      <c r="J237" t="s">
        <v>324</v>
      </c>
      <c r="K237" t="s">
        <v>358</v>
      </c>
      <c r="L237" s="157">
        <v>46167</v>
      </c>
      <c r="M237" t="s">
        <v>282</v>
      </c>
      <c r="N237" t="s">
        <v>290</v>
      </c>
      <c r="O237" t="s">
        <v>293</v>
      </c>
      <c r="P237">
        <v>3</v>
      </c>
      <c r="Q237" t="s">
        <v>273</v>
      </c>
    </row>
    <row r="238" spans="1:17" s="29" customFormat="1">
      <c r="A238" s="41">
        <v>4.0238707847222221E-2</v>
      </c>
      <c r="B238" t="s">
        <v>113</v>
      </c>
      <c r="C238"/>
      <c r="D238"/>
      <c r="E238" t="s">
        <v>224</v>
      </c>
      <c r="F238"/>
      <c r="G238" t="s">
        <v>117</v>
      </c>
      <c r="H238"/>
      <c r="I238" s="158">
        <v>46241.695775462962</v>
      </c>
      <c r="J238" t="s">
        <v>324</v>
      </c>
      <c r="K238" t="s">
        <v>358</v>
      </c>
      <c r="L238" s="157">
        <v>46167</v>
      </c>
      <c r="M238" t="s">
        <v>282</v>
      </c>
      <c r="N238" t="s">
        <v>290</v>
      </c>
      <c r="O238" t="s">
        <v>293</v>
      </c>
      <c r="P238">
        <v>3</v>
      </c>
      <c r="Q238" t="s">
        <v>273</v>
      </c>
    </row>
    <row r="239" spans="1:17" s="29" customFormat="1">
      <c r="A239" s="41">
        <v>4.0170074837962963E-2</v>
      </c>
      <c r="B239" t="s">
        <v>113</v>
      </c>
      <c r="C239"/>
      <c r="D239"/>
      <c r="E239" t="s">
        <v>127</v>
      </c>
      <c r="F239"/>
      <c r="G239" t="s">
        <v>117</v>
      </c>
      <c r="H239"/>
      <c r="I239" s="158">
        <v>46241.6955787037</v>
      </c>
      <c r="J239" t="s">
        <v>324</v>
      </c>
      <c r="K239" t="s">
        <v>358</v>
      </c>
      <c r="L239" s="157">
        <v>46167</v>
      </c>
      <c r="M239" t="s">
        <v>282</v>
      </c>
      <c r="N239" t="s">
        <v>290</v>
      </c>
      <c r="O239" t="s">
        <v>293</v>
      </c>
      <c r="P239">
        <v>3</v>
      </c>
      <c r="Q239" t="s">
        <v>273</v>
      </c>
    </row>
    <row r="240" spans="1:17" s="29" customFormat="1">
      <c r="A240" s="41">
        <v>4.0151860138888891E-2</v>
      </c>
      <c r="B240" t="s">
        <v>113</v>
      </c>
      <c r="C240"/>
      <c r="D240"/>
      <c r="E240" t="s">
        <v>59</v>
      </c>
      <c r="F240"/>
      <c r="G240" t="s">
        <v>117</v>
      </c>
      <c r="H240"/>
      <c r="I240" s="158">
        <v>46241.695532407408</v>
      </c>
      <c r="J240" t="s">
        <v>324</v>
      </c>
      <c r="K240" t="s">
        <v>358</v>
      </c>
      <c r="L240" s="157">
        <v>46167</v>
      </c>
      <c r="M240" t="s">
        <v>282</v>
      </c>
      <c r="N240" t="s">
        <v>290</v>
      </c>
      <c r="O240" t="s">
        <v>293</v>
      </c>
      <c r="P240">
        <v>3</v>
      </c>
      <c r="Q240" t="s">
        <v>273</v>
      </c>
    </row>
    <row r="241" spans="1:17" s="29" customFormat="1">
      <c r="A241" s="41">
        <v>4.0083508240740737E-2</v>
      </c>
      <c r="B241" t="s">
        <v>113</v>
      </c>
      <c r="C241"/>
      <c r="D241"/>
      <c r="E241" t="s">
        <v>127</v>
      </c>
      <c r="F241"/>
      <c r="G241" t="s">
        <v>117</v>
      </c>
      <c r="H241"/>
      <c r="I241" s="158">
        <v>46241.695300925923</v>
      </c>
      <c r="J241" t="s">
        <v>324</v>
      </c>
      <c r="K241" t="s">
        <v>358</v>
      </c>
      <c r="L241" s="157">
        <v>46167</v>
      </c>
      <c r="M241" t="s">
        <v>282</v>
      </c>
      <c r="N241" t="s">
        <v>290</v>
      </c>
      <c r="O241" t="s">
        <v>293</v>
      </c>
      <c r="P241">
        <v>3</v>
      </c>
      <c r="Q241" t="s">
        <v>273</v>
      </c>
    </row>
    <row r="242" spans="1:17" s="29" customFormat="1">
      <c r="A242" s="41">
        <v>4.007205282407407E-2</v>
      </c>
      <c r="B242" t="s">
        <v>113</v>
      </c>
      <c r="C242"/>
      <c r="D242"/>
      <c r="E242" t="s">
        <v>59</v>
      </c>
      <c r="F242"/>
      <c r="G242" t="s">
        <v>117</v>
      </c>
      <c r="H242"/>
      <c r="I242" s="158">
        <v>46241.695254629631</v>
      </c>
      <c r="J242" t="s">
        <v>324</v>
      </c>
      <c r="K242" t="s">
        <v>358</v>
      </c>
      <c r="L242" s="157">
        <v>46167</v>
      </c>
      <c r="M242" t="s">
        <v>282</v>
      </c>
      <c r="N242" t="s">
        <v>290</v>
      </c>
      <c r="O242" t="s">
        <v>293</v>
      </c>
      <c r="P242">
        <v>3</v>
      </c>
      <c r="Q242" t="s">
        <v>273</v>
      </c>
    </row>
    <row r="243" spans="1:17" s="29" customFormat="1">
      <c r="A243" s="41">
        <v>3.9962122407407402E-2</v>
      </c>
      <c r="B243" t="s">
        <v>113</v>
      </c>
      <c r="C243"/>
      <c r="D243"/>
      <c r="E243" t="s">
        <v>127</v>
      </c>
      <c r="F243"/>
      <c r="G243" t="s">
        <v>117</v>
      </c>
      <c r="H243"/>
      <c r="I243" s="158">
        <v>46241.695057870369</v>
      </c>
      <c r="J243" t="s">
        <v>324</v>
      </c>
      <c r="K243" t="s">
        <v>358</v>
      </c>
      <c r="L243" s="157">
        <v>46167</v>
      </c>
      <c r="M243" t="s">
        <v>282</v>
      </c>
      <c r="N243" t="s">
        <v>290</v>
      </c>
      <c r="O243" t="s">
        <v>293</v>
      </c>
      <c r="P243">
        <v>3</v>
      </c>
      <c r="Q243" t="s">
        <v>273</v>
      </c>
    </row>
    <row r="244" spans="1:17" s="29" customFormat="1">
      <c r="A244" s="41">
        <v>3.9899333738425927E-2</v>
      </c>
      <c r="B244" t="s">
        <v>113</v>
      </c>
      <c r="C244" t="s">
        <v>395</v>
      </c>
      <c r="D244"/>
      <c r="E244" t="s">
        <v>129</v>
      </c>
      <c r="F244"/>
      <c r="G244" t="s">
        <v>204</v>
      </c>
      <c r="H244"/>
      <c r="I244" s="158">
        <v>46241.694849537038</v>
      </c>
      <c r="J244" t="s">
        <v>324</v>
      </c>
      <c r="K244" t="s">
        <v>358</v>
      </c>
      <c r="L244" s="157">
        <v>46167</v>
      </c>
      <c r="M244" t="s">
        <v>282</v>
      </c>
      <c r="N244" t="s">
        <v>290</v>
      </c>
      <c r="O244" t="s">
        <v>293</v>
      </c>
      <c r="P244">
        <v>3</v>
      </c>
      <c r="Q244" t="s">
        <v>273</v>
      </c>
    </row>
    <row r="245" spans="1:17" s="29" customFormat="1">
      <c r="A245" s="41">
        <v>3.9882731157407404E-2</v>
      </c>
      <c r="B245" t="s">
        <v>113</v>
      </c>
      <c r="C245"/>
      <c r="D245"/>
      <c r="E245" t="s">
        <v>123</v>
      </c>
      <c r="F245"/>
      <c r="G245" t="s">
        <v>204</v>
      </c>
      <c r="H245"/>
      <c r="I245" s="158">
        <v>46241.69458333333</v>
      </c>
      <c r="J245" t="s">
        <v>324</v>
      </c>
      <c r="K245" t="s">
        <v>358</v>
      </c>
      <c r="L245" s="157">
        <v>46167</v>
      </c>
      <c r="M245" t="s">
        <v>282</v>
      </c>
      <c r="N245" t="s">
        <v>290</v>
      </c>
      <c r="O245" t="s">
        <v>293</v>
      </c>
      <c r="P245">
        <v>3</v>
      </c>
      <c r="Q245" t="s">
        <v>273</v>
      </c>
    </row>
    <row r="246" spans="1:17" s="29" customFormat="1">
      <c r="A246" s="41">
        <v>3.9202419942129627E-2</v>
      </c>
      <c r="B246" t="s">
        <v>113</v>
      </c>
      <c r="C246"/>
      <c r="D246"/>
      <c r="E246" t="s">
        <v>88</v>
      </c>
      <c r="F246"/>
      <c r="G246" t="s">
        <v>117</v>
      </c>
      <c r="H246"/>
      <c r="I246" s="158">
        <v>46241.694016203706</v>
      </c>
      <c r="J246" t="s">
        <v>324</v>
      </c>
      <c r="K246" t="s">
        <v>358</v>
      </c>
      <c r="L246" s="157">
        <v>46167</v>
      </c>
      <c r="M246" t="s">
        <v>282</v>
      </c>
      <c r="N246" t="s">
        <v>290</v>
      </c>
      <c r="O246" t="s">
        <v>293</v>
      </c>
      <c r="P246">
        <v>3</v>
      </c>
      <c r="Q246" t="s">
        <v>273</v>
      </c>
    </row>
    <row r="247" spans="1:17" s="29" customFormat="1">
      <c r="A247" s="41">
        <v>3.9133315405092593E-2</v>
      </c>
      <c r="B247" t="s">
        <v>113</v>
      </c>
      <c r="C247"/>
      <c r="D247"/>
      <c r="E247" t="s">
        <v>224</v>
      </c>
      <c r="F247"/>
      <c r="G247" t="s">
        <v>117</v>
      </c>
      <c r="H247"/>
      <c r="I247" s="158">
        <v>46241.69394675926</v>
      </c>
      <c r="J247" t="s">
        <v>324</v>
      </c>
      <c r="K247" t="s">
        <v>358</v>
      </c>
      <c r="L247" s="157">
        <v>46167</v>
      </c>
      <c r="M247" t="s">
        <v>282</v>
      </c>
      <c r="N247" t="s">
        <v>290</v>
      </c>
      <c r="O247" t="s">
        <v>293</v>
      </c>
      <c r="P247">
        <v>3</v>
      </c>
      <c r="Q247" t="s">
        <v>273</v>
      </c>
    </row>
    <row r="248" spans="1:17" s="29" customFormat="1">
      <c r="A248" s="41">
        <v>3.909335065972222E-2</v>
      </c>
      <c r="B248" t="s">
        <v>113</v>
      </c>
      <c r="C248"/>
      <c r="D248"/>
      <c r="E248" t="s">
        <v>332</v>
      </c>
      <c r="F248"/>
      <c r="G248" t="s">
        <v>117</v>
      </c>
      <c r="H248"/>
      <c r="I248" s="158">
        <v>46241.69390046296</v>
      </c>
      <c r="J248" t="s">
        <v>324</v>
      </c>
      <c r="K248" t="s">
        <v>358</v>
      </c>
      <c r="L248" s="157">
        <v>46167</v>
      </c>
      <c r="M248" t="s">
        <v>282</v>
      </c>
      <c r="N248" t="s">
        <v>290</v>
      </c>
      <c r="O248" t="s">
        <v>293</v>
      </c>
      <c r="P248">
        <v>3</v>
      </c>
      <c r="Q248" t="s">
        <v>273</v>
      </c>
    </row>
    <row r="249" spans="1:17" s="29" customFormat="1">
      <c r="A249" s="41">
        <v>3.9053373194444442E-2</v>
      </c>
      <c r="B249" t="s">
        <v>113</v>
      </c>
      <c r="C249"/>
      <c r="D249"/>
      <c r="E249" t="s">
        <v>124</v>
      </c>
      <c r="F249"/>
      <c r="G249" t="s">
        <v>117</v>
      </c>
      <c r="H249"/>
      <c r="I249" s="158">
        <v>46241.693865740737</v>
      </c>
      <c r="J249" t="s">
        <v>324</v>
      </c>
      <c r="K249" t="s">
        <v>358</v>
      </c>
      <c r="L249" s="157">
        <v>46167</v>
      </c>
      <c r="M249" t="s">
        <v>282</v>
      </c>
      <c r="N249" t="s">
        <v>290</v>
      </c>
      <c r="O249" t="s">
        <v>293</v>
      </c>
      <c r="P249">
        <v>3</v>
      </c>
      <c r="Q249" t="s">
        <v>273</v>
      </c>
    </row>
    <row r="250" spans="1:17" s="29" customFormat="1">
      <c r="A250" s="41">
        <v>3.8537121168981482E-2</v>
      </c>
      <c r="B250" t="s">
        <v>113</v>
      </c>
      <c r="C250"/>
      <c r="D250"/>
      <c r="E250" t="s">
        <v>88</v>
      </c>
      <c r="F250"/>
      <c r="G250" t="s">
        <v>117</v>
      </c>
      <c r="H250"/>
      <c r="I250" s="158">
        <v>46241.69332175926</v>
      </c>
      <c r="J250" t="s">
        <v>324</v>
      </c>
      <c r="K250" t="s">
        <v>358</v>
      </c>
      <c r="L250" s="157">
        <v>46167</v>
      </c>
      <c r="M250" t="s">
        <v>282</v>
      </c>
      <c r="N250" t="s">
        <v>290</v>
      </c>
      <c r="O250" t="s">
        <v>293</v>
      </c>
      <c r="P250">
        <v>3</v>
      </c>
      <c r="Q250" t="s">
        <v>273</v>
      </c>
    </row>
    <row r="251" spans="1:17" s="29" customFormat="1">
      <c r="A251" s="41">
        <v>3.8537121168981482E-2</v>
      </c>
      <c r="B251" t="s">
        <v>113</v>
      </c>
      <c r="C251"/>
      <c r="D251"/>
      <c r="E251" t="s">
        <v>223</v>
      </c>
      <c r="F251"/>
      <c r="G251" t="s">
        <v>204</v>
      </c>
      <c r="H251"/>
      <c r="I251" s="158">
        <v>46241.693310185183</v>
      </c>
      <c r="J251" t="s">
        <v>324</v>
      </c>
      <c r="K251" t="s">
        <v>358</v>
      </c>
      <c r="L251" s="157">
        <v>46167</v>
      </c>
      <c r="M251" t="s">
        <v>282</v>
      </c>
      <c r="N251" t="s">
        <v>290</v>
      </c>
      <c r="O251" t="s">
        <v>293</v>
      </c>
      <c r="P251">
        <v>3</v>
      </c>
      <c r="Q251" t="s">
        <v>273</v>
      </c>
    </row>
    <row r="252" spans="1:17" s="29" customFormat="1">
      <c r="A252" s="41">
        <v>3.8473655011574077E-2</v>
      </c>
      <c r="B252" t="s">
        <v>113</v>
      </c>
      <c r="C252" t="s">
        <v>373</v>
      </c>
      <c r="D252"/>
      <c r="E252" t="s">
        <v>127</v>
      </c>
      <c r="F252"/>
      <c r="G252" t="s">
        <v>204</v>
      </c>
      <c r="H252"/>
      <c r="I252" s="158">
        <v>46241.693090277775</v>
      </c>
      <c r="J252" t="s">
        <v>324</v>
      </c>
      <c r="K252" t="s">
        <v>358</v>
      </c>
      <c r="L252" s="157">
        <v>46167</v>
      </c>
      <c r="M252" t="s">
        <v>282</v>
      </c>
      <c r="N252" t="s">
        <v>290</v>
      </c>
      <c r="O252" t="s">
        <v>293</v>
      </c>
      <c r="P252">
        <v>3</v>
      </c>
      <c r="Q252" t="s">
        <v>273</v>
      </c>
    </row>
    <row r="253" spans="1:17" s="29" customFormat="1">
      <c r="A253" s="41">
        <v>3.8456318414351855E-2</v>
      </c>
      <c r="B253" t="s">
        <v>113</v>
      </c>
      <c r="C253" t="s">
        <v>361</v>
      </c>
      <c r="D253"/>
      <c r="E253" t="s">
        <v>59</v>
      </c>
      <c r="F253"/>
      <c r="G253" t="s">
        <v>204</v>
      </c>
      <c r="H253"/>
      <c r="I253" s="158">
        <v>46241.692986111113</v>
      </c>
      <c r="J253" t="s">
        <v>324</v>
      </c>
      <c r="K253" t="s">
        <v>358</v>
      </c>
      <c r="L253" s="157">
        <v>46167</v>
      </c>
      <c r="M253" t="s">
        <v>282</v>
      </c>
      <c r="N253" t="s">
        <v>290</v>
      </c>
      <c r="O253" t="s">
        <v>293</v>
      </c>
      <c r="P253">
        <v>3</v>
      </c>
      <c r="Q253" t="s">
        <v>273</v>
      </c>
    </row>
    <row r="254" spans="1:17" s="29" customFormat="1">
      <c r="A254" s="41">
        <v>3.8387750092592592E-2</v>
      </c>
      <c r="B254" t="s">
        <v>113</v>
      </c>
      <c r="C254" t="s">
        <v>379</v>
      </c>
      <c r="D254"/>
      <c r="E254" t="s">
        <v>127</v>
      </c>
      <c r="F254"/>
      <c r="G254" t="s">
        <v>204</v>
      </c>
      <c r="H254"/>
      <c r="I254" s="158">
        <v>46241.692731481482</v>
      </c>
      <c r="J254" t="s">
        <v>324</v>
      </c>
      <c r="K254" t="s">
        <v>358</v>
      </c>
      <c r="L254" s="157">
        <v>46167</v>
      </c>
      <c r="M254" t="s">
        <v>282</v>
      </c>
      <c r="N254" t="s">
        <v>290</v>
      </c>
      <c r="O254" t="s">
        <v>293</v>
      </c>
      <c r="P254">
        <v>3</v>
      </c>
      <c r="Q254" t="s">
        <v>273</v>
      </c>
    </row>
    <row r="255" spans="1:17" s="29" customFormat="1">
      <c r="A255" s="41">
        <v>3.8325074421296297E-2</v>
      </c>
      <c r="B255" t="s">
        <v>113</v>
      </c>
      <c r="C255" t="s">
        <v>361</v>
      </c>
      <c r="D255"/>
      <c r="E255" t="s">
        <v>127</v>
      </c>
      <c r="F255"/>
      <c r="G255" t="s">
        <v>204</v>
      </c>
      <c r="H255"/>
      <c r="I255" s="158">
        <v>46241.692523148151</v>
      </c>
      <c r="J255" t="s">
        <v>324</v>
      </c>
      <c r="K255" t="s">
        <v>358</v>
      </c>
      <c r="L255" s="157">
        <v>46167</v>
      </c>
      <c r="M255" t="s">
        <v>282</v>
      </c>
      <c r="N255" t="s">
        <v>290</v>
      </c>
      <c r="O255" t="s">
        <v>293</v>
      </c>
      <c r="P255">
        <v>3</v>
      </c>
      <c r="Q255" t="s">
        <v>273</v>
      </c>
    </row>
    <row r="256" spans="1:17" s="29" customFormat="1">
      <c r="A256" s="41">
        <v>3.8284888518518516E-2</v>
      </c>
      <c r="B256" t="s">
        <v>113</v>
      </c>
      <c r="C256" t="s">
        <v>363</v>
      </c>
      <c r="D256"/>
      <c r="E256" t="s">
        <v>59</v>
      </c>
      <c r="F256"/>
      <c r="G256" t="s">
        <v>204</v>
      </c>
      <c r="H256"/>
      <c r="I256" s="158">
        <v>46241.692280092589</v>
      </c>
      <c r="J256" t="s">
        <v>324</v>
      </c>
      <c r="K256" t="s">
        <v>358</v>
      </c>
      <c r="L256" s="157">
        <v>46167</v>
      </c>
      <c r="M256" t="s">
        <v>282</v>
      </c>
      <c r="N256" t="s">
        <v>290</v>
      </c>
      <c r="O256" t="s">
        <v>293</v>
      </c>
      <c r="P256">
        <v>3</v>
      </c>
      <c r="Q256" t="s">
        <v>273</v>
      </c>
    </row>
    <row r="257" spans="1:17" s="29" customFormat="1">
      <c r="A257" s="41">
        <v>3.8284888518518516E-2</v>
      </c>
      <c r="B257" t="s">
        <v>113</v>
      </c>
      <c r="C257" t="s">
        <v>377</v>
      </c>
      <c r="D257"/>
      <c r="E257" t="s">
        <v>59</v>
      </c>
      <c r="F257"/>
      <c r="G257" t="s">
        <v>204</v>
      </c>
      <c r="H257"/>
      <c r="I257" s="158">
        <v>46241.692210648151</v>
      </c>
      <c r="J257" t="s">
        <v>324</v>
      </c>
      <c r="K257" t="s">
        <v>358</v>
      </c>
      <c r="L257" s="157">
        <v>46167</v>
      </c>
      <c r="M257" t="s">
        <v>282</v>
      </c>
      <c r="N257" t="s">
        <v>290</v>
      </c>
      <c r="O257" t="s">
        <v>293</v>
      </c>
      <c r="P257">
        <v>3</v>
      </c>
      <c r="Q257" t="s">
        <v>273</v>
      </c>
    </row>
    <row r="258" spans="1:17" s="29" customFormat="1">
      <c r="A258" s="41">
        <v>3.821534733796296E-2</v>
      </c>
      <c r="B258" t="s">
        <v>113</v>
      </c>
      <c r="C258" t="s">
        <v>359</v>
      </c>
      <c r="D258"/>
      <c r="E258" t="s">
        <v>127</v>
      </c>
      <c r="F258"/>
      <c r="G258" t="s">
        <v>204</v>
      </c>
      <c r="H258"/>
      <c r="I258" s="158">
        <v>46241.692071759258</v>
      </c>
      <c r="J258" t="s">
        <v>324</v>
      </c>
      <c r="K258" t="s">
        <v>358</v>
      </c>
      <c r="L258" s="157">
        <v>46167</v>
      </c>
      <c r="M258" t="s">
        <v>282</v>
      </c>
      <c r="N258" t="s">
        <v>290</v>
      </c>
      <c r="O258" t="s">
        <v>293</v>
      </c>
      <c r="P258">
        <v>3</v>
      </c>
      <c r="Q258" t="s">
        <v>273</v>
      </c>
    </row>
    <row r="259" spans="1:17" s="29" customFormat="1">
      <c r="A259" s="41">
        <v>3.8204520046296292E-2</v>
      </c>
      <c r="B259" t="s">
        <v>113</v>
      </c>
      <c r="C259"/>
      <c r="D259"/>
      <c r="E259" t="s">
        <v>228</v>
      </c>
      <c r="F259"/>
      <c r="G259" t="s">
        <v>204</v>
      </c>
      <c r="H259"/>
      <c r="I259" s="158">
        <v>46241.691921296297</v>
      </c>
      <c r="J259" t="s">
        <v>324</v>
      </c>
      <c r="K259" t="s">
        <v>358</v>
      </c>
      <c r="L259" s="157">
        <v>46167</v>
      </c>
      <c r="M259" t="s">
        <v>282</v>
      </c>
      <c r="N259" t="s">
        <v>290</v>
      </c>
      <c r="O259" t="s">
        <v>293</v>
      </c>
      <c r="P259">
        <v>3</v>
      </c>
      <c r="Q259" t="s">
        <v>273</v>
      </c>
    </row>
    <row r="260" spans="1:17" s="29" customFormat="1">
      <c r="A260" s="41">
        <v>3.815260667824074E-2</v>
      </c>
      <c r="B260" t="s">
        <v>113</v>
      </c>
      <c r="C260"/>
      <c r="D260"/>
      <c r="E260" t="s">
        <v>119</v>
      </c>
      <c r="F260"/>
      <c r="G260" t="s">
        <v>204</v>
      </c>
      <c r="H260"/>
      <c r="I260" s="158">
        <v>46241.691828703704</v>
      </c>
      <c r="J260" t="s">
        <v>324</v>
      </c>
      <c r="K260" t="s">
        <v>358</v>
      </c>
      <c r="L260" s="157">
        <v>46167</v>
      </c>
      <c r="M260" t="s">
        <v>282</v>
      </c>
      <c r="N260" t="s">
        <v>290</v>
      </c>
      <c r="O260" t="s">
        <v>293</v>
      </c>
      <c r="P260">
        <v>3</v>
      </c>
      <c r="Q260" t="s">
        <v>273</v>
      </c>
    </row>
    <row r="261" spans="1:17" s="29" customFormat="1">
      <c r="A261" s="41">
        <v>3.4095743078703701E-2</v>
      </c>
      <c r="B261" t="s">
        <v>116</v>
      </c>
      <c r="C261"/>
      <c r="D261"/>
      <c r="E261" t="s">
        <v>88</v>
      </c>
      <c r="F261"/>
      <c r="G261" t="s">
        <v>117</v>
      </c>
      <c r="H261"/>
      <c r="I261" s="158">
        <v>46241.690671296295</v>
      </c>
      <c r="J261" t="s">
        <v>324</v>
      </c>
      <c r="K261" t="s">
        <v>358</v>
      </c>
      <c r="L261" s="157">
        <v>46167</v>
      </c>
      <c r="M261" t="s">
        <v>282</v>
      </c>
      <c r="N261" t="s">
        <v>290</v>
      </c>
      <c r="O261" t="s">
        <v>293</v>
      </c>
      <c r="P261">
        <v>3</v>
      </c>
      <c r="Q261" t="s">
        <v>273</v>
      </c>
    </row>
    <row r="262" spans="1:17" s="29" customFormat="1">
      <c r="A262" s="41">
        <v>3.403118224537037E-2</v>
      </c>
      <c r="B262" t="s">
        <v>116</v>
      </c>
      <c r="C262"/>
      <c r="D262"/>
      <c r="E262" t="s">
        <v>224</v>
      </c>
      <c r="F262"/>
      <c r="G262" t="s">
        <v>117</v>
      </c>
      <c r="H262"/>
      <c r="I262" s="158">
        <v>46241.690613425926</v>
      </c>
      <c r="J262" t="s">
        <v>324</v>
      </c>
      <c r="K262" t="s">
        <v>358</v>
      </c>
      <c r="L262" s="157">
        <v>46167</v>
      </c>
      <c r="M262" t="s">
        <v>282</v>
      </c>
      <c r="N262" t="s">
        <v>290</v>
      </c>
      <c r="O262" t="s">
        <v>293</v>
      </c>
      <c r="P262">
        <v>3</v>
      </c>
      <c r="Q262" t="s">
        <v>273</v>
      </c>
    </row>
    <row r="263" spans="1:17" s="29" customFormat="1">
      <c r="A263" s="41">
        <v>3.3995765162037034E-2</v>
      </c>
      <c r="B263" t="s">
        <v>116</v>
      </c>
      <c r="C263"/>
      <c r="D263"/>
      <c r="E263" t="s">
        <v>226</v>
      </c>
      <c r="F263"/>
      <c r="G263" t="s">
        <v>117</v>
      </c>
      <c r="H263"/>
      <c r="I263" s="158">
        <v>46241.690578703703</v>
      </c>
      <c r="J263" t="s">
        <v>324</v>
      </c>
      <c r="K263" t="s">
        <v>358</v>
      </c>
      <c r="L263" s="157">
        <v>46167</v>
      </c>
      <c r="M263" t="s">
        <v>282</v>
      </c>
      <c r="N263" t="s">
        <v>290</v>
      </c>
      <c r="O263" t="s">
        <v>293</v>
      </c>
      <c r="P263">
        <v>3</v>
      </c>
      <c r="Q263" t="s">
        <v>273</v>
      </c>
    </row>
    <row r="264" spans="1:17" s="29" customFormat="1">
      <c r="A264" s="41">
        <v>3.3966625046296293E-2</v>
      </c>
      <c r="B264" t="s">
        <v>116</v>
      </c>
      <c r="C264"/>
      <c r="D264"/>
      <c r="E264" t="s">
        <v>119</v>
      </c>
      <c r="F264"/>
      <c r="G264" t="s">
        <v>117</v>
      </c>
      <c r="H264"/>
      <c r="I264" s="158">
        <v>46241.69054398148</v>
      </c>
      <c r="J264" t="s">
        <v>324</v>
      </c>
      <c r="K264" t="s">
        <v>358</v>
      </c>
      <c r="L264" s="157">
        <v>46167</v>
      </c>
      <c r="M264" t="s">
        <v>282</v>
      </c>
      <c r="N264" t="s">
        <v>290</v>
      </c>
      <c r="O264" t="s">
        <v>293</v>
      </c>
      <c r="P264">
        <v>3</v>
      </c>
      <c r="Q264" t="s">
        <v>273</v>
      </c>
    </row>
    <row r="265" spans="1:17" s="29" customFormat="1">
      <c r="A265" s="41">
        <v>3.2760791365740741E-2</v>
      </c>
      <c r="B265" t="s">
        <v>116</v>
      </c>
      <c r="C265"/>
      <c r="D265"/>
      <c r="E265" t="s">
        <v>88</v>
      </c>
      <c r="F265"/>
      <c r="G265" t="s">
        <v>117</v>
      </c>
      <c r="H265"/>
      <c r="I265" s="158">
        <v>46241.690023148149</v>
      </c>
      <c r="J265" t="s">
        <v>324</v>
      </c>
      <c r="K265" t="s">
        <v>358</v>
      </c>
      <c r="L265" s="157">
        <v>46167</v>
      </c>
      <c r="M265" t="s">
        <v>282</v>
      </c>
      <c r="N265" t="s">
        <v>290</v>
      </c>
      <c r="O265" t="s">
        <v>293</v>
      </c>
      <c r="P265">
        <v>3</v>
      </c>
      <c r="Q265" t="s">
        <v>273</v>
      </c>
    </row>
    <row r="266" spans="1:17" s="29" customFormat="1">
      <c r="A266" s="41">
        <v>3.2760791365740741E-2</v>
      </c>
      <c r="B266" t="s">
        <v>116</v>
      </c>
      <c r="C266"/>
      <c r="D266"/>
      <c r="E266" t="s">
        <v>122</v>
      </c>
      <c r="F266"/>
      <c r="G266" t="s">
        <v>117</v>
      </c>
      <c r="H266"/>
      <c r="I266" s="158">
        <v>46241.690023148149</v>
      </c>
      <c r="J266" t="s">
        <v>324</v>
      </c>
      <c r="K266" t="s">
        <v>358</v>
      </c>
      <c r="L266" s="157">
        <v>46167</v>
      </c>
      <c r="M266" t="s">
        <v>282</v>
      </c>
      <c r="N266" t="s">
        <v>290</v>
      </c>
      <c r="O266" t="s">
        <v>293</v>
      </c>
      <c r="P266">
        <v>3</v>
      </c>
      <c r="Q266" t="s">
        <v>273</v>
      </c>
    </row>
    <row r="267" spans="1:17" s="29" customFormat="1">
      <c r="A267" s="41">
        <v>3.272949081018519E-2</v>
      </c>
      <c r="B267" t="s">
        <v>116</v>
      </c>
      <c r="C267"/>
      <c r="D267"/>
      <c r="E267" t="s">
        <v>127</v>
      </c>
      <c r="F267"/>
      <c r="G267" t="s">
        <v>117</v>
      </c>
      <c r="H267"/>
      <c r="I267" s="158">
        <v>46241.689988425926</v>
      </c>
      <c r="J267" t="s">
        <v>324</v>
      </c>
      <c r="K267" t="s">
        <v>358</v>
      </c>
      <c r="L267" s="157">
        <v>46167</v>
      </c>
      <c r="M267" t="s">
        <v>282</v>
      </c>
      <c r="N267" t="s">
        <v>290</v>
      </c>
      <c r="O267" t="s">
        <v>293</v>
      </c>
      <c r="P267">
        <v>3</v>
      </c>
      <c r="Q267" t="s">
        <v>273</v>
      </c>
    </row>
    <row r="268" spans="1:17" s="29" customFormat="1">
      <c r="A268" s="41">
        <v>3.2671078032407402E-2</v>
      </c>
      <c r="B268" t="s">
        <v>116</v>
      </c>
      <c r="C268"/>
      <c r="D268"/>
      <c r="E268" t="s">
        <v>226</v>
      </c>
      <c r="F268"/>
      <c r="G268" t="s">
        <v>117</v>
      </c>
      <c r="H268"/>
      <c r="I268" s="158">
        <v>46241.689930555556</v>
      </c>
      <c r="J268" t="s">
        <v>324</v>
      </c>
      <c r="K268" t="s">
        <v>358</v>
      </c>
      <c r="L268" s="157">
        <v>46167</v>
      </c>
      <c r="M268" t="s">
        <v>282</v>
      </c>
      <c r="N268" t="s">
        <v>290</v>
      </c>
      <c r="O268" t="s">
        <v>293</v>
      </c>
      <c r="P268">
        <v>3</v>
      </c>
      <c r="Q268" t="s">
        <v>273</v>
      </c>
    </row>
    <row r="269" spans="1:17" s="29" customFormat="1">
      <c r="A269" s="41">
        <v>3.2621995833333334E-2</v>
      </c>
      <c r="B269" t="s">
        <v>116</v>
      </c>
      <c r="C269"/>
      <c r="D269"/>
      <c r="E269" t="s">
        <v>224</v>
      </c>
      <c r="F269"/>
      <c r="G269" t="s">
        <v>117</v>
      </c>
      <c r="H269"/>
      <c r="I269" s="158">
        <v>46241.68986111111</v>
      </c>
      <c r="J269" t="s">
        <v>324</v>
      </c>
      <c r="K269" t="s">
        <v>358</v>
      </c>
      <c r="L269" s="157">
        <v>46167</v>
      </c>
      <c r="M269" t="s">
        <v>282</v>
      </c>
      <c r="N269" t="s">
        <v>290</v>
      </c>
      <c r="O269" t="s">
        <v>293</v>
      </c>
      <c r="P269">
        <v>3</v>
      </c>
      <c r="Q269" t="s">
        <v>273</v>
      </c>
    </row>
    <row r="270" spans="1:17" s="29" customFormat="1">
      <c r="A270" s="41">
        <v>3.2575539224537035E-2</v>
      </c>
      <c r="B270" t="s">
        <v>116</v>
      </c>
      <c r="C270"/>
      <c r="D270"/>
      <c r="E270" t="s">
        <v>127</v>
      </c>
      <c r="F270"/>
      <c r="G270" t="s">
        <v>117</v>
      </c>
      <c r="H270"/>
      <c r="I270" s="158">
        <v>46241.689768518518</v>
      </c>
      <c r="J270" t="s">
        <v>324</v>
      </c>
      <c r="K270" t="s">
        <v>358</v>
      </c>
      <c r="L270" s="157">
        <v>46167</v>
      </c>
      <c r="M270" t="s">
        <v>282</v>
      </c>
      <c r="N270" t="s">
        <v>290</v>
      </c>
      <c r="O270" t="s">
        <v>293</v>
      </c>
      <c r="P270">
        <v>3</v>
      </c>
      <c r="Q270" t="s">
        <v>273</v>
      </c>
    </row>
    <row r="271" spans="1:17" s="29" customFormat="1">
      <c r="A271" s="41">
        <v>3.2555164768518517E-2</v>
      </c>
      <c r="B271" t="s">
        <v>116</v>
      </c>
      <c r="C271"/>
      <c r="D271"/>
      <c r="E271" t="s">
        <v>226</v>
      </c>
      <c r="F271"/>
      <c r="G271" t="s">
        <v>117</v>
      </c>
      <c r="H271"/>
      <c r="I271" s="158">
        <v>46241.689733796295</v>
      </c>
      <c r="J271" t="s">
        <v>324</v>
      </c>
      <c r="K271" t="s">
        <v>358</v>
      </c>
      <c r="L271" s="157">
        <v>46167</v>
      </c>
      <c r="M271" t="s">
        <v>282</v>
      </c>
      <c r="N271" t="s">
        <v>290</v>
      </c>
      <c r="O271" t="s">
        <v>293</v>
      </c>
      <c r="P271">
        <v>3</v>
      </c>
      <c r="Q271" t="s">
        <v>273</v>
      </c>
    </row>
    <row r="272" spans="1:17" s="29" customFormat="1">
      <c r="A272" s="41">
        <v>3.2478307407407404E-2</v>
      </c>
      <c r="B272" t="s">
        <v>116</v>
      </c>
      <c r="C272"/>
      <c r="D272"/>
      <c r="E272" t="s">
        <v>224</v>
      </c>
      <c r="F272"/>
      <c r="G272" t="s">
        <v>117</v>
      </c>
      <c r="H272"/>
      <c r="I272" s="158">
        <v>46241.689664351848</v>
      </c>
      <c r="J272" t="s">
        <v>324</v>
      </c>
      <c r="K272" t="s">
        <v>358</v>
      </c>
      <c r="L272" s="157">
        <v>46167</v>
      </c>
      <c r="M272" t="s">
        <v>282</v>
      </c>
      <c r="N272" t="s">
        <v>290</v>
      </c>
      <c r="O272" t="s">
        <v>293</v>
      </c>
      <c r="P272">
        <v>3</v>
      </c>
      <c r="Q272" t="s">
        <v>273</v>
      </c>
    </row>
    <row r="273" spans="1:17" s="29" customFormat="1">
      <c r="A273" s="41">
        <v>3.2407865983796295E-2</v>
      </c>
      <c r="B273" t="s">
        <v>116</v>
      </c>
      <c r="C273" t="s">
        <v>93</v>
      </c>
      <c r="D273"/>
      <c r="E273" t="s">
        <v>231</v>
      </c>
      <c r="F273"/>
      <c r="G273" t="s">
        <v>204</v>
      </c>
      <c r="H273"/>
      <c r="I273" s="158">
        <v>46241.689513888887</v>
      </c>
      <c r="J273" t="s">
        <v>324</v>
      </c>
      <c r="K273" t="s">
        <v>358</v>
      </c>
      <c r="L273" s="157">
        <v>46167</v>
      </c>
      <c r="M273" t="s">
        <v>282</v>
      </c>
      <c r="N273" t="s">
        <v>290</v>
      </c>
      <c r="O273" t="s">
        <v>293</v>
      </c>
      <c r="P273">
        <v>3</v>
      </c>
      <c r="Q273" t="s">
        <v>273</v>
      </c>
    </row>
    <row r="274" spans="1:17" s="29" customFormat="1">
      <c r="A274" s="41">
        <v>3.2332742812500002E-2</v>
      </c>
      <c r="B274" t="s">
        <v>116</v>
      </c>
      <c r="C274" t="s">
        <v>385</v>
      </c>
      <c r="D274"/>
      <c r="E274" t="s">
        <v>127</v>
      </c>
      <c r="F274"/>
      <c r="G274" t="s">
        <v>204</v>
      </c>
      <c r="H274"/>
      <c r="I274" s="158">
        <v>46241.689293981479</v>
      </c>
      <c r="J274" t="s">
        <v>324</v>
      </c>
      <c r="K274" t="s">
        <v>358</v>
      </c>
      <c r="L274" s="157">
        <v>46167</v>
      </c>
      <c r="M274" t="s">
        <v>282</v>
      </c>
      <c r="N274" t="s">
        <v>290</v>
      </c>
      <c r="O274" t="s">
        <v>293</v>
      </c>
      <c r="P274">
        <v>3</v>
      </c>
      <c r="Q274" t="s">
        <v>273</v>
      </c>
    </row>
    <row r="275" spans="1:17" s="29" customFormat="1">
      <c r="A275" s="41">
        <v>3.2310696956018521E-2</v>
      </c>
      <c r="B275" t="s">
        <v>116</v>
      </c>
      <c r="C275" t="s">
        <v>387</v>
      </c>
      <c r="D275"/>
      <c r="E275" t="s">
        <v>59</v>
      </c>
      <c r="F275"/>
      <c r="G275" t="s">
        <v>204</v>
      </c>
      <c r="H275"/>
      <c r="I275" s="158">
        <v>46241.688923611109</v>
      </c>
      <c r="J275" t="s">
        <v>324</v>
      </c>
      <c r="K275" t="s">
        <v>358</v>
      </c>
      <c r="L275" s="157">
        <v>46167</v>
      </c>
      <c r="M275" t="s">
        <v>282</v>
      </c>
      <c r="N275" t="s">
        <v>290</v>
      </c>
      <c r="O275" t="s">
        <v>293</v>
      </c>
      <c r="P275">
        <v>3</v>
      </c>
      <c r="Q275" t="s">
        <v>273</v>
      </c>
    </row>
    <row r="276" spans="1:17" s="29" customFormat="1">
      <c r="A276" s="41">
        <v>3.2299235810185185E-2</v>
      </c>
      <c r="B276" t="s">
        <v>116</v>
      </c>
      <c r="C276" t="s">
        <v>377</v>
      </c>
      <c r="D276"/>
      <c r="E276" t="s">
        <v>127</v>
      </c>
      <c r="F276"/>
      <c r="G276" t="s">
        <v>204</v>
      </c>
      <c r="H276"/>
      <c r="I276" s="158">
        <v>46241.688715277778</v>
      </c>
      <c r="J276" t="s">
        <v>324</v>
      </c>
      <c r="K276" t="s">
        <v>358</v>
      </c>
      <c r="L276" s="157">
        <v>46167</v>
      </c>
      <c r="M276" t="s">
        <v>282</v>
      </c>
      <c r="N276" t="s">
        <v>290</v>
      </c>
      <c r="O276" t="s">
        <v>293</v>
      </c>
      <c r="P276">
        <v>3</v>
      </c>
      <c r="Q276" t="s">
        <v>273</v>
      </c>
    </row>
    <row r="277" spans="1:17" s="29" customFormat="1">
      <c r="A277" s="41">
        <v>3.2287757557870368E-2</v>
      </c>
      <c r="B277" t="s">
        <v>116</v>
      </c>
      <c r="C277" t="s">
        <v>367</v>
      </c>
      <c r="D277"/>
      <c r="E277" t="s">
        <v>59</v>
      </c>
      <c r="F277"/>
      <c r="G277" t="s">
        <v>204</v>
      </c>
      <c r="H277"/>
      <c r="I277" s="158">
        <v>46241.688611111109</v>
      </c>
      <c r="J277" t="s">
        <v>324</v>
      </c>
      <c r="K277" t="s">
        <v>358</v>
      </c>
      <c r="L277" s="157">
        <v>46167</v>
      </c>
      <c r="M277" t="s">
        <v>282</v>
      </c>
      <c r="N277" t="s">
        <v>290</v>
      </c>
      <c r="O277" t="s">
        <v>293</v>
      </c>
      <c r="P277">
        <v>3</v>
      </c>
      <c r="Q277" t="s">
        <v>273</v>
      </c>
    </row>
    <row r="278" spans="1:17" s="29" customFormat="1">
      <c r="A278" s="41">
        <v>3.2260322905092592E-2</v>
      </c>
      <c r="B278" t="s">
        <v>116</v>
      </c>
      <c r="C278" t="s">
        <v>83</v>
      </c>
      <c r="D278"/>
      <c r="E278" t="s">
        <v>326</v>
      </c>
      <c r="F278"/>
      <c r="G278" t="s">
        <v>117</v>
      </c>
      <c r="H278"/>
      <c r="I278" s="158">
        <v>46241.688599537039</v>
      </c>
      <c r="J278" t="s">
        <v>324</v>
      </c>
      <c r="K278" t="s">
        <v>358</v>
      </c>
      <c r="L278" s="157">
        <v>46167</v>
      </c>
      <c r="M278" t="s">
        <v>282</v>
      </c>
      <c r="N278" t="s">
        <v>290</v>
      </c>
      <c r="O278" t="s">
        <v>293</v>
      </c>
      <c r="P278">
        <v>3</v>
      </c>
      <c r="Q278" t="s">
        <v>273</v>
      </c>
    </row>
    <row r="279" spans="1:17" s="29" customFormat="1">
      <c r="A279" s="41">
        <v>3.2173012650462962E-2</v>
      </c>
      <c r="B279" t="s">
        <v>116</v>
      </c>
      <c r="C279"/>
      <c r="D279"/>
      <c r="E279" t="s">
        <v>58</v>
      </c>
      <c r="F279"/>
      <c r="G279" t="s">
        <v>117</v>
      </c>
      <c r="H279"/>
      <c r="I279" s="158">
        <v>46241.688078703701</v>
      </c>
      <c r="J279" t="s">
        <v>324</v>
      </c>
      <c r="K279" t="s">
        <v>358</v>
      </c>
      <c r="L279" s="157">
        <v>46167</v>
      </c>
      <c r="M279" t="s">
        <v>282</v>
      </c>
      <c r="N279" t="s">
        <v>290</v>
      </c>
      <c r="O279" t="s">
        <v>293</v>
      </c>
      <c r="P279">
        <v>3</v>
      </c>
      <c r="Q279" t="s">
        <v>273</v>
      </c>
    </row>
    <row r="280" spans="1:17" s="29" customFormat="1">
      <c r="A280" s="41">
        <v>3.2141707905092597E-2</v>
      </c>
      <c r="B280" t="s">
        <v>116</v>
      </c>
      <c r="C280"/>
      <c r="D280"/>
      <c r="E280" t="s">
        <v>127</v>
      </c>
      <c r="F280"/>
      <c r="G280" t="s">
        <v>117</v>
      </c>
      <c r="H280"/>
      <c r="I280" s="158">
        <v>46241.688043981485</v>
      </c>
      <c r="J280" t="s">
        <v>324</v>
      </c>
      <c r="K280" t="s">
        <v>358</v>
      </c>
      <c r="L280" s="157">
        <v>46167</v>
      </c>
      <c r="M280" t="s">
        <v>282</v>
      </c>
      <c r="N280" t="s">
        <v>290</v>
      </c>
      <c r="O280" t="s">
        <v>293</v>
      </c>
      <c r="P280">
        <v>3</v>
      </c>
      <c r="Q280" t="s">
        <v>273</v>
      </c>
    </row>
    <row r="281" spans="1:17" s="29" customFormat="1">
      <c r="A281" s="41">
        <v>3.2110966504629627E-2</v>
      </c>
      <c r="B281" t="s">
        <v>116</v>
      </c>
      <c r="C281"/>
      <c r="D281"/>
      <c r="E281" t="s">
        <v>127</v>
      </c>
      <c r="F281"/>
      <c r="G281" t="s">
        <v>117</v>
      </c>
      <c r="H281"/>
      <c r="I281" s="158">
        <v>46241.688009259262</v>
      </c>
      <c r="J281" t="s">
        <v>324</v>
      </c>
      <c r="K281" t="s">
        <v>358</v>
      </c>
      <c r="L281" s="157">
        <v>46167</v>
      </c>
      <c r="M281" t="s">
        <v>282</v>
      </c>
      <c r="N281" t="s">
        <v>290</v>
      </c>
      <c r="O281" t="s">
        <v>293</v>
      </c>
      <c r="P281">
        <v>3</v>
      </c>
      <c r="Q281" t="s">
        <v>273</v>
      </c>
    </row>
    <row r="282" spans="1:17" s="29" customFormat="1">
      <c r="A282" s="41">
        <v>3.2098671759259262E-2</v>
      </c>
      <c r="B282" t="s">
        <v>116</v>
      </c>
      <c r="C282"/>
      <c r="D282"/>
      <c r="E282" t="s">
        <v>127</v>
      </c>
      <c r="F282"/>
      <c r="G282" t="s">
        <v>117</v>
      </c>
      <c r="H282"/>
      <c r="I282" s="158">
        <v>46241.687997685185</v>
      </c>
      <c r="J282" t="s">
        <v>324</v>
      </c>
      <c r="K282" t="s">
        <v>358</v>
      </c>
      <c r="L282" s="157">
        <v>46167</v>
      </c>
      <c r="M282" t="s">
        <v>282</v>
      </c>
      <c r="N282" t="s">
        <v>290</v>
      </c>
      <c r="O282" t="s">
        <v>293</v>
      </c>
      <c r="P282">
        <v>3</v>
      </c>
      <c r="Q282" t="s">
        <v>273</v>
      </c>
    </row>
    <row r="283" spans="1:17" s="29" customFormat="1">
      <c r="A283" s="41">
        <v>3.198797800925926E-2</v>
      </c>
      <c r="B283" t="s">
        <v>116</v>
      </c>
      <c r="C283"/>
      <c r="D283"/>
      <c r="E283" t="s">
        <v>127</v>
      </c>
      <c r="F283"/>
      <c r="G283" t="s">
        <v>117</v>
      </c>
      <c r="H283"/>
      <c r="I283" s="158">
        <v>46241.687881944446</v>
      </c>
      <c r="J283" t="s">
        <v>324</v>
      </c>
      <c r="K283" t="s">
        <v>358</v>
      </c>
      <c r="L283" s="157">
        <v>46167</v>
      </c>
      <c r="M283" t="s">
        <v>282</v>
      </c>
      <c r="N283" t="s">
        <v>290</v>
      </c>
      <c r="O283" t="s">
        <v>293</v>
      </c>
      <c r="P283">
        <v>3</v>
      </c>
      <c r="Q283" t="s">
        <v>273</v>
      </c>
    </row>
    <row r="284" spans="1:17" s="29" customFormat="1">
      <c r="A284" s="41">
        <v>3.1886534155092593E-2</v>
      </c>
      <c r="B284" t="s">
        <v>116</v>
      </c>
      <c r="C284"/>
      <c r="D284"/>
      <c r="E284" t="s">
        <v>127</v>
      </c>
      <c r="F284"/>
      <c r="G284" t="s">
        <v>117</v>
      </c>
      <c r="H284"/>
      <c r="I284" s="158">
        <v>46241.687789351854</v>
      </c>
      <c r="J284" t="s">
        <v>324</v>
      </c>
      <c r="K284" t="s">
        <v>358</v>
      </c>
      <c r="L284" s="157">
        <v>46167</v>
      </c>
      <c r="M284" t="s">
        <v>282</v>
      </c>
      <c r="N284" t="s">
        <v>290</v>
      </c>
      <c r="O284" t="s">
        <v>293</v>
      </c>
      <c r="P284">
        <v>3</v>
      </c>
      <c r="Q284" t="s">
        <v>273</v>
      </c>
    </row>
    <row r="285" spans="1:17" s="29" customFormat="1">
      <c r="A285" s="41">
        <v>3.1852721932870372E-2</v>
      </c>
      <c r="B285" t="s">
        <v>116</v>
      </c>
      <c r="C285"/>
      <c r="D285"/>
      <c r="E285" t="s">
        <v>127</v>
      </c>
      <c r="F285"/>
      <c r="G285" t="s">
        <v>117</v>
      </c>
      <c r="H285"/>
      <c r="I285" s="158">
        <v>46241.687754629631</v>
      </c>
      <c r="J285" t="s">
        <v>324</v>
      </c>
      <c r="K285" t="s">
        <v>358</v>
      </c>
      <c r="L285" s="157">
        <v>46167</v>
      </c>
      <c r="M285" t="s">
        <v>282</v>
      </c>
      <c r="N285" t="s">
        <v>290</v>
      </c>
      <c r="O285" t="s">
        <v>293</v>
      </c>
      <c r="P285">
        <v>3</v>
      </c>
      <c r="Q285" t="s">
        <v>273</v>
      </c>
    </row>
    <row r="286" spans="1:17" s="29" customFormat="1">
      <c r="A286" s="41">
        <v>3.1806602395833335E-2</v>
      </c>
      <c r="B286" t="s">
        <v>116</v>
      </c>
      <c r="C286"/>
      <c r="D286"/>
      <c r="E286" t="s">
        <v>127</v>
      </c>
      <c r="F286"/>
      <c r="G286" t="s">
        <v>117</v>
      </c>
      <c r="H286"/>
      <c r="I286" s="158">
        <v>46241.687708333331</v>
      </c>
      <c r="J286" t="s">
        <v>324</v>
      </c>
      <c r="K286" t="s">
        <v>358</v>
      </c>
      <c r="L286" s="157">
        <v>46167</v>
      </c>
      <c r="M286" t="s">
        <v>282</v>
      </c>
      <c r="N286" t="s">
        <v>290</v>
      </c>
      <c r="O286" t="s">
        <v>293</v>
      </c>
      <c r="P286">
        <v>3</v>
      </c>
      <c r="Q286" t="s">
        <v>273</v>
      </c>
    </row>
    <row r="287" spans="1:17" s="29" customFormat="1">
      <c r="A287" s="41">
        <v>3.1757420185185188E-2</v>
      </c>
      <c r="B287" t="s">
        <v>116</v>
      </c>
      <c r="C287"/>
      <c r="D287"/>
      <c r="E287" t="s">
        <v>332</v>
      </c>
      <c r="F287"/>
      <c r="G287" t="s">
        <v>117</v>
      </c>
      <c r="H287"/>
      <c r="I287" s="158">
        <v>46241.687662037039</v>
      </c>
      <c r="J287" t="s">
        <v>324</v>
      </c>
      <c r="K287" t="s">
        <v>358</v>
      </c>
      <c r="L287" s="157">
        <v>46167</v>
      </c>
      <c r="M287" t="s">
        <v>282</v>
      </c>
      <c r="N287" t="s">
        <v>290</v>
      </c>
      <c r="O287" t="s">
        <v>293</v>
      </c>
      <c r="P287">
        <v>3</v>
      </c>
      <c r="Q287" t="s">
        <v>273</v>
      </c>
    </row>
    <row r="288" spans="1:17" s="29" customFormat="1">
      <c r="A288" s="41">
        <v>3.1708216458333334E-2</v>
      </c>
      <c r="B288" t="s">
        <v>116</v>
      </c>
      <c r="C288"/>
      <c r="D288"/>
      <c r="E288" t="s">
        <v>124</v>
      </c>
      <c r="F288"/>
      <c r="G288" t="s">
        <v>117</v>
      </c>
      <c r="H288"/>
      <c r="I288" s="158">
        <v>46241.687604166669</v>
      </c>
      <c r="J288" t="s">
        <v>324</v>
      </c>
      <c r="K288" t="s">
        <v>358</v>
      </c>
      <c r="L288" s="157">
        <v>46167</v>
      </c>
      <c r="M288" t="s">
        <v>282</v>
      </c>
      <c r="N288" t="s">
        <v>290</v>
      </c>
      <c r="O288" t="s">
        <v>293</v>
      </c>
      <c r="P288">
        <v>3</v>
      </c>
      <c r="Q288" t="s">
        <v>273</v>
      </c>
    </row>
    <row r="289" spans="1:17" s="29" customFormat="1">
      <c r="A289" s="41">
        <v>3.1381608460648143E-2</v>
      </c>
      <c r="B289" t="s">
        <v>116</v>
      </c>
      <c r="C289"/>
      <c r="D289"/>
      <c r="E289" t="s">
        <v>88</v>
      </c>
      <c r="F289"/>
      <c r="G289" t="s">
        <v>117</v>
      </c>
      <c r="H289"/>
      <c r="I289" s="158">
        <v>46241.687395833331</v>
      </c>
      <c r="J289" t="s">
        <v>324</v>
      </c>
      <c r="K289" t="s">
        <v>358</v>
      </c>
      <c r="L289" s="157">
        <v>46167</v>
      </c>
      <c r="M289" t="s">
        <v>282</v>
      </c>
      <c r="N289" t="s">
        <v>290</v>
      </c>
      <c r="O289" t="s">
        <v>293</v>
      </c>
      <c r="P289">
        <v>3</v>
      </c>
      <c r="Q289" t="s">
        <v>273</v>
      </c>
    </row>
    <row r="290" spans="1:17" s="29" customFormat="1">
      <c r="A290" s="41">
        <v>3.1313982488425929E-2</v>
      </c>
      <c r="B290" t="s">
        <v>116</v>
      </c>
      <c r="C290"/>
      <c r="D290"/>
      <c r="E290" t="s">
        <v>328</v>
      </c>
      <c r="F290"/>
      <c r="G290" t="s">
        <v>204</v>
      </c>
      <c r="H290"/>
      <c r="I290" s="158">
        <v>46241.687326388892</v>
      </c>
      <c r="J290" t="s">
        <v>324</v>
      </c>
      <c r="K290" t="s">
        <v>358</v>
      </c>
      <c r="L290" s="157">
        <v>46167</v>
      </c>
      <c r="M290" t="s">
        <v>282</v>
      </c>
      <c r="N290" t="s">
        <v>290</v>
      </c>
      <c r="O290" t="s">
        <v>293</v>
      </c>
      <c r="P290">
        <v>3</v>
      </c>
      <c r="Q290" t="s">
        <v>273</v>
      </c>
    </row>
    <row r="291" spans="1:17" s="29" customFormat="1">
      <c r="A291" s="41">
        <v>3.1226479247685186E-2</v>
      </c>
      <c r="B291" t="s">
        <v>116</v>
      </c>
      <c r="C291"/>
      <c r="D291"/>
      <c r="E291" t="s">
        <v>123</v>
      </c>
      <c r="F291"/>
      <c r="G291" t="s">
        <v>204</v>
      </c>
      <c r="H291"/>
      <c r="I291" s="158">
        <v>46241.6872337963</v>
      </c>
      <c r="J291" t="s">
        <v>324</v>
      </c>
      <c r="K291" t="s">
        <v>358</v>
      </c>
      <c r="L291" s="157">
        <v>46167</v>
      </c>
      <c r="M291" t="s">
        <v>282</v>
      </c>
      <c r="N291" t="s">
        <v>290</v>
      </c>
      <c r="O291" t="s">
        <v>293</v>
      </c>
      <c r="P291">
        <v>3</v>
      </c>
      <c r="Q291" t="s">
        <v>273</v>
      </c>
    </row>
    <row r="292" spans="1:17" s="29" customFormat="1">
      <c r="A292" s="41">
        <v>3.086637199074074E-2</v>
      </c>
      <c r="B292" t="s">
        <v>116</v>
      </c>
      <c r="C292"/>
      <c r="D292"/>
      <c r="E292" t="s">
        <v>88</v>
      </c>
      <c r="F292"/>
      <c r="G292" t="s">
        <v>117</v>
      </c>
      <c r="H292"/>
      <c r="I292" s="158">
        <v>46241.686990740738</v>
      </c>
      <c r="J292" t="s">
        <v>324</v>
      </c>
      <c r="K292" t="s">
        <v>358</v>
      </c>
      <c r="L292" s="157">
        <v>46167</v>
      </c>
      <c r="M292" t="s">
        <v>282</v>
      </c>
      <c r="N292" t="s">
        <v>290</v>
      </c>
      <c r="O292" t="s">
        <v>293</v>
      </c>
      <c r="P292">
        <v>3</v>
      </c>
      <c r="Q292" t="s">
        <v>273</v>
      </c>
    </row>
    <row r="293" spans="1:17" s="29" customFormat="1">
      <c r="A293" s="41">
        <v>3.0777483946759259E-2</v>
      </c>
      <c r="B293" t="s">
        <v>116</v>
      </c>
      <c r="C293"/>
      <c r="D293"/>
      <c r="E293" t="s">
        <v>224</v>
      </c>
      <c r="F293"/>
      <c r="G293" t="s">
        <v>117</v>
      </c>
      <c r="H293"/>
      <c r="I293" s="158">
        <v>46241.686863425923</v>
      </c>
      <c r="J293" t="s">
        <v>324</v>
      </c>
      <c r="K293" t="s">
        <v>358</v>
      </c>
      <c r="L293" s="157">
        <v>46167</v>
      </c>
      <c r="M293" t="s">
        <v>282</v>
      </c>
      <c r="N293" t="s">
        <v>290</v>
      </c>
      <c r="O293" t="s">
        <v>293</v>
      </c>
      <c r="P293">
        <v>3</v>
      </c>
      <c r="Q293" t="s">
        <v>273</v>
      </c>
    </row>
    <row r="294" spans="1:17" s="29" customFormat="1">
      <c r="A294" s="41">
        <v>3.0758201516203707E-2</v>
      </c>
      <c r="B294" t="s">
        <v>116</v>
      </c>
      <c r="C294"/>
      <c r="D294"/>
      <c r="E294" t="s">
        <v>226</v>
      </c>
      <c r="F294"/>
      <c r="G294" t="s">
        <v>117</v>
      </c>
      <c r="H294"/>
      <c r="I294" s="158">
        <v>46241.686828703707</v>
      </c>
      <c r="J294" t="s">
        <v>324</v>
      </c>
      <c r="K294" t="s">
        <v>358</v>
      </c>
      <c r="L294" s="157">
        <v>46167</v>
      </c>
      <c r="M294" t="s">
        <v>282</v>
      </c>
      <c r="N294" t="s">
        <v>290</v>
      </c>
      <c r="O294" t="s">
        <v>293</v>
      </c>
      <c r="P294">
        <v>3</v>
      </c>
      <c r="Q294" t="s">
        <v>273</v>
      </c>
    </row>
    <row r="295" spans="1:17" s="29" customFormat="1">
      <c r="A295" s="41">
        <v>3.070901990740741E-2</v>
      </c>
      <c r="B295" t="s">
        <v>116</v>
      </c>
      <c r="C295"/>
      <c r="D295"/>
      <c r="E295" t="s">
        <v>119</v>
      </c>
      <c r="F295"/>
      <c r="G295" t="s">
        <v>117</v>
      </c>
      <c r="H295"/>
      <c r="I295" s="158">
        <v>46241.686782407407</v>
      </c>
      <c r="J295" t="s">
        <v>324</v>
      </c>
      <c r="K295" t="s">
        <v>358</v>
      </c>
      <c r="L295" s="157">
        <v>46167</v>
      </c>
      <c r="M295" t="s">
        <v>282</v>
      </c>
      <c r="N295" t="s">
        <v>290</v>
      </c>
      <c r="O295" t="s">
        <v>293</v>
      </c>
      <c r="P295">
        <v>3</v>
      </c>
      <c r="Q295" t="s">
        <v>273</v>
      </c>
    </row>
    <row r="296" spans="1:17" s="29" customFormat="1">
      <c r="A296" s="41">
        <v>2.9399367511574074E-2</v>
      </c>
      <c r="B296" t="s">
        <v>116</v>
      </c>
      <c r="C296"/>
      <c r="D296"/>
      <c r="E296" t="s">
        <v>88</v>
      </c>
      <c r="F296"/>
      <c r="G296" t="s">
        <v>117</v>
      </c>
      <c r="H296"/>
      <c r="I296" s="158">
        <v>46241.686377314814</v>
      </c>
      <c r="J296" t="s">
        <v>324</v>
      </c>
      <c r="K296" t="s">
        <v>358</v>
      </c>
      <c r="L296" s="157">
        <v>46167</v>
      </c>
      <c r="M296" t="s">
        <v>282</v>
      </c>
      <c r="N296" t="s">
        <v>290</v>
      </c>
      <c r="O296" t="s">
        <v>293</v>
      </c>
      <c r="P296">
        <v>3</v>
      </c>
      <c r="Q296" t="s">
        <v>273</v>
      </c>
    </row>
    <row r="297" spans="1:17" s="29" customFormat="1">
      <c r="A297" s="41">
        <v>2.9399367511574074E-2</v>
      </c>
      <c r="B297" t="s">
        <v>116</v>
      </c>
      <c r="C297"/>
      <c r="D297"/>
      <c r="E297" t="s">
        <v>122</v>
      </c>
      <c r="F297"/>
      <c r="G297" t="s">
        <v>117</v>
      </c>
      <c r="H297"/>
      <c r="I297" s="158">
        <v>46241.686377314814</v>
      </c>
      <c r="J297" t="s">
        <v>324</v>
      </c>
      <c r="K297" t="s">
        <v>358</v>
      </c>
      <c r="L297" s="157">
        <v>46167</v>
      </c>
      <c r="M297" t="s">
        <v>282</v>
      </c>
      <c r="N297" t="s">
        <v>290</v>
      </c>
      <c r="O297" t="s">
        <v>293</v>
      </c>
      <c r="P297">
        <v>3</v>
      </c>
      <c r="Q297" t="s">
        <v>273</v>
      </c>
    </row>
    <row r="298" spans="1:17" s="29" customFormat="1">
      <c r="A298" s="41">
        <v>2.9270251909722222E-2</v>
      </c>
      <c r="B298" t="s">
        <v>116</v>
      </c>
      <c r="C298" t="s">
        <v>83</v>
      </c>
      <c r="D298"/>
      <c r="E298" t="s">
        <v>130</v>
      </c>
      <c r="F298"/>
      <c r="G298" t="s">
        <v>117</v>
      </c>
      <c r="H298"/>
      <c r="I298" s="158">
        <v>46241.686365740738</v>
      </c>
      <c r="J298" t="s">
        <v>324</v>
      </c>
      <c r="K298" t="s">
        <v>358</v>
      </c>
      <c r="L298" s="157">
        <v>46167</v>
      </c>
      <c r="M298" t="s">
        <v>282</v>
      </c>
      <c r="N298" t="s">
        <v>290</v>
      </c>
      <c r="O298" t="s">
        <v>293</v>
      </c>
      <c r="P298">
        <v>3</v>
      </c>
      <c r="Q298" t="s">
        <v>273</v>
      </c>
    </row>
    <row r="299" spans="1:17" s="29" customFormat="1">
      <c r="A299" s="41">
        <v>2.9230281481481483E-2</v>
      </c>
      <c r="B299" t="s">
        <v>116</v>
      </c>
      <c r="C299"/>
      <c r="D299"/>
      <c r="E299" t="s">
        <v>123</v>
      </c>
      <c r="F299"/>
      <c r="G299" t="s">
        <v>117</v>
      </c>
      <c r="H299"/>
      <c r="I299" s="158">
        <v>46241.686203703706</v>
      </c>
      <c r="J299" t="s">
        <v>324</v>
      </c>
      <c r="K299" t="s">
        <v>358</v>
      </c>
      <c r="L299" s="157">
        <v>46167</v>
      </c>
      <c r="M299" t="s">
        <v>282</v>
      </c>
      <c r="N299" t="s">
        <v>290</v>
      </c>
      <c r="O299" t="s">
        <v>293</v>
      </c>
      <c r="P299">
        <v>3</v>
      </c>
      <c r="Q299" t="s">
        <v>273</v>
      </c>
    </row>
    <row r="300" spans="1:17" s="29" customFormat="1">
      <c r="A300" s="41">
        <v>2.8597359756944444E-2</v>
      </c>
      <c r="B300" t="s">
        <v>116</v>
      </c>
      <c r="C300"/>
      <c r="D300"/>
      <c r="E300" t="s">
        <v>88</v>
      </c>
      <c r="F300"/>
      <c r="G300" t="s">
        <v>117</v>
      </c>
      <c r="H300"/>
      <c r="I300" s="158">
        <v>46241.686192129629</v>
      </c>
      <c r="J300" t="s">
        <v>324</v>
      </c>
      <c r="K300" t="s">
        <v>358</v>
      </c>
      <c r="L300" s="157">
        <v>46167</v>
      </c>
      <c r="M300" t="s">
        <v>282</v>
      </c>
      <c r="N300" t="s">
        <v>290</v>
      </c>
      <c r="O300" t="s">
        <v>293</v>
      </c>
      <c r="P300">
        <v>3</v>
      </c>
      <c r="Q300" t="s">
        <v>273</v>
      </c>
    </row>
    <row r="301" spans="1:17" s="29" customFormat="1">
      <c r="A301" s="41">
        <v>2.8597359756944444E-2</v>
      </c>
      <c r="B301" t="s">
        <v>116</v>
      </c>
      <c r="C301"/>
      <c r="D301"/>
      <c r="E301" t="s">
        <v>253</v>
      </c>
      <c r="F301" t="s">
        <v>83</v>
      </c>
      <c r="G301" t="s">
        <v>117</v>
      </c>
      <c r="H301"/>
      <c r="I301" s="158">
        <v>46241.686192129629</v>
      </c>
      <c r="J301" t="s">
        <v>324</v>
      </c>
      <c r="K301" t="s">
        <v>358</v>
      </c>
      <c r="L301" s="157">
        <v>46167</v>
      </c>
      <c r="M301" t="s">
        <v>282</v>
      </c>
      <c r="N301" t="s">
        <v>290</v>
      </c>
      <c r="O301" t="s">
        <v>293</v>
      </c>
      <c r="P301">
        <v>3</v>
      </c>
      <c r="Q301" t="s">
        <v>273</v>
      </c>
    </row>
    <row r="302" spans="1:17" s="29" customFormat="1">
      <c r="A302" s="41">
        <v>2.8579057534722223E-2</v>
      </c>
      <c r="B302" t="s">
        <v>116</v>
      </c>
      <c r="C302" t="s">
        <v>83</v>
      </c>
      <c r="D302"/>
      <c r="E302" t="s">
        <v>223</v>
      </c>
      <c r="F302"/>
      <c r="G302" t="s">
        <v>117</v>
      </c>
      <c r="H302"/>
      <c r="I302" s="158">
        <v>46241.685891203706</v>
      </c>
      <c r="J302" t="s">
        <v>324</v>
      </c>
      <c r="K302" t="s">
        <v>358</v>
      </c>
      <c r="L302" s="157">
        <v>46167</v>
      </c>
      <c r="M302" t="s">
        <v>282</v>
      </c>
      <c r="N302" t="s">
        <v>290</v>
      </c>
      <c r="O302" t="s">
        <v>293</v>
      </c>
      <c r="P302">
        <v>3</v>
      </c>
      <c r="Q302" t="s">
        <v>273</v>
      </c>
    </row>
    <row r="303" spans="1:17" s="29" customFormat="1">
      <c r="A303" s="41">
        <v>2.8544496550925925E-2</v>
      </c>
      <c r="B303" t="s">
        <v>116</v>
      </c>
      <c r="C303"/>
      <c r="D303"/>
      <c r="E303" t="s">
        <v>127</v>
      </c>
      <c r="F303"/>
      <c r="G303" t="s">
        <v>117</v>
      </c>
      <c r="H303"/>
      <c r="I303" s="158">
        <v>46241.685231481482</v>
      </c>
      <c r="J303" t="s">
        <v>324</v>
      </c>
      <c r="K303" t="s">
        <v>358</v>
      </c>
      <c r="L303" s="157">
        <v>46167</v>
      </c>
      <c r="M303" t="s">
        <v>282</v>
      </c>
      <c r="N303" t="s">
        <v>290</v>
      </c>
      <c r="O303" t="s">
        <v>293</v>
      </c>
      <c r="P303">
        <v>3</v>
      </c>
      <c r="Q303" t="s">
        <v>273</v>
      </c>
    </row>
    <row r="304" spans="1:17" s="29" customFormat="1">
      <c r="A304" s="41">
        <v>2.8445900648148149E-2</v>
      </c>
      <c r="B304" t="s">
        <v>116</v>
      </c>
      <c r="C304"/>
      <c r="D304"/>
      <c r="E304" t="s">
        <v>127</v>
      </c>
      <c r="F304"/>
      <c r="G304" t="s">
        <v>117</v>
      </c>
      <c r="H304"/>
      <c r="I304" s="158">
        <v>46241.685081018521</v>
      </c>
      <c r="J304" t="s">
        <v>324</v>
      </c>
      <c r="K304" t="s">
        <v>358</v>
      </c>
      <c r="L304" s="157">
        <v>46167</v>
      </c>
      <c r="M304" t="s">
        <v>282</v>
      </c>
      <c r="N304" t="s">
        <v>290</v>
      </c>
      <c r="O304" t="s">
        <v>293</v>
      </c>
      <c r="P304">
        <v>3</v>
      </c>
      <c r="Q304" t="s">
        <v>273</v>
      </c>
    </row>
    <row r="305" spans="1:17" s="29" customFormat="1">
      <c r="A305" s="41">
        <v>2.8382237164351853E-2</v>
      </c>
      <c r="B305" t="s">
        <v>116</v>
      </c>
      <c r="C305"/>
      <c r="D305"/>
      <c r="E305" t="s">
        <v>173</v>
      </c>
      <c r="F305"/>
      <c r="G305" t="s">
        <v>117</v>
      </c>
      <c r="H305"/>
      <c r="I305" s="158">
        <v>46241.684861111113</v>
      </c>
      <c r="J305" t="s">
        <v>324</v>
      </c>
      <c r="K305" t="s">
        <v>358</v>
      </c>
      <c r="L305" s="157">
        <v>46167</v>
      </c>
      <c r="M305" t="s">
        <v>282</v>
      </c>
      <c r="N305" t="s">
        <v>290</v>
      </c>
      <c r="O305" t="s">
        <v>293</v>
      </c>
      <c r="P305">
        <v>3</v>
      </c>
      <c r="Q305" t="s">
        <v>273</v>
      </c>
    </row>
    <row r="306" spans="1:17" s="29" customFormat="1">
      <c r="A306" s="41">
        <v>2.8357946481481482E-2</v>
      </c>
      <c r="B306" t="s">
        <v>116</v>
      </c>
      <c r="C306"/>
      <c r="D306"/>
      <c r="E306" t="s">
        <v>120</v>
      </c>
      <c r="F306"/>
      <c r="G306" t="s">
        <v>117</v>
      </c>
      <c r="H306"/>
      <c r="I306" s="158">
        <v>46241.68472222222</v>
      </c>
      <c r="J306" t="s">
        <v>324</v>
      </c>
      <c r="K306" t="s">
        <v>358</v>
      </c>
      <c r="L306" s="157">
        <v>46167</v>
      </c>
      <c r="M306" t="s">
        <v>282</v>
      </c>
      <c r="N306" t="s">
        <v>290</v>
      </c>
      <c r="O306" t="s">
        <v>293</v>
      </c>
      <c r="P306">
        <v>3</v>
      </c>
      <c r="Q306" t="s">
        <v>273</v>
      </c>
    </row>
    <row r="307" spans="1:17" s="29" customFormat="1">
      <c r="A307" s="41">
        <v>2.8130333287037037E-2</v>
      </c>
      <c r="B307" t="s">
        <v>116</v>
      </c>
      <c r="C307"/>
      <c r="D307"/>
      <c r="E307" t="s">
        <v>88</v>
      </c>
      <c r="F307"/>
      <c r="G307" t="s">
        <v>117</v>
      </c>
      <c r="H307"/>
      <c r="I307" s="158">
        <v>46241.684606481482</v>
      </c>
      <c r="J307" t="s">
        <v>324</v>
      </c>
      <c r="K307" t="s">
        <v>358</v>
      </c>
      <c r="L307" s="157">
        <v>46167</v>
      </c>
      <c r="M307" t="s">
        <v>282</v>
      </c>
      <c r="N307" t="s">
        <v>290</v>
      </c>
      <c r="O307" t="s">
        <v>293</v>
      </c>
      <c r="P307">
        <v>3</v>
      </c>
      <c r="Q307" t="s">
        <v>273</v>
      </c>
    </row>
    <row r="308" spans="1:17" s="29" customFormat="1">
      <c r="A308" s="41">
        <v>2.8130333287037037E-2</v>
      </c>
      <c r="B308" t="s">
        <v>116</v>
      </c>
      <c r="C308"/>
      <c r="D308"/>
      <c r="E308" t="s">
        <v>253</v>
      </c>
      <c r="F308" t="s">
        <v>248</v>
      </c>
      <c r="G308" t="s">
        <v>117</v>
      </c>
      <c r="H308"/>
      <c r="I308" s="158">
        <v>46241.684606481482</v>
      </c>
      <c r="J308" t="s">
        <v>324</v>
      </c>
      <c r="K308" t="s">
        <v>358</v>
      </c>
      <c r="L308" s="157">
        <v>46167</v>
      </c>
      <c r="M308" t="s">
        <v>282</v>
      </c>
      <c r="N308" t="s">
        <v>290</v>
      </c>
      <c r="O308" t="s">
        <v>293</v>
      </c>
      <c r="P308">
        <v>3</v>
      </c>
      <c r="Q308" t="s">
        <v>273</v>
      </c>
    </row>
    <row r="309" spans="1:17" s="29" customFormat="1">
      <c r="A309" s="41">
        <v>2.8025868761574077E-2</v>
      </c>
      <c r="B309" t="s">
        <v>116</v>
      </c>
      <c r="C309"/>
      <c r="D309"/>
      <c r="E309" t="s">
        <v>127</v>
      </c>
      <c r="F309"/>
      <c r="G309" t="s">
        <v>117</v>
      </c>
      <c r="H309"/>
      <c r="I309" s="158">
        <v>46241.684270833335</v>
      </c>
      <c r="J309" t="s">
        <v>324</v>
      </c>
      <c r="K309" t="s">
        <v>358</v>
      </c>
      <c r="L309" s="157">
        <v>46167</v>
      </c>
      <c r="M309" t="s">
        <v>282</v>
      </c>
      <c r="N309" t="s">
        <v>290</v>
      </c>
      <c r="O309" t="s">
        <v>293</v>
      </c>
      <c r="P309">
        <v>3</v>
      </c>
      <c r="Q309" t="s">
        <v>273</v>
      </c>
    </row>
    <row r="310" spans="1:17" s="29" customFormat="1">
      <c r="A310" s="41">
        <v>2.8007427731481477E-2</v>
      </c>
      <c r="B310" t="s">
        <v>116</v>
      </c>
      <c r="C310"/>
      <c r="D310"/>
      <c r="E310" t="s">
        <v>59</v>
      </c>
      <c r="F310"/>
      <c r="G310" t="s">
        <v>117</v>
      </c>
      <c r="H310"/>
      <c r="I310" s="158">
        <v>46241.684247685182</v>
      </c>
      <c r="J310" t="s">
        <v>324</v>
      </c>
      <c r="K310" t="s">
        <v>358</v>
      </c>
      <c r="L310" s="157">
        <v>46167</v>
      </c>
      <c r="M310" t="s">
        <v>282</v>
      </c>
      <c r="N310" t="s">
        <v>290</v>
      </c>
      <c r="O310" t="s">
        <v>293</v>
      </c>
      <c r="P310">
        <v>3</v>
      </c>
      <c r="Q310" t="s">
        <v>273</v>
      </c>
    </row>
    <row r="311" spans="1:17" s="29" customFormat="1">
      <c r="A311" s="41">
        <v>2.7982450497685187E-2</v>
      </c>
      <c r="B311" t="s">
        <v>116</v>
      </c>
      <c r="C311"/>
      <c r="D311"/>
      <c r="E311" t="s">
        <v>120</v>
      </c>
      <c r="F311"/>
      <c r="G311" t="s">
        <v>117</v>
      </c>
      <c r="H311"/>
      <c r="I311" s="158">
        <v>46241.684120370373</v>
      </c>
      <c r="J311" t="s">
        <v>324</v>
      </c>
      <c r="K311" t="s">
        <v>358</v>
      </c>
      <c r="L311" s="157">
        <v>46167</v>
      </c>
      <c r="M311" t="s">
        <v>282</v>
      </c>
      <c r="N311" t="s">
        <v>290</v>
      </c>
      <c r="O311" t="s">
        <v>293</v>
      </c>
      <c r="P311">
        <v>3</v>
      </c>
      <c r="Q311" t="s">
        <v>273</v>
      </c>
    </row>
    <row r="312" spans="1:17" s="29" customFormat="1">
      <c r="A312" s="41">
        <v>2.7475890729166667E-2</v>
      </c>
      <c r="B312" t="s">
        <v>116</v>
      </c>
      <c r="C312"/>
      <c r="D312"/>
      <c r="E312" t="s">
        <v>88</v>
      </c>
      <c r="F312"/>
      <c r="G312" t="s">
        <v>117</v>
      </c>
      <c r="H312"/>
      <c r="I312" s="158">
        <v>46241.683703703704</v>
      </c>
      <c r="J312" t="s">
        <v>324</v>
      </c>
      <c r="K312" t="s">
        <v>358</v>
      </c>
      <c r="L312" s="157">
        <v>46167</v>
      </c>
      <c r="M312" t="s">
        <v>282</v>
      </c>
      <c r="N312" t="s">
        <v>290</v>
      </c>
      <c r="O312" t="s">
        <v>293</v>
      </c>
      <c r="P312">
        <v>3</v>
      </c>
      <c r="Q312" t="s">
        <v>273</v>
      </c>
    </row>
    <row r="313" spans="1:17" s="29" customFormat="1">
      <c r="A313" s="41">
        <v>2.7475890729166667E-2</v>
      </c>
      <c r="B313" t="s">
        <v>116</v>
      </c>
      <c r="C313"/>
      <c r="D313"/>
      <c r="E313" t="s">
        <v>253</v>
      </c>
      <c r="F313" t="s">
        <v>247</v>
      </c>
      <c r="G313" t="s">
        <v>117</v>
      </c>
      <c r="H313"/>
      <c r="I313" s="158">
        <v>46241.683703703704</v>
      </c>
      <c r="J313" t="s">
        <v>324</v>
      </c>
      <c r="K313" t="s">
        <v>358</v>
      </c>
      <c r="L313" s="157">
        <v>46167</v>
      </c>
      <c r="M313" t="s">
        <v>282</v>
      </c>
      <c r="N313" t="s">
        <v>290</v>
      </c>
      <c r="O313" t="s">
        <v>293</v>
      </c>
      <c r="P313">
        <v>3</v>
      </c>
      <c r="Q313" t="s">
        <v>273</v>
      </c>
    </row>
    <row r="314" spans="1:17" s="29" customFormat="1">
      <c r="A314" s="41">
        <v>2.7413576493055557E-2</v>
      </c>
      <c r="B314" t="s">
        <v>116</v>
      </c>
      <c r="C314"/>
      <c r="D314"/>
      <c r="E314" t="s">
        <v>127</v>
      </c>
      <c r="F314"/>
      <c r="G314" t="s">
        <v>117</v>
      </c>
      <c r="H314"/>
      <c r="I314" s="158">
        <v>46241.683587962965</v>
      </c>
      <c r="J314" t="s">
        <v>324</v>
      </c>
      <c r="K314" t="s">
        <v>358</v>
      </c>
      <c r="L314" s="157">
        <v>46167</v>
      </c>
      <c r="M314" t="s">
        <v>282</v>
      </c>
      <c r="N314" t="s">
        <v>290</v>
      </c>
      <c r="O314" t="s">
        <v>293</v>
      </c>
      <c r="P314">
        <v>3</v>
      </c>
      <c r="Q314" t="s">
        <v>273</v>
      </c>
    </row>
    <row r="315" spans="1:17" s="29" customFormat="1">
      <c r="A315" s="41">
        <v>2.7253717245370367E-2</v>
      </c>
      <c r="B315" t="s">
        <v>116</v>
      </c>
      <c r="C315" t="s">
        <v>83</v>
      </c>
      <c r="D315"/>
      <c r="E315" t="s">
        <v>130</v>
      </c>
      <c r="F315"/>
      <c r="G315" t="s">
        <v>117</v>
      </c>
      <c r="H315"/>
      <c r="I315" s="158">
        <v>46241.683576388888</v>
      </c>
      <c r="J315" t="s">
        <v>324</v>
      </c>
      <c r="K315" t="s">
        <v>358</v>
      </c>
      <c r="L315" s="157">
        <v>46167</v>
      </c>
      <c r="M315" t="s">
        <v>282</v>
      </c>
      <c r="N315" t="s">
        <v>290</v>
      </c>
      <c r="O315" t="s">
        <v>293</v>
      </c>
      <c r="P315">
        <v>3</v>
      </c>
      <c r="Q315" t="s">
        <v>273</v>
      </c>
    </row>
    <row r="316" spans="1:17" s="29" customFormat="1">
      <c r="A316" s="41">
        <v>2.7186083067129631E-2</v>
      </c>
      <c r="B316" t="s">
        <v>116</v>
      </c>
      <c r="C316"/>
      <c r="D316"/>
      <c r="E316" t="s">
        <v>123</v>
      </c>
      <c r="F316"/>
      <c r="G316" t="s">
        <v>117</v>
      </c>
      <c r="H316"/>
      <c r="I316" s="158">
        <v>46241.683356481481</v>
      </c>
      <c r="J316" t="s">
        <v>324</v>
      </c>
      <c r="K316" t="s">
        <v>358</v>
      </c>
      <c r="L316" s="157">
        <v>46167</v>
      </c>
      <c r="M316" t="s">
        <v>282</v>
      </c>
      <c r="N316" t="s">
        <v>290</v>
      </c>
      <c r="O316" t="s">
        <v>293</v>
      </c>
      <c r="P316">
        <v>3</v>
      </c>
      <c r="Q316" t="s">
        <v>273</v>
      </c>
    </row>
    <row r="317" spans="1:17" s="29" customFormat="1">
      <c r="A317" s="41">
        <v>2.6617808680555556E-2</v>
      </c>
      <c r="B317" t="s">
        <v>116</v>
      </c>
      <c r="C317"/>
      <c r="D317"/>
      <c r="E317" t="s">
        <v>88</v>
      </c>
      <c r="F317"/>
      <c r="G317" t="s">
        <v>117</v>
      </c>
      <c r="H317"/>
      <c r="I317" s="158">
        <v>46241.683206018519</v>
      </c>
      <c r="J317" t="s">
        <v>324</v>
      </c>
      <c r="K317" t="s">
        <v>358</v>
      </c>
      <c r="L317" s="157">
        <v>46167</v>
      </c>
      <c r="M317" t="s">
        <v>282</v>
      </c>
      <c r="N317" t="s">
        <v>290</v>
      </c>
      <c r="O317" t="s">
        <v>293</v>
      </c>
      <c r="P317">
        <v>3</v>
      </c>
      <c r="Q317" t="s">
        <v>273</v>
      </c>
    </row>
    <row r="318" spans="1:17" s="29" customFormat="1">
      <c r="A318" s="41">
        <v>2.6617808680555556E-2</v>
      </c>
      <c r="B318" t="s">
        <v>116</v>
      </c>
      <c r="C318"/>
      <c r="D318"/>
      <c r="E318" t="s">
        <v>253</v>
      </c>
      <c r="F318" t="s">
        <v>247</v>
      </c>
      <c r="G318" t="s">
        <v>117</v>
      </c>
      <c r="H318"/>
      <c r="I318" s="158">
        <v>46241.683206018519</v>
      </c>
      <c r="J318" t="s">
        <v>324</v>
      </c>
      <c r="K318" t="s">
        <v>358</v>
      </c>
      <c r="L318" s="157">
        <v>46167</v>
      </c>
      <c r="M318" t="s">
        <v>282</v>
      </c>
      <c r="N318" t="s">
        <v>290</v>
      </c>
      <c r="O318" t="s">
        <v>293</v>
      </c>
      <c r="P318">
        <v>3</v>
      </c>
      <c r="Q318" t="s">
        <v>273</v>
      </c>
    </row>
    <row r="319" spans="1:17" s="29" customFormat="1">
      <c r="A319" s="41">
        <v>2.6559232615740738E-2</v>
      </c>
      <c r="B319" t="s">
        <v>116</v>
      </c>
      <c r="C319"/>
      <c r="D319"/>
      <c r="E319" t="s">
        <v>127</v>
      </c>
      <c r="F319"/>
      <c r="G319" t="s">
        <v>117</v>
      </c>
      <c r="H319"/>
      <c r="I319" s="158">
        <v>46241.683020833334</v>
      </c>
      <c r="J319" t="s">
        <v>324</v>
      </c>
      <c r="K319" t="s">
        <v>358</v>
      </c>
      <c r="L319" s="157">
        <v>46167</v>
      </c>
      <c r="M319" t="s">
        <v>282</v>
      </c>
      <c r="N319" t="s">
        <v>290</v>
      </c>
      <c r="O319" t="s">
        <v>293</v>
      </c>
      <c r="P319">
        <v>3</v>
      </c>
      <c r="Q319" t="s">
        <v>273</v>
      </c>
    </row>
    <row r="320" spans="1:17" s="29" customFormat="1">
      <c r="A320" s="41">
        <v>2.6460482384259257E-2</v>
      </c>
      <c r="B320" t="s">
        <v>116</v>
      </c>
      <c r="C320"/>
      <c r="D320"/>
      <c r="E320" t="s">
        <v>127</v>
      </c>
      <c r="F320"/>
      <c r="G320" t="s">
        <v>117</v>
      </c>
      <c r="H320"/>
      <c r="I320" s="158">
        <v>46241.682928240742</v>
      </c>
      <c r="J320" t="s">
        <v>324</v>
      </c>
      <c r="K320" t="s">
        <v>358</v>
      </c>
      <c r="L320" s="157">
        <v>46167</v>
      </c>
      <c r="M320" t="s">
        <v>282</v>
      </c>
      <c r="N320" t="s">
        <v>290</v>
      </c>
      <c r="O320" t="s">
        <v>293</v>
      </c>
      <c r="P320">
        <v>3</v>
      </c>
      <c r="Q320" t="s">
        <v>273</v>
      </c>
    </row>
    <row r="321" spans="1:17" s="29" customFormat="1">
      <c r="A321" s="41">
        <v>2.6395927962962966E-2</v>
      </c>
      <c r="B321" t="s">
        <v>116</v>
      </c>
      <c r="C321"/>
      <c r="D321"/>
      <c r="E321" t="s">
        <v>127</v>
      </c>
      <c r="F321"/>
      <c r="G321" t="s">
        <v>117</v>
      </c>
      <c r="H321"/>
      <c r="I321" s="158">
        <v>46241.682858796295</v>
      </c>
      <c r="J321" t="s">
        <v>324</v>
      </c>
      <c r="K321" t="s">
        <v>358</v>
      </c>
      <c r="L321" s="157">
        <v>46167</v>
      </c>
      <c r="M321" t="s">
        <v>282</v>
      </c>
      <c r="N321" t="s">
        <v>290</v>
      </c>
      <c r="O321" t="s">
        <v>293</v>
      </c>
      <c r="P321">
        <v>3</v>
      </c>
      <c r="Q321" t="s">
        <v>273</v>
      </c>
    </row>
    <row r="322" spans="1:17" s="29" customFormat="1">
      <c r="A322" s="41">
        <v>2.6359025914351852E-2</v>
      </c>
      <c r="B322" t="s">
        <v>116</v>
      </c>
      <c r="C322"/>
      <c r="D322"/>
      <c r="E322" t="s">
        <v>59</v>
      </c>
      <c r="F322"/>
      <c r="G322" t="s">
        <v>117</v>
      </c>
      <c r="H322"/>
      <c r="I322" s="158">
        <v>46241.682685185187</v>
      </c>
      <c r="J322" t="s">
        <v>324</v>
      </c>
      <c r="K322" t="s">
        <v>358</v>
      </c>
      <c r="L322" s="157">
        <v>46167</v>
      </c>
      <c r="M322" t="s">
        <v>282</v>
      </c>
      <c r="N322" t="s">
        <v>290</v>
      </c>
      <c r="O322" t="s">
        <v>293</v>
      </c>
      <c r="P322">
        <v>3</v>
      </c>
      <c r="Q322" t="s">
        <v>273</v>
      </c>
    </row>
    <row r="323" spans="1:17" s="29" customFormat="1">
      <c r="A323" s="41">
        <v>2.6312898587962961E-2</v>
      </c>
      <c r="B323" t="s">
        <v>116</v>
      </c>
      <c r="C323"/>
      <c r="D323"/>
      <c r="E323" t="s">
        <v>127</v>
      </c>
      <c r="F323"/>
      <c r="G323" t="s">
        <v>117</v>
      </c>
      <c r="H323"/>
      <c r="I323" s="158">
        <v>46241.682638888888</v>
      </c>
      <c r="J323" t="s">
        <v>324</v>
      </c>
      <c r="K323" t="s">
        <v>358</v>
      </c>
      <c r="L323" s="157">
        <v>46167</v>
      </c>
      <c r="M323" t="s">
        <v>282</v>
      </c>
      <c r="N323" t="s">
        <v>290</v>
      </c>
      <c r="O323" t="s">
        <v>293</v>
      </c>
      <c r="P323">
        <v>3</v>
      </c>
      <c r="Q323" t="s">
        <v>273</v>
      </c>
    </row>
    <row r="324" spans="1:17" s="29" customFormat="1">
      <c r="A324" s="41">
        <v>2.6236041076388886E-2</v>
      </c>
      <c r="B324" t="s">
        <v>116</v>
      </c>
      <c r="C324"/>
      <c r="D324"/>
      <c r="E324" t="s">
        <v>127</v>
      </c>
      <c r="F324"/>
      <c r="G324" t="s">
        <v>117</v>
      </c>
      <c r="H324"/>
      <c r="I324" s="158">
        <v>46241.682569444441</v>
      </c>
      <c r="J324" t="s">
        <v>324</v>
      </c>
      <c r="K324" t="s">
        <v>358</v>
      </c>
      <c r="L324" s="157">
        <v>46167</v>
      </c>
      <c r="M324" t="s">
        <v>282</v>
      </c>
      <c r="N324" t="s">
        <v>290</v>
      </c>
      <c r="O324" t="s">
        <v>293</v>
      </c>
      <c r="P324">
        <v>3</v>
      </c>
      <c r="Q324" t="s">
        <v>273</v>
      </c>
    </row>
    <row r="325" spans="1:17" s="29" customFormat="1">
      <c r="A325" s="41">
        <v>2.6217598263888892E-2</v>
      </c>
      <c r="B325" t="s">
        <v>116</v>
      </c>
      <c r="C325"/>
      <c r="D325"/>
      <c r="E325" t="s">
        <v>127</v>
      </c>
      <c r="F325"/>
      <c r="G325" t="s">
        <v>117</v>
      </c>
      <c r="H325"/>
      <c r="I325" s="158">
        <v>46241.682546296295</v>
      </c>
      <c r="J325" t="s">
        <v>324</v>
      </c>
      <c r="K325" t="s">
        <v>358</v>
      </c>
      <c r="L325" s="157">
        <v>46167</v>
      </c>
      <c r="M325" t="s">
        <v>282</v>
      </c>
      <c r="N325" t="s">
        <v>290</v>
      </c>
      <c r="O325" t="s">
        <v>293</v>
      </c>
      <c r="P325">
        <v>3</v>
      </c>
      <c r="Q325" t="s">
        <v>273</v>
      </c>
    </row>
    <row r="326" spans="1:17" s="29" customFormat="1">
      <c r="A326" s="41">
        <v>2.6205295046296293E-2</v>
      </c>
      <c r="B326" t="s">
        <v>116</v>
      </c>
      <c r="C326"/>
      <c r="D326"/>
      <c r="E326" t="s">
        <v>127</v>
      </c>
      <c r="F326"/>
      <c r="G326" t="s">
        <v>117</v>
      </c>
      <c r="H326"/>
      <c r="I326" s="158">
        <v>46241.682534722226</v>
      </c>
      <c r="J326" t="s">
        <v>324</v>
      </c>
      <c r="K326" t="s">
        <v>358</v>
      </c>
      <c r="L326" s="157">
        <v>46167</v>
      </c>
      <c r="M326" t="s">
        <v>282</v>
      </c>
      <c r="N326" t="s">
        <v>290</v>
      </c>
      <c r="O326" t="s">
        <v>293</v>
      </c>
      <c r="P326">
        <v>3</v>
      </c>
      <c r="Q326" t="s">
        <v>273</v>
      </c>
    </row>
    <row r="327" spans="1:17" s="29" customFormat="1">
      <c r="A327" s="41">
        <v>2.6174555833333335E-2</v>
      </c>
      <c r="B327" t="s">
        <v>116</v>
      </c>
      <c r="C327"/>
      <c r="D327"/>
      <c r="E327" t="s">
        <v>127</v>
      </c>
      <c r="F327"/>
      <c r="G327" t="s">
        <v>117</v>
      </c>
      <c r="H327"/>
      <c r="I327" s="158">
        <v>46241.682500000003</v>
      </c>
      <c r="J327" t="s">
        <v>324</v>
      </c>
      <c r="K327" t="s">
        <v>358</v>
      </c>
      <c r="L327" s="157">
        <v>46167</v>
      </c>
      <c r="M327" t="s">
        <v>282</v>
      </c>
      <c r="N327" t="s">
        <v>290</v>
      </c>
      <c r="O327" t="s">
        <v>293</v>
      </c>
      <c r="P327">
        <v>3</v>
      </c>
      <c r="Q327" t="s">
        <v>273</v>
      </c>
    </row>
    <row r="328" spans="1:17" s="29" customFormat="1">
      <c r="A328" s="41">
        <v>2.6128444293981479E-2</v>
      </c>
      <c r="B328" t="s">
        <v>116</v>
      </c>
      <c r="C328"/>
      <c r="D328"/>
      <c r="E328" t="s">
        <v>226</v>
      </c>
      <c r="F328"/>
      <c r="G328" t="s">
        <v>117</v>
      </c>
      <c r="H328"/>
      <c r="I328" s="158">
        <v>46241.682453703703</v>
      </c>
      <c r="J328" t="s">
        <v>324</v>
      </c>
      <c r="K328" t="s">
        <v>358</v>
      </c>
      <c r="L328" s="157">
        <v>46167</v>
      </c>
      <c r="M328" t="s">
        <v>282</v>
      </c>
      <c r="N328" t="s">
        <v>290</v>
      </c>
      <c r="O328" t="s">
        <v>293</v>
      </c>
      <c r="P328">
        <v>3</v>
      </c>
      <c r="Q328" t="s">
        <v>273</v>
      </c>
    </row>
    <row r="329" spans="1:17" s="29" customFormat="1">
      <c r="A329" s="41">
        <v>2.6097699814814815E-2</v>
      </c>
      <c r="B329" t="s">
        <v>116</v>
      </c>
      <c r="C329"/>
      <c r="D329"/>
      <c r="E329" t="s">
        <v>224</v>
      </c>
      <c r="F329"/>
      <c r="G329" t="s">
        <v>204</v>
      </c>
      <c r="H329"/>
      <c r="I329" s="158">
        <v>46241.682430555556</v>
      </c>
      <c r="J329" t="s">
        <v>324</v>
      </c>
      <c r="K329" t="s">
        <v>358</v>
      </c>
      <c r="L329" s="157">
        <v>46167</v>
      </c>
      <c r="M329" t="s">
        <v>282</v>
      </c>
      <c r="N329" t="s">
        <v>290</v>
      </c>
      <c r="O329" t="s">
        <v>293</v>
      </c>
      <c r="P329">
        <v>3</v>
      </c>
      <c r="Q329" t="s">
        <v>273</v>
      </c>
    </row>
    <row r="330" spans="1:17" s="29" customFormat="1">
      <c r="A330" s="41">
        <v>2.6079738020833333E-2</v>
      </c>
      <c r="B330" t="s">
        <v>116</v>
      </c>
      <c r="C330"/>
      <c r="D330"/>
      <c r="E330" t="s">
        <v>120</v>
      </c>
      <c r="F330"/>
      <c r="G330" t="s">
        <v>204</v>
      </c>
      <c r="H330"/>
      <c r="I330" s="158">
        <v>46241.682349537034</v>
      </c>
      <c r="J330" t="s">
        <v>324</v>
      </c>
      <c r="K330" t="s">
        <v>358</v>
      </c>
      <c r="L330" s="157">
        <v>46167</v>
      </c>
      <c r="M330" t="s">
        <v>282</v>
      </c>
      <c r="N330" t="s">
        <v>290</v>
      </c>
      <c r="O330" t="s">
        <v>293</v>
      </c>
      <c r="P330">
        <v>3</v>
      </c>
      <c r="Q330" t="s">
        <v>273</v>
      </c>
    </row>
    <row r="331" spans="1:17" s="29" customFormat="1">
      <c r="A331" s="41">
        <v>2.578030878472222E-2</v>
      </c>
      <c r="B331" t="s">
        <v>116</v>
      </c>
      <c r="C331"/>
      <c r="D331"/>
      <c r="E331" t="s">
        <v>88</v>
      </c>
      <c r="F331"/>
      <c r="G331" t="s">
        <v>117</v>
      </c>
      <c r="H331"/>
      <c r="I331" s="158">
        <v>46241.681909722225</v>
      </c>
      <c r="J331" t="s">
        <v>324</v>
      </c>
      <c r="K331" t="s">
        <v>358</v>
      </c>
      <c r="L331" s="157">
        <v>46167</v>
      </c>
      <c r="M331" t="s">
        <v>282</v>
      </c>
      <c r="N331" t="s">
        <v>290</v>
      </c>
      <c r="O331" t="s">
        <v>293</v>
      </c>
      <c r="P331">
        <v>3</v>
      </c>
      <c r="Q331" t="s">
        <v>273</v>
      </c>
    </row>
    <row r="332" spans="1:17" s="29" customFormat="1">
      <c r="A332" s="41">
        <v>2.578030878472222E-2</v>
      </c>
      <c r="B332" t="s">
        <v>116</v>
      </c>
      <c r="C332"/>
      <c r="D332"/>
      <c r="E332" t="s">
        <v>253</v>
      </c>
      <c r="F332" t="s">
        <v>175</v>
      </c>
      <c r="G332" t="s">
        <v>117</v>
      </c>
      <c r="H332"/>
      <c r="I332" s="158">
        <v>46241.681909722225</v>
      </c>
      <c r="J332" t="s">
        <v>324</v>
      </c>
      <c r="K332" t="s">
        <v>358</v>
      </c>
      <c r="L332" s="157">
        <v>46167</v>
      </c>
      <c r="M332" t="s">
        <v>282</v>
      </c>
      <c r="N332" t="s">
        <v>290</v>
      </c>
      <c r="O332" t="s">
        <v>293</v>
      </c>
      <c r="P332">
        <v>3</v>
      </c>
      <c r="Q332" t="s">
        <v>273</v>
      </c>
    </row>
    <row r="333" spans="1:17" s="29" customFormat="1">
      <c r="A333" s="41">
        <v>2.57458421875E-2</v>
      </c>
      <c r="B333" t="s">
        <v>116</v>
      </c>
      <c r="C333"/>
      <c r="D333"/>
      <c r="E333" t="s">
        <v>127</v>
      </c>
      <c r="F333"/>
      <c r="G333" t="s">
        <v>117</v>
      </c>
      <c r="H333"/>
      <c r="I333" s="158">
        <v>46241.681712962964</v>
      </c>
      <c r="J333" t="s">
        <v>324</v>
      </c>
      <c r="K333" t="s">
        <v>358</v>
      </c>
      <c r="L333" s="157">
        <v>46167</v>
      </c>
      <c r="M333" t="s">
        <v>282</v>
      </c>
      <c r="N333" t="s">
        <v>290</v>
      </c>
      <c r="O333" t="s">
        <v>293</v>
      </c>
      <c r="P333">
        <v>3</v>
      </c>
      <c r="Q333" t="s">
        <v>273</v>
      </c>
    </row>
    <row r="334" spans="1:17" s="29" customFormat="1">
      <c r="A334" s="41">
        <v>2.5730027476851849E-2</v>
      </c>
      <c r="B334" t="s">
        <v>116</v>
      </c>
      <c r="C334"/>
      <c r="D334"/>
      <c r="E334" t="s">
        <v>59</v>
      </c>
      <c r="F334"/>
      <c r="G334" t="s">
        <v>117</v>
      </c>
      <c r="H334"/>
      <c r="I334" s="158">
        <v>46241.681539351855</v>
      </c>
      <c r="J334" t="s">
        <v>324</v>
      </c>
      <c r="K334" t="s">
        <v>358</v>
      </c>
      <c r="L334" s="157">
        <v>46167</v>
      </c>
      <c r="M334" t="s">
        <v>282</v>
      </c>
      <c r="N334" t="s">
        <v>290</v>
      </c>
      <c r="O334" t="s">
        <v>293</v>
      </c>
      <c r="P334">
        <v>3</v>
      </c>
      <c r="Q334" t="s">
        <v>273</v>
      </c>
    </row>
    <row r="335" spans="1:17" s="29" customFormat="1">
      <c r="A335" s="41">
        <v>2.5650090937499998E-2</v>
      </c>
      <c r="B335" t="s">
        <v>116</v>
      </c>
      <c r="C335"/>
      <c r="D335"/>
      <c r="E335" t="s">
        <v>226</v>
      </c>
      <c r="F335"/>
      <c r="G335" t="s">
        <v>117</v>
      </c>
      <c r="H335"/>
      <c r="I335" s="158">
        <v>46241.681458333333</v>
      </c>
      <c r="J335" t="s">
        <v>324</v>
      </c>
      <c r="K335" t="s">
        <v>358</v>
      </c>
      <c r="L335" s="157">
        <v>46167</v>
      </c>
      <c r="M335" t="s">
        <v>282</v>
      </c>
      <c r="N335" t="s">
        <v>290</v>
      </c>
      <c r="O335" t="s">
        <v>293</v>
      </c>
      <c r="P335">
        <v>3</v>
      </c>
      <c r="Q335" t="s">
        <v>273</v>
      </c>
    </row>
    <row r="336" spans="1:17" s="29" customFormat="1">
      <c r="A336" s="41">
        <v>2.5610124768518518E-2</v>
      </c>
      <c r="B336" t="s">
        <v>116</v>
      </c>
      <c r="C336"/>
      <c r="D336"/>
      <c r="E336" t="s">
        <v>224</v>
      </c>
      <c r="F336"/>
      <c r="G336" t="s">
        <v>204</v>
      </c>
      <c r="H336"/>
      <c r="I336" s="158">
        <v>46241.68141203704</v>
      </c>
      <c r="J336" t="s">
        <v>324</v>
      </c>
      <c r="K336" t="s">
        <v>358</v>
      </c>
      <c r="L336" s="157">
        <v>46167</v>
      </c>
      <c r="M336" t="s">
        <v>282</v>
      </c>
      <c r="N336" t="s">
        <v>290</v>
      </c>
      <c r="O336" t="s">
        <v>293</v>
      </c>
      <c r="P336">
        <v>3</v>
      </c>
      <c r="Q336" t="s">
        <v>273</v>
      </c>
    </row>
    <row r="337" spans="1:17" s="29" customFormat="1">
      <c r="A337" s="41">
        <v>2.5456519618055555E-2</v>
      </c>
      <c r="B337" t="s">
        <v>116</v>
      </c>
      <c r="C337" t="s">
        <v>395</v>
      </c>
      <c r="D337"/>
      <c r="E337" t="s">
        <v>127</v>
      </c>
      <c r="F337"/>
      <c r="G337" t="s">
        <v>204</v>
      </c>
      <c r="H337"/>
      <c r="I337" s="158">
        <v>46241.681226851855</v>
      </c>
      <c r="J337" t="s">
        <v>324</v>
      </c>
      <c r="K337" t="s">
        <v>358</v>
      </c>
      <c r="L337" s="157">
        <v>46167</v>
      </c>
      <c r="M337" t="s">
        <v>282</v>
      </c>
      <c r="N337" t="s">
        <v>290</v>
      </c>
      <c r="O337" t="s">
        <v>293</v>
      </c>
      <c r="P337">
        <v>3</v>
      </c>
      <c r="Q337" t="s">
        <v>273</v>
      </c>
    </row>
    <row r="338" spans="1:17" s="29" customFormat="1">
      <c r="A338" s="41">
        <v>2.5336742071759257E-2</v>
      </c>
      <c r="B338" t="s">
        <v>116</v>
      </c>
      <c r="C338"/>
      <c r="D338"/>
      <c r="E338" t="s">
        <v>228</v>
      </c>
      <c r="F338"/>
      <c r="G338" t="s">
        <v>204</v>
      </c>
      <c r="H338"/>
      <c r="I338" s="158">
        <v>46241.6797337963</v>
      </c>
      <c r="J338" t="s">
        <v>324</v>
      </c>
      <c r="K338" t="s">
        <v>358</v>
      </c>
      <c r="L338" s="157">
        <v>46167</v>
      </c>
      <c r="M338" t="s">
        <v>282</v>
      </c>
      <c r="N338" t="s">
        <v>290</v>
      </c>
      <c r="O338" t="s">
        <v>293</v>
      </c>
      <c r="P338">
        <v>3</v>
      </c>
      <c r="Q338" t="s">
        <v>273</v>
      </c>
    </row>
    <row r="339" spans="1:17" s="29" customFormat="1">
      <c r="A339" s="41">
        <v>2.5267321053240741E-2</v>
      </c>
      <c r="B339" t="s">
        <v>116</v>
      </c>
      <c r="C339"/>
      <c r="D339"/>
      <c r="E339" t="s">
        <v>119</v>
      </c>
      <c r="F339"/>
      <c r="G339" t="s">
        <v>204</v>
      </c>
      <c r="H339"/>
      <c r="I339" s="158">
        <v>46241.679664351854</v>
      </c>
      <c r="J339" t="s">
        <v>324</v>
      </c>
      <c r="K339" t="s">
        <v>358</v>
      </c>
      <c r="L339" s="157">
        <v>46167</v>
      </c>
      <c r="M339" t="s">
        <v>282</v>
      </c>
      <c r="N339" t="s">
        <v>290</v>
      </c>
      <c r="O339" t="s">
        <v>293</v>
      </c>
      <c r="P339">
        <v>3</v>
      </c>
      <c r="Q339" t="s">
        <v>273</v>
      </c>
    </row>
    <row r="340" spans="1:17" s="29" customFormat="1">
      <c r="A340" s="41">
        <v>2.4135718958333333E-2</v>
      </c>
      <c r="B340" t="s">
        <v>116</v>
      </c>
      <c r="C340"/>
      <c r="D340"/>
      <c r="E340" t="s">
        <v>88</v>
      </c>
      <c r="F340"/>
      <c r="G340" t="s">
        <v>204</v>
      </c>
      <c r="H340"/>
      <c r="I340" s="158">
        <v>46241.679398148146</v>
      </c>
      <c r="J340" t="s">
        <v>324</v>
      </c>
      <c r="K340" t="s">
        <v>358</v>
      </c>
      <c r="L340" s="157">
        <v>46167</v>
      </c>
      <c r="M340" t="s">
        <v>282</v>
      </c>
      <c r="N340" t="s">
        <v>290</v>
      </c>
      <c r="O340" t="s">
        <v>293</v>
      </c>
      <c r="P340">
        <v>3</v>
      </c>
      <c r="Q340" t="s">
        <v>273</v>
      </c>
    </row>
    <row r="341" spans="1:17" s="29" customFormat="1">
      <c r="A341" s="41">
        <v>2.4135718958333333E-2</v>
      </c>
      <c r="B341" t="s">
        <v>116</v>
      </c>
      <c r="C341"/>
      <c r="D341"/>
      <c r="E341" t="s">
        <v>122</v>
      </c>
      <c r="F341"/>
      <c r="G341" t="s">
        <v>204</v>
      </c>
      <c r="H341"/>
      <c r="I341" s="158">
        <v>46241.679386574076</v>
      </c>
      <c r="J341" t="s">
        <v>324</v>
      </c>
      <c r="K341" t="s">
        <v>358</v>
      </c>
      <c r="L341" s="157">
        <v>46167</v>
      </c>
      <c r="M341" t="s">
        <v>282</v>
      </c>
      <c r="N341" t="s">
        <v>290</v>
      </c>
      <c r="O341" t="s">
        <v>293</v>
      </c>
      <c r="P341">
        <v>3</v>
      </c>
      <c r="Q341" t="s">
        <v>273</v>
      </c>
    </row>
    <row r="342" spans="1:17" s="29" customFormat="1">
      <c r="A342" s="41">
        <v>2.4078338842592594E-2</v>
      </c>
      <c r="B342" t="s">
        <v>116</v>
      </c>
      <c r="C342" t="s">
        <v>83</v>
      </c>
      <c r="D342"/>
      <c r="E342" t="s">
        <v>127</v>
      </c>
      <c r="F342"/>
      <c r="G342" t="s">
        <v>204</v>
      </c>
      <c r="H342"/>
      <c r="I342" s="158">
        <v>46241.679224537038</v>
      </c>
      <c r="J342" t="s">
        <v>324</v>
      </c>
      <c r="K342" t="s">
        <v>358</v>
      </c>
      <c r="L342" s="157">
        <v>46167</v>
      </c>
      <c r="M342" t="s">
        <v>282</v>
      </c>
      <c r="N342" t="s">
        <v>290</v>
      </c>
      <c r="O342" t="s">
        <v>293</v>
      </c>
      <c r="P342">
        <v>3</v>
      </c>
      <c r="Q342" t="s">
        <v>273</v>
      </c>
    </row>
    <row r="343" spans="1:17" s="29" customFormat="1">
      <c r="A343" s="41">
        <v>2.4062219641203704E-2</v>
      </c>
      <c r="B343" t="s">
        <v>116</v>
      </c>
      <c r="C343" t="s">
        <v>371</v>
      </c>
      <c r="D343"/>
      <c r="E343" t="s">
        <v>59</v>
      </c>
      <c r="F343"/>
      <c r="G343" t="s">
        <v>204</v>
      </c>
      <c r="H343"/>
      <c r="I343" s="158">
        <v>46241.678460648145</v>
      </c>
      <c r="J343" t="s">
        <v>324</v>
      </c>
      <c r="K343" t="s">
        <v>358</v>
      </c>
      <c r="L343" s="157">
        <v>46167</v>
      </c>
      <c r="M343" t="s">
        <v>282</v>
      </c>
      <c r="N343" t="s">
        <v>290</v>
      </c>
      <c r="O343" t="s">
        <v>293</v>
      </c>
      <c r="P343">
        <v>3</v>
      </c>
      <c r="Q343" t="s">
        <v>273</v>
      </c>
    </row>
    <row r="344" spans="1:17" s="29" customFormat="1">
      <c r="A344" s="41">
        <v>2.3976255914351853E-2</v>
      </c>
      <c r="B344" t="s">
        <v>116</v>
      </c>
      <c r="C344" t="s">
        <v>83</v>
      </c>
      <c r="D344"/>
      <c r="E344" t="s">
        <v>127</v>
      </c>
      <c r="F344"/>
      <c r="G344" t="s">
        <v>204</v>
      </c>
      <c r="H344"/>
      <c r="I344" s="158">
        <v>46241.678159722222</v>
      </c>
      <c r="J344" t="s">
        <v>324</v>
      </c>
      <c r="K344" t="s">
        <v>358</v>
      </c>
      <c r="L344" s="157">
        <v>46167</v>
      </c>
      <c r="M344" t="s">
        <v>282</v>
      </c>
      <c r="N344" t="s">
        <v>290</v>
      </c>
      <c r="O344" t="s">
        <v>293</v>
      </c>
      <c r="P344">
        <v>3</v>
      </c>
      <c r="Q344" t="s">
        <v>273</v>
      </c>
    </row>
    <row r="345" spans="1:17" s="29" customFormat="1">
      <c r="A345" s="41">
        <v>2.3923410277777779E-2</v>
      </c>
      <c r="B345" t="s">
        <v>116</v>
      </c>
      <c r="C345" t="s">
        <v>363</v>
      </c>
      <c r="D345"/>
      <c r="E345" t="s">
        <v>127</v>
      </c>
      <c r="F345"/>
      <c r="G345" t="s">
        <v>204</v>
      </c>
      <c r="H345"/>
      <c r="I345" s="158">
        <v>46241.677349537036</v>
      </c>
      <c r="J345" t="s">
        <v>324</v>
      </c>
      <c r="K345" t="s">
        <v>358</v>
      </c>
      <c r="L345" s="157">
        <v>46167</v>
      </c>
      <c r="M345" t="s">
        <v>282</v>
      </c>
      <c r="N345" t="s">
        <v>290</v>
      </c>
      <c r="O345" t="s">
        <v>293</v>
      </c>
      <c r="P345">
        <v>3</v>
      </c>
      <c r="Q345" t="s">
        <v>273</v>
      </c>
    </row>
    <row r="346" spans="1:17" s="29" customFormat="1">
      <c r="A346" s="41">
        <v>2.3913984918981484E-2</v>
      </c>
      <c r="B346" t="s">
        <v>116</v>
      </c>
      <c r="C346" t="s">
        <v>377</v>
      </c>
      <c r="D346"/>
      <c r="E346" t="s">
        <v>59</v>
      </c>
      <c r="F346"/>
      <c r="G346" t="s">
        <v>204</v>
      </c>
      <c r="H346"/>
      <c r="I346" s="158">
        <v>46241.677083333336</v>
      </c>
      <c r="J346" t="s">
        <v>324</v>
      </c>
      <c r="K346" t="s">
        <v>358</v>
      </c>
      <c r="L346" s="157">
        <v>46167</v>
      </c>
      <c r="M346" t="s">
        <v>282</v>
      </c>
      <c r="N346" t="s">
        <v>290</v>
      </c>
      <c r="O346" t="s">
        <v>293</v>
      </c>
      <c r="P346">
        <v>3</v>
      </c>
      <c r="Q346" t="s">
        <v>273</v>
      </c>
    </row>
    <row r="347" spans="1:17" s="29" customFormat="1">
      <c r="A347" s="41">
        <v>2.3891715266203706E-2</v>
      </c>
      <c r="B347" t="s">
        <v>116</v>
      </c>
      <c r="C347" t="s">
        <v>363</v>
      </c>
      <c r="D347"/>
      <c r="E347" t="s">
        <v>59</v>
      </c>
      <c r="F347"/>
      <c r="G347" t="s">
        <v>204</v>
      </c>
      <c r="H347"/>
      <c r="I347" s="158">
        <v>46241.67690972222</v>
      </c>
      <c r="J347" t="s">
        <v>324</v>
      </c>
      <c r="K347" t="s">
        <v>358</v>
      </c>
      <c r="L347" s="157">
        <v>46167</v>
      </c>
      <c r="M347" t="s">
        <v>282</v>
      </c>
      <c r="N347" t="s">
        <v>290</v>
      </c>
      <c r="O347" t="s">
        <v>293</v>
      </c>
      <c r="P347">
        <v>3</v>
      </c>
      <c r="Q347" t="s">
        <v>273</v>
      </c>
    </row>
    <row r="348" spans="1:17" s="29" customFormat="1">
      <c r="A348" s="41">
        <v>2.3874608124999998E-2</v>
      </c>
      <c r="B348" t="s">
        <v>116</v>
      </c>
      <c r="C348" t="s">
        <v>361</v>
      </c>
      <c r="D348"/>
      <c r="E348" t="s">
        <v>59</v>
      </c>
      <c r="F348"/>
      <c r="G348" t="s">
        <v>204</v>
      </c>
      <c r="H348"/>
      <c r="I348" s="158">
        <v>46241.676840277774</v>
      </c>
      <c r="J348" t="s">
        <v>324</v>
      </c>
      <c r="K348" t="s">
        <v>358</v>
      </c>
      <c r="L348" s="157">
        <v>46167</v>
      </c>
      <c r="M348" t="s">
        <v>282</v>
      </c>
      <c r="N348" t="s">
        <v>290</v>
      </c>
      <c r="O348" t="s">
        <v>293</v>
      </c>
      <c r="P348">
        <v>3</v>
      </c>
      <c r="Q348" t="s">
        <v>273</v>
      </c>
    </row>
    <row r="349" spans="1:17" s="29" customFormat="1">
      <c r="A349" s="41">
        <v>2.38050684375E-2</v>
      </c>
      <c r="B349" t="s">
        <v>116</v>
      </c>
      <c r="C349" t="s">
        <v>381</v>
      </c>
      <c r="D349"/>
      <c r="E349" t="s">
        <v>127</v>
      </c>
      <c r="F349"/>
      <c r="G349" t="s">
        <v>204</v>
      </c>
      <c r="H349"/>
      <c r="I349" s="158">
        <v>46241.676678240743</v>
      </c>
      <c r="J349" t="s">
        <v>324</v>
      </c>
      <c r="K349" t="s">
        <v>358</v>
      </c>
      <c r="L349" s="157">
        <v>46167</v>
      </c>
      <c r="M349" t="s">
        <v>282</v>
      </c>
      <c r="N349" t="s">
        <v>290</v>
      </c>
      <c r="O349" t="s">
        <v>293</v>
      </c>
      <c r="P349">
        <v>3</v>
      </c>
      <c r="Q349" t="s">
        <v>273</v>
      </c>
    </row>
    <row r="350" spans="1:17" s="29" customFormat="1">
      <c r="A350" s="41">
        <v>2.3781557604166666E-2</v>
      </c>
      <c r="B350" t="s">
        <v>116</v>
      </c>
      <c r="C350" t="s">
        <v>367</v>
      </c>
      <c r="D350"/>
      <c r="E350" t="s">
        <v>127</v>
      </c>
      <c r="F350"/>
      <c r="G350" t="s">
        <v>204</v>
      </c>
      <c r="H350"/>
      <c r="I350" s="158">
        <v>46241.676238425927</v>
      </c>
      <c r="J350" t="s">
        <v>324</v>
      </c>
      <c r="K350" t="s">
        <v>358</v>
      </c>
      <c r="L350" s="157">
        <v>46167</v>
      </c>
      <c r="M350" t="s">
        <v>282</v>
      </c>
      <c r="N350" t="s">
        <v>290</v>
      </c>
      <c r="O350" t="s">
        <v>293</v>
      </c>
      <c r="P350">
        <v>3</v>
      </c>
      <c r="Q350" t="s">
        <v>273</v>
      </c>
    </row>
    <row r="351" spans="1:17" s="29" customFormat="1">
      <c r="A351" s="41">
        <v>2.3736010659722223E-2</v>
      </c>
      <c r="B351" t="s">
        <v>116</v>
      </c>
      <c r="C351" t="s">
        <v>369</v>
      </c>
      <c r="D351"/>
      <c r="E351" t="s">
        <v>127</v>
      </c>
      <c r="F351"/>
      <c r="G351" t="s">
        <v>204</v>
      </c>
      <c r="H351"/>
      <c r="I351" s="158">
        <v>46241.675995370373</v>
      </c>
      <c r="J351" t="s">
        <v>324</v>
      </c>
      <c r="K351" t="s">
        <v>358</v>
      </c>
      <c r="L351" s="157">
        <v>46167</v>
      </c>
      <c r="M351" t="s">
        <v>282</v>
      </c>
      <c r="N351" t="s">
        <v>290</v>
      </c>
      <c r="O351" t="s">
        <v>293</v>
      </c>
      <c r="P351">
        <v>3</v>
      </c>
      <c r="Q351" t="s">
        <v>273</v>
      </c>
    </row>
    <row r="352" spans="1:17" s="29" customFormat="1">
      <c r="A352" s="41">
        <v>2.3719863564814817E-2</v>
      </c>
      <c r="B352" t="s">
        <v>116</v>
      </c>
      <c r="C352" t="s">
        <v>385</v>
      </c>
      <c r="D352"/>
      <c r="E352" t="s">
        <v>59</v>
      </c>
      <c r="F352"/>
      <c r="G352" t="s">
        <v>204</v>
      </c>
      <c r="H352"/>
      <c r="I352" s="158">
        <v>46241.675254629627</v>
      </c>
      <c r="J352" t="s">
        <v>324</v>
      </c>
      <c r="K352" t="s">
        <v>358</v>
      </c>
      <c r="L352" s="157">
        <v>46167</v>
      </c>
      <c r="M352" t="s">
        <v>282</v>
      </c>
      <c r="N352" t="s">
        <v>290</v>
      </c>
      <c r="O352" t="s">
        <v>293</v>
      </c>
      <c r="P352">
        <v>3</v>
      </c>
      <c r="Q352" t="s">
        <v>273</v>
      </c>
    </row>
    <row r="353" spans="1:17" s="29" customFormat="1">
      <c r="A353" s="41">
        <v>2.3680309166666667E-2</v>
      </c>
      <c r="B353" t="s">
        <v>116</v>
      </c>
      <c r="C353" t="s">
        <v>369</v>
      </c>
      <c r="D353"/>
      <c r="E353" t="s">
        <v>127</v>
      </c>
      <c r="F353"/>
      <c r="G353" t="s">
        <v>204</v>
      </c>
      <c r="H353"/>
      <c r="I353" s="158">
        <v>46241.675011574072</v>
      </c>
      <c r="J353" t="s">
        <v>324</v>
      </c>
      <c r="K353" t="s">
        <v>358</v>
      </c>
      <c r="L353" s="157">
        <v>46167</v>
      </c>
      <c r="M353" t="s">
        <v>282</v>
      </c>
      <c r="N353" t="s">
        <v>290</v>
      </c>
      <c r="O353" t="s">
        <v>293</v>
      </c>
      <c r="P353">
        <v>3</v>
      </c>
      <c r="Q353" t="s">
        <v>273</v>
      </c>
    </row>
    <row r="354" spans="1:17" s="29" customFormat="1">
      <c r="A354" s="41">
        <v>2.3668817384259262E-2</v>
      </c>
      <c r="B354" t="s">
        <v>116</v>
      </c>
      <c r="C354"/>
      <c r="D354"/>
      <c r="E354" t="s">
        <v>228</v>
      </c>
      <c r="F354"/>
      <c r="G354" t="s">
        <v>204</v>
      </c>
      <c r="H354"/>
      <c r="I354" s="158">
        <v>46241.674907407411</v>
      </c>
      <c r="J354" t="s">
        <v>324</v>
      </c>
      <c r="K354" t="s">
        <v>358</v>
      </c>
      <c r="L354" s="157">
        <v>46167</v>
      </c>
      <c r="M354" t="s">
        <v>282</v>
      </c>
      <c r="N354" t="s">
        <v>290</v>
      </c>
      <c r="O354" t="s">
        <v>293</v>
      </c>
      <c r="P354">
        <v>3</v>
      </c>
      <c r="Q354" t="s">
        <v>273</v>
      </c>
    </row>
    <row r="355" spans="1:17" s="29" customFormat="1">
      <c r="A355" s="41">
        <v>2.3634259664351853E-2</v>
      </c>
      <c r="B355" t="s">
        <v>116</v>
      </c>
      <c r="C355"/>
      <c r="D355"/>
      <c r="E355" t="s">
        <v>224</v>
      </c>
      <c r="F355"/>
      <c r="G355" t="s">
        <v>204</v>
      </c>
      <c r="H355"/>
      <c r="I355" s="158">
        <v>46241.674814814818</v>
      </c>
      <c r="J355" t="s">
        <v>324</v>
      </c>
      <c r="K355" t="s">
        <v>358</v>
      </c>
      <c r="L355" s="157">
        <v>46167</v>
      </c>
      <c r="M355" t="s">
        <v>282</v>
      </c>
      <c r="N355" t="s">
        <v>290</v>
      </c>
      <c r="O355" t="s">
        <v>293</v>
      </c>
      <c r="P355">
        <v>3</v>
      </c>
      <c r="Q355" t="s">
        <v>273</v>
      </c>
    </row>
    <row r="356" spans="1:17" s="29" customFormat="1">
      <c r="A356" s="41">
        <v>2.357634923611111E-2</v>
      </c>
      <c r="B356" t="s">
        <v>116</v>
      </c>
      <c r="C356" t="s">
        <v>371</v>
      </c>
      <c r="D356"/>
      <c r="E356" t="s">
        <v>58</v>
      </c>
      <c r="F356"/>
      <c r="G356" t="s">
        <v>204</v>
      </c>
      <c r="H356"/>
      <c r="I356" s="158">
        <v>46241.674687500003</v>
      </c>
      <c r="J356" t="s">
        <v>324</v>
      </c>
      <c r="K356" t="s">
        <v>358</v>
      </c>
      <c r="L356" s="157">
        <v>46167</v>
      </c>
      <c r="M356" t="s">
        <v>282</v>
      </c>
      <c r="N356" t="s">
        <v>290</v>
      </c>
      <c r="O356" t="s">
        <v>293</v>
      </c>
      <c r="P356">
        <v>3</v>
      </c>
      <c r="Q356" t="s">
        <v>273</v>
      </c>
    </row>
    <row r="357" spans="1:17" s="29" customFormat="1">
      <c r="A357" s="41">
        <v>2.3463017916666669E-2</v>
      </c>
      <c r="B357" t="s">
        <v>116</v>
      </c>
      <c r="C357" t="s">
        <v>371</v>
      </c>
      <c r="D357"/>
      <c r="E357" t="s">
        <v>58</v>
      </c>
      <c r="F357"/>
      <c r="G357" t="s">
        <v>204</v>
      </c>
      <c r="H357"/>
      <c r="I357" s="158">
        <v>46241.674340277779</v>
      </c>
      <c r="J357" t="s">
        <v>324</v>
      </c>
      <c r="K357" t="s">
        <v>358</v>
      </c>
      <c r="L357" s="157">
        <v>46167</v>
      </c>
      <c r="M357" t="s">
        <v>282</v>
      </c>
      <c r="N357" t="s">
        <v>290</v>
      </c>
      <c r="O357" t="s">
        <v>293</v>
      </c>
      <c r="P357">
        <v>3</v>
      </c>
      <c r="Q357" t="s">
        <v>273</v>
      </c>
    </row>
    <row r="358" spans="1:17" s="29" customFormat="1">
      <c r="A358" s="41">
        <v>2.3400190416666668E-2</v>
      </c>
      <c r="B358" t="s">
        <v>116</v>
      </c>
      <c r="C358" t="s">
        <v>381</v>
      </c>
      <c r="D358"/>
      <c r="E358" t="s">
        <v>127</v>
      </c>
      <c r="F358"/>
      <c r="G358" t="s">
        <v>204</v>
      </c>
      <c r="H358"/>
      <c r="I358" s="158">
        <v>46241.674097222225</v>
      </c>
      <c r="J358" t="s">
        <v>324</v>
      </c>
      <c r="K358" t="s">
        <v>358</v>
      </c>
      <c r="L358" s="157">
        <v>46167</v>
      </c>
      <c r="M358" t="s">
        <v>282</v>
      </c>
      <c r="N358" t="s">
        <v>290</v>
      </c>
      <c r="O358" t="s">
        <v>293</v>
      </c>
      <c r="P358">
        <v>3</v>
      </c>
      <c r="Q358" t="s">
        <v>273</v>
      </c>
    </row>
    <row r="359" spans="1:17" s="29" customFormat="1">
      <c r="A359" s="41">
        <v>2.3407064756944443E-2</v>
      </c>
      <c r="B359" t="s">
        <v>116</v>
      </c>
      <c r="C359" t="s">
        <v>377</v>
      </c>
      <c r="D359"/>
      <c r="E359" t="s">
        <v>59</v>
      </c>
      <c r="F359"/>
      <c r="G359" t="s">
        <v>204</v>
      </c>
      <c r="H359"/>
      <c r="I359" s="158">
        <v>46241.673819444448</v>
      </c>
      <c r="J359" t="s">
        <v>324</v>
      </c>
      <c r="K359" t="s">
        <v>358</v>
      </c>
      <c r="L359" s="157">
        <v>46167</v>
      </c>
      <c r="M359" t="s">
        <v>282</v>
      </c>
      <c r="N359" t="s">
        <v>290</v>
      </c>
      <c r="O359" t="s">
        <v>293</v>
      </c>
      <c r="P359">
        <v>3</v>
      </c>
      <c r="Q359" t="s">
        <v>273</v>
      </c>
    </row>
    <row r="360" spans="1:17" s="29" customFormat="1">
      <c r="A360" s="41">
        <v>2.3349151597222222E-2</v>
      </c>
      <c r="B360" t="s">
        <v>116</v>
      </c>
      <c r="C360"/>
      <c r="D360"/>
      <c r="E360" t="s">
        <v>132</v>
      </c>
      <c r="F360"/>
      <c r="G360" t="s">
        <v>204</v>
      </c>
      <c r="H360"/>
      <c r="I360" s="158">
        <v>46241.673680555556</v>
      </c>
      <c r="J360" t="s">
        <v>324</v>
      </c>
      <c r="K360" t="s">
        <v>358</v>
      </c>
      <c r="L360" s="157">
        <v>46167</v>
      </c>
      <c r="M360" t="s">
        <v>282</v>
      </c>
      <c r="N360" t="s">
        <v>290</v>
      </c>
      <c r="O360" t="s">
        <v>293</v>
      </c>
      <c r="P360">
        <v>3</v>
      </c>
      <c r="Q360" t="s">
        <v>273</v>
      </c>
    </row>
    <row r="361" spans="1:17" s="29" customFormat="1">
      <c r="A361" s="41">
        <v>2.3308154884259257E-2</v>
      </c>
      <c r="B361" t="s">
        <v>116</v>
      </c>
      <c r="C361"/>
      <c r="D361"/>
      <c r="E361" t="s">
        <v>123</v>
      </c>
      <c r="F361"/>
      <c r="G361" t="s">
        <v>204</v>
      </c>
      <c r="H361"/>
      <c r="I361" s="158">
        <v>46241.673611111109</v>
      </c>
      <c r="J361" t="s">
        <v>324</v>
      </c>
      <c r="K361" t="s">
        <v>358</v>
      </c>
      <c r="L361" s="157">
        <v>46167</v>
      </c>
      <c r="M361" t="s">
        <v>282</v>
      </c>
      <c r="N361" t="s">
        <v>290</v>
      </c>
      <c r="O361" t="s">
        <v>293</v>
      </c>
      <c r="P361">
        <v>3</v>
      </c>
      <c r="Q361" t="s">
        <v>273</v>
      </c>
    </row>
    <row r="362" spans="1:17" s="29" customFormat="1">
      <c r="A362" s="41">
        <v>2.2634904872685185E-2</v>
      </c>
      <c r="B362" t="s">
        <v>116</v>
      </c>
      <c r="C362"/>
      <c r="D362"/>
      <c r="E362" t="s">
        <v>88</v>
      </c>
      <c r="F362"/>
      <c r="G362" t="s">
        <v>204</v>
      </c>
      <c r="H362"/>
      <c r="I362" s="158">
        <v>46241.673275462963</v>
      </c>
      <c r="J362" t="s">
        <v>324</v>
      </c>
      <c r="K362" t="s">
        <v>358</v>
      </c>
      <c r="L362" s="157">
        <v>46167</v>
      </c>
      <c r="M362" t="s">
        <v>282</v>
      </c>
      <c r="N362" t="s">
        <v>290</v>
      </c>
      <c r="O362" t="s">
        <v>293</v>
      </c>
      <c r="P362">
        <v>3</v>
      </c>
      <c r="Q362" t="s">
        <v>273</v>
      </c>
    </row>
    <row r="363" spans="1:17" s="29" customFormat="1">
      <c r="A363" s="41">
        <v>2.2634904872685185E-2</v>
      </c>
      <c r="B363" t="s">
        <v>116</v>
      </c>
      <c r="C363" t="s">
        <v>377</v>
      </c>
      <c r="D363" t="s">
        <v>262</v>
      </c>
      <c r="E363" t="s">
        <v>254</v>
      </c>
      <c r="F363" t="s">
        <v>247</v>
      </c>
      <c r="G363" t="s">
        <v>204</v>
      </c>
      <c r="H363"/>
      <c r="I363" s="158">
        <v>46241.673275462963</v>
      </c>
      <c r="J363" t="s">
        <v>324</v>
      </c>
      <c r="K363" t="s">
        <v>358</v>
      </c>
      <c r="L363" s="157">
        <v>46167</v>
      </c>
      <c r="M363" t="s">
        <v>282</v>
      </c>
      <c r="N363" t="s">
        <v>290</v>
      </c>
      <c r="O363" t="s">
        <v>293</v>
      </c>
      <c r="P363">
        <v>3</v>
      </c>
      <c r="Q363" t="s">
        <v>273</v>
      </c>
    </row>
    <row r="364" spans="1:17" s="29" customFormat="1">
      <c r="A364" s="41">
        <v>2.2566860567129629E-2</v>
      </c>
      <c r="B364" t="s">
        <v>116</v>
      </c>
      <c r="C364"/>
      <c r="D364"/>
      <c r="E364" t="s">
        <v>127</v>
      </c>
      <c r="F364"/>
      <c r="G364" t="s">
        <v>117</v>
      </c>
      <c r="H364"/>
      <c r="I364" s="158">
        <v>46241.672986111109</v>
      </c>
      <c r="J364" t="s">
        <v>324</v>
      </c>
      <c r="K364" t="s">
        <v>358</v>
      </c>
      <c r="L364" s="157">
        <v>46167</v>
      </c>
      <c r="M364" t="s">
        <v>282</v>
      </c>
      <c r="N364" t="s">
        <v>290</v>
      </c>
      <c r="O364" t="s">
        <v>293</v>
      </c>
      <c r="P364">
        <v>3</v>
      </c>
      <c r="Q364" t="s">
        <v>273</v>
      </c>
    </row>
    <row r="365" spans="1:17" s="29" customFormat="1">
      <c r="A365" s="41">
        <v>2.2549344247685187E-2</v>
      </c>
      <c r="B365" t="s">
        <v>116</v>
      </c>
      <c r="C365"/>
      <c r="D365"/>
      <c r="E365" t="s">
        <v>59</v>
      </c>
      <c r="F365"/>
      <c r="G365" t="s">
        <v>117</v>
      </c>
      <c r="H365"/>
      <c r="I365" s="158">
        <v>46241.672974537039</v>
      </c>
      <c r="J365" t="s">
        <v>324</v>
      </c>
      <c r="K365" t="s">
        <v>358</v>
      </c>
      <c r="L365" s="157">
        <v>46167</v>
      </c>
      <c r="M365" t="s">
        <v>282</v>
      </c>
      <c r="N365" t="s">
        <v>290</v>
      </c>
      <c r="O365" t="s">
        <v>293</v>
      </c>
      <c r="P365">
        <v>3</v>
      </c>
      <c r="Q365" t="s">
        <v>273</v>
      </c>
    </row>
    <row r="366" spans="1:17" s="29" customFormat="1">
      <c r="A366" s="41">
        <v>2.2464339594907408E-2</v>
      </c>
      <c r="B366" t="s">
        <v>116</v>
      </c>
      <c r="C366"/>
      <c r="D366"/>
      <c r="E366" t="s">
        <v>127</v>
      </c>
      <c r="F366"/>
      <c r="G366" t="s">
        <v>117</v>
      </c>
      <c r="H366"/>
      <c r="I366" s="158">
        <v>46241.672800925924</v>
      </c>
      <c r="J366" t="s">
        <v>324</v>
      </c>
      <c r="K366" t="s">
        <v>358</v>
      </c>
      <c r="L366" s="157">
        <v>46167</v>
      </c>
      <c r="M366" t="s">
        <v>282</v>
      </c>
      <c r="N366" t="s">
        <v>290</v>
      </c>
      <c r="O366" t="s">
        <v>293</v>
      </c>
      <c r="P366">
        <v>3</v>
      </c>
      <c r="Q366" t="s">
        <v>273</v>
      </c>
    </row>
    <row r="367" spans="1:17" s="29" customFormat="1">
      <c r="A367" s="41">
        <v>2.2445843055555557E-2</v>
      </c>
      <c r="B367" t="s">
        <v>116</v>
      </c>
      <c r="C367"/>
      <c r="D367"/>
      <c r="E367" t="s">
        <v>59</v>
      </c>
      <c r="F367"/>
      <c r="G367" t="s">
        <v>117</v>
      </c>
      <c r="H367"/>
      <c r="I367" s="158">
        <v>46241.672766203701</v>
      </c>
      <c r="J367" t="s">
        <v>324</v>
      </c>
      <c r="K367" t="s">
        <v>358</v>
      </c>
      <c r="L367" s="157">
        <v>46167</v>
      </c>
      <c r="M367" t="s">
        <v>282</v>
      </c>
      <c r="N367" t="s">
        <v>290</v>
      </c>
      <c r="O367" t="s">
        <v>293</v>
      </c>
      <c r="P367">
        <v>3</v>
      </c>
      <c r="Q367" t="s">
        <v>273</v>
      </c>
    </row>
    <row r="368" spans="1:17" s="29" customFormat="1">
      <c r="A368" s="41">
        <v>2.2383179907407406E-2</v>
      </c>
      <c r="B368" t="s">
        <v>116</v>
      </c>
      <c r="C368"/>
      <c r="D368"/>
      <c r="E368" t="s">
        <v>127</v>
      </c>
      <c r="F368"/>
      <c r="G368" t="s">
        <v>117</v>
      </c>
      <c r="H368"/>
      <c r="I368" s="158">
        <v>46241.672592592593</v>
      </c>
      <c r="J368" t="s">
        <v>324</v>
      </c>
      <c r="K368" t="s">
        <v>358</v>
      </c>
      <c r="L368" s="157">
        <v>46167</v>
      </c>
      <c r="M368" t="s">
        <v>282</v>
      </c>
      <c r="N368" t="s">
        <v>290</v>
      </c>
      <c r="O368" t="s">
        <v>293</v>
      </c>
      <c r="P368">
        <v>3</v>
      </c>
      <c r="Q368" t="s">
        <v>273</v>
      </c>
    </row>
    <row r="369" spans="1:17" s="29" customFormat="1">
      <c r="A369" s="41">
        <v>2.2306314907407407E-2</v>
      </c>
      <c r="B369" t="s">
        <v>116</v>
      </c>
      <c r="C369"/>
      <c r="D369"/>
      <c r="E369" t="s">
        <v>127</v>
      </c>
      <c r="F369"/>
      <c r="G369" t="s">
        <v>117</v>
      </c>
      <c r="H369"/>
      <c r="I369" s="158">
        <v>46241.672523148147</v>
      </c>
      <c r="J369" t="s">
        <v>324</v>
      </c>
      <c r="K369" t="s">
        <v>358</v>
      </c>
      <c r="L369" s="157">
        <v>46167</v>
      </c>
      <c r="M369" t="s">
        <v>282</v>
      </c>
      <c r="N369" t="s">
        <v>290</v>
      </c>
      <c r="O369" t="s">
        <v>293</v>
      </c>
      <c r="P369">
        <v>3</v>
      </c>
      <c r="Q369" t="s">
        <v>273</v>
      </c>
    </row>
    <row r="370" spans="1:17" s="29" customFormat="1">
      <c r="A370" s="41">
        <v>2.2232529756944442E-2</v>
      </c>
      <c r="B370" t="s">
        <v>116</v>
      </c>
      <c r="C370"/>
      <c r="D370"/>
      <c r="E370" t="s">
        <v>226</v>
      </c>
      <c r="F370"/>
      <c r="G370" t="s">
        <v>117</v>
      </c>
      <c r="H370"/>
      <c r="I370" s="158">
        <v>46241.672453703701</v>
      </c>
      <c r="J370" t="s">
        <v>324</v>
      </c>
      <c r="K370" t="s">
        <v>358</v>
      </c>
      <c r="L370" s="157">
        <v>46167</v>
      </c>
      <c r="M370" t="s">
        <v>282</v>
      </c>
      <c r="N370" t="s">
        <v>290</v>
      </c>
      <c r="O370" t="s">
        <v>293</v>
      </c>
      <c r="P370">
        <v>3</v>
      </c>
      <c r="Q370" t="s">
        <v>273</v>
      </c>
    </row>
    <row r="371" spans="1:17" s="29" customFormat="1">
      <c r="A371" s="41">
        <v>2.2180434525462964E-2</v>
      </c>
      <c r="B371" t="s">
        <v>116</v>
      </c>
      <c r="C371"/>
      <c r="D371"/>
      <c r="E371" t="s">
        <v>224</v>
      </c>
      <c r="F371"/>
      <c r="G371" t="s">
        <v>204</v>
      </c>
      <c r="H371"/>
      <c r="I371" s="158">
        <v>46241.672372685185</v>
      </c>
      <c r="J371" t="s">
        <v>324</v>
      </c>
      <c r="K371" t="s">
        <v>358</v>
      </c>
      <c r="L371" s="157">
        <v>46167</v>
      </c>
      <c r="M371" t="s">
        <v>282</v>
      </c>
      <c r="N371" t="s">
        <v>290</v>
      </c>
      <c r="O371" t="s">
        <v>293</v>
      </c>
      <c r="P371">
        <v>3</v>
      </c>
      <c r="Q371" t="s">
        <v>273</v>
      </c>
    </row>
    <row r="372" spans="1:17" s="29" customFormat="1">
      <c r="A372" s="41">
        <v>2.2041817453703701E-2</v>
      </c>
      <c r="B372" t="s">
        <v>116</v>
      </c>
      <c r="C372" t="s">
        <v>359</v>
      </c>
      <c r="D372"/>
      <c r="E372" t="s">
        <v>127</v>
      </c>
      <c r="F372"/>
      <c r="G372" t="s">
        <v>204</v>
      </c>
      <c r="H372"/>
      <c r="I372" s="158">
        <v>46241.672037037039</v>
      </c>
      <c r="J372" t="s">
        <v>324</v>
      </c>
      <c r="K372" t="s">
        <v>358</v>
      </c>
      <c r="L372" s="157">
        <v>46167</v>
      </c>
      <c r="M372" t="s">
        <v>282</v>
      </c>
      <c r="N372" t="s">
        <v>290</v>
      </c>
      <c r="O372" t="s">
        <v>293</v>
      </c>
      <c r="P372">
        <v>3</v>
      </c>
      <c r="Q372" t="s">
        <v>273</v>
      </c>
    </row>
    <row r="373" spans="1:17" s="29" customFormat="1">
      <c r="A373" s="41">
        <v>2.2024548946759259E-2</v>
      </c>
      <c r="B373" t="s">
        <v>116</v>
      </c>
      <c r="C373" t="s">
        <v>371</v>
      </c>
      <c r="D373"/>
      <c r="E373" t="s">
        <v>59</v>
      </c>
      <c r="F373"/>
      <c r="G373" t="s">
        <v>204</v>
      </c>
      <c r="H373"/>
      <c r="I373" s="158">
        <v>46241.671932870369</v>
      </c>
      <c r="J373" t="s">
        <v>324</v>
      </c>
      <c r="K373" t="s">
        <v>358</v>
      </c>
      <c r="L373" s="157">
        <v>46167</v>
      </c>
      <c r="M373" t="s">
        <v>282</v>
      </c>
      <c r="N373" t="s">
        <v>290</v>
      </c>
      <c r="O373" t="s">
        <v>293</v>
      </c>
      <c r="P373">
        <v>3</v>
      </c>
      <c r="Q373" t="s">
        <v>273</v>
      </c>
    </row>
    <row r="374" spans="1:17" s="29" customFormat="1">
      <c r="A374" s="41">
        <v>2.1898802395833333E-2</v>
      </c>
      <c r="B374" t="s">
        <v>116</v>
      </c>
      <c r="C374" t="s">
        <v>383</v>
      </c>
      <c r="D374"/>
      <c r="E374" t="s">
        <v>127</v>
      </c>
      <c r="F374"/>
      <c r="G374" t="s">
        <v>204</v>
      </c>
      <c r="H374"/>
      <c r="I374" s="158">
        <v>46241.671469907407</v>
      </c>
      <c r="J374" t="s">
        <v>324</v>
      </c>
      <c r="K374" t="s">
        <v>358</v>
      </c>
      <c r="L374" s="157">
        <v>46167</v>
      </c>
      <c r="M374" t="s">
        <v>282</v>
      </c>
      <c r="N374" t="s">
        <v>290</v>
      </c>
      <c r="O374" t="s">
        <v>293</v>
      </c>
      <c r="P374">
        <v>3</v>
      </c>
      <c r="Q374" t="s">
        <v>273</v>
      </c>
    </row>
    <row r="375" spans="1:17" s="29" customFormat="1">
      <c r="A375" s="41">
        <v>2.1754339155092593E-2</v>
      </c>
      <c r="B375" t="s">
        <v>116</v>
      </c>
      <c r="C375" t="s">
        <v>381</v>
      </c>
      <c r="D375"/>
      <c r="E375" t="s">
        <v>127</v>
      </c>
      <c r="F375"/>
      <c r="G375" t="s">
        <v>204</v>
      </c>
      <c r="H375"/>
      <c r="I375" s="158">
        <v>46241.670937499999</v>
      </c>
      <c r="J375" t="s">
        <v>324</v>
      </c>
      <c r="K375" t="s">
        <v>358</v>
      </c>
      <c r="L375" s="157">
        <v>46167</v>
      </c>
      <c r="M375" t="s">
        <v>282</v>
      </c>
      <c r="N375" t="s">
        <v>290</v>
      </c>
      <c r="O375" t="s">
        <v>293</v>
      </c>
      <c r="P375">
        <v>3</v>
      </c>
      <c r="Q375" t="s">
        <v>273</v>
      </c>
    </row>
    <row r="376" spans="1:17" s="29" customFormat="1">
      <c r="A376" s="41">
        <v>2.172528306712963E-2</v>
      </c>
      <c r="B376" t="s">
        <v>116</v>
      </c>
      <c r="C376"/>
      <c r="D376"/>
      <c r="E376" t="s">
        <v>228</v>
      </c>
      <c r="F376"/>
      <c r="G376" t="s">
        <v>204</v>
      </c>
      <c r="H376"/>
      <c r="I376" s="158">
        <v>46241.670844907407</v>
      </c>
      <c r="J376" t="s">
        <v>324</v>
      </c>
      <c r="K376" t="s">
        <v>358</v>
      </c>
      <c r="L376" s="157">
        <v>46167</v>
      </c>
      <c r="M376" t="s">
        <v>282</v>
      </c>
      <c r="N376" t="s">
        <v>290</v>
      </c>
      <c r="O376" t="s">
        <v>293</v>
      </c>
      <c r="P376">
        <v>3</v>
      </c>
      <c r="Q376" t="s">
        <v>273</v>
      </c>
    </row>
    <row r="377" spans="1:17" s="29" customFormat="1">
      <c r="A377" s="41">
        <v>2.1669941678240739E-2</v>
      </c>
      <c r="B377" t="s">
        <v>116</v>
      </c>
      <c r="C377"/>
      <c r="D377"/>
      <c r="E377" t="s">
        <v>119</v>
      </c>
      <c r="F377"/>
      <c r="G377" t="s">
        <v>204</v>
      </c>
      <c r="H377"/>
      <c r="I377" s="158">
        <v>46241.670787037037</v>
      </c>
      <c r="J377" t="s">
        <v>324</v>
      </c>
      <c r="K377" t="s">
        <v>358</v>
      </c>
      <c r="L377" s="157">
        <v>46167</v>
      </c>
      <c r="M377" t="s">
        <v>282</v>
      </c>
      <c r="N377" t="s">
        <v>290</v>
      </c>
      <c r="O377" t="s">
        <v>293</v>
      </c>
      <c r="P377">
        <v>3</v>
      </c>
      <c r="Q377" t="s">
        <v>273</v>
      </c>
    </row>
    <row r="378" spans="1:17" s="29" customFormat="1">
      <c r="A378" s="41">
        <v>2.0561698564814816E-2</v>
      </c>
      <c r="B378" t="s">
        <v>116</v>
      </c>
      <c r="C378"/>
      <c r="D378"/>
      <c r="E378" t="s">
        <v>88</v>
      </c>
      <c r="F378"/>
      <c r="G378" t="s">
        <v>204</v>
      </c>
      <c r="H378"/>
      <c r="I378" s="158">
        <v>46241.669340277775</v>
      </c>
      <c r="J378" t="s">
        <v>324</v>
      </c>
      <c r="K378" t="s">
        <v>358</v>
      </c>
      <c r="L378" s="157">
        <v>46167</v>
      </c>
      <c r="M378" t="s">
        <v>282</v>
      </c>
      <c r="N378" t="s">
        <v>290</v>
      </c>
      <c r="O378" t="s">
        <v>293</v>
      </c>
      <c r="P378">
        <v>3</v>
      </c>
      <c r="Q378" t="s">
        <v>273</v>
      </c>
    </row>
    <row r="379" spans="1:17" s="29" customFormat="1">
      <c r="A379" s="41">
        <v>2.0561698564814816E-2</v>
      </c>
      <c r="B379" t="s">
        <v>116</v>
      </c>
      <c r="C379"/>
      <c r="D379"/>
      <c r="E379" t="s">
        <v>122</v>
      </c>
      <c r="F379"/>
      <c r="G379" t="s">
        <v>204</v>
      </c>
      <c r="H379"/>
      <c r="I379" s="158">
        <v>46241.669340277775</v>
      </c>
      <c r="J379" t="s">
        <v>324</v>
      </c>
      <c r="K379" t="s">
        <v>358</v>
      </c>
      <c r="L379" s="157">
        <v>46167</v>
      </c>
      <c r="M379" t="s">
        <v>282</v>
      </c>
      <c r="N379" t="s">
        <v>290</v>
      </c>
      <c r="O379" t="s">
        <v>293</v>
      </c>
      <c r="P379">
        <v>3</v>
      </c>
      <c r="Q379" t="s">
        <v>273</v>
      </c>
    </row>
    <row r="380" spans="1:17" s="29" customFormat="1">
      <c r="A380" s="41">
        <v>2.0472115983796297E-2</v>
      </c>
      <c r="B380" t="s">
        <v>116</v>
      </c>
      <c r="C380" t="s">
        <v>377</v>
      </c>
      <c r="D380"/>
      <c r="E380" t="s">
        <v>59</v>
      </c>
      <c r="F380"/>
      <c r="G380" t="s">
        <v>204</v>
      </c>
      <c r="H380"/>
      <c r="I380" s="158">
        <v>46241.669189814813</v>
      </c>
      <c r="J380" t="s">
        <v>324</v>
      </c>
      <c r="K380" t="s">
        <v>358</v>
      </c>
      <c r="L380" s="157">
        <v>46167</v>
      </c>
      <c r="M380" t="s">
        <v>282</v>
      </c>
      <c r="N380" t="s">
        <v>290</v>
      </c>
      <c r="O380" t="s">
        <v>293</v>
      </c>
      <c r="P380">
        <v>3</v>
      </c>
      <c r="Q380" t="s">
        <v>273</v>
      </c>
    </row>
    <row r="381" spans="1:17" s="29" customFormat="1">
      <c r="A381" s="41">
        <v>2.0448837337962964E-2</v>
      </c>
      <c r="B381" t="s">
        <v>116</v>
      </c>
      <c r="C381" t="s">
        <v>381</v>
      </c>
      <c r="D381"/>
      <c r="E381" t="s">
        <v>127</v>
      </c>
      <c r="F381"/>
      <c r="G381" t="s">
        <v>204</v>
      </c>
      <c r="H381"/>
      <c r="I381" s="158">
        <v>46241.669039351851</v>
      </c>
      <c r="J381" t="s">
        <v>324</v>
      </c>
      <c r="K381" t="s">
        <v>358</v>
      </c>
      <c r="L381" s="157">
        <v>46167</v>
      </c>
      <c r="M381" t="s">
        <v>282</v>
      </c>
      <c r="N381" t="s">
        <v>290</v>
      </c>
      <c r="O381" t="s">
        <v>293</v>
      </c>
      <c r="P381">
        <v>3</v>
      </c>
      <c r="Q381" t="s">
        <v>273</v>
      </c>
    </row>
    <row r="382" spans="1:17" s="29" customFormat="1">
      <c r="A382" s="41">
        <v>2.041028804398148E-2</v>
      </c>
      <c r="B382" t="s">
        <v>116</v>
      </c>
      <c r="C382" t="s">
        <v>365</v>
      </c>
      <c r="D382"/>
      <c r="E382" t="s">
        <v>127</v>
      </c>
      <c r="F382"/>
      <c r="G382" t="s">
        <v>204</v>
      </c>
      <c r="H382"/>
      <c r="I382" s="158">
        <v>46241.668749999997</v>
      </c>
      <c r="J382" t="s">
        <v>324</v>
      </c>
      <c r="K382" t="s">
        <v>358</v>
      </c>
      <c r="L382" s="157">
        <v>46167</v>
      </c>
      <c r="M382" t="s">
        <v>282</v>
      </c>
      <c r="N382" t="s">
        <v>290</v>
      </c>
      <c r="O382" t="s">
        <v>293</v>
      </c>
      <c r="P382">
        <v>3</v>
      </c>
      <c r="Q382" t="s">
        <v>273</v>
      </c>
    </row>
    <row r="383" spans="1:17" s="29" customFormat="1">
      <c r="A383" s="41">
        <v>2.0361372164351854E-2</v>
      </c>
      <c r="B383" t="s">
        <v>116</v>
      </c>
      <c r="C383" t="s">
        <v>371</v>
      </c>
      <c r="D383"/>
      <c r="E383" t="s">
        <v>127</v>
      </c>
      <c r="F383"/>
      <c r="G383" t="s">
        <v>204</v>
      </c>
      <c r="H383"/>
      <c r="I383" s="158">
        <v>46241.668437499997</v>
      </c>
      <c r="J383" t="s">
        <v>324</v>
      </c>
      <c r="K383" t="s">
        <v>358</v>
      </c>
      <c r="L383" s="157">
        <v>46167</v>
      </c>
      <c r="M383" t="s">
        <v>282</v>
      </c>
      <c r="N383" t="s">
        <v>290</v>
      </c>
      <c r="O383" t="s">
        <v>293</v>
      </c>
      <c r="P383">
        <v>3</v>
      </c>
      <c r="Q383" t="s">
        <v>273</v>
      </c>
    </row>
    <row r="384" spans="1:17" s="29" customFormat="1">
      <c r="A384" s="41">
        <v>2.0335254386574075E-2</v>
      </c>
      <c r="B384" t="s">
        <v>116</v>
      </c>
      <c r="C384" t="s">
        <v>371</v>
      </c>
      <c r="D384"/>
      <c r="E384" t="s">
        <v>58</v>
      </c>
      <c r="F384"/>
      <c r="G384" t="s">
        <v>204</v>
      </c>
      <c r="H384"/>
      <c r="I384" s="158">
        <v>46241.66815972222</v>
      </c>
      <c r="J384" t="s">
        <v>324</v>
      </c>
      <c r="K384" t="s">
        <v>358</v>
      </c>
      <c r="L384" s="157">
        <v>46167</v>
      </c>
      <c r="M384" t="s">
        <v>282</v>
      </c>
      <c r="N384" t="s">
        <v>290</v>
      </c>
      <c r="O384" t="s">
        <v>293</v>
      </c>
      <c r="P384">
        <v>3</v>
      </c>
      <c r="Q384" t="s">
        <v>273</v>
      </c>
    </row>
    <row r="385" spans="1:17" s="29" customFormat="1">
      <c r="A385" s="41">
        <v>2.0297246736111111E-2</v>
      </c>
      <c r="B385" t="s">
        <v>116</v>
      </c>
      <c r="C385" t="s">
        <v>375</v>
      </c>
      <c r="D385"/>
      <c r="E385" t="s">
        <v>127</v>
      </c>
      <c r="F385"/>
      <c r="G385" t="s">
        <v>204</v>
      </c>
      <c r="H385"/>
      <c r="I385" s="158">
        <v>46241.667870370373</v>
      </c>
      <c r="J385" t="s">
        <v>324</v>
      </c>
      <c r="K385" t="s">
        <v>358</v>
      </c>
      <c r="L385" s="157">
        <v>46167</v>
      </c>
      <c r="M385" t="s">
        <v>282</v>
      </c>
      <c r="N385" t="s">
        <v>290</v>
      </c>
      <c r="O385" t="s">
        <v>293</v>
      </c>
      <c r="P385">
        <v>3</v>
      </c>
      <c r="Q385" t="s">
        <v>273</v>
      </c>
    </row>
    <row r="386" spans="1:17" s="29" customFormat="1">
      <c r="A386" s="41">
        <v>2.0262149166666667E-2</v>
      </c>
      <c r="B386" t="s">
        <v>116</v>
      </c>
      <c r="C386" t="s">
        <v>367</v>
      </c>
      <c r="D386"/>
      <c r="E386" t="s">
        <v>59</v>
      </c>
      <c r="F386"/>
      <c r="G386" t="s">
        <v>204</v>
      </c>
      <c r="H386"/>
      <c r="I386" s="158">
        <v>46241.667337962965</v>
      </c>
      <c r="J386" t="s">
        <v>324</v>
      </c>
      <c r="K386" t="s">
        <v>358</v>
      </c>
      <c r="L386" s="157">
        <v>46167</v>
      </c>
      <c r="M386" t="s">
        <v>282</v>
      </c>
      <c r="N386" t="s">
        <v>290</v>
      </c>
      <c r="O386" t="s">
        <v>293</v>
      </c>
      <c r="P386">
        <v>3</v>
      </c>
      <c r="Q386" t="s">
        <v>273</v>
      </c>
    </row>
    <row r="387" spans="1:17" s="29" customFormat="1">
      <c r="A387" s="41">
        <v>2.023400946759259E-2</v>
      </c>
      <c r="B387" t="s">
        <v>116</v>
      </c>
      <c r="C387" t="s">
        <v>359</v>
      </c>
      <c r="D387"/>
      <c r="E387" t="s">
        <v>127</v>
      </c>
      <c r="F387"/>
      <c r="G387" t="s">
        <v>204</v>
      </c>
      <c r="H387"/>
      <c r="I387" s="158">
        <v>46241.667164351849</v>
      </c>
      <c r="J387" t="s">
        <v>324</v>
      </c>
      <c r="K387" t="s">
        <v>358</v>
      </c>
      <c r="L387" s="157">
        <v>46167</v>
      </c>
      <c r="M387" t="s">
        <v>282</v>
      </c>
      <c r="N387" t="s">
        <v>290</v>
      </c>
      <c r="O387" t="s">
        <v>293</v>
      </c>
      <c r="P387">
        <v>3</v>
      </c>
      <c r="Q387" t="s">
        <v>273</v>
      </c>
    </row>
    <row r="388" spans="1:17" s="29" customFormat="1">
      <c r="A388" s="41">
        <v>2.0143777858796296E-2</v>
      </c>
      <c r="B388" t="s">
        <v>116</v>
      </c>
      <c r="C388" t="s">
        <v>361</v>
      </c>
      <c r="D388"/>
      <c r="E388" t="s">
        <v>59</v>
      </c>
      <c r="F388"/>
      <c r="G388" t="s">
        <v>204</v>
      </c>
      <c r="H388"/>
      <c r="I388" s="158">
        <v>46241.666886574072</v>
      </c>
      <c r="J388" t="s">
        <v>324</v>
      </c>
      <c r="K388" t="s">
        <v>358</v>
      </c>
      <c r="L388" s="157">
        <v>46167</v>
      </c>
      <c r="M388" t="s">
        <v>282</v>
      </c>
      <c r="N388" t="s">
        <v>290</v>
      </c>
      <c r="O388" t="s">
        <v>293</v>
      </c>
      <c r="P388">
        <v>3</v>
      </c>
      <c r="Q388" t="s">
        <v>273</v>
      </c>
    </row>
    <row r="389" spans="1:17" s="29" customFormat="1">
      <c r="A389" s="41">
        <v>2.0062832997685187E-2</v>
      </c>
      <c r="B389" t="s">
        <v>116</v>
      </c>
      <c r="C389" t="s">
        <v>383</v>
      </c>
      <c r="D389"/>
      <c r="E389" t="s">
        <v>59</v>
      </c>
      <c r="F389"/>
      <c r="G389" t="s">
        <v>204</v>
      </c>
      <c r="H389"/>
      <c r="I389" s="158">
        <v>46241.666770833333</v>
      </c>
      <c r="J389" t="s">
        <v>324</v>
      </c>
      <c r="K389" t="s">
        <v>358</v>
      </c>
      <c r="L389" s="157">
        <v>46167</v>
      </c>
      <c r="M389" t="s">
        <v>282</v>
      </c>
      <c r="N389" t="s">
        <v>290</v>
      </c>
      <c r="O389" t="s">
        <v>293</v>
      </c>
      <c r="P389">
        <v>3</v>
      </c>
      <c r="Q389" t="s">
        <v>273</v>
      </c>
    </row>
    <row r="390" spans="1:17" s="29" customFormat="1">
      <c r="A390" s="41">
        <v>2.0051203298611112E-2</v>
      </c>
      <c r="B390" t="s">
        <v>116</v>
      </c>
      <c r="C390" t="s">
        <v>385</v>
      </c>
      <c r="D390"/>
      <c r="E390" t="s">
        <v>59</v>
      </c>
      <c r="F390"/>
      <c r="G390" t="s">
        <v>204</v>
      </c>
      <c r="H390"/>
      <c r="I390" s="158">
        <v>46241.666689814818</v>
      </c>
      <c r="J390" t="s">
        <v>324</v>
      </c>
      <c r="K390" t="s">
        <v>358</v>
      </c>
      <c r="L390" s="157">
        <v>46167</v>
      </c>
      <c r="M390" t="s">
        <v>282</v>
      </c>
      <c r="N390" t="s">
        <v>290</v>
      </c>
      <c r="O390" t="s">
        <v>293</v>
      </c>
      <c r="P390">
        <v>3</v>
      </c>
      <c r="Q390" t="s">
        <v>273</v>
      </c>
    </row>
    <row r="391" spans="1:17" s="29" customFormat="1">
      <c r="A391" s="41">
        <v>2.0021457071759258E-2</v>
      </c>
      <c r="B391" t="s">
        <v>116</v>
      </c>
      <c r="C391" t="s">
        <v>369</v>
      </c>
      <c r="D391"/>
      <c r="E391" t="s">
        <v>127</v>
      </c>
      <c r="F391"/>
      <c r="G391" t="s">
        <v>204</v>
      </c>
      <c r="H391"/>
      <c r="I391" s="158">
        <v>46241.666342592594</v>
      </c>
      <c r="J391" t="s">
        <v>324</v>
      </c>
      <c r="K391" t="s">
        <v>358</v>
      </c>
      <c r="L391" s="157">
        <v>46167</v>
      </c>
      <c r="M391" t="s">
        <v>282</v>
      </c>
      <c r="N391" t="s">
        <v>290</v>
      </c>
      <c r="O391" t="s">
        <v>293</v>
      </c>
      <c r="P391">
        <v>3</v>
      </c>
      <c r="Q391" t="s">
        <v>273</v>
      </c>
    </row>
    <row r="392" spans="1:17" s="29" customFormat="1">
      <c r="A392" s="41">
        <v>1.9992525729166669E-2</v>
      </c>
      <c r="B392" t="s">
        <v>116</v>
      </c>
      <c r="C392" t="s">
        <v>381</v>
      </c>
      <c r="D392"/>
      <c r="E392" t="s">
        <v>127</v>
      </c>
      <c r="F392"/>
      <c r="G392" t="s">
        <v>204</v>
      </c>
      <c r="H392"/>
      <c r="I392" s="158">
        <v>46241.666215277779</v>
      </c>
      <c r="J392" t="s">
        <v>324</v>
      </c>
      <c r="K392" t="s">
        <v>358</v>
      </c>
      <c r="L392" s="157">
        <v>46167</v>
      </c>
      <c r="M392" t="s">
        <v>282</v>
      </c>
      <c r="N392" t="s">
        <v>290</v>
      </c>
      <c r="O392" t="s">
        <v>293</v>
      </c>
      <c r="P392">
        <v>3</v>
      </c>
      <c r="Q392" t="s">
        <v>273</v>
      </c>
    </row>
    <row r="393" spans="1:17" s="29" customFormat="1">
      <c r="A393" s="41">
        <v>1.9982087256944444E-2</v>
      </c>
      <c r="B393" t="s">
        <v>116</v>
      </c>
      <c r="C393" t="s">
        <v>383</v>
      </c>
      <c r="D393"/>
      <c r="E393" t="s">
        <v>59</v>
      </c>
      <c r="F393"/>
      <c r="G393" t="s">
        <v>204</v>
      </c>
      <c r="H393"/>
      <c r="I393" s="158">
        <v>46241.66605324074</v>
      </c>
      <c r="J393" t="s">
        <v>324</v>
      </c>
      <c r="K393" t="s">
        <v>358</v>
      </c>
      <c r="L393" s="157">
        <v>46167</v>
      </c>
      <c r="M393" t="s">
        <v>282</v>
      </c>
      <c r="N393" t="s">
        <v>290</v>
      </c>
      <c r="O393" t="s">
        <v>293</v>
      </c>
      <c r="P393">
        <v>3</v>
      </c>
      <c r="Q393" t="s">
        <v>273</v>
      </c>
    </row>
    <row r="394" spans="1:17" s="29" customFormat="1">
      <c r="A394" s="41">
        <v>1.9895398194444445E-2</v>
      </c>
      <c r="B394" t="s">
        <v>116</v>
      </c>
      <c r="C394" t="s">
        <v>363</v>
      </c>
      <c r="D394"/>
      <c r="E394" t="s">
        <v>127</v>
      </c>
      <c r="F394"/>
      <c r="G394" t="s">
        <v>204</v>
      </c>
      <c r="H394"/>
      <c r="I394" s="158">
        <v>46241.665798611109</v>
      </c>
      <c r="J394" t="s">
        <v>324</v>
      </c>
      <c r="K394" t="s">
        <v>358</v>
      </c>
      <c r="L394" s="157">
        <v>46167</v>
      </c>
      <c r="M394" t="s">
        <v>282</v>
      </c>
      <c r="N394" t="s">
        <v>290</v>
      </c>
      <c r="O394" t="s">
        <v>293</v>
      </c>
      <c r="P394">
        <v>3</v>
      </c>
      <c r="Q394" t="s">
        <v>273</v>
      </c>
    </row>
    <row r="395" spans="1:17" s="29" customFormat="1">
      <c r="A395" s="41">
        <v>1.9814368645833334E-2</v>
      </c>
      <c r="B395" t="s">
        <v>116</v>
      </c>
      <c r="C395" t="s">
        <v>385</v>
      </c>
      <c r="D395"/>
      <c r="E395" t="s">
        <v>127</v>
      </c>
      <c r="F395"/>
      <c r="G395" t="s">
        <v>204</v>
      </c>
      <c r="H395"/>
      <c r="I395" s="158">
        <v>46241.665636574071</v>
      </c>
      <c r="J395" t="s">
        <v>324</v>
      </c>
      <c r="K395" t="s">
        <v>358</v>
      </c>
      <c r="L395" s="157">
        <v>46167</v>
      </c>
      <c r="M395" t="s">
        <v>282</v>
      </c>
      <c r="N395" t="s">
        <v>290</v>
      </c>
      <c r="O395" t="s">
        <v>293</v>
      </c>
      <c r="P395">
        <v>3</v>
      </c>
      <c r="Q395" t="s">
        <v>273</v>
      </c>
    </row>
    <row r="396" spans="1:17" s="29" customFormat="1">
      <c r="A396" s="41">
        <v>1.9786428634259261E-2</v>
      </c>
      <c r="B396" t="s">
        <v>116</v>
      </c>
      <c r="C396" t="s">
        <v>379</v>
      </c>
      <c r="D396"/>
      <c r="E396" t="s">
        <v>59</v>
      </c>
      <c r="F396"/>
      <c r="G396" t="s">
        <v>204</v>
      </c>
      <c r="H396"/>
      <c r="I396" s="158">
        <v>46241.665196759262</v>
      </c>
      <c r="J396" t="s">
        <v>324</v>
      </c>
      <c r="K396" t="s">
        <v>358</v>
      </c>
      <c r="L396" s="157">
        <v>46167</v>
      </c>
      <c r="M396" t="s">
        <v>282</v>
      </c>
      <c r="N396" t="s">
        <v>290</v>
      </c>
      <c r="O396" t="s">
        <v>293</v>
      </c>
      <c r="P396">
        <v>3</v>
      </c>
      <c r="Q396" t="s">
        <v>273</v>
      </c>
    </row>
    <row r="397" spans="1:17" s="29" customFormat="1">
      <c r="A397" s="41">
        <v>1.9740039409722222E-2</v>
      </c>
      <c r="B397" t="s">
        <v>116</v>
      </c>
      <c r="C397"/>
      <c r="D397"/>
      <c r="E397" t="s">
        <v>228</v>
      </c>
      <c r="F397"/>
      <c r="G397" t="s">
        <v>204</v>
      </c>
      <c r="H397"/>
      <c r="I397" s="158">
        <v>46241.66511574074</v>
      </c>
      <c r="J397" t="s">
        <v>324</v>
      </c>
      <c r="K397" t="s">
        <v>358</v>
      </c>
      <c r="L397" s="157">
        <v>46167</v>
      </c>
      <c r="M397" t="s">
        <v>282</v>
      </c>
      <c r="N397" t="s">
        <v>290</v>
      </c>
      <c r="O397" t="s">
        <v>293</v>
      </c>
      <c r="P397">
        <v>3</v>
      </c>
      <c r="Q397" t="s">
        <v>273</v>
      </c>
    </row>
    <row r="398" spans="1:17" s="29" customFormat="1">
      <c r="A398" s="41">
        <v>1.9676356331018517E-2</v>
      </c>
      <c r="B398" t="s">
        <v>116</v>
      </c>
      <c r="C398"/>
      <c r="D398"/>
      <c r="E398" t="s">
        <v>224</v>
      </c>
      <c r="F398"/>
      <c r="G398" t="s">
        <v>117</v>
      </c>
      <c r="H398"/>
      <c r="I398" s="158">
        <v>46241.665034722224</v>
      </c>
      <c r="J398" t="s">
        <v>324</v>
      </c>
      <c r="K398" t="s">
        <v>358</v>
      </c>
      <c r="L398" s="157">
        <v>46167</v>
      </c>
      <c r="M398" t="s">
        <v>282</v>
      </c>
      <c r="N398" t="s">
        <v>290</v>
      </c>
      <c r="O398" t="s">
        <v>293</v>
      </c>
      <c r="P398">
        <v>3</v>
      </c>
      <c r="Q398" t="s">
        <v>273</v>
      </c>
    </row>
    <row r="399" spans="1:17" s="29" customFormat="1">
      <c r="A399" s="41">
        <v>1.9566308020833333E-2</v>
      </c>
      <c r="B399" t="s">
        <v>116</v>
      </c>
      <c r="C399"/>
      <c r="D399"/>
      <c r="E399" t="s">
        <v>127</v>
      </c>
      <c r="F399"/>
      <c r="G399" t="s">
        <v>117</v>
      </c>
      <c r="H399"/>
      <c r="I399" s="158">
        <v>46241.664884259262</v>
      </c>
      <c r="J399" t="s">
        <v>324</v>
      </c>
      <c r="K399" t="s">
        <v>358</v>
      </c>
      <c r="L399" s="157">
        <v>46167</v>
      </c>
      <c r="M399" t="s">
        <v>282</v>
      </c>
      <c r="N399" t="s">
        <v>290</v>
      </c>
      <c r="O399" t="s">
        <v>293</v>
      </c>
      <c r="P399">
        <v>3</v>
      </c>
      <c r="Q399" t="s">
        <v>273</v>
      </c>
    </row>
    <row r="400" spans="1:17" s="29" customFormat="1">
      <c r="A400" s="41">
        <v>1.9530298912037038E-2</v>
      </c>
      <c r="B400" t="s">
        <v>116</v>
      </c>
      <c r="C400"/>
      <c r="D400"/>
      <c r="E400" t="s">
        <v>226</v>
      </c>
      <c r="F400"/>
      <c r="G400" t="s">
        <v>117</v>
      </c>
      <c r="H400"/>
      <c r="I400" s="158">
        <v>46241.664849537039</v>
      </c>
      <c r="J400" t="s">
        <v>324</v>
      </c>
      <c r="K400" t="s">
        <v>358</v>
      </c>
      <c r="L400" s="157">
        <v>46167</v>
      </c>
      <c r="M400" t="s">
        <v>282</v>
      </c>
      <c r="N400" t="s">
        <v>290</v>
      </c>
      <c r="O400" t="s">
        <v>293</v>
      </c>
      <c r="P400">
        <v>3</v>
      </c>
      <c r="Q400" t="s">
        <v>273</v>
      </c>
    </row>
    <row r="401" spans="1:17" s="29" customFormat="1">
      <c r="A401" s="41">
        <v>1.9482763657407406E-2</v>
      </c>
      <c r="B401" t="s">
        <v>116</v>
      </c>
      <c r="C401"/>
      <c r="D401"/>
      <c r="E401" t="s">
        <v>119</v>
      </c>
      <c r="F401"/>
      <c r="G401" t="s">
        <v>117</v>
      </c>
      <c r="H401"/>
      <c r="I401" s="158">
        <v>46241.664699074077</v>
      </c>
      <c r="J401" t="s">
        <v>324</v>
      </c>
      <c r="K401" t="s">
        <v>358</v>
      </c>
      <c r="L401" s="157">
        <v>46167</v>
      </c>
      <c r="M401" t="s">
        <v>282</v>
      </c>
      <c r="N401" t="s">
        <v>290</v>
      </c>
      <c r="O401" t="s">
        <v>293</v>
      </c>
      <c r="P401">
        <v>3</v>
      </c>
      <c r="Q401" t="s">
        <v>273</v>
      </c>
    </row>
    <row r="402" spans="1:17" s="29" customFormat="1">
      <c r="A402" s="41">
        <v>1.9063153298611111E-2</v>
      </c>
      <c r="B402" t="s">
        <v>116</v>
      </c>
      <c r="C402" t="s">
        <v>377</v>
      </c>
      <c r="D402"/>
      <c r="E402" t="s">
        <v>135</v>
      </c>
      <c r="F402"/>
      <c r="G402" t="s">
        <v>117</v>
      </c>
      <c r="H402"/>
      <c r="I402" s="158">
        <v>46240.753472222219</v>
      </c>
      <c r="J402" t="s">
        <v>324</v>
      </c>
      <c r="K402" t="s">
        <v>358</v>
      </c>
      <c r="L402" s="157">
        <v>46167</v>
      </c>
      <c r="M402" t="s">
        <v>282</v>
      </c>
      <c r="N402" t="s">
        <v>290</v>
      </c>
      <c r="O402" t="s">
        <v>293</v>
      </c>
      <c r="P402">
        <v>3</v>
      </c>
      <c r="Q402" t="s">
        <v>273</v>
      </c>
    </row>
    <row r="403" spans="1:17" s="29" customFormat="1">
      <c r="A403" s="41">
        <v>1.8238050115740742E-2</v>
      </c>
      <c r="B403" t="s">
        <v>116</v>
      </c>
      <c r="C403"/>
      <c r="D403"/>
      <c r="E403" t="s">
        <v>88</v>
      </c>
      <c r="F403"/>
      <c r="G403" t="s">
        <v>117</v>
      </c>
      <c r="H403"/>
      <c r="I403" s="158">
        <v>46240.751076388886</v>
      </c>
      <c r="J403" t="s">
        <v>324</v>
      </c>
      <c r="K403" t="s">
        <v>358</v>
      </c>
      <c r="L403" s="157">
        <v>46167</v>
      </c>
      <c r="M403" t="s">
        <v>282</v>
      </c>
      <c r="N403" t="s">
        <v>290</v>
      </c>
      <c r="O403" t="s">
        <v>293</v>
      </c>
      <c r="P403">
        <v>3</v>
      </c>
      <c r="Q403" t="s">
        <v>273</v>
      </c>
    </row>
    <row r="404" spans="1:17" s="29" customFormat="1">
      <c r="A404" s="41">
        <v>1.8238050115740742E-2</v>
      </c>
      <c r="B404" t="s">
        <v>116</v>
      </c>
      <c r="C404"/>
      <c r="D404"/>
      <c r="E404" t="s">
        <v>253</v>
      </c>
      <c r="F404" t="s">
        <v>247</v>
      </c>
      <c r="G404" t="s">
        <v>117</v>
      </c>
      <c r="H404"/>
      <c r="I404" s="158">
        <v>46240.751076388886</v>
      </c>
      <c r="J404" t="s">
        <v>324</v>
      </c>
      <c r="K404" t="s">
        <v>358</v>
      </c>
      <c r="L404" s="157">
        <v>46167</v>
      </c>
      <c r="M404" t="s">
        <v>282</v>
      </c>
      <c r="N404" t="s">
        <v>290</v>
      </c>
      <c r="O404" t="s">
        <v>293</v>
      </c>
      <c r="P404">
        <v>3</v>
      </c>
      <c r="Q404" t="s">
        <v>273</v>
      </c>
    </row>
    <row r="405" spans="1:17" s="29" customFormat="1">
      <c r="A405" s="41">
        <v>1.818008884259259E-2</v>
      </c>
      <c r="B405" t="s">
        <v>116</v>
      </c>
      <c r="C405"/>
      <c r="D405"/>
      <c r="E405" t="s">
        <v>127</v>
      </c>
      <c r="F405"/>
      <c r="G405" t="s">
        <v>117</v>
      </c>
      <c r="H405"/>
      <c r="I405" s="158">
        <v>46240.75072916667</v>
      </c>
      <c r="J405" t="s">
        <v>324</v>
      </c>
      <c r="K405" t="s">
        <v>358</v>
      </c>
      <c r="L405" s="157">
        <v>46167</v>
      </c>
      <c r="M405" t="s">
        <v>282</v>
      </c>
      <c r="N405" t="s">
        <v>290</v>
      </c>
      <c r="O405" t="s">
        <v>293</v>
      </c>
      <c r="P405">
        <v>3</v>
      </c>
      <c r="Q405" t="s">
        <v>273</v>
      </c>
    </row>
    <row r="406" spans="1:17" s="29" customFormat="1">
      <c r="A406" s="41">
        <v>1.8095981076388889E-2</v>
      </c>
      <c r="B406" t="s">
        <v>116</v>
      </c>
      <c r="C406"/>
      <c r="D406"/>
      <c r="E406" t="s">
        <v>127</v>
      </c>
      <c r="F406"/>
      <c r="G406" t="s">
        <v>117</v>
      </c>
      <c r="H406"/>
      <c r="I406" s="158">
        <v>46240.750636574077</v>
      </c>
      <c r="J406" t="s">
        <v>324</v>
      </c>
      <c r="K406" t="s">
        <v>358</v>
      </c>
      <c r="L406" s="157">
        <v>46167</v>
      </c>
      <c r="M406" t="s">
        <v>282</v>
      </c>
      <c r="N406" t="s">
        <v>290</v>
      </c>
      <c r="O406" t="s">
        <v>293</v>
      </c>
      <c r="P406">
        <v>3</v>
      </c>
      <c r="Q406" t="s">
        <v>273</v>
      </c>
    </row>
    <row r="407" spans="1:17" s="29" customFormat="1">
      <c r="A407" s="41">
        <v>1.8065231886574076E-2</v>
      </c>
      <c r="B407" t="s">
        <v>116</v>
      </c>
      <c r="C407"/>
      <c r="D407"/>
      <c r="E407" t="s">
        <v>127</v>
      </c>
      <c r="F407"/>
      <c r="G407" t="s">
        <v>117</v>
      </c>
      <c r="H407"/>
      <c r="I407" s="158">
        <v>46240.750613425924</v>
      </c>
      <c r="J407" t="s">
        <v>324</v>
      </c>
      <c r="K407" t="s">
        <v>358</v>
      </c>
      <c r="L407" s="157">
        <v>46167</v>
      </c>
      <c r="M407" t="s">
        <v>282</v>
      </c>
      <c r="N407" t="s">
        <v>290</v>
      </c>
      <c r="O407" t="s">
        <v>293</v>
      </c>
      <c r="P407">
        <v>3</v>
      </c>
      <c r="Q407" t="s">
        <v>273</v>
      </c>
    </row>
    <row r="408" spans="1:17" s="29" customFormat="1">
      <c r="A408" s="41">
        <v>1.7988371898148149E-2</v>
      </c>
      <c r="B408" t="s">
        <v>116</v>
      </c>
      <c r="C408"/>
      <c r="D408"/>
      <c r="E408" t="s">
        <v>226</v>
      </c>
      <c r="F408"/>
      <c r="G408" t="s">
        <v>117</v>
      </c>
      <c r="H408"/>
      <c r="I408" s="158">
        <v>46240.750532407408</v>
      </c>
      <c r="J408" t="s">
        <v>324</v>
      </c>
      <c r="K408" t="s">
        <v>358</v>
      </c>
      <c r="L408" s="157">
        <v>46167</v>
      </c>
      <c r="M408" t="s">
        <v>282</v>
      </c>
      <c r="N408" t="s">
        <v>290</v>
      </c>
      <c r="O408" t="s">
        <v>293</v>
      </c>
      <c r="P408">
        <v>3</v>
      </c>
      <c r="Q408" t="s">
        <v>273</v>
      </c>
    </row>
    <row r="409" spans="1:17" s="29" customFormat="1">
      <c r="A409" s="41">
        <v>1.7937031990740739E-2</v>
      </c>
      <c r="B409" t="s">
        <v>116</v>
      </c>
      <c r="C409"/>
      <c r="D409"/>
      <c r="E409" t="s">
        <v>224</v>
      </c>
      <c r="F409"/>
      <c r="G409" t="s">
        <v>204</v>
      </c>
      <c r="H409"/>
      <c r="I409" s="158">
        <v>46240.750486111108</v>
      </c>
      <c r="J409" t="s">
        <v>324</v>
      </c>
      <c r="K409" t="s">
        <v>358</v>
      </c>
      <c r="L409" s="157">
        <v>46167</v>
      </c>
      <c r="M409" t="s">
        <v>282</v>
      </c>
      <c r="N409" t="s">
        <v>290</v>
      </c>
      <c r="O409" t="s">
        <v>293</v>
      </c>
      <c r="P409">
        <v>3</v>
      </c>
      <c r="Q409" t="s">
        <v>273</v>
      </c>
    </row>
    <row r="410" spans="1:17" s="29" customFormat="1">
      <c r="A410" s="41">
        <v>1.7804141053240741E-2</v>
      </c>
      <c r="B410" t="s">
        <v>116</v>
      </c>
      <c r="C410" t="s">
        <v>369</v>
      </c>
      <c r="D410"/>
      <c r="E410" t="s">
        <v>127</v>
      </c>
      <c r="F410"/>
      <c r="G410" t="s">
        <v>204</v>
      </c>
      <c r="H410"/>
      <c r="I410" s="158">
        <v>46240.750324074077</v>
      </c>
      <c r="J410" t="s">
        <v>324</v>
      </c>
      <c r="K410" t="s">
        <v>358</v>
      </c>
      <c r="L410" s="157">
        <v>46167</v>
      </c>
      <c r="M410" t="s">
        <v>282</v>
      </c>
      <c r="N410" t="s">
        <v>290</v>
      </c>
      <c r="O410" t="s">
        <v>293</v>
      </c>
      <c r="P410">
        <v>3</v>
      </c>
      <c r="Q410" t="s">
        <v>273</v>
      </c>
    </row>
    <row r="411" spans="1:17" s="29" customFormat="1">
      <c r="A411" s="41">
        <v>1.7775876840277777E-2</v>
      </c>
      <c r="B411" t="s">
        <v>116</v>
      </c>
      <c r="C411" t="s">
        <v>379</v>
      </c>
      <c r="D411"/>
      <c r="E411" t="s">
        <v>127</v>
      </c>
      <c r="F411"/>
      <c r="G411" t="s">
        <v>204</v>
      </c>
      <c r="H411"/>
      <c r="I411" s="158">
        <v>46240.749641203707</v>
      </c>
      <c r="J411" t="s">
        <v>324</v>
      </c>
      <c r="K411" t="s">
        <v>358</v>
      </c>
      <c r="L411" s="157">
        <v>46167</v>
      </c>
      <c r="M411" t="s">
        <v>282</v>
      </c>
      <c r="N411" t="s">
        <v>290</v>
      </c>
      <c r="O411" t="s">
        <v>293</v>
      </c>
      <c r="P411">
        <v>3</v>
      </c>
      <c r="Q411" t="s">
        <v>273</v>
      </c>
    </row>
    <row r="412" spans="1:17" s="29" customFormat="1">
      <c r="A412" s="41">
        <v>1.7768665729166667E-2</v>
      </c>
      <c r="B412" t="s">
        <v>116</v>
      </c>
      <c r="C412"/>
      <c r="D412"/>
      <c r="E412" t="s">
        <v>228</v>
      </c>
      <c r="F412"/>
      <c r="G412" t="s">
        <v>204</v>
      </c>
      <c r="H412"/>
      <c r="I412" s="158">
        <v>46240.749305555553</v>
      </c>
      <c r="J412" t="s">
        <v>324</v>
      </c>
      <c r="K412" t="s">
        <v>358</v>
      </c>
      <c r="L412" s="157">
        <v>46167</v>
      </c>
      <c r="M412" t="s">
        <v>282</v>
      </c>
      <c r="N412" t="s">
        <v>290</v>
      </c>
      <c r="O412" t="s">
        <v>293</v>
      </c>
      <c r="P412">
        <v>3</v>
      </c>
      <c r="Q412" t="s">
        <v>273</v>
      </c>
    </row>
    <row r="413" spans="1:17" s="29" customFormat="1">
      <c r="A413" s="41">
        <v>1.771639730324074E-2</v>
      </c>
      <c r="B413" t="s">
        <v>116</v>
      </c>
      <c r="C413"/>
      <c r="D413"/>
      <c r="E413" t="s">
        <v>119</v>
      </c>
      <c r="F413"/>
      <c r="G413" t="s">
        <v>204</v>
      </c>
      <c r="H413"/>
      <c r="I413" s="158">
        <v>46240.749259259261</v>
      </c>
      <c r="J413" t="s">
        <v>324</v>
      </c>
      <c r="K413" t="s">
        <v>358</v>
      </c>
      <c r="L413" s="157">
        <v>46167</v>
      </c>
      <c r="M413" t="s">
        <v>282</v>
      </c>
      <c r="N413" t="s">
        <v>290</v>
      </c>
      <c r="O413" t="s">
        <v>293</v>
      </c>
      <c r="P413">
        <v>3</v>
      </c>
      <c r="Q413" t="s">
        <v>273</v>
      </c>
    </row>
    <row r="414" spans="1:17" s="29" customFormat="1">
      <c r="A414" s="41">
        <v>1.7424710995370372E-2</v>
      </c>
      <c r="B414" t="s">
        <v>116</v>
      </c>
      <c r="C414"/>
      <c r="D414"/>
      <c r="E414" t="s">
        <v>134</v>
      </c>
      <c r="F414"/>
      <c r="G414" t="s">
        <v>204</v>
      </c>
      <c r="H414"/>
      <c r="I414" s="158">
        <v>46240.749097222222</v>
      </c>
      <c r="J414" t="s">
        <v>324</v>
      </c>
      <c r="K414" t="s">
        <v>358</v>
      </c>
      <c r="L414" s="157">
        <v>46167</v>
      </c>
      <c r="M414" t="s">
        <v>282</v>
      </c>
      <c r="N414" t="s">
        <v>290</v>
      </c>
      <c r="O414" t="s">
        <v>293</v>
      </c>
      <c r="P414">
        <v>3</v>
      </c>
      <c r="Q414" t="s">
        <v>273</v>
      </c>
    </row>
    <row r="415" spans="1:17" s="29" customFormat="1">
      <c r="A415" s="41">
        <v>1.6826972314814816E-2</v>
      </c>
      <c r="B415" t="s">
        <v>116</v>
      </c>
      <c r="C415"/>
      <c r="D415"/>
      <c r="E415" t="s">
        <v>88</v>
      </c>
      <c r="F415"/>
      <c r="G415" t="s">
        <v>204</v>
      </c>
      <c r="H415"/>
      <c r="I415" s="158">
        <v>46240.748425925929</v>
      </c>
      <c r="J415" t="s">
        <v>324</v>
      </c>
      <c r="K415" t="s">
        <v>358</v>
      </c>
      <c r="L415" s="157">
        <v>46167</v>
      </c>
      <c r="M415" t="s">
        <v>282</v>
      </c>
      <c r="N415" t="s">
        <v>290</v>
      </c>
      <c r="O415" t="s">
        <v>293</v>
      </c>
      <c r="P415">
        <v>3</v>
      </c>
      <c r="Q415" t="s">
        <v>273</v>
      </c>
    </row>
    <row r="416" spans="1:17" s="29" customFormat="1">
      <c r="A416" s="41">
        <v>1.6826972314814816E-2</v>
      </c>
      <c r="B416" t="s">
        <v>116</v>
      </c>
      <c r="C416"/>
      <c r="D416"/>
      <c r="E416" t="s">
        <v>122</v>
      </c>
      <c r="F416"/>
      <c r="G416" t="s">
        <v>204</v>
      </c>
      <c r="H416"/>
      <c r="I416" s="158">
        <v>46240.748425925929</v>
      </c>
      <c r="J416" t="s">
        <v>324</v>
      </c>
      <c r="K416" t="s">
        <v>358</v>
      </c>
      <c r="L416" s="157">
        <v>46167</v>
      </c>
      <c r="M416" t="s">
        <v>282</v>
      </c>
      <c r="N416" t="s">
        <v>290</v>
      </c>
      <c r="O416" t="s">
        <v>293</v>
      </c>
      <c r="P416">
        <v>3</v>
      </c>
      <c r="Q416" t="s">
        <v>273</v>
      </c>
    </row>
    <row r="417" spans="1:17" s="29" customFormat="1">
      <c r="A417" s="41">
        <v>1.676898105324074E-2</v>
      </c>
      <c r="B417" t="s">
        <v>116</v>
      </c>
      <c r="C417" t="s">
        <v>383</v>
      </c>
      <c r="D417"/>
      <c r="E417" t="s">
        <v>127</v>
      </c>
      <c r="F417"/>
      <c r="G417" t="s">
        <v>204</v>
      </c>
      <c r="H417"/>
      <c r="I417" s="158">
        <v>46240.74832175926</v>
      </c>
      <c r="J417" t="s">
        <v>324</v>
      </c>
      <c r="K417" t="s">
        <v>358</v>
      </c>
      <c r="L417" s="157">
        <v>46167</v>
      </c>
      <c r="M417" t="s">
        <v>282</v>
      </c>
      <c r="N417" t="s">
        <v>290</v>
      </c>
      <c r="O417" t="s">
        <v>293</v>
      </c>
      <c r="P417">
        <v>3</v>
      </c>
      <c r="Q417" t="s">
        <v>273</v>
      </c>
    </row>
    <row r="418" spans="1:17" s="29" customFormat="1">
      <c r="A418" s="41">
        <v>1.6746198576388888E-2</v>
      </c>
      <c r="B418" t="s">
        <v>116</v>
      </c>
      <c r="C418" t="s">
        <v>377</v>
      </c>
      <c r="D418"/>
      <c r="E418" t="s">
        <v>127</v>
      </c>
      <c r="F418"/>
      <c r="G418" t="s">
        <v>204</v>
      </c>
      <c r="H418"/>
      <c r="I418" s="158">
        <v>46240.748159722221</v>
      </c>
      <c r="J418" t="s">
        <v>324</v>
      </c>
      <c r="K418" t="s">
        <v>358</v>
      </c>
      <c r="L418" s="157">
        <v>46167</v>
      </c>
      <c r="M418" t="s">
        <v>282</v>
      </c>
      <c r="N418" t="s">
        <v>290</v>
      </c>
      <c r="O418" t="s">
        <v>293</v>
      </c>
      <c r="P418">
        <v>3</v>
      </c>
      <c r="Q418" t="s">
        <v>273</v>
      </c>
    </row>
    <row r="419" spans="1:17" s="29" customFormat="1">
      <c r="A419" s="41">
        <v>1.6689654756944446E-2</v>
      </c>
      <c r="B419" t="s">
        <v>116</v>
      </c>
      <c r="C419"/>
      <c r="D419"/>
      <c r="E419" t="s">
        <v>338</v>
      </c>
      <c r="F419"/>
      <c r="G419" t="s">
        <v>204</v>
      </c>
      <c r="H419"/>
      <c r="I419" s="158">
        <v>46240.747777777775</v>
      </c>
      <c r="J419" t="s">
        <v>324</v>
      </c>
      <c r="K419" t="s">
        <v>358</v>
      </c>
      <c r="L419" s="157">
        <v>46167</v>
      </c>
      <c r="M419" t="s">
        <v>282</v>
      </c>
      <c r="N419" t="s">
        <v>290</v>
      </c>
      <c r="O419" t="s">
        <v>293</v>
      </c>
      <c r="P419">
        <v>3</v>
      </c>
      <c r="Q419" t="s">
        <v>273</v>
      </c>
    </row>
    <row r="420" spans="1:17" s="29" customFormat="1">
      <c r="A420" s="41">
        <v>1.659717570601852E-2</v>
      </c>
      <c r="B420" t="s">
        <v>116</v>
      </c>
      <c r="C420"/>
      <c r="D420"/>
      <c r="E420" t="s">
        <v>124</v>
      </c>
      <c r="F420"/>
      <c r="G420" t="s">
        <v>204</v>
      </c>
      <c r="H420"/>
      <c r="I420" s="158">
        <v>46240.747685185182</v>
      </c>
      <c r="J420" t="s">
        <v>324</v>
      </c>
      <c r="K420" t="s">
        <v>358</v>
      </c>
      <c r="L420" s="157">
        <v>46167</v>
      </c>
      <c r="M420" t="s">
        <v>282</v>
      </c>
      <c r="N420" t="s">
        <v>290</v>
      </c>
      <c r="O420" t="s">
        <v>293</v>
      </c>
      <c r="P420">
        <v>3</v>
      </c>
      <c r="Q420" t="s">
        <v>273</v>
      </c>
    </row>
    <row r="421" spans="1:17" s="29" customFormat="1">
      <c r="A421" s="41">
        <v>1.618282443287037E-2</v>
      </c>
      <c r="B421" t="s">
        <v>116</v>
      </c>
      <c r="C421"/>
      <c r="D421"/>
      <c r="E421" t="s">
        <v>88</v>
      </c>
      <c r="F421"/>
      <c r="G421" t="s">
        <v>204</v>
      </c>
      <c r="H421"/>
      <c r="I421" s="158">
        <v>46240.74732638889</v>
      </c>
      <c r="J421" t="s">
        <v>324</v>
      </c>
      <c r="K421" t="s">
        <v>358</v>
      </c>
      <c r="L421" s="157">
        <v>46167</v>
      </c>
      <c r="M421" t="s">
        <v>282</v>
      </c>
      <c r="N421" t="s">
        <v>290</v>
      </c>
      <c r="O421" t="s">
        <v>293</v>
      </c>
      <c r="P421">
        <v>3</v>
      </c>
      <c r="Q421" t="s">
        <v>273</v>
      </c>
    </row>
    <row r="422" spans="1:17" s="29" customFormat="1">
      <c r="A422" s="41">
        <v>1.6061128726851854E-2</v>
      </c>
      <c r="B422" t="s">
        <v>116</v>
      </c>
      <c r="C422"/>
      <c r="D422"/>
      <c r="E422" t="s">
        <v>224</v>
      </c>
      <c r="F422"/>
      <c r="G422" t="s">
        <v>204</v>
      </c>
      <c r="H422"/>
      <c r="I422" s="158">
        <v>46240.747071759259</v>
      </c>
      <c r="J422" t="s">
        <v>324</v>
      </c>
      <c r="K422" t="s">
        <v>358</v>
      </c>
      <c r="L422" s="157">
        <v>46167</v>
      </c>
      <c r="M422" t="s">
        <v>282</v>
      </c>
      <c r="N422" t="s">
        <v>290</v>
      </c>
      <c r="O422" t="s">
        <v>293</v>
      </c>
      <c r="P422">
        <v>3</v>
      </c>
      <c r="Q422" t="s">
        <v>273</v>
      </c>
    </row>
    <row r="423" spans="1:17" s="29" customFormat="1">
      <c r="A423" s="41">
        <v>1.6033031956018517E-2</v>
      </c>
      <c r="B423" t="s">
        <v>116</v>
      </c>
      <c r="C423" t="s">
        <v>379</v>
      </c>
      <c r="D423"/>
      <c r="E423" t="s">
        <v>127</v>
      </c>
      <c r="F423"/>
      <c r="G423" t="s">
        <v>204</v>
      </c>
      <c r="H423"/>
      <c r="I423" s="158">
        <v>46240.746863425928</v>
      </c>
      <c r="J423" t="s">
        <v>324</v>
      </c>
      <c r="K423" t="s">
        <v>358</v>
      </c>
      <c r="L423" s="157">
        <v>46167</v>
      </c>
      <c r="M423" t="s">
        <v>282</v>
      </c>
      <c r="N423" t="s">
        <v>290</v>
      </c>
      <c r="O423" t="s">
        <v>293</v>
      </c>
      <c r="P423">
        <v>3</v>
      </c>
      <c r="Q423" t="s">
        <v>273</v>
      </c>
    </row>
    <row r="424" spans="1:17" s="29" customFormat="1">
      <c r="A424" s="41">
        <v>1.598085298611111E-2</v>
      </c>
      <c r="B424" t="s">
        <v>116</v>
      </c>
      <c r="C424"/>
      <c r="D424"/>
      <c r="E424" t="s">
        <v>228</v>
      </c>
      <c r="F424"/>
      <c r="G424" t="s">
        <v>204</v>
      </c>
      <c r="H424"/>
      <c r="I424" s="158">
        <v>46240.746782407405</v>
      </c>
      <c r="J424" t="s">
        <v>324</v>
      </c>
      <c r="K424" t="s">
        <v>358</v>
      </c>
      <c r="L424" s="157">
        <v>46167</v>
      </c>
      <c r="M424" t="s">
        <v>282</v>
      </c>
      <c r="N424" t="s">
        <v>290</v>
      </c>
      <c r="O424" t="s">
        <v>293</v>
      </c>
      <c r="P424">
        <v>3</v>
      </c>
      <c r="Q424" t="s">
        <v>273</v>
      </c>
    </row>
    <row r="425" spans="1:17" s="29" customFormat="1">
      <c r="A425" s="41">
        <v>1.591141162037037E-2</v>
      </c>
      <c r="B425" t="s">
        <v>116</v>
      </c>
      <c r="C425"/>
      <c r="D425"/>
      <c r="E425" t="s">
        <v>224</v>
      </c>
      <c r="F425"/>
      <c r="G425" t="s">
        <v>117</v>
      </c>
      <c r="H425"/>
      <c r="I425" s="158">
        <v>46240.746712962966</v>
      </c>
      <c r="J425" t="s">
        <v>324</v>
      </c>
      <c r="K425" t="s">
        <v>358</v>
      </c>
      <c r="L425" s="157">
        <v>46167</v>
      </c>
      <c r="M425" t="s">
        <v>282</v>
      </c>
      <c r="N425" t="s">
        <v>290</v>
      </c>
      <c r="O425" t="s">
        <v>293</v>
      </c>
      <c r="P425">
        <v>3</v>
      </c>
      <c r="Q425" t="s">
        <v>273</v>
      </c>
    </row>
    <row r="426" spans="1:17" s="29" customFormat="1">
      <c r="A426" s="41">
        <v>1.5761101192129631E-2</v>
      </c>
      <c r="B426" t="s">
        <v>116</v>
      </c>
      <c r="C426" t="s">
        <v>365</v>
      </c>
      <c r="D426"/>
      <c r="E426" t="s">
        <v>130</v>
      </c>
      <c r="F426"/>
      <c r="G426" t="s">
        <v>117</v>
      </c>
      <c r="H426"/>
      <c r="I426" s="158">
        <v>46240.746516203704</v>
      </c>
      <c r="J426" t="s">
        <v>324</v>
      </c>
      <c r="K426" t="s">
        <v>358</v>
      </c>
      <c r="L426" s="157">
        <v>46167</v>
      </c>
      <c r="M426" t="s">
        <v>282</v>
      </c>
      <c r="N426" t="s">
        <v>290</v>
      </c>
      <c r="O426" t="s">
        <v>293</v>
      </c>
      <c r="P426">
        <v>3</v>
      </c>
      <c r="Q426" t="s">
        <v>273</v>
      </c>
    </row>
    <row r="427" spans="1:17" s="29" customFormat="1">
      <c r="A427" s="41">
        <v>1.5713447372685187E-2</v>
      </c>
      <c r="B427" t="s">
        <v>116</v>
      </c>
      <c r="C427"/>
      <c r="D427"/>
      <c r="E427" t="s">
        <v>123</v>
      </c>
      <c r="F427"/>
      <c r="G427" t="s">
        <v>117</v>
      </c>
      <c r="H427"/>
      <c r="I427" s="158">
        <v>46240.746435185189</v>
      </c>
      <c r="J427" t="s">
        <v>324</v>
      </c>
      <c r="K427" t="s">
        <v>358</v>
      </c>
      <c r="L427" s="157">
        <v>46167</v>
      </c>
      <c r="M427" t="s">
        <v>282</v>
      </c>
      <c r="N427" t="s">
        <v>290</v>
      </c>
      <c r="O427" t="s">
        <v>293</v>
      </c>
      <c r="P427">
        <v>3</v>
      </c>
      <c r="Q427" t="s">
        <v>273</v>
      </c>
    </row>
    <row r="428" spans="1:17" s="29" customFormat="1">
      <c r="A428" s="41">
        <v>1.5211564247685185E-2</v>
      </c>
      <c r="B428" t="s">
        <v>116</v>
      </c>
      <c r="C428"/>
      <c r="D428"/>
      <c r="E428" t="s">
        <v>88</v>
      </c>
      <c r="F428"/>
      <c r="G428" t="s">
        <v>117</v>
      </c>
      <c r="H428"/>
      <c r="I428" s="158">
        <v>46240.746203703704</v>
      </c>
      <c r="J428" t="s">
        <v>324</v>
      </c>
      <c r="K428" t="s">
        <v>358</v>
      </c>
      <c r="L428" s="157">
        <v>46167</v>
      </c>
      <c r="M428" t="s">
        <v>282</v>
      </c>
      <c r="N428" t="s">
        <v>290</v>
      </c>
      <c r="O428" t="s">
        <v>293</v>
      </c>
      <c r="P428">
        <v>3</v>
      </c>
      <c r="Q428" t="s">
        <v>273</v>
      </c>
    </row>
    <row r="429" spans="1:17" s="29" customFormat="1">
      <c r="A429" s="41">
        <v>1.5211564247685185E-2</v>
      </c>
      <c r="B429" t="s">
        <v>116</v>
      </c>
      <c r="C429"/>
      <c r="D429"/>
      <c r="E429" t="s">
        <v>253</v>
      </c>
      <c r="F429" t="s">
        <v>83</v>
      </c>
      <c r="G429" t="s">
        <v>117</v>
      </c>
      <c r="H429"/>
      <c r="I429" s="158">
        <v>46240.746203703704</v>
      </c>
      <c r="J429" t="s">
        <v>324</v>
      </c>
      <c r="K429" t="s">
        <v>358</v>
      </c>
      <c r="L429" s="157">
        <v>46167</v>
      </c>
      <c r="M429" t="s">
        <v>282</v>
      </c>
      <c r="N429" t="s">
        <v>290</v>
      </c>
      <c r="O429" t="s">
        <v>293</v>
      </c>
      <c r="P429">
        <v>3</v>
      </c>
      <c r="Q429" t="s">
        <v>273</v>
      </c>
    </row>
    <row r="430" spans="1:17" s="29" customFormat="1">
      <c r="A430" s="41">
        <v>1.5188359837962963E-2</v>
      </c>
      <c r="B430" t="s">
        <v>116</v>
      </c>
      <c r="C430" t="s">
        <v>371</v>
      </c>
      <c r="D430"/>
      <c r="E430" t="s">
        <v>127</v>
      </c>
      <c r="F430"/>
      <c r="G430" t="s">
        <v>204</v>
      </c>
      <c r="H430"/>
      <c r="I430" s="158">
        <v>46240.745995370373</v>
      </c>
      <c r="J430" t="s">
        <v>324</v>
      </c>
      <c r="K430" t="s">
        <v>358</v>
      </c>
      <c r="L430" s="157">
        <v>46167</v>
      </c>
      <c r="M430" t="s">
        <v>282</v>
      </c>
      <c r="N430" t="s">
        <v>290</v>
      </c>
      <c r="O430" t="s">
        <v>293</v>
      </c>
      <c r="P430">
        <v>3</v>
      </c>
      <c r="Q430" t="s">
        <v>273</v>
      </c>
    </row>
    <row r="431" spans="1:17" s="29" customFormat="1">
      <c r="A431" s="41">
        <v>1.5118908680555555E-2</v>
      </c>
      <c r="B431" t="s">
        <v>116</v>
      </c>
      <c r="C431" t="s">
        <v>361</v>
      </c>
      <c r="D431"/>
      <c r="E431" t="s">
        <v>127</v>
      </c>
      <c r="F431"/>
      <c r="G431" t="s">
        <v>204</v>
      </c>
      <c r="H431"/>
      <c r="I431" s="158">
        <v>46240.745821759258</v>
      </c>
      <c r="J431" t="s">
        <v>324</v>
      </c>
      <c r="K431" t="s">
        <v>358</v>
      </c>
      <c r="L431" s="157">
        <v>46167</v>
      </c>
      <c r="M431" t="s">
        <v>282</v>
      </c>
      <c r="N431" t="s">
        <v>290</v>
      </c>
      <c r="O431" t="s">
        <v>293</v>
      </c>
      <c r="P431">
        <v>3</v>
      </c>
      <c r="Q431" t="s">
        <v>273</v>
      </c>
    </row>
    <row r="432" spans="1:17" s="29" customFormat="1">
      <c r="A432" s="41">
        <v>1.5111674166666669E-2</v>
      </c>
      <c r="B432" t="s">
        <v>116</v>
      </c>
      <c r="C432" t="s">
        <v>375</v>
      </c>
      <c r="D432"/>
      <c r="E432" t="s">
        <v>127</v>
      </c>
      <c r="F432"/>
      <c r="G432" t="s">
        <v>204</v>
      </c>
      <c r="H432"/>
      <c r="I432" s="158">
        <v>46240.745428240742</v>
      </c>
      <c r="J432" t="s">
        <v>324</v>
      </c>
      <c r="K432" t="s">
        <v>358</v>
      </c>
      <c r="L432" s="157">
        <v>46167</v>
      </c>
      <c r="M432" t="s">
        <v>282</v>
      </c>
      <c r="N432" t="s">
        <v>290</v>
      </c>
      <c r="O432" t="s">
        <v>293</v>
      </c>
      <c r="P432">
        <v>3</v>
      </c>
      <c r="Q432" t="s">
        <v>273</v>
      </c>
    </row>
    <row r="433" spans="1:17" s="29" customFormat="1">
      <c r="A433" s="41">
        <v>1.5084168321759258E-2</v>
      </c>
      <c r="B433" t="s">
        <v>116</v>
      </c>
      <c r="C433"/>
      <c r="D433"/>
      <c r="E433" t="s">
        <v>60</v>
      </c>
      <c r="F433"/>
      <c r="G433" t="s">
        <v>117</v>
      </c>
      <c r="H433"/>
      <c r="I433" s="158">
        <v>46240.745254629626</v>
      </c>
      <c r="J433" t="s">
        <v>324</v>
      </c>
      <c r="K433" t="s">
        <v>358</v>
      </c>
      <c r="L433" s="157">
        <v>46167</v>
      </c>
      <c r="M433" t="s">
        <v>282</v>
      </c>
      <c r="N433" t="s">
        <v>290</v>
      </c>
      <c r="O433" t="s">
        <v>293</v>
      </c>
      <c r="P433">
        <v>3</v>
      </c>
      <c r="Q433" t="s">
        <v>273</v>
      </c>
    </row>
    <row r="434" spans="1:17" s="29" customFormat="1">
      <c r="A434" s="41">
        <v>1.5020556203703702E-2</v>
      </c>
      <c r="B434" t="s">
        <v>116</v>
      </c>
      <c r="C434"/>
      <c r="D434"/>
      <c r="E434" t="s">
        <v>127</v>
      </c>
      <c r="F434"/>
      <c r="G434" t="s">
        <v>117</v>
      </c>
      <c r="H434"/>
      <c r="I434" s="158">
        <v>46240.744976851849</v>
      </c>
      <c r="J434" t="s">
        <v>324</v>
      </c>
      <c r="K434" t="s">
        <v>358</v>
      </c>
      <c r="L434" s="157">
        <v>46167</v>
      </c>
      <c r="M434" t="s">
        <v>282</v>
      </c>
      <c r="N434" t="s">
        <v>290</v>
      </c>
      <c r="O434" t="s">
        <v>293</v>
      </c>
      <c r="P434">
        <v>3</v>
      </c>
      <c r="Q434" t="s">
        <v>273</v>
      </c>
    </row>
    <row r="435" spans="1:17" s="29" customFormat="1">
      <c r="A435" s="41">
        <v>1.4991971539351851E-2</v>
      </c>
      <c r="B435" t="s">
        <v>116</v>
      </c>
      <c r="C435" t="s">
        <v>371</v>
      </c>
      <c r="D435"/>
      <c r="E435" t="s">
        <v>129</v>
      </c>
      <c r="F435"/>
      <c r="G435" t="s">
        <v>204</v>
      </c>
      <c r="H435"/>
      <c r="I435" s="158">
        <v>46240.744837962964</v>
      </c>
      <c r="J435" t="s">
        <v>324</v>
      </c>
      <c r="K435" t="s">
        <v>358</v>
      </c>
      <c r="L435" s="157">
        <v>46167</v>
      </c>
      <c r="M435" t="s">
        <v>282</v>
      </c>
      <c r="N435" t="s">
        <v>290</v>
      </c>
      <c r="O435" t="s">
        <v>293</v>
      </c>
      <c r="P435">
        <v>3</v>
      </c>
      <c r="Q435" t="s">
        <v>273</v>
      </c>
    </row>
    <row r="436" spans="1:17" s="29" customFormat="1">
      <c r="A436" s="41">
        <v>1.4933258553240741E-2</v>
      </c>
      <c r="B436" t="s">
        <v>116</v>
      </c>
      <c r="C436"/>
      <c r="D436"/>
      <c r="E436" t="s">
        <v>123</v>
      </c>
      <c r="F436"/>
      <c r="G436" t="s">
        <v>204</v>
      </c>
      <c r="H436"/>
      <c r="I436" s="158">
        <v>46240.744733796295</v>
      </c>
      <c r="J436" t="s">
        <v>324</v>
      </c>
      <c r="K436" t="s">
        <v>358</v>
      </c>
      <c r="L436" s="157">
        <v>46167</v>
      </c>
      <c r="M436" t="s">
        <v>282</v>
      </c>
      <c r="N436" t="s">
        <v>290</v>
      </c>
      <c r="O436" t="s">
        <v>293</v>
      </c>
      <c r="P436">
        <v>3</v>
      </c>
      <c r="Q436" t="s">
        <v>273</v>
      </c>
    </row>
    <row r="437" spans="1:17" s="29" customFormat="1">
      <c r="A437" s="41">
        <v>1.4536766377314816E-2</v>
      </c>
      <c r="B437" t="s">
        <v>116</v>
      </c>
      <c r="C437" t="s">
        <v>367</v>
      </c>
      <c r="D437" t="s">
        <v>244</v>
      </c>
      <c r="E437" t="s">
        <v>254</v>
      </c>
      <c r="F437" t="s">
        <v>173</v>
      </c>
      <c r="G437" t="s">
        <v>204</v>
      </c>
      <c r="H437"/>
      <c r="I437" s="158">
        <v>46240.744363425925</v>
      </c>
      <c r="J437" t="s">
        <v>324</v>
      </c>
      <c r="K437" t="s">
        <v>358</v>
      </c>
      <c r="L437" s="157">
        <v>46167</v>
      </c>
      <c r="M437" t="s">
        <v>282</v>
      </c>
      <c r="N437" t="s">
        <v>290</v>
      </c>
      <c r="O437" t="s">
        <v>293</v>
      </c>
      <c r="P437">
        <v>3</v>
      </c>
      <c r="Q437" t="s">
        <v>273</v>
      </c>
    </row>
    <row r="438" spans="1:17" s="29" customFormat="1">
      <c r="A438" s="41">
        <v>1.4181418750000001E-2</v>
      </c>
      <c r="B438" t="s">
        <v>116</v>
      </c>
      <c r="C438"/>
      <c r="D438"/>
      <c r="E438" t="s">
        <v>88</v>
      </c>
      <c r="F438"/>
      <c r="G438" t="s">
        <v>204</v>
      </c>
      <c r="H438"/>
      <c r="I438" s="158">
        <v>46240.735509259262</v>
      </c>
      <c r="J438" t="s">
        <v>324</v>
      </c>
      <c r="K438" t="s">
        <v>358</v>
      </c>
      <c r="L438" s="157">
        <v>46167</v>
      </c>
      <c r="M438" t="s">
        <v>282</v>
      </c>
      <c r="N438" t="s">
        <v>290</v>
      </c>
      <c r="O438" t="s">
        <v>293</v>
      </c>
      <c r="P438">
        <v>3</v>
      </c>
      <c r="Q438" t="s">
        <v>273</v>
      </c>
    </row>
    <row r="439" spans="1:17" s="29" customFormat="1">
      <c r="A439" s="41">
        <v>1.4181418750000001E-2</v>
      </c>
      <c r="B439" t="s">
        <v>116</v>
      </c>
      <c r="C439" t="s">
        <v>385</v>
      </c>
      <c r="D439"/>
      <c r="E439" t="s">
        <v>59</v>
      </c>
      <c r="F439"/>
      <c r="G439" t="s">
        <v>204</v>
      </c>
      <c r="H439"/>
      <c r="I439" s="158">
        <v>46240.735474537039</v>
      </c>
      <c r="J439" t="s">
        <v>324</v>
      </c>
      <c r="K439" t="s">
        <v>358</v>
      </c>
      <c r="L439" s="157">
        <v>46167</v>
      </c>
      <c r="M439" t="s">
        <v>282</v>
      </c>
      <c r="N439" t="s">
        <v>290</v>
      </c>
      <c r="O439" t="s">
        <v>293</v>
      </c>
      <c r="P439">
        <v>3</v>
      </c>
      <c r="Q439" t="s">
        <v>273</v>
      </c>
    </row>
    <row r="440" spans="1:17" s="29" customFormat="1">
      <c r="A440" s="41">
        <v>1.4169825648148148E-2</v>
      </c>
      <c r="B440" t="s">
        <v>116</v>
      </c>
      <c r="C440" t="s">
        <v>383</v>
      </c>
      <c r="D440"/>
      <c r="E440" t="s">
        <v>127</v>
      </c>
      <c r="F440"/>
      <c r="G440" t="s">
        <v>204</v>
      </c>
      <c r="H440"/>
      <c r="I440" s="158">
        <v>46240.735381944447</v>
      </c>
      <c r="J440" t="s">
        <v>324</v>
      </c>
      <c r="K440" t="s">
        <v>358</v>
      </c>
      <c r="L440" s="157">
        <v>46167</v>
      </c>
      <c r="M440" t="s">
        <v>282</v>
      </c>
      <c r="N440" t="s">
        <v>290</v>
      </c>
      <c r="O440" t="s">
        <v>293</v>
      </c>
      <c r="P440">
        <v>3</v>
      </c>
      <c r="Q440" t="s">
        <v>273</v>
      </c>
    </row>
    <row r="441" spans="1:17" s="29" customFormat="1">
      <c r="A441" s="41">
        <v>1.4112310636574074E-2</v>
      </c>
      <c r="B441" t="s">
        <v>116</v>
      </c>
      <c r="C441" t="s">
        <v>367</v>
      </c>
      <c r="D441"/>
      <c r="E441" t="s">
        <v>173</v>
      </c>
      <c r="F441"/>
      <c r="G441" t="s">
        <v>204</v>
      </c>
      <c r="H441"/>
      <c r="I441" s="158">
        <v>46240.735173611109</v>
      </c>
      <c r="J441" t="s">
        <v>324</v>
      </c>
      <c r="K441" t="s">
        <v>358</v>
      </c>
      <c r="L441" s="157">
        <v>46167</v>
      </c>
      <c r="M441" t="s">
        <v>282</v>
      </c>
      <c r="N441" t="s">
        <v>290</v>
      </c>
      <c r="O441" t="s">
        <v>293</v>
      </c>
      <c r="P441">
        <v>3</v>
      </c>
      <c r="Q441" t="s">
        <v>273</v>
      </c>
    </row>
    <row r="442" spans="1:17" s="29" customFormat="1">
      <c r="A442" s="41">
        <v>1.4112310636574074E-2</v>
      </c>
      <c r="B442" t="s">
        <v>116</v>
      </c>
      <c r="C442" t="s">
        <v>363</v>
      </c>
      <c r="D442"/>
      <c r="E442" t="s">
        <v>173</v>
      </c>
      <c r="F442"/>
      <c r="G442" t="s">
        <v>204</v>
      </c>
      <c r="H442"/>
      <c r="I442" s="158">
        <v>46240.735127314816</v>
      </c>
      <c r="J442" t="s">
        <v>324</v>
      </c>
      <c r="K442" t="s">
        <v>358</v>
      </c>
      <c r="L442" s="157">
        <v>46167</v>
      </c>
      <c r="M442" t="s">
        <v>282</v>
      </c>
      <c r="N442" t="s">
        <v>290</v>
      </c>
      <c r="O442" t="s">
        <v>293</v>
      </c>
      <c r="P442">
        <v>3</v>
      </c>
      <c r="Q442" t="s">
        <v>273</v>
      </c>
    </row>
    <row r="443" spans="1:17" s="29" customFormat="1">
      <c r="A443" s="41">
        <v>1.4013988530092591E-2</v>
      </c>
      <c r="B443" t="s">
        <v>116</v>
      </c>
      <c r="C443" t="s">
        <v>385</v>
      </c>
      <c r="D443"/>
      <c r="E443" t="s">
        <v>127</v>
      </c>
      <c r="F443"/>
      <c r="G443" t="s">
        <v>204</v>
      </c>
      <c r="H443"/>
      <c r="I443" s="158">
        <v>46240.734907407408</v>
      </c>
      <c r="J443" t="s">
        <v>324</v>
      </c>
      <c r="K443" t="s">
        <v>358</v>
      </c>
      <c r="L443" s="157">
        <v>46167</v>
      </c>
      <c r="M443" t="s">
        <v>282</v>
      </c>
      <c r="N443" t="s">
        <v>290</v>
      </c>
      <c r="O443" t="s">
        <v>293</v>
      </c>
      <c r="P443">
        <v>3</v>
      </c>
      <c r="Q443" t="s">
        <v>273</v>
      </c>
    </row>
    <row r="444" spans="1:17" s="29" customFormat="1">
      <c r="A444" s="41">
        <v>1.3950114942129629E-2</v>
      </c>
      <c r="B444" t="s">
        <v>116</v>
      </c>
      <c r="C444" t="s">
        <v>383</v>
      </c>
      <c r="D444"/>
      <c r="E444" t="s">
        <v>127</v>
      </c>
      <c r="F444"/>
      <c r="G444" t="s">
        <v>204</v>
      </c>
      <c r="H444"/>
      <c r="I444" s="158">
        <v>46240.734780092593</v>
      </c>
      <c r="J444" t="s">
        <v>324</v>
      </c>
      <c r="K444" t="s">
        <v>358</v>
      </c>
      <c r="L444" s="157">
        <v>46167</v>
      </c>
      <c r="M444" t="s">
        <v>282</v>
      </c>
      <c r="N444" t="s">
        <v>290</v>
      </c>
      <c r="O444" t="s">
        <v>293</v>
      </c>
      <c r="P444">
        <v>3</v>
      </c>
      <c r="Q444" t="s">
        <v>273</v>
      </c>
    </row>
    <row r="445" spans="1:17" s="29" customFormat="1">
      <c r="A445" s="41">
        <v>1.3926976701388889E-2</v>
      </c>
      <c r="B445" t="s">
        <v>116</v>
      </c>
      <c r="C445" t="s">
        <v>377</v>
      </c>
      <c r="D445"/>
      <c r="E445" t="s">
        <v>127</v>
      </c>
      <c r="F445"/>
      <c r="G445" t="s">
        <v>204</v>
      </c>
      <c r="H445"/>
      <c r="I445" s="158">
        <v>46240.734699074077</v>
      </c>
      <c r="J445" t="s">
        <v>324</v>
      </c>
      <c r="K445" t="s">
        <v>358</v>
      </c>
      <c r="L445" s="157">
        <v>46167</v>
      </c>
      <c r="M445" t="s">
        <v>282</v>
      </c>
      <c r="N445" t="s">
        <v>290</v>
      </c>
      <c r="O445" t="s">
        <v>293</v>
      </c>
      <c r="P445">
        <v>3</v>
      </c>
      <c r="Q445" t="s">
        <v>273</v>
      </c>
    </row>
    <row r="446" spans="1:17" s="29" customFormat="1">
      <c r="A446" s="41">
        <v>1.3898174363425926E-2</v>
      </c>
      <c r="B446" t="s">
        <v>116</v>
      </c>
      <c r="C446"/>
      <c r="D446"/>
      <c r="E446" t="s">
        <v>338</v>
      </c>
      <c r="F446"/>
      <c r="G446" t="s">
        <v>204</v>
      </c>
      <c r="H446"/>
      <c r="I446" s="158">
        <v>46240.734606481485</v>
      </c>
      <c r="J446" t="s">
        <v>324</v>
      </c>
      <c r="K446" t="s">
        <v>358</v>
      </c>
      <c r="L446" s="157">
        <v>46167</v>
      </c>
      <c r="M446" t="s">
        <v>282</v>
      </c>
      <c r="N446" t="s">
        <v>290</v>
      </c>
      <c r="O446" t="s">
        <v>293</v>
      </c>
      <c r="P446">
        <v>3</v>
      </c>
      <c r="Q446" t="s">
        <v>273</v>
      </c>
    </row>
    <row r="447" spans="1:17" s="29" customFormat="1">
      <c r="A447" s="41">
        <v>1.3788854641203703E-2</v>
      </c>
      <c r="B447" t="s">
        <v>116</v>
      </c>
      <c r="C447"/>
      <c r="D447"/>
      <c r="E447" t="s">
        <v>124</v>
      </c>
      <c r="F447"/>
      <c r="G447" t="s">
        <v>204</v>
      </c>
      <c r="H447"/>
      <c r="I447" s="158">
        <v>46240.734479166669</v>
      </c>
      <c r="J447" t="s">
        <v>324</v>
      </c>
      <c r="K447" t="s">
        <v>358</v>
      </c>
      <c r="L447" s="157">
        <v>46167</v>
      </c>
      <c r="M447" t="s">
        <v>282</v>
      </c>
      <c r="N447" t="s">
        <v>290</v>
      </c>
      <c r="O447" t="s">
        <v>293</v>
      </c>
      <c r="P447">
        <v>3</v>
      </c>
      <c r="Q447" t="s">
        <v>273</v>
      </c>
    </row>
    <row r="448" spans="1:17" s="29" customFormat="1">
      <c r="A448" s="41">
        <v>1.3389066481481483E-2</v>
      </c>
      <c r="B448" t="s">
        <v>116</v>
      </c>
      <c r="C448"/>
      <c r="D448"/>
      <c r="E448" t="s">
        <v>88</v>
      </c>
      <c r="F448"/>
      <c r="G448" t="s">
        <v>117</v>
      </c>
      <c r="H448"/>
      <c r="I448" s="158">
        <v>46240.734189814815</v>
      </c>
      <c r="J448" t="s">
        <v>324</v>
      </c>
      <c r="K448" t="s">
        <v>358</v>
      </c>
      <c r="L448" s="157">
        <v>46167</v>
      </c>
      <c r="M448" t="s">
        <v>282</v>
      </c>
      <c r="N448" t="s">
        <v>290</v>
      </c>
      <c r="O448" t="s">
        <v>293</v>
      </c>
      <c r="P448">
        <v>3</v>
      </c>
      <c r="Q448" t="s">
        <v>273</v>
      </c>
    </row>
    <row r="449" spans="1:17" s="29" customFormat="1">
      <c r="A449" s="41">
        <v>1.3318499143518518E-2</v>
      </c>
      <c r="B449" t="s">
        <v>116</v>
      </c>
      <c r="C449"/>
      <c r="D449"/>
      <c r="E449" t="s">
        <v>224</v>
      </c>
      <c r="F449"/>
      <c r="G449" t="s">
        <v>117</v>
      </c>
      <c r="H449"/>
      <c r="I449" s="158">
        <v>46240.7341087963</v>
      </c>
      <c r="J449" t="s">
        <v>324</v>
      </c>
      <c r="K449" t="s">
        <v>358</v>
      </c>
      <c r="L449" s="157">
        <v>46167</v>
      </c>
      <c r="M449" t="s">
        <v>282</v>
      </c>
      <c r="N449" t="s">
        <v>290</v>
      </c>
      <c r="O449" t="s">
        <v>293</v>
      </c>
      <c r="P449">
        <v>3</v>
      </c>
      <c r="Q449" t="s">
        <v>273</v>
      </c>
    </row>
    <row r="450" spans="1:17" s="29" customFormat="1">
      <c r="A450" s="41">
        <v>1.3278253553240742E-2</v>
      </c>
      <c r="B450" t="s">
        <v>116</v>
      </c>
      <c r="C450"/>
      <c r="D450"/>
      <c r="E450" t="s">
        <v>127</v>
      </c>
      <c r="F450"/>
      <c r="G450" t="s">
        <v>117</v>
      </c>
      <c r="H450"/>
      <c r="I450" s="158">
        <v>46240.734016203707</v>
      </c>
      <c r="J450" t="s">
        <v>324</v>
      </c>
      <c r="K450" t="s">
        <v>358</v>
      </c>
      <c r="L450" s="157">
        <v>46167</v>
      </c>
      <c r="M450" t="s">
        <v>282</v>
      </c>
      <c r="N450" t="s">
        <v>290</v>
      </c>
      <c r="O450" t="s">
        <v>293</v>
      </c>
      <c r="P450">
        <v>3</v>
      </c>
      <c r="Q450" t="s">
        <v>273</v>
      </c>
    </row>
    <row r="451" spans="1:17" s="29" customFormat="1">
      <c r="A451" s="41">
        <v>1.3241367060185185E-2</v>
      </c>
      <c r="B451" t="s">
        <v>116</v>
      </c>
      <c r="C451"/>
      <c r="D451"/>
      <c r="E451" t="s">
        <v>127</v>
      </c>
      <c r="F451"/>
      <c r="G451" t="s">
        <v>117</v>
      </c>
      <c r="H451"/>
      <c r="I451" s="158">
        <v>46240.733981481484</v>
      </c>
      <c r="J451" t="s">
        <v>324</v>
      </c>
      <c r="K451" t="s">
        <v>358</v>
      </c>
      <c r="L451" s="157">
        <v>46167</v>
      </c>
      <c r="M451" t="s">
        <v>282</v>
      </c>
      <c r="N451" t="s">
        <v>290</v>
      </c>
      <c r="O451" t="s">
        <v>293</v>
      </c>
      <c r="P451">
        <v>3</v>
      </c>
      <c r="Q451" t="s">
        <v>273</v>
      </c>
    </row>
    <row r="452" spans="1:17" s="29" customFormat="1">
      <c r="A452" s="41">
        <v>1.3179873124999998E-2</v>
      </c>
      <c r="B452" t="s">
        <v>116</v>
      </c>
      <c r="C452"/>
      <c r="D452"/>
      <c r="E452" t="s">
        <v>127</v>
      </c>
      <c r="F452"/>
      <c r="G452" t="s">
        <v>117</v>
      </c>
      <c r="H452"/>
      <c r="I452" s="158">
        <v>46240.733923611115</v>
      </c>
      <c r="J452" t="s">
        <v>324</v>
      </c>
      <c r="K452" t="s">
        <v>358</v>
      </c>
      <c r="L452" s="157">
        <v>46167</v>
      </c>
      <c r="M452" t="s">
        <v>282</v>
      </c>
      <c r="N452" t="s">
        <v>290</v>
      </c>
      <c r="O452" t="s">
        <v>293</v>
      </c>
      <c r="P452">
        <v>3</v>
      </c>
      <c r="Q452" t="s">
        <v>273</v>
      </c>
    </row>
    <row r="453" spans="1:17" s="29" customFormat="1">
      <c r="A453" s="41">
        <v>1.3075482615740741E-2</v>
      </c>
      <c r="B453" t="s">
        <v>116</v>
      </c>
      <c r="C453"/>
      <c r="D453"/>
      <c r="E453" t="s">
        <v>223</v>
      </c>
      <c r="F453"/>
      <c r="G453" t="s">
        <v>204</v>
      </c>
      <c r="H453"/>
      <c r="I453" s="158">
        <v>46240.733784722222</v>
      </c>
      <c r="J453" t="s">
        <v>324</v>
      </c>
      <c r="K453" t="s">
        <v>358</v>
      </c>
      <c r="L453" s="157">
        <v>46167</v>
      </c>
      <c r="M453" t="s">
        <v>282</v>
      </c>
      <c r="N453" t="s">
        <v>290</v>
      </c>
      <c r="O453" t="s">
        <v>293</v>
      </c>
      <c r="P453">
        <v>3</v>
      </c>
      <c r="Q453" t="s">
        <v>273</v>
      </c>
    </row>
    <row r="454" spans="1:17" s="29" customFormat="1">
      <c r="A454" s="41">
        <v>1.3075482615740741E-2</v>
      </c>
      <c r="B454" t="s">
        <v>116</v>
      </c>
      <c r="C454" t="s">
        <v>377</v>
      </c>
      <c r="D454"/>
      <c r="E454" t="s">
        <v>127</v>
      </c>
      <c r="F454"/>
      <c r="G454" t="s">
        <v>204</v>
      </c>
      <c r="H454"/>
      <c r="I454" s="158">
        <v>46240.733738425923</v>
      </c>
      <c r="J454" t="s">
        <v>324</v>
      </c>
      <c r="K454" t="s">
        <v>358</v>
      </c>
      <c r="L454" s="157">
        <v>46167</v>
      </c>
      <c r="M454" t="s">
        <v>282</v>
      </c>
      <c r="N454" t="s">
        <v>290</v>
      </c>
      <c r="O454" t="s">
        <v>293</v>
      </c>
      <c r="P454">
        <v>3</v>
      </c>
      <c r="Q454" t="s">
        <v>273</v>
      </c>
    </row>
    <row r="455" spans="1:17" s="29" customFormat="1">
      <c r="A455" s="41">
        <v>1.3030179861111111E-2</v>
      </c>
      <c r="B455" t="s">
        <v>116</v>
      </c>
      <c r="C455" t="s">
        <v>363</v>
      </c>
      <c r="D455"/>
      <c r="E455" t="s">
        <v>127</v>
      </c>
      <c r="F455"/>
      <c r="G455" t="s">
        <v>204</v>
      </c>
      <c r="H455"/>
      <c r="I455" s="158">
        <v>46240.733460648145</v>
      </c>
      <c r="J455" t="s">
        <v>324</v>
      </c>
      <c r="K455" t="s">
        <v>358</v>
      </c>
      <c r="L455" s="157">
        <v>46167</v>
      </c>
      <c r="M455" t="s">
        <v>282</v>
      </c>
      <c r="N455" t="s">
        <v>290</v>
      </c>
      <c r="O455" t="s">
        <v>293</v>
      </c>
      <c r="P455">
        <v>3</v>
      </c>
      <c r="Q455" t="s">
        <v>273</v>
      </c>
    </row>
    <row r="456" spans="1:17" s="29" customFormat="1">
      <c r="A456" s="41">
        <v>1.3030179861111111E-2</v>
      </c>
      <c r="B456" t="s">
        <v>116</v>
      </c>
      <c r="C456" t="s">
        <v>361</v>
      </c>
      <c r="D456"/>
      <c r="E456" t="s">
        <v>59</v>
      </c>
      <c r="F456"/>
      <c r="G456" t="s">
        <v>204</v>
      </c>
      <c r="H456"/>
      <c r="I456" s="158">
        <v>46240.733414351853</v>
      </c>
      <c r="J456" t="s">
        <v>324</v>
      </c>
      <c r="K456" t="s">
        <v>358</v>
      </c>
      <c r="L456" s="157">
        <v>46167</v>
      </c>
      <c r="M456" t="s">
        <v>282</v>
      </c>
      <c r="N456" t="s">
        <v>290</v>
      </c>
      <c r="O456" t="s">
        <v>293</v>
      </c>
      <c r="P456">
        <v>3</v>
      </c>
      <c r="Q456" t="s">
        <v>273</v>
      </c>
    </row>
    <row r="457" spans="1:17" s="29" customFormat="1">
      <c r="A457" s="41">
        <v>1.2928196817129629E-2</v>
      </c>
      <c r="B457" t="s">
        <v>116</v>
      </c>
      <c r="C457" t="s">
        <v>371</v>
      </c>
      <c r="D457"/>
      <c r="E457" t="s">
        <v>127</v>
      </c>
      <c r="F457"/>
      <c r="G457" t="s">
        <v>204</v>
      </c>
      <c r="H457"/>
      <c r="I457" s="158">
        <v>46240.733067129629</v>
      </c>
      <c r="J457" t="s">
        <v>324</v>
      </c>
      <c r="K457" t="s">
        <v>358</v>
      </c>
      <c r="L457" s="157">
        <v>46167</v>
      </c>
      <c r="M457" t="s">
        <v>282</v>
      </c>
      <c r="N457" t="s">
        <v>290</v>
      </c>
      <c r="O457" t="s">
        <v>293</v>
      </c>
      <c r="P457">
        <v>3</v>
      </c>
      <c r="Q457" t="s">
        <v>273</v>
      </c>
    </row>
    <row r="458" spans="1:17" s="29" customFormat="1">
      <c r="A458" s="41">
        <v>1.2849058715277776E-2</v>
      </c>
      <c r="B458" t="s">
        <v>116</v>
      </c>
      <c r="C458" t="s">
        <v>379</v>
      </c>
      <c r="D458"/>
      <c r="E458" t="s">
        <v>127</v>
      </c>
      <c r="F458"/>
      <c r="G458" t="s">
        <v>204</v>
      </c>
      <c r="H458"/>
      <c r="I458" s="158">
        <v>46240.732523148145</v>
      </c>
      <c r="J458" t="s">
        <v>324</v>
      </c>
      <c r="K458" t="s">
        <v>358</v>
      </c>
      <c r="L458" s="157">
        <v>46167</v>
      </c>
      <c r="M458" t="s">
        <v>282</v>
      </c>
      <c r="N458" t="s">
        <v>290</v>
      </c>
      <c r="O458" t="s">
        <v>293</v>
      </c>
      <c r="P458">
        <v>3</v>
      </c>
      <c r="Q458" t="s">
        <v>273</v>
      </c>
    </row>
    <row r="459" spans="1:17" s="29" customFormat="1">
      <c r="A459" s="41">
        <v>1.2808501689814815E-2</v>
      </c>
      <c r="B459" t="s">
        <v>116</v>
      </c>
      <c r="C459"/>
      <c r="D459"/>
      <c r="E459" t="s">
        <v>228</v>
      </c>
      <c r="F459"/>
      <c r="G459" t="s">
        <v>204</v>
      </c>
      <c r="H459"/>
      <c r="I459" s="158">
        <v>46240.732453703706</v>
      </c>
      <c r="J459" t="s">
        <v>324</v>
      </c>
      <c r="K459" t="s">
        <v>358</v>
      </c>
      <c r="L459" s="157">
        <v>46167</v>
      </c>
      <c r="M459" t="s">
        <v>282</v>
      </c>
      <c r="N459" t="s">
        <v>290</v>
      </c>
      <c r="O459" t="s">
        <v>293</v>
      </c>
      <c r="P459">
        <v>3</v>
      </c>
      <c r="Q459" t="s">
        <v>273</v>
      </c>
    </row>
    <row r="460" spans="1:17" s="29" customFormat="1">
      <c r="A460" s="41">
        <v>1.2728564502314814E-2</v>
      </c>
      <c r="B460" t="s">
        <v>116</v>
      </c>
      <c r="C460"/>
      <c r="D460"/>
      <c r="E460" t="s">
        <v>119</v>
      </c>
      <c r="F460"/>
      <c r="G460" t="s">
        <v>117</v>
      </c>
      <c r="H460"/>
      <c r="I460" s="158">
        <v>46240.732372685183</v>
      </c>
      <c r="J460" t="s">
        <v>324</v>
      </c>
      <c r="K460" t="s">
        <v>358</v>
      </c>
      <c r="L460" s="157">
        <v>46167</v>
      </c>
      <c r="M460" t="s">
        <v>282</v>
      </c>
      <c r="N460" t="s">
        <v>290</v>
      </c>
      <c r="O460" t="s">
        <v>293</v>
      </c>
      <c r="P460">
        <v>3</v>
      </c>
      <c r="Q460" t="s">
        <v>273</v>
      </c>
    </row>
    <row r="461" spans="1:17" s="29" customFormat="1">
      <c r="A461" s="41">
        <v>1.1625696736111111E-2</v>
      </c>
      <c r="B461" t="s">
        <v>116</v>
      </c>
      <c r="C461"/>
      <c r="D461"/>
      <c r="E461" t="s">
        <v>88</v>
      </c>
      <c r="F461"/>
      <c r="G461" t="s">
        <v>204</v>
      </c>
      <c r="H461"/>
      <c r="I461" s="158">
        <v>46240.727743055555</v>
      </c>
      <c r="J461" t="s">
        <v>324</v>
      </c>
      <c r="K461" t="s">
        <v>358</v>
      </c>
      <c r="L461" s="157">
        <v>46167</v>
      </c>
      <c r="M461" t="s">
        <v>282</v>
      </c>
      <c r="N461" t="s">
        <v>290</v>
      </c>
      <c r="O461" t="s">
        <v>293</v>
      </c>
      <c r="P461">
        <v>3</v>
      </c>
      <c r="Q461" t="s">
        <v>273</v>
      </c>
    </row>
    <row r="462" spans="1:17" s="29" customFormat="1">
      <c r="A462" s="41">
        <v>1.1625696736111111E-2</v>
      </c>
      <c r="B462" t="s">
        <v>116</v>
      </c>
      <c r="C462"/>
      <c r="D462"/>
      <c r="E462" t="s">
        <v>122</v>
      </c>
      <c r="F462"/>
      <c r="G462" t="s">
        <v>204</v>
      </c>
      <c r="H462"/>
      <c r="I462" s="158">
        <v>46240.727743055555</v>
      </c>
      <c r="J462" t="s">
        <v>324</v>
      </c>
      <c r="K462" t="s">
        <v>358</v>
      </c>
      <c r="L462" s="157">
        <v>46167</v>
      </c>
      <c r="M462" t="s">
        <v>282</v>
      </c>
      <c r="N462" t="s">
        <v>290</v>
      </c>
      <c r="O462" t="s">
        <v>293</v>
      </c>
      <c r="P462">
        <v>3</v>
      </c>
      <c r="Q462" t="s">
        <v>273</v>
      </c>
    </row>
    <row r="463" spans="1:17" s="29" customFormat="1">
      <c r="A463" s="41">
        <v>1.1546903912037037E-2</v>
      </c>
      <c r="B463" t="s">
        <v>116</v>
      </c>
      <c r="C463" t="s">
        <v>367</v>
      </c>
      <c r="D463"/>
      <c r="E463" t="s">
        <v>127</v>
      </c>
      <c r="F463"/>
      <c r="G463" t="s">
        <v>204</v>
      </c>
      <c r="H463"/>
      <c r="I463" s="158">
        <v>46240.727476851855</v>
      </c>
      <c r="J463" t="s">
        <v>324</v>
      </c>
      <c r="K463" t="s">
        <v>358</v>
      </c>
      <c r="L463" s="157">
        <v>46167</v>
      </c>
      <c r="M463" t="s">
        <v>282</v>
      </c>
      <c r="N463" t="s">
        <v>290</v>
      </c>
      <c r="O463" t="s">
        <v>293</v>
      </c>
      <c r="P463">
        <v>3</v>
      </c>
      <c r="Q463" t="s">
        <v>273</v>
      </c>
    </row>
    <row r="464" spans="1:17" s="29" customFormat="1">
      <c r="A464" s="41">
        <v>1.1505030034722221E-2</v>
      </c>
      <c r="B464" t="s">
        <v>116</v>
      </c>
      <c r="C464" t="s">
        <v>371</v>
      </c>
      <c r="D464"/>
      <c r="E464" t="s">
        <v>127</v>
      </c>
      <c r="F464"/>
      <c r="G464" t="s">
        <v>204</v>
      </c>
      <c r="H464"/>
      <c r="I464" s="158">
        <v>46240.727071759262</v>
      </c>
      <c r="J464" t="s">
        <v>324</v>
      </c>
      <c r="K464" t="s">
        <v>358</v>
      </c>
      <c r="L464" s="157">
        <v>46167</v>
      </c>
      <c r="M464" t="s">
        <v>282</v>
      </c>
      <c r="N464" t="s">
        <v>290</v>
      </c>
      <c r="O464" t="s">
        <v>293</v>
      </c>
      <c r="P464">
        <v>3</v>
      </c>
      <c r="Q464" t="s">
        <v>273</v>
      </c>
    </row>
    <row r="465" spans="1:17" s="29" customFormat="1">
      <c r="A465" s="41">
        <v>1.1505030034722221E-2</v>
      </c>
      <c r="B465" t="s">
        <v>116</v>
      </c>
      <c r="C465" t="s">
        <v>377</v>
      </c>
      <c r="D465"/>
      <c r="E465" t="s">
        <v>127</v>
      </c>
      <c r="F465"/>
      <c r="G465" t="s">
        <v>204</v>
      </c>
      <c r="H465"/>
      <c r="I465" s="158">
        <v>46240.72693287037</v>
      </c>
      <c r="J465" t="s">
        <v>324</v>
      </c>
      <c r="K465" t="s">
        <v>358</v>
      </c>
      <c r="L465" s="157">
        <v>46167</v>
      </c>
      <c r="M465" t="s">
        <v>282</v>
      </c>
      <c r="N465" t="s">
        <v>290</v>
      </c>
      <c r="O465" t="s">
        <v>293</v>
      </c>
      <c r="P465">
        <v>3</v>
      </c>
      <c r="Q465" t="s">
        <v>273</v>
      </c>
    </row>
    <row r="466" spans="1:17" s="29" customFormat="1">
      <c r="A466" s="41">
        <v>1.1442156331018518E-2</v>
      </c>
      <c r="B466" t="s">
        <v>116</v>
      </c>
      <c r="C466" t="s">
        <v>361</v>
      </c>
      <c r="D466"/>
      <c r="E466" t="s">
        <v>127</v>
      </c>
      <c r="F466"/>
      <c r="G466" t="s">
        <v>204</v>
      </c>
      <c r="H466"/>
      <c r="I466" s="158">
        <v>46240.726620370369</v>
      </c>
      <c r="J466" t="s">
        <v>324</v>
      </c>
      <c r="K466" t="s">
        <v>358</v>
      </c>
      <c r="L466" s="157">
        <v>46167</v>
      </c>
      <c r="M466" t="s">
        <v>282</v>
      </c>
      <c r="N466" t="s">
        <v>290</v>
      </c>
      <c r="O466" t="s">
        <v>293</v>
      </c>
      <c r="P466">
        <v>3</v>
      </c>
      <c r="Q466" t="s">
        <v>273</v>
      </c>
    </row>
    <row r="467" spans="1:17" s="29" customFormat="1">
      <c r="A467" s="41">
        <v>1.1410305949074074E-2</v>
      </c>
      <c r="B467" t="s">
        <v>116</v>
      </c>
      <c r="C467" t="s">
        <v>375</v>
      </c>
      <c r="D467"/>
      <c r="E467" t="s">
        <v>127</v>
      </c>
      <c r="F467"/>
      <c r="G467" t="s">
        <v>204</v>
      </c>
      <c r="H467"/>
      <c r="I467" s="158">
        <v>46240.726157407407</v>
      </c>
      <c r="J467" t="s">
        <v>324</v>
      </c>
      <c r="K467" t="s">
        <v>358</v>
      </c>
      <c r="L467" s="157">
        <v>46167</v>
      </c>
      <c r="M467" t="s">
        <v>282</v>
      </c>
      <c r="N467" t="s">
        <v>290</v>
      </c>
      <c r="O467" t="s">
        <v>293</v>
      </c>
      <c r="P467">
        <v>3</v>
      </c>
      <c r="Q467" t="s">
        <v>273</v>
      </c>
    </row>
    <row r="468" spans="1:17" s="29" customFormat="1">
      <c r="A468" s="41">
        <v>1.1324801979166667E-2</v>
      </c>
      <c r="B468" t="s">
        <v>116</v>
      </c>
      <c r="C468" t="s">
        <v>371</v>
      </c>
      <c r="D468"/>
      <c r="E468" t="s">
        <v>59</v>
      </c>
      <c r="F468"/>
      <c r="G468" t="s">
        <v>204</v>
      </c>
      <c r="H468"/>
      <c r="I468" s="158">
        <v>46240.724930555552</v>
      </c>
      <c r="J468" t="s">
        <v>324</v>
      </c>
      <c r="K468" t="s">
        <v>358</v>
      </c>
      <c r="L468" s="157">
        <v>46167</v>
      </c>
      <c r="M468" t="s">
        <v>282</v>
      </c>
      <c r="N468" t="s">
        <v>290</v>
      </c>
      <c r="O468" t="s">
        <v>293</v>
      </c>
      <c r="P468">
        <v>3</v>
      </c>
      <c r="Q468" t="s">
        <v>273</v>
      </c>
    </row>
    <row r="469" spans="1:17" s="29" customFormat="1">
      <c r="A469" s="41">
        <v>1.1215985509259259E-2</v>
      </c>
      <c r="B469" t="s">
        <v>116</v>
      </c>
      <c r="C469" t="s">
        <v>359</v>
      </c>
      <c r="D469"/>
      <c r="E469" t="s">
        <v>127</v>
      </c>
      <c r="F469"/>
      <c r="G469" t="s">
        <v>204</v>
      </c>
      <c r="H469"/>
      <c r="I469" s="158">
        <v>46240.724652777775</v>
      </c>
      <c r="J469" t="s">
        <v>324</v>
      </c>
      <c r="K469" t="s">
        <v>358</v>
      </c>
      <c r="L469" s="157">
        <v>46167</v>
      </c>
      <c r="M469" t="s">
        <v>282</v>
      </c>
      <c r="N469" t="s">
        <v>290</v>
      </c>
      <c r="O469" t="s">
        <v>293</v>
      </c>
      <c r="P469">
        <v>3</v>
      </c>
      <c r="Q469" t="s">
        <v>273</v>
      </c>
    </row>
    <row r="470" spans="1:17" s="29" customFormat="1">
      <c r="A470" s="41">
        <v>1.1170005034722222E-2</v>
      </c>
      <c r="B470" t="s">
        <v>116</v>
      </c>
      <c r="C470" t="s">
        <v>371</v>
      </c>
      <c r="D470"/>
      <c r="E470" t="s">
        <v>58</v>
      </c>
      <c r="F470"/>
      <c r="G470" t="s">
        <v>204</v>
      </c>
      <c r="H470"/>
      <c r="I470" s="158">
        <v>46240.724050925928</v>
      </c>
      <c r="J470" t="s">
        <v>324</v>
      </c>
      <c r="K470" t="s">
        <v>358</v>
      </c>
      <c r="L470" s="157">
        <v>46167</v>
      </c>
      <c r="M470" t="s">
        <v>282</v>
      </c>
      <c r="N470" t="s">
        <v>290</v>
      </c>
      <c r="O470" t="s">
        <v>293</v>
      </c>
      <c r="P470">
        <v>3</v>
      </c>
      <c r="Q470" t="s">
        <v>273</v>
      </c>
    </row>
    <row r="471" spans="1:17" s="29" customFormat="1">
      <c r="A471" s="41">
        <v>1.1118775567129629E-2</v>
      </c>
      <c r="B471" t="s">
        <v>116</v>
      </c>
      <c r="C471" t="s">
        <v>363</v>
      </c>
      <c r="D471"/>
      <c r="E471" t="s">
        <v>127</v>
      </c>
      <c r="F471"/>
      <c r="G471" t="s">
        <v>204</v>
      </c>
      <c r="H471"/>
      <c r="I471" s="158">
        <v>46240.723761574074</v>
      </c>
      <c r="J471" t="s">
        <v>324</v>
      </c>
      <c r="K471" t="s">
        <v>358</v>
      </c>
      <c r="L471" s="157">
        <v>46167</v>
      </c>
      <c r="M471" t="s">
        <v>282</v>
      </c>
      <c r="N471" t="s">
        <v>290</v>
      </c>
      <c r="O471" t="s">
        <v>293</v>
      </c>
      <c r="P471">
        <v>3</v>
      </c>
      <c r="Q471" t="s">
        <v>273</v>
      </c>
    </row>
    <row r="472" spans="1:17" s="29" customFormat="1">
      <c r="A472" s="41">
        <v>1.1039919988425927E-2</v>
      </c>
      <c r="B472" t="s">
        <v>116</v>
      </c>
      <c r="C472" t="s">
        <v>375</v>
      </c>
      <c r="D472"/>
      <c r="E472" t="s">
        <v>127</v>
      </c>
      <c r="F472"/>
      <c r="G472" t="s">
        <v>204</v>
      </c>
      <c r="H472"/>
      <c r="I472" s="158">
        <v>46240.723124999997</v>
      </c>
      <c r="J472" t="s">
        <v>324</v>
      </c>
      <c r="K472" t="s">
        <v>358</v>
      </c>
      <c r="L472" s="157">
        <v>46167</v>
      </c>
      <c r="M472" t="s">
        <v>282</v>
      </c>
      <c r="N472" t="s">
        <v>290</v>
      </c>
      <c r="O472" t="s">
        <v>293</v>
      </c>
      <c r="P472">
        <v>3</v>
      </c>
      <c r="Q472" t="s">
        <v>273</v>
      </c>
    </row>
    <row r="473" spans="1:17" s="29" customFormat="1">
      <c r="A473" s="41">
        <v>1.0987889328703704E-2</v>
      </c>
      <c r="B473" t="s">
        <v>116</v>
      </c>
      <c r="C473" t="s">
        <v>377</v>
      </c>
      <c r="D473"/>
      <c r="E473" t="s">
        <v>127</v>
      </c>
      <c r="F473"/>
      <c r="G473" t="s">
        <v>204</v>
      </c>
      <c r="H473"/>
      <c r="I473" s="158">
        <v>46240.722997685189</v>
      </c>
      <c r="J473" t="s">
        <v>324</v>
      </c>
      <c r="K473" t="s">
        <v>358</v>
      </c>
      <c r="L473" s="157">
        <v>46167</v>
      </c>
      <c r="M473" t="s">
        <v>282</v>
      </c>
      <c r="N473" t="s">
        <v>290</v>
      </c>
      <c r="O473" t="s">
        <v>293</v>
      </c>
      <c r="P473">
        <v>3</v>
      </c>
      <c r="Q473" t="s">
        <v>273</v>
      </c>
    </row>
    <row r="474" spans="1:17" s="29" customFormat="1">
      <c r="A474" s="41">
        <v>1.091357519675926E-2</v>
      </c>
      <c r="B474" t="s">
        <v>116</v>
      </c>
      <c r="C474" t="s">
        <v>385</v>
      </c>
      <c r="D474"/>
      <c r="E474" t="s">
        <v>127</v>
      </c>
      <c r="F474"/>
      <c r="G474" t="s">
        <v>204</v>
      </c>
      <c r="H474"/>
      <c r="I474" s="158">
        <v>46240.722708333335</v>
      </c>
      <c r="J474" t="s">
        <v>324</v>
      </c>
      <c r="K474" t="s">
        <v>358</v>
      </c>
      <c r="L474" s="157">
        <v>46167</v>
      </c>
      <c r="M474" t="s">
        <v>282</v>
      </c>
      <c r="N474" t="s">
        <v>290</v>
      </c>
      <c r="O474" t="s">
        <v>293</v>
      </c>
      <c r="P474">
        <v>3</v>
      </c>
      <c r="Q474" t="s">
        <v>273</v>
      </c>
    </row>
    <row r="475" spans="1:17" s="29" customFormat="1">
      <c r="A475" s="41">
        <v>1.0896197824074074E-2</v>
      </c>
      <c r="B475" t="s">
        <v>116</v>
      </c>
      <c r="C475" t="s">
        <v>375</v>
      </c>
      <c r="D475"/>
      <c r="E475" t="s">
        <v>127</v>
      </c>
      <c r="F475"/>
      <c r="G475" t="s">
        <v>204</v>
      </c>
      <c r="H475"/>
      <c r="I475" s="158">
        <v>46240.722604166665</v>
      </c>
      <c r="J475" t="s">
        <v>324</v>
      </c>
      <c r="K475" t="s">
        <v>358</v>
      </c>
      <c r="L475" s="157">
        <v>46167</v>
      </c>
      <c r="M475" t="s">
        <v>282</v>
      </c>
      <c r="N475" t="s">
        <v>290</v>
      </c>
      <c r="O475" t="s">
        <v>293</v>
      </c>
      <c r="P475">
        <v>3</v>
      </c>
      <c r="Q475" t="s">
        <v>273</v>
      </c>
    </row>
    <row r="476" spans="1:17" s="29" customFormat="1">
      <c r="A476" s="41">
        <v>1.0821325729166666E-2</v>
      </c>
      <c r="B476" t="s">
        <v>116</v>
      </c>
      <c r="C476" t="s">
        <v>373</v>
      </c>
      <c r="D476"/>
      <c r="E476" t="s">
        <v>127</v>
      </c>
      <c r="F476"/>
      <c r="G476" t="s">
        <v>204</v>
      </c>
      <c r="H476"/>
      <c r="I476" s="158">
        <v>46240.722118055557</v>
      </c>
      <c r="J476" t="s">
        <v>324</v>
      </c>
      <c r="K476" t="s">
        <v>358</v>
      </c>
      <c r="L476" s="157">
        <v>46167</v>
      </c>
      <c r="M476" t="s">
        <v>282</v>
      </c>
      <c r="N476" t="s">
        <v>290</v>
      </c>
      <c r="O476" t="s">
        <v>293</v>
      </c>
      <c r="P476">
        <v>3</v>
      </c>
      <c r="Q476" t="s">
        <v>273</v>
      </c>
    </row>
    <row r="477" spans="1:17" s="29" customFormat="1">
      <c r="A477" s="41">
        <v>1.0804850798611113E-2</v>
      </c>
      <c r="B477" t="s">
        <v>116</v>
      </c>
      <c r="C477" t="s">
        <v>363</v>
      </c>
      <c r="D477"/>
      <c r="E477" t="s">
        <v>59</v>
      </c>
      <c r="F477"/>
      <c r="G477" t="s">
        <v>204</v>
      </c>
      <c r="H477"/>
      <c r="I477" s="158">
        <v>46240.721898148149</v>
      </c>
      <c r="J477" t="s">
        <v>324</v>
      </c>
      <c r="K477" t="s">
        <v>358</v>
      </c>
      <c r="L477" s="157">
        <v>46167</v>
      </c>
      <c r="M477" t="s">
        <v>282</v>
      </c>
      <c r="N477" t="s">
        <v>290</v>
      </c>
      <c r="O477" t="s">
        <v>293</v>
      </c>
      <c r="P477">
        <v>3</v>
      </c>
      <c r="Q477" t="s">
        <v>273</v>
      </c>
    </row>
    <row r="478" spans="1:17" s="29" customFormat="1">
      <c r="A478" s="41">
        <v>1.0775912349537037E-2</v>
      </c>
      <c r="B478" t="s">
        <v>116</v>
      </c>
      <c r="C478" t="s">
        <v>371</v>
      </c>
      <c r="D478"/>
      <c r="E478" t="s">
        <v>127</v>
      </c>
      <c r="F478"/>
      <c r="G478" t="s">
        <v>204</v>
      </c>
      <c r="H478"/>
      <c r="I478" s="158">
        <v>46240.721782407411</v>
      </c>
      <c r="J478" t="s">
        <v>324</v>
      </c>
      <c r="K478" t="s">
        <v>358</v>
      </c>
      <c r="L478" s="157">
        <v>46167</v>
      </c>
      <c r="M478" t="s">
        <v>282</v>
      </c>
      <c r="N478" t="s">
        <v>290</v>
      </c>
      <c r="O478" t="s">
        <v>293</v>
      </c>
      <c r="P478">
        <v>3</v>
      </c>
      <c r="Q478" t="s">
        <v>273</v>
      </c>
    </row>
    <row r="479" spans="1:17" s="29" customFormat="1">
      <c r="A479" s="41">
        <v>1.0734451875E-2</v>
      </c>
      <c r="B479" t="s">
        <v>116</v>
      </c>
      <c r="C479" t="s">
        <v>365</v>
      </c>
      <c r="D479"/>
      <c r="E479" t="s">
        <v>127</v>
      </c>
      <c r="F479"/>
      <c r="G479" t="s">
        <v>204</v>
      </c>
      <c r="H479"/>
      <c r="I479" s="158">
        <v>46240.721574074072</v>
      </c>
      <c r="J479" t="s">
        <v>324</v>
      </c>
      <c r="K479" t="s">
        <v>358</v>
      </c>
      <c r="L479" s="157">
        <v>46167</v>
      </c>
      <c r="M479" t="s">
        <v>282</v>
      </c>
      <c r="N479" t="s">
        <v>290</v>
      </c>
      <c r="O479" t="s">
        <v>293</v>
      </c>
      <c r="P479">
        <v>3</v>
      </c>
      <c r="Q479" t="s">
        <v>273</v>
      </c>
    </row>
    <row r="480" spans="1:17" s="29" customFormat="1">
      <c r="A480" s="41">
        <v>1.0647910393518518E-2</v>
      </c>
      <c r="B480" t="s">
        <v>116</v>
      </c>
      <c r="C480" t="s">
        <v>371</v>
      </c>
      <c r="D480"/>
      <c r="E480" t="s">
        <v>128</v>
      </c>
      <c r="F480"/>
      <c r="G480" t="s">
        <v>117</v>
      </c>
      <c r="H480"/>
      <c r="I480" s="158">
        <v>46240.721250000002</v>
      </c>
      <c r="J480" t="s">
        <v>324</v>
      </c>
      <c r="K480" t="s">
        <v>358</v>
      </c>
      <c r="L480" s="157">
        <v>46167</v>
      </c>
      <c r="M480" t="s">
        <v>282</v>
      </c>
      <c r="N480" t="s">
        <v>290</v>
      </c>
      <c r="O480" t="s">
        <v>293</v>
      </c>
      <c r="P480">
        <v>3</v>
      </c>
      <c r="Q480" t="s">
        <v>273</v>
      </c>
    </row>
    <row r="481" spans="1:17" s="29" customFormat="1">
      <c r="A481" s="41">
        <v>1.0598794270833333E-2</v>
      </c>
      <c r="B481" t="s">
        <v>116</v>
      </c>
      <c r="C481"/>
      <c r="D481"/>
      <c r="E481" t="s">
        <v>123</v>
      </c>
      <c r="F481"/>
      <c r="G481" t="s">
        <v>117</v>
      </c>
      <c r="H481"/>
      <c r="I481" s="158">
        <v>46240.721076388887</v>
      </c>
      <c r="J481" t="s">
        <v>324</v>
      </c>
      <c r="K481" t="s">
        <v>358</v>
      </c>
      <c r="L481" s="157">
        <v>46167</v>
      </c>
      <c r="M481" t="s">
        <v>282</v>
      </c>
      <c r="N481" t="s">
        <v>290</v>
      </c>
      <c r="O481" t="s">
        <v>293</v>
      </c>
      <c r="P481">
        <v>3</v>
      </c>
      <c r="Q481" t="s">
        <v>273</v>
      </c>
    </row>
    <row r="482" spans="1:17" s="29" customFormat="1">
      <c r="A482" s="41">
        <v>1.0032710625E-2</v>
      </c>
      <c r="B482" t="s">
        <v>116</v>
      </c>
      <c r="C482"/>
      <c r="D482"/>
      <c r="E482" t="s">
        <v>88</v>
      </c>
      <c r="F482"/>
      <c r="G482" t="s">
        <v>117</v>
      </c>
      <c r="H482"/>
      <c r="I482" s="158">
        <v>46240.720092592594</v>
      </c>
      <c r="J482" t="s">
        <v>324</v>
      </c>
      <c r="K482" t="s">
        <v>358</v>
      </c>
      <c r="L482" s="157">
        <v>46167</v>
      </c>
      <c r="M482" t="s">
        <v>282</v>
      </c>
      <c r="N482" t="s">
        <v>290</v>
      </c>
      <c r="O482" t="s">
        <v>293</v>
      </c>
      <c r="P482">
        <v>3</v>
      </c>
      <c r="Q482" t="s">
        <v>273</v>
      </c>
    </row>
    <row r="483" spans="1:17" s="29" customFormat="1">
      <c r="A483" s="41">
        <v>1.0032710625E-2</v>
      </c>
      <c r="B483" t="s">
        <v>116</v>
      </c>
      <c r="C483"/>
      <c r="D483"/>
      <c r="E483" t="s">
        <v>253</v>
      </c>
      <c r="F483" t="s">
        <v>175</v>
      </c>
      <c r="G483" t="s">
        <v>117</v>
      </c>
      <c r="H483"/>
      <c r="I483" s="158">
        <v>46240.720092592594</v>
      </c>
      <c r="J483" t="s">
        <v>324</v>
      </c>
      <c r="K483" t="s">
        <v>358</v>
      </c>
      <c r="L483" s="157">
        <v>46167</v>
      </c>
      <c r="M483" t="s">
        <v>282</v>
      </c>
      <c r="N483" t="s">
        <v>290</v>
      </c>
      <c r="O483" t="s">
        <v>293</v>
      </c>
      <c r="P483">
        <v>3</v>
      </c>
      <c r="Q483" t="s">
        <v>273</v>
      </c>
    </row>
    <row r="484" spans="1:17" s="29" customFormat="1">
      <c r="A484" s="41">
        <v>9.9920445717592583E-3</v>
      </c>
      <c r="B484" t="s">
        <v>116</v>
      </c>
      <c r="C484"/>
      <c r="D484"/>
      <c r="E484" t="s">
        <v>127</v>
      </c>
      <c r="F484"/>
      <c r="G484" t="s">
        <v>117</v>
      </c>
      <c r="H484"/>
      <c r="I484" s="158">
        <v>46240.719849537039</v>
      </c>
      <c r="J484" t="s">
        <v>324</v>
      </c>
      <c r="K484" t="s">
        <v>358</v>
      </c>
      <c r="L484" s="157">
        <v>46167</v>
      </c>
      <c r="M484" t="s">
        <v>282</v>
      </c>
      <c r="N484" t="s">
        <v>290</v>
      </c>
      <c r="O484" t="s">
        <v>293</v>
      </c>
      <c r="P484">
        <v>3</v>
      </c>
      <c r="Q484" t="s">
        <v>273</v>
      </c>
    </row>
    <row r="485" spans="1:17" s="29" customFormat="1">
      <c r="A485" s="41">
        <v>9.9691087152777788E-3</v>
      </c>
      <c r="B485" t="s">
        <v>116</v>
      </c>
      <c r="C485" t="s">
        <v>369</v>
      </c>
      <c r="D485"/>
      <c r="E485" t="s">
        <v>129</v>
      </c>
      <c r="F485"/>
      <c r="G485" t="s">
        <v>204</v>
      </c>
      <c r="H485"/>
      <c r="I485" s="158">
        <v>46240.719733796293</v>
      </c>
      <c r="J485" t="s">
        <v>324</v>
      </c>
      <c r="K485" t="s">
        <v>358</v>
      </c>
      <c r="L485" s="157">
        <v>46167</v>
      </c>
      <c r="M485" t="s">
        <v>282</v>
      </c>
      <c r="N485" t="s">
        <v>290</v>
      </c>
      <c r="O485" t="s">
        <v>293</v>
      </c>
      <c r="P485">
        <v>3</v>
      </c>
      <c r="Q485" t="s">
        <v>273</v>
      </c>
    </row>
    <row r="486" spans="1:17" s="29" customFormat="1">
      <c r="A486" s="41">
        <v>9.9574428703703716E-3</v>
      </c>
      <c r="B486" t="s">
        <v>116</v>
      </c>
      <c r="C486"/>
      <c r="D486"/>
      <c r="E486" t="s">
        <v>123</v>
      </c>
      <c r="F486"/>
      <c r="G486" t="s">
        <v>204</v>
      </c>
      <c r="H486"/>
      <c r="I486" s="158">
        <v>46240.719212962962</v>
      </c>
      <c r="J486" t="s">
        <v>324</v>
      </c>
      <c r="K486" t="s">
        <v>358</v>
      </c>
      <c r="L486" s="157">
        <v>46167</v>
      </c>
      <c r="M486" t="s">
        <v>282</v>
      </c>
      <c r="N486" t="s">
        <v>290</v>
      </c>
      <c r="O486" t="s">
        <v>293</v>
      </c>
      <c r="P486">
        <v>3</v>
      </c>
      <c r="Q486" t="s">
        <v>273</v>
      </c>
    </row>
    <row r="487" spans="1:17" s="29" customFormat="1">
      <c r="A487" s="41">
        <v>9.5779510648148145E-3</v>
      </c>
      <c r="B487" t="s">
        <v>116</v>
      </c>
      <c r="C487"/>
      <c r="D487"/>
      <c r="E487" t="s">
        <v>88</v>
      </c>
      <c r="F487"/>
      <c r="G487" t="s">
        <v>117</v>
      </c>
      <c r="H487"/>
      <c r="I487" s="158">
        <v>46240.718912037039</v>
      </c>
      <c r="J487" t="s">
        <v>324</v>
      </c>
      <c r="K487" t="s">
        <v>358</v>
      </c>
      <c r="L487" s="157">
        <v>46167</v>
      </c>
      <c r="M487" t="s">
        <v>282</v>
      </c>
      <c r="N487" t="s">
        <v>290</v>
      </c>
      <c r="O487" t="s">
        <v>293</v>
      </c>
      <c r="P487">
        <v>3</v>
      </c>
      <c r="Q487" t="s">
        <v>273</v>
      </c>
    </row>
    <row r="488" spans="1:17" s="29" customFormat="1">
      <c r="A488" s="41">
        <v>9.5490364351851851E-3</v>
      </c>
      <c r="B488" t="s">
        <v>116</v>
      </c>
      <c r="C488"/>
      <c r="D488"/>
      <c r="E488" t="s">
        <v>226</v>
      </c>
      <c r="F488"/>
      <c r="G488" t="s">
        <v>117</v>
      </c>
      <c r="H488"/>
      <c r="I488" s="158">
        <v>46240.718773148146</v>
      </c>
      <c r="J488" t="s">
        <v>324</v>
      </c>
      <c r="K488" t="s">
        <v>358</v>
      </c>
      <c r="L488" s="157">
        <v>46167</v>
      </c>
      <c r="M488" t="s">
        <v>282</v>
      </c>
      <c r="N488" t="s">
        <v>290</v>
      </c>
      <c r="O488" t="s">
        <v>293</v>
      </c>
      <c r="P488">
        <v>3</v>
      </c>
      <c r="Q488" t="s">
        <v>273</v>
      </c>
    </row>
    <row r="489" spans="1:17" s="29" customFormat="1">
      <c r="A489" s="41">
        <v>9.5373384143518508E-3</v>
      </c>
      <c r="B489" t="s">
        <v>116</v>
      </c>
      <c r="C489"/>
      <c r="D489"/>
      <c r="E489" t="s">
        <v>224</v>
      </c>
      <c r="F489"/>
      <c r="G489" t="s">
        <v>204</v>
      </c>
      <c r="H489"/>
      <c r="I489" s="158">
        <v>46240.718715277777</v>
      </c>
      <c r="J489" t="s">
        <v>324</v>
      </c>
      <c r="K489" t="s">
        <v>358</v>
      </c>
      <c r="L489" s="157">
        <v>46167</v>
      </c>
      <c r="M489" t="s">
        <v>282</v>
      </c>
      <c r="N489" t="s">
        <v>290</v>
      </c>
      <c r="O489" t="s">
        <v>293</v>
      </c>
      <c r="P489">
        <v>3</v>
      </c>
      <c r="Q489" t="s">
        <v>273</v>
      </c>
    </row>
    <row r="490" spans="1:17" s="29" customFormat="1">
      <c r="A490" s="41">
        <v>9.4909436805555546E-3</v>
      </c>
      <c r="B490" t="s">
        <v>116</v>
      </c>
      <c r="C490" t="s">
        <v>385</v>
      </c>
      <c r="D490"/>
      <c r="E490" t="s">
        <v>127</v>
      </c>
      <c r="F490"/>
      <c r="G490" t="s">
        <v>204</v>
      </c>
      <c r="H490"/>
      <c r="I490" s="158">
        <v>46240.718576388892</v>
      </c>
      <c r="J490" t="s">
        <v>324</v>
      </c>
      <c r="K490" t="s">
        <v>358</v>
      </c>
      <c r="L490" s="157">
        <v>46167</v>
      </c>
      <c r="M490" t="s">
        <v>282</v>
      </c>
      <c r="N490" t="s">
        <v>290</v>
      </c>
      <c r="O490" t="s">
        <v>293</v>
      </c>
      <c r="P490">
        <v>3</v>
      </c>
      <c r="Q490" t="s">
        <v>273</v>
      </c>
    </row>
    <row r="491" spans="1:17" s="29" customFormat="1">
      <c r="A491" s="41">
        <v>9.4156280671296305E-3</v>
      </c>
      <c r="B491" t="s">
        <v>116</v>
      </c>
      <c r="C491" t="s">
        <v>367</v>
      </c>
      <c r="D491"/>
      <c r="E491" t="s">
        <v>127</v>
      </c>
      <c r="F491"/>
      <c r="G491" t="s">
        <v>204</v>
      </c>
      <c r="H491"/>
      <c r="I491" s="158">
        <v>46240.7184375</v>
      </c>
      <c r="J491" t="s">
        <v>324</v>
      </c>
      <c r="K491" t="s">
        <v>358</v>
      </c>
      <c r="L491" s="157">
        <v>46167</v>
      </c>
      <c r="M491" t="s">
        <v>282</v>
      </c>
      <c r="N491" t="s">
        <v>290</v>
      </c>
      <c r="O491" t="s">
        <v>293</v>
      </c>
      <c r="P491">
        <v>3</v>
      </c>
      <c r="Q491" t="s">
        <v>273</v>
      </c>
    </row>
    <row r="492" spans="1:17" s="29" customFormat="1">
      <c r="A492" s="41">
        <v>9.4051591666666681E-3</v>
      </c>
      <c r="B492" t="s">
        <v>116</v>
      </c>
      <c r="C492" t="s">
        <v>377</v>
      </c>
      <c r="D492"/>
      <c r="E492" t="s">
        <v>127</v>
      </c>
      <c r="F492"/>
      <c r="G492" t="s">
        <v>204</v>
      </c>
      <c r="H492"/>
      <c r="I492" s="158">
        <v>46240.717951388891</v>
      </c>
      <c r="J492" t="s">
        <v>324</v>
      </c>
      <c r="K492" t="s">
        <v>358</v>
      </c>
      <c r="L492" s="157">
        <v>46167</v>
      </c>
      <c r="M492" t="s">
        <v>282</v>
      </c>
      <c r="N492" t="s">
        <v>290</v>
      </c>
      <c r="O492" t="s">
        <v>293</v>
      </c>
      <c r="P492">
        <v>3</v>
      </c>
      <c r="Q492" t="s">
        <v>273</v>
      </c>
    </row>
    <row r="493" spans="1:17" s="29" customFormat="1">
      <c r="A493" s="41">
        <v>9.3986246759259259E-3</v>
      </c>
      <c r="B493" t="s">
        <v>116</v>
      </c>
      <c r="C493" t="s">
        <v>379</v>
      </c>
      <c r="D493"/>
      <c r="E493" t="s">
        <v>59</v>
      </c>
      <c r="F493"/>
      <c r="G493" t="s">
        <v>204</v>
      </c>
      <c r="H493"/>
      <c r="I493" s="158">
        <v>46240.717546296299</v>
      </c>
      <c r="J493" t="s">
        <v>324</v>
      </c>
      <c r="K493" t="s">
        <v>358</v>
      </c>
      <c r="L493" s="157">
        <v>46167</v>
      </c>
      <c r="M493" t="s">
        <v>282</v>
      </c>
      <c r="N493" t="s">
        <v>290</v>
      </c>
      <c r="O493" t="s">
        <v>293</v>
      </c>
      <c r="P493">
        <v>3</v>
      </c>
      <c r="Q493" t="s">
        <v>273</v>
      </c>
    </row>
    <row r="494" spans="1:17" s="29" customFormat="1">
      <c r="A494" s="41">
        <v>9.3811500462962962E-3</v>
      </c>
      <c r="B494" t="s">
        <v>116</v>
      </c>
      <c r="C494" t="s">
        <v>363</v>
      </c>
      <c r="D494"/>
      <c r="E494" t="s">
        <v>59</v>
      </c>
      <c r="F494"/>
      <c r="G494" t="s">
        <v>204</v>
      </c>
      <c r="H494"/>
      <c r="I494" s="158">
        <v>46240.717430555553</v>
      </c>
      <c r="J494" t="s">
        <v>324</v>
      </c>
      <c r="K494" t="s">
        <v>358</v>
      </c>
      <c r="L494" s="157">
        <v>46167</v>
      </c>
      <c r="M494" t="s">
        <v>282</v>
      </c>
      <c r="N494" t="s">
        <v>290</v>
      </c>
      <c r="O494" t="s">
        <v>293</v>
      </c>
      <c r="P494">
        <v>3</v>
      </c>
      <c r="Q494" t="s">
        <v>273</v>
      </c>
    </row>
    <row r="495" spans="1:17" s="29" customFormat="1">
      <c r="A495" s="41">
        <v>9.2936633680555554E-3</v>
      </c>
      <c r="B495" t="s">
        <v>116</v>
      </c>
      <c r="C495"/>
      <c r="D495"/>
      <c r="E495" t="s">
        <v>228</v>
      </c>
      <c r="F495"/>
      <c r="G495" t="s">
        <v>204</v>
      </c>
      <c r="H495"/>
      <c r="I495" s="158">
        <v>46240.717303240737</v>
      </c>
      <c r="J495" t="s">
        <v>324</v>
      </c>
      <c r="K495" t="s">
        <v>358</v>
      </c>
      <c r="L495" s="157">
        <v>46167</v>
      </c>
      <c r="M495" t="s">
        <v>282</v>
      </c>
      <c r="N495" t="s">
        <v>290</v>
      </c>
      <c r="O495" t="s">
        <v>293</v>
      </c>
      <c r="P495">
        <v>3</v>
      </c>
      <c r="Q495" t="s">
        <v>273</v>
      </c>
    </row>
    <row r="496" spans="1:17" s="29" customFormat="1">
      <c r="A496" s="41">
        <v>9.2540889004629635E-3</v>
      </c>
      <c r="B496" t="s">
        <v>116</v>
      </c>
      <c r="C496"/>
      <c r="D496"/>
      <c r="E496" t="s">
        <v>224</v>
      </c>
      <c r="F496"/>
      <c r="G496" t="s">
        <v>117</v>
      </c>
      <c r="H496"/>
      <c r="I496" s="158">
        <v>46240.717245370368</v>
      </c>
      <c r="J496" t="s">
        <v>324</v>
      </c>
      <c r="K496" t="s">
        <v>358</v>
      </c>
      <c r="L496" s="157">
        <v>46167</v>
      </c>
      <c r="M496" t="s">
        <v>282</v>
      </c>
      <c r="N496" t="s">
        <v>290</v>
      </c>
      <c r="O496" t="s">
        <v>293</v>
      </c>
      <c r="P496">
        <v>3</v>
      </c>
      <c r="Q496" t="s">
        <v>273</v>
      </c>
    </row>
    <row r="497" spans="1:17" s="29" customFormat="1">
      <c r="A497" s="41">
        <v>9.230820150462964E-3</v>
      </c>
      <c r="B497" t="s">
        <v>116</v>
      </c>
      <c r="C497"/>
      <c r="D497"/>
      <c r="E497" t="s">
        <v>226</v>
      </c>
      <c r="F497"/>
      <c r="G497" t="s">
        <v>117</v>
      </c>
      <c r="H497"/>
      <c r="I497" s="158">
        <v>46240.716423611113</v>
      </c>
      <c r="J497" t="s">
        <v>324</v>
      </c>
      <c r="K497" t="s">
        <v>358</v>
      </c>
      <c r="L497" s="157">
        <v>46167</v>
      </c>
      <c r="M497" t="s">
        <v>282</v>
      </c>
      <c r="N497" t="s">
        <v>290</v>
      </c>
      <c r="O497" t="s">
        <v>293</v>
      </c>
      <c r="P497">
        <v>3</v>
      </c>
      <c r="Q497" t="s">
        <v>273</v>
      </c>
    </row>
    <row r="498" spans="1:17" s="29" customFormat="1">
      <c r="A498" s="41">
        <v>9.207741377314815E-3</v>
      </c>
      <c r="B498" t="s">
        <v>116</v>
      </c>
      <c r="C498"/>
      <c r="D498"/>
      <c r="E498" t="s">
        <v>224</v>
      </c>
      <c r="F498"/>
      <c r="G498" t="s">
        <v>204</v>
      </c>
      <c r="H498"/>
      <c r="I498" s="158">
        <v>46240.71634259259</v>
      </c>
      <c r="J498" t="s">
        <v>324</v>
      </c>
      <c r="K498" t="s">
        <v>358</v>
      </c>
      <c r="L498" s="157">
        <v>46167</v>
      </c>
      <c r="M498" t="s">
        <v>282</v>
      </c>
      <c r="N498" t="s">
        <v>290</v>
      </c>
      <c r="O498" t="s">
        <v>293</v>
      </c>
      <c r="P498">
        <v>3</v>
      </c>
      <c r="Q498" t="s">
        <v>273</v>
      </c>
    </row>
    <row r="499" spans="1:17" s="29" customFormat="1">
      <c r="A499" s="41">
        <v>9.1555262847222221E-3</v>
      </c>
      <c r="B499" t="s">
        <v>116</v>
      </c>
      <c r="C499" t="s">
        <v>361</v>
      </c>
      <c r="D499"/>
      <c r="E499" t="s">
        <v>127</v>
      </c>
      <c r="F499"/>
      <c r="G499" t="s">
        <v>204</v>
      </c>
      <c r="H499"/>
      <c r="I499" s="158">
        <v>46240.716215277775</v>
      </c>
      <c r="J499" t="s">
        <v>324</v>
      </c>
      <c r="K499" t="s">
        <v>358</v>
      </c>
      <c r="L499" s="157">
        <v>46167</v>
      </c>
      <c r="M499" t="s">
        <v>282</v>
      </c>
      <c r="N499" t="s">
        <v>290</v>
      </c>
      <c r="O499" t="s">
        <v>293</v>
      </c>
      <c r="P499">
        <v>3</v>
      </c>
      <c r="Q499" t="s">
        <v>273</v>
      </c>
    </row>
    <row r="500" spans="1:17" s="29" customFormat="1">
      <c r="A500" s="41">
        <v>9.0692960532407409E-3</v>
      </c>
      <c r="B500" t="s">
        <v>116</v>
      </c>
      <c r="C500" t="s">
        <v>365</v>
      </c>
      <c r="D500"/>
      <c r="E500" t="s">
        <v>127</v>
      </c>
      <c r="F500"/>
      <c r="G500" t="s">
        <v>204</v>
      </c>
      <c r="H500"/>
      <c r="I500" s="158">
        <v>46240.716006944444</v>
      </c>
      <c r="J500" t="s">
        <v>324</v>
      </c>
      <c r="K500" t="s">
        <v>358</v>
      </c>
      <c r="L500" s="157">
        <v>46167</v>
      </c>
      <c r="M500" t="s">
        <v>282</v>
      </c>
      <c r="N500" t="s">
        <v>290</v>
      </c>
      <c r="O500" t="s">
        <v>293</v>
      </c>
      <c r="P500">
        <v>3</v>
      </c>
      <c r="Q500" t="s">
        <v>273</v>
      </c>
    </row>
    <row r="501" spans="1:17" s="29" customFormat="1">
      <c r="A501" s="41">
        <v>9.0491107407407404E-3</v>
      </c>
      <c r="B501" t="s">
        <v>116</v>
      </c>
      <c r="C501"/>
      <c r="D501"/>
      <c r="E501" t="s">
        <v>338</v>
      </c>
      <c r="F501"/>
      <c r="G501" t="s">
        <v>204</v>
      </c>
      <c r="H501"/>
      <c r="I501" s="158">
        <v>46240.715555555558</v>
      </c>
      <c r="J501" t="s">
        <v>324</v>
      </c>
      <c r="K501" t="s">
        <v>358</v>
      </c>
      <c r="L501" s="157">
        <v>46167</v>
      </c>
      <c r="M501" t="s">
        <v>282</v>
      </c>
      <c r="N501" t="s">
        <v>290</v>
      </c>
      <c r="O501" t="s">
        <v>293</v>
      </c>
      <c r="P501">
        <v>3</v>
      </c>
      <c r="Q501" t="s">
        <v>273</v>
      </c>
    </row>
    <row r="502" spans="1:17" s="29" customFormat="1">
      <c r="A502" s="41">
        <v>8.9907013078703701E-3</v>
      </c>
      <c r="B502" t="s">
        <v>116</v>
      </c>
      <c r="C502"/>
      <c r="D502"/>
      <c r="E502" t="s">
        <v>123</v>
      </c>
      <c r="F502"/>
      <c r="G502" t="s">
        <v>204</v>
      </c>
      <c r="H502"/>
      <c r="I502" s="158">
        <v>46240.715497685182</v>
      </c>
      <c r="J502" t="s">
        <v>324</v>
      </c>
      <c r="K502" t="s">
        <v>358</v>
      </c>
      <c r="L502" s="157">
        <v>46167</v>
      </c>
      <c r="M502" t="s">
        <v>282</v>
      </c>
      <c r="N502" t="s">
        <v>290</v>
      </c>
      <c r="O502" t="s">
        <v>293</v>
      </c>
      <c r="P502">
        <v>3</v>
      </c>
      <c r="Q502" t="s">
        <v>273</v>
      </c>
    </row>
    <row r="503" spans="1:17" s="29" customFormat="1">
      <c r="A503" s="41">
        <v>8.2508191782407411E-3</v>
      </c>
      <c r="B503" t="s">
        <v>116</v>
      </c>
      <c r="C503"/>
      <c r="D503"/>
      <c r="E503" t="s">
        <v>88</v>
      </c>
      <c r="F503"/>
      <c r="G503" t="s">
        <v>204</v>
      </c>
      <c r="H503"/>
      <c r="I503" s="158">
        <v>46240.715092592596</v>
      </c>
      <c r="J503" t="s">
        <v>324</v>
      </c>
      <c r="K503" t="s">
        <v>358</v>
      </c>
      <c r="L503" s="157">
        <v>46167</v>
      </c>
      <c r="M503" t="s">
        <v>282</v>
      </c>
      <c r="N503" t="s">
        <v>290</v>
      </c>
      <c r="O503" t="s">
        <v>293</v>
      </c>
      <c r="P503">
        <v>3</v>
      </c>
      <c r="Q503" t="s">
        <v>273</v>
      </c>
    </row>
    <row r="504" spans="1:17" s="29" customFormat="1">
      <c r="A504" s="41">
        <v>8.2508191782407411E-3</v>
      </c>
      <c r="B504" t="s">
        <v>116</v>
      </c>
      <c r="C504" t="s">
        <v>371</v>
      </c>
      <c r="D504" t="s">
        <v>244</v>
      </c>
      <c r="E504" t="s">
        <v>254</v>
      </c>
      <c r="F504" t="s">
        <v>175</v>
      </c>
      <c r="G504" t="s">
        <v>204</v>
      </c>
      <c r="H504"/>
      <c r="I504" s="158">
        <v>46240.715092592596</v>
      </c>
      <c r="J504" t="s">
        <v>324</v>
      </c>
      <c r="K504" t="s">
        <v>358</v>
      </c>
      <c r="L504" s="157">
        <v>46167</v>
      </c>
      <c r="M504" t="s">
        <v>282</v>
      </c>
      <c r="N504" t="s">
        <v>290</v>
      </c>
      <c r="O504" t="s">
        <v>293</v>
      </c>
      <c r="P504">
        <v>3</v>
      </c>
      <c r="Q504" t="s">
        <v>273</v>
      </c>
    </row>
    <row r="505" spans="1:17" s="29" customFormat="1">
      <c r="A505" s="41">
        <v>8.2221853009259247E-3</v>
      </c>
      <c r="B505" t="s">
        <v>116</v>
      </c>
      <c r="C505" t="s">
        <v>371</v>
      </c>
      <c r="D505"/>
      <c r="E505" t="s">
        <v>175</v>
      </c>
      <c r="F505"/>
      <c r="G505" t="s">
        <v>204</v>
      </c>
      <c r="H505"/>
      <c r="I505" s="158">
        <v>46240.714942129627</v>
      </c>
      <c r="J505" t="s">
        <v>324</v>
      </c>
      <c r="K505" t="s">
        <v>358</v>
      </c>
      <c r="L505" s="157">
        <v>46167</v>
      </c>
      <c r="M505" t="s">
        <v>282</v>
      </c>
      <c r="N505" t="s">
        <v>290</v>
      </c>
      <c r="O505" t="s">
        <v>293</v>
      </c>
      <c r="P505">
        <v>3</v>
      </c>
      <c r="Q505" t="s">
        <v>273</v>
      </c>
    </row>
    <row r="506" spans="1:17" s="29" customFormat="1">
      <c r="A506" s="41">
        <v>8.1982999537037037E-3</v>
      </c>
      <c r="B506" t="s">
        <v>116</v>
      </c>
      <c r="C506" t="s">
        <v>361</v>
      </c>
      <c r="D506"/>
      <c r="E506" t="s">
        <v>127</v>
      </c>
      <c r="F506"/>
      <c r="G506" t="s">
        <v>204</v>
      </c>
      <c r="H506"/>
      <c r="I506" s="158">
        <v>46240.714097222219</v>
      </c>
      <c r="J506" t="s">
        <v>324</v>
      </c>
      <c r="K506" t="s">
        <v>358</v>
      </c>
      <c r="L506" s="157">
        <v>46167</v>
      </c>
      <c r="M506" t="s">
        <v>282</v>
      </c>
      <c r="N506" t="s">
        <v>290</v>
      </c>
      <c r="O506" t="s">
        <v>293</v>
      </c>
      <c r="P506">
        <v>3</v>
      </c>
      <c r="Q506" t="s">
        <v>273</v>
      </c>
    </row>
    <row r="507" spans="1:17" s="29" customFormat="1">
      <c r="A507" s="41">
        <v>8.1702160532407409E-3</v>
      </c>
      <c r="B507" t="s">
        <v>116</v>
      </c>
      <c r="C507" t="s">
        <v>371</v>
      </c>
      <c r="D507"/>
      <c r="E507" t="s">
        <v>127</v>
      </c>
      <c r="F507"/>
      <c r="G507" t="s">
        <v>204</v>
      </c>
      <c r="H507"/>
      <c r="I507" s="158">
        <v>46240.713935185187</v>
      </c>
      <c r="J507" t="s">
        <v>324</v>
      </c>
      <c r="K507" t="s">
        <v>358</v>
      </c>
      <c r="L507" s="157">
        <v>46167</v>
      </c>
      <c r="M507" t="s">
        <v>282</v>
      </c>
      <c r="N507" t="s">
        <v>290</v>
      </c>
      <c r="O507" t="s">
        <v>293</v>
      </c>
      <c r="P507">
        <v>3</v>
      </c>
      <c r="Q507" t="s">
        <v>273</v>
      </c>
    </row>
    <row r="508" spans="1:17" s="29" customFormat="1">
      <c r="A508" s="41">
        <v>8.1514017013888888E-3</v>
      </c>
      <c r="B508" t="s">
        <v>116</v>
      </c>
      <c r="C508"/>
      <c r="D508"/>
      <c r="E508" t="s">
        <v>60</v>
      </c>
      <c r="F508"/>
      <c r="G508" t="s">
        <v>117</v>
      </c>
      <c r="H508"/>
      <c r="I508" s="158">
        <v>46240.713703703703</v>
      </c>
      <c r="J508" t="s">
        <v>324</v>
      </c>
      <c r="K508" t="s">
        <v>358</v>
      </c>
      <c r="L508" s="157">
        <v>46167</v>
      </c>
      <c r="M508" t="s">
        <v>282</v>
      </c>
      <c r="N508" t="s">
        <v>290</v>
      </c>
      <c r="O508" t="s">
        <v>293</v>
      </c>
      <c r="P508">
        <v>3</v>
      </c>
      <c r="Q508" t="s">
        <v>273</v>
      </c>
    </row>
    <row r="509" spans="1:17" s="29" customFormat="1">
      <c r="A509" s="41">
        <v>8.1147131134259257E-3</v>
      </c>
      <c r="B509" t="s">
        <v>116</v>
      </c>
      <c r="C509"/>
      <c r="D509"/>
      <c r="E509" t="s">
        <v>127</v>
      </c>
      <c r="F509"/>
      <c r="G509" t="s">
        <v>117</v>
      </c>
      <c r="H509"/>
      <c r="I509" s="158">
        <v>46240.713576388887</v>
      </c>
      <c r="J509" t="s">
        <v>324</v>
      </c>
      <c r="K509" t="s">
        <v>358</v>
      </c>
      <c r="L509" s="157">
        <v>46167</v>
      </c>
      <c r="M509" t="s">
        <v>282</v>
      </c>
      <c r="N509" t="s">
        <v>290</v>
      </c>
      <c r="O509" t="s">
        <v>293</v>
      </c>
      <c r="P509">
        <v>3</v>
      </c>
      <c r="Q509" t="s">
        <v>273</v>
      </c>
    </row>
    <row r="510" spans="1:17" s="29" customFormat="1">
      <c r="A510" s="41">
        <v>8.0628359259259253E-3</v>
      </c>
      <c r="B510" t="s">
        <v>116</v>
      </c>
      <c r="C510"/>
      <c r="D510"/>
      <c r="E510" t="s">
        <v>127</v>
      </c>
      <c r="F510"/>
      <c r="G510" t="s">
        <v>117</v>
      </c>
      <c r="H510"/>
      <c r="I510" s="158">
        <v>46240.713530092595</v>
      </c>
      <c r="J510" t="s">
        <v>324</v>
      </c>
      <c r="K510" t="s">
        <v>358</v>
      </c>
      <c r="L510" s="157">
        <v>46167</v>
      </c>
      <c r="M510" t="s">
        <v>282</v>
      </c>
      <c r="N510" t="s">
        <v>290</v>
      </c>
      <c r="O510" t="s">
        <v>293</v>
      </c>
      <c r="P510">
        <v>3</v>
      </c>
      <c r="Q510" t="s">
        <v>273</v>
      </c>
    </row>
    <row r="511" spans="1:17" s="29" customFormat="1">
      <c r="A511" s="41">
        <v>8.0194096180555546E-3</v>
      </c>
      <c r="B511" t="s">
        <v>116</v>
      </c>
      <c r="C511"/>
      <c r="D511"/>
      <c r="E511" t="s">
        <v>336</v>
      </c>
      <c r="F511"/>
      <c r="G511" t="s">
        <v>204</v>
      </c>
      <c r="H511"/>
      <c r="I511" s="158">
        <v>46240.713483796295</v>
      </c>
      <c r="J511" t="s">
        <v>324</v>
      </c>
      <c r="K511" t="s">
        <v>358</v>
      </c>
      <c r="L511" s="157">
        <v>46167</v>
      </c>
      <c r="M511" t="s">
        <v>282</v>
      </c>
      <c r="N511" t="s">
        <v>290</v>
      </c>
      <c r="O511" t="s">
        <v>293</v>
      </c>
      <c r="P511">
        <v>3</v>
      </c>
      <c r="Q511" t="s">
        <v>273</v>
      </c>
    </row>
    <row r="512" spans="1:17" s="29" customFormat="1">
      <c r="A512" s="41">
        <v>7.930247025462963E-3</v>
      </c>
      <c r="B512" t="s">
        <v>116</v>
      </c>
      <c r="C512"/>
      <c r="D512"/>
      <c r="E512" t="s">
        <v>124</v>
      </c>
      <c r="F512"/>
      <c r="G512" t="s">
        <v>204</v>
      </c>
      <c r="H512"/>
      <c r="I512" s="158">
        <v>46240.713391203702</v>
      </c>
      <c r="J512" t="s">
        <v>324</v>
      </c>
      <c r="K512" t="s">
        <v>358</v>
      </c>
      <c r="L512" s="157">
        <v>46167</v>
      </c>
      <c r="M512" t="s">
        <v>282</v>
      </c>
      <c r="N512" t="s">
        <v>290</v>
      </c>
      <c r="O512" t="s">
        <v>293</v>
      </c>
      <c r="P512">
        <v>3</v>
      </c>
      <c r="Q512" t="s">
        <v>273</v>
      </c>
    </row>
    <row r="513" spans="1:17" s="29" customFormat="1">
      <c r="A513" s="41">
        <v>7.5727123726851845E-3</v>
      </c>
      <c r="B513" t="s">
        <v>116</v>
      </c>
      <c r="C513"/>
      <c r="D513"/>
      <c r="E513" t="s">
        <v>88</v>
      </c>
      <c r="F513"/>
      <c r="G513" t="s">
        <v>204</v>
      </c>
      <c r="H513"/>
      <c r="I513" s="158">
        <v>46240.713055555556</v>
      </c>
      <c r="J513" t="s">
        <v>324</v>
      </c>
      <c r="K513" t="s">
        <v>358</v>
      </c>
      <c r="L513" s="157">
        <v>46167</v>
      </c>
      <c r="M513" t="s">
        <v>282</v>
      </c>
      <c r="N513" t="s">
        <v>290</v>
      </c>
      <c r="O513" t="s">
        <v>293</v>
      </c>
      <c r="P513">
        <v>3</v>
      </c>
      <c r="Q513" t="s">
        <v>273</v>
      </c>
    </row>
    <row r="514" spans="1:17" s="29" customFormat="1">
      <c r="A514" s="41">
        <v>7.5381730439814812E-3</v>
      </c>
      <c r="B514" t="s">
        <v>116</v>
      </c>
      <c r="C514" t="s">
        <v>361</v>
      </c>
      <c r="D514"/>
      <c r="E514" t="s">
        <v>131</v>
      </c>
      <c r="F514"/>
      <c r="G514" t="s">
        <v>117</v>
      </c>
      <c r="H514"/>
      <c r="I514" s="158">
        <v>46240.713043981479</v>
      </c>
      <c r="J514" t="s">
        <v>324</v>
      </c>
      <c r="K514" t="s">
        <v>358</v>
      </c>
      <c r="L514" s="157">
        <v>46167</v>
      </c>
      <c r="M514" t="s">
        <v>282</v>
      </c>
      <c r="N514" t="s">
        <v>290</v>
      </c>
      <c r="O514" t="s">
        <v>293</v>
      </c>
      <c r="P514">
        <v>3</v>
      </c>
      <c r="Q514" t="s">
        <v>273</v>
      </c>
    </row>
    <row r="515" spans="1:17" s="29" customFormat="1">
      <c r="A515" s="41">
        <v>7.4944835879629627E-3</v>
      </c>
      <c r="B515" t="s">
        <v>116</v>
      </c>
      <c r="C515"/>
      <c r="D515"/>
      <c r="E515" t="s">
        <v>123</v>
      </c>
      <c r="F515"/>
      <c r="G515" t="s">
        <v>117</v>
      </c>
      <c r="H515"/>
      <c r="I515" s="158">
        <v>46240.712881944448</v>
      </c>
      <c r="J515" t="s">
        <v>324</v>
      </c>
      <c r="K515" t="s">
        <v>358</v>
      </c>
      <c r="L515" s="157">
        <v>46167</v>
      </c>
      <c r="M515" t="s">
        <v>282</v>
      </c>
      <c r="N515" t="s">
        <v>290</v>
      </c>
      <c r="O515" t="s">
        <v>293</v>
      </c>
      <c r="P515">
        <v>3</v>
      </c>
      <c r="Q515" t="s">
        <v>273</v>
      </c>
    </row>
    <row r="516" spans="1:17" s="29" customFormat="1">
      <c r="A516" s="41">
        <v>6.8760540393518511E-3</v>
      </c>
      <c r="B516" t="s">
        <v>116</v>
      </c>
      <c r="C516"/>
      <c r="D516"/>
      <c r="E516" t="s">
        <v>88</v>
      </c>
      <c r="F516"/>
      <c r="G516" t="s">
        <v>117</v>
      </c>
      <c r="H516"/>
      <c r="I516" s="158">
        <v>46240.712476851855</v>
      </c>
      <c r="J516" t="s">
        <v>324</v>
      </c>
      <c r="K516" t="s">
        <v>358</v>
      </c>
      <c r="L516" s="157">
        <v>46167</v>
      </c>
      <c r="M516" t="s">
        <v>282</v>
      </c>
      <c r="N516" t="s">
        <v>290</v>
      </c>
      <c r="O516" t="s">
        <v>293</v>
      </c>
      <c r="P516">
        <v>3</v>
      </c>
      <c r="Q516" t="s">
        <v>273</v>
      </c>
    </row>
    <row r="517" spans="1:17" s="29" customFormat="1">
      <c r="A517" s="41">
        <v>6.8760540393518511E-3</v>
      </c>
      <c r="B517" t="s">
        <v>116</v>
      </c>
      <c r="C517"/>
      <c r="D517"/>
      <c r="E517" t="s">
        <v>253</v>
      </c>
      <c r="F517" t="s">
        <v>247</v>
      </c>
      <c r="G517" t="s">
        <v>117</v>
      </c>
      <c r="H517"/>
      <c r="I517" s="158">
        <v>46240.712476851855</v>
      </c>
      <c r="J517" t="s">
        <v>324</v>
      </c>
      <c r="K517" t="s">
        <v>358</v>
      </c>
      <c r="L517" s="157">
        <v>46167</v>
      </c>
      <c r="M517" t="s">
        <v>282</v>
      </c>
      <c r="N517" t="s">
        <v>290</v>
      </c>
      <c r="O517" t="s">
        <v>293</v>
      </c>
      <c r="P517">
        <v>3</v>
      </c>
      <c r="Q517" t="s">
        <v>273</v>
      </c>
    </row>
    <row r="518" spans="1:17" s="29" customFormat="1">
      <c r="A518" s="41">
        <v>6.8115035300925931E-3</v>
      </c>
      <c r="B518" t="s">
        <v>116</v>
      </c>
      <c r="C518"/>
      <c r="D518"/>
      <c r="E518" t="s">
        <v>228</v>
      </c>
      <c r="F518"/>
      <c r="G518" t="s">
        <v>204</v>
      </c>
      <c r="H518"/>
      <c r="I518" s="158">
        <v>46240.712372685186</v>
      </c>
      <c r="J518" t="s">
        <v>324</v>
      </c>
      <c r="K518" t="s">
        <v>358</v>
      </c>
      <c r="L518" s="157">
        <v>46167</v>
      </c>
      <c r="M518" t="s">
        <v>282</v>
      </c>
      <c r="N518" t="s">
        <v>290</v>
      </c>
      <c r="O518" t="s">
        <v>293</v>
      </c>
      <c r="P518">
        <v>3</v>
      </c>
      <c r="Q518" t="s">
        <v>273</v>
      </c>
    </row>
    <row r="519" spans="1:17" s="29" customFormat="1">
      <c r="A519" s="41">
        <v>6.765388599537037E-3</v>
      </c>
      <c r="B519" t="s">
        <v>116</v>
      </c>
      <c r="C519"/>
      <c r="D519"/>
      <c r="E519" t="s">
        <v>224</v>
      </c>
      <c r="F519"/>
      <c r="G519" t="s">
        <v>117</v>
      </c>
      <c r="H519"/>
      <c r="I519" s="158">
        <v>46240.712326388886</v>
      </c>
      <c r="J519" t="s">
        <v>324</v>
      </c>
      <c r="K519" t="s">
        <v>358</v>
      </c>
      <c r="L519" s="157">
        <v>46167</v>
      </c>
      <c r="M519" t="s">
        <v>282</v>
      </c>
      <c r="N519" t="s">
        <v>290</v>
      </c>
      <c r="O519" t="s">
        <v>293</v>
      </c>
      <c r="P519">
        <v>3</v>
      </c>
      <c r="Q519" t="s">
        <v>273</v>
      </c>
    </row>
    <row r="520" spans="1:17" s="29" customFormat="1">
      <c r="A520" s="41">
        <v>6.6793042708333337E-3</v>
      </c>
      <c r="B520" t="s">
        <v>116</v>
      </c>
      <c r="C520"/>
      <c r="D520"/>
      <c r="E520" t="s">
        <v>127</v>
      </c>
      <c r="F520"/>
      <c r="G520" t="s">
        <v>117</v>
      </c>
      <c r="H520"/>
      <c r="I520" s="158">
        <v>46240.712245370371</v>
      </c>
      <c r="J520" t="s">
        <v>324</v>
      </c>
      <c r="K520" t="s">
        <v>358</v>
      </c>
      <c r="L520" s="157">
        <v>46167</v>
      </c>
      <c r="M520" t="s">
        <v>282</v>
      </c>
      <c r="N520" t="s">
        <v>290</v>
      </c>
      <c r="O520" t="s">
        <v>293</v>
      </c>
      <c r="P520">
        <v>3</v>
      </c>
      <c r="Q520" t="s">
        <v>273</v>
      </c>
    </row>
    <row r="521" spans="1:17" s="29" customFormat="1">
      <c r="A521" s="41">
        <v>6.5378917129629626E-3</v>
      </c>
      <c r="B521" t="s">
        <v>116</v>
      </c>
      <c r="C521"/>
      <c r="D521"/>
      <c r="E521" t="s">
        <v>127</v>
      </c>
      <c r="F521"/>
      <c r="G521" t="s">
        <v>117</v>
      </c>
      <c r="H521"/>
      <c r="I521" s="158">
        <v>46240.712094907409</v>
      </c>
      <c r="J521" t="s">
        <v>324</v>
      </c>
      <c r="K521" t="s">
        <v>358</v>
      </c>
      <c r="L521" s="157">
        <v>46167</v>
      </c>
      <c r="M521" t="s">
        <v>282</v>
      </c>
      <c r="N521" t="s">
        <v>290</v>
      </c>
      <c r="O521" t="s">
        <v>293</v>
      </c>
      <c r="P521">
        <v>3</v>
      </c>
      <c r="Q521" t="s">
        <v>273</v>
      </c>
    </row>
    <row r="522" spans="1:17" s="29" customFormat="1">
      <c r="A522" s="41">
        <v>6.479480185185185E-3</v>
      </c>
      <c r="B522" t="s">
        <v>116</v>
      </c>
      <c r="C522"/>
      <c r="D522"/>
      <c r="E522" t="s">
        <v>226</v>
      </c>
      <c r="F522"/>
      <c r="G522" t="s">
        <v>117</v>
      </c>
      <c r="H522"/>
      <c r="I522" s="158">
        <v>46240.712037037039</v>
      </c>
      <c r="J522" t="s">
        <v>324</v>
      </c>
      <c r="K522" t="s">
        <v>358</v>
      </c>
      <c r="L522" s="157">
        <v>46167</v>
      </c>
      <c r="M522" t="s">
        <v>282</v>
      </c>
      <c r="N522" t="s">
        <v>290</v>
      </c>
      <c r="O522" t="s">
        <v>293</v>
      </c>
      <c r="P522">
        <v>3</v>
      </c>
      <c r="Q522" t="s">
        <v>273</v>
      </c>
    </row>
    <row r="523" spans="1:17" s="29" customFormat="1">
      <c r="A523" s="41">
        <v>6.445656967592593E-3</v>
      </c>
      <c r="B523" t="s">
        <v>116</v>
      </c>
      <c r="C523"/>
      <c r="D523"/>
      <c r="E523" t="s">
        <v>224</v>
      </c>
      <c r="F523"/>
      <c r="G523" t="s">
        <v>204</v>
      </c>
      <c r="H523"/>
      <c r="I523" s="158">
        <v>46240.712013888886</v>
      </c>
      <c r="J523" t="s">
        <v>324</v>
      </c>
      <c r="K523" t="s">
        <v>358</v>
      </c>
      <c r="L523" s="157">
        <v>46167</v>
      </c>
      <c r="M523" t="s">
        <v>282</v>
      </c>
      <c r="N523" t="s">
        <v>290</v>
      </c>
      <c r="O523" t="s">
        <v>293</v>
      </c>
      <c r="P523">
        <v>3</v>
      </c>
      <c r="Q523" t="s">
        <v>273</v>
      </c>
    </row>
    <row r="524" spans="1:17" s="29" customFormat="1">
      <c r="A524" s="41">
        <v>6.3321210069444437E-3</v>
      </c>
      <c r="B524" t="s">
        <v>116</v>
      </c>
      <c r="C524" t="s">
        <v>361</v>
      </c>
      <c r="D524"/>
      <c r="E524" t="s">
        <v>127</v>
      </c>
      <c r="F524"/>
      <c r="G524" t="s">
        <v>204</v>
      </c>
      <c r="H524"/>
      <c r="I524" s="158">
        <v>46240.711875000001</v>
      </c>
      <c r="J524" t="s">
        <v>324</v>
      </c>
      <c r="K524" t="s">
        <v>358</v>
      </c>
      <c r="L524" s="157">
        <v>46167</v>
      </c>
      <c r="M524" t="s">
        <v>282</v>
      </c>
      <c r="N524" t="s">
        <v>290</v>
      </c>
      <c r="O524" t="s">
        <v>293</v>
      </c>
      <c r="P524">
        <v>3</v>
      </c>
      <c r="Q524" t="s">
        <v>273</v>
      </c>
    </row>
    <row r="525" spans="1:17" s="29" customFormat="1">
      <c r="A525" s="41">
        <v>6.1817764583333339E-3</v>
      </c>
      <c r="B525" t="s">
        <v>116</v>
      </c>
      <c r="C525" t="s">
        <v>379</v>
      </c>
      <c r="D525"/>
      <c r="E525" t="s">
        <v>127</v>
      </c>
      <c r="F525"/>
      <c r="G525" t="s">
        <v>204</v>
      </c>
      <c r="H525"/>
      <c r="I525" s="158">
        <v>46240.711655092593</v>
      </c>
      <c r="J525" t="s">
        <v>324</v>
      </c>
      <c r="K525" t="s">
        <v>358</v>
      </c>
      <c r="L525" s="157">
        <v>46167</v>
      </c>
      <c r="M525" t="s">
        <v>282</v>
      </c>
      <c r="N525" t="s">
        <v>290</v>
      </c>
      <c r="O525" t="s">
        <v>293</v>
      </c>
      <c r="P525">
        <v>3</v>
      </c>
      <c r="Q525" t="s">
        <v>273</v>
      </c>
    </row>
    <row r="526" spans="1:17" s="29" customFormat="1">
      <c r="A526" s="41">
        <v>6.1558180208333329E-3</v>
      </c>
      <c r="B526" t="s">
        <v>116</v>
      </c>
      <c r="C526"/>
      <c r="D526"/>
      <c r="E526" t="s">
        <v>228</v>
      </c>
      <c r="F526"/>
      <c r="G526" t="s">
        <v>204</v>
      </c>
      <c r="H526"/>
      <c r="I526" s="158">
        <v>46240.711585648147</v>
      </c>
      <c r="J526" t="s">
        <v>324</v>
      </c>
      <c r="K526" t="s">
        <v>358</v>
      </c>
      <c r="L526" s="157">
        <v>46167</v>
      </c>
      <c r="M526" t="s">
        <v>282</v>
      </c>
      <c r="N526" t="s">
        <v>290</v>
      </c>
      <c r="O526" t="s">
        <v>293</v>
      </c>
      <c r="P526">
        <v>3</v>
      </c>
      <c r="Q526" t="s">
        <v>273</v>
      </c>
    </row>
    <row r="527" spans="1:17" s="29" customFormat="1">
      <c r="A527" s="41">
        <v>6.1078856134259259E-3</v>
      </c>
      <c r="B527" t="s">
        <v>116</v>
      </c>
      <c r="C527"/>
      <c r="D527"/>
      <c r="E527" t="s">
        <v>119</v>
      </c>
      <c r="F527"/>
      <c r="G527" t="s">
        <v>117</v>
      </c>
      <c r="H527"/>
      <c r="I527" s="158">
        <v>46240.711435185185</v>
      </c>
      <c r="J527" t="s">
        <v>324</v>
      </c>
      <c r="K527" t="s">
        <v>358</v>
      </c>
      <c r="L527" s="157">
        <v>46167</v>
      </c>
      <c r="M527" t="s">
        <v>282</v>
      </c>
      <c r="N527" t="s">
        <v>290</v>
      </c>
      <c r="O527" t="s">
        <v>293</v>
      </c>
      <c r="P527">
        <v>3</v>
      </c>
      <c r="Q527" t="s">
        <v>273</v>
      </c>
    </row>
    <row r="528" spans="1:17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pans="1:17" s="29" customFormat="1"/>
    <row r="578" spans="1:17" s="29" customFormat="1"/>
    <row r="579" spans="1:17" s="29" customFormat="1"/>
    <row r="580" spans="1:17" s="29" customFormat="1"/>
    <row r="581" spans="1:17" s="29" customFormat="1"/>
    <row r="582" spans="1:17" s="29" customFormat="1"/>
    <row r="583" spans="1:17" s="29" customFormat="1"/>
    <row r="584" spans="1:17" s="29" customFormat="1"/>
    <row r="585" spans="1:17" s="29" customFormat="1"/>
    <row r="586" spans="1:17" s="29" customFormat="1"/>
    <row r="587" spans="1:17" s="29" customFormat="1"/>
    <row r="588" spans="1:17" s="29" customFormat="1"/>
    <row r="589" spans="1:17" s="29" customFormat="1"/>
    <row r="590" spans="1:17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</row>
    <row r="591" spans="1:17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</row>
    <row r="592" spans="1:17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</row>
    <row r="593" spans="1:17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</row>
    <row r="594" spans="1:17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</row>
    <row r="595" spans="1:17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</row>
    <row r="596" spans="1:17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</row>
    <row r="597" spans="1:17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</row>
    <row r="598" spans="1:17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</row>
    <row r="599" spans="1:17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</row>
    <row r="600" spans="1:17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</row>
    <row r="601" spans="1:17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</row>
    <row r="602" spans="1:17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</row>
    <row r="603" spans="1:17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</row>
    <row r="604" spans="1:17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</row>
    <row r="605" spans="1:17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</row>
    <row r="606" spans="1:17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</row>
    <row r="607" spans="1:17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</row>
    <row r="608" spans="1:17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</row>
    <row r="609" spans="1:17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</row>
    <row r="610" spans="1:17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</row>
    <row r="611" spans="1:17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</row>
    <row r="612" spans="1:17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</row>
    <row r="613" spans="1:17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</row>
    <row r="614" spans="1:17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</row>
    <row r="615" spans="1:17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</row>
    <row r="616" spans="1:17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</row>
    <row r="617" spans="1:17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</row>
    <row r="618" spans="1:17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</row>
    <row r="619" spans="1:17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</row>
    <row r="620" spans="1:17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</row>
    <row r="621" spans="1:17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</row>
    <row r="622" spans="1:17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</row>
    <row r="623" spans="1:17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</row>
    <row r="624" spans="1:17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</row>
    <row r="625" spans="1:17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</row>
    <row r="626" spans="1:17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</row>
    <row r="627" spans="1:17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</row>
    <row r="628" spans="1:17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</row>
    <row r="629" spans="1:17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</row>
    <row r="630" spans="1:17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</row>
    <row r="631" spans="1:17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</row>
    <row r="632" spans="1:17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</row>
    <row r="633" spans="1:17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</row>
    <row r="634" spans="1:17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</row>
    <row r="635" spans="1:17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</row>
    <row r="636" spans="1:17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</row>
    <row r="637" spans="1:17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</row>
    <row r="638" spans="1:17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</row>
    <row r="639" spans="1:17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</row>
    <row r="640" spans="1:17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</row>
    <row r="641" spans="1:17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</row>
    <row r="642" spans="1:17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</row>
    <row r="643" spans="1:17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</row>
    <row r="644" spans="1:17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</row>
    <row r="645" spans="1:17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</row>
    <row r="646" spans="1:17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</row>
    <row r="647" spans="1:17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</row>
    <row r="648" spans="1:17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</row>
    <row r="649" spans="1:17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</row>
    <row r="650" spans="1:17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</row>
    <row r="651" spans="1:17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</row>
    <row r="652" spans="1:17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</row>
    <row r="653" spans="1:17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</row>
    <row r="654" spans="1:17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</row>
    <row r="655" spans="1:17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</row>
    <row r="656" spans="1:17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</row>
    <row r="657" spans="1:17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</row>
    <row r="658" spans="1:17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</row>
    <row r="659" spans="1:17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</row>
    <row r="660" spans="1:17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</row>
    <row r="661" spans="1:17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</row>
    <row r="662" spans="1:17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</row>
    <row r="663" spans="1:17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</row>
    <row r="664" spans="1:17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</row>
    <row r="665" spans="1:17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</row>
    <row r="666" spans="1:17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</row>
    <row r="667" spans="1:17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</row>
    <row r="668" spans="1:17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</row>
    <row r="669" spans="1:17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</row>
    <row r="670" spans="1:17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</row>
    <row r="671" spans="1:17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</row>
    <row r="672" spans="1:17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</row>
    <row r="673" spans="1:17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</row>
    <row r="674" spans="1:17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</row>
    <row r="675" spans="1:17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</row>
    <row r="676" spans="1:17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</row>
    <row r="677" spans="1:17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</row>
    <row r="678" spans="1:17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</row>
    <row r="679" spans="1:17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</row>
    <row r="680" spans="1:17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</row>
    <row r="681" spans="1:17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</row>
    <row r="682" spans="1:17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</row>
    <row r="683" spans="1:17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</row>
    <row r="684" spans="1:17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</row>
    <row r="685" spans="1:17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</row>
    <row r="686" spans="1:17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</row>
    <row r="687" spans="1:17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</row>
    <row r="688" spans="1:17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</row>
    <row r="689" spans="1:17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</row>
    <row r="690" spans="1:17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</row>
    <row r="691" spans="1:17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</row>
    <row r="692" spans="1:17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</row>
    <row r="693" spans="1:17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</row>
    <row r="694" spans="1:17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</row>
    <row r="695" spans="1:17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</row>
    <row r="696" spans="1:17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</row>
    <row r="697" spans="1:17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</row>
    <row r="698" spans="1:17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</row>
    <row r="699" spans="1:17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</row>
    <row r="700" spans="1:17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</row>
    <row r="701" spans="1:17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</row>
    <row r="702" spans="1:17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</row>
    <row r="703" spans="1:17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</row>
    <row r="704" spans="1:17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</row>
    <row r="705" spans="1:17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</row>
    <row r="706" spans="1:17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</row>
    <row r="707" spans="1:17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</row>
    <row r="708" spans="1:17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</row>
    <row r="709" spans="1:17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</row>
    <row r="710" spans="1:17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</row>
    <row r="711" spans="1:17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</row>
    <row r="712" spans="1:17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</row>
    <row r="713" spans="1:17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</row>
    <row r="714" spans="1:17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</row>
    <row r="715" spans="1:17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</row>
    <row r="716" spans="1:17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</row>
    <row r="717" spans="1:17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</row>
    <row r="718" spans="1:17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</row>
    <row r="719" spans="1:17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</row>
    <row r="720" spans="1:17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</row>
    <row r="721" spans="1:17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</row>
    <row r="722" spans="1:17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</row>
    <row r="723" spans="1:17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</row>
    <row r="724" spans="1:17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</row>
    <row r="725" spans="1:17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</row>
    <row r="726" spans="1:17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</row>
    <row r="727" spans="1:17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</row>
    <row r="728" spans="1:17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</row>
    <row r="729" spans="1:17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</row>
    <row r="730" spans="1:17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</row>
    <row r="731" spans="1:17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</row>
    <row r="732" spans="1:17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</row>
    <row r="733" spans="1:17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</row>
    <row r="734" spans="1:17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</row>
    <row r="735" spans="1:17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</row>
    <row r="736" spans="1:17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</row>
    <row r="737" spans="1:17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</row>
    <row r="738" spans="1:17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</row>
    <row r="739" spans="1:17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</row>
    <row r="740" spans="1:17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</row>
    <row r="741" spans="1:17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</row>
    <row r="742" spans="1:17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</row>
    <row r="743" spans="1:17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</row>
    <row r="744" spans="1:17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</row>
    <row r="745" spans="1:17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</row>
    <row r="746" spans="1:17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</row>
    <row r="747" spans="1:17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</row>
    <row r="748" spans="1:17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</row>
    <row r="749" spans="1:17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</row>
    <row r="750" spans="1:17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</row>
    <row r="751" spans="1:17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</row>
    <row r="752" spans="1:17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</row>
    <row r="753" spans="1:17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</row>
    <row r="754" spans="1:17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</row>
    <row r="755" spans="1:17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</row>
    <row r="756" spans="1:17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</row>
    <row r="757" spans="1:17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</row>
    <row r="758" spans="1:17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</row>
    <row r="759" spans="1:17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</row>
    <row r="760" spans="1:17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</row>
    <row r="761" spans="1:17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</row>
    <row r="762" spans="1:17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</row>
    <row r="763" spans="1:17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</row>
    <row r="764" spans="1:17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</row>
    <row r="765" spans="1:17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</row>
    <row r="766" spans="1:17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</row>
    <row r="767" spans="1:17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</row>
    <row r="768" spans="1:17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</row>
    <row r="769" spans="1:17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</row>
    <row r="770" spans="1:17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</row>
    <row r="771" spans="1:17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</row>
    <row r="772" spans="1:17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</row>
    <row r="773" spans="1:17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</row>
    <row r="774" spans="1:17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</row>
    <row r="775" spans="1:17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</row>
    <row r="776" spans="1:17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</row>
    <row r="777" spans="1:17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</row>
    <row r="778" spans="1:17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</row>
    <row r="779" spans="1:17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</row>
    <row r="780" spans="1:17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</row>
    <row r="781" spans="1:17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</row>
    <row r="782" spans="1:17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</row>
    <row r="783" spans="1:17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</row>
    <row r="784" spans="1:17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</row>
    <row r="785" spans="1:17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</row>
    <row r="786" spans="1:17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</row>
    <row r="787" spans="1:17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</row>
    <row r="788" spans="1:17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</row>
    <row r="789" spans="1:17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</row>
    <row r="790" spans="1:17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</row>
    <row r="791" spans="1:17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</row>
    <row r="792" spans="1:17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</row>
    <row r="793" spans="1:17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</row>
    <row r="794" spans="1:17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</row>
    <row r="795" spans="1:17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</row>
    <row r="796" spans="1:17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</row>
    <row r="797" spans="1:17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</row>
    <row r="798" spans="1:17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</row>
    <row r="799" spans="1:17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</row>
    <row r="800" spans="1:17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</row>
    <row r="801" spans="1:17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</row>
    <row r="802" spans="1:17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</row>
    <row r="803" spans="1:17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</row>
    <row r="804" spans="1:17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</row>
    <row r="805" spans="1:17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</row>
    <row r="806" spans="1:17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</row>
    <row r="807" spans="1:17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</row>
    <row r="808" spans="1:17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</row>
    <row r="809" spans="1:17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</row>
    <row r="810" spans="1:17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</row>
    <row r="811" spans="1:17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</row>
    <row r="812" spans="1:17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</row>
    <row r="813" spans="1:17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</row>
    <row r="814" spans="1:17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</row>
    <row r="815" spans="1:17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</row>
    <row r="816" spans="1:17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</row>
    <row r="817" spans="1:17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</row>
    <row r="818" spans="1:17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</row>
    <row r="819" spans="1:17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</row>
    <row r="820" spans="1:17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</row>
    <row r="821" spans="1:17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</row>
    <row r="822" spans="1:17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</row>
    <row r="823" spans="1:17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</row>
    <row r="824" spans="1:17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</row>
    <row r="825" spans="1:17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</row>
    <row r="826" spans="1:17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</row>
    <row r="827" spans="1:17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</row>
    <row r="828" spans="1:17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</row>
    <row r="829" spans="1:17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</row>
    <row r="830" spans="1:17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</row>
    <row r="831" spans="1:17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</row>
    <row r="832" spans="1:17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</row>
    <row r="833" spans="1:17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</row>
    <row r="834" spans="1:17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</row>
    <row r="835" spans="1:17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</row>
    <row r="836" spans="1:17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</row>
    <row r="837" spans="1:17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</row>
    <row r="838" spans="1:17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</row>
    <row r="839" spans="1:17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</row>
    <row r="840" spans="1:17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</row>
    <row r="841" spans="1:17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</row>
    <row r="842" spans="1:17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</row>
    <row r="843" spans="1:17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</row>
    <row r="844" spans="1:17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</row>
    <row r="845" spans="1:17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</row>
    <row r="846" spans="1:17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</row>
    <row r="847" spans="1:17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</row>
    <row r="848" spans="1:17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</row>
    <row r="849" spans="1:17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</row>
    <row r="850" spans="1:17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</row>
    <row r="851" spans="1:17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</row>
    <row r="852" spans="1:17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</row>
    <row r="853" spans="1:17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</row>
    <row r="854" spans="1:17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</row>
    <row r="855" spans="1:17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</row>
    <row r="856" spans="1:17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</row>
    <row r="857" spans="1:17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</row>
    <row r="858" spans="1:17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</row>
    <row r="859" spans="1:17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</row>
    <row r="860" spans="1:17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</row>
    <row r="861" spans="1:17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</row>
    <row r="862" spans="1:17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</row>
    <row r="863" spans="1:17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</row>
    <row r="864" spans="1:17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</row>
    <row r="865" spans="1:17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</row>
    <row r="866" spans="1:17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</row>
    <row r="867" spans="1:17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</row>
    <row r="868" spans="1:17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</row>
    <row r="869" spans="1:17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</row>
    <row r="870" spans="1:17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</row>
    <row r="871" spans="1:17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</row>
    <row r="872" spans="1:17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</row>
    <row r="873" spans="1:17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</row>
    <row r="874" spans="1:17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</row>
    <row r="875" spans="1:17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</row>
    <row r="876" spans="1:17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</row>
    <row r="877" spans="1:17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</row>
    <row r="878" spans="1:17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</row>
    <row r="879" spans="1:17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</row>
    <row r="880" spans="1:17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</row>
    <row r="881" spans="1:17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</row>
    <row r="882" spans="1:17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</row>
    <row r="883" spans="1:17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</row>
    <row r="884" spans="1:17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</row>
    <row r="885" spans="1:17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</row>
    <row r="886" spans="1:17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</row>
    <row r="887" spans="1:17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</row>
    <row r="888" spans="1:17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</row>
    <row r="889" spans="1:17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</row>
    <row r="890" spans="1:17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</row>
    <row r="891" spans="1:17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</row>
    <row r="892" spans="1:17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</row>
    <row r="893" spans="1:17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</row>
    <row r="894" spans="1:17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</row>
    <row r="895" spans="1:17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</row>
    <row r="896" spans="1:17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</row>
    <row r="897" spans="1:17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</row>
    <row r="898" spans="1:17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</row>
    <row r="899" spans="1:17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</row>
    <row r="900" spans="1:17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</row>
    <row r="901" spans="1:17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</row>
    <row r="902" spans="1:17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</row>
    <row r="903" spans="1:17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</row>
    <row r="904" spans="1:17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</row>
    <row r="905" spans="1:17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</row>
    <row r="906" spans="1:17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</row>
    <row r="907" spans="1:17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</row>
    <row r="908" spans="1:17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</row>
    <row r="909" spans="1:17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</row>
    <row r="910" spans="1:17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</row>
    <row r="911" spans="1:17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</row>
    <row r="912" spans="1:17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</row>
    <row r="913" spans="1:17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</row>
    <row r="914" spans="1:17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</row>
    <row r="915" spans="1:17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</row>
    <row r="916" spans="1:17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</row>
    <row r="917" spans="1:17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</row>
    <row r="918" spans="1:17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</row>
    <row r="919" spans="1:17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</row>
    <row r="920" spans="1:17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</row>
    <row r="921" spans="1:17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</row>
    <row r="922" spans="1:17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</row>
    <row r="923" spans="1:17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</row>
    <row r="924" spans="1:17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</row>
    <row r="925" spans="1:17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</row>
    <row r="926" spans="1:17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</row>
    <row r="927" spans="1:17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</row>
    <row r="928" spans="1:17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</row>
    <row r="929" spans="1:17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</row>
    <row r="930" spans="1:17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</row>
    <row r="931" spans="1:17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</row>
    <row r="932" spans="1:17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</row>
    <row r="933" spans="1:17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</row>
    <row r="934" spans="1:17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</row>
    <row r="935" spans="1:17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</row>
    <row r="936" spans="1:17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</row>
    <row r="937" spans="1:17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</row>
    <row r="938" spans="1:17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</row>
    <row r="939" spans="1:17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</row>
    <row r="940" spans="1:17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</row>
    <row r="941" spans="1:17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</row>
    <row r="942" spans="1:17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</row>
    <row r="943" spans="1:17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</row>
    <row r="944" spans="1:17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</row>
    <row r="945" spans="1:17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</row>
    <row r="946" spans="1:17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</row>
    <row r="947" spans="1:17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</row>
    <row r="948" spans="1:17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</row>
    <row r="949" spans="1:17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</row>
    <row r="950" spans="1:17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</row>
    <row r="951" spans="1:17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</row>
    <row r="952" spans="1:17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</row>
    <row r="953" spans="1:17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</row>
    <row r="954" spans="1:17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</row>
    <row r="955" spans="1:17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</row>
    <row r="956" spans="1:17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</row>
    <row r="957" spans="1:17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</row>
    <row r="958" spans="1:17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</row>
    <row r="959" spans="1:17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</row>
    <row r="960" spans="1:17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</row>
    <row r="961" spans="1:17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</row>
    <row r="962" spans="1:17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</row>
    <row r="963" spans="1:17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</row>
    <row r="964" spans="1:17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</row>
    <row r="965" spans="1:17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</row>
    <row r="966" spans="1:17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</row>
    <row r="967" spans="1:17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</row>
    <row r="968" spans="1:17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</row>
    <row r="969" spans="1:17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</row>
    <row r="970" spans="1:17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</row>
    <row r="971" spans="1:17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</row>
    <row r="972" spans="1:17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</row>
    <row r="973" spans="1:17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</row>
    <row r="974" spans="1:17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</row>
    <row r="975" spans="1:17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</row>
    <row r="976" spans="1:17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</row>
    <row r="977" spans="1:17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</row>
    <row r="978" spans="1:17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</row>
    <row r="979" spans="1:17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</row>
    <row r="980" spans="1:17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</row>
    <row r="981" spans="1:17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</row>
    <row r="982" spans="1:17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</row>
    <row r="983" spans="1:17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</row>
    <row r="984" spans="1:17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</row>
    <row r="985" spans="1:17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</row>
    <row r="986" spans="1:17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</row>
    <row r="987" spans="1:17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</row>
    <row r="988" spans="1:17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</row>
    <row r="989" spans="1:17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</row>
    <row r="990" spans="1:17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</row>
    <row r="991" spans="1:17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</row>
    <row r="992" spans="1:17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</row>
    <row r="993" spans="1:17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</row>
    <row r="994" spans="1:17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</row>
    <row r="995" spans="1:17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</row>
    <row r="996" spans="1:17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</row>
    <row r="997" spans="1:17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</row>
    <row r="998" spans="1:17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</row>
    <row r="999" spans="1:17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</row>
    <row r="1000" spans="1:17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</row>
    <row r="1001" spans="1:17">
      <c r="A1001" s="29"/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</row>
    <row r="1002" spans="1:17">
      <c r="A1002" s="29"/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</row>
    <row r="1003" spans="1:17">
      <c r="A1003" s="29"/>
      <c r="B1003" s="29"/>
      <c r="C1003" s="29"/>
      <c r="D1003" s="29"/>
      <c r="E1003" s="29"/>
      <c r="F1003" s="29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</row>
    <row r="1004" spans="1:17">
      <c r="A1004" s="29"/>
      <c r="B1004" s="29"/>
      <c r="C1004" s="29"/>
      <c r="D1004" s="29"/>
      <c r="E1004" s="29"/>
      <c r="F1004" s="29"/>
      <c r="G1004" s="29"/>
      <c r="H1004" s="29"/>
      <c r="I1004" s="29"/>
      <c r="J1004" s="29"/>
      <c r="K1004" s="29"/>
      <c r="L1004" s="29"/>
      <c r="M1004" s="29"/>
      <c r="N1004" s="29"/>
      <c r="O1004" s="29"/>
      <c r="P1004" s="29"/>
      <c r="Q1004" s="29"/>
    </row>
    <row r="1005" spans="1:17">
      <c r="A1005" s="29"/>
      <c r="B1005" s="29"/>
      <c r="C1005" s="29"/>
      <c r="D1005" s="29"/>
      <c r="E1005" s="29"/>
      <c r="F1005" s="29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</row>
    <row r="1006" spans="1:17">
      <c r="A1006" s="29"/>
      <c r="B1006" s="29"/>
      <c r="C1006" s="29"/>
      <c r="D1006" s="29"/>
      <c r="E1006" s="29"/>
      <c r="F1006" s="29"/>
      <c r="G1006" s="29"/>
      <c r="H1006" s="29"/>
      <c r="I1006" s="29"/>
      <c r="J1006" s="29"/>
      <c r="K1006" s="29"/>
      <c r="L1006" s="29"/>
      <c r="M1006" s="29"/>
      <c r="N1006" s="29"/>
      <c r="O1006" s="29"/>
      <c r="P1006" s="29"/>
      <c r="Q1006" s="29"/>
    </row>
    <row r="1007" spans="1:17">
      <c r="A1007" s="29"/>
      <c r="B1007" s="29"/>
      <c r="C1007" s="29"/>
      <c r="D1007" s="29"/>
      <c r="E1007" s="29"/>
      <c r="F1007" s="29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</row>
    <row r="1008" spans="1:17">
      <c r="A1008" s="29"/>
      <c r="B1008" s="29"/>
      <c r="C1008" s="29"/>
      <c r="D1008" s="29"/>
      <c r="E1008" s="29"/>
      <c r="F1008" s="29"/>
      <c r="G1008" s="29"/>
      <c r="H1008" s="29"/>
      <c r="I1008" s="29"/>
      <c r="J1008" s="29"/>
      <c r="K1008" s="29"/>
      <c r="L1008" s="29"/>
      <c r="M1008" s="29"/>
      <c r="N1008" s="29"/>
      <c r="O1008" s="29"/>
      <c r="P1008" s="29"/>
      <c r="Q1008" s="29"/>
    </row>
    <row r="1009" spans="1:17">
      <c r="A1009" s="29"/>
      <c r="B1009" s="29"/>
      <c r="C1009" s="29"/>
      <c r="D1009" s="29"/>
      <c r="E1009" s="29"/>
      <c r="F1009" s="29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</row>
    <row r="1010" spans="1:17">
      <c r="A1010" s="29"/>
      <c r="B1010" s="29"/>
      <c r="C1010" s="29"/>
      <c r="D1010" s="29"/>
      <c r="E1010" s="29"/>
      <c r="F1010" s="29"/>
      <c r="G1010" s="29"/>
      <c r="H1010" s="29"/>
      <c r="I1010" s="29"/>
      <c r="J1010" s="29"/>
      <c r="K1010" s="29"/>
      <c r="L1010" s="29"/>
      <c r="M1010" s="29"/>
      <c r="N1010" s="29"/>
      <c r="O1010" s="29"/>
      <c r="P1010" s="29"/>
      <c r="Q1010" s="29"/>
    </row>
    <row r="1011" spans="1:17">
      <c r="A1011" s="29"/>
      <c r="B1011" s="29"/>
      <c r="C1011" s="29"/>
      <c r="D1011" s="29"/>
      <c r="E1011" s="29"/>
      <c r="F1011" s="29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</row>
    <row r="1012" spans="1:17">
      <c r="A1012" s="29"/>
      <c r="B1012" s="29"/>
      <c r="C1012" s="29"/>
      <c r="D1012" s="29"/>
      <c r="E1012" s="29"/>
      <c r="F1012" s="29"/>
      <c r="G1012" s="29"/>
      <c r="H1012" s="29"/>
      <c r="I1012" s="29"/>
      <c r="J1012" s="29"/>
      <c r="K1012" s="29"/>
      <c r="L1012" s="29"/>
      <c r="M1012" s="29"/>
      <c r="N1012" s="29"/>
      <c r="O1012" s="29"/>
      <c r="P1012" s="29"/>
      <c r="Q1012" s="29"/>
    </row>
    <row r="1013" spans="1:17">
      <c r="A1013" s="29"/>
      <c r="B1013" s="29"/>
      <c r="C1013" s="29"/>
      <c r="D1013" s="29"/>
      <c r="E1013" s="29"/>
      <c r="F1013" s="29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</row>
    <row r="1014" spans="1:17">
      <c r="A1014" s="29"/>
      <c r="B1014" s="29"/>
      <c r="C1014" s="29"/>
      <c r="D1014" s="29"/>
      <c r="E1014" s="29"/>
      <c r="F1014" s="29"/>
      <c r="G1014" s="29"/>
      <c r="H1014" s="29"/>
      <c r="I1014" s="29"/>
      <c r="J1014" s="29"/>
      <c r="K1014" s="29"/>
      <c r="L1014" s="29"/>
      <c r="M1014" s="29"/>
      <c r="N1014" s="29"/>
      <c r="O1014" s="29"/>
      <c r="P1014" s="29"/>
      <c r="Q1014" s="29"/>
    </row>
    <row r="1015" spans="1:17">
      <c r="A1015" s="29"/>
      <c r="B1015" s="29"/>
      <c r="C1015" s="29"/>
      <c r="D1015" s="29"/>
      <c r="E1015" s="29"/>
      <c r="F1015" s="29"/>
      <c r="G1015" s="29"/>
      <c r="H1015" s="29"/>
      <c r="I1015" s="29"/>
      <c r="J1015" s="29"/>
      <c r="K1015" s="29"/>
      <c r="L1015" s="29"/>
      <c r="M1015" s="29"/>
      <c r="N1015" s="29"/>
      <c r="O1015" s="29"/>
      <c r="P1015" s="29"/>
      <c r="Q1015" s="29"/>
    </row>
    <row r="1016" spans="1:17">
      <c r="A1016" s="29"/>
      <c r="B1016" s="29"/>
      <c r="C1016" s="29"/>
      <c r="D1016" s="29"/>
      <c r="E1016" s="29"/>
      <c r="F1016" s="29"/>
      <c r="G1016" s="29"/>
      <c r="H1016" s="29"/>
      <c r="I1016" s="29"/>
      <c r="J1016" s="29"/>
      <c r="K1016" s="29"/>
      <c r="L1016" s="29"/>
      <c r="M1016" s="29"/>
      <c r="N1016" s="29"/>
      <c r="O1016" s="29"/>
      <c r="P1016" s="29"/>
      <c r="Q1016" s="29"/>
    </row>
    <row r="1017" spans="1:17">
      <c r="A1017" s="29"/>
      <c r="B1017" s="29"/>
      <c r="C1017" s="29"/>
      <c r="D1017" s="29"/>
      <c r="E1017" s="29"/>
      <c r="F1017" s="29"/>
      <c r="G1017" s="29"/>
      <c r="H1017" s="29"/>
      <c r="I1017" s="29"/>
      <c r="J1017" s="29"/>
      <c r="K1017" s="29"/>
      <c r="L1017" s="29"/>
      <c r="M1017" s="29"/>
      <c r="N1017" s="29"/>
      <c r="O1017" s="29"/>
      <c r="P1017" s="29"/>
      <c r="Q1017" s="29"/>
    </row>
    <row r="1018" spans="1:17">
      <c r="A1018" s="29"/>
      <c r="B1018" s="29"/>
      <c r="C1018" s="29"/>
      <c r="D1018" s="29"/>
      <c r="E1018" s="29"/>
      <c r="F1018" s="29"/>
      <c r="G1018" s="29"/>
      <c r="H1018" s="29"/>
      <c r="I1018" s="29"/>
      <c r="J1018" s="29"/>
      <c r="K1018" s="29"/>
      <c r="L1018" s="29"/>
      <c r="M1018" s="29"/>
      <c r="N1018" s="29"/>
      <c r="O1018" s="29"/>
      <c r="P1018" s="29"/>
      <c r="Q1018" s="29"/>
    </row>
    <row r="1019" spans="1:17">
      <c r="A1019" s="29"/>
      <c r="B1019" s="29"/>
      <c r="C1019" s="29"/>
      <c r="D1019" s="29"/>
      <c r="E1019" s="29"/>
      <c r="F1019" s="29"/>
      <c r="G1019" s="29"/>
      <c r="H1019" s="29"/>
      <c r="I1019" s="29"/>
      <c r="J1019" s="29"/>
      <c r="K1019" s="29"/>
      <c r="L1019" s="29"/>
      <c r="M1019" s="29"/>
      <c r="N1019" s="29"/>
      <c r="O1019" s="29"/>
      <c r="P1019" s="29"/>
      <c r="Q1019" s="29"/>
    </row>
    <row r="1020" spans="1:17">
      <c r="A1020" s="29"/>
      <c r="B1020" s="29"/>
      <c r="C1020" s="29"/>
      <c r="D1020" s="29"/>
      <c r="E1020" s="29"/>
      <c r="F1020" s="29"/>
      <c r="G1020" s="29"/>
      <c r="H1020" s="29"/>
      <c r="I1020" s="29"/>
      <c r="J1020" s="29"/>
      <c r="K1020" s="29"/>
      <c r="L1020" s="29"/>
      <c r="M1020" s="29"/>
      <c r="N1020" s="29"/>
      <c r="O1020" s="29"/>
      <c r="P1020" s="29"/>
      <c r="Q1020" s="29"/>
    </row>
    <row r="1021" spans="1:17">
      <c r="A1021" s="29"/>
      <c r="B1021" s="29"/>
      <c r="C1021" s="29"/>
      <c r="D1021" s="29"/>
      <c r="E1021" s="29"/>
      <c r="F1021" s="29"/>
      <c r="G1021" s="29"/>
      <c r="H1021" s="29"/>
      <c r="I1021" s="29"/>
      <c r="J1021" s="29"/>
      <c r="K1021" s="29"/>
      <c r="L1021" s="29"/>
      <c r="M1021" s="29"/>
      <c r="N1021" s="29"/>
      <c r="O1021" s="29"/>
      <c r="P1021" s="29"/>
      <c r="Q1021" s="29"/>
    </row>
    <row r="1022" spans="1:17">
      <c r="A1022" s="29"/>
      <c r="B1022" s="29"/>
      <c r="C1022" s="29"/>
      <c r="D1022" s="29"/>
      <c r="E1022" s="29"/>
      <c r="F1022" s="29"/>
      <c r="G1022" s="29"/>
      <c r="H1022" s="29"/>
      <c r="I1022" s="29"/>
      <c r="J1022" s="29"/>
      <c r="K1022" s="29"/>
      <c r="L1022" s="29"/>
      <c r="M1022" s="29"/>
      <c r="N1022" s="29"/>
      <c r="O1022" s="29"/>
      <c r="P1022" s="29"/>
      <c r="Q1022" s="29"/>
    </row>
    <row r="1023" spans="1:17">
      <c r="A1023" s="29"/>
      <c r="B1023" s="29"/>
      <c r="C1023" s="29"/>
      <c r="D1023" s="29"/>
      <c r="E1023" s="29"/>
      <c r="F1023" s="29"/>
      <c r="G1023" s="29"/>
      <c r="H1023" s="29"/>
      <c r="I1023" s="29"/>
      <c r="J1023" s="29"/>
      <c r="K1023" s="29"/>
      <c r="L1023" s="29"/>
      <c r="M1023" s="29"/>
      <c r="N1023" s="29"/>
      <c r="O1023" s="29"/>
      <c r="P1023" s="29"/>
      <c r="Q1023" s="29"/>
    </row>
    <row r="1024" spans="1:17">
      <c r="A1024" s="29"/>
      <c r="B1024" s="29"/>
      <c r="C1024" s="29"/>
      <c r="D1024" s="29"/>
      <c r="E1024" s="29"/>
      <c r="F1024" s="29"/>
      <c r="G1024" s="29"/>
      <c r="H1024" s="29"/>
      <c r="I1024" s="29"/>
      <c r="J1024" s="29"/>
      <c r="K1024" s="29"/>
      <c r="L1024" s="29"/>
      <c r="M1024" s="29"/>
      <c r="N1024" s="29"/>
      <c r="O1024" s="29"/>
      <c r="P1024" s="29"/>
      <c r="Q1024" s="29"/>
    </row>
    <row r="1025" spans="1:17">
      <c r="A1025" s="29"/>
      <c r="B1025" s="29"/>
      <c r="C1025" s="29"/>
      <c r="D1025" s="29"/>
      <c r="E1025" s="29"/>
      <c r="F1025" s="29"/>
      <c r="G1025" s="29"/>
      <c r="H1025" s="29"/>
      <c r="I1025" s="29"/>
      <c r="J1025" s="29"/>
      <c r="K1025" s="29"/>
      <c r="L1025" s="29"/>
      <c r="M1025" s="29"/>
      <c r="N1025" s="29"/>
      <c r="O1025" s="29"/>
      <c r="P1025" s="29"/>
      <c r="Q1025" s="29"/>
    </row>
    <row r="1026" spans="1:17">
      <c r="A1026" s="29"/>
      <c r="B1026" s="29"/>
      <c r="C1026" s="29"/>
      <c r="D1026" s="29"/>
      <c r="E1026" s="29"/>
      <c r="F1026" s="29"/>
      <c r="G1026" s="29"/>
      <c r="H1026" s="29"/>
      <c r="I1026" s="29"/>
      <c r="J1026" s="29"/>
      <c r="K1026" s="29"/>
      <c r="L1026" s="29"/>
      <c r="M1026" s="29"/>
      <c r="N1026" s="29"/>
      <c r="O1026" s="29"/>
      <c r="P1026" s="29"/>
      <c r="Q1026" s="29"/>
    </row>
    <row r="1027" spans="1:17">
      <c r="A1027" s="29"/>
      <c r="B1027" s="29"/>
      <c r="C1027" s="29"/>
      <c r="D1027" s="29"/>
      <c r="E1027" s="29"/>
      <c r="F1027" s="29"/>
      <c r="G1027" s="29"/>
      <c r="H1027" s="29"/>
      <c r="I1027" s="29"/>
      <c r="J1027" s="29"/>
      <c r="K1027" s="29"/>
      <c r="L1027" s="29"/>
      <c r="M1027" s="29"/>
      <c r="N1027" s="29"/>
      <c r="O1027" s="29"/>
      <c r="P1027" s="29"/>
      <c r="Q1027" s="29"/>
    </row>
    <row r="1028" spans="1:17">
      <c r="A1028" s="29"/>
      <c r="B1028" s="29"/>
      <c r="C1028" s="29"/>
      <c r="D1028" s="29"/>
      <c r="E1028" s="29"/>
      <c r="F1028" s="29"/>
      <c r="G1028" s="29"/>
      <c r="H1028" s="29"/>
      <c r="I1028" s="29"/>
      <c r="J1028" s="29"/>
      <c r="K1028" s="29"/>
      <c r="L1028" s="29"/>
      <c r="M1028" s="29"/>
      <c r="N1028" s="29"/>
      <c r="O1028" s="29"/>
      <c r="P1028" s="29"/>
      <c r="Q1028" s="29"/>
    </row>
    <row r="1029" spans="1:17">
      <c r="A1029" s="29"/>
      <c r="B1029" s="29"/>
      <c r="C1029" s="29"/>
      <c r="D1029" s="29"/>
      <c r="E1029" s="29"/>
      <c r="F1029" s="29"/>
      <c r="G1029" s="29"/>
      <c r="H1029" s="29"/>
      <c r="I1029" s="29"/>
      <c r="J1029" s="29"/>
      <c r="K1029" s="29"/>
      <c r="L1029" s="29"/>
      <c r="M1029" s="29"/>
      <c r="N1029" s="29"/>
      <c r="O1029" s="29"/>
      <c r="P1029" s="29"/>
      <c r="Q1029" s="29"/>
    </row>
    <row r="1030" spans="1:17">
      <c r="A1030" s="29"/>
      <c r="B1030" s="29"/>
      <c r="C1030" s="29"/>
      <c r="D1030" s="29"/>
      <c r="E1030" s="29"/>
      <c r="F1030" s="29"/>
      <c r="G1030" s="29"/>
      <c r="H1030" s="29"/>
      <c r="I1030" s="29"/>
      <c r="J1030" s="29"/>
      <c r="K1030" s="29"/>
      <c r="L1030" s="29"/>
      <c r="M1030" s="29"/>
      <c r="N1030" s="29"/>
      <c r="O1030" s="29"/>
      <c r="P1030" s="29"/>
      <c r="Q1030" s="29"/>
    </row>
    <row r="1031" spans="1:17">
      <c r="A1031" s="29"/>
      <c r="B1031" s="29"/>
      <c r="C1031" s="29"/>
      <c r="D1031" s="29"/>
      <c r="E1031" s="29"/>
      <c r="F1031" s="29"/>
      <c r="G1031" s="29"/>
      <c r="H1031" s="29"/>
      <c r="I1031" s="29"/>
      <c r="J1031" s="29"/>
      <c r="K1031" s="29"/>
      <c r="L1031" s="29"/>
      <c r="M1031" s="29"/>
      <c r="N1031" s="29"/>
      <c r="O1031" s="29"/>
      <c r="P1031" s="29"/>
      <c r="Q1031" s="29"/>
    </row>
    <row r="1032" spans="1:17">
      <c r="A1032" s="29"/>
      <c r="B1032" s="29"/>
      <c r="C1032" s="29"/>
      <c r="D1032" s="29"/>
      <c r="E1032" s="29"/>
      <c r="F1032" s="29"/>
      <c r="G1032" s="29"/>
      <c r="H1032" s="29"/>
      <c r="I1032" s="29"/>
      <c r="J1032" s="29"/>
      <c r="K1032" s="29"/>
      <c r="L1032" s="29"/>
      <c r="M1032" s="29"/>
      <c r="N1032" s="29"/>
      <c r="O1032" s="29"/>
      <c r="P1032" s="29"/>
      <c r="Q1032" s="29"/>
    </row>
    <row r="1033" spans="1:17">
      <c r="A1033" s="29"/>
      <c r="B1033" s="29"/>
      <c r="C1033" s="29"/>
      <c r="D1033" s="29"/>
      <c r="E1033" s="29"/>
      <c r="F1033" s="29"/>
      <c r="G1033" s="29"/>
      <c r="H1033" s="29"/>
      <c r="I1033" s="29"/>
      <c r="J1033" s="29"/>
      <c r="K1033" s="29"/>
      <c r="L1033" s="29"/>
      <c r="M1033" s="29"/>
      <c r="N1033" s="29"/>
      <c r="O1033" s="29"/>
      <c r="P1033" s="29"/>
      <c r="Q1033" s="29"/>
    </row>
    <row r="1034" spans="1:17">
      <c r="A1034" s="29"/>
      <c r="B1034" s="29"/>
      <c r="C1034" s="29"/>
      <c r="D1034" s="29"/>
      <c r="E1034" s="29"/>
      <c r="F1034" s="29"/>
      <c r="G1034" s="29"/>
      <c r="H1034" s="29"/>
      <c r="I1034" s="29"/>
      <c r="J1034" s="29"/>
      <c r="K1034" s="29"/>
      <c r="L1034" s="29"/>
      <c r="M1034" s="29"/>
      <c r="N1034" s="29"/>
      <c r="O1034" s="29"/>
      <c r="P1034" s="29"/>
      <c r="Q1034" s="29"/>
    </row>
    <row r="1035" spans="1:17">
      <c r="A1035" s="29"/>
      <c r="B1035" s="29"/>
      <c r="C1035" s="29"/>
      <c r="D1035" s="29"/>
      <c r="E1035" s="29"/>
      <c r="F1035" s="29"/>
      <c r="G1035" s="29"/>
      <c r="H1035" s="29"/>
      <c r="I1035" s="29"/>
      <c r="J1035" s="29"/>
      <c r="K1035" s="29"/>
      <c r="L1035" s="29"/>
      <c r="M1035" s="29"/>
      <c r="N1035" s="29"/>
      <c r="O1035" s="29"/>
      <c r="P1035" s="29"/>
      <c r="Q1035" s="29"/>
    </row>
    <row r="1036" spans="1:17">
      <c r="A1036" s="29"/>
      <c r="B1036" s="29"/>
      <c r="C1036" s="29"/>
      <c r="D1036" s="29"/>
      <c r="E1036" s="29"/>
      <c r="F1036" s="29"/>
      <c r="G1036" s="29"/>
      <c r="H1036" s="29"/>
      <c r="I1036" s="29"/>
      <c r="J1036" s="29"/>
      <c r="K1036" s="29"/>
      <c r="L1036" s="29"/>
      <c r="M1036" s="29"/>
      <c r="N1036" s="29"/>
      <c r="O1036" s="29"/>
      <c r="P1036" s="29"/>
      <c r="Q1036" s="29"/>
    </row>
    <row r="1037" spans="1:17">
      <c r="A1037" s="29"/>
      <c r="B1037" s="29"/>
      <c r="C1037" s="29"/>
      <c r="D1037" s="29"/>
      <c r="E1037" s="29"/>
      <c r="F1037" s="29"/>
      <c r="G1037" s="29"/>
      <c r="H1037" s="29"/>
      <c r="I1037" s="29"/>
      <c r="J1037" s="29"/>
      <c r="K1037" s="29"/>
      <c r="L1037" s="29"/>
      <c r="M1037" s="29"/>
      <c r="N1037" s="29"/>
      <c r="O1037" s="29"/>
      <c r="P1037" s="29"/>
      <c r="Q1037" s="29"/>
    </row>
    <row r="1038" spans="1:17">
      <c r="A1038" s="29"/>
      <c r="B1038" s="29"/>
      <c r="C1038" s="29"/>
      <c r="D1038" s="29"/>
      <c r="E1038" s="29"/>
      <c r="F1038" s="29"/>
      <c r="G1038" s="29"/>
      <c r="H1038" s="29"/>
      <c r="I1038" s="29"/>
      <c r="J1038" s="29"/>
      <c r="K1038" s="29"/>
      <c r="L1038" s="29"/>
      <c r="M1038" s="29"/>
      <c r="N1038" s="29"/>
      <c r="O1038" s="29"/>
      <c r="P1038" s="29"/>
      <c r="Q1038" s="29"/>
    </row>
    <row r="1039" spans="1:17">
      <c r="A1039" s="29"/>
      <c r="B1039" s="29"/>
      <c r="C1039" s="29"/>
      <c r="D1039" s="29"/>
      <c r="E1039" s="29"/>
      <c r="F1039" s="29"/>
      <c r="G1039" s="29"/>
      <c r="H1039" s="29"/>
      <c r="I1039" s="29"/>
      <c r="J1039" s="29"/>
      <c r="K1039" s="29"/>
      <c r="L1039" s="29"/>
      <c r="M1039" s="29"/>
      <c r="N1039" s="29"/>
      <c r="O1039" s="29"/>
      <c r="P1039" s="29"/>
      <c r="Q1039" s="29"/>
    </row>
    <row r="1040" spans="1:17">
      <c r="A1040" s="29"/>
      <c r="B1040" s="29"/>
      <c r="C1040" s="29"/>
      <c r="D1040" s="29"/>
      <c r="E1040" s="29"/>
      <c r="F1040" s="29"/>
      <c r="G1040" s="29"/>
      <c r="H1040" s="29"/>
      <c r="I1040" s="29"/>
      <c r="J1040" s="29"/>
      <c r="K1040" s="29"/>
      <c r="L1040" s="29"/>
      <c r="M1040" s="29"/>
      <c r="N1040" s="29"/>
      <c r="O1040" s="29"/>
      <c r="P1040" s="29"/>
      <c r="Q1040" s="29"/>
    </row>
    <row r="1041" spans="1:17">
      <c r="A1041" s="29"/>
      <c r="B1041" s="29"/>
      <c r="C1041" s="29"/>
      <c r="D1041" s="29"/>
      <c r="E1041" s="29"/>
      <c r="F1041" s="29"/>
      <c r="G1041" s="29"/>
      <c r="H1041" s="29"/>
      <c r="I1041" s="29"/>
      <c r="J1041" s="29"/>
      <c r="K1041" s="29"/>
      <c r="L1041" s="29"/>
      <c r="M1041" s="29"/>
      <c r="N1041" s="29"/>
      <c r="O1041" s="29"/>
      <c r="P1041" s="29"/>
      <c r="Q1041" s="29"/>
    </row>
    <row r="1042" spans="1:17">
      <c r="A1042" s="29"/>
      <c r="B1042" s="29"/>
      <c r="C1042" s="29"/>
      <c r="D1042" s="29"/>
      <c r="E1042" s="29"/>
      <c r="F1042" s="29"/>
      <c r="G1042" s="29"/>
      <c r="H1042" s="29"/>
      <c r="I1042" s="29"/>
      <c r="J1042" s="29"/>
      <c r="K1042" s="29"/>
      <c r="L1042" s="29"/>
      <c r="M1042" s="29"/>
      <c r="N1042" s="29"/>
      <c r="O1042" s="29"/>
      <c r="P1042" s="29"/>
      <c r="Q1042" s="29"/>
    </row>
    <row r="1043" spans="1:17">
      <c r="A1043" s="29"/>
      <c r="B1043" s="29"/>
      <c r="C1043" s="29"/>
      <c r="D1043" s="29"/>
      <c r="E1043" s="29"/>
      <c r="F1043" s="29"/>
      <c r="G1043" s="29"/>
      <c r="H1043" s="29"/>
      <c r="I1043" s="29"/>
      <c r="J1043" s="29"/>
      <c r="K1043" s="29"/>
      <c r="L1043" s="29"/>
      <c r="M1043" s="29"/>
      <c r="N1043" s="29"/>
      <c r="O1043" s="29"/>
      <c r="P1043" s="29"/>
      <c r="Q1043" s="29"/>
    </row>
    <row r="1044" spans="1:17">
      <c r="A1044" s="29"/>
      <c r="B1044" s="29"/>
      <c r="C1044" s="29"/>
      <c r="D1044" s="29"/>
      <c r="E1044" s="29"/>
      <c r="F1044" s="29"/>
      <c r="G1044" s="29"/>
      <c r="H1044" s="29"/>
      <c r="I1044" s="29"/>
      <c r="J1044" s="29"/>
      <c r="K1044" s="29"/>
      <c r="L1044" s="29"/>
      <c r="M1044" s="29"/>
      <c r="N1044" s="29"/>
      <c r="O1044" s="29"/>
      <c r="P1044" s="29"/>
      <c r="Q1044" s="29"/>
    </row>
    <row r="1045" spans="1:17">
      <c r="A1045" s="29"/>
      <c r="B1045" s="29"/>
      <c r="C1045" s="29"/>
      <c r="D1045" s="29"/>
      <c r="E1045" s="29"/>
      <c r="F1045" s="29"/>
      <c r="G1045" s="29"/>
      <c r="H1045" s="29"/>
      <c r="I1045" s="29"/>
      <c r="J1045" s="29"/>
      <c r="K1045" s="29"/>
      <c r="L1045" s="29"/>
      <c r="M1045" s="29"/>
      <c r="N1045" s="29"/>
      <c r="O1045" s="29"/>
      <c r="P1045" s="29"/>
      <c r="Q1045" s="29"/>
    </row>
    <row r="1046" spans="1:17">
      <c r="A1046" s="29"/>
      <c r="B1046" s="29"/>
      <c r="C1046" s="29"/>
      <c r="D1046" s="29"/>
      <c r="E1046" s="29"/>
      <c r="F1046" s="29"/>
      <c r="G1046" s="29"/>
      <c r="H1046" s="29"/>
      <c r="I1046" s="29"/>
      <c r="J1046" s="29"/>
      <c r="K1046" s="29"/>
      <c r="L1046" s="29"/>
      <c r="M1046" s="29"/>
      <c r="N1046" s="29"/>
      <c r="O1046" s="29"/>
      <c r="P1046" s="29"/>
      <c r="Q1046" s="29"/>
    </row>
    <row r="1047" spans="1:17">
      <c r="A1047" s="29"/>
      <c r="B1047" s="29"/>
      <c r="C1047" s="29"/>
      <c r="D1047" s="29"/>
      <c r="E1047" s="29"/>
      <c r="F1047" s="29"/>
      <c r="G1047" s="29"/>
      <c r="H1047" s="29"/>
      <c r="I1047" s="29"/>
      <c r="J1047" s="29"/>
      <c r="K1047" s="29"/>
      <c r="L1047" s="29"/>
      <c r="M1047" s="29"/>
      <c r="N1047" s="29"/>
      <c r="O1047" s="29"/>
      <c r="P1047" s="29"/>
      <c r="Q1047" s="29"/>
    </row>
    <row r="1048" spans="1:17">
      <c r="A1048" s="29"/>
      <c r="B1048" s="29"/>
      <c r="C1048" s="29"/>
      <c r="D1048" s="29"/>
      <c r="E1048" s="29"/>
      <c r="F1048" s="29"/>
      <c r="G1048" s="29"/>
      <c r="H1048" s="29"/>
      <c r="I1048" s="29"/>
      <c r="J1048" s="29"/>
      <c r="K1048" s="29"/>
      <c r="L1048" s="29"/>
      <c r="M1048" s="29"/>
      <c r="N1048" s="29"/>
      <c r="O1048" s="29"/>
      <c r="P1048" s="29"/>
      <c r="Q1048" s="29"/>
    </row>
    <row r="1049" spans="1:17">
      <c r="A1049" s="29"/>
      <c r="B1049" s="29"/>
      <c r="C1049" s="29"/>
      <c r="D1049" s="29"/>
      <c r="E1049" s="29"/>
      <c r="F1049" s="29"/>
      <c r="G1049" s="29"/>
      <c r="H1049" s="29"/>
      <c r="I1049" s="29"/>
      <c r="J1049" s="29"/>
      <c r="K1049" s="29"/>
      <c r="L1049" s="29"/>
      <c r="M1049" s="29"/>
      <c r="N1049" s="29"/>
      <c r="O1049" s="29"/>
      <c r="P1049" s="29"/>
      <c r="Q1049" s="29"/>
    </row>
    <row r="1050" spans="1:17">
      <c r="A1050" s="29"/>
      <c r="B1050" s="29"/>
      <c r="C1050" s="29"/>
      <c r="D1050" s="29"/>
      <c r="E1050" s="29"/>
      <c r="F1050" s="29"/>
      <c r="G1050" s="29"/>
      <c r="H1050" s="29"/>
      <c r="I1050" s="29"/>
      <c r="J1050" s="29"/>
      <c r="K1050" s="29"/>
      <c r="L1050" s="29"/>
      <c r="M1050" s="29"/>
      <c r="N1050" s="29"/>
      <c r="O1050" s="29"/>
      <c r="P1050" s="29"/>
      <c r="Q1050" s="29"/>
    </row>
    <row r="1051" spans="1:17">
      <c r="A1051" s="29"/>
      <c r="B1051" s="29"/>
      <c r="C1051" s="29"/>
      <c r="D1051" s="29"/>
      <c r="E1051" s="29"/>
      <c r="F1051" s="29"/>
      <c r="G1051" s="29"/>
      <c r="H1051" s="29"/>
      <c r="I1051" s="29"/>
      <c r="J1051" s="29"/>
      <c r="K1051" s="29"/>
      <c r="L1051" s="29"/>
      <c r="M1051" s="29"/>
      <c r="N1051" s="29"/>
      <c r="O1051" s="29"/>
      <c r="P1051" s="29"/>
      <c r="Q1051" s="29"/>
    </row>
    <row r="1052" spans="1:17">
      <c r="A1052" s="29"/>
      <c r="B1052" s="29"/>
      <c r="C1052" s="29"/>
      <c r="D1052" s="29"/>
      <c r="E1052" s="29"/>
      <c r="F1052" s="29"/>
      <c r="G1052" s="29"/>
      <c r="H1052" s="29"/>
      <c r="I1052" s="29"/>
      <c r="J1052" s="29"/>
      <c r="K1052" s="29"/>
      <c r="L1052" s="29"/>
      <c r="M1052" s="29"/>
      <c r="N1052" s="29"/>
      <c r="O1052" s="29"/>
      <c r="P1052" s="29"/>
      <c r="Q1052" s="29"/>
    </row>
    <row r="1053" spans="1:17">
      <c r="A1053" s="29"/>
      <c r="B1053" s="29"/>
      <c r="C1053" s="29"/>
      <c r="D1053" s="29"/>
      <c r="E1053" s="29"/>
      <c r="F1053" s="29"/>
      <c r="G1053" s="29"/>
      <c r="H1053" s="29"/>
      <c r="I1053" s="29"/>
      <c r="J1053" s="29"/>
      <c r="K1053" s="29"/>
      <c r="L1053" s="29"/>
      <c r="M1053" s="29"/>
      <c r="N1053" s="29"/>
      <c r="O1053" s="29"/>
      <c r="P1053" s="29"/>
      <c r="Q1053" s="29"/>
    </row>
    <row r="1054" spans="1:17">
      <c r="A1054" s="29"/>
      <c r="B1054" s="29"/>
      <c r="C1054" s="29"/>
      <c r="D1054" s="29"/>
      <c r="E1054" s="29"/>
      <c r="F1054" s="29"/>
      <c r="G1054" s="29"/>
      <c r="H1054" s="29"/>
      <c r="I1054" s="29"/>
      <c r="J1054" s="29"/>
      <c r="K1054" s="29"/>
      <c r="L1054" s="29"/>
      <c r="M1054" s="29"/>
      <c r="N1054" s="29"/>
      <c r="O1054" s="29"/>
      <c r="P1054" s="29"/>
      <c r="Q1054" s="29"/>
    </row>
    <row r="1055" spans="1:17">
      <c r="A1055" s="29"/>
      <c r="B1055" s="29"/>
      <c r="C1055" s="29"/>
      <c r="D1055" s="29"/>
      <c r="E1055" s="29"/>
      <c r="F1055" s="29"/>
      <c r="G1055" s="29"/>
      <c r="H1055" s="29"/>
      <c r="I1055" s="29"/>
      <c r="J1055" s="29"/>
      <c r="K1055" s="29"/>
      <c r="L1055" s="29"/>
      <c r="M1055" s="29"/>
      <c r="N1055" s="29"/>
      <c r="O1055" s="29"/>
      <c r="P1055" s="29"/>
      <c r="Q1055" s="29"/>
    </row>
    <row r="1056" spans="1:17">
      <c r="A1056" s="29"/>
      <c r="B1056" s="29"/>
      <c r="C1056" s="29"/>
      <c r="D1056" s="29"/>
      <c r="E1056" s="29"/>
      <c r="F1056" s="29"/>
      <c r="G1056" s="29"/>
      <c r="H1056" s="29"/>
      <c r="I1056" s="29"/>
      <c r="J1056" s="29"/>
      <c r="K1056" s="29"/>
      <c r="L1056" s="29"/>
      <c r="M1056" s="29"/>
      <c r="N1056" s="29"/>
      <c r="O1056" s="29"/>
      <c r="P1056" s="29"/>
      <c r="Q1056" s="29"/>
    </row>
    <row r="1057" spans="1:17">
      <c r="A1057" s="29"/>
      <c r="B1057" s="29"/>
      <c r="C1057" s="29"/>
      <c r="D1057" s="29"/>
      <c r="E1057" s="29"/>
      <c r="F1057" s="29"/>
      <c r="G1057" s="29"/>
      <c r="H1057" s="29"/>
      <c r="I1057" s="29"/>
      <c r="J1057" s="29"/>
      <c r="K1057" s="29"/>
      <c r="L1057" s="29"/>
      <c r="M1057" s="29"/>
      <c r="N1057" s="29"/>
      <c r="O1057" s="29"/>
      <c r="P1057" s="29"/>
      <c r="Q1057" s="29"/>
    </row>
    <row r="1058" spans="1:17">
      <c r="A1058" s="29"/>
      <c r="B1058" s="29"/>
      <c r="C1058" s="29"/>
      <c r="D1058" s="29"/>
      <c r="E1058" s="29"/>
      <c r="F1058" s="29"/>
      <c r="G1058" s="29"/>
      <c r="H1058" s="29"/>
      <c r="I1058" s="29"/>
      <c r="J1058" s="29"/>
      <c r="K1058" s="29"/>
      <c r="L1058" s="29"/>
      <c r="M1058" s="29"/>
      <c r="N1058" s="29"/>
      <c r="O1058" s="29"/>
      <c r="P1058" s="29"/>
      <c r="Q1058" s="29"/>
    </row>
    <row r="1059" spans="1:17">
      <c r="A1059" s="29"/>
      <c r="B1059" s="29"/>
      <c r="C1059" s="29"/>
      <c r="D1059" s="29"/>
      <c r="E1059" s="29"/>
      <c r="F1059" s="29"/>
      <c r="G1059" s="29"/>
      <c r="H1059" s="29"/>
      <c r="I1059" s="29"/>
      <c r="J1059" s="29"/>
      <c r="K1059" s="29"/>
      <c r="L1059" s="29"/>
      <c r="M1059" s="29"/>
      <c r="N1059" s="29"/>
      <c r="O1059" s="29"/>
      <c r="P1059" s="29"/>
      <c r="Q1059" s="29"/>
    </row>
    <row r="1060" spans="1:17">
      <c r="A1060" s="29"/>
      <c r="B1060" s="29"/>
      <c r="C1060" s="29"/>
      <c r="D1060" s="29"/>
      <c r="E1060" s="29"/>
      <c r="F1060" s="29"/>
      <c r="G1060" s="29"/>
      <c r="H1060" s="29"/>
      <c r="I1060" s="29"/>
      <c r="J1060" s="29"/>
      <c r="K1060" s="29"/>
      <c r="L1060" s="29"/>
      <c r="M1060" s="29"/>
      <c r="N1060" s="29"/>
      <c r="O1060" s="29"/>
      <c r="P1060" s="29"/>
      <c r="Q1060" s="29"/>
    </row>
    <row r="1061" spans="1:17">
      <c r="A1061" s="29"/>
      <c r="B1061" s="29"/>
      <c r="C1061" s="29"/>
      <c r="D1061" s="29"/>
      <c r="E1061" s="29"/>
      <c r="F1061" s="29"/>
      <c r="G1061" s="29"/>
      <c r="H1061" s="29"/>
      <c r="I1061" s="29"/>
      <c r="J1061" s="29"/>
      <c r="K1061" s="29"/>
      <c r="L1061" s="29"/>
      <c r="M1061" s="29"/>
      <c r="N1061" s="29"/>
      <c r="O1061" s="29"/>
      <c r="P1061" s="29"/>
      <c r="Q1061" s="29"/>
    </row>
    <row r="1062" spans="1:17">
      <c r="A1062" s="29"/>
      <c r="B1062" s="29"/>
      <c r="C1062" s="29"/>
      <c r="D1062" s="29"/>
      <c r="E1062" s="29"/>
      <c r="F1062" s="29"/>
      <c r="G1062" s="29"/>
      <c r="H1062" s="29"/>
      <c r="I1062" s="29"/>
      <c r="J1062" s="29"/>
      <c r="K1062" s="29"/>
      <c r="L1062" s="29"/>
      <c r="M1062" s="29"/>
      <c r="N1062" s="29"/>
      <c r="O1062" s="29"/>
      <c r="P1062" s="29"/>
      <c r="Q1062" s="29"/>
    </row>
    <row r="1063" spans="1:17">
      <c r="A1063" s="29"/>
      <c r="B1063" s="29"/>
      <c r="C1063" s="29"/>
      <c r="D1063" s="29"/>
      <c r="E1063" s="29"/>
      <c r="F1063" s="29"/>
      <c r="G1063" s="29"/>
      <c r="H1063" s="29"/>
      <c r="I1063" s="29"/>
      <c r="J1063" s="29"/>
      <c r="K1063" s="29"/>
      <c r="L1063" s="29"/>
      <c r="M1063" s="29"/>
      <c r="N1063" s="29"/>
      <c r="O1063" s="29"/>
      <c r="P1063" s="29"/>
      <c r="Q1063" s="29"/>
    </row>
    <row r="1064" spans="1:17">
      <c r="A1064" s="29"/>
      <c r="B1064" s="29"/>
      <c r="C1064" s="29"/>
      <c r="D1064" s="29"/>
      <c r="E1064" s="29"/>
      <c r="F1064" s="29"/>
      <c r="G1064" s="29"/>
      <c r="H1064" s="29"/>
      <c r="I1064" s="29"/>
      <c r="J1064" s="29"/>
      <c r="K1064" s="29"/>
      <c r="L1064" s="29"/>
      <c r="M1064" s="29"/>
      <c r="N1064" s="29"/>
      <c r="O1064" s="29"/>
      <c r="P1064" s="29"/>
      <c r="Q1064" s="29"/>
    </row>
    <row r="1065" spans="1:17">
      <c r="A1065" s="29"/>
      <c r="B1065" s="29"/>
      <c r="C1065" s="29"/>
      <c r="D1065" s="29"/>
      <c r="E1065" s="29"/>
      <c r="F1065" s="29"/>
      <c r="G1065" s="29"/>
      <c r="H1065" s="29"/>
      <c r="I1065" s="29"/>
      <c r="J1065" s="29"/>
      <c r="K1065" s="29"/>
      <c r="L1065" s="29"/>
      <c r="M1065" s="29"/>
      <c r="N1065" s="29"/>
      <c r="O1065" s="29"/>
      <c r="P1065" s="29"/>
      <c r="Q1065" s="29"/>
    </row>
    <row r="1066" spans="1:17">
      <c r="A1066" s="29"/>
      <c r="B1066" s="29"/>
      <c r="C1066" s="29"/>
      <c r="D1066" s="29"/>
      <c r="E1066" s="29"/>
      <c r="F1066" s="29"/>
      <c r="G1066" s="29"/>
      <c r="H1066" s="29"/>
      <c r="I1066" s="29"/>
      <c r="J1066" s="29"/>
      <c r="K1066" s="29"/>
      <c r="L1066" s="29"/>
      <c r="M1066" s="29"/>
      <c r="N1066" s="29"/>
      <c r="O1066" s="29"/>
      <c r="P1066" s="29"/>
      <c r="Q1066" s="29"/>
    </row>
    <row r="1067" spans="1:17">
      <c r="A1067" s="29"/>
      <c r="B1067" s="29"/>
      <c r="C1067" s="29"/>
      <c r="D1067" s="29"/>
      <c r="E1067" s="29"/>
      <c r="F1067" s="29"/>
      <c r="G1067" s="29"/>
      <c r="H1067" s="29"/>
      <c r="I1067" s="29"/>
      <c r="J1067" s="29"/>
      <c r="K1067" s="29"/>
      <c r="L1067" s="29"/>
      <c r="M1067" s="29"/>
      <c r="N1067" s="29"/>
      <c r="O1067" s="29"/>
      <c r="P1067" s="29"/>
      <c r="Q1067" s="29"/>
    </row>
    <row r="1068" spans="1:17">
      <c r="A1068" s="29"/>
      <c r="B1068" s="29"/>
      <c r="C1068" s="29"/>
      <c r="D1068" s="29"/>
      <c r="E1068" s="29"/>
      <c r="F1068" s="29"/>
      <c r="G1068" s="29"/>
      <c r="H1068" s="29"/>
      <c r="I1068" s="29"/>
      <c r="J1068" s="29"/>
      <c r="K1068" s="29"/>
      <c r="L1068" s="29"/>
      <c r="M1068" s="29"/>
      <c r="N1068" s="29"/>
      <c r="O1068" s="29"/>
      <c r="P1068" s="29"/>
      <c r="Q1068" s="29"/>
    </row>
    <row r="1069" spans="1:17">
      <c r="A1069" s="29"/>
      <c r="B1069" s="29"/>
      <c r="C1069" s="29"/>
      <c r="D1069" s="29"/>
      <c r="E1069" s="29"/>
      <c r="F1069" s="29"/>
      <c r="G1069" s="29"/>
      <c r="H1069" s="29"/>
      <c r="I1069" s="29"/>
      <c r="J1069" s="29"/>
      <c r="K1069" s="29"/>
      <c r="L1069" s="29"/>
      <c r="M1069" s="29"/>
      <c r="N1069" s="29"/>
      <c r="O1069" s="29"/>
      <c r="P1069" s="29"/>
      <c r="Q1069" s="29"/>
    </row>
    <row r="1070" spans="1:17">
      <c r="A1070" s="29"/>
      <c r="B1070" s="29"/>
      <c r="C1070" s="29"/>
      <c r="D1070" s="29"/>
      <c r="E1070" s="29"/>
      <c r="F1070" s="29"/>
      <c r="G1070" s="29"/>
      <c r="H1070" s="29"/>
      <c r="I1070" s="29"/>
      <c r="J1070" s="29"/>
      <c r="K1070" s="29"/>
      <c r="L1070" s="29"/>
      <c r="M1070" s="29"/>
      <c r="N1070" s="29"/>
      <c r="O1070" s="29"/>
      <c r="P1070" s="29"/>
      <c r="Q1070" s="29"/>
    </row>
    <row r="1071" spans="1:17">
      <c r="A1071" s="29"/>
      <c r="B1071" s="29"/>
      <c r="C1071" s="29"/>
      <c r="D1071" s="29"/>
      <c r="E1071" s="29"/>
      <c r="F1071" s="29"/>
      <c r="G1071" s="29"/>
      <c r="H1071" s="29"/>
      <c r="I1071" s="29"/>
      <c r="J1071" s="29"/>
      <c r="K1071" s="29"/>
      <c r="L1071" s="29"/>
      <c r="M1071" s="29"/>
      <c r="N1071" s="29"/>
      <c r="O1071" s="29"/>
      <c r="P1071" s="29"/>
      <c r="Q1071" s="29"/>
    </row>
    <row r="1072" spans="1:17">
      <c r="A1072" s="29"/>
      <c r="B1072" s="29"/>
      <c r="C1072" s="29"/>
      <c r="D1072" s="29"/>
      <c r="E1072" s="29"/>
      <c r="F1072" s="29"/>
      <c r="G1072" s="29"/>
      <c r="H1072" s="29"/>
      <c r="I1072" s="29"/>
      <c r="J1072" s="29"/>
      <c r="K1072" s="29"/>
      <c r="L1072" s="29"/>
      <c r="M1072" s="29"/>
      <c r="N1072" s="29"/>
      <c r="O1072" s="29"/>
      <c r="P1072" s="29"/>
      <c r="Q1072" s="29"/>
    </row>
    <row r="1073" spans="1:17">
      <c r="A1073" s="29"/>
      <c r="B1073" s="29"/>
      <c r="C1073" s="29"/>
      <c r="D1073" s="29"/>
      <c r="E1073" s="29"/>
      <c r="F1073" s="29"/>
      <c r="G1073" s="29"/>
      <c r="H1073" s="29"/>
      <c r="I1073" s="29"/>
      <c r="J1073" s="29"/>
      <c r="K1073" s="29"/>
      <c r="L1073" s="29"/>
      <c r="M1073" s="29"/>
      <c r="N1073" s="29"/>
      <c r="O1073" s="29"/>
      <c r="P1073" s="29"/>
      <c r="Q1073" s="29"/>
    </row>
    <row r="1074" spans="1:17">
      <c r="A1074" s="29"/>
      <c r="B1074" s="29"/>
      <c r="C1074" s="29"/>
      <c r="D1074" s="29"/>
      <c r="E1074" s="29"/>
      <c r="F1074" s="29"/>
      <c r="G1074" s="29"/>
      <c r="H1074" s="29"/>
      <c r="I1074" s="29"/>
      <c r="J1074" s="29"/>
      <c r="K1074" s="29"/>
      <c r="L1074" s="29"/>
      <c r="M1074" s="29"/>
      <c r="N1074" s="29"/>
      <c r="O1074" s="29"/>
      <c r="P1074" s="29"/>
      <c r="Q1074" s="29"/>
    </row>
    <row r="1075" spans="1:17">
      <c r="A1075" s="29"/>
      <c r="B1075" s="29"/>
      <c r="C1075" s="29"/>
      <c r="D1075" s="29"/>
      <c r="E1075" s="29"/>
      <c r="F1075" s="29"/>
      <c r="G1075" s="29"/>
      <c r="H1075" s="29"/>
      <c r="I1075" s="29"/>
      <c r="J1075" s="29"/>
      <c r="K1075" s="29"/>
      <c r="L1075" s="29"/>
      <c r="M1075" s="29"/>
      <c r="N1075" s="29"/>
      <c r="O1075" s="29"/>
      <c r="P1075" s="29"/>
      <c r="Q1075" s="29"/>
    </row>
    <row r="1076" spans="1:17">
      <c r="A1076" s="29"/>
      <c r="B1076" s="29"/>
      <c r="C1076" s="29"/>
      <c r="D1076" s="29"/>
      <c r="E1076" s="29"/>
      <c r="F1076" s="29"/>
      <c r="G1076" s="29"/>
      <c r="H1076" s="29"/>
      <c r="I1076" s="29"/>
      <c r="J1076" s="29"/>
      <c r="K1076" s="29"/>
      <c r="L1076" s="29"/>
      <c r="M1076" s="29"/>
      <c r="N1076" s="29"/>
      <c r="O1076" s="29"/>
      <c r="P1076" s="29"/>
      <c r="Q1076" s="29"/>
    </row>
    <row r="1077" spans="1:17">
      <c r="A1077" s="29"/>
      <c r="B1077" s="29"/>
      <c r="C1077" s="29"/>
      <c r="D1077" s="29"/>
      <c r="E1077" s="29"/>
      <c r="F1077" s="29"/>
      <c r="G1077" s="29"/>
      <c r="H1077" s="29"/>
      <c r="I1077" s="29"/>
      <c r="J1077" s="29"/>
      <c r="K1077" s="29"/>
      <c r="L1077" s="29"/>
      <c r="M1077" s="29"/>
      <c r="N1077" s="29"/>
      <c r="O1077" s="29"/>
      <c r="P1077" s="29"/>
      <c r="Q1077" s="29"/>
    </row>
    <row r="1078" spans="1:17">
      <c r="A1078" s="29"/>
      <c r="B1078" s="29"/>
      <c r="C1078" s="29"/>
      <c r="D1078" s="29"/>
      <c r="E1078" s="29"/>
      <c r="F1078" s="29"/>
      <c r="G1078" s="29"/>
      <c r="H1078" s="29"/>
      <c r="I1078" s="29"/>
      <c r="J1078" s="29"/>
      <c r="K1078" s="29"/>
      <c r="L1078" s="29"/>
      <c r="M1078" s="29"/>
      <c r="N1078" s="29"/>
      <c r="O1078" s="29"/>
      <c r="P1078" s="29"/>
      <c r="Q1078" s="29"/>
    </row>
    <row r="1079" spans="1:17">
      <c r="A1079" s="29"/>
      <c r="B1079" s="29"/>
      <c r="C1079" s="29"/>
      <c r="D1079" s="29"/>
      <c r="E1079" s="29"/>
      <c r="F1079" s="29"/>
      <c r="G1079" s="29"/>
      <c r="H1079" s="29"/>
      <c r="I1079" s="29"/>
      <c r="J1079" s="29"/>
      <c r="K1079" s="29"/>
      <c r="L1079" s="29"/>
      <c r="M1079" s="29"/>
      <c r="N1079" s="29"/>
      <c r="O1079" s="29"/>
      <c r="P1079" s="29"/>
      <c r="Q1079" s="29"/>
    </row>
    <row r="1080" spans="1:17">
      <c r="A1080" s="29"/>
      <c r="B1080" s="29"/>
      <c r="C1080" s="29"/>
      <c r="D1080" s="29"/>
      <c r="E1080" s="29"/>
      <c r="F1080" s="29"/>
      <c r="G1080" s="29"/>
      <c r="H1080" s="29"/>
      <c r="I1080" s="29"/>
      <c r="J1080" s="29"/>
      <c r="K1080" s="29"/>
      <c r="L1080" s="29"/>
      <c r="M1080" s="29"/>
      <c r="N1080" s="29"/>
      <c r="O1080" s="29"/>
      <c r="P1080" s="29"/>
      <c r="Q1080" s="29"/>
    </row>
    <row r="1081" spans="1:17">
      <c r="A1081" s="29"/>
      <c r="B1081" s="29"/>
      <c r="C1081" s="29"/>
      <c r="D1081" s="29"/>
      <c r="E1081" s="29"/>
      <c r="F1081" s="29"/>
      <c r="G1081" s="29"/>
      <c r="H1081" s="29"/>
      <c r="I1081" s="29"/>
      <c r="J1081" s="29"/>
      <c r="K1081" s="29"/>
      <c r="L1081" s="29"/>
      <c r="M1081" s="29"/>
      <c r="N1081" s="29"/>
      <c r="O1081" s="29"/>
      <c r="P1081" s="29"/>
      <c r="Q1081" s="29"/>
    </row>
    <row r="1082" spans="1:17">
      <c r="A1082" s="29"/>
      <c r="B1082" s="29"/>
      <c r="C1082" s="29"/>
      <c r="D1082" s="29"/>
      <c r="E1082" s="29"/>
      <c r="F1082" s="29"/>
      <c r="G1082" s="29"/>
      <c r="H1082" s="29"/>
      <c r="I1082" s="29"/>
      <c r="J1082" s="29"/>
      <c r="K1082" s="29"/>
      <c r="L1082" s="29"/>
      <c r="M1082" s="29"/>
      <c r="N1082" s="29"/>
      <c r="O1082" s="29"/>
      <c r="P1082" s="29"/>
      <c r="Q1082" s="29"/>
    </row>
    <row r="1083" spans="1:17">
      <c r="A1083" s="29"/>
      <c r="B1083" s="29"/>
      <c r="C1083" s="29"/>
      <c r="D1083" s="29"/>
      <c r="E1083" s="29"/>
      <c r="F1083" s="29"/>
      <c r="G1083" s="29"/>
      <c r="H1083" s="29"/>
      <c r="I1083" s="29"/>
      <c r="J1083" s="29"/>
      <c r="K1083" s="29"/>
      <c r="L1083" s="29"/>
      <c r="M1083" s="29"/>
      <c r="N1083" s="29"/>
      <c r="O1083" s="29"/>
      <c r="P1083" s="29"/>
      <c r="Q1083" s="29"/>
    </row>
    <row r="1084" spans="1:17">
      <c r="A1084" s="29"/>
      <c r="B1084" s="29"/>
      <c r="C1084" s="29"/>
      <c r="D1084" s="29"/>
      <c r="E1084" s="29"/>
      <c r="F1084" s="29"/>
      <c r="G1084" s="29"/>
      <c r="H1084" s="29"/>
      <c r="I1084" s="29"/>
      <c r="J1084" s="29"/>
      <c r="K1084" s="29"/>
      <c r="L1084" s="29"/>
      <c r="M1084" s="29"/>
      <c r="N1084" s="29"/>
      <c r="O1084" s="29"/>
      <c r="P1084" s="29"/>
      <c r="Q1084" s="29"/>
    </row>
    <row r="1085" spans="1:17">
      <c r="A1085" s="29"/>
      <c r="B1085" s="29"/>
      <c r="C1085" s="29"/>
      <c r="D1085" s="29"/>
      <c r="E1085" s="29"/>
      <c r="F1085" s="29"/>
      <c r="G1085" s="29"/>
      <c r="H1085" s="29"/>
      <c r="I1085" s="29"/>
      <c r="J1085" s="29"/>
      <c r="K1085" s="29"/>
      <c r="L1085" s="29"/>
      <c r="M1085" s="29"/>
      <c r="N1085" s="29"/>
      <c r="O1085" s="29"/>
      <c r="P1085" s="29"/>
      <c r="Q1085" s="29"/>
    </row>
    <row r="1086" spans="1:17">
      <c r="A1086" s="29"/>
      <c r="B1086" s="29"/>
      <c r="C1086" s="29"/>
      <c r="D1086" s="29"/>
      <c r="E1086" s="29"/>
      <c r="F1086" s="29"/>
      <c r="G1086" s="29"/>
      <c r="H1086" s="29"/>
      <c r="I1086" s="29"/>
      <c r="J1086" s="29"/>
      <c r="K1086" s="29"/>
      <c r="L1086" s="29"/>
      <c r="M1086" s="29"/>
      <c r="N1086" s="29"/>
      <c r="O1086" s="29"/>
      <c r="P1086" s="29"/>
      <c r="Q1086" s="29"/>
    </row>
    <row r="1087" spans="1:17">
      <c r="A1087" s="29"/>
      <c r="B1087" s="29"/>
      <c r="C1087" s="29"/>
      <c r="D1087" s="29"/>
      <c r="E1087" s="29"/>
      <c r="F1087" s="29"/>
      <c r="G1087" s="29"/>
      <c r="H1087" s="29"/>
      <c r="I1087" s="29"/>
      <c r="J1087" s="29"/>
      <c r="K1087" s="29"/>
      <c r="L1087" s="29"/>
      <c r="M1087" s="29"/>
      <c r="N1087" s="29"/>
      <c r="O1087" s="29"/>
      <c r="P1087" s="29"/>
      <c r="Q1087" s="29"/>
    </row>
    <row r="1088" spans="1:17">
      <c r="A1088" s="29"/>
      <c r="B1088" s="29"/>
      <c r="C1088" s="29"/>
      <c r="D1088" s="29"/>
      <c r="E1088" s="29"/>
      <c r="F1088" s="29"/>
      <c r="G1088" s="29"/>
      <c r="H1088" s="29"/>
      <c r="I1088" s="29"/>
      <c r="J1088" s="29"/>
      <c r="K1088" s="29"/>
      <c r="L1088" s="29"/>
      <c r="M1088" s="29"/>
      <c r="N1088" s="29"/>
      <c r="O1088" s="29"/>
      <c r="P1088" s="29"/>
      <c r="Q1088" s="29"/>
    </row>
    <row r="1089" spans="1:17">
      <c r="A1089" s="29"/>
      <c r="B1089" s="29"/>
      <c r="C1089" s="29"/>
      <c r="D1089" s="29"/>
      <c r="E1089" s="29"/>
      <c r="F1089" s="29"/>
      <c r="G1089" s="29"/>
      <c r="H1089" s="29"/>
      <c r="I1089" s="29"/>
      <c r="J1089" s="29"/>
      <c r="K1089" s="29"/>
      <c r="L1089" s="29"/>
      <c r="M1089" s="29"/>
      <c r="N1089" s="29"/>
      <c r="O1089" s="29"/>
      <c r="P1089" s="29"/>
      <c r="Q1089" s="29"/>
    </row>
    <row r="1090" spans="1:17">
      <c r="A1090" s="29"/>
      <c r="B1090" s="29"/>
      <c r="C1090" s="29"/>
      <c r="D1090" s="29"/>
      <c r="E1090" s="29"/>
      <c r="F1090" s="29"/>
      <c r="G1090" s="29"/>
      <c r="H1090" s="29"/>
      <c r="I1090" s="29"/>
      <c r="J1090" s="29"/>
      <c r="K1090" s="29"/>
      <c r="L1090" s="29"/>
      <c r="M1090" s="29"/>
      <c r="N1090" s="29"/>
      <c r="O1090" s="29"/>
      <c r="P1090" s="29"/>
      <c r="Q1090" s="29"/>
    </row>
    <row r="1091" spans="1:17">
      <c r="A1091" s="29"/>
      <c r="B1091" s="29"/>
      <c r="C1091" s="29"/>
      <c r="D1091" s="29"/>
      <c r="E1091" s="29"/>
      <c r="F1091" s="29"/>
      <c r="G1091" s="29"/>
      <c r="H1091" s="29"/>
      <c r="I1091" s="29"/>
      <c r="J1091" s="29"/>
      <c r="K1091" s="29"/>
      <c r="L1091" s="29"/>
      <c r="M1091" s="29"/>
      <c r="N1091" s="29"/>
      <c r="O1091" s="29"/>
      <c r="P1091" s="29"/>
      <c r="Q1091" s="29"/>
    </row>
    <row r="1092" spans="1:17">
      <c r="A1092" s="29"/>
      <c r="B1092" s="29"/>
      <c r="C1092" s="29"/>
      <c r="D1092" s="29"/>
      <c r="E1092" s="29"/>
      <c r="F1092" s="29"/>
      <c r="G1092" s="29"/>
      <c r="H1092" s="29"/>
      <c r="I1092" s="29"/>
      <c r="J1092" s="29"/>
      <c r="K1092" s="29"/>
      <c r="L1092" s="29"/>
      <c r="M1092" s="29"/>
      <c r="N1092" s="29"/>
      <c r="O1092" s="29"/>
      <c r="P1092" s="29"/>
      <c r="Q1092" s="29"/>
    </row>
    <row r="1093" spans="1:17">
      <c r="A1093" s="29"/>
      <c r="B1093" s="29"/>
      <c r="C1093" s="29"/>
      <c r="D1093" s="29"/>
      <c r="E1093" s="29"/>
      <c r="F1093" s="29"/>
      <c r="G1093" s="29"/>
      <c r="H1093" s="29"/>
      <c r="I1093" s="29"/>
      <c r="J1093" s="29"/>
      <c r="K1093" s="29"/>
      <c r="L1093" s="29"/>
      <c r="M1093" s="29"/>
      <c r="N1093" s="29"/>
      <c r="O1093" s="29"/>
      <c r="P1093" s="29"/>
      <c r="Q1093" s="29"/>
    </row>
    <row r="1094" spans="1:17">
      <c r="A1094" s="29"/>
      <c r="B1094" s="29"/>
      <c r="C1094" s="29"/>
      <c r="D1094" s="29"/>
      <c r="E1094" s="29"/>
      <c r="F1094" s="29"/>
      <c r="G1094" s="29"/>
      <c r="H1094" s="29"/>
      <c r="I1094" s="29"/>
      <c r="J1094" s="29"/>
      <c r="K1094" s="29"/>
      <c r="L1094" s="29"/>
      <c r="M1094" s="29"/>
      <c r="N1094" s="29"/>
      <c r="O1094" s="29"/>
      <c r="P1094" s="29"/>
      <c r="Q1094" s="29"/>
    </row>
    <row r="1095" spans="1:17">
      <c r="A1095" s="29"/>
      <c r="B1095" s="29"/>
      <c r="C1095" s="29"/>
      <c r="D1095" s="29"/>
      <c r="E1095" s="29"/>
      <c r="F1095" s="29"/>
      <c r="G1095" s="29"/>
      <c r="H1095" s="29"/>
      <c r="I1095" s="29"/>
      <c r="J1095" s="29"/>
      <c r="K1095" s="29"/>
      <c r="L1095" s="29"/>
      <c r="M1095" s="29"/>
      <c r="N1095" s="29"/>
      <c r="O1095" s="29"/>
      <c r="P1095" s="29"/>
      <c r="Q1095" s="29"/>
    </row>
    <row r="1096" spans="1:17">
      <c r="A1096" s="29"/>
      <c r="B1096" s="29"/>
      <c r="C1096" s="29"/>
      <c r="D1096" s="29"/>
      <c r="E1096" s="29"/>
      <c r="F1096" s="29"/>
      <c r="G1096" s="29"/>
      <c r="H1096" s="29"/>
      <c r="I1096" s="29"/>
      <c r="J1096" s="29"/>
      <c r="K1096" s="29"/>
      <c r="L1096" s="29"/>
      <c r="M1096" s="29"/>
      <c r="N1096" s="29"/>
      <c r="O1096" s="29"/>
      <c r="P1096" s="29"/>
      <c r="Q1096" s="29"/>
    </row>
    <row r="1097" spans="1:17">
      <c r="A1097" s="29"/>
      <c r="B1097" s="29"/>
      <c r="C1097" s="29"/>
      <c r="D1097" s="29"/>
      <c r="E1097" s="29"/>
      <c r="F1097" s="29"/>
      <c r="G1097" s="29"/>
      <c r="H1097" s="29"/>
      <c r="I1097" s="29"/>
      <c r="J1097" s="29"/>
      <c r="K1097" s="29"/>
      <c r="L1097" s="29"/>
      <c r="M1097" s="29"/>
      <c r="N1097" s="29"/>
      <c r="O1097" s="29"/>
      <c r="P1097" s="29"/>
      <c r="Q1097" s="29"/>
    </row>
    <row r="1098" spans="1:17">
      <c r="A1098" s="29"/>
      <c r="B1098" s="29"/>
      <c r="C1098" s="29"/>
      <c r="D1098" s="29"/>
      <c r="E1098" s="29"/>
      <c r="F1098" s="29"/>
      <c r="G1098" s="29"/>
      <c r="H1098" s="29"/>
      <c r="I1098" s="29"/>
      <c r="J1098" s="29"/>
      <c r="K1098" s="29"/>
      <c r="L1098" s="29"/>
      <c r="M1098" s="29"/>
      <c r="N1098" s="29"/>
      <c r="O1098" s="29"/>
      <c r="P1098" s="29"/>
      <c r="Q1098" s="29"/>
    </row>
    <row r="1099" spans="1:17">
      <c r="A1099" s="29"/>
      <c r="B1099" s="29"/>
      <c r="C1099" s="29"/>
      <c r="D1099" s="29"/>
      <c r="E1099" s="29"/>
      <c r="F1099" s="29"/>
      <c r="G1099" s="29"/>
      <c r="H1099" s="29"/>
      <c r="I1099" s="29"/>
      <c r="J1099" s="29"/>
      <c r="K1099" s="29"/>
      <c r="L1099" s="29"/>
      <c r="M1099" s="29"/>
      <c r="N1099" s="29"/>
      <c r="O1099" s="29"/>
      <c r="P1099" s="29"/>
      <c r="Q1099" s="29"/>
    </row>
    <row r="1100" spans="1:17">
      <c r="A1100" s="29"/>
      <c r="B1100" s="29"/>
      <c r="C1100" s="29"/>
      <c r="D1100" s="29"/>
      <c r="E1100" s="29"/>
      <c r="F1100" s="29"/>
      <c r="G1100" s="29"/>
      <c r="H1100" s="29"/>
      <c r="I1100" s="29"/>
      <c r="J1100" s="29"/>
      <c r="K1100" s="29"/>
      <c r="L1100" s="29"/>
      <c r="M1100" s="29"/>
      <c r="N1100" s="29"/>
      <c r="O1100" s="29"/>
      <c r="P1100" s="29"/>
      <c r="Q1100" s="29"/>
    </row>
    <row r="1101" spans="1:17">
      <c r="A1101" s="29"/>
      <c r="B1101" s="29"/>
      <c r="C1101" s="29"/>
      <c r="D1101" s="29"/>
      <c r="E1101" s="29"/>
      <c r="F1101" s="29"/>
      <c r="G1101" s="29"/>
      <c r="H1101" s="29"/>
      <c r="I1101" s="29"/>
      <c r="J1101" s="29"/>
      <c r="K1101" s="29"/>
      <c r="L1101" s="29"/>
      <c r="M1101" s="29"/>
      <c r="N1101" s="29"/>
      <c r="O1101" s="29"/>
      <c r="P1101" s="29"/>
      <c r="Q1101" s="29"/>
    </row>
    <row r="1102" spans="1:17">
      <c r="A1102" s="29"/>
      <c r="B1102" s="29"/>
      <c r="C1102" s="29"/>
      <c r="D1102" s="29"/>
      <c r="E1102" s="29"/>
      <c r="F1102" s="29"/>
      <c r="G1102" s="29"/>
      <c r="H1102" s="29"/>
      <c r="I1102" s="29"/>
      <c r="J1102" s="29"/>
      <c r="K1102" s="29"/>
      <c r="L1102" s="29"/>
      <c r="M1102" s="29"/>
      <c r="N1102" s="29"/>
      <c r="O1102" s="29"/>
      <c r="P1102" s="29"/>
      <c r="Q1102" s="29"/>
    </row>
    <row r="1103" spans="1:17">
      <c r="A1103" s="29"/>
      <c r="B1103" s="29"/>
      <c r="C1103" s="29"/>
      <c r="D1103" s="29"/>
      <c r="E1103" s="29"/>
      <c r="F1103" s="29"/>
      <c r="G1103" s="29"/>
      <c r="H1103" s="29"/>
      <c r="I1103" s="29"/>
      <c r="J1103" s="29"/>
      <c r="K1103" s="29"/>
      <c r="L1103" s="29"/>
      <c r="M1103" s="29"/>
      <c r="N1103" s="29"/>
      <c r="O1103" s="29"/>
      <c r="P1103" s="29"/>
      <c r="Q1103" s="29"/>
    </row>
    <row r="1104" spans="1:17">
      <c r="A1104" s="29"/>
      <c r="B1104" s="29"/>
      <c r="C1104" s="29"/>
      <c r="D1104" s="29"/>
      <c r="E1104" s="29"/>
      <c r="F1104" s="29"/>
      <c r="G1104" s="29"/>
      <c r="H1104" s="29"/>
      <c r="I1104" s="29"/>
      <c r="J1104" s="29"/>
      <c r="K1104" s="29"/>
      <c r="L1104" s="29"/>
      <c r="M1104" s="29"/>
      <c r="N1104" s="29"/>
      <c r="O1104" s="29"/>
      <c r="P1104" s="29"/>
      <c r="Q1104" s="29"/>
    </row>
    <row r="1105" spans="1:17">
      <c r="A1105" s="29"/>
      <c r="B1105" s="29"/>
      <c r="C1105" s="29"/>
      <c r="D1105" s="29"/>
      <c r="E1105" s="29"/>
      <c r="F1105" s="29"/>
      <c r="G1105" s="29"/>
      <c r="H1105" s="29"/>
      <c r="I1105" s="29"/>
      <c r="J1105" s="29"/>
      <c r="K1105" s="29"/>
      <c r="L1105" s="29"/>
      <c r="M1105" s="29"/>
      <c r="N1105" s="29"/>
      <c r="O1105" s="29"/>
      <c r="P1105" s="29"/>
      <c r="Q1105" s="29"/>
    </row>
    <row r="1106" spans="1:17">
      <c r="A1106" s="29"/>
      <c r="B1106" s="29"/>
      <c r="C1106" s="29"/>
      <c r="D1106" s="29"/>
      <c r="E1106" s="29"/>
      <c r="F1106" s="29"/>
      <c r="G1106" s="29"/>
      <c r="H1106" s="29"/>
      <c r="I1106" s="29"/>
      <c r="J1106" s="29"/>
      <c r="K1106" s="29"/>
      <c r="L1106" s="29"/>
      <c r="M1106" s="29"/>
      <c r="N1106" s="29"/>
      <c r="O1106" s="29"/>
      <c r="P1106" s="29"/>
      <c r="Q1106" s="29"/>
    </row>
    <row r="1107" spans="1:17">
      <c r="A1107" s="29"/>
      <c r="B1107" s="29"/>
      <c r="C1107" s="29"/>
      <c r="D1107" s="29"/>
      <c r="E1107" s="29"/>
      <c r="F1107" s="29"/>
      <c r="G1107" s="29"/>
      <c r="H1107" s="29"/>
      <c r="I1107" s="29"/>
      <c r="J1107" s="29"/>
      <c r="K1107" s="29"/>
      <c r="L1107" s="29"/>
      <c r="M1107" s="29"/>
      <c r="N1107" s="29"/>
      <c r="O1107" s="29"/>
      <c r="P1107" s="29"/>
      <c r="Q1107" s="29"/>
    </row>
    <row r="1108" spans="1:17">
      <c r="A1108" s="29"/>
      <c r="B1108" s="29"/>
      <c r="C1108" s="29"/>
      <c r="D1108" s="29"/>
      <c r="E1108" s="29"/>
      <c r="F1108" s="29"/>
      <c r="G1108" s="29"/>
      <c r="H1108" s="29"/>
      <c r="I1108" s="29"/>
      <c r="J1108" s="29"/>
      <c r="K1108" s="29"/>
      <c r="L1108" s="29"/>
      <c r="M1108" s="29"/>
      <c r="N1108" s="29"/>
      <c r="O1108" s="29"/>
      <c r="P1108" s="29"/>
      <c r="Q1108" s="29"/>
    </row>
    <row r="1109" spans="1:17">
      <c r="A1109" s="29"/>
      <c r="B1109" s="29"/>
      <c r="C1109" s="29"/>
      <c r="D1109" s="29"/>
      <c r="E1109" s="29"/>
      <c r="F1109" s="29"/>
      <c r="G1109" s="29"/>
      <c r="H1109" s="29"/>
      <c r="I1109" s="29"/>
      <c r="J1109" s="29"/>
      <c r="K1109" s="29"/>
      <c r="L1109" s="29"/>
      <c r="M1109" s="29"/>
      <c r="N1109" s="29"/>
      <c r="O1109" s="29"/>
      <c r="P1109" s="29"/>
      <c r="Q1109" s="29"/>
    </row>
    <row r="1110" spans="1:17">
      <c r="A1110" s="29"/>
      <c r="B1110" s="29"/>
      <c r="C1110" s="29"/>
      <c r="D1110" s="29"/>
      <c r="E1110" s="29"/>
      <c r="F1110" s="29"/>
      <c r="G1110" s="29"/>
      <c r="H1110" s="29"/>
      <c r="I1110" s="29"/>
      <c r="J1110" s="29"/>
      <c r="K1110" s="29"/>
      <c r="L1110" s="29"/>
      <c r="M1110" s="29"/>
      <c r="N1110" s="29"/>
      <c r="O1110" s="29"/>
      <c r="P1110" s="29"/>
      <c r="Q1110" s="29"/>
    </row>
    <row r="1111" spans="1:17">
      <c r="A1111" s="29"/>
      <c r="B1111" s="29"/>
      <c r="C1111" s="29"/>
      <c r="D1111" s="29"/>
      <c r="E1111" s="29"/>
      <c r="F1111" s="29"/>
      <c r="G1111" s="29"/>
      <c r="H1111" s="29"/>
      <c r="I1111" s="29"/>
      <c r="J1111" s="29"/>
      <c r="K1111" s="29"/>
      <c r="L1111" s="29"/>
      <c r="M1111" s="29"/>
      <c r="N1111" s="29"/>
      <c r="O1111" s="29"/>
      <c r="P1111" s="29"/>
      <c r="Q1111" s="29"/>
    </row>
    <row r="1112" spans="1:17">
      <c r="A1112" s="29"/>
      <c r="B1112" s="29"/>
      <c r="C1112" s="29"/>
      <c r="D1112" s="29"/>
      <c r="E1112" s="29"/>
      <c r="F1112" s="29"/>
      <c r="G1112" s="29"/>
      <c r="H1112" s="29"/>
      <c r="I1112" s="29"/>
      <c r="J1112" s="29"/>
      <c r="K1112" s="29"/>
      <c r="L1112" s="29"/>
      <c r="M1112" s="29"/>
      <c r="N1112" s="29"/>
      <c r="O1112" s="29"/>
      <c r="P1112" s="29"/>
      <c r="Q1112" s="29"/>
    </row>
    <row r="1113" spans="1:17">
      <c r="A1113" s="29"/>
      <c r="B1113" s="29"/>
      <c r="C1113" s="29"/>
      <c r="D1113" s="29"/>
      <c r="E1113" s="29"/>
      <c r="F1113" s="29"/>
      <c r="G1113" s="29"/>
      <c r="H1113" s="29"/>
      <c r="I1113" s="29"/>
      <c r="J1113" s="29"/>
      <c r="K1113" s="29"/>
      <c r="L1113" s="29"/>
      <c r="M1113" s="29"/>
      <c r="N1113" s="29"/>
      <c r="O1113" s="29"/>
      <c r="P1113" s="29"/>
      <c r="Q1113" s="29"/>
    </row>
    <row r="1114" spans="1:17">
      <c r="A1114" s="29"/>
      <c r="B1114" s="29"/>
      <c r="C1114" s="29"/>
      <c r="D1114" s="29"/>
      <c r="E1114" s="29"/>
      <c r="F1114" s="29"/>
      <c r="G1114" s="29"/>
      <c r="H1114" s="29"/>
      <c r="I1114" s="29"/>
      <c r="J1114" s="29"/>
      <c r="K1114" s="29"/>
      <c r="L1114" s="29"/>
      <c r="M1114" s="29"/>
      <c r="N1114" s="29"/>
      <c r="O1114" s="29"/>
      <c r="P1114" s="29"/>
      <c r="Q1114" s="29"/>
    </row>
    <row r="1115" spans="1:17">
      <c r="A1115" s="29"/>
      <c r="B1115" s="29"/>
      <c r="C1115" s="29"/>
      <c r="D1115" s="29"/>
      <c r="E1115" s="29"/>
      <c r="F1115" s="29"/>
      <c r="G1115" s="29"/>
      <c r="H1115" s="29"/>
      <c r="I1115" s="29"/>
      <c r="J1115" s="29"/>
      <c r="K1115" s="29"/>
      <c r="L1115" s="29"/>
      <c r="M1115" s="29"/>
      <c r="N1115" s="29"/>
      <c r="O1115" s="29"/>
      <c r="P1115" s="29"/>
      <c r="Q1115" s="29"/>
    </row>
    <row r="1116" spans="1:17">
      <c r="A1116" s="29"/>
      <c r="B1116" s="29"/>
      <c r="C1116" s="29"/>
      <c r="D1116" s="29"/>
      <c r="E1116" s="29"/>
      <c r="F1116" s="29"/>
      <c r="G1116" s="29"/>
      <c r="H1116" s="29"/>
      <c r="I1116" s="29"/>
      <c r="J1116" s="29"/>
      <c r="K1116" s="29"/>
      <c r="L1116" s="29"/>
      <c r="M1116" s="29"/>
      <c r="N1116" s="29"/>
      <c r="O1116" s="29"/>
      <c r="P1116" s="29"/>
      <c r="Q1116" s="29"/>
    </row>
    <row r="1117" spans="1:17">
      <c r="A1117" s="29"/>
      <c r="B1117" s="29"/>
      <c r="C1117" s="29"/>
      <c r="D1117" s="29"/>
      <c r="E1117" s="29"/>
      <c r="F1117" s="29"/>
      <c r="G1117" s="29"/>
      <c r="H1117" s="29"/>
      <c r="I1117" s="29"/>
      <c r="J1117" s="29"/>
      <c r="K1117" s="29"/>
      <c r="L1117" s="29"/>
      <c r="M1117" s="29"/>
      <c r="N1117" s="29"/>
      <c r="O1117" s="29"/>
      <c r="P1117" s="29"/>
      <c r="Q1117" s="29"/>
    </row>
    <row r="1118" spans="1:17">
      <c r="A1118" s="29"/>
      <c r="B1118" s="29"/>
      <c r="C1118" s="29"/>
      <c r="D1118" s="29"/>
      <c r="E1118" s="29"/>
      <c r="F1118" s="29"/>
      <c r="G1118" s="29"/>
      <c r="H1118" s="29"/>
      <c r="I1118" s="29"/>
      <c r="J1118" s="29"/>
      <c r="K1118" s="29"/>
      <c r="L1118" s="29"/>
      <c r="M1118" s="29"/>
      <c r="N1118" s="29"/>
      <c r="O1118" s="29"/>
      <c r="P1118" s="29"/>
      <c r="Q1118" s="29"/>
    </row>
    <row r="1119" spans="1:17">
      <c r="A1119" s="29"/>
      <c r="B1119" s="29"/>
      <c r="C1119" s="29"/>
      <c r="D1119" s="29"/>
      <c r="E1119" s="29"/>
      <c r="F1119" s="29"/>
      <c r="G1119" s="29"/>
      <c r="H1119" s="29"/>
      <c r="I1119" s="29"/>
      <c r="J1119" s="29"/>
      <c r="K1119" s="29"/>
      <c r="L1119" s="29"/>
      <c r="M1119" s="29"/>
      <c r="N1119" s="29"/>
      <c r="O1119" s="29"/>
      <c r="P1119" s="29"/>
      <c r="Q1119" s="29"/>
    </row>
    <row r="1120" spans="1:17">
      <c r="A1120" s="29"/>
      <c r="B1120" s="29"/>
      <c r="C1120" s="29"/>
      <c r="D1120" s="29"/>
      <c r="E1120" s="29"/>
      <c r="F1120" s="29"/>
      <c r="G1120" s="29"/>
      <c r="H1120" s="29"/>
      <c r="I1120" s="29"/>
      <c r="J1120" s="29"/>
      <c r="K1120" s="29"/>
      <c r="L1120" s="29"/>
      <c r="M1120" s="29"/>
      <c r="N1120" s="29"/>
      <c r="O1120" s="29"/>
      <c r="P1120" s="29"/>
      <c r="Q1120" s="29"/>
    </row>
    <row r="1121" spans="1:17">
      <c r="A1121" s="29"/>
      <c r="B1121" s="29"/>
      <c r="C1121" s="29"/>
      <c r="D1121" s="29"/>
      <c r="E1121" s="29"/>
      <c r="F1121" s="29"/>
      <c r="G1121" s="29"/>
      <c r="H1121" s="29"/>
      <c r="I1121" s="29"/>
      <c r="J1121" s="29"/>
      <c r="K1121" s="29"/>
      <c r="L1121" s="29"/>
      <c r="M1121" s="29"/>
      <c r="N1121" s="29"/>
      <c r="O1121" s="29"/>
      <c r="P1121" s="29"/>
      <c r="Q1121" s="29"/>
    </row>
    <row r="1122" spans="1:17">
      <c r="A1122" s="29"/>
      <c r="B1122" s="29"/>
      <c r="C1122" s="29"/>
      <c r="D1122" s="29"/>
      <c r="E1122" s="29"/>
      <c r="F1122" s="29"/>
      <c r="G1122" s="29"/>
      <c r="H1122" s="29"/>
      <c r="I1122" s="29"/>
      <c r="J1122" s="29"/>
      <c r="K1122" s="29"/>
      <c r="L1122" s="29"/>
      <c r="M1122" s="29"/>
      <c r="N1122" s="29"/>
      <c r="O1122" s="29"/>
      <c r="P1122" s="29"/>
      <c r="Q1122" s="29"/>
    </row>
    <row r="1123" spans="1:17">
      <c r="A1123" s="29"/>
      <c r="B1123" s="29"/>
      <c r="C1123" s="29"/>
      <c r="D1123" s="29"/>
      <c r="E1123" s="29"/>
      <c r="F1123" s="29"/>
      <c r="G1123" s="29"/>
      <c r="H1123" s="29"/>
      <c r="I1123" s="29"/>
      <c r="J1123" s="29"/>
      <c r="K1123" s="29"/>
      <c r="L1123" s="29"/>
      <c r="M1123" s="29"/>
      <c r="N1123" s="29"/>
      <c r="O1123" s="29"/>
      <c r="P1123" s="29"/>
      <c r="Q1123" s="29"/>
    </row>
    <row r="1124" spans="1:17">
      <c r="A1124" s="29"/>
      <c r="B1124" s="29"/>
      <c r="C1124" s="29"/>
      <c r="D1124" s="29"/>
      <c r="E1124" s="29"/>
      <c r="F1124" s="29"/>
      <c r="G1124" s="29"/>
      <c r="H1124" s="29"/>
      <c r="I1124" s="29"/>
      <c r="J1124" s="29"/>
      <c r="K1124" s="29"/>
      <c r="L1124" s="29"/>
      <c r="M1124" s="29"/>
      <c r="N1124" s="29"/>
      <c r="O1124" s="29"/>
      <c r="P1124" s="29"/>
      <c r="Q1124" s="29"/>
    </row>
    <row r="1125" spans="1:17">
      <c r="A1125" s="29"/>
      <c r="B1125" s="29"/>
      <c r="C1125" s="29"/>
      <c r="D1125" s="29"/>
      <c r="E1125" s="29"/>
      <c r="F1125" s="29"/>
      <c r="G1125" s="29"/>
      <c r="H1125" s="29"/>
      <c r="I1125" s="29"/>
      <c r="J1125" s="29"/>
      <c r="K1125" s="29"/>
      <c r="L1125" s="29"/>
      <c r="M1125" s="29"/>
      <c r="N1125" s="29"/>
      <c r="O1125" s="29"/>
      <c r="P1125" s="29"/>
      <c r="Q1125" s="29"/>
    </row>
    <row r="1126" spans="1:17">
      <c r="A1126" s="29"/>
      <c r="B1126" s="29"/>
      <c r="C1126" s="29"/>
      <c r="D1126" s="29"/>
      <c r="E1126" s="29"/>
      <c r="F1126" s="29"/>
      <c r="G1126" s="29"/>
      <c r="H1126" s="29"/>
      <c r="I1126" s="29"/>
      <c r="J1126" s="29"/>
      <c r="K1126" s="29"/>
      <c r="L1126" s="29"/>
      <c r="M1126" s="29"/>
      <c r="N1126" s="29"/>
      <c r="O1126" s="29"/>
      <c r="P1126" s="29"/>
      <c r="Q1126" s="29"/>
    </row>
    <row r="1127" spans="1:17">
      <c r="A1127" s="29"/>
      <c r="B1127" s="29"/>
      <c r="C1127" s="29"/>
      <c r="D1127" s="29"/>
      <c r="E1127" s="29"/>
      <c r="F1127" s="29"/>
      <c r="G1127" s="29"/>
      <c r="H1127" s="29"/>
      <c r="I1127" s="29"/>
      <c r="J1127" s="29"/>
      <c r="K1127" s="29"/>
      <c r="L1127" s="29"/>
      <c r="M1127" s="29"/>
      <c r="N1127" s="29"/>
      <c r="O1127" s="29"/>
      <c r="P1127" s="29"/>
      <c r="Q1127" s="29"/>
    </row>
    <row r="1128" spans="1:17">
      <c r="A1128" s="29"/>
      <c r="B1128" s="29"/>
      <c r="C1128" s="29"/>
      <c r="D1128" s="29"/>
      <c r="E1128" s="29"/>
      <c r="F1128" s="29"/>
      <c r="G1128" s="29"/>
      <c r="H1128" s="29"/>
      <c r="I1128" s="29"/>
      <c r="J1128" s="29"/>
      <c r="K1128" s="29"/>
      <c r="L1128" s="29"/>
      <c r="M1128" s="29"/>
      <c r="N1128" s="29"/>
      <c r="O1128" s="29"/>
      <c r="P1128" s="29"/>
      <c r="Q1128" s="29"/>
    </row>
    <row r="1129" spans="1:17">
      <c r="A1129" s="29"/>
      <c r="B1129" s="29"/>
      <c r="C1129" s="29"/>
      <c r="D1129" s="29"/>
      <c r="E1129" s="29"/>
      <c r="F1129" s="29"/>
      <c r="G1129" s="29"/>
      <c r="H1129" s="29"/>
      <c r="I1129" s="29"/>
      <c r="J1129" s="29"/>
      <c r="K1129" s="29"/>
      <c r="L1129" s="29"/>
      <c r="M1129" s="29"/>
      <c r="N1129" s="29"/>
      <c r="O1129" s="29"/>
      <c r="P1129" s="29"/>
      <c r="Q1129" s="29"/>
    </row>
    <row r="1130" spans="1:17">
      <c r="A1130" s="29"/>
      <c r="B1130" s="29"/>
      <c r="C1130" s="29"/>
      <c r="D1130" s="29"/>
      <c r="E1130" s="29"/>
      <c r="F1130" s="29"/>
      <c r="G1130" s="29"/>
      <c r="H1130" s="29"/>
      <c r="I1130" s="29"/>
      <c r="J1130" s="29"/>
      <c r="K1130" s="29"/>
      <c r="L1130" s="29"/>
      <c r="M1130" s="29"/>
      <c r="N1130" s="29"/>
      <c r="O1130" s="29"/>
      <c r="P1130" s="29"/>
      <c r="Q1130" s="29"/>
    </row>
    <row r="1131" spans="1:17">
      <c r="A1131" s="29"/>
      <c r="B1131" s="29"/>
      <c r="C1131" s="29"/>
      <c r="D1131" s="29"/>
      <c r="E1131" s="29"/>
      <c r="F1131" s="29"/>
      <c r="G1131" s="29"/>
      <c r="H1131" s="29"/>
      <c r="I1131" s="29"/>
      <c r="J1131" s="29"/>
      <c r="K1131" s="29"/>
      <c r="L1131" s="29"/>
      <c r="M1131" s="29"/>
      <c r="N1131" s="29"/>
      <c r="O1131" s="29"/>
      <c r="P1131" s="29"/>
      <c r="Q1131" s="29"/>
    </row>
    <row r="1132" spans="1:17">
      <c r="A1132" s="29"/>
      <c r="B1132" s="29"/>
      <c r="C1132" s="29"/>
      <c r="D1132" s="29"/>
      <c r="E1132" s="29"/>
      <c r="F1132" s="29"/>
      <c r="G1132" s="29"/>
      <c r="H1132" s="29"/>
      <c r="I1132" s="29"/>
      <c r="J1132" s="29"/>
      <c r="K1132" s="29"/>
      <c r="L1132" s="29"/>
      <c r="M1132" s="29"/>
      <c r="N1132" s="29"/>
      <c r="O1132" s="29"/>
      <c r="P1132" s="29"/>
      <c r="Q1132" s="29"/>
    </row>
    <row r="1133" spans="1:17">
      <c r="A1133" s="29"/>
      <c r="B1133" s="29"/>
      <c r="C1133" s="29"/>
      <c r="D1133" s="29"/>
      <c r="E1133" s="29"/>
      <c r="F1133" s="29"/>
      <c r="G1133" s="29"/>
      <c r="H1133" s="29"/>
      <c r="I1133" s="29"/>
      <c r="J1133" s="29"/>
      <c r="K1133" s="29"/>
      <c r="L1133" s="29"/>
      <c r="M1133" s="29"/>
      <c r="N1133" s="29"/>
      <c r="O1133" s="29"/>
      <c r="P1133" s="29"/>
      <c r="Q1133" s="29"/>
    </row>
    <row r="1134" spans="1:17">
      <c r="A1134" s="29"/>
      <c r="B1134" s="29"/>
      <c r="C1134" s="29"/>
      <c r="D1134" s="29"/>
      <c r="E1134" s="29"/>
      <c r="F1134" s="29"/>
      <c r="G1134" s="29"/>
      <c r="H1134" s="29"/>
      <c r="I1134" s="29"/>
      <c r="J1134" s="29"/>
      <c r="K1134" s="29"/>
      <c r="L1134" s="29"/>
      <c r="M1134" s="29"/>
      <c r="N1134" s="29"/>
      <c r="O1134" s="29"/>
      <c r="P1134" s="29"/>
      <c r="Q1134" s="29"/>
    </row>
    <row r="1135" spans="1:17">
      <c r="A1135" s="29"/>
      <c r="B1135" s="29"/>
      <c r="C1135" s="29"/>
      <c r="D1135" s="29"/>
      <c r="E1135" s="29"/>
      <c r="F1135" s="29"/>
      <c r="G1135" s="29"/>
      <c r="H1135" s="29"/>
      <c r="I1135" s="29"/>
      <c r="J1135" s="29"/>
      <c r="K1135" s="29"/>
      <c r="L1135" s="29"/>
      <c r="M1135" s="29"/>
      <c r="N1135" s="29"/>
      <c r="O1135" s="29"/>
      <c r="P1135" s="29"/>
      <c r="Q1135" s="29"/>
    </row>
    <row r="1136" spans="1:17">
      <c r="A1136" s="29"/>
      <c r="B1136" s="29"/>
      <c r="C1136" s="29"/>
      <c r="D1136" s="29"/>
      <c r="E1136" s="29"/>
      <c r="F1136" s="29"/>
      <c r="G1136" s="29"/>
      <c r="H1136" s="29"/>
      <c r="I1136" s="29"/>
      <c r="J1136" s="29"/>
      <c r="K1136" s="29"/>
      <c r="L1136" s="29"/>
      <c r="M1136" s="29"/>
      <c r="N1136" s="29"/>
      <c r="O1136" s="29"/>
      <c r="P1136" s="29"/>
      <c r="Q1136" s="29"/>
    </row>
    <row r="1137" spans="1:17">
      <c r="A1137" s="29"/>
      <c r="B1137" s="29"/>
      <c r="C1137" s="29"/>
      <c r="D1137" s="29"/>
      <c r="E1137" s="29"/>
      <c r="F1137" s="29"/>
      <c r="G1137" s="29"/>
      <c r="H1137" s="29"/>
      <c r="I1137" s="29"/>
      <c r="J1137" s="29"/>
      <c r="K1137" s="29"/>
      <c r="L1137" s="29"/>
      <c r="M1137" s="29"/>
      <c r="N1137" s="29"/>
      <c r="O1137" s="29"/>
      <c r="P1137" s="29"/>
      <c r="Q1137" s="29"/>
    </row>
    <row r="1138" spans="1:17">
      <c r="A1138" s="29"/>
      <c r="B1138" s="29"/>
      <c r="C1138" s="29"/>
      <c r="D1138" s="29"/>
      <c r="E1138" s="29"/>
      <c r="F1138" s="29"/>
      <c r="G1138" s="29"/>
      <c r="H1138" s="29"/>
      <c r="I1138" s="29"/>
      <c r="J1138" s="29"/>
      <c r="K1138" s="29"/>
      <c r="L1138" s="29"/>
      <c r="M1138" s="29"/>
      <c r="N1138" s="29"/>
      <c r="O1138" s="29"/>
      <c r="P1138" s="29"/>
      <c r="Q1138" s="29"/>
    </row>
  </sheetData>
  <dataValidations count="6">
    <dataValidation type="list" allowBlank="1" showErrorMessage="1" sqref="B2:B527" xr:uid="{E3A30AE1-A24F-8341-A9D5-B0402591D88E}">
      <formula1>LISTE_MT_JOURNAL</formula1>
    </dataValidation>
    <dataValidation type="list" allowBlank="1" showErrorMessage="1" sqref="C2:C527" xr:uid="{1CDAA1F4-4FBD-4149-9A76-4213574AFCEA}">
      <formula1>LISTE_JOUEURS_JOURNAL</formula1>
    </dataValidation>
    <dataValidation type="list" allowBlank="1" showErrorMessage="1" sqref="E2:E527" xr:uid="{9AFE9304-F56D-2E41-8413-FB9B032C73BC}">
      <formula1>LISTE_ACTIONS_JOURNAL</formula1>
    </dataValidation>
    <dataValidation type="list" allowBlank="1" showErrorMessage="1" sqref="G2:G527" xr:uid="{0F2EFBD9-7C3B-DE4C-8CDD-F63FFD318A64}">
      <formula1>LISTE_EQUIPES_JOURNAL</formula1>
    </dataValidation>
    <dataValidation type="list" allowBlank="1" showErrorMessage="1" sqref="F2:F527" xr:uid="{4A555E04-1FE4-5D44-B815-4C492D405735}">
      <formula1>LISTE_MOTIFS_PENALITE</formula1>
    </dataValidation>
    <dataValidation type="list" allowBlank="1" showInputMessage="1" showErrorMessage="1" sqref="D2:D527" xr:uid="{E74F6FA5-586E-2548-BD34-A454FDBDA2B7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topLeftCell="F1" workbookViewId="0"/>
    <sheetView topLeftCell="A9" workbookViewId="1">
      <selection activeCell="R28" sqref="R28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178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PF1 : MXV / Rabastens-Coufouleux Première</v>
      </c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80"/>
    </row>
    <row r="4" spans="2:20" s="29" customFormat="1">
      <c r="B4" s="181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3"/>
    </row>
    <row r="5" spans="2:20" s="29" customFormat="1"/>
    <row r="6" spans="2:20" ht="14" customHeight="1">
      <c r="B6" s="184" t="s">
        <v>64</v>
      </c>
      <c r="C6" s="186" t="str">
        <f>ACT_PL_NORMAL</f>
        <v>Plaquage normal</v>
      </c>
      <c r="D6" s="187"/>
      <c r="E6" s="186" t="str">
        <f>ACT_PL_OFF</f>
        <v>Plaquage offensif</v>
      </c>
      <c r="F6" s="187"/>
      <c r="G6" s="186" t="str">
        <f>ACT_PL_RATE</f>
        <v>Plaquage raté</v>
      </c>
      <c r="H6" s="187"/>
      <c r="I6" s="186" t="str">
        <f>ACT_PL_A2</f>
        <v>Plaquage à 2</v>
      </c>
      <c r="J6" s="188"/>
      <c r="K6" s="188" t="str">
        <f>ACT_PL_HAUT</f>
        <v>Plaquage haut</v>
      </c>
      <c r="L6" s="187"/>
      <c r="M6" s="188" t="str">
        <f>ACT_GRATTAGE</f>
        <v>Grattage</v>
      </c>
      <c r="N6" s="187"/>
      <c r="O6" s="189" t="s">
        <v>339</v>
      </c>
      <c r="P6" s="190"/>
      <c r="Q6" s="190"/>
      <c r="R6" s="190"/>
      <c r="S6" s="190"/>
      <c r="T6" s="191"/>
    </row>
    <row r="7" spans="2:20" ht="13" customHeight="1">
      <c r="B7" s="185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str" cm="1">
        <f t="array" ref="B8:B29">_xlfn._xlws.SORT(_xlfn._xlws.FILTER(COMPO[Nom du joueur],(COMPO[Nom du joueur]&lt;&gt;"")*(COMPO[Nom du joueur]&lt;&gt;"Collectif")*(COMPO[Nom du joueur]&lt;&gt;"?")))</f>
        <v>ABADIE  Emeric</v>
      </c>
      <c r="C8" s="98">
        <f>IF(COUNTIFS(JournalActions[Joueur],$B8,JournalActions[Action],$C$6,JournalActions[Mi-temps],C$7)=0,"",COUNTIFS(JournalActions[Joueur],$B8,JournalActions[Action],$C$6,JournalActions[Mi-temps],C$7))</f>
        <v>3</v>
      </c>
      <c r="D8" s="99">
        <f>IF(COUNTIFS(JournalActions[Joueur],$B8,JournalActions[Action],$C$6,JournalActions[Mi-temps],D$7)=0,"",COUNTIFS(JournalActions[Joueur],$B8,JournalActions[Action],$C$6,JournalActions[Mi-temps],D$7))</f>
        <v>1</v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 t="str">
        <v>BAQUE Lucas</v>
      </c>
      <c r="C9" s="93">
        <f>IF(COUNTIFS(JournalActions[Joueur],$B9,JournalActions[Action],$C$6,JournalActions[Mi-temps],C$7)=0,"",COUNTIFS(JournalActions[Joueur],$B9,JournalActions[Action],$C$6,JournalActions[Mi-temps],C$7))</f>
        <v>7</v>
      </c>
      <c r="D9" s="94">
        <f>IF(COUNTIFS(JournalActions[Joueur],$B9,JournalActions[Action],$C$6,JournalActions[Mi-temps],D$7)=0,"",COUNTIFS(JournalActions[Joueur],$B9,JournalActions[Action],$C$6,JournalActions[Mi-temps],D$7))</f>
        <v>6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>
        <f>IF(COUNTIFS(JournalActions[Joueur],$B9,JournalActions[Action],$G$6,JournalActions[Mi-temps],G$7)=0,"",COUNTIFS(JournalActions[Joueur],$B9,JournalActions[Action],$G$6,JournalActions[Mi-temps],G$7))</f>
        <v>3</v>
      </c>
      <c r="H9" s="94">
        <f>IF(COUNTIFS(JournalActions[Joueur],$B9,JournalActions[Action],$G$6,JournalActions[Mi-temps],H$7)=0,"",COUNTIFS(JournalActions[Joueur],$B9,JournalActions[Action],$G$6,JournalActions[Mi-temps],H$7))</f>
        <v>2</v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>1</v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 t="str">
        <v>BARATGIN Julian</v>
      </c>
      <c r="C10" s="93">
        <f>IF(COUNTIFS(JournalActions[Joueur],$B10,JournalActions[Action],$C$6,JournalActions[Mi-temps],C$7)=0,"",COUNTIFS(JournalActions[Joueur],$B10,JournalActions[Action],$C$6,JournalActions[Mi-temps],C$7))</f>
        <v>4</v>
      </c>
      <c r="D10" s="94">
        <f>IF(COUNTIFS(JournalActions[Joueur],$B10,JournalActions[Action],$C$6,JournalActions[Mi-temps],D$7)=0,"",COUNTIFS(JournalActions[Joueur],$B10,JournalActions[Action],$C$6,JournalActions[Mi-temps],D$7))</f>
        <v>3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 t="str">
        <v>BAUP 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>
        <f>IF(COUNTIFS(JournalActions[Joueur],$B11,JournalActions[Action],$C$6,JournalActions[Mi-temps],D$7)=0,"",COUNTIFS(JournalActions[Joueur],$B11,JournalActions[Action],$C$6,JournalActions[Mi-temps],D$7))</f>
        <v>3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 t="str">
        <v>BOURREC Anthony</v>
      </c>
      <c r="C12" s="93">
        <f>IF(COUNTIFS(JournalActions[Joueur],$B12,JournalActions[Action],$C$6,JournalActions[Mi-temps],C$7)=0,"",COUNTIFS(JournalActions[Joueur],$B12,JournalActions[Action],$C$6,JournalActions[Mi-temps],C$7))</f>
        <v>4</v>
      </c>
      <c r="D12" s="94">
        <f>IF(COUNTIFS(JournalActions[Joueur],$B12,JournalActions[Action],$C$6,JournalActions[Mi-temps],D$7)=0,"",COUNTIFS(JournalActions[Joueur],$B12,JournalActions[Action],$C$6,JournalActions[Mi-temps],D$7))</f>
        <v>1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>
        <f>IF(COUNTIFS(JournalActions[Joueur],$B12,JournalActions[Action],$G$6,JournalActions[Mi-temps],G$7)=0,"",COUNTIFS(JournalActions[Joueur],$B12,JournalActions[Action],$G$6,JournalActions[Mi-temps],G$7))</f>
        <v>2</v>
      </c>
      <c r="H12" s="94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 t="str">
        <v>BOUTELOUP Romain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>
        <f>IF(COUNTIFS(JournalActions[Joueur],$B13,JournalActions[Action],$C$6,JournalActions[Mi-temps],D$7)=0,"",COUNTIFS(JournalActions[Joueur],$B13,JournalActions[Action],$C$6,JournalActions[Mi-temps],D$7))</f>
        <v>3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 t="str">
        <v>DALLA ROSA Jonah</v>
      </c>
      <c r="C14" s="93">
        <f>IF(COUNTIFS(JournalActions[Joueur],$B14,JournalActions[Action],$C$6,JournalActions[Mi-temps],C$7)=0,"",COUNTIFS(JournalActions[Joueur],$B14,JournalActions[Action],$C$6,JournalActions[Mi-temps],C$7))</f>
        <v>3</v>
      </c>
      <c r="D14" s="94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 t="str">
        <v>DASTUGUE Thomas</v>
      </c>
      <c r="C15" s="93">
        <f>IF(COUNTIFS(JournalActions[Joueur],$B15,JournalActions[Action],$C$6,JournalActions[Mi-temps],C$7)=0,"",COUNTIFS(JournalActions[Joueur],$B15,JournalActions[Action],$C$6,JournalActions[Mi-temps],C$7))</f>
        <v>5</v>
      </c>
      <c r="D15" s="94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>
        <f>IF(COUNTIFS(JournalActions[Joueur],$B15,JournalActions[Action],$G$6,JournalActions[Mi-temps],G$7)=0,"",COUNTIFS(JournalActions[Joueur],$B15,JournalActions[Action],$G$6,JournalActions[Mi-temps],G$7))</f>
        <v>3</v>
      </c>
      <c r="H15" s="94">
        <f>IF(COUNTIFS(JournalActions[Joueur],$B15,JournalActions[Action],$G$6,JournalActions[Mi-temps],H$7)=0,"",COUNTIFS(JournalActions[Joueur],$B15,JournalActions[Action],$G$6,JournalActions[Mi-temps],H$7))</f>
        <v>1</v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 t="str">
        <v>FAULONG Marius</v>
      </c>
      <c r="C16" s="93">
        <f>IF(COUNTIFS(JournalActions[Joueur],$B16,JournalActions[Action],$C$6,JournalActions[Mi-temps],C$7)=0,"",COUNTIFS(JournalActions[Joueur],$B16,JournalActions[Action],$C$6,JournalActions[Mi-temps],C$7))</f>
        <v>5</v>
      </c>
      <c r="D16" s="94">
        <f>IF(COUNTIFS(JournalActions[Joueur],$B16,JournalActions[Action],$C$6,JournalActions[Mi-temps],D$7)=0,"",COUNTIFS(JournalActions[Joueur],$B16,JournalActions[Action],$C$6,JournalActions[Mi-temps],D$7))</f>
        <v>2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 t="str">
        <v>JOUNAUX Joris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 t="str">
        <v>KAPFER Bastien</v>
      </c>
      <c r="C18" s="93">
        <f>IF(COUNTIFS(JournalActions[Joueur],$B18,JournalActions[Action],$C$6,JournalActions[Mi-temps],C$7)=0,"",COUNTIFS(JournalActions[Joueur],$B18,JournalActions[Action],$C$6,JournalActions[Mi-temps],C$7))</f>
        <v>5</v>
      </c>
      <c r="D18" s="94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>
        <f>IF(COUNTIFS(JournalActions[Joueur],$B18,JournalActions[Action],$G$6,JournalActions[Mi-temps],G$7)=0,"",COUNTIFS(JournalActions[Joueur],$B18,JournalActions[Action],$G$6,JournalActions[Mi-temps],G$7))</f>
        <v>3</v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 t="str">
        <v>LAUDET Jean-Baptiste</v>
      </c>
      <c r="C19" s="93">
        <f>IF(COUNTIFS(JournalActions[Joueur],$B19,JournalActions[Action],$C$6,JournalActions[Mi-temps],C$7)=0,"",COUNTIFS(JournalActions[Joueur],$B19,JournalActions[Action],$C$6,JournalActions[Mi-temps],C$7))</f>
        <v>4</v>
      </c>
      <c r="D19" s="94">
        <f>IF(COUNTIFS(JournalActions[Joueur],$B19,JournalActions[Action],$C$6,JournalActions[Mi-temps],D$7)=0,"",COUNTIFS(JournalActions[Joueur],$B19,JournalActions[Action],$C$6,JournalActions[Mi-temps],D$7))</f>
        <v>4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>
        <f>IF(COUNTIFS(JournalActions[Joueur],$B19,JournalActions[Action],$E$6,JournalActions[Mi-temps],F$7)=0,"",COUNTIFS(JournalActions[Joueur],$B19,JournalActions[Action],$E$6,JournalActions[Mi-temps],F$7))</f>
        <v>1</v>
      </c>
      <c r="G19" s="93">
        <f>IF(COUNTIFS(JournalActions[Joueur],$B19,JournalActions[Action],$G$6,JournalActions[Mi-temps],G$7)=0,"",COUNTIFS(JournalActions[Joueur],$B19,JournalActions[Action],$G$6,JournalActions[Mi-temps],G$7))</f>
        <v>2</v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 t="str">
        <v>LOUREIRO LABAZUY Antonio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 t="str">
        <v>MICHELIN Paul</v>
      </c>
      <c r="C21" s="93">
        <f>IF(COUNTIFS(JournalActions[Joueur],$B21,JournalActions[Action],$C$6,JournalActions[Mi-temps],C$7)=0,"",COUNTIFS(JournalActions[Joueur],$B21,JournalActions[Action],$C$6,JournalActions[Mi-temps],C$7))</f>
        <v>3</v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>
        <f>IF(COUNTIFS(JournalActions[Joueur],$B21,JournalActions[Action],$G$6,JournalActions[Mi-temps],G$7)=0,"",COUNTIFS(JournalActions[Joueur],$B21,JournalActions[Action],$G$6,JournalActions[Mi-temps],G$7))</f>
        <v>2</v>
      </c>
      <c r="H21" s="94">
        <f>IF(COUNTIFS(JournalActions[Joueur],$B21,JournalActions[Action],$G$6,JournalActions[Mi-temps],H$7)=0,"",COUNTIFS(JournalActions[Joueur],$B21,JournalActions[Action],$G$6,JournalActions[Mi-temps],H$7))</f>
        <v>2</v>
      </c>
      <c r="I21">
        <f>IF(COUNTIFS(JournalActions[Joueur],$B21,JournalActions[Action],$I$6,JournalActions[Mi-temps],I$7)=0,"",COUNTIFS(JournalActions[Joueur],$B21,JournalActions[Action],$I$6,JournalActions[Mi-temps],I$7))</f>
        <v>1</v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>1</v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>1</v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 t="str">
        <v>MONLOR Yohan</v>
      </c>
      <c r="C22" s="93">
        <f>IF(COUNTIFS(JournalActions[Joueur],$B22,JournalActions[Action],$C$6,JournalActions[Mi-temps],C$7)=0,"",COUNTIFS(JournalActions[Joueur],$B22,JournalActions[Action],$C$6,JournalActions[Mi-temps],C$7))</f>
        <v>5</v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>
        <f>IF(COUNTIFS(JournalActions[Joueur],$B22,JournalActions[Action],$G$6,JournalActions[Mi-temps],H$7)=0,"",COUNTIFS(JournalActions[Joueur],$B22,JournalActions[Action],$G$6,JournalActions[Mi-temps],H$7))</f>
        <v>1</v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 t="str">
        <v>MOUDENS Alexis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>
        <f>IF(COUNTIFS(JournalActions[Joueur],$B23,JournalActions[Action],$C$6,JournalActions[Mi-temps],D$7)=0,"",COUNTIFS(JournalActions[Joueur],$B23,JournalActions[Action],$C$6,JournalActions[Mi-temps],D$7))</f>
        <v>2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>
        <f>IF(COUNTIFS(JournalActions[Joueur],$B23,JournalActions[Action],$G$6,JournalActions[Mi-temps],H$7)=0,"",COUNTIFS(JournalActions[Joueur],$B23,JournalActions[Action],$G$6,JournalActions[Mi-temps],H$7))</f>
        <v>2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 t="str">
        <v>MULLIER Martin</v>
      </c>
      <c r="C24" s="93">
        <f>IF(COUNTIFS(JournalActions[Joueur],$B24,JournalActions[Action],$C$6,JournalActions[Mi-temps],C$7)=0,"",COUNTIFS(JournalActions[Joueur],$B24,JournalActions[Action],$C$6,JournalActions[Mi-temps],C$7))</f>
        <v>4</v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>
        <f>IF(COUNTIFS(JournalActions[Joueur],$B24,JournalActions[Action],$G$6,JournalActions[Mi-temps],G$7)=0,"",COUNTIFS(JournalActions[Joueur],$B24,JournalActions[Action],$G$6,JournalActions[Mi-temps],G$7))</f>
        <v>3</v>
      </c>
      <c r="H24" s="94">
        <f>IF(COUNTIFS(JournalActions[Joueur],$B24,JournalActions[Action],$G$6,JournalActions[Mi-temps],H$7)=0,"",COUNTIFS(JournalActions[Joueur],$B24,JournalActions[Action],$G$6,JournalActions[Mi-temps],H$7))</f>
        <v>1</v>
      </c>
      <c r="I24">
        <f>IF(COUNTIFS(JournalActions[Joueur],$B24,JournalActions[Action],$I$6,JournalActions[Mi-temps],I$7)=0,"",COUNTIFS(JournalActions[Joueur],$B24,JournalActions[Action],$I$6,JournalActions[Mi-temps],I$7))</f>
        <v>1</v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 t="str">
        <v>PIQUEMIL Maxime</v>
      </c>
      <c r="C25" s="93">
        <f>IF(COUNTIFS(JournalActions[Joueur],$B25,JournalActions[Action],$C$6,JournalActions[Mi-temps],C$7)=0,"",COUNTIFS(JournalActions[Joueur],$B25,JournalActions[Action],$C$6,JournalActions[Mi-temps],C$7))</f>
        <v>1</v>
      </c>
      <c r="D25" s="9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>1</v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 t="str">
        <v>RICHIARDONNE Gregory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 t="str">
        <v>ROUSSEL Mathis</v>
      </c>
      <c r="C27" s="93">
        <f>IF(COUNTIFS(JournalActions[Joueur],$B27,JournalActions[Action],$C$6,JournalActions[Mi-temps],C$7)=0,"",COUNTIFS(JournalActions[Joueur],$B27,JournalActions[Action],$C$6,JournalActions[Mi-temps],C$7))</f>
        <v>1</v>
      </c>
      <c r="D27" s="94">
        <f>IF(COUNTIFS(JournalActions[Joueur],$B27,JournalActions[Action],$C$6,JournalActions[Mi-temps],D$7)=0,"",COUNTIFS(JournalActions[Joueur],$B27,JournalActions[Action],$C$6,JournalActions[Mi-temps],D$7))</f>
        <v>2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>
        <f>IF(COUNTIFS(JournalActions[Joueur],$B27,JournalActions[Action],$E$6,JournalActions[Mi-temps],F$7)=0,"",COUNTIFS(JournalActions[Joueur],$B27,JournalActions[Action],$E$6,JournalActions[Mi-temps],F$7))</f>
        <v>1</v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 t="str">
        <v>SALLES Dorian</v>
      </c>
      <c r="C28" s="93">
        <f>IF(COUNTIFS(JournalActions[Joueur],$B28,JournalActions[Action],$C$6,JournalActions[Mi-temps],C$7)=0,"",COUNTIFS(JournalActions[Joueur],$B28,JournalActions[Action],$C$6,JournalActions[Mi-temps],C$7))</f>
        <v>6</v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>
        <f>IF(COUNTIFS(JournalActions[Joueur],$B28,JournalActions[Action],$E$6,JournalActions[Mi-temps],E$7)=0,"",COUNTIFS(JournalActions[Joueur],$B28,JournalActions[Action],$E$6,JournalActions[Mi-temps],E$7))</f>
        <v>4</v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>
        <f>IF(COUNTIFS(JournalActions[Joueur],$B28,JournalActions[Action],$G$6,JournalActions[Mi-temps],G$7)=0,"",COUNTIFS(JournalActions[Joueur],$B28,JournalActions[Action],$G$6,JournalActions[Mi-temps],G$7))</f>
        <v>3</v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>
        <f>IF(COUNTIFS(JournalActions[Joueur],$B28,JournalActions[Action],$K$6,JournalActions[Mi-temps],K$7)=0,"",COUNTIFS(JournalActions[Joueur],$B28,JournalActions[Action],$K$6,JournalActions[Mi-temps],K$7))</f>
        <v>1</v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>1</v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 t="str">
        <v>SALLES Fabien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>
        <f>IF(COUNTIFS(JournalActions[Joueur],$B29,JournalActions[Action],$G$6,JournalActions[Mi-temps],G$7)=0,"",COUNTIFS(JournalActions[Joueur],$B29,JournalActions[Action],$G$6,JournalActions[Mi-temps],G$7))</f>
        <v>1</v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>
        <f>IF(COUNTIFS(JournalActions[Joueur],$B31,JournalActions[Action],$C$6,JournalActions[Mi-temps],C$7)=0,"",COUNTIFS(JournalActions[Joueur],$B31,JournalActions[Action],$C$6,JournalActions[Mi-temps],C$7))</f>
        <v>2</v>
      </c>
      <c r="D31" s="96">
        <f>IF(COUNTIFS(JournalActions[Joueur],$B31,JournalActions[Action],$C$6,JournalActions[Mi-temps],D$7)=0,"",COUNTIFS(JournalActions[Joueur],$B31,JournalActions[Action],$C$6,JournalActions[Mi-temps],D$7))</f>
        <v>6</v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>
        <f>IF(COUNTIFS(JournalActions[Joueur],$B31,JournalActions[Action],$G$6,JournalActions[Mi-temps],H$7)=0,"",COUNTIFS(JournalActions[Joueur],$B31,JournalActions[Action],$G$6,JournalActions[Mi-temps],H$7))</f>
        <v>1</v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>
        <f>IF(COUNTIFS(JournalActions[Joueur],$B31,JournalActions[Action],$M$6,JournalActions[Mi-temps],N$7)=0,"",COUNTIFS(JournalActions[Joueur],$B31,JournalActions[Action],$M$6,JournalActions[Mi-temps],N$7))</f>
        <v>1</v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2" customHeight="1">
      <c r="B32" s="127" t="s">
        <v>270</v>
      </c>
      <c r="C32" s="128">
        <f>SUM(C8:C31)</f>
        <v>62</v>
      </c>
      <c r="D32" s="129">
        <f t="shared" ref="D32:T32" si="0">SUM(D8:D31)</f>
        <v>37</v>
      </c>
      <c r="E32" s="128">
        <f t="shared" si="0"/>
        <v>4</v>
      </c>
      <c r="F32" s="129">
        <f t="shared" si="0"/>
        <v>2</v>
      </c>
      <c r="G32" s="128">
        <f t="shared" si="0"/>
        <v>22</v>
      </c>
      <c r="H32" s="129">
        <f t="shared" si="0"/>
        <v>12</v>
      </c>
      <c r="I32" s="128">
        <f t="shared" si="0"/>
        <v>2</v>
      </c>
      <c r="J32" s="129">
        <f t="shared" si="0"/>
        <v>0</v>
      </c>
      <c r="K32" s="128">
        <f t="shared" si="0"/>
        <v>1</v>
      </c>
      <c r="L32" s="129">
        <f t="shared" si="0"/>
        <v>0</v>
      </c>
      <c r="M32" s="128">
        <f t="shared" si="0"/>
        <v>0</v>
      </c>
      <c r="N32" s="129">
        <f t="shared" si="0"/>
        <v>1</v>
      </c>
      <c r="O32" s="192">
        <f t="shared" si="0"/>
        <v>0</v>
      </c>
      <c r="P32" s="192">
        <f t="shared" si="0"/>
        <v>1</v>
      </c>
      <c r="Q32" s="192">
        <f t="shared" si="0"/>
        <v>1</v>
      </c>
      <c r="R32" s="192">
        <f t="shared" si="0"/>
        <v>1</v>
      </c>
      <c r="S32" s="192">
        <f t="shared" si="0"/>
        <v>3</v>
      </c>
      <c r="T32" s="192">
        <f t="shared" si="0"/>
        <v>0</v>
      </c>
    </row>
    <row r="33" spans="2:20" s="106" customFormat="1" ht="25" customHeight="1">
      <c r="B33" s="130" t="s">
        <v>269</v>
      </c>
      <c r="C33" s="196">
        <f>C32+D32</f>
        <v>99</v>
      </c>
      <c r="D33" s="197"/>
      <c r="E33" s="198">
        <f t="shared" ref="E33" si="1">E32+F32</f>
        <v>6</v>
      </c>
      <c r="F33" s="198"/>
      <c r="G33" s="196">
        <f t="shared" ref="G33" si="2">G32+H32</f>
        <v>34</v>
      </c>
      <c r="H33" s="197"/>
      <c r="I33" s="196">
        <f>I32+J32</f>
        <v>2</v>
      </c>
      <c r="J33" s="197"/>
      <c r="K33" s="196">
        <f t="shared" ref="K33" si="3">K32+L32</f>
        <v>1</v>
      </c>
      <c r="L33" s="197"/>
      <c r="M33" s="198">
        <f t="shared" ref="M33" si="4">M32+N32</f>
        <v>1</v>
      </c>
      <c r="N33" s="197"/>
      <c r="O33" s="193"/>
      <c r="P33" s="193"/>
      <c r="Q33" s="193"/>
      <c r="R33" s="193"/>
      <c r="S33" s="193"/>
      <c r="T33" s="193"/>
    </row>
    <row r="34" spans="2:20" s="29" customFormat="1"/>
    <row r="35" spans="2:20" s="29" customFormat="1"/>
    <row r="36" spans="2:20" ht="14">
      <c r="B36" s="29"/>
      <c r="C36" s="131" t="s">
        <v>236</v>
      </c>
      <c r="D36" s="131" t="s">
        <v>314</v>
      </c>
      <c r="E36" s="132" t="s">
        <v>235</v>
      </c>
      <c r="F36" s="29"/>
      <c r="G36" s="186" t="s">
        <v>264</v>
      </c>
      <c r="H36" s="187"/>
      <c r="J36" s="186" t="s">
        <v>79</v>
      </c>
      <c r="K36" s="186" t="s">
        <v>238</v>
      </c>
      <c r="L36" s="188"/>
      <c r="M36" s="187"/>
      <c r="N36" s="187" t="s">
        <v>265</v>
      </c>
    </row>
    <row r="37" spans="2:20" ht="14">
      <c r="B37" s="29"/>
      <c r="C37" s="101" t="s">
        <v>233</v>
      </c>
      <c r="D37" s="101">
        <f>COUNTIFS(JournalActions[Action],ACT_TO_NS_G,JournalActions[Mi-temps],"MT1")</f>
        <v>3</v>
      </c>
      <c r="E37" s="102">
        <f>COUNTIFS(JournalActions[Action],ACT_TO_NS_P,JournalActions[Mi-temps],"MT1")
+COUNTIFS(JournalActions[Action],ACT_TO_NS_PAS_DROIT,JournalActions[Mi-temps],"MT1")</f>
        <v>2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13</v>
      </c>
      <c r="I37" s="29"/>
      <c r="J37" s="199"/>
      <c r="K37" s="146" t="s">
        <v>244</v>
      </c>
      <c r="L37" s="142" t="s">
        <v>263</v>
      </c>
      <c r="M37" s="147" t="s">
        <v>83</v>
      </c>
      <c r="N37" s="200"/>
    </row>
    <row r="38" spans="2:20">
      <c r="B38" s="29"/>
      <c r="C38" s="47" t="s">
        <v>266</v>
      </c>
      <c r="D38" s="47">
        <f>COUNTIFS(JournalActions[Action],ACT_TO_ADV_PERDUE,JournalActions[Mi-temps],"MT1")</f>
        <v>1</v>
      </c>
      <c r="E38" s="49">
        <f>COUNTIFS(JournalActions[Action],ACT_TO_ADV_VOLEE,JournalActions[Mi-temps],"MT1")
+COUNTIFS(JournalActions[Action],ACT_TO_ADV_PAS_DROIT,JournalActions[Mi-temps],"MT1")</f>
        <v>3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22</v>
      </c>
      <c r="I38" s="29"/>
      <c r="J38" s="98" t="s">
        <v>116</v>
      </c>
      <c r="K38" s="144">
        <f>COUNTIFS(JournalActions[Action],ACT_PEN_CONTRE_NOUS,JournalActions[Mi-temps],"MT1",JournalActions[Groupe fautif],"Avant*")</f>
        <v>2</v>
      </c>
      <c r="L38" s="94">
        <f>COUNTIFS(JournalActions[Action],ACT_PEN_CONTRE_NOUS,JournalActions[Mi-temps],"MT1",JournalActions[Groupe fautif],"Trois-quarts*")</f>
        <v>1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9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2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1</v>
      </c>
      <c r="N39" s="49">
        <f>COUNTIFS(JournalActions[Action],ACT_PEN_CONTRE_ADV,JournalActions[Mi-temps],"MT2")</f>
        <v>8</v>
      </c>
    </row>
    <row r="40" spans="2:20" ht="14">
      <c r="B40" s="29"/>
      <c r="C40" s="131" t="s">
        <v>237</v>
      </c>
      <c r="D40" s="131" t="s">
        <v>314</v>
      </c>
      <c r="E40" s="132" t="s">
        <v>235</v>
      </c>
      <c r="F40" s="29"/>
      <c r="G40" s="186" t="s">
        <v>240</v>
      </c>
      <c r="H40" s="187"/>
      <c r="I40" s="29"/>
      <c r="J40" s="29"/>
      <c r="K40" s="29"/>
      <c r="L40" s="29"/>
      <c r="M40" s="29"/>
      <c r="N40" s="29"/>
    </row>
    <row r="41" spans="2:20" ht="14">
      <c r="B41" s="29"/>
      <c r="C41" s="101" t="s">
        <v>233</v>
      </c>
      <c r="D41" s="101">
        <f>COUNTIFS(JournalActions[Action],ACT_TO_NS_G,JournalActions[Mi-temps],"MT2")</f>
        <v>5</v>
      </c>
      <c r="E41" s="102">
        <f>COUNTIFS(JournalActions[Action],ACT_TO_NS_P,JournalActions[Mi-temps],"MT2")
+COUNTIFS(JournalActions[Action],ACT_TO_NS_PAS_DROIT,JournalActions[Mi-temps],"MT2")</f>
        <v>1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20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2</v>
      </c>
      <c r="E42" s="49">
        <f>COUNTIFS(JournalActions[Action],ACT_TO_ADV_VOLEE,JournalActions[Mi-temps],"MT2")
+COUNTIFS(JournalActions[Action],ACT_TO_ADV_PAS_DROIT,JournalActions[Mi-temps],"MT2")</f>
        <v>4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32</v>
      </c>
      <c r="I42" s="29"/>
      <c r="J42" s="194" t="s">
        <v>31</v>
      </c>
      <c r="K42" s="195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203" t="s">
        <v>33</v>
      </c>
      <c r="K43" s="204"/>
      <c r="L43" s="50">
        <f>COUNTIFS(JournalActions[Action],ACT_PEN_CONTRE_NOUS,JournalActions[Motif penalite],ACT_PEN_RUCK)</f>
        <v>3</v>
      </c>
      <c r="M43" s="50">
        <f>COUNTIFS(JournalActions[Action],ACT_PEN_CONTRE_ADV,JournalActions[Motif penalite],ACT_PEN_RUCK)</f>
        <v>9</v>
      </c>
      <c r="N43" s="29"/>
    </row>
    <row r="44" spans="2:20" ht="14">
      <c r="B44" s="29"/>
      <c r="C44" s="131" t="s">
        <v>340</v>
      </c>
      <c r="D44" s="131" t="s">
        <v>314</v>
      </c>
      <c r="E44" s="132" t="s">
        <v>235</v>
      </c>
      <c r="F44" s="29"/>
      <c r="G44" s="186" t="s">
        <v>356</v>
      </c>
      <c r="H44" s="187"/>
      <c r="I44" s="29"/>
      <c r="J44" s="194" t="s">
        <v>35</v>
      </c>
      <c r="K44" s="195"/>
      <c r="L44" s="103">
        <f>COUNTIFS(JournalActions[Action],ACT_PEN_CONTRE_NOUS,JournalActions[Motif penalite],ACT_PEN_HORS_JEU)</f>
        <v>1</v>
      </c>
      <c r="M44" s="103">
        <f>COUNTIFS(JournalActions[Action],ACT_PEN_CONTRE_ADV,JournalActions[Motif penalite],ACT_PEN_HORS_JEU)</f>
        <v>2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1</v>
      </c>
      <c r="E45" s="102">
        <f>COUNTIFS(JournalActions[Action],ACT_ME_NS_P,JournalActions[Mi-temps],"MT1")</f>
        <v>0</v>
      </c>
      <c r="F45" s="29"/>
      <c r="G45" s="101" t="s">
        <v>116</v>
      </c>
      <c r="H45" s="153">
        <v>1.167147216435184E-2</v>
      </c>
      <c r="I45" s="29"/>
      <c r="J45" s="203" t="s">
        <v>37</v>
      </c>
      <c r="K45" s="204"/>
      <c r="L45" s="50">
        <f>COUNTIFS(JournalActions[Action],ACT_PEN_CONTRE_NOUS,JournalActions[Motif penalite],ACT_PEN_PL_A_2)</f>
        <v>1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3</v>
      </c>
      <c r="E46" s="49">
        <f>COUNTIFS(JournalActions[Action],ACT_ME_ADV_G,JournalActions[Mi-temps],"MT1")</f>
        <v>1</v>
      </c>
      <c r="F46" s="29"/>
      <c r="G46" s="47" t="s">
        <v>113</v>
      </c>
      <c r="H46" s="154">
        <v>1.1022611331018478E-2</v>
      </c>
      <c r="I46" s="29"/>
      <c r="J46" s="194" t="s">
        <v>39</v>
      </c>
      <c r="K46" s="195"/>
      <c r="L46" s="103">
        <f>COUNTIFS(JournalActions[Action],ACT_PEN_CONTRE_NOUS,JournalActions[Motif penalite],ACT_PEN_PL_HAUT)</f>
        <v>1</v>
      </c>
      <c r="M46" s="103">
        <f>COUNTIFS(JournalActions[Action],ACT_PEN_CONTRE_ADV,JournalActions[Motif penalite],ACT_PEN_PL_HAUT)</f>
        <v>3</v>
      </c>
      <c r="N46" s="29"/>
    </row>
    <row r="47" spans="2:20">
      <c r="B47" s="29"/>
      <c r="C47" s="29"/>
      <c r="D47" s="29"/>
      <c r="E47" s="29"/>
      <c r="F47" s="29"/>
      <c r="G47" s="155" t="s">
        <v>357</v>
      </c>
      <c r="H47" s="156">
        <v>2.2694083495370318E-2</v>
      </c>
      <c r="I47" s="29"/>
      <c r="J47" s="203" t="s">
        <v>260</v>
      </c>
      <c r="K47" s="204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3</v>
      </c>
      <c r="N47" s="29"/>
    </row>
    <row r="48" spans="2:20" ht="14">
      <c r="B48" s="29"/>
      <c r="C48" s="131" t="s">
        <v>341</v>
      </c>
      <c r="D48" s="131" t="s">
        <v>314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5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6</v>
      </c>
      <c r="E50" s="49">
        <f>COUNTIFS(JournalActions[Action],ACT_ME_ADV_G,JournalActions[Mi-temps],"MT2")</f>
        <v>2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205" t="s">
        <v>342</v>
      </c>
      <c r="C56" s="206"/>
      <c r="D56" s="206"/>
      <c r="E56" s="206"/>
      <c r="F56" s="206"/>
      <c r="G56" s="206"/>
      <c r="H56" s="206"/>
      <c r="I56" s="206"/>
      <c r="J56" s="206"/>
      <c r="K56" s="207"/>
    </row>
    <row r="57" spans="2:14" s="29" customFormat="1">
      <c r="B57" s="208"/>
      <c r="C57" s="209"/>
      <c r="D57" s="209"/>
      <c r="E57" s="209"/>
      <c r="F57" s="209"/>
      <c r="G57" s="209"/>
      <c r="H57" s="209"/>
      <c r="I57" s="209"/>
      <c r="J57" s="209"/>
      <c r="K57" s="210"/>
    </row>
    <row r="58" spans="2:14" s="29" customFormat="1" ht="14" thickBot="1">
      <c r="B58" s="211"/>
      <c r="C58" s="212"/>
      <c r="D58" s="212"/>
      <c r="E58" s="212"/>
      <c r="F58" s="212"/>
      <c r="G58" s="212"/>
      <c r="H58" s="212"/>
      <c r="I58" s="212"/>
      <c r="J58" s="212"/>
      <c r="K58" s="213"/>
    </row>
    <row r="59" spans="2:14" s="29" customFormat="1"/>
    <row r="60" spans="2:14" s="29" customFormat="1" ht="14">
      <c r="B60" s="184" t="s">
        <v>64</v>
      </c>
      <c r="C60" s="186" t="str">
        <f>ACT_TO_NS_G</f>
        <v>Touche à nous conservée</v>
      </c>
      <c r="D60" s="187"/>
      <c r="E60" s="186" t="str">
        <f>ACT_TO_ADV_VOLEE</f>
        <v>Touche à eux volée</v>
      </c>
      <c r="F60" s="187"/>
      <c r="H60" s="214" t="str">
        <f>ACT_TO_NS_P</f>
        <v>Touche à nous perdue</v>
      </c>
      <c r="I60" s="215"/>
      <c r="J60" s="214" t="str">
        <f>ACT_TO_NS_PAS_DROIT</f>
        <v>Touche à nous pas droite</v>
      </c>
      <c r="K60" s="215"/>
    </row>
    <row r="61" spans="2:14" s="29" customFormat="1" ht="14">
      <c r="B61" s="185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str" cm="1">
        <f t="array" ref="B62:B83">_xlfn._xlws.SORT(_xlfn._xlws.FILTER(COMPO[Nom du joueur],(COMPO[Nom du joueur]&lt;&gt;"")*(COMPO[Nom du joueur]&lt;&gt;"Collectif")*(COMPO[Nom du joueur]&lt;&gt;"?")))</f>
        <v>ABADIE  Emeric</v>
      </c>
      <c r="C62" s="93">
        <f>IF(COUNTIFS(JournalActions[Joueur],$B62,JournalActions[Action],$C$60,JournalActions[Mi-temps],C$61)=0,"",COUNTIFS(JournalActions[Joueur],$B62,JournalActions[Action],$C$60,JournalActions[Mi-temps],C$61))</f>
        <v>1</v>
      </c>
      <c r="D62" s="94">
        <f>IF(COUNTIFS(JournalActions[Joueur],$B62,JournalActions[Action],$C$60,JournalActions[Mi-temps],D$61)=0,"",COUNTIFS(JournalActions[Joueur],$B62,JournalActions[Action],$C$60,JournalActions[Mi-temps],D$61))</f>
        <v>1</v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>
        <f>IF(COUNTIFS(JournalActions[Joueur],$B62,JournalActions[Action],$H$60,JournalActions[Mi-temps],I$61)=0,"",COUNTIFS(JournalActions[Joueur],$B62,JournalActions[Action],$H$60,JournalActions[Mi-temps],I$61))</f>
        <v>1</v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 t="str">
        <v>BAQUE Lucas</v>
      </c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 t="str">
        <v>BARATGIN Julian</v>
      </c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>
        <f>IF(COUNTIFS(JournalActions[Joueur],$B64,JournalActions[Action],$E$60,JournalActions[Mi-temps],E$61)=0,"",COUNTIFS(JournalActions[Joueur],$B64,JournalActions[Action],$E$60,JournalActions[Mi-temps],E$61))</f>
        <v>1</v>
      </c>
      <c r="F64" s="94">
        <f>IF(COUNTIFS(JournalActions[Joueur],$B64,JournalActions[Action],$E$60,JournalActions[Mi-temps],F$61)=0,"",COUNTIFS(JournalActions[Joueur],$B64,JournalActions[Action],$E$60,JournalActions[Mi-temps],F$61))</f>
        <v>1</v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 t="str">
        <v>BAUP Bastien</v>
      </c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 t="str">
        <v>BOURREC Anthony</v>
      </c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 t="str">
        <v>BOUTELOUP Romain</v>
      </c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 t="str">
        <v>DALLA ROSA Jonah</v>
      </c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 t="str">
        <v>DASTUGUE Thomas</v>
      </c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>
        <f>IF(COUNTIFS(JournalActions[Joueur],$B69,JournalActions[Action],$J$60,JournalActions[Mi-temps],J$61)=0,"",COUNTIFS(JournalActions[Joueur],$B69,JournalActions[Action],$J$60,JournalActions[Mi-temps],J$61))</f>
        <v>1</v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 t="str">
        <v>FAULONG Marius</v>
      </c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 t="str">
        <v>JOUNAUX Joris</v>
      </c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 t="str">
        <v>KAPFER Bastien</v>
      </c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 t="str">
        <v>LAUDET Jean-Baptiste</v>
      </c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 t="str">
        <v>LOUREIRO LABAZUY Antonio</v>
      </c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 t="str">
        <v>MICHELIN Paul</v>
      </c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 t="str">
        <v>MONLOR Yohan</v>
      </c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 t="str">
        <v>MOUDENS Alexis</v>
      </c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 t="str">
        <v>MULLIER Martin</v>
      </c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 t="str">
        <v>PIQUEMIL Maxime</v>
      </c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 t="str">
        <v>RICHIARDONNE Gregory</v>
      </c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 t="str">
        <v>ROUSSEL Mathis</v>
      </c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>
        <f>IF(COUNTIFS(JournalActions[Joueur],$B81,JournalActions[Action],$E$60,JournalActions[Mi-temps],F$61)=0,"",COUNTIFS(JournalActions[Joueur],$B81,JournalActions[Action],$E$60,JournalActions[Mi-temps],F$61))</f>
        <v>1</v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 t="str">
        <v>SALLES Dorian</v>
      </c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>
        <f>IF(COUNTIFS(JournalActions[Joueur],$B82,JournalActions[Action],$E$60,JournalActions[Mi-temps],E$61)=0,"",COUNTIFS(JournalActions[Joueur],$B82,JournalActions[Action],$E$60,JournalActions[Mi-temps],E$61))</f>
        <v>1</v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>
        <f>IF(COUNTIFS(JournalActions[Joueur],$B82,JournalActions[Action],$H$60,JournalActions[Mi-temps],H$61)=0,"",COUNTIFS(JournalActions[Joueur],$B82,JournalActions[Action],$H$60,JournalActions[Mi-temps],H$61))</f>
        <v>1</v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 t="str">
        <v>SALLES Fabien</v>
      </c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>
        <f>IF(COUNTIFS(JournalActions[Joueur],$B85,JournalActions[Action],$C$60,JournalActions[Mi-temps],C$61)=0,"",COUNTIFS(JournalActions[Joueur],$B85,JournalActions[Action],$C$60,JournalActions[Mi-temps],C$61))</f>
        <v>2</v>
      </c>
      <c r="D85" s="94">
        <f>IF(COUNTIFS(JournalActions[Joueur],$B85,JournalActions[Action],$C$60,JournalActions[Mi-temps],D$61)=0,"",COUNTIFS(JournalActions[Joueur],$B85,JournalActions[Action],$C$60,JournalActions[Mi-temps],D$61))</f>
        <v>4</v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>
        <f>IF(COUNTIFS(JournalActions[Joueur],$B85,JournalActions[Action],$E$60,JournalActions[Mi-temps],F$61)=0,"",COUNTIFS(JournalActions[Joueur],$B85,JournalActions[Action],$E$60,JournalActions[Mi-temps],F$61))</f>
        <v>1</v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7" t="s">
        <v>270</v>
      </c>
      <c r="C86" s="128">
        <f>SUM(C62:C85)</f>
        <v>3</v>
      </c>
      <c r="D86" s="129">
        <f t="shared" ref="D86" si="5">SUM(D62:D85)</f>
        <v>5</v>
      </c>
      <c r="E86" s="128">
        <f>SUM(E62:E85)</f>
        <v>2</v>
      </c>
      <c r="F86" s="129">
        <f t="shared" ref="F86" si="6">SUM(F62:F85)</f>
        <v>3</v>
      </c>
      <c r="H86" s="150">
        <f>SUM(H62:H85)</f>
        <v>1</v>
      </c>
      <c r="I86" s="151">
        <f>SUM(I62:I85)</f>
        <v>1</v>
      </c>
      <c r="J86" s="150">
        <f>SUM(J62:J85)</f>
        <v>1</v>
      </c>
      <c r="K86" s="151">
        <f t="shared" ref="K86" si="7">SUM(K62:K85)</f>
        <v>0</v>
      </c>
    </row>
    <row r="87" spans="2:11" s="29" customFormat="1" ht="16">
      <c r="B87" s="130" t="s">
        <v>269</v>
      </c>
      <c r="C87" s="196">
        <f>C86+D86</f>
        <v>8</v>
      </c>
      <c r="D87" s="197"/>
      <c r="E87" s="196">
        <f>E86+F86</f>
        <v>5</v>
      </c>
      <c r="F87" s="197"/>
      <c r="H87" s="201">
        <f>H86+I86</f>
        <v>2</v>
      </c>
      <c r="I87" s="202"/>
      <c r="J87" s="201">
        <f>J86+K86</f>
        <v>1</v>
      </c>
      <c r="K87" s="202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321</v>
      </c>
      <c r="C25" t="s">
        <v>322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323</v>
      </c>
      <c r="C26" t="s">
        <v>322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>
      <selection activeCell="A10" sqref="A10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281</v>
      </c>
      <c r="C1" s="53" t="s">
        <v>289</v>
      </c>
      <c r="D1" s="53"/>
      <c r="F1" s="60" t="s">
        <v>201</v>
      </c>
      <c r="G1" s="61" t="s">
        <v>202</v>
      </c>
      <c r="I1" s="83" t="s">
        <v>207</v>
      </c>
      <c r="K1" s="152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302</v>
      </c>
      <c r="C2" s="57" t="s">
        <v>271</v>
      </c>
      <c r="D2" s="57"/>
      <c r="F2" s="55" t="s">
        <v>191</v>
      </c>
      <c r="G2" s="39"/>
      <c r="I2" s="56" t="s">
        <v>117</v>
      </c>
      <c r="K2" s="159" t="s">
        <v>359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282</v>
      </c>
      <c r="C3" s="57" t="s">
        <v>280</v>
      </c>
      <c r="D3" s="57"/>
      <c r="F3" s="58" t="s">
        <v>192</v>
      </c>
      <c r="G3" s="32"/>
      <c r="I3" s="84" t="s">
        <v>204</v>
      </c>
      <c r="K3" s="159" t="s">
        <v>361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283</v>
      </c>
      <c r="C4" s="57" t="s">
        <v>290</v>
      </c>
      <c r="D4" s="57"/>
      <c r="F4" s="55" t="s">
        <v>193</v>
      </c>
      <c r="G4" s="33"/>
      <c r="K4" s="159" t="s">
        <v>363</v>
      </c>
      <c r="Q4" s="56" t="s">
        <v>171</v>
      </c>
      <c r="R4" s="56" t="s">
        <v>59</v>
      </c>
    </row>
    <row r="5" spans="1:18" ht="30" customHeight="1">
      <c r="A5" t="s">
        <v>284</v>
      </c>
      <c r="C5" s="57"/>
      <c r="D5" s="57"/>
      <c r="F5" s="58" t="s">
        <v>194</v>
      </c>
      <c r="G5" s="34"/>
      <c r="I5" s="83" t="s">
        <v>206</v>
      </c>
      <c r="K5" s="159" t="s">
        <v>365</v>
      </c>
      <c r="Q5" s="59" t="s">
        <v>172</v>
      </c>
      <c r="R5" s="59" t="s">
        <v>173</v>
      </c>
    </row>
    <row r="6" spans="1:18" ht="30" customHeight="1">
      <c r="A6" t="s">
        <v>285</v>
      </c>
      <c r="C6" s="57" t="s">
        <v>291</v>
      </c>
      <c r="D6" s="57"/>
      <c r="F6" s="55" t="s">
        <v>196</v>
      </c>
      <c r="G6" s="35"/>
      <c r="I6" s="56" t="s">
        <v>116</v>
      </c>
      <c r="K6" s="159" t="s">
        <v>367</v>
      </c>
      <c r="Q6" s="56" t="s">
        <v>174</v>
      </c>
      <c r="R6" s="56" t="s">
        <v>175</v>
      </c>
    </row>
    <row r="7" spans="1:18" ht="30" customHeight="1">
      <c r="A7" t="s">
        <v>286</v>
      </c>
      <c r="C7" s="57" t="s">
        <v>272</v>
      </c>
      <c r="D7" s="57"/>
      <c r="F7" s="58" t="s">
        <v>195</v>
      </c>
      <c r="G7" s="52"/>
      <c r="I7" s="84" t="s">
        <v>113</v>
      </c>
      <c r="K7" s="159" t="s">
        <v>369</v>
      </c>
      <c r="Q7" s="59" t="s">
        <v>176</v>
      </c>
      <c r="R7" s="59" t="s">
        <v>130</v>
      </c>
    </row>
    <row r="8" spans="1:18" ht="30" customHeight="1">
      <c r="A8" s="53" t="s">
        <v>287</v>
      </c>
      <c r="C8" s="57" t="s">
        <v>292</v>
      </c>
      <c r="D8" s="57"/>
      <c r="F8" s="55" t="s">
        <v>197</v>
      </c>
      <c r="G8" s="27"/>
      <c r="K8" s="159" t="s">
        <v>371</v>
      </c>
      <c r="Q8" s="56" t="s">
        <v>177</v>
      </c>
      <c r="R8" s="56" t="s">
        <v>128</v>
      </c>
    </row>
    <row r="9" spans="1:18" s="53" customFormat="1" ht="30" customHeight="1">
      <c r="A9" t="s">
        <v>288</v>
      </c>
      <c r="C9" s="57" t="s">
        <v>293</v>
      </c>
      <c r="D9" s="57"/>
      <c r="F9" s="58" t="s">
        <v>198</v>
      </c>
      <c r="G9" s="36"/>
      <c r="K9" s="159" t="s">
        <v>373</v>
      </c>
      <c r="Q9" s="59" t="s">
        <v>178</v>
      </c>
      <c r="R9" s="59" t="s">
        <v>131</v>
      </c>
    </row>
    <row r="10" spans="1:18" ht="30" customHeight="1">
      <c r="A10" t="s">
        <v>404</v>
      </c>
      <c r="C10" s="57"/>
      <c r="D10" s="57"/>
      <c r="F10" s="55" t="s">
        <v>199</v>
      </c>
      <c r="G10" s="37"/>
      <c r="I10" s="120" t="s">
        <v>317</v>
      </c>
      <c r="K10" s="159" t="s">
        <v>375</v>
      </c>
      <c r="Q10" s="56" t="s">
        <v>179</v>
      </c>
      <c r="R10" s="56" t="s">
        <v>129</v>
      </c>
    </row>
    <row r="11" spans="1:18" s="53" customFormat="1" ht="30" customHeight="1">
      <c r="C11" s="57" t="s">
        <v>294</v>
      </c>
      <c r="D11" s="57"/>
      <c r="F11" s="58"/>
      <c r="K11" s="159" t="s">
        <v>377</v>
      </c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K12" s="159" t="s">
        <v>379</v>
      </c>
      <c r="Q12" s="59" t="s">
        <v>327</v>
      </c>
      <c r="R12" s="59" t="s">
        <v>328</v>
      </c>
    </row>
    <row r="13" spans="1:18" s="53" customFormat="1" ht="30" customHeight="1">
      <c r="C13" s="57" t="s">
        <v>295</v>
      </c>
      <c r="D13" s="57"/>
      <c r="K13" s="159" t="s">
        <v>381</v>
      </c>
      <c r="Q13" s="58" t="s">
        <v>268</v>
      </c>
      <c r="R13" s="140" t="s">
        <v>253</v>
      </c>
    </row>
    <row r="14" spans="1:18" ht="30" customHeight="1">
      <c r="C14" s="57" t="s">
        <v>296</v>
      </c>
      <c r="D14" s="57"/>
      <c r="I14" s="54" t="s">
        <v>214</v>
      </c>
      <c r="K14" s="159" t="s">
        <v>383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 s="159" t="s">
        <v>385</v>
      </c>
      <c r="Q15" s="58" t="s">
        <v>181</v>
      </c>
      <c r="R15" s="140" t="s">
        <v>122</v>
      </c>
    </row>
    <row r="16" spans="1:18" ht="30" customHeight="1">
      <c r="C16" s="57" t="s">
        <v>305</v>
      </c>
      <c r="D16" s="57"/>
      <c r="I16" s="53" t="s">
        <v>211</v>
      </c>
      <c r="K16" s="159" t="s">
        <v>387</v>
      </c>
      <c r="Q16" s="58" t="s">
        <v>182</v>
      </c>
      <c r="R16" s="140" t="s">
        <v>133</v>
      </c>
    </row>
    <row r="17" spans="3:18" s="53" customFormat="1" ht="30" customHeight="1">
      <c r="C17" s="57" t="s">
        <v>306</v>
      </c>
      <c r="D17" s="57"/>
      <c r="I17" s="53" t="s">
        <v>212</v>
      </c>
      <c r="K17" s="159" t="s">
        <v>389</v>
      </c>
      <c r="Q17" s="58" t="s">
        <v>183</v>
      </c>
      <c r="R17" s="140" t="s">
        <v>134</v>
      </c>
    </row>
    <row r="18" spans="3:18" ht="30" customHeight="1">
      <c r="C18" s="57" t="s">
        <v>307</v>
      </c>
      <c r="D18" s="57"/>
      <c r="I18" s="53" t="s">
        <v>213</v>
      </c>
      <c r="K18" s="159" t="s">
        <v>391</v>
      </c>
      <c r="Q18" s="58" t="s">
        <v>184</v>
      </c>
      <c r="R18" s="140" t="s">
        <v>135</v>
      </c>
    </row>
    <row r="19" spans="3:18" ht="30" customHeight="1">
      <c r="C19" s="57" t="s">
        <v>308</v>
      </c>
      <c r="D19" s="57"/>
      <c r="I19" s="53" t="s">
        <v>319</v>
      </c>
      <c r="K19" s="159" t="s">
        <v>393</v>
      </c>
      <c r="Q19" s="58" t="s">
        <v>185</v>
      </c>
      <c r="R19" s="140" t="s">
        <v>126</v>
      </c>
    </row>
    <row r="20" spans="3:18" ht="30" customHeight="1">
      <c r="C20" s="57" t="s">
        <v>309</v>
      </c>
      <c r="D20" s="57"/>
      <c r="I20" s="53" t="s">
        <v>320</v>
      </c>
      <c r="K20" s="159" t="s">
        <v>395</v>
      </c>
      <c r="Q20" s="58" t="s">
        <v>186</v>
      </c>
      <c r="R20" s="140" t="s">
        <v>123</v>
      </c>
    </row>
    <row r="21" spans="3:18" ht="30" customHeight="1">
      <c r="C21" s="57"/>
      <c r="D21" s="57"/>
      <c r="K21" s="159" t="s">
        <v>397</v>
      </c>
      <c r="Q21" s="58" t="s">
        <v>187</v>
      </c>
      <c r="R21" s="140" t="s">
        <v>124</v>
      </c>
    </row>
    <row r="22" spans="3:18" ht="30" customHeight="1">
      <c r="C22" s="57"/>
      <c r="D22" s="57"/>
      <c r="K22" s="159" t="s">
        <v>399</v>
      </c>
      <c r="Q22" s="58" t="s">
        <v>188</v>
      </c>
      <c r="R22" s="140" t="s">
        <v>119</v>
      </c>
    </row>
    <row r="23" spans="3:18" ht="30" customHeight="1">
      <c r="C23" s="57"/>
      <c r="D23" s="57"/>
      <c r="K23" s="159" t="s">
        <v>401</v>
      </c>
      <c r="Q23" s="58" t="s">
        <v>189</v>
      </c>
      <c r="R23" s="140" t="s">
        <v>120</v>
      </c>
    </row>
    <row r="24" spans="3:18" ht="30" customHeight="1">
      <c r="C24" s="57"/>
      <c r="D24" s="57"/>
      <c r="K24" s="159" t="s">
        <v>93</v>
      </c>
      <c r="Q24" s="58" t="s">
        <v>190</v>
      </c>
      <c r="R24" s="140" t="s">
        <v>88</v>
      </c>
    </row>
    <row r="25" spans="3:18" ht="30" customHeight="1">
      <c r="K25" s="159" t="s">
        <v>83</v>
      </c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325</v>
      </c>
      <c r="R37" s="84" t="s">
        <v>326</v>
      </c>
    </row>
    <row r="38" spans="17:18" ht="30" customHeight="1">
      <c r="Q38" s="56" t="s">
        <v>331</v>
      </c>
      <c r="R38" s="56" t="s">
        <v>332</v>
      </c>
    </row>
    <row r="39" spans="17:18" ht="30" customHeight="1">
      <c r="Q39" s="56" t="s">
        <v>333</v>
      </c>
      <c r="R39" s="56" t="s">
        <v>334</v>
      </c>
    </row>
    <row r="40" spans="17:18" ht="30" customHeight="1">
      <c r="Q40" s="56" t="s">
        <v>335</v>
      </c>
      <c r="R40" s="56" t="s">
        <v>336</v>
      </c>
    </row>
    <row r="41" spans="17:18" ht="30" customHeight="1">
      <c r="Q41" s="141" t="s">
        <v>337</v>
      </c>
      <c r="R41" s="141" t="s">
        <v>338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  <sheetView workbookViewId="1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2026-08-14T14:40:05Z</dcterms:modified>
</cp:coreProperties>
</file>