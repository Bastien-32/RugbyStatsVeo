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CDEDFA39-5886-384C-A230-32F69E632092}" xr6:coauthVersionLast="47" xr6:coauthVersionMax="47" xr10:uidLastSave="{00000000-0000-0000-0000-000000000000}"/>
  <bookViews>
    <workbookView xWindow="240" yWindow="14680" windowWidth="27640" windowHeight="7660" activeTab="3" xr2:uid="{256969C1-17EE-3441-BE79-72BA03BB8784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" i="12" l="1"/>
  <c r="S6" i="12" l="1"/>
  <c r="T31" i="12" s="1"/>
  <c r="Q6" i="12"/>
  <c r="Q31" i="12" s="1"/>
  <c r="O6" i="12"/>
  <c r="H42" i="12"/>
  <c r="H41" i="12"/>
  <c r="H38" i="12"/>
  <c r="H37" i="12"/>
  <c r="C1" i="2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2" i="3"/>
  <c r="F3" i="3"/>
  <c r="F4" i="3"/>
  <c r="E4" i="3"/>
  <c r="E3" i="3"/>
  <c r="E2" i="3"/>
  <c r="Q30" i="12" l="1"/>
  <c r="R31" i="12"/>
  <c r="R30" i="12"/>
  <c r="S30" i="12"/>
  <c r="T30" i="12"/>
  <c r="S31" i="12"/>
  <c r="P31" i="12"/>
  <c r="P30" i="12"/>
  <c r="O31" i="12"/>
  <c r="O30" i="12"/>
  <c r="B3" i="12"/>
  <c r="B66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4" i="12"/>
  <c r="H64" i="12"/>
  <c r="E64" i="12"/>
  <c r="C64" i="12"/>
  <c r="D88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Q29" i="12" l="1"/>
  <c r="R29" i="12"/>
  <c r="T29" i="12"/>
  <c r="S29" i="12"/>
  <c r="O29" i="12"/>
  <c r="P29" i="12"/>
  <c r="T28" i="12"/>
  <c r="R28" i="12"/>
  <c r="Q28" i="12"/>
  <c r="S28" i="12"/>
  <c r="O28" i="12"/>
  <c r="P28" i="12"/>
  <c r="R27" i="12"/>
  <c r="S27" i="12"/>
  <c r="Q27" i="12"/>
  <c r="T27" i="12"/>
  <c r="O27" i="12"/>
  <c r="P27" i="12"/>
  <c r="R26" i="12"/>
  <c r="T26" i="12"/>
  <c r="Q26" i="12"/>
  <c r="S26" i="12"/>
  <c r="P26" i="12"/>
  <c r="O26" i="12"/>
  <c r="T25" i="12"/>
  <c r="S25" i="12"/>
  <c r="R25" i="12"/>
  <c r="Q25" i="12"/>
  <c r="O25" i="12"/>
  <c r="P25" i="12"/>
  <c r="R24" i="12"/>
  <c r="T24" i="12"/>
  <c r="S24" i="12"/>
  <c r="Q24" i="12"/>
  <c r="P24" i="12"/>
  <c r="O24" i="12"/>
  <c r="T23" i="12"/>
  <c r="S23" i="12"/>
  <c r="Q23" i="12"/>
  <c r="R23" i="12"/>
  <c r="P23" i="12"/>
  <c r="O23" i="12"/>
  <c r="T22" i="12"/>
  <c r="Q22" i="12"/>
  <c r="R22" i="12"/>
  <c r="S22" i="12"/>
  <c r="O22" i="12"/>
  <c r="P22" i="12"/>
  <c r="R21" i="12"/>
  <c r="Q21" i="12"/>
  <c r="T21" i="12"/>
  <c r="S21" i="12"/>
  <c r="O21" i="12"/>
  <c r="P21" i="12"/>
  <c r="R20" i="12"/>
  <c r="S20" i="12"/>
  <c r="T20" i="12"/>
  <c r="Q20" i="12"/>
  <c r="P20" i="12"/>
  <c r="O20" i="12"/>
  <c r="T19" i="12"/>
  <c r="S19" i="12"/>
  <c r="R19" i="12"/>
  <c r="Q19" i="12"/>
  <c r="P19" i="12"/>
  <c r="O19" i="12"/>
  <c r="T18" i="12"/>
  <c r="S18" i="12"/>
  <c r="R18" i="12"/>
  <c r="Q18" i="12"/>
  <c r="P18" i="12"/>
  <c r="O18" i="12"/>
  <c r="S17" i="12"/>
  <c r="Q17" i="12"/>
  <c r="R17" i="12"/>
  <c r="T17" i="12"/>
  <c r="P17" i="12"/>
  <c r="O17" i="12"/>
  <c r="S16" i="12"/>
  <c r="T16" i="12"/>
  <c r="R16" i="12"/>
  <c r="Q16" i="12"/>
  <c r="O16" i="12"/>
  <c r="P16" i="12"/>
  <c r="T15" i="12"/>
  <c r="S15" i="12"/>
  <c r="R15" i="12"/>
  <c r="Q15" i="12"/>
  <c r="P15" i="12"/>
  <c r="O15" i="12"/>
  <c r="S14" i="12"/>
  <c r="R14" i="12"/>
  <c r="Q14" i="12"/>
  <c r="T14" i="12"/>
  <c r="O14" i="12"/>
  <c r="P14" i="12"/>
  <c r="T13" i="12"/>
  <c r="S13" i="12"/>
  <c r="R13" i="12"/>
  <c r="Q13" i="12"/>
  <c r="O13" i="12"/>
  <c r="P13" i="12"/>
  <c r="Q12" i="12"/>
  <c r="R12" i="12"/>
  <c r="T12" i="12"/>
  <c r="S12" i="12"/>
  <c r="P12" i="12"/>
  <c r="O12" i="12"/>
  <c r="S11" i="12"/>
  <c r="T11" i="12"/>
  <c r="Q11" i="12"/>
  <c r="R11" i="12"/>
  <c r="O11" i="12"/>
  <c r="P11" i="12"/>
  <c r="T10" i="12"/>
  <c r="R10" i="12"/>
  <c r="Q10" i="12"/>
  <c r="S10" i="12"/>
  <c r="O10" i="12"/>
  <c r="P10" i="12"/>
  <c r="R9" i="12"/>
  <c r="T9" i="12"/>
  <c r="Q9" i="12"/>
  <c r="S9" i="12"/>
  <c r="O9" i="12"/>
  <c r="P9" i="12"/>
  <c r="H84" i="12"/>
  <c r="G22" i="12"/>
  <c r="U31" i="12"/>
  <c r="M31" i="12"/>
  <c r="H72" i="12"/>
  <c r="D80" i="12"/>
  <c r="C87" i="12"/>
  <c r="E31" i="12"/>
  <c r="I72" i="12"/>
  <c r="C81" i="12"/>
  <c r="D87" i="12"/>
  <c r="F31" i="12"/>
  <c r="H73" i="12"/>
  <c r="D81" i="12"/>
  <c r="C89" i="12"/>
  <c r="H67" i="12"/>
  <c r="C74" i="12"/>
  <c r="H81" i="12"/>
  <c r="D89" i="12"/>
  <c r="N31" i="12"/>
  <c r="C68" i="12"/>
  <c r="D74" i="12"/>
  <c r="I81" i="12"/>
  <c r="D68" i="12"/>
  <c r="C75" i="12"/>
  <c r="H82" i="12"/>
  <c r="C69" i="12"/>
  <c r="D75" i="12"/>
  <c r="C83" i="12"/>
  <c r="D69" i="12"/>
  <c r="C77" i="12"/>
  <c r="D83" i="12"/>
  <c r="M30" i="12"/>
  <c r="C71" i="12"/>
  <c r="D77" i="12"/>
  <c r="C84" i="12"/>
  <c r="D71" i="12"/>
  <c r="C78" i="12"/>
  <c r="D84" i="12"/>
  <c r="C72" i="12"/>
  <c r="D78" i="12"/>
  <c r="C86" i="12"/>
  <c r="D72" i="12"/>
  <c r="C80" i="12"/>
  <c r="D86" i="12"/>
  <c r="H76" i="12"/>
  <c r="H85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7" i="12"/>
  <c r="I76" i="12"/>
  <c r="I85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8" i="12"/>
  <c r="H87" i="12"/>
  <c r="K86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9" i="12"/>
  <c r="I78" i="12"/>
  <c r="I87" i="12"/>
  <c r="U13" i="12"/>
  <c r="G28" i="12"/>
  <c r="H12" i="12"/>
  <c r="I82" i="12"/>
  <c r="K89" i="12"/>
  <c r="J89" i="12"/>
  <c r="K88" i="12"/>
  <c r="J88" i="12"/>
  <c r="G14" i="12"/>
  <c r="H70" i="12"/>
  <c r="H79" i="12"/>
  <c r="H88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3" i="12"/>
  <c r="L31" i="12"/>
  <c r="K31" i="12"/>
  <c r="Z10" i="12"/>
  <c r="U15" i="12"/>
  <c r="K20" i="12"/>
  <c r="F25" i="12"/>
  <c r="K28" i="12"/>
  <c r="I70" i="12"/>
  <c r="I79" i="12"/>
  <c r="I88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5" i="12"/>
  <c r="K10" i="12"/>
  <c r="F15" i="12"/>
  <c r="K18" i="12"/>
  <c r="U21" i="12"/>
  <c r="Z24" i="12"/>
  <c r="U29" i="12"/>
  <c r="F88" i="12"/>
  <c r="E88" i="12"/>
  <c r="F89" i="12"/>
  <c r="E89" i="12"/>
  <c r="W13" i="12"/>
  <c r="M15" i="12"/>
  <c r="C17" i="12"/>
  <c r="L18" i="12"/>
  <c r="W21" i="12"/>
  <c r="M23" i="12"/>
  <c r="C25" i="12"/>
  <c r="L26" i="12"/>
  <c r="H28" i="12"/>
  <c r="W29" i="12"/>
  <c r="I89" i="12"/>
  <c r="H89" i="12"/>
  <c r="Y10" i="12"/>
  <c r="I12" i="12"/>
  <c r="N15" i="12"/>
  <c r="E17" i="12"/>
  <c r="N23" i="12"/>
  <c r="H69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5" i="12"/>
  <c r="I84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87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E68" i="12"/>
  <c r="J69" i="12"/>
  <c r="J72" i="12"/>
  <c r="J75" i="12"/>
  <c r="E77" i="12"/>
  <c r="J78" i="12"/>
  <c r="E80" i="12"/>
  <c r="J81" i="12"/>
  <c r="E83" i="12"/>
  <c r="J84" i="12"/>
  <c r="E86" i="12"/>
  <c r="J87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K87" i="12"/>
  <c r="E74" i="12"/>
  <c r="C67" i="12"/>
  <c r="H68" i="12"/>
  <c r="C70" i="12"/>
  <c r="H71" i="12"/>
  <c r="C73" i="12"/>
  <c r="H74" i="12"/>
  <c r="C76" i="12"/>
  <c r="H77" i="12"/>
  <c r="C79" i="12"/>
  <c r="H80" i="12"/>
  <c r="C82" i="12"/>
  <c r="H83" i="12"/>
  <c r="C85" i="12"/>
  <c r="H86" i="12"/>
  <c r="C88" i="12"/>
  <c r="E71" i="12"/>
  <c r="D67" i="12"/>
  <c r="I68" i="12"/>
  <c r="D70" i="12"/>
  <c r="I71" i="12"/>
  <c r="D73" i="12"/>
  <c r="I74" i="12"/>
  <c r="D76" i="12"/>
  <c r="I77" i="12"/>
  <c r="D79" i="12"/>
  <c r="I80" i="12"/>
  <c r="D82" i="12"/>
  <c r="I83" i="12"/>
  <c r="D85" i="12"/>
  <c r="I86" i="12"/>
  <c r="E67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30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B66" i="12" l="1"/>
  <c r="B8" i="12"/>
  <c r="S8" i="12" l="1"/>
  <c r="S32" i="12" s="1"/>
  <c r="Q8" i="12"/>
  <c r="Q32" i="12" s="1"/>
  <c r="T8" i="12"/>
  <c r="T32" i="12" s="1"/>
  <c r="R8" i="12"/>
  <c r="R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6" i="12"/>
  <c r="D90" i="12" s="1"/>
  <c r="C66" i="12"/>
  <c r="C90" i="12" s="1"/>
  <c r="J66" i="12"/>
  <c r="J90" i="12" s="1"/>
  <c r="K66" i="12"/>
  <c r="K90" i="12" s="1"/>
  <c r="F66" i="12"/>
  <c r="F90" i="12" s="1"/>
  <c r="E66" i="12"/>
  <c r="E90" i="12" s="1"/>
  <c r="I66" i="12"/>
  <c r="I90" i="12" s="1"/>
  <c r="H66" i="12"/>
  <c r="H90" i="12" s="1"/>
  <c r="Q33" i="12" l="1"/>
  <c r="S33" i="12"/>
  <c r="O33" i="12"/>
  <c r="I33" i="12"/>
  <c r="E91" i="12"/>
  <c r="M33" i="12"/>
  <c r="K33" i="12"/>
  <c r="C91" i="12"/>
  <c r="G33" i="12"/>
  <c r="E33" i="12"/>
  <c r="J91" i="12"/>
  <c r="H91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<sst xmlns="http://schemas.openxmlformats.org/spreadsheetml/2006/main" count="4603" uniqueCount="515">
  <si>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</si>
  <si>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</si>
  <si>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</si>
  <si>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</si>
  <si>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</si>
  <si>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</si>
  <si>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</si>
  <si>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</si>
  <si>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</si>
  <si>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</si>
  <si>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</si>
  <si>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</si>
  <si>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</si>
  <si>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</si>
  <si>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</si>
  <si>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</si>
  <si>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</si>
  <si>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</si>
  <si>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</si>
  <si>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</si>
  <si>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</si>
  <si>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</si>
  <si>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</si>
  <si>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</si>
  <si>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</si>
  <si>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</si>
  <si>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</si>
  <si>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</si>
  <si>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</si>
  <si>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</si>
  <si>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</si>
  <si>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</si>
  <si>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</si>
  <si>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</si>
  <si>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</si>
  <si>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</si>
  <si>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</si>
  <si>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</si>
  <si>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</si>
  <si>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</si>
  <si>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</si>
  <si>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</si>
  <si>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</si>
  <si>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</si>
  <si>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</si>
  <si>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</si>
  <si>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</si>
  <si>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</si>
  <si>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</si>
  <si>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</si>
  <si>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</si>
  <si>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</si>
  <si>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</si>
  <si>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</si>
  <si>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</si>
  <si>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</si>
  <si>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</si>
  <si>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</si>
  <si>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</si>
  <si>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</si>
  <si>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</si>
  <si>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</si>
  <si>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</si>
  <si>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</si>
  <si>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</si>
  <si>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</si>
  <si>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</si>
  <si>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</si>
  <si>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</si>
  <si>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</si>
  <si>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</si>
  <si>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</si>
  <si>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</si>
  <si>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</si>
  <si>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</si>
  <si>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</si>
  <si>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</si>
  <si>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</si>
  <si>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</si>
  <si>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</si>
  <si>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</si>
  <si>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</si>
  <si>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</si>
  <si>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</si>
  <si>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</si>
  <si>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</si>
  <si>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</si>
  <si>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</si>
  <si>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</si>
  <si>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</si>
  <si>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</si>
  <si>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</si>
  <si>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</si>
  <si>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</si>
  <si>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</si>
  <si>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</si>
  <si>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</si>
  <si>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</si>
  <si>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</si>
  <si>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</si>
  <si>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</si>
  <si>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</si>
  <si>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</si>
  <si>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</si>
  <si>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</si>
  <si>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</si>
  <si>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</si>
  <si>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</si>
  <si>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</si>
  <si>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</si>
  <si>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</si>
  <si>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</si>
  <si>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</si>
  <si>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</si>
  <si>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</si>
  <si>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</si>
  <si>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</si>
  <si>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</si>
  <si>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</si>
  <si>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</si>
  <si>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</si>
  <si>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</si>
  <si>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</si>
  <si>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</si>
  <si>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</si>
  <si>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</si>
  <si>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</si>
  <si>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</si>
  <si>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</si>
  <si>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</si>
  <si>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</si>
  <si>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</si>
  <si>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</si>
  <si>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</si>
  <si>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</si>
  <si>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</si>
  <si>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</si>
  <si>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</si>
  <si>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</si>
  <si>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</si>
  <si>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</si>
  <si>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</si>
  <si>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</si>
  <si>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</si>
  <si>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</si>
  <si>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</si>
  <si>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</si>
  <si>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</si>
  <si>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</si>
  <si>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</si>
  <si>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</si>
  <si>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</si>
  <si>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</si>
  <si>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</si>
  <si>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</si>
  <si>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</si>
  <si>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</si>
  <si>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</si>
  <si>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</si>
  <si>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</si>
  <si>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</si>
  <si>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</si>
  <si>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</si>
  <si>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</si>
  <si>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</si>
  <si>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</si>
  <si>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</si>
  <si>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</si>
  <si>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</si>
  <si>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</si>
  <si>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</si>
  <si>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</si>
  <si>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</si>
  <si>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</si>
  <si>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</si>
  <si>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</si>
  <si>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</si>
  <si>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</si>
  <si>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</si>
  <si>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</si>
  <si>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</si>
  <si>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</si>
  <si>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</si>
  <si>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</si>
  <si>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</si>
  <si>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</si>
  <si>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</si>
  <si>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</si>
  <si>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</si>
  <si>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</si>
  <si>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</si>
  <si>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</si>
  <si>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</si>
  <si>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</si>
  <si>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</si>
  <si>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</si>
  <si>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</si>
  <si>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</si>
  <si>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</si>
  <si>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</si>
  <si>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</si>
  <si>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</si>
  <si>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</si>
  <si>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</si>
  <si>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</si>
  <si>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</si>
  <si>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</si>
  <si>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</si>
  <si>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</si>
  <si>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</si>
  <si>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</si>
  <si>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</si>
  <si>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</si>
  <si>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</si>
  <si>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</si>
  <si>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</si>
  <si>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</si>
  <si>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</si>
  <si>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</si>
  <si>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</si>
  <si>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</si>
  <si>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</si>
  <si>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</si>
  <si>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</si>
  <si>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</si>
  <si>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</si>
  <si>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</si>
  <si>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</si>
  <si>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</si>
  <si>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</si>
  <si>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</si>
  <si>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</si>
  <si>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</si>
  <si>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</si>
  <si>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</si>
  <si>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</si>
  <si>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</si>
  <si>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</si>
  <si>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</si>
  <si>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</si>
  <si>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</si>
  <si>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</si>
  <si>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</si>
  <si>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</si>
  <si>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</si>
  <si>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</si>
  <si>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</si>
  <si>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</si>
  <si>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</si>
  <si>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</si>
  <si>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</si>
  <si>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</si>
  <si>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</si>
  <si>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</si>
  <si>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</si>
  <si>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</si>
  <si>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</si>
  <si>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</si>
  <si>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</si>
  <si>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</si>
  <si>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</si>
  <si>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</si>
  <si>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</si>
  <si>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</si>
  <si>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</si>
  <si>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</si>
  <si>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</si>
  <si>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</si>
  <si>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</si>
  <si>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</si>
  <si>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</si>
  <si>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</si>
  <si>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</si>
  <si>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</si>
  <si>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</si>
  <si>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</si>
  <si>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</si>
  <si>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</si>
  <si>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</si>
  <si>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</si>
  <si>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</si>
  <si>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</si>
  <si>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</si>
  <si>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</si>
  <si>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</si>
  <si>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</si>
  <si>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</si>
  <si>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</si>
  <si>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</si>
  <si>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</si>
  <si>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</si>
  <si>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</si>
  <si>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</si>
  <si>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</si>
  <si>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</si>
  <si>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</si>
  <si>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</si>
  <si>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</si>
  <si>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</si>
  <si>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</si>
  <si>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</si>
  <si>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</si>
  <si>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</si>
  <si>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</si>
  <si>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</si>
  <si>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</si>
  <si>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</si>
  <si>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</si>
  <si>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</si>
  <si>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</si>
  <si>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</si>
  <si>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</si>
  <si>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</si>
  <si>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</si>
  <si>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</si>
  <si>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</si>
  <si>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</si>
  <si>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</si>
  <si>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</si>
  <si>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</si>
  <si>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</si>
  <si>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</si>
  <si>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</si>
  <si>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</si>
  <si>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</si>
  <si>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</si>
  <si>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</si>
  <si>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</si>
  <si>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</si>
  <si>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</si>
  <si>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</si>
  <si>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</si>
  <si>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</si>
  <si>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</si>
  <si>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</si>
  <si>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</si>
  <si>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</si>
  <si>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</si>
  <si>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</si>
  <si>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</si>
  <si>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</si>
  <si>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</si>
  <si>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</si>
  <si>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</si>
  <si>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</si>
  <si>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</si>
  <si>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</si>
  <si>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</si>
  <si>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</si>
  <si>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</si>
  <si>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</si>
  <si>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</si>
  <si>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</si>
  <si>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</si>
  <si>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</si>
  <si>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</si>
  <si>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</si>
  <si>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</si>
  <si>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</si>
  <si>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</si>
  <si>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</si>
  <si>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</si>
  <si>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</si>
  <si>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</si>
  <si>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</si>
  <si>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</si>
  <si>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</si>
  <si>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</si>
  <si>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</si>
  <si>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</si>
  <si>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</si>
  <si>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</si>
  <si>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</si>
  <si>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</si>
  <si>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</si>
  <si>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</si>
  <si>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</si>
  <si>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</si>
  <si>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</si>
  <si>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</si>
  <si>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</si>
  <si>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</si>
  <si>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</si>
  <si>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</si>
  <si>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</si>
  <si>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</si>
  <si>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</si>
  <si>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</si>
  <si>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</si>
  <si>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</si>
  <si>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</si>
  <si>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</si>
  <si>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</si>
  <si>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</si>
  <si>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</si>
  <si>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</si>
  <si>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</si>
  <si>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</si>
  <si>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</si>
  <si>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</si>
  <si>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</si>
  <si>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</si>
  <si>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</si>
  <si>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</si>
  <si>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</si>
  <si>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</si>
  <si>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</si>
  <si>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</si>
  <si>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</si>
  <si>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</si>
  <si>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</si>
  <si>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</si>
  <si>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</si>
  <si>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</si>
  <si>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</si>
  <si>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</si>
  <si>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</si>
  <si>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</si>
  <si>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</si>
  <si>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</si>
  <si>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</si>
  <si>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</si>
  <si>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</si>
  <si>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</si>
  <si>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</si>
  <si>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</si>
  <si>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</si>
  <si>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</si>
  <si>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</si>
  <si>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</si>
  <si>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</si>
  <si>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</si>
  <si>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</si>
  <si>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</si>
  <si>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</si>
  <si>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</si>
  <si>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</si>
  <si>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</si>
  <si>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</si>
  <si>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</si>
  <si>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</si>
  <si>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</si>
  <si>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</si>
  <si>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</si>
  <si>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</si>
  <si>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</si>
  <si>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</si>
  <si>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</si>
  <si>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</si>
  <si>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</si>
  <si>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</si>
  <si>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</si>
  <si>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</si>
  <si>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</si>
  <si>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</si>
  <si>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</si>
  <si>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</si>
  <si>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</si>
  <si>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</si>
  <si>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</si>
  <si>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</si>
  <si>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</si>
  <si>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</si>
  <si>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</si>
  <si>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</si>
  <si>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</si>
  <si>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</si>
  <si>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</si>
  <si>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ABADIE Quentin</t>
  </si>
  <si>
    <t>DALLA ROSA Jonah</t>
  </si>
  <si>
    <t>BAUP Bastien</t>
  </si>
  <si>
    <t>ABADIE Emeric</t>
  </si>
  <si>
    <t>MICHELIN Paul</t>
  </si>
  <si>
    <t>LOUREIRO LABAZUY Antonio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</si>
  <si>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</si>
  <si>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</si>
  <si>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</si>
  <si>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</si>
  <si>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</si>
  <si>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</si>
  <si>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</si>
  <si>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</si>
  <si>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</si>
  <si>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</si>
  <si>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GABRELLE Neot</t>
  </si>
  <si>
    <t>MULLIER Victor</t>
  </si>
  <si>
    <t>ROUSSEL Mathis</t>
  </si>
  <si>
    <t>ABADIE Thomas</t>
  </si>
  <si>
    <t>CESCA Sacha</t>
  </si>
  <si>
    <t>SOUVILLE Quentin</t>
  </si>
  <si>
    <t>26-27_A1_US Portet_Première_DOM</t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</si>
  <si>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</si>
  <si>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</si>
  <si>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</si>
  <si>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</si>
  <si>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</si>
  <si>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</si>
  <si>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</si>
  <si>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</si>
  <si>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</si>
  <si>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</si>
  <si>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</si>
  <si>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</si>
  <si>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</si>
  <si>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</si>
  <si>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</si>
  <si>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</si>
  <si>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GABRELLE</t>
  </si>
  <si>
    <t>18
MULLIER</t>
  </si>
  <si>
    <t>19
ROUSSEL</t>
  </si>
  <si>
    <t>20
ABADIE</t>
  </si>
  <si>
    <t>21
CESCA</t>
  </si>
  <si>
    <t>22
SOUVILLE</t>
  </si>
  <si>
    <t>parle à l'arbitre</t>
  </si>
  <si>
    <t>Erreur arbitre car pas en avant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</si>
</sst>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4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8" fillId="30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3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32" borderId="43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42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43" xfId="0" applyFill="1" applyBorder="1"/>
    <xf numFmtId="0" fontId="0" fillId="17" borderId="72" xfId="0" applyFill="1" applyBorder="1"/>
    <xf numFmtId="0" fontId="0" fillId="17" borderId="87" xfId="0" applyFill="1" applyBorder="1"/>
    <xf numFmtId="0" fontId="0" fillId="0" borderId="0" xfId="0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63" xfId="0" applyBorder="1"/>
    <xf numFmtId="0" fontId="25" fillId="0" borderId="0" xfId="0" applyFont="1" applyAlignment="1">
      <alignment horizontal="center" vertical="center" wrapText="1"/>
    </xf>
    <xf numFmtId="0" fontId="0" fillId="0" borderId="72" xfId="0" applyBorder="1"/>
    <xf numFmtId="0" fontId="0" fillId="0" borderId="70" xfId="0" applyBorder="1"/>
    <xf numFmtId="0" fontId="0" fillId="0" borderId="89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44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39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45" fillId="33" borderId="0" xfId="0" applyFont="1" applyFill="1" applyAlignment="1">
      <alignment vertical="center" wrapText="1"/>
    </xf>
    <xf numFmtId="0" fontId="35" fillId="29" borderId="91" xfId="0" applyFont="1" applyFill="1" applyBorder="1" applyAlignment="1">
      <alignment horizontal="center" vertical="center"/>
    </xf>
    <xf numFmtId="0" fontId="37" fillId="30" borderId="92" xfId="0" applyFont="1" applyFill="1" applyBorder="1" applyAlignment="1">
      <alignment horizontal="center" vertical="center"/>
    </xf>
    <xf numFmtId="0" fontId="37" fillId="16" borderId="93" xfId="0" applyFont="1" applyFill="1" applyBorder="1" applyAlignment="1">
      <alignment horizontal="center" vertical="center"/>
    </xf>
    <xf numFmtId="0" fontId="36" fillId="29" borderId="94" xfId="0" applyFont="1" applyFill="1" applyBorder="1" applyAlignment="1">
      <alignment horizontal="center" vertical="center"/>
    </xf>
    <xf numFmtId="0" fontId="38" fillId="16" borderId="95" xfId="0" applyFont="1" applyFill="1" applyBorder="1" applyAlignment="1">
      <alignment horizontal="center" vertical="center"/>
    </xf>
    <xf numFmtId="0" fontId="36" fillId="29" borderId="96" xfId="0" applyFont="1" applyFill="1" applyBorder="1" applyAlignment="1">
      <alignment horizontal="center" vertical="center"/>
    </xf>
    <xf numFmtId="0" fontId="38" fillId="30" borderId="97" xfId="0" applyFont="1" applyFill="1" applyBorder="1" applyAlignment="1">
      <alignment horizontal="center" vertical="center"/>
    </xf>
    <xf numFmtId="0" fontId="38" fillId="16" borderId="98" xfId="0" applyFont="1" applyFill="1" applyBorder="1" applyAlignment="1">
      <alignment horizontal="center" vertical="center"/>
    </xf>
    <xf numFmtId="0" fontId="37" fillId="30" borderId="93" xfId="0" applyFont="1" applyFill="1" applyBorder="1" applyAlignment="1">
      <alignment horizontal="center" vertical="center"/>
    </xf>
    <xf numFmtId="0" fontId="38" fillId="30" borderId="95" xfId="0" applyFont="1" applyFill="1" applyBorder="1" applyAlignment="1">
      <alignment horizontal="center" vertical="center"/>
    </xf>
    <xf numFmtId="0" fontId="38" fillId="30" borderId="98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2" xfId="0" applyNumberFormat="1" applyFont="1" applyFill="1" applyBorder="1" applyAlignment="1">
      <alignment horizontal="center" vertical="center"/>
    </xf>
    <xf numFmtId="165" fontId="40" fillId="10" borderId="6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2" xfId="0" applyFont="1" applyFill="1" applyBorder="1" applyAlignment="1">
      <alignment horizontal="left" vertical="center" wrapText="1"/>
    </xf>
    <xf numFmtId="0" fontId="19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2" fillId="27" borderId="0" xfId="0" applyFont="1" applyFill="1" applyAlignment="1">
      <alignment horizontal="center" vertical="center" wrapText="1"/>
    </xf>
    <xf numFmtId="0" fontId="36" fillId="29" borderId="101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9" xfId="0" applyFont="1" applyFill="1" applyBorder="1" applyAlignment="1">
      <alignment horizontal="center" vertical="center"/>
    </xf>
    <xf numFmtId="0" fontId="35" fillId="29" borderId="100" xfId="0" applyFont="1" applyFill="1" applyBorder="1" applyAlignment="1">
      <alignment horizontal="center" vertical="center"/>
    </xf>
    <xf numFmtId="0" fontId="36" fillId="29" borderId="102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38</c:v>
                </c:pt>
                <c:pt idx="1">
                  <c:v>16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6D-7A49-8EDA-5454F9D35AFB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39</c:v>
                </c:pt>
                <c:pt idx="1">
                  <c:v>13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6D-7A49-8EDA-5454F9D3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9615359"/>
        <c:axId val="1298058303"/>
      </c:barChart>
      <c:catAx>
        <c:axId val="128961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8058303"/>
        <c:crosses val="autoZero"/>
        <c:auto val="1"/>
        <c:lblAlgn val="ctr"/>
        <c:lblOffset val="100"/>
        <c:noMultiLvlLbl val="0"/>
      </c:catAx>
      <c:valAx>
        <c:axId val="1298058303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961535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67733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129304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7375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381000</xdr:colOff>
      <xdr:row>134</xdr:row>
      <xdr:rowOff>12700</xdr:rowOff>
    </xdr:to>
    <xdr:graphicFrame macro="">
      <xdr:nvGraphicFramePr>
        <xdr:cNvPr id="7" name="GRAPHIQUE_SEQUENCES_POSSESSION">
          <a:extLst>
            <a:ext uri="{FF2B5EF4-FFF2-40B4-BE49-F238E27FC236}">
              <a16:creationId xmlns:a16="http://schemas.microsoft.com/office/drawing/2014/main" id="{3F9A2BAE-F3F2-5ECC-E27A-0A190BB11C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68" totalsRowShown="0" headerRowDxfId="54" dataDxfId="53">
  <autoFilter ref="A1:F68" xr:uid="{DBC8D92C-BAC5-B84A-942F-9991F3427889}"/>
  <sortState xmlns:xlrd2="http://schemas.microsoft.com/office/spreadsheetml/2017/richdata2" ref="A2:E2">
    <sortCondition ref="B1:B2"/>
  </sortState>
  <tableColumns count="6">
    <tableColumn id="1" xr3:uid="{85EDFBC5-8A9C-C242-B7F2-D31BF1334751}" name="id" dataDxfId="52"/>
    <tableColumn id="2" xr3:uid="{0C1B8A30-A3B8-DA4D-B893-C4C99FF33E90}" name="nom" dataDxfId="51"/>
    <tableColumn id="3" xr3:uid="{8AE5AF32-0026-9B41-8B0B-16B9ED0F3727}" name="prenom" dataDxfId="50"/>
    <tableColumn id="6" xr3:uid="{D5D3A7D0-7C7D-684B-8AA7-DABBCC7051CF}" name="1ère ligne" dataDxfId="49"/>
    <tableColumn id="4" xr3:uid="{4CE41A86-7158-6B42-B932-A5275F10AB48}" name="prenom NOM" dataDxfId="48">
      <calculatedColumnFormula>LstEffectif[[#This Row],[prenom]] &amp; " " &amp; LstEffectif[[#This Row],[nom]]</calculatedColumnFormula>
    </tableColumn>
    <tableColumn id="5" xr3:uid="{EB017694-E6D2-7440-91BF-61113926AB7D}" name="NOM Prénom" dataDxfId="47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6" dataDxfId="45">
  <autoFilter ref="J1:J11" xr:uid="{037D6424-D1EC-894D-B963-D36ABCA682C4}"/>
  <tableColumns count="1">
    <tableColumn id="1" xr3:uid="{63806632-B9ED-294D-800A-F2FDB2EC48D2}" name="EQUIPES_A_AFFRONTER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3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4" totalsRowShown="0">
  <autoFilter ref="A1:Q414" xr:uid="{274E98FB-BCE1-0347-AD79-C8025C407DEC}"/>
  <tableColumns count="17">
    <tableColumn id="1" xr3:uid="{1C6F1113-17EB-A449-86BF-30B1CE9CAC0A}" name="temps video" dataDxfId="5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56" t="s">
        <v>121</v>
      </c>
      <c r="C1" s="156" t="s">
        <v>122</v>
      </c>
      <c r="D1" s="156" t="s">
        <v>464</v>
      </c>
      <c r="E1" s="156" t="s">
        <v>123</v>
      </c>
      <c r="F1" s="156" t="s">
        <v>163</v>
      </c>
      <c r="J1" t="s">
        <v>442</v>
      </c>
    </row>
    <row r="2" spans="1:10" ht="14">
      <c r="A2">
        <v>1</v>
      </c>
      <c r="B2" s="143" t="s">
        <v>324</v>
      </c>
      <c r="C2" s="143" t="s">
        <v>325</v>
      </c>
      <c r="D2" s="143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3" t="s">
        <v>324</v>
      </c>
      <c r="C3" s="143" t="s">
        <v>326</v>
      </c>
      <c r="D3" s="143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3" t="s">
        <v>324</v>
      </c>
      <c r="C4" s="143" t="s">
        <v>124</v>
      </c>
      <c r="D4" s="143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3" t="s">
        <v>327</v>
      </c>
      <c r="C5" s="143" t="s">
        <v>328</v>
      </c>
      <c r="D5" s="143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3" t="s">
        <v>329</v>
      </c>
      <c r="C6" s="143" t="s">
        <v>330</v>
      </c>
      <c r="D6" s="143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</v>
      </c>
      <c r="B7" s="143" t="s">
        <v>331</v>
      </c>
      <c r="C7" s="143" t="s">
        <v>332</v>
      </c>
      <c r="D7" s="143"/>
      <c r="E7" t="str">
        <f>LstEffectif[[#This Row],[prenom]] &amp; " " &amp; LstEffectif[[#This Row],[nom]]</f>
        <v>Julian BARATGIN</v>
      </c>
      <c r="F7" t="str">
        <f>LstEffectif[[#This Row],[nom]] &amp; " " &amp; LstEffectif[[#This Row],[prenom]]</f>
        <v>BARATGIN Julian</v>
      </c>
      <c r="J7" t="s">
        <v>438</v>
      </c>
    </row>
    <row r="8" spans="1:10" ht="14">
      <c r="A8">
        <v>7</v>
      </c>
      <c r="B8" s="143" t="s">
        <v>333</v>
      </c>
      <c r="C8" s="143" t="s">
        <v>334</v>
      </c>
      <c r="D8" s="143"/>
      <c r="E8" t="str">
        <f>LstEffectif[[#This Row],[prenom]] &amp; " " &amp; LstEffectif[[#This Row],[nom]]</f>
        <v>Etienne BARBE</v>
      </c>
      <c r="F8" t="str">
        <f>LstEffectif[[#This Row],[nom]] &amp; " " &amp; LstEffectif[[#This Row],[prenom]]</f>
        <v>BARBE Etienne</v>
      </c>
      <c r="J8" s="40" t="s">
        <v>439</v>
      </c>
    </row>
    <row r="9" spans="1:10" ht="14">
      <c r="A9">
        <v>8</v>
      </c>
      <c r="B9" s="143" t="s">
        <v>335</v>
      </c>
      <c r="C9" s="143" t="s">
        <v>336</v>
      </c>
      <c r="D9" s="143"/>
      <c r="E9" t="str">
        <f>LstEffectif[[#This Row],[prenom]] &amp; " " &amp; LstEffectif[[#This Row],[nom]]</f>
        <v>Francois BARRAILH</v>
      </c>
      <c r="F9" t="str">
        <f>LstEffectif[[#This Row],[nom]] &amp; " " &amp; LstEffectif[[#This Row],[prenom]]</f>
        <v>BARRAILH Francois</v>
      </c>
      <c r="J9" t="s">
        <v>440</v>
      </c>
    </row>
    <row r="10" spans="1:10" ht="14">
      <c r="A10">
        <v>9</v>
      </c>
      <c r="B10" s="143" t="s">
        <v>337</v>
      </c>
      <c r="C10" s="143" t="s">
        <v>338</v>
      </c>
      <c r="D10" s="143"/>
      <c r="E10" t="str">
        <f>LstEffectif[[#This Row],[prenom]] &amp; " " &amp; LstEffectif[[#This Row],[nom]]</f>
        <v>Sebastien BARTHIE</v>
      </c>
      <c r="F10" t="str">
        <f>LstEffectif[[#This Row],[nom]] &amp; " " &amp; LstEffectif[[#This Row],[prenom]]</f>
        <v>BARTHIE Sebastien</v>
      </c>
      <c r="J10" t="s">
        <v>441</v>
      </c>
    </row>
    <row r="11" spans="1:10" ht="14">
      <c r="A11">
        <v>10</v>
      </c>
      <c r="B11" s="143" t="s">
        <v>339</v>
      </c>
      <c r="C11" s="143" t="s">
        <v>340</v>
      </c>
      <c r="D11" s="143" t="s">
        <v>466</v>
      </c>
      <c r="E11" t="str">
        <f>LstEffectif[[#This Row],[prenom]] &amp; " " &amp; LstEffectif[[#This Row],[nom]]</f>
        <v>Bastien BAUP</v>
      </c>
      <c r="F11" t="str">
        <f>LstEffectif[[#This Row],[nom]] &amp; " " &amp; LstEffectif[[#This Row],[prenom]]</f>
        <v>BAUP Bastien</v>
      </c>
      <c r="J11" t="s">
        <v>443</v>
      </c>
    </row>
    <row r="12" spans="1:10" ht="14">
      <c r="A12">
        <v>11</v>
      </c>
      <c r="B12" s="143" t="s">
        <v>341</v>
      </c>
      <c r="C12" s="143" t="s">
        <v>342</v>
      </c>
      <c r="D12" s="143"/>
      <c r="E12" t="str">
        <f>LstEffectif[[#This Row],[prenom]] &amp; " " &amp; LstEffectif[[#This Row],[nom]]</f>
        <v>Jean BAYLE</v>
      </c>
      <c r="F12" t="str">
        <f>LstEffectif[[#This Row],[nom]] &amp; " " &amp; LstEffectif[[#This Row],[prenom]]</f>
        <v>BAYLE Jean</v>
      </c>
    </row>
    <row r="13" spans="1:10" ht="14">
      <c r="A13">
        <v>12</v>
      </c>
      <c r="B13" s="143" t="s">
        <v>343</v>
      </c>
      <c r="C13" s="143" t="s">
        <v>344</v>
      </c>
      <c r="D13" s="143"/>
      <c r="E13" t="str">
        <f>LstEffectif[[#This Row],[prenom]] &amp; " " &amp; LstEffectif[[#This Row],[nom]]</f>
        <v>Pierre BIFFI</v>
      </c>
      <c r="F13" t="str">
        <f>LstEffectif[[#This Row],[nom]] &amp; " " &amp; LstEffectif[[#This Row],[prenom]]</f>
        <v>BIFFI Pierre</v>
      </c>
    </row>
    <row r="14" spans="1:10" ht="14">
      <c r="A14">
        <v>13</v>
      </c>
      <c r="B14" s="143" t="s">
        <v>345</v>
      </c>
      <c r="C14" s="143" t="s">
        <v>346</v>
      </c>
      <c r="D14" s="143"/>
      <c r="E14" t="str">
        <f>LstEffectif[[#This Row],[prenom]] &amp; " " &amp; LstEffectif[[#This Row],[nom]]</f>
        <v>Clement BLANCHARD</v>
      </c>
      <c r="F14" t="str">
        <f>LstEffectif[[#This Row],[nom]] &amp; " " &amp; LstEffectif[[#This Row],[prenom]]</f>
        <v>BLANCHARD Clement</v>
      </c>
    </row>
    <row r="15" spans="1:10" ht="14">
      <c r="A15">
        <v>14</v>
      </c>
      <c r="B15" s="143" t="s">
        <v>347</v>
      </c>
      <c r="C15" s="143" t="s">
        <v>348</v>
      </c>
      <c r="D15" s="143"/>
      <c r="E15" t="str">
        <f>LstEffectif[[#This Row],[prenom]] &amp; " " &amp; LstEffectif[[#This Row],[nom]]</f>
        <v>Paul BOISVIN</v>
      </c>
      <c r="F15" t="str">
        <f>LstEffectif[[#This Row],[nom]] &amp; " " &amp; LstEffectif[[#This Row],[prenom]]</f>
        <v>BOISVIN Paul</v>
      </c>
    </row>
    <row r="16" spans="1:10" ht="14">
      <c r="A16">
        <v>15</v>
      </c>
      <c r="B16" s="143" t="s">
        <v>349</v>
      </c>
      <c r="C16" s="143" t="s">
        <v>350</v>
      </c>
      <c r="D16" s="143"/>
      <c r="E16" t="str">
        <f>LstEffectif[[#This Row],[prenom]] &amp; " " &amp; LstEffectif[[#This Row],[nom]]</f>
        <v>Anthony BOURREC</v>
      </c>
      <c r="F16" t="str">
        <f>LstEffectif[[#This Row],[nom]] &amp; " " &amp; LstEffectif[[#This Row],[prenom]]</f>
        <v>BOURREC Anthony</v>
      </c>
    </row>
    <row r="17" spans="1:6" ht="14">
      <c r="A17">
        <v>16</v>
      </c>
      <c r="B17" s="143" t="s">
        <v>349</v>
      </c>
      <c r="C17" s="143" t="s">
        <v>351</v>
      </c>
      <c r="D17" s="143"/>
      <c r="E17" t="str">
        <f>LstEffectif[[#This Row],[prenom]] &amp; " " &amp; LstEffectif[[#This Row],[nom]]</f>
        <v>Dorian BOURREC</v>
      </c>
      <c r="F17" t="str">
        <f>LstEffectif[[#This Row],[nom]] &amp; " " &amp; LstEffectif[[#This Row],[prenom]]</f>
        <v>BOURREC Dorian</v>
      </c>
    </row>
    <row r="18" spans="1:6" ht="14">
      <c r="A18">
        <v>17</v>
      </c>
      <c r="B18" s="143" t="s">
        <v>352</v>
      </c>
      <c r="C18" s="143" t="s">
        <v>353</v>
      </c>
      <c r="D18" s="143"/>
      <c r="E18" t="str">
        <f>LstEffectif[[#This Row],[prenom]] &amp; " " &amp; LstEffectif[[#This Row],[nom]]</f>
        <v>Julien BOUTAN</v>
      </c>
      <c r="F18" t="str">
        <f>LstEffectif[[#This Row],[nom]] &amp; " " &amp; LstEffectif[[#This Row],[prenom]]</f>
        <v>BOUTAN Julien</v>
      </c>
    </row>
    <row r="19" spans="1:6" ht="14">
      <c r="A19">
        <v>18</v>
      </c>
      <c r="B19" s="143" t="s">
        <v>354</v>
      </c>
      <c r="C19" s="143" t="s">
        <v>355</v>
      </c>
      <c r="D19" s="143" t="s">
        <v>466</v>
      </c>
      <c r="E19" t="str">
        <f>LstEffectif[[#This Row],[prenom]] &amp; " " &amp; LstEffectif[[#This Row],[nom]]</f>
        <v>Romain BOUTELOUP</v>
      </c>
      <c r="F19" t="str">
        <f>LstEffectif[[#This Row],[nom]] &amp; " " &amp; LstEffectif[[#This Row],[prenom]]</f>
        <v>BOUTELOUP Romain</v>
      </c>
    </row>
    <row r="20" spans="1:6" ht="14">
      <c r="A20">
        <v>19</v>
      </c>
      <c r="B20" s="143" t="s">
        <v>356</v>
      </c>
      <c r="C20" s="143" t="s">
        <v>355</v>
      </c>
      <c r="D20" s="143"/>
      <c r="E20" t="str">
        <f>LstEffectif[[#This Row],[prenom]] &amp; " " &amp; LstEffectif[[#This Row],[nom]]</f>
        <v>Romain BREIL</v>
      </c>
      <c r="F20" t="str">
        <f>LstEffectif[[#This Row],[nom]] &amp; " " &amp; LstEffectif[[#This Row],[prenom]]</f>
        <v>BREIL Romain</v>
      </c>
    </row>
    <row r="21" spans="1:6" ht="14">
      <c r="A21">
        <v>20</v>
      </c>
      <c r="B21" s="143" t="s">
        <v>357</v>
      </c>
      <c r="C21" s="143" t="s">
        <v>358</v>
      </c>
      <c r="D21" s="143"/>
      <c r="E21" t="str">
        <f>LstEffectif[[#This Row],[prenom]] &amp; " " &amp; LstEffectif[[#This Row],[nom]]</f>
        <v>Ludovic CARRAU</v>
      </c>
      <c r="F21" t="str">
        <f>LstEffectif[[#This Row],[nom]] &amp; " " &amp; LstEffectif[[#This Row],[prenom]]</f>
        <v>CARRAU Ludovic</v>
      </c>
    </row>
    <row r="22" spans="1:6" ht="14">
      <c r="A22">
        <v>21</v>
      </c>
      <c r="B22" s="143" t="s">
        <v>359</v>
      </c>
      <c r="C22" s="143" t="s">
        <v>360</v>
      </c>
      <c r="D22" s="143"/>
      <c r="E22" t="str">
        <f>LstEffectif[[#This Row],[prenom]] &amp; " " &amp; LstEffectif[[#This Row],[nom]]</f>
        <v>Tom CASTERA</v>
      </c>
      <c r="F22" t="str">
        <f>LstEffectif[[#This Row],[nom]] &amp; " " &amp; LstEffectif[[#This Row],[prenom]]</f>
        <v>CASTERA Tom</v>
      </c>
    </row>
    <row r="23" spans="1:6" ht="14">
      <c r="A23">
        <v>22</v>
      </c>
      <c r="B23" s="143" t="s">
        <v>361</v>
      </c>
      <c r="C23" s="143" t="s">
        <v>362</v>
      </c>
      <c r="D23" s="143"/>
      <c r="E23" t="str">
        <f>LstEffectif[[#This Row],[prenom]] &amp; " " &amp; LstEffectif[[#This Row],[nom]]</f>
        <v>Sacha CESCA</v>
      </c>
      <c r="F23" t="str">
        <f>LstEffectif[[#This Row],[nom]] &amp; " " &amp; LstEffectif[[#This Row],[prenom]]</f>
        <v>CESCA Sacha</v>
      </c>
    </row>
    <row r="24" spans="1:6" ht="14">
      <c r="A24">
        <v>23</v>
      </c>
      <c r="B24" s="143" t="s">
        <v>361</v>
      </c>
      <c r="C24" s="143" t="s">
        <v>363</v>
      </c>
      <c r="D24" s="143"/>
      <c r="E24" t="str">
        <f>LstEffectif[[#This Row],[prenom]] &amp; " " &amp; LstEffectif[[#This Row],[nom]]</f>
        <v>Simon CESCA</v>
      </c>
      <c r="F24" t="str">
        <f>LstEffectif[[#This Row],[nom]] &amp; " " &amp; LstEffectif[[#This Row],[prenom]]</f>
        <v>CESCA Simon</v>
      </c>
    </row>
    <row r="25" spans="1:6" ht="14">
      <c r="A25">
        <v>24</v>
      </c>
      <c r="B25" s="143" t="s">
        <v>364</v>
      </c>
      <c r="C25" s="143" t="s">
        <v>365</v>
      </c>
      <c r="D25" s="143"/>
      <c r="E25" t="str">
        <f>LstEffectif[[#This Row],[prenom]] &amp; " " &amp; LstEffectif[[#This Row],[nom]]</f>
        <v>Baptiste CORREGER</v>
      </c>
      <c r="F25" t="str">
        <f>LstEffectif[[#This Row],[nom]] &amp; " " &amp; LstEffectif[[#This Row],[prenom]]</f>
        <v>CORREGER Baptiste</v>
      </c>
    </row>
    <row r="26" spans="1:6" ht="12" customHeight="1">
      <c r="A26">
        <v>25</v>
      </c>
      <c r="B26" s="143" t="s">
        <v>366</v>
      </c>
      <c r="C26" s="143" t="s">
        <v>355</v>
      </c>
      <c r="D26" s="143"/>
      <c r="E26" t="str">
        <f>LstEffectif[[#This Row],[prenom]] &amp; " " &amp; LstEffectif[[#This Row],[nom]]</f>
        <v>Romain COURREGES</v>
      </c>
      <c r="F26" t="str">
        <f>LstEffectif[[#This Row],[nom]] &amp; " " &amp; LstEffectif[[#This Row],[prenom]]</f>
        <v>COURREGES Romain</v>
      </c>
    </row>
    <row r="27" spans="1:6" s="25" customFormat="1" ht="14">
      <c r="A27">
        <v>26</v>
      </c>
      <c r="B27" s="143" t="s">
        <v>367</v>
      </c>
      <c r="C27" s="143" t="s">
        <v>368</v>
      </c>
      <c r="D27" s="143" t="s">
        <v>466</v>
      </c>
      <c r="E27" t="str">
        <f>LstEffectif[[#This Row],[prenom]] &amp; " " &amp; LstEffectif[[#This Row],[nom]]</f>
        <v>Jonah DALLA ROSA</v>
      </c>
      <c r="F27" t="str">
        <f>LstEffectif[[#This Row],[nom]] &amp; " " &amp; LstEffectif[[#This Row],[prenom]]</f>
        <v>DALLA ROSA Jonah</v>
      </c>
    </row>
    <row r="28" spans="1:6" s="25" customFormat="1" ht="14">
      <c r="A28">
        <v>27</v>
      </c>
      <c r="B28" s="143" t="s">
        <v>369</v>
      </c>
      <c r="C28" s="143" t="s">
        <v>124</v>
      </c>
      <c r="D28" s="143"/>
      <c r="E28" t="str">
        <f>LstEffectif[[#This Row],[prenom]] &amp; " " &amp; LstEffectif[[#This Row],[nom]]</f>
        <v>Thomas DUTREY</v>
      </c>
      <c r="F28" t="str">
        <f>LstEffectif[[#This Row],[nom]] &amp; " " &amp; LstEffectif[[#This Row],[prenom]]</f>
        <v>DUTREY Thomas</v>
      </c>
    </row>
    <row r="29" spans="1:6" s="25" customFormat="1" ht="14">
      <c r="A29">
        <v>28</v>
      </c>
      <c r="B29" s="143" t="s">
        <v>370</v>
      </c>
      <c r="C29" s="143" t="s">
        <v>371</v>
      </c>
      <c r="D29" s="143"/>
      <c r="E29" t="str">
        <f>LstEffectif[[#This Row],[prenom]] &amp; " " &amp; LstEffectif[[#This Row],[nom]]</f>
        <v>Maël FITAN</v>
      </c>
      <c r="F29" t="str">
        <f>LstEffectif[[#This Row],[nom]] &amp; " " &amp; LstEffectif[[#This Row],[prenom]]</f>
        <v>FITAN Maël</v>
      </c>
    </row>
    <row r="30" spans="1:6" s="25" customFormat="1" ht="14">
      <c r="A30">
        <v>29</v>
      </c>
      <c r="B30" s="143" t="s">
        <v>372</v>
      </c>
      <c r="C30" s="143" t="s">
        <v>373</v>
      </c>
      <c r="D30" s="143"/>
      <c r="E30" t="str">
        <f>LstEffectif[[#This Row],[prenom]] &amp; " " &amp; LstEffectif[[#This Row],[nom]]</f>
        <v>Neot GABRELLE</v>
      </c>
      <c r="F30" t="str">
        <f>LstEffectif[[#This Row],[nom]] &amp; " " &amp; LstEffectif[[#This Row],[prenom]]</f>
        <v>GABRELLE Neot</v>
      </c>
    </row>
    <row r="31" spans="1:6" s="25" customFormat="1" ht="14">
      <c r="A31">
        <v>30</v>
      </c>
      <c r="B31" s="143" t="s">
        <v>374</v>
      </c>
      <c r="C31" s="143" t="s">
        <v>375</v>
      </c>
      <c r="D31" s="143" t="s">
        <v>466</v>
      </c>
      <c r="E31" t="str">
        <f>LstEffectif[[#This Row],[prenom]] &amp; " " &amp; LstEffectif[[#This Row],[nom]]</f>
        <v>Pierrick GALLINARO</v>
      </c>
      <c r="F31" t="str">
        <f>LstEffectif[[#This Row],[nom]] &amp; " " &amp; LstEffectif[[#This Row],[prenom]]</f>
        <v>GALLINARO Pierrick</v>
      </c>
    </row>
    <row r="32" spans="1:6" s="25" customFormat="1" ht="14">
      <c r="A32">
        <v>31</v>
      </c>
      <c r="B32" s="143" t="s">
        <v>376</v>
      </c>
      <c r="C32" s="143" t="s">
        <v>338</v>
      </c>
      <c r="D32" s="143"/>
      <c r="E32" t="str">
        <f>LstEffectif[[#This Row],[prenom]] &amp; " " &amp; LstEffectif[[#This Row],[nom]]</f>
        <v>Sebastien GARROS</v>
      </c>
      <c r="F32" t="str">
        <f>LstEffectif[[#This Row],[nom]] &amp; " " &amp; LstEffectif[[#This Row],[prenom]]</f>
        <v>GARROS Sebastien</v>
      </c>
    </row>
    <row r="33" spans="1:6" s="25" customFormat="1" ht="14">
      <c r="A33">
        <v>32</v>
      </c>
      <c r="B33" s="143" t="s">
        <v>377</v>
      </c>
      <c r="C33" s="143" t="s">
        <v>322</v>
      </c>
      <c r="D33" s="143" t="s">
        <v>466</v>
      </c>
      <c r="E33" t="str">
        <f>LstEffectif[[#This Row],[prenom]] &amp; " " &amp; LstEffectif[[#This Row],[nom]]</f>
        <v>Nicolas GODEMARD</v>
      </c>
      <c r="F33" t="str">
        <f>LstEffectif[[#This Row],[nom]] &amp; " " &amp; LstEffectif[[#This Row],[prenom]]</f>
        <v>GODEMARD Nicolas</v>
      </c>
    </row>
    <row r="34" spans="1:6" s="25" customFormat="1" ht="14">
      <c r="A34">
        <v>33</v>
      </c>
      <c r="B34" s="143" t="s">
        <v>378</v>
      </c>
      <c r="C34" s="143" t="s">
        <v>379</v>
      </c>
      <c r="D34" s="143"/>
      <c r="E34" t="str">
        <f>LstEffectif[[#This Row],[prenom]] &amp; " " &amp; LstEffectif[[#This Row],[nom]]</f>
        <v>Kevin HENNI</v>
      </c>
      <c r="F34" t="str">
        <f>LstEffectif[[#This Row],[nom]] &amp; " " &amp; LstEffectif[[#This Row],[prenom]]</f>
        <v>HENNI Kevin</v>
      </c>
    </row>
    <row r="35" spans="1:6" s="25" customFormat="1" ht="14">
      <c r="A35">
        <v>34</v>
      </c>
      <c r="B35" s="143" t="s">
        <v>380</v>
      </c>
      <c r="C35" s="143" t="s">
        <v>381</v>
      </c>
      <c r="D35" s="143"/>
      <c r="E35" t="str">
        <f>LstEffectif[[#This Row],[prenom]] &amp; " " &amp; LstEffectif[[#This Row],[nom]]</f>
        <v>Joris JOUNAUX</v>
      </c>
      <c r="F35" t="str">
        <f>LstEffectif[[#This Row],[nom]] &amp; " " &amp; LstEffectif[[#This Row],[prenom]]</f>
        <v>JOUNAUX Joris</v>
      </c>
    </row>
    <row r="36" spans="1:6" s="25" customFormat="1" ht="14">
      <c r="A36">
        <v>35</v>
      </c>
      <c r="B36" s="143" t="s">
        <v>380</v>
      </c>
      <c r="C36" s="143" t="s">
        <v>382</v>
      </c>
      <c r="D36" s="143"/>
      <c r="E36" t="str">
        <f>LstEffectif[[#This Row],[prenom]] &amp; " " &amp; LstEffectif[[#This Row],[nom]]</f>
        <v>Charline JOUNAUX</v>
      </c>
      <c r="F36" t="str">
        <f>LstEffectif[[#This Row],[nom]] &amp; " " &amp; LstEffectif[[#This Row],[prenom]]</f>
        <v>JOUNAUX Charline</v>
      </c>
    </row>
    <row r="37" spans="1:6" s="25" customFormat="1" ht="14">
      <c r="A37">
        <v>36</v>
      </c>
      <c r="B37" s="143" t="s">
        <v>383</v>
      </c>
      <c r="C37" s="143" t="s">
        <v>340</v>
      </c>
      <c r="D37" s="143"/>
      <c r="E37" t="str">
        <f>LstEffectif[[#This Row],[prenom]] &amp; " " &amp; LstEffectif[[#This Row],[nom]]</f>
        <v>Bastien KAPFER</v>
      </c>
      <c r="F37" t="str">
        <f>LstEffectif[[#This Row],[nom]] &amp; " " &amp; LstEffectif[[#This Row],[prenom]]</f>
        <v>KAPFER Bastien</v>
      </c>
    </row>
    <row r="38" spans="1:6" s="25" customFormat="1" ht="14">
      <c r="A38">
        <v>37</v>
      </c>
      <c r="B38" s="143" t="s">
        <v>384</v>
      </c>
      <c r="C38" s="143" t="s">
        <v>353</v>
      </c>
      <c r="D38" s="143"/>
      <c r="E38" t="str">
        <f>LstEffectif[[#This Row],[prenom]] &amp; " " &amp; LstEffectif[[#This Row],[nom]]</f>
        <v>Julien LACOMBE</v>
      </c>
      <c r="F38" t="str">
        <f>LstEffectif[[#This Row],[nom]] &amp; " " &amp; LstEffectif[[#This Row],[prenom]]</f>
        <v>LACOMBE Julien</v>
      </c>
    </row>
    <row r="39" spans="1:6" s="25" customFormat="1" ht="14">
      <c r="A39">
        <v>38</v>
      </c>
      <c r="B39" s="143" t="s">
        <v>385</v>
      </c>
      <c r="C39" s="143" t="s">
        <v>386</v>
      </c>
      <c r="D39" s="143"/>
      <c r="E39" t="str">
        <f>LstEffectif[[#This Row],[prenom]] &amp; " " &amp; LstEffectif[[#This Row],[nom]]</f>
        <v>Jean Baptiste LAUDET</v>
      </c>
      <c r="F39" t="str">
        <f>LstEffectif[[#This Row],[nom]] &amp; " " &amp; LstEffectif[[#This Row],[prenom]]</f>
        <v>LAUDET Jean Baptiste</v>
      </c>
    </row>
    <row r="40" spans="1:6" s="25" customFormat="1" ht="14">
      <c r="A40">
        <v>39</v>
      </c>
      <c r="B40" s="143" t="s">
        <v>387</v>
      </c>
      <c r="C40" s="143" t="s">
        <v>330</v>
      </c>
      <c r="D40" s="143"/>
      <c r="E40" t="str">
        <f>LstEffectif[[#This Row],[prenom]] &amp; " " &amp; LstEffectif[[#This Row],[nom]]</f>
        <v>Lucas LESPINASSE</v>
      </c>
      <c r="F40" t="str">
        <f>LstEffectif[[#This Row],[nom]] &amp; " " &amp; LstEffectif[[#This Row],[prenom]]</f>
        <v>LESPINASSE Lucas</v>
      </c>
    </row>
    <row r="41" spans="1:6" s="25" customFormat="1" ht="14">
      <c r="A41">
        <v>40</v>
      </c>
      <c r="B41" s="143" t="s">
        <v>388</v>
      </c>
      <c r="C41" s="143" t="s">
        <v>389</v>
      </c>
      <c r="D41" s="143"/>
      <c r="E41" t="str">
        <f>LstEffectif[[#This Row],[prenom]] &amp; " " &amp; LstEffectif[[#This Row],[nom]]</f>
        <v>Antonio LOUREIRO LABAZUY</v>
      </c>
      <c r="F41" t="str">
        <f>LstEffectif[[#This Row],[nom]] &amp; " " &amp; LstEffectif[[#This Row],[prenom]]</f>
        <v>LOUREIRO LABAZUY Antonio</v>
      </c>
    </row>
    <row r="42" spans="1:6" s="25" customFormat="1" ht="14">
      <c r="A42">
        <v>41</v>
      </c>
      <c r="B42" s="143" t="s">
        <v>390</v>
      </c>
      <c r="C42" s="143" t="s">
        <v>348</v>
      </c>
      <c r="D42" s="143" t="s">
        <v>466</v>
      </c>
      <c r="E42" t="str">
        <f>LstEffectif[[#This Row],[prenom]] &amp; " " &amp; LstEffectif[[#This Row],[nom]]</f>
        <v>Paul MICHELIN</v>
      </c>
      <c r="F42" t="str">
        <f>LstEffectif[[#This Row],[nom]] &amp; " " &amp; LstEffectif[[#This Row],[prenom]]</f>
        <v>MICHELIN Paul</v>
      </c>
    </row>
    <row r="43" spans="1:6" s="25" customFormat="1" ht="14">
      <c r="A43">
        <v>42</v>
      </c>
      <c r="B43" s="143" t="s">
        <v>391</v>
      </c>
      <c r="C43" s="143" t="s">
        <v>392</v>
      </c>
      <c r="D43" s="143"/>
      <c r="E43" t="str">
        <f>LstEffectif[[#This Row],[prenom]] &amp; " " &amp; LstEffectif[[#This Row],[nom]]</f>
        <v>Leo Paul MORANT</v>
      </c>
      <c r="F43" t="str">
        <f>LstEffectif[[#This Row],[nom]] &amp; " " &amp; LstEffectif[[#This Row],[prenom]]</f>
        <v>MORANT Leo Paul</v>
      </c>
    </row>
    <row r="44" spans="1:6" s="25" customFormat="1" ht="14">
      <c r="A44">
        <v>43</v>
      </c>
      <c r="B44" s="143" t="s">
        <v>393</v>
      </c>
      <c r="C44" s="143" t="s">
        <v>394</v>
      </c>
      <c r="D44" s="143"/>
      <c r="E44" t="str">
        <f>LstEffectif[[#This Row],[prenom]] &amp; " " &amp; LstEffectif[[#This Row],[nom]]</f>
        <v>Alexis MOUDENS</v>
      </c>
      <c r="F44" t="str">
        <f>LstEffectif[[#This Row],[nom]] &amp; " " &amp; LstEffectif[[#This Row],[prenom]]</f>
        <v>MOUDENS Alexis</v>
      </c>
    </row>
    <row r="45" spans="1:6" s="25" customFormat="1" ht="14">
      <c r="A45">
        <v>44</v>
      </c>
      <c r="B45" s="143" t="s">
        <v>395</v>
      </c>
      <c r="C45" s="143" t="s">
        <v>396</v>
      </c>
      <c r="D45" s="143"/>
      <c r="E45" t="str">
        <f>LstEffectif[[#This Row],[prenom]] &amp; " " &amp; LstEffectif[[#This Row],[nom]]</f>
        <v>Antton MOURGUES</v>
      </c>
      <c r="F45" t="str">
        <f>LstEffectif[[#This Row],[nom]] &amp; " " &amp; LstEffectif[[#This Row],[prenom]]</f>
        <v>MOURGUES Antton</v>
      </c>
    </row>
    <row r="46" spans="1:6" s="25" customFormat="1" ht="14">
      <c r="A46">
        <v>45</v>
      </c>
      <c r="B46" s="143" t="s">
        <v>397</v>
      </c>
      <c r="C46" s="143" t="s">
        <v>398</v>
      </c>
      <c r="D46" s="143"/>
      <c r="E46" t="str">
        <f>LstEffectif[[#This Row],[prenom]] &amp; " " &amp; LstEffectif[[#This Row],[nom]]</f>
        <v>Thibaud MOURLAN</v>
      </c>
      <c r="F46" t="str">
        <f>LstEffectif[[#This Row],[nom]] &amp; " " &amp; LstEffectif[[#This Row],[prenom]]</f>
        <v>MOURLAN Thibaud</v>
      </c>
    </row>
    <row r="47" spans="1:6" s="25" customFormat="1" ht="14">
      <c r="A47">
        <v>46</v>
      </c>
      <c r="B47" s="143" t="s">
        <v>399</v>
      </c>
      <c r="C47" s="143" t="s">
        <v>400</v>
      </c>
      <c r="D47" s="143" t="s">
        <v>466</v>
      </c>
      <c r="E47" t="str">
        <f>LstEffectif[[#This Row],[prenom]] &amp; " " &amp; LstEffectif[[#This Row],[nom]]</f>
        <v>Martin MULLIER</v>
      </c>
      <c r="F47" t="str">
        <f>LstEffectif[[#This Row],[nom]] &amp; " " &amp; LstEffectif[[#This Row],[prenom]]</f>
        <v>MULLIER Martin</v>
      </c>
    </row>
    <row r="48" spans="1:6" s="25" customFormat="1" ht="14">
      <c r="A48">
        <v>47</v>
      </c>
      <c r="B48" s="143" t="s">
        <v>399</v>
      </c>
      <c r="C48" s="143" t="s">
        <v>401</v>
      </c>
      <c r="D48" s="143"/>
      <c r="E48" t="str">
        <f>LstEffectif[[#This Row],[prenom]] &amp; " " &amp; LstEffectif[[#This Row],[nom]]</f>
        <v>Victor MULLIER</v>
      </c>
      <c r="F48" t="str">
        <f>LstEffectif[[#This Row],[nom]] &amp; " " &amp; LstEffectif[[#This Row],[prenom]]</f>
        <v>MULLIER Victor</v>
      </c>
    </row>
    <row r="49" spans="1:6" s="25" customFormat="1" ht="14">
      <c r="A49">
        <v>48</v>
      </c>
      <c r="B49" s="143" t="s">
        <v>402</v>
      </c>
      <c r="C49" s="143" t="s">
        <v>403</v>
      </c>
      <c r="D49" s="143"/>
      <c r="E49" t="str">
        <f>LstEffectif[[#This Row],[prenom]] &amp; " " &amp; LstEffectif[[#This Row],[nom]]</f>
        <v>Tomy Lee NGUYEN</v>
      </c>
      <c r="F49" t="str">
        <f>LstEffectif[[#This Row],[nom]] &amp; " " &amp; LstEffectif[[#This Row],[prenom]]</f>
        <v>NGUYEN Tomy Lee</v>
      </c>
    </row>
    <row r="50" spans="1:6" s="25" customFormat="1" ht="14">
      <c r="A50">
        <v>49</v>
      </c>
      <c r="B50" s="143" t="s">
        <v>404</v>
      </c>
      <c r="C50" s="143" t="s">
        <v>405</v>
      </c>
      <c r="D50" s="143"/>
      <c r="E50" t="str">
        <f>LstEffectif[[#This Row],[prenom]] &amp; " " &amp; LstEffectif[[#This Row],[nom]]</f>
        <v>Alys NOILHAN</v>
      </c>
      <c r="F50" t="str">
        <f>LstEffectif[[#This Row],[nom]] &amp; " " &amp; LstEffectif[[#This Row],[prenom]]</f>
        <v>NOILHAN Alys</v>
      </c>
    </row>
    <row r="51" spans="1:6" s="25" customFormat="1" ht="14">
      <c r="A51">
        <v>50</v>
      </c>
      <c r="B51" s="143" t="s">
        <v>406</v>
      </c>
      <c r="C51" s="143" t="s">
        <v>379</v>
      </c>
      <c r="D51" s="143"/>
      <c r="E51" t="str">
        <f>LstEffectif[[#This Row],[prenom]] &amp; " " &amp; LstEffectif[[#This Row],[nom]]</f>
        <v>Kevin OLIVERA</v>
      </c>
      <c r="F51" t="str">
        <f>LstEffectif[[#This Row],[nom]] &amp; " " &amp; LstEffectif[[#This Row],[prenom]]</f>
        <v>OLIVERA Kevin</v>
      </c>
    </row>
    <row r="52" spans="1:6" s="25" customFormat="1" ht="14">
      <c r="A52">
        <v>51</v>
      </c>
      <c r="B52" s="143" t="s">
        <v>407</v>
      </c>
      <c r="C52" s="143" t="s">
        <v>408</v>
      </c>
      <c r="D52" s="143"/>
      <c r="E52" t="str">
        <f>LstEffectif[[#This Row],[prenom]] &amp; " " &amp; LstEffectif[[#This Row],[nom]]</f>
        <v>Maxime PIQUEMIL</v>
      </c>
      <c r="F52" t="str">
        <f>LstEffectif[[#This Row],[nom]] &amp; " " &amp; LstEffectif[[#This Row],[prenom]]</f>
        <v>PIQUEMIL Maxime</v>
      </c>
    </row>
    <row r="53" spans="1:6" s="25" customFormat="1" ht="14">
      <c r="A53">
        <v>52</v>
      </c>
      <c r="B53" s="143" t="s">
        <v>409</v>
      </c>
      <c r="C53" s="143" t="s">
        <v>353</v>
      </c>
      <c r="D53" s="143" t="s">
        <v>466</v>
      </c>
      <c r="E53" t="str">
        <f>LstEffectif[[#This Row],[prenom]] &amp; " " &amp; LstEffectif[[#This Row],[nom]]</f>
        <v>Julien POUYADOU</v>
      </c>
      <c r="F53" t="str">
        <f>LstEffectif[[#This Row],[nom]] &amp; " " &amp; LstEffectif[[#This Row],[prenom]]</f>
        <v>POUYADOU Julien</v>
      </c>
    </row>
    <row r="54" spans="1:6" s="25" customFormat="1" ht="14">
      <c r="A54">
        <v>53</v>
      </c>
      <c r="B54" s="143" t="s">
        <v>410</v>
      </c>
      <c r="C54" s="143" t="s">
        <v>323</v>
      </c>
      <c r="D54" s="143"/>
      <c r="E54" t="str">
        <f>LstEffectif[[#This Row],[prenom]] &amp; " " &amp; LstEffectif[[#This Row],[nom]]</f>
        <v>Louis RECURT</v>
      </c>
      <c r="F54" t="str">
        <f>LstEffectif[[#This Row],[nom]] &amp; " " &amp; LstEffectif[[#This Row],[prenom]]</f>
        <v>RECURT Louis</v>
      </c>
    </row>
    <row r="55" spans="1:6" s="25" customFormat="1" ht="14">
      <c r="A55">
        <v>54</v>
      </c>
      <c r="B55" s="143" t="s">
        <v>411</v>
      </c>
      <c r="C55" s="143" t="s">
        <v>412</v>
      </c>
      <c r="D55" s="143" t="s">
        <v>466</v>
      </c>
      <c r="E55" t="str">
        <f>LstEffectif[[#This Row],[prenom]] &amp; " " &amp; LstEffectif[[#This Row],[nom]]</f>
        <v>Damien RICHARD</v>
      </c>
      <c r="F55" t="str">
        <f>LstEffectif[[#This Row],[nom]] &amp; " " &amp; LstEffectif[[#This Row],[prenom]]</f>
        <v>RICHARD Damien</v>
      </c>
    </row>
    <row r="56" spans="1:6" s="25" customFormat="1" ht="14">
      <c r="A56">
        <v>55</v>
      </c>
      <c r="B56" s="143" t="s">
        <v>413</v>
      </c>
      <c r="C56" s="143" t="s">
        <v>290</v>
      </c>
      <c r="D56" s="143" t="s">
        <v>466</v>
      </c>
      <c r="E56" t="str">
        <f>LstEffectif[[#This Row],[prenom]] &amp; " " &amp; LstEffectif[[#This Row],[nom]]</f>
        <v>Gregory RICHIARDONNE</v>
      </c>
      <c r="F56" t="str">
        <f>LstEffectif[[#This Row],[nom]] &amp; " " &amp; LstEffectif[[#This Row],[prenom]]</f>
        <v>RICHIARDONNE Gregory</v>
      </c>
    </row>
    <row r="57" spans="1:6" s="25" customFormat="1" ht="14">
      <c r="A57">
        <v>56</v>
      </c>
      <c r="B57" s="143" t="s">
        <v>414</v>
      </c>
      <c r="C57" s="143" t="s">
        <v>415</v>
      </c>
      <c r="D57" s="143" t="s">
        <v>466</v>
      </c>
      <c r="E57" t="str">
        <f>LstEffectif[[#This Row],[prenom]] &amp; " " &amp; LstEffectif[[#This Row],[nom]]</f>
        <v>Jimmy ROBERT</v>
      </c>
      <c r="F57" t="str">
        <f>LstEffectif[[#This Row],[nom]] &amp; " " &amp; LstEffectif[[#This Row],[prenom]]</f>
        <v>ROBERT Jimmy</v>
      </c>
    </row>
    <row r="58" spans="1:6" s="25" customFormat="1" ht="14">
      <c r="A58">
        <v>57</v>
      </c>
      <c r="B58" s="143" t="s">
        <v>416</v>
      </c>
      <c r="C58" s="143" t="s">
        <v>417</v>
      </c>
      <c r="D58" s="143"/>
      <c r="E58" t="str">
        <f>LstEffectif[[#This Row],[prenom]] &amp; " " &amp; LstEffectif[[#This Row],[nom]]</f>
        <v>Mathis ROUSSEL</v>
      </c>
      <c r="F58" t="str">
        <f>LstEffectif[[#This Row],[nom]] &amp; " " &amp; LstEffectif[[#This Row],[prenom]]</f>
        <v>ROUSSEL Mathis</v>
      </c>
    </row>
    <row r="59" spans="1:6" s="25" customFormat="1" ht="14">
      <c r="A59">
        <v>58</v>
      </c>
      <c r="B59" s="143" t="s">
        <v>418</v>
      </c>
      <c r="C59" s="143" t="s">
        <v>419</v>
      </c>
      <c r="D59" s="143"/>
      <c r="E59" t="str">
        <f>LstEffectif[[#This Row],[prenom]] &amp; " " &amp; LstEffectif[[#This Row],[nom]]</f>
        <v>Fabien SALLES</v>
      </c>
      <c r="F59" t="str">
        <f>LstEffectif[[#This Row],[nom]] &amp; " " &amp; LstEffectif[[#This Row],[prenom]]</f>
        <v>SALLES Fabien</v>
      </c>
    </row>
    <row r="60" spans="1:6" s="25" customFormat="1" ht="14">
      <c r="A60">
        <v>59</v>
      </c>
      <c r="B60" s="143" t="s">
        <v>418</v>
      </c>
      <c r="C60" s="143" t="s">
        <v>351</v>
      </c>
      <c r="D60" s="143"/>
      <c r="E60" t="str">
        <f>LstEffectif[[#This Row],[prenom]] &amp; " " &amp; LstEffectif[[#This Row],[nom]]</f>
        <v>Dorian SALLES</v>
      </c>
      <c r="F60" t="str">
        <f>LstEffectif[[#This Row],[nom]] &amp; " " &amp; LstEffectif[[#This Row],[prenom]]</f>
        <v>SALLES Dorian</v>
      </c>
    </row>
    <row r="61" spans="1:6" s="25" customFormat="1" ht="14">
      <c r="A61">
        <v>60</v>
      </c>
      <c r="B61" s="143" t="s">
        <v>420</v>
      </c>
      <c r="C61" s="143" t="s">
        <v>421</v>
      </c>
      <c r="D61" s="143"/>
      <c r="E61" t="str">
        <f>LstEffectif[[#This Row],[prenom]] &amp; " " &amp; LstEffectif[[#This Row],[nom]]</f>
        <v>Dylan SIMOES</v>
      </c>
      <c r="F61" t="str">
        <f>LstEffectif[[#This Row],[nom]] &amp; " " &amp; LstEffectif[[#This Row],[prenom]]</f>
        <v>SIMOES Dylan</v>
      </c>
    </row>
    <row r="62" spans="1:6" s="25" customFormat="1" ht="14">
      <c r="A62">
        <v>61</v>
      </c>
      <c r="B62" s="143" t="s">
        <v>422</v>
      </c>
      <c r="C62" s="143" t="s">
        <v>326</v>
      </c>
      <c r="D62" s="143" t="s">
        <v>466</v>
      </c>
      <c r="E62" t="str">
        <f>LstEffectif[[#This Row],[prenom]] &amp; " " &amp; LstEffectif[[#This Row],[nom]]</f>
        <v>Quentin SOUVILLE</v>
      </c>
      <c r="F62" t="str">
        <f>LstEffectif[[#This Row],[nom]] &amp; " " &amp; LstEffectif[[#This Row],[prenom]]</f>
        <v>SOUVILLE Quentin</v>
      </c>
    </row>
    <row r="63" spans="1:6" s="25" customFormat="1" ht="14">
      <c r="A63">
        <v>62</v>
      </c>
      <c r="B63" s="143" t="s">
        <v>423</v>
      </c>
      <c r="C63" s="143" t="s">
        <v>424</v>
      </c>
      <c r="D63" s="143"/>
      <c r="E63" t="str">
        <f>LstEffectif[[#This Row],[prenom]] &amp; " " &amp; LstEffectif[[#This Row],[nom]]</f>
        <v>Gatien SUSPENE</v>
      </c>
      <c r="F63" t="str">
        <f>LstEffectif[[#This Row],[nom]] &amp; " " &amp; LstEffectif[[#This Row],[prenom]]</f>
        <v>SUSPENE Gatien</v>
      </c>
    </row>
    <row r="64" spans="1:6" s="25" customFormat="1" ht="14">
      <c r="A64">
        <v>63</v>
      </c>
      <c r="B64" s="143" t="s">
        <v>425</v>
      </c>
      <c r="C64" s="143" t="s">
        <v>426</v>
      </c>
      <c r="D64" s="143"/>
      <c r="E64" t="str">
        <f>LstEffectif[[#This Row],[prenom]] &amp; " " &amp; LstEffectif[[#This Row],[nom]]</f>
        <v>Faid TABTI</v>
      </c>
      <c r="F64" t="str">
        <f>LstEffectif[[#This Row],[nom]] &amp; " " &amp; LstEffectif[[#This Row],[prenom]]</f>
        <v>TABTI Faid</v>
      </c>
    </row>
    <row r="65" spans="1:6" s="25" customFormat="1" ht="14">
      <c r="A65">
        <v>64</v>
      </c>
      <c r="B65" s="143" t="s">
        <v>427</v>
      </c>
      <c r="C65" s="143" t="s">
        <v>351</v>
      </c>
      <c r="D65" s="143"/>
      <c r="E65" t="str">
        <f>LstEffectif[[#This Row],[prenom]] &amp; " " &amp; LstEffectif[[#This Row],[nom]]</f>
        <v>Dorian TOUVAT</v>
      </c>
      <c r="F65" t="str">
        <f>LstEffectif[[#This Row],[nom]] &amp; " " &amp; LstEffectif[[#This Row],[prenom]]</f>
        <v>TOUVAT Dorian</v>
      </c>
    </row>
    <row r="66" spans="1:6" s="25" customFormat="1" ht="14">
      <c r="A66">
        <v>65</v>
      </c>
      <c r="B66" s="143" t="s">
        <v>428</v>
      </c>
      <c r="C66" s="143" t="s">
        <v>429</v>
      </c>
      <c r="D66" s="143"/>
      <c r="E66" t="str">
        <f>LstEffectif[[#This Row],[prenom]] &amp; " " &amp; LstEffectif[[#This Row],[nom]]</f>
        <v>Aymeric VANDEKERKOF</v>
      </c>
      <c r="F66" t="str">
        <f>LstEffectif[[#This Row],[nom]] &amp; " " &amp; LstEffectif[[#This Row],[prenom]]</f>
        <v>VANDEKERKOF Aymeric</v>
      </c>
    </row>
    <row r="67" spans="1:6" s="25" customFormat="1" ht="14">
      <c r="A67">
        <v>66</v>
      </c>
      <c r="B67" s="143" t="s">
        <v>430</v>
      </c>
      <c r="C67" s="143" t="s">
        <v>338</v>
      </c>
      <c r="D67" s="143"/>
      <c r="E67" t="str">
        <f>LstEffectif[[#This Row],[prenom]] &amp; " " &amp; LstEffectif[[#This Row],[nom]]</f>
        <v>Sebastien VINCENT</v>
      </c>
      <c r="F67" t="str">
        <f>LstEffectif[[#This Row],[nom]] &amp; " " &amp; LstEffectif[[#This Row],[prenom]]</f>
        <v>VINCENT Sebastien</v>
      </c>
    </row>
    <row r="68" spans="1:6" s="25" customFormat="1" ht="14">
      <c r="A68">
        <v>67</v>
      </c>
      <c r="B68" s="143" t="s">
        <v>431</v>
      </c>
      <c r="C68" s="143" t="s">
        <v>432</v>
      </c>
      <c r="D68" s="143"/>
      <c r="E68" t="str">
        <f>LstEffectif[[#This Row],[prenom]] &amp; " " &amp; LstEffectif[[#This Row],[nom]]</f>
        <v>Fritz Lane ZIGI MBITTA</v>
      </c>
      <c r="F68" t="str">
        <f>LstEffectif[[#This Row],[nom]] &amp; " " &amp; LstEffectif[[#This Row],[prenom]]</f>
        <v>ZIGI MBITTA Fritz Lane</v>
      </c>
    </row>
    <row r="69" spans="1:6" s="25" customFormat="1"/>
    <row r="70" spans="1:6" s="25" customFormat="1"/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>
      <c r="A296"/>
      <c r="B296"/>
      <c r="C296"/>
      <c r="D296"/>
      <c r="E296"/>
      <c r="F296"/>
    </row>
    <row r="297" spans="1:6" s="25" customFormat="1">
      <c r="A297"/>
      <c r="B297"/>
      <c r="C297"/>
      <c r="D297"/>
      <c r="E297"/>
      <c r="F297"/>
    </row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68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2" width="4.1640625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09" t="s">
        <v>254</v>
      </c>
      <c r="C2" s="209"/>
      <c r="E2" s="210" t="s">
        <v>255</v>
      </c>
      <c r="F2" s="211"/>
      <c r="G2" s="211"/>
      <c r="H2" s="212"/>
    </row>
    <row r="3" spans="1:8" ht="19" customHeight="1">
      <c r="B3" s="209"/>
      <c r="C3" s="209"/>
      <c r="E3" s="213"/>
      <c r="F3" s="214"/>
      <c r="G3" s="214"/>
      <c r="H3" s="215"/>
    </row>
    <row r="4" spans="1:8" ht="19" customHeight="1" thickBot="1">
      <c r="B4" s="209"/>
      <c r="C4" s="209"/>
      <c r="E4" s="216"/>
      <c r="F4" s="217"/>
      <c r="G4" s="217"/>
      <c r="H4" s="218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468</v>
      </c>
      <c r="G7" t="s">
        <v>204</v>
      </c>
      <c r="H7">
        <v>80</v>
      </c>
    </row>
    <row r="8" spans="1:8">
      <c r="B8" s="70" t="s">
        <v>263</v>
      </c>
      <c r="C8" s="71">
        <v>46284</v>
      </c>
      <c r="E8">
        <v>2</v>
      </c>
      <c r="F8" t="s">
        <v>469</v>
      </c>
      <c r="G8" t="s">
        <v>204</v>
      </c>
      <c r="H8">
        <v>70</v>
      </c>
    </row>
    <row r="9" spans="1:8">
      <c r="B9" s="25"/>
      <c r="C9" s="25"/>
      <c r="E9">
        <v>3</v>
      </c>
      <c r="F9" t="s">
        <v>470</v>
      </c>
      <c r="G9" t="s">
        <v>204</v>
      </c>
      <c r="H9">
        <v>60</v>
      </c>
    </row>
    <row r="10" spans="1:8">
      <c r="B10" s="70" t="s">
        <v>235</v>
      </c>
      <c r="C10" s="71" t="s">
        <v>439</v>
      </c>
      <c r="E10">
        <v>4</v>
      </c>
      <c r="F10" t="s">
        <v>471</v>
      </c>
      <c r="G10" t="s">
        <v>204</v>
      </c>
      <c r="H10">
        <v>57</v>
      </c>
    </row>
    <row r="11" spans="1:8">
      <c r="B11" s="25"/>
      <c r="C11" s="25"/>
      <c r="E11">
        <v>5</v>
      </c>
      <c r="F11" t="s">
        <v>472</v>
      </c>
      <c r="G11" t="s">
        <v>204</v>
      </c>
      <c r="H11">
        <v>73</v>
      </c>
    </row>
    <row r="12" spans="1:8">
      <c r="B12" s="70" t="s">
        <v>262</v>
      </c>
      <c r="C12" s="71" t="s">
        <v>231</v>
      </c>
      <c r="E12">
        <v>6</v>
      </c>
      <c r="F12" t="s">
        <v>473</v>
      </c>
      <c r="G12" t="s">
        <v>204</v>
      </c>
      <c r="H12">
        <v>50</v>
      </c>
    </row>
    <row r="13" spans="1:8">
      <c r="B13" s="25"/>
      <c r="C13" s="25"/>
      <c r="E13">
        <v>7</v>
      </c>
      <c r="F13" t="s">
        <v>474</v>
      </c>
      <c r="G13" t="s">
        <v>204</v>
      </c>
      <c r="H13">
        <v>75</v>
      </c>
    </row>
    <row r="14" spans="1:8">
      <c r="B14" s="70" t="s">
        <v>236</v>
      </c>
      <c r="C14" s="71" t="s">
        <v>232</v>
      </c>
      <c r="E14">
        <v>8</v>
      </c>
      <c r="F14" t="s">
        <v>475</v>
      </c>
      <c r="G14" t="s">
        <v>204</v>
      </c>
      <c r="H14">
        <v>80</v>
      </c>
    </row>
    <row r="15" spans="1:8">
      <c r="B15" s="25"/>
      <c r="C15" s="92"/>
      <c r="E15" s="63">
        <v>9</v>
      </c>
      <c r="F15" s="63" t="s">
        <v>476</v>
      </c>
      <c r="G15" s="63" t="s">
        <v>222</v>
      </c>
      <c r="H15" s="63">
        <v>57</v>
      </c>
    </row>
    <row r="16" spans="1:8">
      <c r="B16" s="70" t="s">
        <v>237</v>
      </c>
      <c r="C16" s="72">
        <v>1</v>
      </c>
      <c r="E16">
        <v>10</v>
      </c>
      <c r="F16" t="s">
        <v>477</v>
      </c>
      <c r="G16" t="s">
        <v>222</v>
      </c>
      <c r="H16">
        <v>80</v>
      </c>
    </row>
    <row r="17" spans="1:8">
      <c r="B17" s="25"/>
      <c r="C17" s="25"/>
      <c r="E17">
        <v>11</v>
      </c>
      <c r="F17" t="s">
        <v>478</v>
      </c>
      <c r="G17" t="s">
        <v>222</v>
      </c>
      <c r="H17">
        <v>79</v>
      </c>
    </row>
    <row r="18" spans="1:8">
      <c r="B18" s="70" t="s">
        <v>238</v>
      </c>
      <c r="C18" s="71" t="s">
        <v>247</v>
      </c>
      <c r="E18">
        <v>12</v>
      </c>
      <c r="F18" t="s">
        <v>479</v>
      </c>
      <c r="G18" t="s">
        <v>222</v>
      </c>
      <c r="H18">
        <v>80</v>
      </c>
    </row>
    <row r="19" spans="1:8">
      <c r="B19" s="25"/>
      <c r="C19" s="92"/>
      <c r="E19">
        <v>13</v>
      </c>
      <c r="F19" t="s">
        <v>480</v>
      </c>
      <c r="G19" t="s">
        <v>222</v>
      </c>
      <c r="H19">
        <v>80</v>
      </c>
    </row>
    <row r="20" spans="1:8">
      <c r="B20" s="70" t="s">
        <v>261</v>
      </c>
      <c r="C20" s="71" t="s">
        <v>257</v>
      </c>
      <c r="E20">
        <v>14</v>
      </c>
      <c r="F20" t="s">
        <v>481</v>
      </c>
      <c r="G20" t="s">
        <v>222</v>
      </c>
      <c r="H20">
        <v>67</v>
      </c>
    </row>
    <row r="21" spans="1:8">
      <c r="B21" s="25"/>
      <c r="C21" s="25"/>
      <c r="E21" s="58">
        <v>15</v>
      </c>
      <c r="F21" s="58" t="s">
        <v>482</v>
      </c>
      <c r="G21" s="58" t="s">
        <v>222</v>
      </c>
      <c r="H21" s="58">
        <v>80</v>
      </c>
    </row>
    <row r="22" spans="1:8">
      <c r="B22" s="25"/>
      <c r="C22" s="25"/>
      <c r="E22">
        <v>16</v>
      </c>
      <c r="F22" t="s">
        <v>483</v>
      </c>
      <c r="G22" t="s">
        <v>204</v>
      </c>
      <c r="H22">
        <v>50</v>
      </c>
    </row>
    <row r="23" spans="1:8">
      <c r="B23" s="25"/>
      <c r="C23" s="25"/>
      <c r="E23">
        <v>17</v>
      </c>
      <c r="F23" t="s">
        <v>484</v>
      </c>
      <c r="G23" t="s">
        <v>204</v>
      </c>
      <c r="H23">
        <v>15</v>
      </c>
    </row>
    <row r="24" spans="1:8">
      <c r="B24" s="25"/>
      <c r="C24" s="25"/>
      <c r="E24">
        <v>18</v>
      </c>
      <c r="F24" t="s">
        <v>485</v>
      </c>
      <c r="G24" t="s">
        <v>204</v>
      </c>
      <c r="H24">
        <v>37</v>
      </c>
    </row>
    <row r="25" spans="1:8">
      <c r="B25" s="25"/>
      <c r="C25" s="25"/>
      <c r="E25">
        <v>19</v>
      </c>
      <c r="F25" t="s">
        <v>486</v>
      </c>
      <c r="G25" t="s">
        <v>204</v>
      </c>
      <c r="H25">
        <v>13</v>
      </c>
    </row>
    <row r="26" spans="1:8">
      <c r="B26" s="25"/>
      <c r="C26" s="25"/>
      <c r="E26">
        <v>20</v>
      </c>
      <c r="F26" t="s">
        <v>487</v>
      </c>
      <c r="G26" t="s">
        <v>222</v>
      </c>
      <c r="H26">
        <v>23</v>
      </c>
    </row>
    <row r="27" spans="1:8">
      <c r="B27" s="25"/>
      <c r="C27" s="25"/>
      <c r="E27">
        <v>21</v>
      </c>
      <c r="F27" t="s">
        <v>488</v>
      </c>
      <c r="G27" t="s">
        <v>222</v>
      </c>
      <c r="H27">
        <v>1</v>
      </c>
    </row>
    <row r="28" spans="1:8">
      <c r="B28" s="25"/>
      <c r="C28" s="25"/>
      <c r="E28">
        <v>22</v>
      </c>
      <c r="F28" t="s">
        <v>489</v>
      </c>
      <c r="G28" t="s">
        <v>222</v>
      </c>
      <c r="H28">
        <v>13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490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2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/>
      <c r="C1" s="228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5"/>
      <c r="AZ1" s="15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16"/>
      <c r="E3" s="116"/>
      <c r="F3" s="115"/>
      <c r="G3" s="117"/>
      <c r="H3" s="115"/>
      <c r="I3" s="117"/>
      <c r="J3" s="117"/>
      <c r="K3" s="117"/>
      <c r="L3" s="115"/>
      <c r="M3" s="117"/>
      <c r="N3" s="115"/>
      <c r="O3" s="128"/>
      <c r="P3" s="140"/>
      <c r="Q3" s="161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5"/>
      <c r="AD3" s="184"/>
      <c r="AE3" s="171"/>
      <c r="AF3" s="171"/>
      <c r="AG3" s="171"/>
      <c r="AH3" s="171"/>
      <c r="AI3" s="182"/>
    </row>
    <row r="4" spans="1:52" ht="42" customHeight="1">
      <c r="A4" s="25"/>
      <c r="B4" s="25"/>
      <c r="C4" s="118"/>
      <c r="D4" s="229" t="s">
        <v>175</v>
      </c>
      <c r="E4" s="230"/>
      <c r="F4" s="35" t="s">
        <v>89</v>
      </c>
      <c r="G4" s="119"/>
      <c r="H4" s="35" t="s">
        <v>106</v>
      </c>
      <c r="I4" s="120"/>
      <c r="J4" s="121"/>
      <c r="K4" s="122"/>
      <c r="L4" s="28" t="s">
        <v>93</v>
      </c>
      <c r="M4" s="123"/>
      <c r="N4" s="28" t="s">
        <v>94</v>
      </c>
      <c r="O4" s="141"/>
      <c r="P4" s="140"/>
      <c r="Q4" s="166"/>
      <c r="R4" s="159" t="s">
        <v>88</v>
      </c>
      <c r="S4" s="184"/>
      <c r="T4" s="39" t="s">
        <v>79</v>
      </c>
      <c r="U4" s="184"/>
      <c r="V4" s="39" t="s">
        <v>102</v>
      </c>
      <c r="W4" s="184"/>
      <c r="X4" s="39" t="s">
        <v>192</v>
      </c>
      <c r="Y4" s="184"/>
      <c r="Z4" s="39" t="s">
        <v>80</v>
      </c>
      <c r="AA4" s="184"/>
      <c r="AB4" s="39" t="s">
        <v>81</v>
      </c>
      <c r="AC4" s="188"/>
      <c r="AD4" s="184"/>
      <c r="AE4" s="171"/>
      <c r="AF4" s="171"/>
      <c r="AG4" s="171"/>
      <c r="AH4" s="171"/>
      <c r="AI4" s="182"/>
    </row>
    <row r="5" spans="1:52" ht="10" customHeight="1" thickBot="1">
      <c r="A5" s="25"/>
      <c r="B5" s="25"/>
      <c r="C5" s="118"/>
      <c r="D5" s="124"/>
      <c r="E5" s="124"/>
      <c r="F5" s="125"/>
      <c r="G5" s="126"/>
      <c r="H5" s="125"/>
      <c r="I5" s="126"/>
      <c r="J5" s="126"/>
      <c r="K5" s="126"/>
      <c r="L5" s="125"/>
      <c r="M5" s="126"/>
      <c r="N5" s="127"/>
      <c r="O5" s="49"/>
      <c r="P5" s="140"/>
      <c r="Q5" s="180"/>
      <c r="R5" s="187"/>
      <c r="S5" s="181"/>
      <c r="T5" s="187"/>
      <c r="U5" s="181"/>
      <c r="V5" s="187"/>
      <c r="W5" s="181"/>
      <c r="X5" s="187"/>
      <c r="Y5" s="181"/>
      <c r="Z5" s="187"/>
      <c r="AA5" s="181"/>
      <c r="AB5" s="187"/>
      <c r="AC5" s="189"/>
      <c r="AD5" s="184"/>
      <c r="AE5" s="171"/>
      <c r="AF5" s="171"/>
      <c r="AG5" s="171"/>
      <c r="AH5" s="171"/>
      <c r="AI5" s="182"/>
    </row>
    <row r="6" spans="1:52" ht="10" customHeight="1" thickTop="1" thickBot="1">
      <c r="A6" s="25"/>
      <c r="B6" s="25"/>
      <c r="C6" s="128"/>
      <c r="D6" s="116"/>
      <c r="E6" s="116"/>
      <c r="F6" s="117"/>
      <c r="G6" s="117"/>
      <c r="H6" s="117"/>
      <c r="I6" s="117"/>
      <c r="J6" s="117"/>
      <c r="K6" s="117"/>
      <c r="L6" s="117"/>
      <c r="M6" s="117"/>
      <c r="N6" s="117"/>
      <c r="O6" s="128"/>
      <c r="P6" s="142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71"/>
      <c r="AE6" s="171"/>
      <c r="AF6" s="171"/>
      <c r="AG6" s="171"/>
      <c r="AH6" s="171"/>
      <c r="AI6" s="182"/>
    </row>
    <row r="7" spans="1:52" ht="10" customHeight="1" thickTop="1">
      <c r="A7" s="25"/>
      <c r="B7" s="25"/>
      <c r="C7" s="51"/>
      <c r="D7" s="130"/>
      <c r="E7" s="131"/>
      <c r="F7" s="129"/>
      <c r="G7" s="131"/>
      <c r="H7" s="129"/>
      <c r="I7" s="131"/>
      <c r="J7" s="129"/>
      <c r="K7" s="131"/>
      <c r="L7" s="129"/>
      <c r="M7" s="131"/>
      <c r="N7" s="131"/>
      <c r="O7" s="131"/>
      <c r="P7" s="140"/>
      <c r="Q7" s="161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5"/>
      <c r="AD7" s="184"/>
      <c r="AE7" s="171"/>
      <c r="AF7" s="171"/>
      <c r="AG7" s="171"/>
      <c r="AH7" s="171"/>
      <c r="AI7" s="182"/>
    </row>
    <row r="8" spans="1:52" ht="26" customHeight="1">
      <c r="A8" s="25"/>
      <c r="B8" s="25"/>
      <c r="C8" s="132"/>
      <c r="D8" s="133" t="s">
        <v>298</v>
      </c>
      <c r="E8" s="134"/>
      <c r="F8" s="33"/>
      <c r="G8" s="135"/>
      <c r="H8" s="112"/>
      <c r="I8" s="135"/>
      <c r="J8" s="113"/>
      <c r="K8" s="135"/>
      <c r="L8" s="114"/>
      <c r="M8" s="120"/>
      <c r="N8" s="126"/>
      <c r="O8" s="139"/>
      <c r="P8" s="140"/>
      <c r="Q8" s="166"/>
      <c r="R8" s="159" t="s">
        <v>99</v>
      </c>
      <c r="S8" s="184"/>
      <c r="T8" s="31" t="s">
        <v>83</v>
      </c>
      <c r="U8" s="184"/>
      <c r="V8" s="31" t="s">
        <v>84</v>
      </c>
      <c r="W8" s="184"/>
      <c r="X8" s="31" t="s">
        <v>85</v>
      </c>
      <c r="Y8" s="184"/>
      <c r="Z8" s="31" t="s">
        <v>86</v>
      </c>
      <c r="AA8" s="184"/>
      <c r="AB8" s="24" t="s">
        <v>87</v>
      </c>
      <c r="AC8" s="188"/>
      <c r="AD8" s="184"/>
      <c r="AE8" s="171"/>
      <c r="AF8" s="171"/>
      <c r="AG8" s="171"/>
      <c r="AH8" s="171"/>
      <c r="AI8" s="182"/>
    </row>
    <row r="9" spans="1:52" ht="10" customHeight="1" thickBot="1">
      <c r="A9" s="25"/>
      <c r="B9" s="25"/>
      <c r="C9" s="118"/>
      <c r="D9" s="136"/>
      <c r="E9" s="124"/>
      <c r="F9" s="125"/>
      <c r="G9" s="126"/>
      <c r="H9" s="125"/>
      <c r="I9" s="126"/>
      <c r="J9" s="125"/>
      <c r="K9" s="126"/>
      <c r="L9" s="125"/>
      <c r="M9" s="126"/>
      <c r="N9" s="137"/>
      <c r="O9" s="49"/>
      <c r="P9" s="140"/>
      <c r="Q9" s="180"/>
      <c r="R9" s="187"/>
      <c r="S9" s="181"/>
      <c r="T9" s="187"/>
      <c r="U9" s="181"/>
      <c r="V9" s="187"/>
      <c r="W9" s="181"/>
      <c r="X9" s="187"/>
      <c r="Y9" s="181"/>
      <c r="Z9" s="187"/>
      <c r="AA9" s="181"/>
      <c r="AB9" s="187"/>
      <c r="AC9" s="189"/>
      <c r="AD9" s="184"/>
      <c r="AE9" s="171"/>
      <c r="AF9" s="171"/>
      <c r="AG9" s="171"/>
      <c r="AH9" s="171"/>
      <c r="AI9" s="182"/>
    </row>
    <row r="10" spans="1:52" ht="10" customHeight="1" thickTop="1" thickBot="1">
      <c r="A10" s="25"/>
      <c r="B10" s="25"/>
      <c r="C10" s="131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1"/>
      <c r="P10" s="142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71"/>
      <c r="AE10" s="171"/>
      <c r="AF10" s="171"/>
      <c r="AG10" s="171"/>
      <c r="AH10" s="171"/>
      <c r="AI10" s="182"/>
    </row>
    <row r="11" spans="1:52" ht="10" customHeight="1" thickTop="1">
      <c r="A11" s="25"/>
      <c r="B11" s="25" t="s">
        <v>95</v>
      </c>
      <c r="C11" s="161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3"/>
      <c r="O11" s="165"/>
      <c r="P11" s="154"/>
      <c r="Q11" s="161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5"/>
    </row>
    <row r="12" spans="1:52" ht="15" customHeight="1">
      <c r="A12" s="25"/>
      <c r="B12" s="25"/>
      <c r="C12" s="166"/>
      <c r="D12" s="231" t="s">
        <v>68</v>
      </c>
      <c r="E12" s="231"/>
      <c r="F12" s="231"/>
      <c r="G12" s="231"/>
      <c r="H12" s="231"/>
      <c r="I12" s="231"/>
      <c r="J12" s="231"/>
      <c r="K12" s="231"/>
      <c r="L12" s="231"/>
      <c r="M12" s="232"/>
      <c r="N12" s="233"/>
      <c r="O12" s="170"/>
      <c r="P12" s="154"/>
      <c r="Q12" s="166"/>
      <c r="R12" s="219" t="s">
        <v>69</v>
      </c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20"/>
      <c r="AH12" s="221"/>
      <c r="AI12" s="188"/>
    </row>
    <row r="13" spans="1:52">
      <c r="A13" s="25"/>
      <c r="B13" s="25"/>
      <c r="C13" s="166"/>
      <c r="D13" s="167"/>
      <c r="E13" s="171"/>
      <c r="F13" s="167"/>
      <c r="G13" s="171"/>
      <c r="H13" s="167"/>
      <c r="I13" s="171"/>
      <c r="J13" s="167"/>
      <c r="K13" s="171"/>
      <c r="L13" s="167"/>
      <c r="M13" s="171"/>
      <c r="N13" s="167"/>
      <c r="O13" s="170"/>
      <c r="P13" s="154"/>
      <c r="Q13" s="166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70"/>
    </row>
    <row r="14" spans="1:52" ht="42" customHeight="1">
      <c r="A14" s="25"/>
      <c r="B14" s="25"/>
      <c r="C14" s="173"/>
      <c r="D14" s="190" t="s">
        <v>491</v>
      </c>
      <c r="E14" s="175"/>
      <c r="F14" s="190" t="s">
        <v>492</v>
      </c>
      <c r="G14" s="175"/>
      <c r="H14" s="190" t="s">
        <v>493</v>
      </c>
      <c r="I14" s="175"/>
      <c r="J14" s="190" t="s">
        <v>494</v>
      </c>
      <c r="K14" s="175"/>
      <c r="L14" s="190" t="s">
        <v>495</v>
      </c>
      <c r="M14" s="175"/>
      <c r="N14" s="190" t="s">
        <v>496</v>
      </c>
      <c r="O14" s="176"/>
      <c r="P14" s="154"/>
      <c r="Q14" s="166"/>
      <c r="R14" s="159" t="s">
        <v>321</v>
      </c>
      <c r="S14" s="184"/>
      <c r="T14" s="29" t="s">
        <v>72</v>
      </c>
      <c r="U14" s="184"/>
      <c r="V14" s="29" t="s">
        <v>70</v>
      </c>
      <c r="W14" s="184"/>
      <c r="X14" s="29" t="s">
        <v>73</v>
      </c>
      <c r="Y14" s="184"/>
      <c r="Z14" s="29" t="s">
        <v>74</v>
      </c>
      <c r="AA14" s="184"/>
      <c r="AB14" s="29" t="s">
        <v>71</v>
      </c>
      <c r="AC14" s="184"/>
      <c r="AD14" s="159" t="s">
        <v>277</v>
      </c>
      <c r="AE14" s="184"/>
      <c r="AF14" s="29" t="s">
        <v>75</v>
      </c>
      <c r="AG14" s="184"/>
      <c r="AH14" s="29" t="s">
        <v>76</v>
      </c>
      <c r="AI14" s="188"/>
    </row>
    <row r="15" spans="1:52" ht="10" customHeight="1">
      <c r="A15" s="25"/>
      <c r="B15" s="25"/>
      <c r="C15" s="166"/>
      <c r="D15" s="174"/>
      <c r="E15" s="171"/>
      <c r="F15" s="174"/>
      <c r="G15" s="171"/>
      <c r="H15" s="174"/>
      <c r="I15" s="171"/>
      <c r="J15" s="174"/>
      <c r="K15" s="171"/>
      <c r="L15" s="174"/>
      <c r="M15" s="171"/>
      <c r="N15" s="174"/>
      <c r="O15" s="170"/>
      <c r="P15" s="154"/>
      <c r="Q15" s="166"/>
      <c r="R15" s="185"/>
      <c r="S15" s="171"/>
      <c r="T15" s="185"/>
      <c r="U15" s="171"/>
      <c r="V15" s="185"/>
      <c r="W15" s="171"/>
      <c r="X15" s="185"/>
      <c r="Y15" s="171"/>
      <c r="Z15" s="185"/>
      <c r="AA15" s="171"/>
      <c r="AB15" s="185"/>
      <c r="AC15" s="171"/>
      <c r="AD15" s="185"/>
      <c r="AE15" s="171"/>
      <c r="AF15" s="185"/>
      <c r="AG15" s="171"/>
      <c r="AH15" s="185"/>
      <c r="AI15" s="170"/>
    </row>
    <row r="16" spans="1:52" ht="42" customHeight="1">
      <c r="A16" s="25"/>
      <c r="B16" s="25"/>
      <c r="C16" s="173"/>
      <c r="D16" s="190" t="s">
        <v>497</v>
      </c>
      <c r="E16" s="175"/>
      <c r="F16" s="190" t="s">
        <v>498</v>
      </c>
      <c r="G16" s="175"/>
      <c r="H16" s="190" t="s">
        <v>499</v>
      </c>
      <c r="I16" s="175"/>
      <c r="J16" s="190" t="s">
        <v>500</v>
      </c>
      <c r="K16" s="175"/>
      <c r="L16" s="190" t="s">
        <v>501</v>
      </c>
      <c r="M16" s="175"/>
      <c r="N16" s="190" t="s">
        <v>502</v>
      </c>
      <c r="O16" s="176"/>
      <c r="P16" s="154"/>
      <c r="Q16" s="166"/>
      <c r="R16" s="159" t="s">
        <v>276</v>
      </c>
      <c r="S16" s="184"/>
      <c r="T16" s="29" t="s">
        <v>75</v>
      </c>
      <c r="U16" s="184"/>
      <c r="V16" s="29" t="s">
        <v>76</v>
      </c>
      <c r="W16" s="184"/>
      <c r="X16" s="29" t="s">
        <v>96</v>
      </c>
      <c r="Y16" s="184"/>
      <c r="Z16" s="171"/>
      <c r="AA16" s="171"/>
      <c r="AB16" s="160" t="s">
        <v>459</v>
      </c>
      <c r="AC16" s="184"/>
      <c r="AD16" s="39" t="s">
        <v>299</v>
      </c>
      <c r="AE16" s="184"/>
      <c r="AF16" s="39" t="s">
        <v>457</v>
      </c>
      <c r="AG16" s="184"/>
      <c r="AH16" s="39" t="s">
        <v>458</v>
      </c>
      <c r="AI16" s="188"/>
    </row>
    <row r="17" spans="1:35" ht="10" customHeight="1">
      <c r="A17" s="25"/>
      <c r="B17" s="25"/>
      <c r="C17" s="166"/>
      <c r="D17" s="174"/>
      <c r="E17" s="171"/>
      <c r="F17" s="174"/>
      <c r="G17" s="171"/>
      <c r="H17" s="174"/>
      <c r="I17" s="171"/>
      <c r="J17" s="174"/>
      <c r="K17" s="171"/>
      <c r="L17" s="174"/>
      <c r="M17" s="171"/>
      <c r="N17" s="174"/>
      <c r="O17" s="170"/>
      <c r="P17" s="154"/>
      <c r="Q17" s="166"/>
      <c r="R17" s="185"/>
      <c r="S17" s="171"/>
      <c r="T17" s="185"/>
      <c r="U17" s="171"/>
      <c r="V17" s="185"/>
      <c r="W17" s="171"/>
      <c r="X17" s="185"/>
      <c r="Y17" s="171"/>
      <c r="Z17" s="171"/>
      <c r="AA17" s="171"/>
      <c r="AB17" s="185"/>
      <c r="AC17" s="171"/>
      <c r="AD17" s="185"/>
      <c r="AE17" s="171"/>
      <c r="AF17" s="185"/>
      <c r="AG17" s="171"/>
      <c r="AH17" s="185"/>
      <c r="AI17" s="170"/>
    </row>
    <row r="18" spans="1:35" ht="42" customHeight="1">
      <c r="A18" s="25"/>
      <c r="B18" s="25"/>
      <c r="C18" s="173"/>
      <c r="D18" s="190" t="s">
        <v>503</v>
      </c>
      <c r="E18" s="175"/>
      <c r="F18" s="190" t="s">
        <v>504</v>
      </c>
      <c r="G18" s="175"/>
      <c r="H18" s="190" t="s">
        <v>505</v>
      </c>
      <c r="I18" s="175"/>
      <c r="J18" s="190" t="s">
        <v>506</v>
      </c>
      <c r="K18" s="175"/>
      <c r="L18" s="190" t="s">
        <v>507</v>
      </c>
      <c r="M18" s="175"/>
      <c r="N18" s="190" t="s">
        <v>508</v>
      </c>
      <c r="O18" s="176"/>
      <c r="P18" s="154"/>
      <c r="Q18" s="166"/>
      <c r="R18" s="159" t="s">
        <v>176</v>
      </c>
      <c r="S18" s="184"/>
      <c r="T18" s="29" t="s">
        <v>177</v>
      </c>
      <c r="U18" s="184"/>
      <c r="V18" s="29" t="s">
        <v>178</v>
      </c>
      <c r="W18" s="184"/>
      <c r="X18" s="29" t="s">
        <v>179</v>
      </c>
      <c r="Y18" s="184"/>
      <c r="Z18" s="29" t="s">
        <v>180</v>
      </c>
      <c r="AA18" s="184"/>
      <c r="AB18" s="29" t="s">
        <v>60</v>
      </c>
      <c r="AC18" s="184"/>
      <c r="AD18" s="29" t="s">
        <v>77</v>
      </c>
      <c r="AE18" s="184"/>
      <c r="AF18" s="29" t="s">
        <v>273</v>
      </c>
      <c r="AG18" s="184"/>
      <c r="AH18" s="29" t="s">
        <v>452</v>
      </c>
      <c r="AI18" s="188"/>
    </row>
    <row r="19" spans="1:35" s="25" customFormat="1" ht="10" customHeight="1">
      <c r="C19" s="166"/>
      <c r="D19" s="174"/>
      <c r="E19" s="171"/>
      <c r="F19" s="174"/>
      <c r="G19" s="171"/>
      <c r="H19" s="174"/>
      <c r="I19" s="171"/>
      <c r="J19" s="174"/>
      <c r="K19" s="171"/>
      <c r="L19" s="174"/>
      <c r="M19" s="171"/>
      <c r="N19" s="174"/>
      <c r="O19" s="170"/>
      <c r="P19" s="154"/>
      <c r="Q19" s="166"/>
      <c r="R19" s="185"/>
      <c r="S19" s="171"/>
      <c r="T19" s="185"/>
      <c r="U19" s="171"/>
      <c r="V19" s="185"/>
      <c r="W19" s="171"/>
      <c r="X19" s="185"/>
      <c r="Y19" s="171"/>
      <c r="Z19" s="185"/>
      <c r="AA19" s="171"/>
      <c r="AB19" s="185"/>
      <c r="AC19" s="171"/>
      <c r="AD19" s="185"/>
      <c r="AE19" s="171"/>
      <c r="AF19" s="185"/>
      <c r="AG19" s="171"/>
      <c r="AH19" s="185"/>
      <c r="AI19" s="170"/>
    </row>
    <row r="20" spans="1:35" ht="42" customHeight="1">
      <c r="A20" s="25"/>
      <c r="B20" s="25"/>
      <c r="C20" s="173"/>
      <c r="D20" s="190" t="s">
        <v>509</v>
      </c>
      <c r="E20" s="175"/>
      <c r="F20" s="190" t="s">
        <v>510</v>
      </c>
      <c r="G20" s="175"/>
      <c r="H20" s="190" t="s">
        <v>511</v>
      </c>
      <c r="I20" s="175"/>
      <c r="J20" s="190" t="s">
        <v>512</v>
      </c>
      <c r="K20" s="175"/>
      <c r="L20" s="191" t="s">
        <v>92</v>
      </c>
      <c r="M20" s="175"/>
      <c r="N20" s="191" t="s">
        <v>82</v>
      </c>
      <c r="O20" s="172"/>
      <c r="P20" s="154"/>
      <c r="Q20" s="166"/>
      <c r="R20" s="159" t="s">
        <v>116</v>
      </c>
      <c r="S20" s="184"/>
      <c r="T20" s="30" t="s">
        <v>210</v>
      </c>
      <c r="U20" s="184"/>
      <c r="V20" s="30" t="s">
        <v>211</v>
      </c>
      <c r="W20" s="184"/>
      <c r="X20" s="159" t="s">
        <v>205</v>
      </c>
      <c r="Y20" s="184"/>
      <c r="Z20" s="30" t="s">
        <v>206</v>
      </c>
      <c r="AA20" s="184"/>
      <c r="AB20" s="30" t="s">
        <v>207</v>
      </c>
      <c r="AC20" s="184"/>
      <c r="AD20" s="30" t="s">
        <v>208</v>
      </c>
      <c r="AE20" s="184"/>
      <c r="AF20" s="30" t="s">
        <v>209</v>
      </c>
      <c r="AG20" s="184"/>
      <c r="AH20" s="30" t="s">
        <v>135</v>
      </c>
      <c r="AI20" s="188"/>
    </row>
    <row r="21" spans="1:35" ht="10" customHeight="1" thickBot="1">
      <c r="A21" s="25"/>
      <c r="B21" s="25"/>
      <c r="C21" s="166"/>
      <c r="D21" s="177"/>
      <c r="E21" s="171"/>
      <c r="F21" s="177"/>
      <c r="G21" s="171"/>
      <c r="H21" s="177"/>
      <c r="I21" s="171"/>
      <c r="J21" s="177"/>
      <c r="K21" s="171"/>
      <c r="L21" s="177"/>
      <c r="M21" s="171"/>
      <c r="N21" s="192"/>
      <c r="O21" s="162"/>
      <c r="P21" s="155"/>
      <c r="Q21" s="180"/>
      <c r="R21" s="187"/>
      <c r="S21" s="181"/>
      <c r="T21" s="187"/>
      <c r="U21" s="181"/>
      <c r="V21" s="187"/>
      <c r="W21" s="181"/>
      <c r="X21" s="187"/>
      <c r="Y21" s="181"/>
      <c r="Z21" s="187"/>
      <c r="AA21" s="181"/>
      <c r="AB21" s="187"/>
      <c r="AC21" s="181"/>
      <c r="AD21" s="187"/>
      <c r="AE21" s="181"/>
      <c r="AF21" s="187"/>
      <c r="AG21" s="181"/>
      <c r="AH21" s="187"/>
      <c r="AI21" s="189"/>
    </row>
    <row r="22" spans="1:35" ht="10" customHeight="1" thickTop="1" thickBot="1">
      <c r="A22" s="25"/>
      <c r="B22" s="25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86"/>
      <c r="P22" s="25"/>
    </row>
    <row r="23" spans="1:35" ht="10" customHeight="1" thickTop="1">
      <c r="A23" s="25"/>
      <c r="B23" s="25"/>
      <c r="C23" s="161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3"/>
      <c r="O23" s="165"/>
      <c r="P23" s="25"/>
    </row>
    <row r="24" spans="1:35" ht="15" customHeight="1">
      <c r="A24" s="25"/>
      <c r="B24" s="25"/>
      <c r="C24" s="166"/>
      <c r="D24" s="222" t="s">
        <v>90</v>
      </c>
      <c r="E24" s="222"/>
      <c r="F24" s="222"/>
      <c r="G24" s="222"/>
      <c r="H24" s="222"/>
      <c r="I24" s="222"/>
      <c r="J24" s="222"/>
      <c r="K24" s="222"/>
      <c r="L24" s="222"/>
      <c r="M24" s="223"/>
      <c r="N24" s="224"/>
      <c r="O24" s="170"/>
      <c r="P24" s="25"/>
    </row>
    <row r="25" spans="1:35" s="25" customFormat="1" ht="10" customHeight="1">
      <c r="C25" s="166"/>
      <c r="D25" s="168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0"/>
    </row>
    <row r="26" spans="1:35" ht="15" customHeight="1">
      <c r="A26" s="25"/>
      <c r="B26" s="25"/>
      <c r="C26" s="178"/>
      <c r="D26" s="193" t="s">
        <v>91</v>
      </c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0"/>
      <c r="P26" s="25"/>
    </row>
    <row r="27" spans="1:35" ht="10" customHeight="1">
      <c r="A27" s="25"/>
      <c r="B27" s="25"/>
      <c r="C27" s="166"/>
      <c r="D27" s="171"/>
      <c r="E27" s="171"/>
      <c r="F27" s="168"/>
      <c r="G27" s="171"/>
      <c r="H27" s="167"/>
      <c r="I27" s="171"/>
      <c r="J27" s="167"/>
      <c r="K27" s="171"/>
      <c r="L27" s="167"/>
      <c r="M27" s="171"/>
      <c r="N27" s="167"/>
      <c r="O27" s="170"/>
      <c r="P27" s="25"/>
    </row>
    <row r="28" spans="1:35" ht="42" customHeight="1">
      <c r="A28" s="25"/>
      <c r="B28" s="25"/>
      <c r="C28" s="166"/>
      <c r="D28" s="225">
        <v>6.8803436111111111E-3</v>
      </c>
      <c r="E28" s="226"/>
      <c r="F28" s="227"/>
      <c r="G28" s="179"/>
      <c r="H28" s="194" t="s">
        <v>62</v>
      </c>
      <c r="I28" s="175"/>
      <c r="J28" s="195" t="s">
        <v>61</v>
      </c>
      <c r="K28" s="175"/>
      <c r="L28" s="194" t="s">
        <v>169</v>
      </c>
      <c r="M28" s="175"/>
      <c r="N28" s="196" t="s">
        <v>63</v>
      </c>
      <c r="O28" s="172"/>
      <c r="P28" s="25"/>
      <c r="R28" s="25" t="s">
        <v>117</v>
      </c>
    </row>
    <row r="29" spans="1:35" ht="90" customHeight="1" thickBot="1">
      <c r="A29" s="25"/>
      <c r="B29" s="25"/>
      <c r="C29" s="166"/>
      <c r="D29" s="171"/>
      <c r="E29" s="171"/>
      <c r="F29" s="171"/>
      <c r="G29" s="171"/>
      <c r="H29" s="177"/>
      <c r="I29" s="171"/>
      <c r="J29" s="177"/>
      <c r="K29" s="171"/>
      <c r="L29" s="177"/>
      <c r="M29" s="171"/>
      <c r="N29" s="192"/>
      <c r="O29" s="162"/>
      <c r="P29" s="25"/>
      <c r="V29" s="25" t="s">
        <v>117</v>
      </c>
    </row>
    <row r="30" spans="1:35" ht="106" customHeight="1" thickTop="1">
      <c r="A30" s="25"/>
      <c r="B30" s="25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86"/>
      <c r="P30" s="25"/>
    </row>
    <row r="31" spans="1:35" ht="10" customHeight="1">
      <c r="A31" s="25"/>
      <c r="B31" s="25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82"/>
      <c r="P31" s="25"/>
    </row>
    <row r="32" spans="1:35" ht="42" customHeight="1">
      <c r="A32" s="25"/>
      <c r="B32" s="25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82"/>
      <c r="P32" s="25"/>
    </row>
    <row r="33" spans="1:21" ht="15" customHeight="1">
      <c r="A33" s="25"/>
      <c r="B33" s="25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82"/>
      <c r="P33" s="25"/>
    </row>
    <row r="34" spans="1:21" ht="15" customHeight="1">
      <c r="A34" s="25"/>
      <c r="B34" s="25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82"/>
      <c r="P34" s="25"/>
    </row>
    <row r="35" spans="1:21" ht="15" customHeight="1">
      <c r="A35" s="25"/>
      <c r="B35" s="25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82"/>
      <c r="P35" s="25"/>
    </row>
    <row r="36" spans="1:21" ht="15" customHeight="1">
      <c r="A36" s="25"/>
      <c r="B36" s="25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82"/>
      <c r="P36" s="25"/>
    </row>
    <row r="37" spans="1:21" ht="15" customHeight="1">
      <c r="A37" s="25"/>
      <c r="B37" s="25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82"/>
      <c r="P37" s="25"/>
    </row>
    <row r="38" spans="1:21" ht="15" customHeight="1">
      <c r="A38" s="25"/>
      <c r="B38" s="25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82"/>
      <c r="P38" s="25"/>
    </row>
    <row r="39" spans="1:21" ht="15" customHeight="1">
      <c r="A39" s="25"/>
      <c r="B39" s="25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82"/>
      <c r="P39" s="25"/>
    </row>
    <row r="40" spans="1:21" ht="15" customHeight="1">
      <c r="A40" s="25"/>
      <c r="B40" s="25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82"/>
      <c r="P40" s="25"/>
      <c r="R40" s="26"/>
      <c r="S40" s="26"/>
    </row>
    <row r="41" spans="1:21" ht="15" customHeight="1">
      <c r="A41" s="25"/>
      <c r="B41" s="25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82"/>
      <c r="P41" s="25"/>
      <c r="R41" s="26"/>
      <c r="S41" s="26"/>
    </row>
    <row r="42" spans="1:21" ht="15" customHeight="1">
      <c r="A42" s="25"/>
      <c r="B42" s="25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82"/>
      <c r="P42" s="25"/>
    </row>
    <row r="43" spans="1:21" s="25" customFormat="1" ht="15" customHeight="1"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82"/>
    </row>
    <row r="44" spans="1:21" ht="15" customHeight="1">
      <c r="A44" s="25"/>
      <c r="B44" s="25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82"/>
      <c r="P44" s="25"/>
    </row>
    <row r="45" spans="1:21" ht="15" customHeight="1">
      <c r="A45" s="25"/>
      <c r="B45" s="25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82"/>
      <c r="P45" s="25"/>
      <c r="Q45" s="27"/>
      <c r="T45" s="26"/>
      <c r="U45" s="26"/>
    </row>
    <row r="46" spans="1:21" ht="15" customHeight="1">
      <c r="A46" s="25"/>
      <c r="B46" s="25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82"/>
      <c r="P46" s="25"/>
      <c r="U46" s="26"/>
    </row>
    <row r="47" spans="1:21" ht="15" customHeight="1">
      <c r="A47" s="25"/>
      <c r="B47" s="25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82"/>
      <c r="P47" s="25"/>
      <c r="U47" s="26"/>
    </row>
    <row r="48" spans="1:21" ht="15" customHeight="1">
      <c r="A48" s="25"/>
      <c r="B48" s="25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82"/>
      <c r="P48" s="25"/>
      <c r="Q48" s="25" t="s">
        <v>117</v>
      </c>
      <c r="U48" s="26"/>
    </row>
    <row r="49" spans="1:18" ht="15" customHeight="1">
      <c r="A49" s="25"/>
      <c r="B49" s="25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82"/>
      <c r="P49" s="25"/>
    </row>
    <row r="50" spans="1:18" ht="15" customHeight="1">
      <c r="A50" s="25"/>
      <c r="B50" s="25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82"/>
      <c r="P50" s="25"/>
    </row>
    <row r="51" spans="1:18" ht="15" customHeight="1">
      <c r="A51" s="25"/>
      <c r="B51" s="25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82"/>
      <c r="P51" s="25"/>
      <c r="R51" s="25" t="s">
        <v>117</v>
      </c>
    </row>
    <row r="52" spans="1:18" ht="15" customHeight="1">
      <c r="A52" s="25"/>
      <c r="B52" s="25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82"/>
      <c r="P52" s="25"/>
    </row>
    <row r="53" spans="1:18" s="25" customFormat="1" ht="15" customHeight="1"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9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59"/>
  <sheetViews>
    <sheetView tabSelected="1" workbookViewId="0">
      <selection activeCell="E6" sqref="E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1">
        <v>6.3201681250000002E-2</v>
      </c>
      <c r="B2" t="s">
        <v>94</v>
      </c>
      <c r="C2"/>
      <c r="D2"/>
      <c r="E2" t="s">
        <v>87</v>
      </c>
      <c r="F2"/>
      <c r="G2" t="s">
        <v>98</v>
      </c>
      <c r="H2"/>
      <c r="I2" s="158">
        <v>46285.993425925924</v>
      </c>
      <c r="J2" t="s">
        <v>490</v>
      </c>
      <c r="K2" t="s">
        <v>444</v>
      </c>
      <c r="L2" s="157">
        <v>46284</v>
      </c>
      <c r="M2" t="s">
        <v>439</v>
      </c>
      <c r="N2" t="s">
        <v>231</v>
      </c>
      <c r="O2" t="s">
        <v>232</v>
      </c>
      <c r="P2">
        <v>1</v>
      </c>
      <c r="Q2" t="s">
        <v>247</v>
      </c>
    </row>
    <row r="3" spans="1:17" s="25" customFormat="1">
      <c r="A3" s="111">
        <v>6.2599230219907404E-2</v>
      </c>
      <c r="B3" t="s">
        <v>94</v>
      </c>
      <c r="C3"/>
      <c r="D3"/>
      <c r="E3" t="s">
        <v>275</v>
      </c>
      <c r="F3"/>
      <c r="G3" t="s">
        <v>164</v>
      </c>
      <c r="H3"/>
      <c r="I3" s="158">
        <v>46285.99318287037</v>
      </c>
      <c r="J3" t="s">
        <v>490</v>
      </c>
      <c r="K3" t="s">
        <v>444</v>
      </c>
      <c r="L3" s="157">
        <v>46284</v>
      </c>
      <c r="M3" t="s">
        <v>439</v>
      </c>
      <c r="N3" t="s">
        <v>231</v>
      </c>
      <c r="O3" t="s">
        <v>232</v>
      </c>
      <c r="P3">
        <v>1</v>
      </c>
      <c r="Q3" t="s">
        <v>247</v>
      </c>
    </row>
    <row r="4" spans="1:17" s="25" customFormat="1">
      <c r="A4" s="111">
        <v>6.2550011863425931E-2</v>
      </c>
      <c r="B4" t="s">
        <v>94</v>
      </c>
      <c r="C4"/>
      <c r="D4"/>
      <c r="E4" t="s">
        <v>104</v>
      </c>
      <c r="F4"/>
      <c r="G4" t="s">
        <v>164</v>
      </c>
      <c r="H4"/>
      <c r="I4" s="158">
        <v>46285.992962962962</v>
      </c>
      <c r="J4" t="s">
        <v>490</v>
      </c>
      <c r="K4" t="s">
        <v>444</v>
      </c>
      <c r="L4" s="157">
        <v>46284</v>
      </c>
      <c r="M4" t="s">
        <v>439</v>
      </c>
      <c r="N4" t="s">
        <v>231</v>
      </c>
      <c r="O4" t="s">
        <v>232</v>
      </c>
      <c r="P4">
        <v>1</v>
      </c>
      <c r="Q4" t="s">
        <v>247</v>
      </c>
    </row>
    <row r="5" spans="1:17" s="25" customFormat="1">
      <c r="A5" s="111">
        <v>6.1814574340277775E-2</v>
      </c>
      <c r="B5" t="s">
        <v>94</v>
      </c>
      <c r="C5"/>
      <c r="D5"/>
      <c r="E5" t="s">
        <v>87</v>
      </c>
      <c r="F5"/>
      <c r="G5" t="s">
        <v>164</v>
      </c>
      <c r="H5"/>
      <c r="I5" s="158">
        <v>46285.992893518516</v>
      </c>
      <c r="J5" t="s">
        <v>490</v>
      </c>
      <c r="K5" t="s">
        <v>444</v>
      </c>
      <c r="L5" s="157">
        <v>46284</v>
      </c>
      <c r="M5" t="s">
        <v>439</v>
      </c>
      <c r="N5" t="s">
        <v>231</v>
      </c>
      <c r="O5" t="s">
        <v>232</v>
      </c>
      <c r="P5">
        <v>1</v>
      </c>
      <c r="Q5" t="s">
        <v>247</v>
      </c>
    </row>
    <row r="6" spans="1:17" s="25" customFormat="1">
      <c r="A6" s="111">
        <v>6.1814574340277775E-2</v>
      </c>
      <c r="B6" t="s">
        <v>94</v>
      </c>
      <c r="C6" t="s">
        <v>484</v>
      </c>
      <c r="D6" t="s">
        <v>204</v>
      </c>
      <c r="E6" t="s">
        <v>214</v>
      </c>
      <c r="F6" t="s">
        <v>207</v>
      </c>
      <c r="G6" t="s">
        <v>164</v>
      </c>
      <c r="H6"/>
      <c r="I6" s="158">
        <v>46285.992893518516</v>
      </c>
      <c r="J6" t="s">
        <v>490</v>
      </c>
      <c r="K6" t="s">
        <v>444</v>
      </c>
      <c r="L6" s="157">
        <v>46284</v>
      </c>
      <c r="M6" t="s">
        <v>439</v>
      </c>
      <c r="N6" t="s">
        <v>231</v>
      </c>
      <c r="O6" t="s">
        <v>232</v>
      </c>
      <c r="P6">
        <v>1</v>
      </c>
      <c r="Q6" t="s">
        <v>247</v>
      </c>
    </row>
    <row r="7" spans="1:17" s="25" customFormat="1">
      <c r="A7" s="111">
        <v>6.1722247037037041E-2</v>
      </c>
      <c r="B7" t="s">
        <v>94</v>
      </c>
      <c r="C7" t="s">
        <v>484</v>
      </c>
      <c r="D7"/>
      <c r="E7" t="s">
        <v>462</v>
      </c>
      <c r="F7"/>
      <c r="G7" t="s">
        <v>98</v>
      </c>
      <c r="H7"/>
      <c r="I7" s="158">
        <v>46285.992685185185</v>
      </c>
      <c r="J7" t="s">
        <v>490</v>
      </c>
      <c r="K7" t="s">
        <v>444</v>
      </c>
      <c r="L7" s="157">
        <v>46284</v>
      </c>
      <c r="M7" t="s">
        <v>439</v>
      </c>
      <c r="N7" t="s">
        <v>231</v>
      </c>
      <c r="O7" t="s">
        <v>232</v>
      </c>
      <c r="P7">
        <v>1</v>
      </c>
      <c r="Q7" t="s">
        <v>247</v>
      </c>
    </row>
    <row r="8" spans="1:17" s="25" customFormat="1">
      <c r="A8" s="111">
        <v>6.1623667083333333E-2</v>
      </c>
      <c r="B8" t="s">
        <v>94</v>
      </c>
      <c r="C8" t="s">
        <v>486</v>
      </c>
      <c r="D8"/>
      <c r="E8" t="s">
        <v>463</v>
      </c>
      <c r="F8"/>
      <c r="G8" t="s">
        <v>98</v>
      </c>
      <c r="H8"/>
      <c r="I8" s="158">
        <v>46285.992442129631</v>
      </c>
      <c r="J8" t="s">
        <v>490</v>
      </c>
      <c r="K8" t="s">
        <v>444</v>
      </c>
      <c r="L8" s="157">
        <v>46284</v>
      </c>
      <c r="M8" t="s">
        <v>439</v>
      </c>
      <c r="N8" t="s">
        <v>231</v>
      </c>
      <c r="O8" t="s">
        <v>232</v>
      </c>
      <c r="P8">
        <v>1</v>
      </c>
      <c r="Q8" t="s">
        <v>247</v>
      </c>
    </row>
    <row r="9" spans="1:17" s="25" customFormat="1">
      <c r="A9" s="111">
        <v>6.1536900034722224E-2</v>
      </c>
      <c r="B9" t="s">
        <v>94</v>
      </c>
      <c r="C9" t="s">
        <v>475</v>
      </c>
      <c r="D9"/>
      <c r="E9" t="s">
        <v>463</v>
      </c>
      <c r="F9"/>
      <c r="G9" t="s">
        <v>98</v>
      </c>
      <c r="H9"/>
      <c r="I9" s="158">
        <v>46285.992303240739</v>
      </c>
      <c r="J9" t="s">
        <v>490</v>
      </c>
      <c r="K9" t="s">
        <v>444</v>
      </c>
      <c r="L9" s="157">
        <v>46284</v>
      </c>
      <c r="M9" t="s">
        <v>439</v>
      </c>
      <c r="N9" t="s">
        <v>231</v>
      </c>
      <c r="O9" t="s">
        <v>232</v>
      </c>
      <c r="P9">
        <v>1</v>
      </c>
      <c r="Q9" t="s">
        <v>247</v>
      </c>
    </row>
    <row r="10" spans="1:17" s="25" customFormat="1">
      <c r="A10" s="111">
        <v>6.1496285833333338E-2</v>
      </c>
      <c r="B10" t="s">
        <v>94</v>
      </c>
      <c r="C10" t="s">
        <v>482</v>
      </c>
      <c r="D10"/>
      <c r="E10" t="s">
        <v>462</v>
      </c>
      <c r="F10"/>
      <c r="G10" t="s">
        <v>98</v>
      </c>
      <c r="H10"/>
      <c r="I10" s="158">
        <v>46285.992175925923</v>
      </c>
      <c r="J10" t="s">
        <v>490</v>
      </c>
      <c r="K10" t="s">
        <v>444</v>
      </c>
      <c r="L10" s="157">
        <v>46284</v>
      </c>
      <c r="M10" t="s">
        <v>439</v>
      </c>
      <c r="N10" t="s">
        <v>231</v>
      </c>
      <c r="O10" t="s">
        <v>232</v>
      </c>
      <c r="P10">
        <v>1</v>
      </c>
      <c r="Q10" t="s">
        <v>247</v>
      </c>
    </row>
    <row r="11" spans="1:17" s="25" customFormat="1">
      <c r="A11" s="111">
        <v>6.1442592685185191E-2</v>
      </c>
      <c r="B11" t="s">
        <v>94</v>
      </c>
      <c r="C11"/>
      <c r="D11"/>
      <c r="E11" t="s">
        <v>279</v>
      </c>
      <c r="F11"/>
      <c r="G11" t="s">
        <v>98</v>
      </c>
      <c r="H11"/>
      <c r="I11" s="158">
        <v>46285.992083333331</v>
      </c>
      <c r="J11" t="s">
        <v>490</v>
      </c>
      <c r="K11" t="s">
        <v>444</v>
      </c>
      <c r="L11" s="157">
        <v>46284</v>
      </c>
      <c r="M11" t="s">
        <v>439</v>
      </c>
      <c r="N11" t="s">
        <v>231</v>
      </c>
      <c r="O11" t="s">
        <v>232</v>
      </c>
      <c r="P11">
        <v>1</v>
      </c>
      <c r="Q11" t="s">
        <v>247</v>
      </c>
    </row>
    <row r="12" spans="1:17" s="25" customFormat="1">
      <c r="A12" s="111">
        <v>6.141493060185186E-2</v>
      </c>
      <c r="B12" t="s">
        <v>94</v>
      </c>
      <c r="C12"/>
      <c r="D12"/>
      <c r="E12" t="s">
        <v>105</v>
      </c>
      <c r="F12"/>
      <c r="G12" t="s">
        <v>98</v>
      </c>
      <c r="H12"/>
      <c r="I12" s="158">
        <v>46285.992060185185</v>
      </c>
      <c r="J12" t="s">
        <v>490</v>
      </c>
      <c r="K12" t="s">
        <v>444</v>
      </c>
      <c r="L12" s="157">
        <v>46284</v>
      </c>
      <c r="M12" t="s">
        <v>439</v>
      </c>
      <c r="N12" t="s">
        <v>231</v>
      </c>
      <c r="O12" t="s">
        <v>232</v>
      </c>
      <c r="P12">
        <v>1</v>
      </c>
      <c r="Q12" t="s">
        <v>247</v>
      </c>
    </row>
    <row r="13" spans="1:17" s="25" customFormat="1">
      <c r="A13" s="111">
        <v>6.1056606192129631E-2</v>
      </c>
      <c r="B13" t="s">
        <v>94</v>
      </c>
      <c r="C13"/>
      <c r="D13"/>
      <c r="E13" t="s">
        <v>87</v>
      </c>
      <c r="F13"/>
      <c r="G13" t="s">
        <v>98</v>
      </c>
      <c r="H13"/>
      <c r="I13" s="158">
        <v>46285.991979166669</v>
      </c>
      <c r="J13" t="s">
        <v>490</v>
      </c>
      <c r="K13" t="s">
        <v>444</v>
      </c>
      <c r="L13" s="157">
        <v>46284</v>
      </c>
      <c r="M13" t="s">
        <v>439</v>
      </c>
      <c r="N13" t="s">
        <v>231</v>
      </c>
      <c r="O13" t="s">
        <v>232</v>
      </c>
      <c r="P13">
        <v>1</v>
      </c>
      <c r="Q13" t="s">
        <v>247</v>
      </c>
    </row>
    <row r="14" spans="1:17" s="25" customFormat="1">
      <c r="A14" s="111">
        <v>6.1027824502314816E-2</v>
      </c>
      <c r="B14" t="s">
        <v>94</v>
      </c>
      <c r="C14"/>
      <c r="D14"/>
      <c r="E14" t="s">
        <v>183</v>
      </c>
      <c r="F14"/>
      <c r="G14" t="s">
        <v>164</v>
      </c>
      <c r="H14"/>
      <c r="I14" s="158">
        <v>46285.991956018515</v>
      </c>
      <c r="J14" t="s">
        <v>490</v>
      </c>
      <c r="K14" t="s">
        <v>444</v>
      </c>
      <c r="L14" s="157">
        <v>46284</v>
      </c>
      <c r="M14" t="s">
        <v>439</v>
      </c>
      <c r="N14" t="s">
        <v>231</v>
      </c>
      <c r="O14" t="s">
        <v>232</v>
      </c>
      <c r="P14">
        <v>1</v>
      </c>
      <c r="Q14" t="s">
        <v>247</v>
      </c>
    </row>
    <row r="15" spans="1:17" s="25" customFormat="1">
      <c r="A15" s="111">
        <v>6.0958545486111113E-2</v>
      </c>
      <c r="B15" t="s">
        <v>94</v>
      </c>
      <c r="C15"/>
      <c r="D15"/>
      <c r="E15" t="s">
        <v>188</v>
      </c>
      <c r="F15"/>
      <c r="G15" t="s">
        <v>164</v>
      </c>
      <c r="H15"/>
      <c r="I15" s="158">
        <v>46285.991875</v>
      </c>
      <c r="J15" t="s">
        <v>490</v>
      </c>
      <c r="K15" t="s">
        <v>444</v>
      </c>
      <c r="L15" s="157">
        <v>46284</v>
      </c>
      <c r="M15" t="s">
        <v>439</v>
      </c>
      <c r="N15" t="s">
        <v>231</v>
      </c>
      <c r="O15" t="s">
        <v>232</v>
      </c>
      <c r="P15">
        <v>1</v>
      </c>
      <c r="Q15" t="s">
        <v>247</v>
      </c>
    </row>
    <row r="16" spans="1:17" s="25" customFormat="1">
      <c r="A16" s="111">
        <v>6.0909080555555557E-2</v>
      </c>
      <c r="B16" t="s">
        <v>94</v>
      </c>
      <c r="C16"/>
      <c r="D16"/>
      <c r="E16" t="s">
        <v>184</v>
      </c>
      <c r="F16"/>
      <c r="G16" t="s">
        <v>98</v>
      </c>
      <c r="H16"/>
      <c r="I16" s="158">
        <v>46285.991828703707</v>
      </c>
      <c r="J16" t="s">
        <v>490</v>
      </c>
      <c r="K16" t="s">
        <v>444</v>
      </c>
      <c r="L16" s="157">
        <v>46284</v>
      </c>
      <c r="M16" t="s">
        <v>439</v>
      </c>
      <c r="N16" t="s">
        <v>231</v>
      </c>
      <c r="O16" t="s">
        <v>232</v>
      </c>
      <c r="P16">
        <v>1</v>
      </c>
      <c r="Q16" t="s">
        <v>247</v>
      </c>
    </row>
    <row r="17" spans="1:17" s="25" customFormat="1">
      <c r="A17" s="111">
        <v>6.0862987048611109E-2</v>
      </c>
      <c r="B17" t="s">
        <v>94</v>
      </c>
      <c r="C17"/>
      <c r="D17"/>
      <c r="E17" t="s">
        <v>279</v>
      </c>
      <c r="F17"/>
      <c r="G17" t="s">
        <v>98</v>
      </c>
      <c r="H17"/>
      <c r="I17" s="158">
        <v>46285.991782407407</v>
      </c>
      <c r="J17" t="s">
        <v>490</v>
      </c>
      <c r="K17" t="s">
        <v>444</v>
      </c>
      <c r="L17" s="157">
        <v>46284</v>
      </c>
      <c r="M17" t="s">
        <v>439</v>
      </c>
      <c r="N17" t="s">
        <v>231</v>
      </c>
      <c r="O17" t="s">
        <v>232</v>
      </c>
      <c r="P17">
        <v>1</v>
      </c>
      <c r="Q17" t="s">
        <v>247</v>
      </c>
    </row>
    <row r="18" spans="1:17" s="25" customFormat="1">
      <c r="A18" s="111">
        <v>6.0823060706018513E-2</v>
      </c>
      <c r="B18" t="s">
        <v>94</v>
      </c>
      <c r="C18"/>
      <c r="D18"/>
      <c r="E18" t="s">
        <v>105</v>
      </c>
      <c r="F18"/>
      <c r="G18" t="s">
        <v>98</v>
      </c>
      <c r="H18"/>
      <c r="I18" s="158">
        <v>46285.991747685184</v>
      </c>
      <c r="J18" t="s">
        <v>490</v>
      </c>
      <c r="K18" t="s">
        <v>444</v>
      </c>
      <c r="L18" s="157">
        <v>46284</v>
      </c>
      <c r="M18" t="s">
        <v>439</v>
      </c>
      <c r="N18" t="s">
        <v>231</v>
      </c>
      <c r="O18" t="s">
        <v>232</v>
      </c>
      <c r="P18">
        <v>1</v>
      </c>
      <c r="Q18" t="s">
        <v>247</v>
      </c>
    </row>
    <row r="19" spans="1:17" s="25" customFormat="1">
      <c r="A19" s="111">
        <v>6.0333147557870365E-2</v>
      </c>
      <c r="B19" t="s">
        <v>94</v>
      </c>
      <c r="C19"/>
      <c r="D19"/>
      <c r="E19" t="s">
        <v>87</v>
      </c>
      <c r="F19"/>
      <c r="G19" t="s">
        <v>98</v>
      </c>
      <c r="H19"/>
      <c r="I19" s="158">
        <v>46285.991689814815</v>
      </c>
      <c r="J19" t="s">
        <v>490</v>
      </c>
      <c r="K19" t="s">
        <v>444</v>
      </c>
      <c r="L19" s="157">
        <v>46284</v>
      </c>
      <c r="M19" t="s">
        <v>439</v>
      </c>
      <c r="N19" t="s">
        <v>231</v>
      </c>
      <c r="O19" t="s">
        <v>232</v>
      </c>
      <c r="P19">
        <v>1</v>
      </c>
      <c r="Q19" t="s">
        <v>247</v>
      </c>
    </row>
    <row r="20" spans="1:17" s="25" customFormat="1">
      <c r="A20" s="111">
        <v>6.0301358113425928E-2</v>
      </c>
      <c r="B20" t="s">
        <v>94</v>
      </c>
      <c r="C20"/>
      <c r="D20"/>
      <c r="E20" t="s">
        <v>275</v>
      </c>
      <c r="F20"/>
      <c r="G20" t="s">
        <v>164</v>
      </c>
      <c r="H20"/>
      <c r="I20" s="158">
        <v>46285.991053240738</v>
      </c>
      <c r="J20" t="s">
        <v>490</v>
      </c>
      <c r="K20" t="s">
        <v>444</v>
      </c>
      <c r="L20" s="157">
        <v>46284</v>
      </c>
      <c r="M20" t="s">
        <v>439</v>
      </c>
      <c r="N20" t="s">
        <v>231</v>
      </c>
      <c r="O20" t="s">
        <v>232</v>
      </c>
      <c r="P20">
        <v>1</v>
      </c>
      <c r="Q20" t="s">
        <v>247</v>
      </c>
    </row>
    <row r="21" spans="1:17" s="25" customFormat="1">
      <c r="A21" s="111">
        <v>6.0270628321759265E-2</v>
      </c>
      <c r="B21" t="s">
        <v>94</v>
      </c>
      <c r="C21"/>
      <c r="D21"/>
      <c r="E21" t="s">
        <v>104</v>
      </c>
      <c r="F21"/>
      <c r="G21" t="s">
        <v>164</v>
      </c>
      <c r="H21"/>
      <c r="I21" s="158">
        <v>46285.991018518522</v>
      </c>
      <c r="J21" t="s">
        <v>490</v>
      </c>
      <c r="K21" t="s">
        <v>444</v>
      </c>
      <c r="L21" s="157">
        <v>46284</v>
      </c>
      <c r="M21" t="s">
        <v>439</v>
      </c>
      <c r="N21" t="s">
        <v>231</v>
      </c>
      <c r="O21" t="s">
        <v>232</v>
      </c>
      <c r="P21">
        <v>1</v>
      </c>
      <c r="Q21" t="s">
        <v>247</v>
      </c>
    </row>
    <row r="22" spans="1:17" s="25" customFormat="1">
      <c r="A22" s="111">
        <v>5.9551292083333339E-2</v>
      </c>
      <c r="B22" t="s">
        <v>94</v>
      </c>
      <c r="C22" t="s">
        <v>474</v>
      </c>
      <c r="D22" t="s">
        <v>204</v>
      </c>
      <c r="E22" t="s">
        <v>214</v>
      </c>
      <c r="F22" t="s">
        <v>82</v>
      </c>
      <c r="G22" t="s">
        <v>164</v>
      </c>
      <c r="H22"/>
      <c r="I22" s="158">
        <v>46285.990787037037</v>
      </c>
      <c r="J22" t="s">
        <v>490</v>
      </c>
      <c r="K22" t="s">
        <v>444</v>
      </c>
      <c r="L22" s="157">
        <v>46284</v>
      </c>
      <c r="M22" t="s">
        <v>439</v>
      </c>
      <c r="N22" t="s">
        <v>231</v>
      </c>
      <c r="O22" t="s">
        <v>232</v>
      </c>
      <c r="P22">
        <v>1</v>
      </c>
      <c r="Q22" t="s">
        <v>247</v>
      </c>
    </row>
    <row r="23" spans="1:17" s="25" customFormat="1">
      <c r="A23" s="111">
        <v>5.9342672997685184E-2</v>
      </c>
      <c r="B23" t="s">
        <v>94</v>
      </c>
      <c r="C23"/>
      <c r="D23"/>
      <c r="E23" t="s">
        <v>87</v>
      </c>
      <c r="F23"/>
      <c r="G23" t="s">
        <v>98</v>
      </c>
      <c r="H23"/>
      <c r="I23" s="158">
        <v>46285.990358796298</v>
      </c>
      <c r="J23" t="s">
        <v>490</v>
      </c>
      <c r="K23" t="s">
        <v>444</v>
      </c>
      <c r="L23" s="157">
        <v>46284</v>
      </c>
      <c r="M23" t="s">
        <v>439</v>
      </c>
      <c r="N23" t="s">
        <v>231</v>
      </c>
      <c r="O23" t="s">
        <v>232</v>
      </c>
      <c r="P23">
        <v>1</v>
      </c>
      <c r="Q23" t="s">
        <v>247</v>
      </c>
    </row>
    <row r="24" spans="1:17" s="25" customFormat="1">
      <c r="A24" s="111">
        <v>5.9222708240740739E-2</v>
      </c>
      <c r="B24" t="s">
        <v>94</v>
      </c>
      <c r="C24" t="s">
        <v>475</v>
      </c>
      <c r="D24"/>
      <c r="E24" t="s">
        <v>111</v>
      </c>
      <c r="F24"/>
      <c r="G24" t="s">
        <v>98</v>
      </c>
      <c r="H24"/>
      <c r="I24" s="158">
        <v>46285.990208333336</v>
      </c>
      <c r="J24" t="s">
        <v>490</v>
      </c>
      <c r="K24" t="s">
        <v>444</v>
      </c>
      <c r="L24" s="157">
        <v>46284</v>
      </c>
      <c r="M24" t="s">
        <v>439</v>
      </c>
      <c r="N24" t="s">
        <v>231</v>
      </c>
      <c r="O24" t="s">
        <v>232</v>
      </c>
      <c r="P24">
        <v>1</v>
      </c>
      <c r="Q24" t="s">
        <v>247</v>
      </c>
    </row>
    <row r="25" spans="1:17" s="25" customFormat="1">
      <c r="A25" s="111">
        <v>5.9161910277777778E-2</v>
      </c>
      <c r="B25" t="s">
        <v>94</v>
      </c>
      <c r="C25"/>
      <c r="D25"/>
      <c r="E25" t="s">
        <v>104</v>
      </c>
      <c r="F25"/>
      <c r="G25" t="s">
        <v>98</v>
      </c>
      <c r="H25"/>
      <c r="I25" s="158">
        <v>46285.990115740744</v>
      </c>
      <c r="J25" t="s">
        <v>490</v>
      </c>
      <c r="K25" t="s">
        <v>444</v>
      </c>
      <c r="L25" s="157">
        <v>46284</v>
      </c>
      <c r="M25" t="s">
        <v>439</v>
      </c>
      <c r="N25" t="s">
        <v>231</v>
      </c>
      <c r="O25" t="s">
        <v>232</v>
      </c>
      <c r="P25">
        <v>1</v>
      </c>
      <c r="Q25" t="s">
        <v>247</v>
      </c>
    </row>
    <row r="26" spans="1:17" s="25" customFormat="1">
      <c r="A26" s="111">
        <v>5.857371621527778E-2</v>
      </c>
      <c r="B26" t="s">
        <v>94</v>
      </c>
      <c r="C26"/>
      <c r="D26"/>
      <c r="E26" t="s">
        <v>87</v>
      </c>
      <c r="F26"/>
      <c r="G26" t="s">
        <v>98</v>
      </c>
      <c r="H26"/>
      <c r="I26" s="158">
        <v>46285.990046296298</v>
      </c>
      <c r="J26" t="s">
        <v>490</v>
      </c>
      <c r="K26" t="s">
        <v>444</v>
      </c>
      <c r="L26" s="157">
        <v>46284</v>
      </c>
      <c r="M26" t="s">
        <v>439</v>
      </c>
      <c r="N26" t="s">
        <v>231</v>
      </c>
      <c r="O26" t="s">
        <v>232</v>
      </c>
      <c r="P26">
        <v>1</v>
      </c>
      <c r="Q26" t="s">
        <v>247</v>
      </c>
    </row>
    <row r="27" spans="1:17" s="25" customFormat="1">
      <c r="A27" s="111">
        <v>5.857371621527778E-2</v>
      </c>
      <c r="B27" t="s">
        <v>94</v>
      </c>
      <c r="C27"/>
      <c r="D27"/>
      <c r="E27" t="s">
        <v>213</v>
      </c>
      <c r="F27" t="s">
        <v>207</v>
      </c>
      <c r="G27" t="s">
        <v>98</v>
      </c>
      <c r="H27"/>
      <c r="I27" s="158">
        <v>46285.990046296298</v>
      </c>
      <c r="J27" t="s">
        <v>490</v>
      </c>
      <c r="K27" t="s">
        <v>444</v>
      </c>
      <c r="L27" s="157">
        <v>46284</v>
      </c>
      <c r="M27" t="s">
        <v>439</v>
      </c>
      <c r="N27" t="s">
        <v>231</v>
      </c>
      <c r="O27" t="s">
        <v>232</v>
      </c>
      <c r="P27">
        <v>1</v>
      </c>
      <c r="Q27" t="s">
        <v>247</v>
      </c>
    </row>
    <row r="28" spans="1:17" s="25" customFormat="1">
      <c r="A28" s="111">
        <v>5.8492647673611106E-2</v>
      </c>
      <c r="B28" t="s">
        <v>94</v>
      </c>
      <c r="C28" t="s">
        <v>480</v>
      </c>
      <c r="D28"/>
      <c r="E28" t="s">
        <v>108</v>
      </c>
      <c r="F28"/>
      <c r="G28" t="s">
        <v>164</v>
      </c>
      <c r="H28"/>
      <c r="I28" s="158">
        <v>46285.989884259259</v>
      </c>
      <c r="J28" t="s">
        <v>490</v>
      </c>
      <c r="K28" t="s">
        <v>444</v>
      </c>
      <c r="L28" s="157">
        <v>46284</v>
      </c>
      <c r="M28" t="s">
        <v>439</v>
      </c>
      <c r="N28" t="s">
        <v>231</v>
      </c>
      <c r="O28" t="s">
        <v>232</v>
      </c>
      <c r="P28">
        <v>1</v>
      </c>
      <c r="Q28" t="s">
        <v>247</v>
      </c>
    </row>
    <row r="29" spans="1:17" s="25" customFormat="1">
      <c r="A29" s="111">
        <v>5.8491110509259259E-2</v>
      </c>
      <c r="B29" t="s">
        <v>94</v>
      </c>
      <c r="C29" t="s">
        <v>472</v>
      </c>
      <c r="D29"/>
      <c r="E29" t="s">
        <v>108</v>
      </c>
      <c r="F29"/>
      <c r="G29" t="s">
        <v>164</v>
      </c>
      <c r="H29"/>
      <c r="I29" s="158">
        <v>46285.989791666667</v>
      </c>
      <c r="J29" t="s">
        <v>490</v>
      </c>
      <c r="K29" t="s">
        <v>444</v>
      </c>
      <c r="L29" s="157">
        <v>46284</v>
      </c>
      <c r="M29" t="s">
        <v>439</v>
      </c>
      <c r="N29" t="s">
        <v>231</v>
      </c>
      <c r="O29" t="s">
        <v>232</v>
      </c>
      <c r="P29">
        <v>1</v>
      </c>
      <c r="Q29" t="s">
        <v>247</v>
      </c>
    </row>
    <row r="30" spans="1:17" s="25" customFormat="1">
      <c r="A30" s="111">
        <v>5.8456423541666663E-2</v>
      </c>
      <c r="B30" t="s">
        <v>94</v>
      </c>
      <c r="C30" t="s">
        <v>480</v>
      </c>
      <c r="D30"/>
      <c r="E30" t="s">
        <v>135</v>
      </c>
      <c r="F30"/>
      <c r="G30" t="s">
        <v>164</v>
      </c>
      <c r="H30"/>
    </row>
    <row r="31" spans="1:17" s="25" customFormat="1">
      <c r="A31" s="111">
        <v>5.8456423541666663E-2</v>
      </c>
      <c r="B31" t="s">
        <v>94</v>
      </c>
      <c r="C31" t="s">
        <v>474</v>
      </c>
      <c r="D31"/>
      <c r="E31" t="s">
        <v>135</v>
      </c>
      <c r="F31"/>
      <c r="G31" t="s">
        <v>164</v>
      </c>
      <c r="H31"/>
      <c r="I31" s="158">
        <v>46285.989710648151</v>
      </c>
      <c r="J31" t="s">
        <v>490</v>
      </c>
      <c r="K31" t="s">
        <v>444</v>
      </c>
      <c r="L31" s="157">
        <v>46284</v>
      </c>
      <c r="M31" t="s">
        <v>439</v>
      </c>
      <c r="N31" t="s">
        <v>231</v>
      </c>
      <c r="O31" t="s">
        <v>232</v>
      </c>
      <c r="P31">
        <v>1</v>
      </c>
      <c r="Q31" t="s">
        <v>247</v>
      </c>
    </row>
    <row r="32" spans="1:17" s="25" customFormat="1">
      <c r="A32" s="111">
        <v>5.8404144895833329E-2</v>
      </c>
      <c r="B32" t="s">
        <v>94</v>
      </c>
      <c r="C32" t="s">
        <v>468</v>
      </c>
      <c r="D32"/>
      <c r="E32" t="s">
        <v>108</v>
      </c>
      <c r="F32"/>
      <c r="G32" t="s">
        <v>164</v>
      </c>
      <c r="H32"/>
      <c r="I32" s="158">
        <v>46285.989606481482</v>
      </c>
      <c r="J32" t="s">
        <v>490</v>
      </c>
      <c r="K32" t="s">
        <v>444</v>
      </c>
      <c r="L32" s="157">
        <v>46284</v>
      </c>
      <c r="M32" t="s">
        <v>439</v>
      </c>
      <c r="N32" t="s">
        <v>231</v>
      </c>
      <c r="O32" t="s">
        <v>232</v>
      </c>
      <c r="P32">
        <v>1</v>
      </c>
      <c r="Q32" t="s">
        <v>247</v>
      </c>
    </row>
    <row r="33" spans="1:17" s="25" customFormat="1">
      <c r="A33" s="111">
        <v>5.8392662407407411E-2</v>
      </c>
      <c r="B33" t="s">
        <v>94</v>
      </c>
      <c r="C33" t="s">
        <v>470</v>
      </c>
      <c r="D33"/>
      <c r="E33" t="s">
        <v>59</v>
      </c>
      <c r="F33"/>
      <c r="G33" t="s">
        <v>164</v>
      </c>
      <c r="H33"/>
      <c r="I33" s="158">
        <v>46285.989537037036</v>
      </c>
      <c r="J33" t="s">
        <v>490</v>
      </c>
      <c r="K33" t="s">
        <v>444</v>
      </c>
      <c r="L33" s="157">
        <v>46284</v>
      </c>
      <c r="M33" t="s">
        <v>439</v>
      </c>
      <c r="N33" t="s">
        <v>231</v>
      </c>
      <c r="O33" t="s">
        <v>232</v>
      </c>
      <c r="P33">
        <v>1</v>
      </c>
      <c r="Q33" t="s">
        <v>247</v>
      </c>
    </row>
    <row r="34" spans="1:17" s="25" customFormat="1">
      <c r="A34" s="111">
        <v>5.8346001898148148E-2</v>
      </c>
      <c r="B34" t="s">
        <v>94</v>
      </c>
      <c r="C34"/>
      <c r="D34"/>
      <c r="E34" t="s">
        <v>188</v>
      </c>
      <c r="F34"/>
      <c r="G34" t="s">
        <v>164</v>
      </c>
      <c r="H34"/>
      <c r="I34" s="158">
        <v>46285.988749999997</v>
      </c>
      <c r="J34" t="s">
        <v>490</v>
      </c>
      <c r="K34" t="s">
        <v>444</v>
      </c>
      <c r="L34" s="157">
        <v>46284</v>
      </c>
      <c r="M34" t="s">
        <v>439</v>
      </c>
      <c r="N34" t="s">
        <v>231</v>
      </c>
      <c r="O34" t="s">
        <v>232</v>
      </c>
      <c r="P34">
        <v>1</v>
      </c>
      <c r="Q34" t="s">
        <v>247</v>
      </c>
    </row>
    <row r="35" spans="1:17" s="25" customFormat="1">
      <c r="A35" s="111">
        <v>5.8278304340277781E-2</v>
      </c>
      <c r="B35" t="s">
        <v>94</v>
      </c>
      <c r="C35"/>
      <c r="D35"/>
      <c r="E35" t="s">
        <v>100</v>
      </c>
      <c r="F35"/>
      <c r="G35" t="s">
        <v>98</v>
      </c>
      <c r="H35"/>
      <c r="I35" s="158">
        <v>46285.988692129627</v>
      </c>
      <c r="J35" t="s">
        <v>490</v>
      </c>
      <c r="K35" t="s">
        <v>444</v>
      </c>
      <c r="L35" s="157">
        <v>46284</v>
      </c>
      <c r="M35" t="s">
        <v>439</v>
      </c>
      <c r="N35" t="s">
        <v>231</v>
      </c>
      <c r="O35" t="s">
        <v>232</v>
      </c>
      <c r="P35">
        <v>1</v>
      </c>
      <c r="Q35" t="s">
        <v>247</v>
      </c>
    </row>
    <row r="36" spans="1:17" s="25" customFormat="1">
      <c r="A36" s="111">
        <v>5.7386046006944448E-2</v>
      </c>
      <c r="B36" t="s">
        <v>94</v>
      </c>
      <c r="C36" t="s">
        <v>475</v>
      </c>
      <c r="D36" t="s">
        <v>204</v>
      </c>
      <c r="E36" t="s">
        <v>214</v>
      </c>
      <c r="F36" t="s">
        <v>208</v>
      </c>
      <c r="G36" t="s">
        <v>164</v>
      </c>
      <c r="H36"/>
      <c r="I36" s="158">
        <v>46285.988391203704</v>
      </c>
      <c r="J36" t="s">
        <v>490</v>
      </c>
      <c r="K36" t="s">
        <v>444</v>
      </c>
      <c r="L36" s="157">
        <v>46284</v>
      </c>
      <c r="M36" t="s">
        <v>439</v>
      </c>
      <c r="N36" t="s">
        <v>231</v>
      </c>
      <c r="O36" t="s">
        <v>232</v>
      </c>
      <c r="P36">
        <v>1</v>
      </c>
      <c r="Q36" t="s">
        <v>247</v>
      </c>
    </row>
    <row r="37" spans="1:17" s="25" customFormat="1">
      <c r="A37" s="111">
        <v>5.7312195601851849E-2</v>
      </c>
      <c r="B37" t="s">
        <v>94</v>
      </c>
      <c r="C37"/>
      <c r="D37"/>
      <c r="E37" t="s">
        <v>87</v>
      </c>
      <c r="F37"/>
      <c r="G37" t="s">
        <v>164</v>
      </c>
      <c r="H37"/>
      <c r="I37" s="158">
        <v>46285.988287037035</v>
      </c>
      <c r="J37" t="s">
        <v>490</v>
      </c>
      <c r="K37" t="s">
        <v>444</v>
      </c>
      <c r="L37" s="157">
        <v>46284</v>
      </c>
      <c r="M37" t="s">
        <v>439</v>
      </c>
      <c r="N37" t="s">
        <v>231</v>
      </c>
      <c r="O37" t="s">
        <v>232</v>
      </c>
      <c r="P37">
        <v>1</v>
      </c>
      <c r="Q37" t="s">
        <v>247</v>
      </c>
    </row>
    <row r="38" spans="1:17" s="25" customFormat="1">
      <c r="A38" s="111">
        <v>5.7183143078703702E-2</v>
      </c>
      <c r="B38" t="s">
        <v>94</v>
      </c>
      <c r="C38" t="s">
        <v>475</v>
      </c>
      <c r="D38"/>
      <c r="E38" t="s">
        <v>58</v>
      </c>
      <c r="F38"/>
      <c r="G38" t="s">
        <v>164</v>
      </c>
      <c r="H38"/>
      <c r="I38" s="158">
        <v>46285.988136574073</v>
      </c>
      <c r="J38" t="s">
        <v>490</v>
      </c>
      <c r="K38" t="s">
        <v>444</v>
      </c>
      <c r="L38" s="157">
        <v>46284</v>
      </c>
      <c r="M38" t="s">
        <v>439</v>
      </c>
      <c r="N38" t="s">
        <v>231</v>
      </c>
      <c r="O38" t="s">
        <v>232</v>
      </c>
      <c r="P38">
        <v>1</v>
      </c>
      <c r="Q38" t="s">
        <v>247</v>
      </c>
    </row>
    <row r="39" spans="1:17" s="25" customFormat="1">
      <c r="A39" s="111">
        <v>5.7123655439814819E-2</v>
      </c>
      <c r="B39" t="s">
        <v>94</v>
      </c>
      <c r="C39" t="s">
        <v>487</v>
      </c>
      <c r="D39"/>
      <c r="E39" t="s">
        <v>108</v>
      </c>
      <c r="F39"/>
      <c r="G39" t="s">
        <v>164</v>
      </c>
      <c r="H39"/>
      <c r="I39" s="158">
        <v>46285.987905092596</v>
      </c>
      <c r="J39" t="s">
        <v>490</v>
      </c>
      <c r="K39" t="s">
        <v>444</v>
      </c>
      <c r="L39" s="157">
        <v>46284</v>
      </c>
      <c r="M39" t="s">
        <v>439</v>
      </c>
      <c r="N39" t="s">
        <v>231</v>
      </c>
      <c r="O39" t="s">
        <v>232</v>
      </c>
      <c r="P39">
        <v>1</v>
      </c>
      <c r="Q39" t="s">
        <v>247</v>
      </c>
    </row>
    <row r="40" spans="1:17" s="25" customFormat="1">
      <c r="A40" s="111">
        <v>5.6989812002314809E-2</v>
      </c>
      <c r="B40" t="s">
        <v>94</v>
      </c>
      <c r="C40" t="s">
        <v>480</v>
      </c>
      <c r="D40"/>
      <c r="E40" t="s">
        <v>108</v>
      </c>
      <c r="F40"/>
      <c r="G40" t="s">
        <v>164</v>
      </c>
      <c r="H40"/>
      <c r="I40" s="158">
        <v>46285.987442129626</v>
      </c>
      <c r="J40" t="s">
        <v>490</v>
      </c>
      <c r="K40" t="s">
        <v>444</v>
      </c>
      <c r="L40" s="157">
        <v>46284</v>
      </c>
      <c r="M40" t="s">
        <v>439</v>
      </c>
      <c r="N40" t="s">
        <v>231</v>
      </c>
      <c r="O40" t="s">
        <v>232</v>
      </c>
      <c r="P40">
        <v>1</v>
      </c>
      <c r="Q40" t="s">
        <v>247</v>
      </c>
    </row>
    <row r="41" spans="1:17" s="25" customFormat="1">
      <c r="A41" s="111">
        <v>5.6926172731481484E-2</v>
      </c>
      <c r="B41" t="s">
        <v>94</v>
      </c>
      <c r="C41" t="s">
        <v>479</v>
      </c>
      <c r="D41"/>
      <c r="E41" t="s">
        <v>108</v>
      </c>
      <c r="F41"/>
      <c r="G41" t="s">
        <v>164</v>
      </c>
      <c r="H41"/>
      <c r="I41" s="158">
        <v>46285.987326388888</v>
      </c>
      <c r="J41" t="s">
        <v>490</v>
      </c>
      <c r="K41" t="s">
        <v>444</v>
      </c>
      <c r="L41" s="157">
        <v>46284</v>
      </c>
      <c r="M41" t="s">
        <v>439</v>
      </c>
      <c r="N41" t="s">
        <v>231</v>
      </c>
      <c r="O41" t="s">
        <v>232</v>
      </c>
      <c r="P41">
        <v>1</v>
      </c>
      <c r="Q41" t="s">
        <v>247</v>
      </c>
    </row>
    <row r="42" spans="1:17" s="25" customFormat="1">
      <c r="A42" s="111">
        <v>5.6866982118055555E-2</v>
      </c>
      <c r="B42" t="s">
        <v>94</v>
      </c>
      <c r="C42"/>
      <c r="D42"/>
      <c r="E42" t="s">
        <v>279</v>
      </c>
      <c r="F42"/>
      <c r="G42" t="s">
        <v>98</v>
      </c>
      <c r="H42"/>
      <c r="I42" s="158">
        <v>46285.987303240741</v>
      </c>
      <c r="J42" t="s">
        <v>490</v>
      </c>
      <c r="K42" t="s">
        <v>444</v>
      </c>
      <c r="L42" s="157">
        <v>46284</v>
      </c>
      <c r="M42" t="s">
        <v>439</v>
      </c>
      <c r="N42" t="s">
        <v>231</v>
      </c>
      <c r="O42" t="s">
        <v>232</v>
      </c>
      <c r="P42">
        <v>1</v>
      </c>
      <c r="Q42" t="s">
        <v>247</v>
      </c>
    </row>
    <row r="43" spans="1:17" s="25" customFormat="1">
      <c r="A43" s="111">
        <v>5.6816696898148153E-2</v>
      </c>
      <c r="B43" t="s">
        <v>94</v>
      </c>
      <c r="C43"/>
      <c r="D43"/>
      <c r="E43" t="s">
        <v>104</v>
      </c>
      <c r="F43"/>
      <c r="G43" t="s">
        <v>98</v>
      </c>
      <c r="H43"/>
      <c r="I43" s="158">
        <v>46285.98704861111</v>
      </c>
      <c r="J43" t="s">
        <v>490</v>
      </c>
      <c r="K43" t="s">
        <v>444</v>
      </c>
      <c r="L43" s="157">
        <v>46284</v>
      </c>
      <c r="M43" t="s">
        <v>439</v>
      </c>
      <c r="N43" t="s">
        <v>231</v>
      </c>
      <c r="O43" t="s">
        <v>232</v>
      </c>
      <c r="P43">
        <v>1</v>
      </c>
      <c r="Q43" t="s">
        <v>247</v>
      </c>
    </row>
    <row r="44" spans="1:17" s="25" customFormat="1">
      <c r="A44" s="111">
        <v>5.6422148854166659E-2</v>
      </c>
      <c r="B44" t="s">
        <v>94</v>
      </c>
      <c r="C44"/>
      <c r="D44"/>
      <c r="E44" t="s">
        <v>87</v>
      </c>
      <c r="F44"/>
      <c r="G44" t="s">
        <v>98</v>
      </c>
      <c r="H44"/>
      <c r="I44" s="158">
        <v>46285.986481481479</v>
      </c>
      <c r="J44" t="s">
        <v>490</v>
      </c>
      <c r="K44" t="s">
        <v>444</v>
      </c>
      <c r="L44" s="157">
        <v>46284</v>
      </c>
      <c r="M44" t="s">
        <v>439</v>
      </c>
      <c r="N44" t="s">
        <v>231</v>
      </c>
      <c r="O44" t="s">
        <v>232</v>
      </c>
      <c r="P44">
        <v>1</v>
      </c>
      <c r="Q44" t="s">
        <v>247</v>
      </c>
    </row>
    <row r="45" spans="1:17" s="25" customFormat="1">
      <c r="A45" s="111">
        <v>5.637288267361111E-2</v>
      </c>
      <c r="B45" t="s">
        <v>94</v>
      </c>
      <c r="C45"/>
      <c r="D45"/>
      <c r="E45" t="s">
        <v>184</v>
      </c>
      <c r="F45"/>
      <c r="G45" t="s">
        <v>98</v>
      </c>
      <c r="H45"/>
      <c r="I45" s="158">
        <v>46285.986435185187</v>
      </c>
      <c r="J45" t="s">
        <v>490</v>
      </c>
      <c r="K45" t="s">
        <v>444</v>
      </c>
      <c r="L45" s="157">
        <v>46284</v>
      </c>
      <c r="M45" t="s">
        <v>439</v>
      </c>
      <c r="N45" t="s">
        <v>231</v>
      </c>
      <c r="O45" t="s">
        <v>232</v>
      </c>
      <c r="P45">
        <v>1</v>
      </c>
      <c r="Q45" t="s">
        <v>247</v>
      </c>
    </row>
    <row r="46" spans="1:17" s="25" customFormat="1">
      <c r="A46" s="111">
        <v>5.6329890706018522E-2</v>
      </c>
      <c r="B46" t="s">
        <v>94</v>
      </c>
      <c r="C46" t="s">
        <v>82</v>
      </c>
      <c r="D46"/>
      <c r="E46" t="s">
        <v>279</v>
      </c>
      <c r="F46"/>
      <c r="G46" t="s">
        <v>98</v>
      </c>
      <c r="H46"/>
      <c r="I46" s="158">
        <v>46285.98642361111</v>
      </c>
      <c r="J46" t="s">
        <v>490</v>
      </c>
      <c r="K46" t="s">
        <v>444</v>
      </c>
      <c r="L46" s="157">
        <v>46284</v>
      </c>
      <c r="M46" t="s">
        <v>439</v>
      </c>
      <c r="N46" t="s">
        <v>231</v>
      </c>
      <c r="O46" t="s">
        <v>232</v>
      </c>
      <c r="P46">
        <v>1</v>
      </c>
      <c r="Q46" t="s">
        <v>247</v>
      </c>
    </row>
    <row r="47" spans="1:17" s="25" customFormat="1">
      <c r="A47" s="111">
        <v>5.6302252349537035E-2</v>
      </c>
      <c r="B47" t="s">
        <v>94</v>
      </c>
      <c r="C47"/>
      <c r="D47"/>
      <c r="E47" t="s">
        <v>105</v>
      </c>
      <c r="F47"/>
      <c r="G47" t="s">
        <v>98</v>
      </c>
      <c r="H47"/>
      <c r="I47" s="158">
        <v>46285.98636574074</v>
      </c>
      <c r="J47" t="s">
        <v>490</v>
      </c>
      <c r="K47" t="s">
        <v>444</v>
      </c>
      <c r="L47" s="157">
        <v>46284</v>
      </c>
      <c r="M47" t="s">
        <v>439</v>
      </c>
      <c r="N47" t="s">
        <v>231</v>
      </c>
      <c r="O47" t="s">
        <v>232</v>
      </c>
      <c r="P47">
        <v>1</v>
      </c>
      <c r="Q47" t="s">
        <v>247</v>
      </c>
    </row>
    <row r="48" spans="1:17" s="25" customFormat="1">
      <c r="A48" s="111">
        <v>5.5564377372685186E-2</v>
      </c>
      <c r="B48" t="s">
        <v>94</v>
      </c>
      <c r="C48"/>
      <c r="D48"/>
      <c r="E48" t="s">
        <v>87</v>
      </c>
      <c r="F48"/>
      <c r="G48" t="s">
        <v>164</v>
      </c>
      <c r="H48"/>
      <c r="I48" s="158">
        <v>46285.986087962963</v>
      </c>
      <c r="J48" t="s">
        <v>490</v>
      </c>
      <c r="K48" t="s">
        <v>444</v>
      </c>
      <c r="L48" s="157">
        <v>46284</v>
      </c>
      <c r="M48" t="s">
        <v>439</v>
      </c>
      <c r="N48" t="s">
        <v>231</v>
      </c>
      <c r="O48" t="s">
        <v>232</v>
      </c>
      <c r="P48">
        <v>1</v>
      </c>
      <c r="Q48" t="s">
        <v>247</v>
      </c>
    </row>
    <row r="49" spans="1:17" s="25" customFormat="1">
      <c r="A49" s="111">
        <v>5.548431935185185E-2</v>
      </c>
      <c r="B49" t="s">
        <v>94</v>
      </c>
      <c r="C49" t="s">
        <v>489</v>
      </c>
      <c r="D49"/>
      <c r="E49" t="s">
        <v>108</v>
      </c>
      <c r="F49"/>
      <c r="G49" t="s">
        <v>164</v>
      </c>
      <c r="H49"/>
      <c r="I49" s="158">
        <v>46285.985983796294</v>
      </c>
      <c r="J49" t="s">
        <v>490</v>
      </c>
      <c r="K49" t="s">
        <v>444</v>
      </c>
      <c r="L49" s="157">
        <v>46284</v>
      </c>
      <c r="M49" t="s">
        <v>439</v>
      </c>
      <c r="N49" t="s">
        <v>231</v>
      </c>
      <c r="O49" t="s">
        <v>232</v>
      </c>
      <c r="P49">
        <v>1</v>
      </c>
      <c r="Q49" t="s">
        <v>247</v>
      </c>
    </row>
    <row r="50" spans="1:17" s="25" customFormat="1">
      <c r="A50" s="111">
        <v>5.5481173900462956E-2</v>
      </c>
      <c r="B50" t="s">
        <v>94</v>
      </c>
      <c r="C50" t="s">
        <v>472</v>
      </c>
      <c r="D50"/>
      <c r="E50" t="s">
        <v>59</v>
      </c>
      <c r="F50"/>
      <c r="G50" t="s">
        <v>164</v>
      </c>
      <c r="H50"/>
      <c r="I50" s="158">
        <v>46285.98542824074</v>
      </c>
      <c r="J50" t="s">
        <v>490</v>
      </c>
      <c r="K50" t="s">
        <v>444</v>
      </c>
      <c r="L50" s="157">
        <v>46284</v>
      </c>
      <c r="M50" t="s">
        <v>439</v>
      </c>
      <c r="N50" t="s">
        <v>231</v>
      </c>
      <c r="O50" t="s">
        <v>232</v>
      </c>
      <c r="P50">
        <v>1</v>
      </c>
      <c r="Q50" t="s">
        <v>247</v>
      </c>
    </row>
    <row r="51" spans="1:17" s="25" customFormat="1">
      <c r="A51" s="111">
        <v>5.5413120856481486E-2</v>
      </c>
      <c r="B51" t="s">
        <v>94</v>
      </c>
      <c r="C51" t="s">
        <v>483</v>
      </c>
      <c r="D51"/>
      <c r="E51" t="s">
        <v>133</v>
      </c>
      <c r="F51"/>
      <c r="G51" t="s">
        <v>164</v>
      </c>
      <c r="H51"/>
      <c r="I51" s="158">
        <v>46285.985300925924</v>
      </c>
      <c r="J51" t="s">
        <v>490</v>
      </c>
      <c r="K51" t="s">
        <v>444</v>
      </c>
      <c r="L51" s="157">
        <v>46284</v>
      </c>
      <c r="M51" t="s">
        <v>439</v>
      </c>
      <c r="N51" t="s">
        <v>231</v>
      </c>
      <c r="O51" t="s">
        <v>232</v>
      </c>
      <c r="P51">
        <v>1</v>
      </c>
      <c r="Q51" t="s">
        <v>247</v>
      </c>
    </row>
    <row r="52" spans="1:17" s="25" customFormat="1">
      <c r="A52" s="111">
        <v>5.5413120856481486E-2</v>
      </c>
      <c r="B52" t="s">
        <v>94</v>
      </c>
      <c r="C52" t="s">
        <v>474</v>
      </c>
      <c r="D52"/>
      <c r="E52" t="s">
        <v>133</v>
      </c>
      <c r="F52"/>
      <c r="G52" t="s">
        <v>164</v>
      </c>
      <c r="H52"/>
      <c r="I52" s="158">
        <v>46285.985277777778</v>
      </c>
      <c r="J52" t="s">
        <v>490</v>
      </c>
      <c r="K52" t="s">
        <v>444</v>
      </c>
      <c r="L52" s="157">
        <v>46284</v>
      </c>
      <c r="M52" t="s">
        <v>439</v>
      </c>
      <c r="N52" t="s">
        <v>231</v>
      </c>
      <c r="O52" t="s">
        <v>232</v>
      </c>
      <c r="P52">
        <v>1</v>
      </c>
      <c r="Q52" t="s">
        <v>247</v>
      </c>
    </row>
    <row r="53" spans="1:17" s="25" customFormat="1">
      <c r="A53" s="111">
        <v>5.5330499398148152E-2</v>
      </c>
      <c r="B53" t="s">
        <v>94</v>
      </c>
      <c r="C53" t="s">
        <v>479</v>
      </c>
      <c r="D53"/>
      <c r="E53" t="s">
        <v>108</v>
      </c>
      <c r="F53"/>
      <c r="G53" t="s">
        <v>164</v>
      </c>
      <c r="H53"/>
      <c r="I53" s="158">
        <v>46285.984814814816</v>
      </c>
      <c r="J53" t="s">
        <v>490</v>
      </c>
      <c r="K53" t="s">
        <v>444</v>
      </c>
      <c r="L53" s="157">
        <v>46284</v>
      </c>
      <c r="M53" t="s">
        <v>439</v>
      </c>
      <c r="N53" t="s">
        <v>231</v>
      </c>
      <c r="O53" t="s">
        <v>232</v>
      </c>
      <c r="P53">
        <v>1</v>
      </c>
      <c r="Q53" t="s">
        <v>247</v>
      </c>
    </row>
    <row r="54" spans="1:17" s="25" customFormat="1">
      <c r="A54" s="111">
        <v>5.5259375613425921E-2</v>
      </c>
      <c r="B54" t="s">
        <v>94</v>
      </c>
      <c r="C54" t="s">
        <v>489</v>
      </c>
      <c r="D54"/>
      <c r="E54" t="s">
        <v>58</v>
      </c>
      <c r="F54"/>
      <c r="G54" t="s">
        <v>164</v>
      </c>
      <c r="H54"/>
      <c r="I54" s="158">
        <v>46285.9844212963</v>
      </c>
      <c r="J54" t="s">
        <v>490</v>
      </c>
      <c r="K54" t="s">
        <v>444</v>
      </c>
      <c r="L54" s="157">
        <v>46284</v>
      </c>
      <c r="M54" t="s">
        <v>439</v>
      </c>
      <c r="N54" t="s">
        <v>231</v>
      </c>
      <c r="O54" t="s">
        <v>232</v>
      </c>
      <c r="P54">
        <v>1</v>
      </c>
      <c r="Q54" t="s">
        <v>247</v>
      </c>
    </row>
    <row r="55" spans="1:17" s="25" customFormat="1">
      <c r="A55" s="111">
        <v>5.5167898252314808E-2</v>
      </c>
      <c r="B55" t="s">
        <v>94</v>
      </c>
      <c r="C55" t="s">
        <v>482</v>
      </c>
      <c r="D55"/>
      <c r="E55" t="s">
        <v>108</v>
      </c>
      <c r="F55"/>
      <c r="G55" t="s">
        <v>164</v>
      </c>
      <c r="H55"/>
      <c r="I55" s="158">
        <v>46285.983761574076</v>
      </c>
      <c r="J55" t="s">
        <v>490</v>
      </c>
      <c r="K55" t="s">
        <v>444</v>
      </c>
      <c r="L55" s="157">
        <v>46284</v>
      </c>
      <c r="M55" t="s">
        <v>439</v>
      </c>
      <c r="N55" t="s">
        <v>231</v>
      </c>
      <c r="O55" t="s">
        <v>232</v>
      </c>
      <c r="P55">
        <v>1</v>
      </c>
      <c r="Q55" t="s">
        <v>247</v>
      </c>
    </row>
    <row r="56" spans="1:17" s="25" customFormat="1">
      <c r="A56" s="111">
        <v>5.5125734421296299E-2</v>
      </c>
      <c r="B56" t="s">
        <v>94</v>
      </c>
      <c r="C56" t="s">
        <v>489</v>
      </c>
      <c r="D56"/>
      <c r="E56" t="s">
        <v>108</v>
      </c>
      <c r="F56"/>
      <c r="G56" t="s">
        <v>164</v>
      </c>
      <c r="H56"/>
      <c r="I56" s="158">
        <v>46285.983564814815</v>
      </c>
      <c r="J56" t="s">
        <v>490</v>
      </c>
      <c r="K56" t="s">
        <v>444</v>
      </c>
      <c r="L56" s="157">
        <v>46284</v>
      </c>
      <c r="M56" t="s">
        <v>439</v>
      </c>
      <c r="N56" t="s">
        <v>231</v>
      </c>
      <c r="O56" t="s">
        <v>232</v>
      </c>
      <c r="P56">
        <v>1</v>
      </c>
      <c r="Q56" t="s">
        <v>247</v>
      </c>
    </row>
    <row r="57" spans="1:17" s="25" customFormat="1">
      <c r="A57" s="111">
        <v>5.5067978645833328E-2</v>
      </c>
      <c r="B57" t="s">
        <v>94</v>
      </c>
      <c r="C57" t="s">
        <v>485</v>
      </c>
      <c r="D57"/>
      <c r="E57" t="s">
        <v>108</v>
      </c>
      <c r="F57"/>
      <c r="G57" t="s">
        <v>164</v>
      </c>
      <c r="H57"/>
      <c r="I57" s="158">
        <v>46285.983425925922</v>
      </c>
      <c r="J57" t="s">
        <v>490</v>
      </c>
      <c r="K57" t="s">
        <v>444</v>
      </c>
      <c r="L57" s="157">
        <v>46284</v>
      </c>
      <c r="M57" t="s">
        <v>439</v>
      </c>
      <c r="N57" t="s">
        <v>231</v>
      </c>
      <c r="O57" t="s">
        <v>232</v>
      </c>
      <c r="P57">
        <v>1</v>
      </c>
      <c r="Q57" t="s">
        <v>247</v>
      </c>
    </row>
    <row r="58" spans="1:17" s="25" customFormat="1">
      <c r="A58" s="111">
        <v>5.5060779189814814E-2</v>
      </c>
      <c r="B58" t="s">
        <v>94</v>
      </c>
      <c r="C58" t="s">
        <v>479</v>
      </c>
      <c r="D58"/>
      <c r="E58" t="s">
        <v>59</v>
      </c>
      <c r="F58"/>
      <c r="G58" t="s">
        <v>164</v>
      </c>
      <c r="H58"/>
      <c r="I58" s="158">
        <v>46285.983043981483</v>
      </c>
      <c r="J58" t="s">
        <v>490</v>
      </c>
      <c r="K58" t="s">
        <v>444</v>
      </c>
      <c r="L58" s="157">
        <v>46284</v>
      </c>
      <c r="M58" t="s">
        <v>439</v>
      </c>
      <c r="N58" t="s">
        <v>231</v>
      </c>
      <c r="O58" t="s">
        <v>232</v>
      </c>
      <c r="P58">
        <v>1</v>
      </c>
      <c r="Q58" t="s">
        <v>247</v>
      </c>
    </row>
    <row r="59" spans="1:17" s="25" customFormat="1">
      <c r="A59" s="111">
        <v>5.4957417662037045E-2</v>
      </c>
      <c r="B59" t="s">
        <v>94</v>
      </c>
      <c r="C59"/>
      <c r="D59"/>
      <c r="E59" t="s">
        <v>104</v>
      </c>
      <c r="F59"/>
      <c r="G59" t="s">
        <v>164</v>
      </c>
      <c r="H59"/>
      <c r="I59" s="158">
        <v>46285.982881944445</v>
      </c>
      <c r="J59" t="s">
        <v>490</v>
      </c>
      <c r="K59" t="s">
        <v>444</v>
      </c>
      <c r="L59" s="157">
        <v>46284</v>
      </c>
      <c r="M59" t="s">
        <v>439</v>
      </c>
      <c r="N59" t="s">
        <v>231</v>
      </c>
      <c r="O59" t="s">
        <v>232</v>
      </c>
      <c r="P59">
        <v>1</v>
      </c>
      <c r="Q59" t="s">
        <v>247</v>
      </c>
    </row>
    <row r="60" spans="1:17" s="25" customFormat="1">
      <c r="A60" s="111">
        <v>5.4256893402777777E-2</v>
      </c>
      <c r="B60" t="s">
        <v>94</v>
      </c>
      <c r="C60" t="s">
        <v>477</v>
      </c>
      <c r="D60" t="s">
        <v>222</v>
      </c>
      <c r="E60" t="s">
        <v>214</v>
      </c>
      <c r="F60" t="s">
        <v>82</v>
      </c>
      <c r="G60" t="s">
        <v>164</v>
      </c>
      <c r="H60"/>
      <c r="I60" s="158">
        <v>46285.982766203706</v>
      </c>
      <c r="J60" t="s">
        <v>490</v>
      </c>
      <c r="K60" t="s">
        <v>444</v>
      </c>
      <c r="L60" s="157">
        <v>46284</v>
      </c>
      <c r="M60" t="s">
        <v>439</v>
      </c>
      <c r="N60" t="s">
        <v>231</v>
      </c>
      <c r="O60" t="s">
        <v>232</v>
      </c>
      <c r="P60">
        <v>1</v>
      </c>
      <c r="Q60" t="s">
        <v>247</v>
      </c>
    </row>
    <row r="61" spans="1:17" s="25" customFormat="1">
      <c r="A61" s="111">
        <v>5.4253065879629629E-2</v>
      </c>
      <c r="B61" t="s">
        <v>94</v>
      </c>
      <c r="C61"/>
      <c r="D61"/>
      <c r="E61" t="s">
        <v>87</v>
      </c>
      <c r="F61"/>
      <c r="G61" t="s">
        <v>164</v>
      </c>
      <c r="H61"/>
      <c r="I61" s="158">
        <v>46285.982222222221</v>
      </c>
      <c r="J61" t="s">
        <v>490</v>
      </c>
      <c r="K61" t="s">
        <v>444</v>
      </c>
      <c r="L61" s="157">
        <v>46284</v>
      </c>
      <c r="M61" t="s">
        <v>439</v>
      </c>
      <c r="N61" t="s">
        <v>231</v>
      </c>
      <c r="O61" t="s">
        <v>232</v>
      </c>
      <c r="P61">
        <v>1</v>
      </c>
      <c r="Q61" t="s">
        <v>247</v>
      </c>
    </row>
    <row r="62" spans="1:17" s="25" customFormat="1">
      <c r="A62" s="111">
        <v>5.4148565717592592E-2</v>
      </c>
      <c r="B62" t="s">
        <v>94</v>
      </c>
      <c r="C62"/>
      <c r="D62"/>
      <c r="E62" t="s">
        <v>184</v>
      </c>
      <c r="F62"/>
      <c r="G62" t="s">
        <v>164</v>
      </c>
      <c r="H62"/>
      <c r="I62" s="158">
        <v>46285.982060185182</v>
      </c>
      <c r="J62" t="s">
        <v>490</v>
      </c>
      <c r="K62" t="s">
        <v>444</v>
      </c>
      <c r="L62" s="157">
        <v>46284</v>
      </c>
      <c r="M62" t="s">
        <v>439</v>
      </c>
      <c r="N62" t="s">
        <v>231</v>
      </c>
      <c r="O62" t="s">
        <v>232</v>
      </c>
      <c r="P62">
        <v>1</v>
      </c>
      <c r="Q62" t="s">
        <v>247</v>
      </c>
    </row>
    <row r="63" spans="1:17" s="25" customFormat="1">
      <c r="A63" s="111">
        <v>5.4102280648148149E-2</v>
      </c>
      <c r="B63" t="s">
        <v>94</v>
      </c>
      <c r="C63" t="s">
        <v>481</v>
      </c>
      <c r="D63"/>
      <c r="E63" t="s">
        <v>108</v>
      </c>
      <c r="F63"/>
      <c r="G63" t="s">
        <v>164</v>
      </c>
      <c r="H63"/>
      <c r="I63" s="158">
        <v>46285.981932870367</v>
      </c>
      <c r="J63" t="s">
        <v>490</v>
      </c>
      <c r="K63" t="s">
        <v>444</v>
      </c>
      <c r="L63" s="157">
        <v>46284</v>
      </c>
      <c r="M63" t="s">
        <v>439</v>
      </c>
      <c r="N63" t="s">
        <v>231</v>
      </c>
      <c r="O63" t="s">
        <v>232</v>
      </c>
      <c r="P63">
        <v>1</v>
      </c>
      <c r="Q63" t="s">
        <v>247</v>
      </c>
    </row>
    <row r="64" spans="1:17" s="25" customFormat="1">
      <c r="A64" s="111">
        <v>5.4090757418981478E-2</v>
      </c>
      <c r="B64" t="s">
        <v>94</v>
      </c>
      <c r="C64" t="s">
        <v>482</v>
      </c>
      <c r="D64"/>
      <c r="E64" t="s">
        <v>183</v>
      </c>
      <c r="F64"/>
      <c r="G64" t="s">
        <v>98</v>
      </c>
      <c r="H64"/>
      <c r="I64" s="158">
        <v>46285.981412037036</v>
      </c>
      <c r="J64" t="s">
        <v>490</v>
      </c>
      <c r="K64" t="s">
        <v>444</v>
      </c>
      <c r="L64" s="157">
        <v>46284</v>
      </c>
      <c r="M64" t="s">
        <v>439</v>
      </c>
      <c r="N64" t="s">
        <v>231</v>
      </c>
      <c r="O64" t="s">
        <v>232</v>
      </c>
      <c r="P64">
        <v>1</v>
      </c>
      <c r="Q64" t="s">
        <v>247</v>
      </c>
    </row>
    <row r="65" spans="1:17" s="25" customFormat="1">
      <c r="A65" s="111">
        <v>5.4017943287037039E-2</v>
      </c>
      <c r="B65" t="s">
        <v>94</v>
      </c>
      <c r="C65"/>
      <c r="D65"/>
      <c r="E65" t="s">
        <v>279</v>
      </c>
      <c r="F65"/>
      <c r="G65" t="s">
        <v>98</v>
      </c>
      <c r="H65"/>
      <c r="I65" s="158">
        <v>46285.981041666666</v>
      </c>
      <c r="J65" t="s">
        <v>490</v>
      </c>
      <c r="K65" t="s">
        <v>444</v>
      </c>
      <c r="L65" s="157">
        <v>46284</v>
      </c>
      <c r="M65" t="s">
        <v>439</v>
      </c>
      <c r="N65" t="s">
        <v>231</v>
      </c>
      <c r="O65" t="s">
        <v>232</v>
      </c>
      <c r="P65">
        <v>1</v>
      </c>
      <c r="Q65" t="s">
        <v>247</v>
      </c>
    </row>
    <row r="66" spans="1:17" s="25" customFormat="1">
      <c r="A66" s="111">
        <v>5.3974931620370377E-2</v>
      </c>
      <c r="B66" t="s">
        <v>94</v>
      </c>
      <c r="C66"/>
      <c r="D66"/>
      <c r="E66" t="s">
        <v>105</v>
      </c>
      <c r="F66"/>
      <c r="G66" t="s">
        <v>98</v>
      </c>
      <c r="H66"/>
      <c r="I66" s="158">
        <v>46285.980995370373</v>
      </c>
      <c r="J66" t="s">
        <v>490</v>
      </c>
      <c r="K66" t="s">
        <v>444</v>
      </c>
      <c r="L66" s="157">
        <v>46284</v>
      </c>
      <c r="M66" t="s">
        <v>439</v>
      </c>
      <c r="N66" t="s">
        <v>231</v>
      </c>
      <c r="O66" t="s">
        <v>232</v>
      </c>
      <c r="P66">
        <v>1</v>
      </c>
      <c r="Q66" t="s">
        <v>247</v>
      </c>
    </row>
    <row r="67" spans="1:17" s="25" customFormat="1">
      <c r="A67" s="111">
        <v>5.3155390879629637E-2</v>
      </c>
      <c r="B67" t="s">
        <v>94</v>
      </c>
      <c r="C67"/>
      <c r="D67"/>
      <c r="E67" t="s">
        <v>87</v>
      </c>
      <c r="F67"/>
      <c r="G67" t="s">
        <v>98</v>
      </c>
      <c r="H67"/>
      <c r="I67" s="158">
        <v>46285.980925925927</v>
      </c>
      <c r="J67" t="s">
        <v>490</v>
      </c>
      <c r="K67" t="s">
        <v>444</v>
      </c>
      <c r="L67" s="157">
        <v>46284</v>
      </c>
      <c r="M67" t="s">
        <v>439</v>
      </c>
      <c r="N67" t="s">
        <v>231</v>
      </c>
      <c r="O67" t="s">
        <v>232</v>
      </c>
      <c r="P67">
        <v>1</v>
      </c>
      <c r="Q67" t="s">
        <v>247</v>
      </c>
    </row>
    <row r="68" spans="1:17" s="25" customFormat="1">
      <c r="A68" s="111">
        <v>5.3120672372685182E-2</v>
      </c>
      <c r="B68" t="s">
        <v>94</v>
      </c>
      <c r="C68"/>
      <c r="D68"/>
      <c r="E68" t="s">
        <v>183</v>
      </c>
      <c r="F68"/>
      <c r="G68" t="s">
        <v>164</v>
      </c>
      <c r="H68"/>
      <c r="I68" s="158">
        <v>46285.980868055558</v>
      </c>
      <c r="J68" t="s">
        <v>490</v>
      </c>
      <c r="K68" t="s">
        <v>444</v>
      </c>
      <c r="L68" s="157">
        <v>46284</v>
      </c>
      <c r="M68" t="s">
        <v>439</v>
      </c>
      <c r="N68" t="s">
        <v>231</v>
      </c>
      <c r="O68" t="s">
        <v>232</v>
      </c>
      <c r="P68">
        <v>1</v>
      </c>
      <c r="Q68" t="s">
        <v>247</v>
      </c>
    </row>
    <row r="69" spans="1:17" s="25" customFormat="1">
      <c r="A69" s="111">
        <v>5.3068407592592598E-2</v>
      </c>
      <c r="B69" t="s">
        <v>94</v>
      </c>
      <c r="C69" t="s">
        <v>484</v>
      </c>
      <c r="D69"/>
      <c r="E69" t="s">
        <v>108</v>
      </c>
      <c r="F69"/>
      <c r="G69" t="s">
        <v>164</v>
      </c>
      <c r="H69"/>
      <c r="I69" s="158">
        <v>46285.980763888889</v>
      </c>
      <c r="J69" t="s">
        <v>490</v>
      </c>
      <c r="K69" t="s">
        <v>444</v>
      </c>
      <c r="L69" s="157">
        <v>46284</v>
      </c>
      <c r="M69" t="s">
        <v>439</v>
      </c>
      <c r="N69" t="s">
        <v>231</v>
      </c>
      <c r="O69" t="s">
        <v>232</v>
      </c>
      <c r="P69">
        <v>1</v>
      </c>
      <c r="Q69" t="s">
        <v>247</v>
      </c>
    </row>
    <row r="70" spans="1:17" s="25" customFormat="1">
      <c r="A70" s="111">
        <v>5.2940944791666666E-2</v>
      </c>
      <c r="B70" t="s">
        <v>94</v>
      </c>
      <c r="C70" t="s">
        <v>478</v>
      </c>
      <c r="D70"/>
      <c r="E70" t="s">
        <v>108</v>
      </c>
      <c r="F70"/>
      <c r="G70" t="s">
        <v>164</v>
      </c>
      <c r="H70"/>
      <c r="I70" s="158">
        <v>46285.980543981481</v>
      </c>
      <c r="J70" t="s">
        <v>490</v>
      </c>
      <c r="K70" t="s">
        <v>444</v>
      </c>
      <c r="L70" s="157">
        <v>46284</v>
      </c>
      <c r="M70" t="s">
        <v>439</v>
      </c>
      <c r="N70" t="s">
        <v>231</v>
      </c>
      <c r="O70" t="s">
        <v>232</v>
      </c>
      <c r="P70">
        <v>1</v>
      </c>
      <c r="Q70" t="s">
        <v>247</v>
      </c>
    </row>
    <row r="71" spans="1:17" s="25" customFormat="1">
      <c r="A71" s="111">
        <v>5.2883133900462967E-2</v>
      </c>
      <c r="B71" t="s">
        <v>94</v>
      </c>
      <c r="C71" t="s">
        <v>474</v>
      </c>
      <c r="D71"/>
      <c r="E71" t="s">
        <v>135</v>
      </c>
      <c r="F71"/>
      <c r="G71" t="s">
        <v>164</v>
      </c>
      <c r="H71"/>
      <c r="I71" s="158">
        <v>46285.980405092596</v>
      </c>
      <c r="J71" t="s">
        <v>490</v>
      </c>
      <c r="K71" t="s">
        <v>444</v>
      </c>
      <c r="L71" s="157">
        <v>46284</v>
      </c>
      <c r="M71" t="s">
        <v>439</v>
      </c>
      <c r="N71" t="s">
        <v>231</v>
      </c>
      <c r="O71" t="s">
        <v>232</v>
      </c>
      <c r="P71">
        <v>1</v>
      </c>
      <c r="Q71" t="s">
        <v>247</v>
      </c>
    </row>
    <row r="72" spans="1:17" s="25" customFormat="1">
      <c r="A72" s="111">
        <v>5.2866481377314818E-2</v>
      </c>
      <c r="B72" t="s">
        <v>94</v>
      </c>
      <c r="C72" t="s">
        <v>480</v>
      </c>
      <c r="D72"/>
      <c r="E72" t="s">
        <v>108</v>
      </c>
      <c r="F72"/>
      <c r="G72" t="s">
        <v>164</v>
      </c>
      <c r="H72"/>
      <c r="I72" s="158">
        <v>46285.980231481481</v>
      </c>
      <c r="J72" t="s">
        <v>490</v>
      </c>
      <c r="K72" t="s">
        <v>444</v>
      </c>
      <c r="L72" s="157">
        <v>46284</v>
      </c>
      <c r="M72" t="s">
        <v>439</v>
      </c>
      <c r="N72" t="s">
        <v>231</v>
      </c>
      <c r="O72" t="s">
        <v>232</v>
      </c>
      <c r="P72">
        <v>1</v>
      </c>
      <c r="Q72" t="s">
        <v>247</v>
      </c>
    </row>
    <row r="73" spans="1:17" s="25" customFormat="1">
      <c r="A73" s="111">
        <v>5.2785598622685177E-2</v>
      </c>
      <c r="B73" t="s">
        <v>94</v>
      </c>
      <c r="C73" t="s">
        <v>479</v>
      </c>
      <c r="D73"/>
      <c r="E73" t="s">
        <v>108</v>
      </c>
      <c r="F73"/>
      <c r="G73" t="s">
        <v>164</v>
      </c>
      <c r="H73"/>
      <c r="I73" s="158">
        <v>46285.979745370372</v>
      </c>
      <c r="J73" t="s">
        <v>490</v>
      </c>
      <c r="K73" t="s">
        <v>444</v>
      </c>
      <c r="L73" s="157">
        <v>46284</v>
      </c>
      <c r="M73" t="s">
        <v>439</v>
      </c>
      <c r="N73" t="s">
        <v>231</v>
      </c>
      <c r="O73" t="s">
        <v>232</v>
      </c>
      <c r="P73">
        <v>1</v>
      </c>
      <c r="Q73" t="s">
        <v>247</v>
      </c>
    </row>
    <row r="74" spans="1:17" s="25" customFormat="1">
      <c r="A74" s="111">
        <v>5.2784076122685181E-2</v>
      </c>
      <c r="B74" t="s">
        <v>94</v>
      </c>
      <c r="C74" t="s">
        <v>481</v>
      </c>
      <c r="D74"/>
      <c r="E74" t="s">
        <v>59</v>
      </c>
      <c r="F74"/>
      <c r="G74" t="s">
        <v>164</v>
      </c>
      <c r="H74"/>
      <c r="I74" s="158">
        <v>46285.97960648148</v>
      </c>
      <c r="J74" t="s">
        <v>490</v>
      </c>
      <c r="K74" t="s">
        <v>444</v>
      </c>
      <c r="L74" s="157">
        <v>46284</v>
      </c>
      <c r="M74" t="s">
        <v>439</v>
      </c>
      <c r="N74" t="s">
        <v>231</v>
      </c>
      <c r="O74" t="s">
        <v>232</v>
      </c>
      <c r="P74">
        <v>1</v>
      </c>
      <c r="Q74" t="s">
        <v>247</v>
      </c>
    </row>
    <row r="75" spans="1:17" s="25" customFormat="1">
      <c r="A75" s="111">
        <v>5.2743960219907411E-2</v>
      </c>
      <c r="B75" t="s">
        <v>94</v>
      </c>
      <c r="C75"/>
      <c r="D75"/>
      <c r="E75" t="s">
        <v>188</v>
      </c>
      <c r="F75"/>
      <c r="G75" t="s">
        <v>164</v>
      </c>
      <c r="H75"/>
      <c r="I75" s="158">
        <v>46285.979409722226</v>
      </c>
      <c r="J75" t="s">
        <v>490</v>
      </c>
      <c r="K75" t="s">
        <v>444</v>
      </c>
      <c r="L75" s="157">
        <v>46284</v>
      </c>
      <c r="M75" t="s">
        <v>439</v>
      </c>
      <c r="N75" t="s">
        <v>231</v>
      </c>
      <c r="O75" t="s">
        <v>232</v>
      </c>
      <c r="P75">
        <v>1</v>
      </c>
      <c r="Q75" t="s">
        <v>247</v>
      </c>
    </row>
    <row r="76" spans="1:17" s="25" customFormat="1">
      <c r="A76" s="111">
        <v>5.2700843148148151E-2</v>
      </c>
      <c r="B76" t="s">
        <v>94</v>
      </c>
      <c r="C76"/>
      <c r="D76"/>
      <c r="E76" t="s">
        <v>184</v>
      </c>
      <c r="F76"/>
      <c r="G76" t="s">
        <v>98</v>
      </c>
      <c r="H76"/>
      <c r="I76" s="158">
        <v>46285.979363425926</v>
      </c>
      <c r="J76" t="s">
        <v>490</v>
      </c>
      <c r="K76" t="s">
        <v>444</v>
      </c>
      <c r="L76" s="157">
        <v>46284</v>
      </c>
      <c r="M76" t="s">
        <v>439</v>
      </c>
      <c r="N76" t="s">
        <v>231</v>
      </c>
      <c r="O76" t="s">
        <v>232</v>
      </c>
      <c r="P76">
        <v>1</v>
      </c>
      <c r="Q76" t="s">
        <v>247</v>
      </c>
    </row>
    <row r="77" spans="1:17" s="25" customFormat="1">
      <c r="A77" s="111">
        <v>5.2562676909722224E-2</v>
      </c>
      <c r="B77" t="s">
        <v>94</v>
      </c>
      <c r="C77" t="s">
        <v>480</v>
      </c>
      <c r="D77"/>
      <c r="E77" t="s">
        <v>463</v>
      </c>
      <c r="F77"/>
      <c r="G77" t="s">
        <v>98</v>
      </c>
      <c r="H77"/>
      <c r="I77" s="158">
        <v>46285.979178240741</v>
      </c>
      <c r="J77" t="s">
        <v>490</v>
      </c>
      <c r="K77" t="s">
        <v>444</v>
      </c>
      <c r="L77" s="157">
        <v>46284</v>
      </c>
      <c r="M77" t="s">
        <v>439</v>
      </c>
      <c r="N77" t="s">
        <v>231</v>
      </c>
      <c r="O77" t="s">
        <v>232</v>
      </c>
      <c r="P77">
        <v>1</v>
      </c>
      <c r="Q77" t="s">
        <v>247</v>
      </c>
    </row>
    <row r="78" spans="1:17" s="25" customFormat="1">
      <c r="A78" s="111">
        <v>5.2448204583333338E-2</v>
      </c>
      <c r="B78" t="s">
        <v>94</v>
      </c>
      <c r="C78" t="s">
        <v>468</v>
      </c>
      <c r="D78"/>
      <c r="E78" t="s">
        <v>463</v>
      </c>
      <c r="F78"/>
      <c r="G78" t="s">
        <v>98</v>
      </c>
      <c r="H78"/>
      <c r="I78" s="158">
        <v>46285.978831018518</v>
      </c>
      <c r="J78" t="s">
        <v>490</v>
      </c>
      <c r="K78" t="s">
        <v>444</v>
      </c>
      <c r="L78" s="157">
        <v>46284</v>
      </c>
      <c r="M78" t="s">
        <v>439</v>
      </c>
      <c r="N78" t="s">
        <v>231</v>
      </c>
      <c r="O78" t="s">
        <v>232</v>
      </c>
      <c r="P78">
        <v>1</v>
      </c>
      <c r="Q78" t="s">
        <v>247</v>
      </c>
    </row>
    <row r="79" spans="1:17" s="25" customFormat="1">
      <c r="A79" s="111">
        <v>5.2425182118055559E-2</v>
      </c>
      <c r="B79" t="s">
        <v>94</v>
      </c>
      <c r="C79" t="s">
        <v>479</v>
      </c>
      <c r="D79"/>
      <c r="E79" t="s">
        <v>463</v>
      </c>
      <c r="F79"/>
      <c r="G79" t="s">
        <v>98</v>
      </c>
      <c r="H79"/>
      <c r="I79" s="158">
        <v>46285.978726851848</v>
      </c>
      <c r="J79" t="s">
        <v>490</v>
      </c>
      <c r="K79" t="s">
        <v>444</v>
      </c>
      <c r="L79" s="157">
        <v>46284</v>
      </c>
      <c r="M79" t="s">
        <v>439</v>
      </c>
      <c r="N79" t="s">
        <v>231</v>
      </c>
      <c r="O79" t="s">
        <v>232</v>
      </c>
      <c r="P79">
        <v>1</v>
      </c>
      <c r="Q79" t="s">
        <v>247</v>
      </c>
    </row>
    <row r="80" spans="1:17" s="25" customFormat="1">
      <c r="A80" s="111">
        <v>5.237922722222222E-2</v>
      </c>
      <c r="B80" t="s">
        <v>94</v>
      </c>
      <c r="C80"/>
      <c r="D80"/>
      <c r="E80" t="s">
        <v>186</v>
      </c>
      <c r="F80"/>
      <c r="G80" t="s">
        <v>98</v>
      </c>
      <c r="H80"/>
      <c r="I80" s="158">
        <v>46285.978622685187</v>
      </c>
      <c r="J80" t="s">
        <v>490</v>
      </c>
      <c r="K80" t="s">
        <v>444</v>
      </c>
      <c r="L80" s="157">
        <v>46284</v>
      </c>
      <c r="M80" t="s">
        <v>439</v>
      </c>
      <c r="N80" t="s">
        <v>231</v>
      </c>
      <c r="O80" t="s">
        <v>232</v>
      </c>
      <c r="P80">
        <v>1</v>
      </c>
      <c r="Q80" t="s">
        <v>247</v>
      </c>
    </row>
    <row r="81" spans="1:17" s="25" customFormat="1">
      <c r="A81" s="111">
        <v>5.231153667824074E-2</v>
      </c>
      <c r="B81" t="s">
        <v>94</v>
      </c>
      <c r="C81"/>
      <c r="D81"/>
      <c r="E81" t="s">
        <v>184</v>
      </c>
      <c r="F81"/>
      <c r="G81" t="s">
        <v>164</v>
      </c>
      <c r="H81"/>
      <c r="I81" s="158">
        <v>46285.97855324074</v>
      </c>
      <c r="J81" t="s">
        <v>490</v>
      </c>
      <c r="K81" t="s">
        <v>444</v>
      </c>
      <c r="L81" s="157">
        <v>46284</v>
      </c>
      <c r="M81" t="s">
        <v>439</v>
      </c>
      <c r="N81" t="s">
        <v>231</v>
      </c>
      <c r="O81" t="s">
        <v>232</v>
      </c>
      <c r="P81">
        <v>1</v>
      </c>
      <c r="Q81" t="s">
        <v>247</v>
      </c>
    </row>
    <row r="82" spans="1:17" s="25" customFormat="1">
      <c r="A82" s="111">
        <v>5.2265448472222219E-2</v>
      </c>
      <c r="B82" t="s">
        <v>94</v>
      </c>
      <c r="C82"/>
      <c r="D82"/>
      <c r="E82" t="s">
        <v>188</v>
      </c>
      <c r="F82"/>
      <c r="G82" t="s">
        <v>164</v>
      </c>
      <c r="H82"/>
      <c r="I82" s="158">
        <v>46285.978506944448</v>
      </c>
      <c r="J82" t="s">
        <v>490</v>
      </c>
      <c r="K82" t="s">
        <v>444</v>
      </c>
      <c r="L82" s="157">
        <v>46284</v>
      </c>
      <c r="M82" t="s">
        <v>439</v>
      </c>
      <c r="N82" t="s">
        <v>231</v>
      </c>
      <c r="O82" t="s">
        <v>232</v>
      </c>
      <c r="P82">
        <v>1</v>
      </c>
      <c r="Q82" t="s">
        <v>247</v>
      </c>
    </row>
    <row r="83" spans="1:17" s="25" customFormat="1">
      <c r="A83" s="111">
        <v>5.219480569444445E-2</v>
      </c>
      <c r="B83" t="s">
        <v>94</v>
      </c>
      <c r="C83"/>
      <c r="D83"/>
      <c r="E83" t="s">
        <v>184</v>
      </c>
      <c r="F83"/>
      <c r="G83" t="s">
        <v>98</v>
      </c>
      <c r="H83"/>
      <c r="I83" s="158">
        <v>46285.978437500002</v>
      </c>
      <c r="J83" t="s">
        <v>490</v>
      </c>
      <c r="K83" t="s">
        <v>444</v>
      </c>
      <c r="L83" s="157">
        <v>46284</v>
      </c>
      <c r="M83" t="s">
        <v>439</v>
      </c>
      <c r="N83" t="s">
        <v>231</v>
      </c>
      <c r="O83" t="s">
        <v>232</v>
      </c>
      <c r="P83">
        <v>1</v>
      </c>
      <c r="Q83" t="s">
        <v>247</v>
      </c>
    </row>
    <row r="84" spans="1:17" s="25" customFormat="1">
      <c r="A84" s="111">
        <v>5.2160903194444441E-2</v>
      </c>
      <c r="B84" t="s">
        <v>94</v>
      </c>
      <c r="C84"/>
      <c r="D84"/>
      <c r="E84" t="s">
        <v>186</v>
      </c>
      <c r="F84"/>
      <c r="G84" t="s">
        <v>98</v>
      </c>
      <c r="H84"/>
      <c r="I84" s="158">
        <v>46285.978402777779</v>
      </c>
      <c r="J84" t="s">
        <v>490</v>
      </c>
      <c r="K84" t="s">
        <v>444</v>
      </c>
      <c r="L84" s="157">
        <v>46284</v>
      </c>
      <c r="M84" t="s">
        <v>439</v>
      </c>
      <c r="N84" t="s">
        <v>231</v>
      </c>
      <c r="O84" t="s">
        <v>232</v>
      </c>
      <c r="P84">
        <v>1</v>
      </c>
      <c r="Q84" t="s">
        <v>247</v>
      </c>
    </row>
    <row r="85" spans="1:17" s="25" customFormat="1">
      <c r="A85" s="111">
        <v>5.2112553854166674E-2</v>
      </c>
      <c r="B85" t="s">
        <v>94</v>
      </c>
      <c r="C85"/>
      <c r="D85"/>
      <c r="E85" t="s">
        <v>184</v>
      </c>
      <c r="F85"/>
      <c r="G85" t="s">
        <v>164</v>
      </c>
      <c r="H85"/>
      <c r="I85" s="158">
        <v>46285.978356481479</v>
      </c>
      <c r="J85" t="s">
        <v>490</v>
      </c>
      <c r="K85" t="s">
        <v>444</v>
      </c>
      <c r="L85" s="157">
        <v>46284</v>
      </c>
      <c r="M85" t="s">
        <v>439</v>
      </c>
      <c r="N85" t="s">
        <v>231</v>
      </c>
      <c r="O85" t="s">
        <v>232</v>
      </c>
      <c r="P85">
        <v>1</v>
      </c>
      <c r="Q85" t="s">
        <v>247</v>
      </c>
    </row>
    <row r="86" spans="1:17" s="25" customFormat="1">
      <c r="A86" s="111">
        <v>5.206876388888889E-2</v>
      </c>
      <c r="B86" t="s">
        <v>94</v>
      </c>
      <c r="C86"/>
      <c r="D86"/>
      <c r="E86" t="s">
        <v>188</v>
      </c>
      <c r="F86"/>
      <c r="G86" t="s">
        <v>164</v>
      </c>
      <c r="H86"/>
      <c r="I86" s="158">
        <v>46285.978310185186</v>
      </c>
      <c r="J86" t="s">
        <v>490</v>
      </c>
      <c r="K86" t="s">
        <v>444</v>
      </c>
      <c r="L86" s="157">
        <v>46284</v>
      </c>
      <c r="M86" t="s">
        <v>439</v>
      </c>
      <c r="N86" t="s">
        <v>231</v>
      </c>
      <c r="O86" t="s">
        <v>232</v>
      </c>
      <c r="P86">
        <v>1</v>
      </c>
      <c r="Q86" t="s">
        <v>247</v>
      </c>
    </row>
    <row r="87" spans="1:17" s="25" customFormat="1">
      <c r="A87" s="111">
        <v>5.2019959398148144E-2</v>
      </c>
      <c r="B87" t="s">
        <v>94</v>
      </c>
      <c r="C87"/>
      <c r="D87"/>
      <c r="E87" t="s">
        <v>184</v>
      </c>
      <c r="F87"/>
      <c r="G87" t="s">
        <v>98</v>
      </c>
      <c r="H87"/>
      <c r="I87" s="158">
        <v>46285.978263888886</v>
      </c>
      <c r="J87" t="s">
        <v>490</v>
      </c>
      <c r="K87" t="s">
        <v>444</v>
      </c>
      <c r="L87" s="157">
        <v>46284</v>
      </c>
      <c r="M87" t="s">
        <v>439</v>
      </c>
      <c r="N87" t="s">
        <v>231</v>
      </c>
      <c r="O87" t="s">
        <v>232</v>
      </c>
      <c r="P87">
        <v>1</v>
      </c>
      <c r="Q87" t="s">
        <v>247</v>
      </c>
    </row>
    <row r="88" spans="1:17" s="25" customFormat="1">
      <c r="A88" s="111">
        <v>5.1985696956018519E-2</v>
      </c>
      <c r="B88" t="s">
        <v>94</v>
      </c>
      <c r="C88"/>
      <c r="D88"/>
      <c r="E88" t="s">
        <v>279</v>
      </c>
      <c r="F88"/>
      <c r="G88" t="s">
        <v>98</v>
      </c>
      <c r="H88"/>
      <c r="I88" s="158">
        <v>46285.978252314817</v>
      </c>
      <c r="J88" t="s">
        <v>490</v>
      </c>
      <c r="K88" t="s">
        <v>444</v>
      </c>
      <c r="L88" s="157">
        <v>46284</v>
      </c>
      <c r="M88" t="s">
        <v>439</v>
      </c>
      <c r="N88" t="s">
        <v>231</v>
      </c>
      <c r="O88" t="s">
        <v>232</v>
      </c>
      <c r="P88">
        <v>1</v>
      </c>
      <c r="Q88" t="s">
        <v>247</v>
      </c>
    </row>
    <row r="89" spans="1:17" s="25" customFormat="1">
      <c r="A89" s="111">
        <v>5.194270354166667E-2</v>
      </c>
      <c r="B89" t="s">
        <v>94</v>
      </c>
      <c r="C89"/>
      <c r="D89"/>
      <c r="E89" t="s">
        <v>105</v>
      </c>
      <c r="F89"/>
      <c r="G89" t="s">
        <v>98</v>
      </c>
      <c r="H89"/>
      <c r="I89" s="158">
        <v>46285.978182870371</v>
      </c>
      <c r="J89" t="s">
        <v>490</v>
      </c>
      <c r="K89" t="s">
        <v>444</v>
      </c>
      <c r="L89" s="157">
        <v>46284</v>
      </c>
      <c r="M89" t="s">
        <v>439</v>
      </c>
      <c r="N89" t="s">
        <v>231</v>
      </c>
      <c r="O89" t="s">
        <v>232</v>
      </c>
      <c r="P89">
        <v>1</v>
      </c>
      <c r="Q89" t="s">
        <v>247</v>
      </c>
    </row>
    <row r="90" spans="1:17" s="25" customFormat="1">
      <c r="A90" s="111">
        <v>5.1502858842592592E-2</v>
      </c>
      <c r="B90" t="s">
        <v>94</v>
      </c>
      <c r="C90"/>
      <c r="D90"/>
      <c r="E90" t="s">
        <v>275</v>
      </c>
      <c r="F90"/>
      <c r="G90" t="s">
        <v>164</v>
      </c>
      <c r="H90"/>
      <c r="I90" s="158">
        <v>46285.978101851855</v>
      </c>
      <c r="J90" t="s">
        <v>490</v>
      </c>
      <c r="K90" t="s">
        <v>444</v>
      </c>
      <c r="L90" s="157">
        <v>46284</v>
      </c>
      <c r="M90" t="s">
        <v>439</v>
      </c>
      <c r="N90" t="s">
        <v>231</v>
      </c>
      <c r="O90" t="s">
        <v>232</v>
      </c>
      <c r="P90">
        <v>1</v>
      </c>
      <c r="Q90" t="s">
        <v>247</v>
      </c>
    </row>
    <row r="91" spans="1:17" s="25" customFormat="1">
      <c r="A91" s="111">
        <v>5.1393236840277773E-2</v>
      </c>
      <c r="B91" t="s">
        <v>94</v>
      </c>
      <c r="C91"/>
      <c r="D91"/>
      <c r="E91" t="s">
        <v>104</v>
      </c>
      <c r="F91"/>
      <c r="G91" t="s">
        <v>164</v>
      </c>
      <c r="H91"/>
      <c r="I91" s="158">
        <v>46285.977905092594</v>
      </c>
      <c r="J91" t="s">
        <v>490</v>
      </c>
      <c r="K91" t="s">
        <v>444</v>
      </c>
      <c r="L91" s="157">
        <v>46284</v>
      </c>
      <c r="M91" t="s">
        <v>439</v>
      </c>
      <c r="N91" t="s">
        <v>231</v>
      </c>
      <c r="O91" t="s">
        <v>232</v>
      </c>
      <c r="P91">
        <v>1</v>
      </c>
      <c r="Q91" t="s">
        <v>247</v>
      </c>
    </row>
    <row r="92" spans="1:17" s="25" customFormat="1">
      <c r="A92" s="111">
        <v>5.0722640023148149E-2</v>
      </c>
      <c r="B92" t="s">
        <v>94</v>
      </c>
      <c r="C92" t="s">
        <v>479</v>
      </c>
      <c r="D92" t="s">
        <v>222</v>
      </c>
      <c r="E92" t="s">
        <v>214</v>
      </c>
      <c r="F92" t="s">
        <v>135</v>
      </c>
      <c r="G92" t="s">
        <v>164</v>
      </c>
      <c r="H92"/>
      <c r="I92" s="158">
        <v>46285.977685185186</v>
      </c>
      <c r="J92" t="s">
        <v>490</v>
      </c>
      <c r="K92" t="s">
        <v>444</v>
      </c>
      <c r="L92" s="157">
        <v>46284</v>
      </c>
      <c r="M92" t="s">
        <v>439</v>
      </c>
      <c r="N92" t="s">
        <v>231</v>
      </c>
      <c r="O92" t="s">
        <v>232</v>
      </c>
      <c r="P92">
        <v>1</v>
      </c>
      <c r="Q92" t="s">
        <v>247</v>
      </c>
    </row>
    <row r="93" spans="1:17" s="25" customFormat="1">
      <c r="A93" s="111">
        <v>5.0787155694444447E-2</v>
      </c>
      <c r="B93" t="s">
        <v>94</v>
      </c>
      <c r="C93"/>
      <c r="D93"/>
      <c r="E93" t="s">
        <v>87</v>
      </c>
      <c r="F93"/>
      <c r="G93" t="s">
        <v>164</v>
      </c>
      <c r="H93"/>
      <c r="I93" s="158">
        <v>46285.977268518516</v>
      </c>
      <c r="J93" t="s">
        <v>490</v>
      </c>
      <c r="K93" t="s">
        <v>444</v>
      </c>
      <c r="L93" s="157">
        <v>46284</v>
      </c>
      <c r="M93" t="s">
        <v>439</v>
      </c>
      <c r="N93" t="s">
        <v>231</v>
      </c>
      <c r="O93" t="s">
        <v>232</v>
      </c>
      <c r="P93">
        <v>1</v>
      </c>
      <c r="Q93" t="s">
        <v>247</v>
      </c>
    </row>
    <row r="94" spans="1:17" s="25" customFormat="1">
      <c r="A94" s="111">
        <v>5.0728805162037038E-2</v>
      </c>
      <c r="B94" t="s">
        <v>94</v>
      </c>
      <c r="C94"/>
      <c r="D94"/>
      <c r="E94" t="s">
        <v>184</v>
      </c>
      <c r="F94"/>
      <c r="G94" t="s">
        <v>164</v>
      </c>
      <c r="H94"/>
      <c r="I94" s="158">
        <v>46285.977210648147</v>
      </c>
      <c r="J94" t="s">
        <v>490</v>
      </c>
      <c r="K94" t="s">
        <v>444</v>
      </c>
      <c r="L94" s="157">
        <v>46284</v>
      </c>
      <c r="M94" t="s">
        <v>439</v>
      </c>
      <c r="N94" t="s">
        <v>231</v>
      </c>
      <c r="O94" t="s">
        <v>232</v>
      </c>
      <c r="P94">
        <v>1</v>
      </c>
      <c r="Q94" t="s">
        <v>247</v>
      </c>
    </row>
    <row r="95" spans="1:17" s="25" customFormat="1">
      <c r="A95" s="111">
        <v>5.0710522951388892E-2</v>
      </c>
      <c r="B95" t="s">
        <v>94</v>
      </c>
      <c r="C95"/>
      <c r="D95"/>
      <c r="E95" t="s">
        <v>188</v>
      </c>
      <c r="F95"/>
      <c r="G95" t="s">
        <v>164</v>
      </c>
      <c r="H95"/>
      <c r="I95" s="158">
        <v>46285.977199074077</v>
      </c>
      <c r="J95" t="s">
        <v>490</v>
      </c>
      <c r="K95" t="s">
        <v>444</v>
      </c>
      <c r="L95" s="157">
        <v>46284</v>
      </c>
      <c r="M95" t="s">
        <v>439</v>
      </c>
      <c r="N95" t="s">
        <v>231</v>
      </c>
      <c r="O95" t="s">
        <v>232</v>
      </c>
      <c r="P95">
        <v>1</v>
      </c>
      <c r="Q95" t="s">
        <v>247</v>
      </c>
    </row>
    <row r="96" spans="1:17" s="25" customFormat="1">
      <c r="A96" s="111">
        <v>5.0664081481481486E-2</v>
      </c>
      <c r="B96" t="s">
        <v>94</v>
      </c>
      <c r="C96"/>
      <c r="D96"/>
      <c r="E96" t="s">
        <v>184</v>
      </c>
      <c r="F96"/>
      <c r="G96" t="s">
        <v>98</v>
      </c>
      <c r="H96"/>
      <c r="I96" s="158">
        <v>46285.977141203701</v>
      </c>
      <c r="J96" t="s">
        <v>490</v>
      </c>
      <c r="K96" t="s">
        <v>444</v>
      </c>
      <c r="L96" s="157">
        <v>46284</v>
      </c>
      <c r="M96" t="s">
        <v>439</v>
      </c>
      <c r="N96" t="s">
        <v>231</v>
      </c>
      <c r="O96" t="s">
        <v>232</v>
      </c>
      <c r="P96">
        <v>1</v>
      </c>
      <c r="Q96" t="s">
        <v>247</v>
      </c>
    </row>
    <row r="97" spans="1:17" s="25" customFormat="1">
      <c r="A97" s="111">
        <v>5.0607216793981488E-2</v>
      </c>
      <c r="B97" t="s">
        <v>94</v>
      </c>
      <c r="C97" t="s">
        <v>469</v>
      </c>
      <c r="D97"/>
      <c r="E97" t="s">
        <v>462</v>
      </c>
      <c r="F97"/>
      <c r="G97" t="s">
        <v>98</v>
      </c>
      <c r="H97"/>
      <c r="I97" s="158">
        <v>46285.976759259262</v>
      </c>
      <c r="J97" t="s">
        <v>490</v>
      </c>
      <c r="K97" t="s">
        <v>444</v>
      </c>
      <c r="L97" s="157">
        <v>46284</v>
      </c>
      <c r="M97" t="s">
        <v>439</v>
      </c>
      <c r="N97" t="s">
        <v>231</v>
      </c>
      <c r="O97" t="s">
        <v>232</v>
      </c>
      <c r="P97">
        <v>1</v>
      </c>
      <c r="Q97" t="s">
        <v>247</v>
      </c>
    </row>
    <row r="98" spans="1:17" s="25" customFormat="1">
      <c r="A98" s="111">
        <v>5.0464499537037043E-2</v>
      </c>
      <c r="B98" t="s">
        <v>94</v>
      </c>
      <c r="C98" t="s">
        <v>482</v>
      </c>
      <c r="D98"/>
      <c r="E98" t="s">
        <v>462</v>
      </c>
      <c r="F98"/>
      <c r="G98" t="s">
        <v>98</v>
      </c>
      <c r="H98"/>
      <c r="I98" s="158">
        <v>46285.974942129629</v>
      </c>
      <c r="J98" t="s">
        <v>490</v>
      </c>
      <c r="K98" t="s">
        <v>444</v>
      </c>
      <c r="L98" s="157">
        <v>46284</v>
      </c>
      <c r="M98" t="s">
        <v>439</v>
      </c>
      <c r="N98" t="s">
        <v>231</v>
      </c>
      <c r="O98" t="s">
        <v>232</v>
      </c>
      <c r="P98">
        <v>1</v>
      </c>
      <c r="Q98" t="s">
        <v>247</v>
      </c>
    </row>
    <row r="99" spans="1:17" s="25" customFormat="1">
      <c r="A99" s="111">
        <v>5.0410593206018511E-2</v>
      </c>
      <c r="B99" t="s">
        <v>94</v>
      </c>
      <c r="C99" t="s">
        <v>468</v>
      </c>
      <c r="D99"/>
      <c r="E99" t="s">
        <v>462</v>
      </c>
      <c r="F99"/>
      <c r="G99" t="s">
        <v>98</v>
      </c>
      <c r="H99"/>
      <c r="I99" s="158">
        <v>46285.974641203706</v>
      </c>
      <c r="J99" t="s">
        <v>490</v>
      </c>
      <c r="K99" t="s">
        <v>444</v>
      </c>
      <c r="L99" s="157">
        <v>46284</v>
      </c>
      <c r="M99" t="s">
        <v>439</v>
      </c>
      <c r="N99" t="s">
        <v>231</v>
      </c>
      <c r="O99" t="s">
        <v>232</v>
      </c>
      <c r="P99">
        <v>1</v>
      </c>
      <c r="Q99" t="s">
        <v>247</v>
      </c>
    </row>
    <row r="100" spans="1:17" s="25" customFormat="1">
      <c r="A100" s="111">
        <v>5.0294928923611114E-2</v>
      </c>
      <c r="B100" t="s">
        <v>94</v>
      </c>
      <c r="C100" t="s">
        <v>477</v>
      </c>
      <c r="D100"/>
      <c r="E100" t="s">
        <v>462</v>
      </c>
      <c r="F100"/>
      <c r="G100" t="s">
        <v>98</v>
      </c>
      <c r="H100"/>
      <c r="I100" s="158">
        <v>46285.97446759259</v>
      </c>
      <c r="J100" t="s">
        <v>490</v>
      </c>
      <c r="K100" t="s">
        <v>444</v>
      </c>
      <c r="L100" s="157">
        <v>46284</v>
      </c>
      <c r="M100" t="s">
        <v>439</v>
      </c>
      <c r="N100" t="s">
        <v>231</v>
      </c>
      <c r="O100" t="s">
        <v>232</v>
      </c>
      <c r="P100">
        <v>1</v>
      </c>
      <c r="Q100" t="s">
        <v>247</v>
      </c>
    </row>
    <row r="101" spans="1:17" s="25" customFormat="1">
      <c r="A101" s="111">
        <v>5.0294928923611114E-2</v>
      </c>
      <c r="B101" t="s">
        <v>94</v>
      </c>
      <c r="C101"/>
      <c r="D101"/>
      <c r="E101" t="s">
        <v>186</v>
      </c>
      <c r="F101"/>
      <c r="G101" t="s">
        <v>98</v>
      </c>
      <c r="H101"/>
      <c r="I101" s="158">
        <v>46285.974432870367</v>
      </c>
      <c r="J101" t="s">
        <v>490</v>
      </c>
      <c r="K101" t="s">
        <v>444</v>
      </c>
      <c r="L101" s="157">
        <v>46284</v>
      </c>
      <c r="M101" t="s">
        <v>439</v>
      </c>
      <c r="N101" t="s">
        <v>231</v>
      </c>
      <c r="O101" t="s">
        <v>232</v>
      </c>
      <c r="P101">
        <v>1</v>
      </c>
      <c r="Q101" t="s">
        <v>247</v>
      </c>
    </row>
    <row r="102" spans="1:17" s="25" customFormat="1">
      <c r="A102" s="111">
        <v>5.0161706342592594E-2</v>
      </c>
      <c r="B102" t="s">
        <v>94</v>
      </c>
      <c r="C102"/>
      <c r="D102"/>
      <c r="E102" t="s">
        <v>100</v>
      </c>
      <c r="F102"/>
      <c r="G102" t="s">
        <v>164</v>
      </c>
      <c r="H102"/>
      <c r="I102" s="158">
        <v>46285.974212962959</v>
      </c>
      <c r="J102" t="s">
        <v>490</v>
      </c>
      <c r="K102" t="s">
        <v>444</v>
      </c>
      <c r="L102" s="157">
        <v>46284</v>
      </c>
      <c r="M102" t="s">
        <v>439</v>
      </c>
      <c r="N102" t="s">
        <v>231</v>
      </c>
      <c r="O102" t="s">
        <v>232</v>
      </c>
      <c r="P102">
        <v>1</v>
      </c>
      <c r="Q102" t="s">
        <v>247</v>
      </c>
    </row>
    <row r="103" spans="1:17" s="25" customFormat="1">
      <c r="A103" s="111">
        <v>4.7833763842592594E-2</v>
      </c>
      <c r="B103" t="s">
        <v>94</v>
      </c>
      <c r="C103"/>
      <c r="D103"/>
      <c r="E103" t="s">
        <v>87</v>
      </c>
      <c r="F103"/>
      <c r="G103" t="s">
        <v>98</v>
      </c>
      <c r="H103"/>
      <c r="I103" s="158">
        <v>46285.973275462966</v>
      </c>
      <c r="J103" t="s">
        <v>490</v>
      </c>
      <c r="K103" t="s">
        <v>444</v>
      </c>
      <c r="L103" s="157">
        <v>46284</v>
      </c>
      <c r="M103" t="s">
        <v>439</v>
      </c>
      <c r="N103" t="s">
        <v>231</v>
      </c>
      <c r="O103" t="s">
        <v>232</v>
      </c>
      <c r="P103">
        <v>1</v>
      </c>
      <c r="Q103" t="s">
        <v>247</v>
      </c>
    </row>
    <row r="104" spans="1:17" s="25" customFormat="1">
      <c r="A104" s="111">
        <v>4.7833763842592594E-2</v>
      </c>
      <c r="B104" t="s">
        <v>94</v>
      </c>
      <c r="C104"/>
      <c r="D104"/>
      <c r="E104" t="s">
        <v>213</v>
      </c>
      <c r="F104" t="s">
        <v>206</v>
      </c>
      <c r="G104" t="s">
        <v>98</v>
      </c>
      <c r="H104"/>
      <c r="I104" s="158">
        <v>46285.973275462966</v>
      </c>
      <c r="J104" t="s">
        <v>490</v>
      </c>
      <c r="K104" t="s">
        <v>444</v>
      </c>
      <c r="L104" s="157">
        <v>46284</v>
      </c>
      <c r="M104" t="s">
        <v>439</v>
      </c>
      <c r="N104" t="s">
        <v>231</v>
      </c>
      <c r="O104" t="s">
        <v>232</v>
      </c>
      <c r="P104">
        <v>1</v>
      </c>
      <c r="Q104" t="s">
        <v>247</v>
      </c>
    </row>
    <row r="105" spans="1:17" s="25" customFormat="1">
      <c r="A105" s="111">
        <v>4.7605171828703705E-2</v>
      </c>
      <c r="B105" t="s">
        <v>94</v>
      </c>
      <c r="C105" t="s">
        <v>475</v>
      </c>
      <c r="D105"/>
      <c r="E105" t="s">
        <v>111</v>
      </c>
      <c r="F105"/>
      <c r="G105" t="s">
        <v>98</v>
      </c>
      <c r="H105"/>
      <c r="I105" s="158">
        <v>46285.973055555558</v>
      </c>
      <c r="J105" t="s">
        <v>490</v>
      </c>
      <c r="K105" t="s">
        <v>444</v>
      </c>
      <c r="L105" s="157">
        <v>46284</v>
      </c>
      <c r="M105" t="s">
        <v>439</v>
      </c>
      <c r="N105" t="s">
        <v>231</v>
      </c>
      <c r="O105" t="s">
        <v>232</v>
      </c>
      <c r="P105">
        <v>1</v>
      </c>
      <c r="Q105" t="s">
        <v>247</v>
      </c>
    </row>
    <row r="106" spans="1:17" s="25" customFormat="1">
      <c r="A106" s="111">
        <v>4.7555888553240742E-2</v>
      </c>
      <c r="B106" t="s">
        <v>94</v>
      </c>
      <c r="C106"/>
      <c r="D106"/>
      <c r="E106" t="s">
        <v>104</v>
      </c>
      <c r="F106"/>
      <c r="G106" t="s">
        <v>98</v>
      </c>
      <c r="H106"/>
      <c r="I106" s="158">
        <v>46285.972916666666</v>
      </c>
      <c r="J106" t="s">
        <v>490</v>
      </c>
      <c r="K106" t="s">
        <v>444</v>
      </c>
      <c r="L106" s="157">
        <v>46284</v>
      </c>
      <c r="M106" t="s">
        <v>439</v>
      </c>
      <c r="N106" t="s">
        <v>231</v>
      </c>
      <c r="O106" t="s">
        <v>232</v>
      </c>
      <c r="P106">
        <v>1</v>
      </c>
      <c r="Q106" t="s">
        <v>247</v>
      </c>
    </row>
    <row r="107" spans="1:17" s="25" customFormat="1">
      <c r="A107" s="111">
        <v>4.6974113391203699E-2</v>
      </c>
      <c r="B107" t="s">
        <v>94</v>
      </c>
      <c r="C107"/>
      <c r="D107"/>
      <c r="E107" t="s">
        <v>87</v>
      </c>
      <c r="F107"/>
      <c r="G107" t="s">
        <v>164</v>
      </c>
      <c r="H107"/>
      <c r="I107" s="158">
        <v>46285.972858796296</v>
      </c>
      <c r="J107" t="s">
        <v>490</v>
      </c>
      <c r="K107" t="s">
        <v>444</v>
      </c>
      <c r="L107" s="157">
        <v>46284</v>
      </c>
      <c r="M107" t="s">
        <v>439</v>
      </c>
      <c r="N107" t="s">
        <v>231</v>
      </c>
      <c r="O107" t="s">
        <v>232</v>
      </c>
      <c r="P107">
        <v>1</v>
      </c>
      <c r="Q107" t="s">
        <v>247</v>
      </c>
    </row>
    <row r="108" spans="1:17" s="25" customFormat="1">
      <c r="A108" s="111">
        <v>4.6949551469907411E-2</v>
      </c>
      <c r="B108" t="s">
        <v>94</v>
      </c>
      <c r="C108"/>
      <c r="D108"/>
      <c r="E108" t="s">
        <v>184</v>
      </c>
      <c r="F108"/>
      <c r="G108" t="s">
        <v>164</v>
      </c>
      <c r="H108"/>
      <c r="I108" s="158">
        <v>46285.97283564815</v>
      </c>
      <c r="J108" t="s">
        <v>490</v>
      </c>
      <c r="K108" t="s">
        <v>444</v>
      </c>
      <c r="L108" s="157">
        <v>46284</v>
      </c>
      <c r="M108" t="s">
        <v>439</v>
      </c>
      <c r="N108" t="s">
        <v>231</v>
      </c>
      <c r="O108" t="s">
        <v>232</v>
      </c>
      <c r="P108">
        <v>1</v>
      </c>
      <c r="Q108" t="s">
        <v>247</v>
      </c>
    </row>
    <row r="109" spans="1:17" s="25" customFormat="1">
      <c r="A109" s="111">
        <v>4.6929793287037037E-2</v>
      </c>
      <c r="B109" t="s">
        <v>94</v>
      </c>
      <c r="C109"/>
      <c r="D109"/>
      <c r="E109" t="s">
        <v>188</v>
      </c>
      <c r="F109"/>
      <c r="G109" t="s">
        <v>164</v>
      </c>
      <c r="H109"/>
      <c r="I109" s="158">
        <v>46285.972812499997</v>
      </c>
      <c r="J109" t="s">
        <v>490</v>
      </c>
      <c r="K109" t="s">
        <v>444</v>
      </c>
      <c r="L109" s="157">
        <v>46284</v>
      </c>
      <c r="M109" t="s">
        <v>439</v>
      </c>
      <c r="N109" t="s">
        <v>231</v>
      </c>
      <c r="O109" t="s">
        <v>232</v>
      </c>
      <c r="P109">
        <v>1</v>
      </c>
      <c r="Q109" t="s">
        <v>247</v>
      </c>
    </row>
    <row r="110" spans="1:17" s="25" customFormat="1">
      <c r="A110" s="111">
        <v>4.685728226851852E-2</v>
      </c>
      <c r="B110" t="s">
        <v>94</v>
      </c>
      <c r="C110"/>
      <c r="D110"/>
      <c r="E110" t="s">
        <v>184</v>
      </c>
      <c r="F110"/>
      <c r="G110" t="s">
        <v>98</v>
      </c>
      <c r="H110"/>
      <c r="I110" s="158">
        <v>46285.972743055558</v>
      </c>
      <c r="J110" t="s">
        <v>490</v>
      </c>
      <c r="K110" t="s">
        <v>444</v>
      </c>
      <c r="L110" s="157">
        <v>46284</v>
      </c>
      <c r="M110" t="s">
        <v>439</v>
      </c>
      <c r="N110" t="s">
        <v>231</v>
      </c>
      <c r="O110" t="s">
        <v>232</v>
      </c>
      <c r="P110">
        <v>1</v>
      </c>
      <c r="Q110" t="s">
        <v>247</v>
      </c>
    </row>
    <row r="111" spans="1:17" s="25" customFormat="1">
      <c r="A111" s="111">
        <v>4.6801999988425928E-2</v>
      </c>
      <c r="B111" t="s">
        <v>94</v>
      </c>
      <c r="C111"/>
      <c r="D111"/>
      <c r="E111" t="s">
        <v>186</v>
      </c>
      <c r="F111"/>
      <c r="G111" t="s">
        <v>98</v>
      </c>
      <c r="H111"/>
      <c r="I111" s="158">
        <v>46285.972685185188</v>
      </c>
      <c r="J111" t="s">
        <v>490</v>
      </c>
      <c r="K111" t="s">
        <v>444</v>
      </c>
      <c r="L111" s="157">
        <v>46284</v>
      </c>
      <c r="M111" t="s">
        <v>439</v>
      </c>
      <c r="N111" t="s">
        <v>231</v>
      </c>
      <c r="O111" t="s">
        <v>232</v>
      </c>
      <c r="P111">
        <v>1</v>
      </c>
      <c r="Q111" t="s">
        <v>247</v>
      </c>
    </row>
    <row r="112" spans="1:17" s="25" customFormat="1">
      <c r="A112" s="111">
        <v>4.6762072488425926E-2</v>
      </c>
      <c r="B112" t="s">
        <v>94</v>
      </c>
      <c r="C112"/>
      <c r="D112"/>
      <c r="E112" t="s">
        <v>184</v>
      </c>
      <c r="F112"/>
      <c r="G112" t="s">
        <v>164</v>
      </c>
      <c r="H112"/>
      <c r="I112" s="158">
        <v>46285.972592592596</v>
      </c>
      <c r="J112" t="s">
        <v>490</v>
      </c>
      <c r="K112" t="s">
        <v>444</v>
      </c>
      <c r="L112" s="157">
        <v>46284</v>
      </c>
      <c r="M112" t="s">
        <v>439</v>
      </c>
      <c r="N112" t="s">
        <v>231</v>
      </c>
      <c r="O112" t="s">
        <v>232</v>
      </c>
      <c r="P112">
        <v>1</v>
      </c>
      <c r="Q112" t="s">
        <v>247</v>
      </c>
    </row>
    <row r="113" spans="1:17" s="25" customFormat="1">
      <c r="A113" s="111">
        <v>4.6671134814814816E-2</v>
      </c>
      <c r="B113" t="s">
        <v>94</v>
      </c>
      <c r="C113" t="s">
        <v>484</v>
      </c>
      <c r="D113"/>
      <c r="E113" t="s">
        <v>58</v>
      </c>
      <c r="F113"/>
      <c r="G113" t="s">
        <v>164</v>
      </c>
      <c r="H113"/>
      <c r="I113" s="158">
        <v>46285.972453703704</v>
      </c>
      <c r="J113" t="s">
        <v>490</v>
      </c>
      <c r="K113" t="s">
        <v>444</v>
      </c>
      <c r="L113" s="157">
        <v>46284</v>
      </c>
      <c r="M113" t="s">
        <v>439</v>
      </c>
      <c r="N113" t="s">
        <v>231</v>
      </c>
      <c r="O113" t="s">
        <v>232</v>
      </c>
      <c r="P113">
        <v>1</v>
      </c>
      <c r="Q113" t="s">
        <v>247</v>
      </c>
    </row>
    <row r="114" spans="1:17" s="25" customFormat="1">
      <c r="A114" s="111">
        <v>4.6650094618055554E-2</v>
      </c>
      <c r="B114" t="s">
        <v>94</v>
      </c>
      <c r="C114"/>
      <c r="D114"/>
      <c r="E114" t="s">
        <v>188</v>
      </c>
      <c r="F114"/>
      <c r="G114" t="s">
        <v>164</v>
      </c>
      <c r="H114"/>
      <c r="I114" s="158">
        <v>46285.971921296295</v>
      </c>
      <c r="J114" t="s">
        <v>490</v>
      </c>
      <c r="K114" t="s">
        <v>444</v>
      </c>
      <c r="L114" s="157">
        <v>46284</v>
      </c>
      <c r="M114" t="s">
        <v>439</v>
      </c>
      <c r="N114" t="s">
        <v>231</v>
      </c>
      <c r="O114" t="s">
        <v>232</v>
      </c>
      <c r="P114">
        <v>1</v>
      </c>
      <c r="Q114" t="s">
        <v>247</v>
      </c>
    </row>
    <row r="115" spans="1:17" s="25" customFormat="1">
      <c r="A115" s="111">
        <v>4.6600826203703705E-2</v>
      </c>
      <c r="B115" t="s">
        <v>94</v>
      </c>
      <c r="C115"/>
      <c r="D115"/>
      <c r="E115" t="s">
        <v>100</v>
      </c>
      <c r="F115"/>
      <c r="G115" t="s">
        <v>98</v>
      </c>
      <c r="H115"/>
      <c r="I115" s="158">
        <v>46285.971875000003</v>
      </c>
      <c r="J115" t="s">
        <v>490</v>
      </c>
      <c r="K115" t="s">
        <v>444</v>
      </c>
      <c r="L115" s="157">
        <v>46284</v>
      </c>
      <c r="M115" t="s">
        <v>439</v>
      </c>
      <c r="N115" t="s">
        <v>231</v>
      </c>
      <c r="O115" t="s">
        <v>232</v>
      </c>
      <c r="P115">
        <v>1</v>
      </c>
      <c r="Q115" t="s">
        <v>247</v>
      </c>
    </row>
    <row r="116" spans="1:17" s="25" customFormat="1">
      <c r="A116" s="111">
        <v>4.6264614421296299E-2</v>
      </c>
      <c r="B116" t="s">
        <v>94</v>
      </c>
      <c r="C116"/>
      <c r="D116"/>
      <c r="E116" t="s">
        <v>116</v>
      </c>
      <c r="F116"/>
      <c r="G116" t="s">
        <v>164</v>
      </c>
      <c r="H116"/>
      <c r="I116" s="158">
        <v>46285.971701388888</v>
      </c>
      <c r="J116" t="s">
        <v>490</v>
      </c>
      <c r="K116" t="s">
        <v>444</v>
      </c>
      <c r="L116" s="157">
        <v>46284</v>
      </c>
      <c r="M116" t="s">
        <v>439</v>
      </c>
      <c r="N116" t="s">
        <v>231</v>
      </c>
      <c r="O116" t="s">
        <v>232</v>
      </c>
      <c r="P116">
        <v>1</v>
      </c>
      <c r="Q116" t="s">
        <v>247</v>
      </c>
    </row>
    <row r="117" spans="1:17" s="25" customFormat="1">
      <c r="A117" s="111">
        <v>4.5505437106481479E-2</v>
      </c>
      <c r="B117" t="s">
        <v>94</v>
      </c>
      <c r="C117" t="s">
        <v>485</v>
      </c>
      <c r="D117"/>
      <c r="E117" t="s">
        <v>317</v>
      </c>
      <c r="F117"/>
      <c r="G117" t="s">
        <v>164</v>
      </c>
      <c r="H117"/>
      <c r="I117" s="158">
        <v>46285.97152777778</v>
      </c>
      <c r="J117" t="s">
        <v>490</v>
      </c>
      <c r="K117" t="s">
        <v>444</v>
      </c>
      <c r="L117" s="157">
        <v>46284</v>
      </c>
      <c r="M117" t="s">
        <v>439</v>
      </c>
      <c r="N117" t="s">
        <v>231</v>
      </c>
      <c r="O117" t="s">
        <v>232</v>
      </c>
      <c r="P117">
        <v>1</v>
      </c>
      <c r="Q117" t="s">
        <v>247</v>
      </c>
    </row>
    <row r="118" spans="1:17" s="25" customFormat="1">
      <c r="A118" s="111">
        <v>4.5381373136574074E-2</v>
      </c>
      <c r="B118" t="s">
        <v>94</v>
      </c>
      <c r="C118"/>
      <c r="D118"/>
      <c r="E118" t="s">
        <v>87</v>
      </c>
      <c r="F118"/>
      <c r="G118" t="s">
        <v>164</v>
      </c>
      <c r="H118"/>
      <c r="I118" s="158">
        <v>46285.971319444441</v>
      </c>
      <c r="J118" t="s">
        <v>490</v>
      </c>
      <c r="K118" t="s">
        <v>444</v>
      </c>
      <c r="L118" s="157">
        <v>46284</v>
      </c>
      <c r="M118" t="s">
        <v>439</v>
      </c>
      <c r="N118" t="s">
        <v>231</v>
      </c>
      <c r="O118" t="s">
        <v>232</v>
      </c>
      <c r="P118">
        <v>1</v>
      </c>
      <c r="Q118" t="s">
        <v>247</v>
      </c>
    </row>
    <row r="119" spans="1:17" s="25" customFormat="1">
      <c r="A119" s="111">
        <v>4.5381373136574074E-2</v>
      </c>
      <c r="B119" t="s">
        <v>94</v>
      </c>
      <c r="C119" t="s">
        <v>485</v>
      </c>
      <c r="D119" t="s">
        <v>204</v>
      </c>
      <c r="E119" t="s">
        <v>214</v>
      </c>
      <c r="F119" t="s">
        <v>135</v>
      </c>
      <c r="G119" t="s">
        <v>164</v>
      </c>
      <c r="H119"/>
      <c r="I119" s="158">
        <v>46285.971319444441</v>
      </c>
      <c r="J119" t="s">
        <v>490</v>
      </c>
      <c r="K119" t="s">
        <v>444</v>
      </c>
      <c r="L119" s="157">
        <v>46284</v>
      </c>
      <c r="M119" t="s">
        <v>439</v>
      </c>
      <c r="N119" t="s">
        <v>231</v>
      </c>
      <c r="O119" t="s">
        <v>232</v>
      </c>
      <c r="P119">
        <v>1</v>
      </c>
      <c r="Q119" t="s">
        <v>247</v>
      </c>
    </row>
    <row r="120" spans="1:17" s="25" customFormat="1">
      <c r="A120" s="111">
        <v>4.5304654942129631E-2</v>
      </c>
      <c r="B120" t="s">
        <v>94</v>
      </c>
      <c r="C120" t="s">
        <v>475</v>
      </c>
      <c r="D120"/>
      <c r="E120" t="s">
        <v>135</v>
      </c>
      <c r="F120"/>
      <c r="G120" t="s">
        <v>164</v>
      </c>
      <c r="H120"/>
    </row>
    <row r="121" spans="1:17" s="25" customFormat="1">
      <c r="A121" s="111">
        <v>4.5304654942129631E-2</v>
      </c>
      <c r="B121" t="s">
        <v>94</v>
      </c>
      <c r="C121" t="s">
        <v>482</v>
      </c>
      <c r="D121"/>
      <c r="E121" t="s">
        <v>108</v>
      </c>
      <c r="F121"/>
      <c r="G121" t="s">
        <v>164</v>
      </c>
      <c r="H121"/>
      <c r="I121" s="158">
        <v>46285.971041666664</v>
      </c>
      <c r="J121" t="s">
        <v>490</v>
      </c>
      <c r="K121" t="s">
        <v>444</v>
      </c>
      <c r="L121" s="157">
        <v>46284</v>
      </c>
      <c r="M121" t="s">
        <v>439</v>
      </c>
      <c r="N121" t="s">
        <v>231</v>
      </c>
      <c r="O121" t="s">
        <v>232</v>
      </c>
      <c r="P121">
        <v>1</v>
      </c>
      <c r="Q121" t="s">
        <v>247</v>
      </c>
    </row>
    <row r="122" spans="1:17" s="25" customFormat="1">
      <c r="A122" s="111">
        <v>4.523033248842593E-2</v>
      </c>
      <c r="B122" t="s">
        <v>94</v>
      </c>
      <c r="C122"/>
      <c r="D122"/>
      <c r="E122" t="s">
        <v>285</v>
      </c>
      <c r="F122"/>
      <c r="G122" t="s">
        <v>164</v>
      </c>
      <c r="H122"/>
      <c r="I122" s="158">
        <v>46285.970775462964</v>
      </c>
      <c r="J122" t="s">
        <v>490</v>
      </c>
      <c r="K122" t="s">
        <v>444</v>
      </c>
      <c r="L122" s="157">
        <v>46284</v>
      </c>
      <c r="M122" t="s">
        <v>439</v>
      </c>
      <c r="N122" t="s">
        <v>231</v>
      </c>
      <c r="O122" t="s">
        <v>232</v>
      </c>
      <c r="P122">
        <v>1</v>
      </c>
      <c r="Q122" t="s">
        <v>247</v>
      </c>
    </row>
    <row r="123" spans="1:17" s="25" customFormat="1">
      <c r="A123" s="111">
        <v>4.5189439594907406E-2</v>
      </c>
      <c r="B123" t="s">
        <v>94</v>
      </c>
      <c r="C123"/>
      <c r="D123"/>
      <c r="E123" t="s">
        <v>105</v>
      </c>
      <c r="F123"/>
      <c r="G123" t="s">
        <v>164</v>
      </c>
      <c r="H123"/>
      <c r="I123" s="158">
        <v>46285.97074074074</v>
      </c>
      <c r="J123" t="s">
        <v>490</v>
      </c>
      <c r="K123" t="s">
        <v>444</v>
      </c>
      <c r="L123" s="157">
        <v>46284</v>
      </c>
      <c r="M123" t="s">
        <v>439</v>
      </c>
      <c r="N123" t="s">
        <v>231</v>
      </c>
      <c r="O123" t="s">
        <v>232</v>
      </c>
      <c r="P123">
        <v>1</v>
      </c>
      <c r="Q123" t="s">
        <v>247</v>
      </c>
    </row>
    <row r="124" spans="1:17" s="25" customFormat="1">
      <c r="A124" s="111">
        <v>4.4333520694444448E-2</v>
      </c>
      <c r="B124" t="s">
        <v>94</v>
      </c>
      <c r="C124"/>
      <c r="D124"/>
      <c r="E124" t="s">
        <v>87</v>
      </c>
      <c r="F124"/>
      <c r="G124" t="s">
        <v>164</v>
      </c>
      <c r="H124"/>
      <c r="I124" s="158">
        <v>46285.970358796294</v>
      </c>
      <c r="J124" t="s">
        <v>490</v>
      </c>
      <c r="K124" t="s">
        <v>444</v>
      </c>
      <c r="L124" s="157">
        <v>46284</v>
      </c>
      <c r="M124" t="s">
        <v>439</v>
      </c>
      <c r="N124" t="s">
        <v>231</v>
      </c>
      <c r="O124" t="s">
        <v>232</v>
      </c>
      <c r="P124">
        <v>1</v>
      </c>
      <c r="Q124" t="s">
        <v>247</v>
      </c>
    </row>
    <row r="125" spans="1:17" s="25" customFormat="1">
      <c r="A125" s="111">
        <v>4.4299741215277778E-2</v>
      </c>
      <c r="B125" t="s">
        <v>94</v>
      </c>
      <c r="C125" t="s">
        <v>482</v>
      </c>
      <c r="D125"/>
      <c r="E125" t="s">
        <v>183</v>
      </c>
      <c r="F125"/>
      <c r="G125" t="s">
        <v>98</v>
      </c>
      <c r="H125"/>
      <c r="I125" s="158">
        <v>46285.970347222225</v>
      </c>
      <c r="J125" t="s">
        <v>490</v>
      </c>
      <c r="K125" t="s">
        <v>444</v>
      </c>
      <c r="L125" s="157">
        <v>46284</v>
      </c>
      <c r="M125" t="s">
        <v>439</v>
      </c>
      <c r="N125" t="s">
        <v>231</v>
      </c>
      <c r="O125" t="s">
        <v>232</v>
      </c>
      <c r="P125">
        <v>1</v>
      </c>
      <c r="Q125" t="s">
        <v>247</v>
      </c>
    </row>
    <row r="126" spans="1:17" s="25" customFormat="1">
      <c r="A126" s="111">
        <v>4.4241380763888886E-2</v>
      </c>
      <c r="B126" t="s">
        <v>94</v>
      </c>
      <c r="C126"/>
      <c r="D126"/>
      <c r="E126" t="s">
        <v>186</v>
      </c>
      <c r="F126"/>
      <c r="G126" t="s">
        <v>98</v>
      </c>
      <c r="H126"/>
      <c r="I126" s="158">
        <v>46285.970266203702</v>
      </c>
      <c r="J126" t="s">
        <v>490</v>
      </c>
      <c r="K126" t="s">
        <v>444</v>
      </c>
      <c r="L126" s="157">
        <v>46284</v>
      </c>
      <c r="M126" t="s">
        <v>439</v>
      </c>
      <c r="N126" t="s">
        <v>231</v>
      </c>
      <c r="O126" t="s">
        <v>232</v>
      </c>
      <c r="P126">
        <v>1</v>
      </c>
      <c r="Q126" t="s">
        <v>247</v>
      </c>
    </row>
    <row r="127" spans="1:17" s="25" customFormat="1">
      <c r="A127" s="111">
        <v>4.4201321041666665E-2</v>
      </c>
      <c r="B127" t="s">
        <v>94</v>
      </c>
      <c r="C127"/>
      <c r="D127"/>
      <c r="E127" t="s">
        <v>184</v>
      </c>
      <c r="F127"/>
      <c r="G127" t="s">
        <v>164</v>
      </c>
      <c r="H127"/>
      <c r="I127" s="158">
        <v>46285.970231481479</v>
      </c>
      <c r="J127" t="s">
        <v>490</v>
      </c>
      <c r="K127" t="s">
        <v>444</v>
      </c>
      <c r="L127" s="157">
        <v>46284</v>
      </c>
      <c r="M127" t="s">
        <v>439</v>
      </c>
      <c r="N127" t="s">
        <v>231</v>
      </c>
      <c r="O127" t="s">
        <v>232</v>
      </c>
      <c r="P127">
        <v>1</v>
      </c>
      <c r="Q127" t="s">
        <v>247</v>
      </c>
    </row>
    <row r="128" spans="1:17" s="25" customFormat="1">
      <c r="A128" s="111">
        <v>4.4146044768518522E-2</v>
      </c>
      <c r="B128" t="s">
        <v>94</v>
      </c>
      <c r="C128"/>
      <c r="D128"/>
      <c r="E128" t="s">
        <v>113</v>
      </c>
      <c r="F128"/>
      <c r="G128" t="s">
        <v>164</v>
      </c>
      <c r="H128"/>
      <c r="I128" s="158">
        <v>46285.970219907409</v>
      </c>
      <c r="J128" t="s">
        <v>490</v>
      </c>
      <c r="K128" t="s">
        <v>444</v>
      </c>
      <c r="L128" s="157">
        <v>46284</v>
      </c>
      <c r="M128" t="s">
        <v>439</v>
      </c>
      <c r="N128" t="s">
        <v>231</v>
      </c>
      <c r="O128" t="s">
        <v>232</v>
      </c>
      <c r="P128">
        <v>1</v>
      </c>
      <c r="Q128" t="s">
        <v>247</v>
      </c>
    </row>
    <row r="129" spans="1:17" s="25" customFormat="1">
      <c r="A129" s="111">
        <v>4.4112143657407406E-2</v>
      </c>
      <c r="B129" t="s">
        <v>94</v>
      </c>
      <c r="C129"/>
      <c r="D129"/>
      <c r="E129" t="s">
        <v>104</v>
      </c>
      <c r="F129"/>
      <c r="G129" t="s">
        <v>98</v>
      </c>
      <c r="H129"/>
      <c r="I129" s="158">
        <v>46285.970138888886</v>
      </c>
      <c r="J129" t="s">
        <v>490</v>
      </c>
      <c r="K129" t="s">
        <v>444</v>
      </c>
      <c r="L129" s="157">
        <v>46284</v>
      </c>
      <c r="M129" t="s">
        <v>439</v>
      </c>
      <c r="N129" t="s">
        <v>231</v>
      </c>
      <c r="O129" t="s">
        <v>232</v>
      </c>
      <c r="P129">
        <v>1</v>
      </c>
      <c r="Q129" t="s">
        <v>247</v>
      </c>
    </row>
    <row r="130" spans="1:17" s="25" customFormat="1">
      <c r="A130" s="111">
        <v>4.3796665856481481E-2</v>
      </c>
      <c r="B130" t="s">
        <v>94</v>
      </c>
      <c r="C130"/>
      <c r="D130"/>
      <c r="E130" t="s">
        <v>87</v>
      </c>
      <c r="F130"/>
      <c r="G130" t="s">
        <v>98</v>
      </c>
      <c r="H130"/>
      <c r="I130" s="158">
        <v>46285.970046296294</v>
      </c>
      <c r="J130" t="s">
        <v>490</v>
      </c>
      <c r="K130" t="s">
        <v>444</v>
      </c>
      <c r="L130" s="157">
        <v>46284</v>
      </c>
      <c r="M130" t="s">
        <v>439</v>
      </c>
      <c r="N130" t="s">
        <v>231</v>
      </c>
      <c r="O130" t="s">
        <v>232</v>
      </c>
      <c r="P130">
        <v>1</v>
      </c>
      <c r="Q130" t="s">
        <v>247</v>
      </c>
    </row>
    <row r="131" spans="1:17" s="25" customFormat="1">
      <c r="A131" s="111">
        <v>4.3744339560185183E-2</v>
      </c>
      <c r="B131" t="s">
        <v>94</v>
      </c>
      <c r="C131"/>
      <c r="D131"/>
      <c r="E131" t="s">
        <v>184</v>
      </c>
      <c r="F131"/>
      <c r="G131" t="s">
        <v>98</v>
      </c>
      <c r="H131"/>
      <c r="I131" s="158">
        <v>46285.97</v>
      </c>
      <c r="J131" t="s">
        <v>490</v>
      </c>
      <c r="K131" t="s">
        <v>444</v>
      </c>
      <c r="L131" s="157">
        <v>46284</v>
      </c>
      <c r="M131" t="s">
        <v>439</v>
      </c>
      <c r="N131" t="s">
        <v>231</v>
      </c>
      <c r="O131" t="s">
        <v>232</v>
      </c>
      <c r="P131">
        <v>1</v>
      </c>
      <c r="Q131" t="s">
        <v>247</v>
      </c>
    </row>
    <row r="132" spans="1:17" s="25" customFormat="1">
      <c r="A132" s="111">
        <v>4.3725909131944442E-2</v>
      </c>
      <c r="B132" t="s">
        <v>94</v>
      </c>
      <c r="C132"/>
      <c r="D132"/>
      <c r="E132" t="s">
        <v>186</v>
      </c>
      <c r="F132"/>
      <c r="G132" t="s">
        <v>98</v>
      </c>
      <c r="H132"/>
      <c r="I132" s="158">
        <v>46285.969976851855</v>
      </c>
      <c r="J132" t="s">
        <v>490</v>
      </c>
      <c r="K132" t="s">
        <v>444</v>
      </c>
      <c r="L132" s="157">
        <v>46284</v>
      </c>
      <c r="M132" t="s">
        <v>439</v>
      </c>
      <c r="N132" t="s">
        <v>231</v>
      </c>
      <c r="O132" t="s">
        <v>232</v>
      </c>
      <c r="P132">
        <v>1</v>
      </c>
      <c r="Q132" t="s">
        <v>247</v>
      </c>
    </row>
    <row r="133" spans="1:17" s="25" customFormat="1">
      <c r="A133" s="111">
        <v>4.3701323634259263E-2</v>
      </c>
      <c r="B133" t="s">
        <v>94</v>
      </c>
      <c r="C133"/>
      <c r="D133"/>
      <c r="E133" t="s">
        <v>100</v>
      </c>
      <c r="F133"/>
      <c r="G133" t="s">
        <v>98</v>
      </c>
      <c r="H133"/>
      <c r="I133" s="158">
        <v>46285.969953703701</v>
      </c>
      <c r="J133" t="s">
        <v>490</v>
      </c>
      <c r="K133" t="s">
        <v>444</v>
      </c>
      <c r="L133" s="157">
        <v>46284</v>
      </c>
      <c r="M133" t="s">
        <v>439</v>
      </c>
      <c r="N133" t="s">
        <v>231</v>
      </c>
      <c r="O133" t="s">
        <v>232</v>
      </c>
      <c r="P133">
        <v>1</v>
      </c>
      <c r="Q133" t="s">
        <v>247</v>
      </c>
    </row>
    <row r="134" spans="1:17" s="25" customFormat="1">
      <c r="A134" s="111">
        <v>4.3350045358796295E-2</v>
      </c>
      <c r="B134" t="s">
        <v>94</v>
      </c>
      <c r="C134" t="s">
        <v>477</v>
      </c>
      <c r="D134"/>
      <c r="E134" t="s">
        <v>116</v>
      </c>
      <c r="F134"/>
      <c r="G134" t="s">
        <v>98</v>
      </c>
      <c r="H134"/>
      <c r="I134" s="158">
        <v>46285.969849537039</v>
      </c>
      <c r="J134" t="s">
        <v>490</v>
      </c>
      <c r="K134" t="s">
        <v>444</v>
      </c>
      <c r="L134" s="157">
        <v>46284</v>
      </c>
      <c r="M134" t="s">
        <v>439</v>
      </c>
      <c r="N134" t="s">
        <v>231</v>
      </c>
      <c r="O134" t="s">
        <v>232</v>
      </c>
      <c r="P134">
        <v>1</v>
      </c>
      <c r="Q134" t="s">
        <v>247</v>
      </c>
    </row>
    <row r="135" spans="1:17" s="25" customFormat="1">
      <c r="A135" s="111">
        <v>4.2470814178240737E-2</v>
      </c>
      <c r="B135" t="s">
        <v>94</v>
      </c>
      <c r="C135"/>
      <c r="D135"/>
      <c r="E135" t="s">
        <v>87</v>
      </c>
      <c r="F135"/>
      <c r="G135" t="s">
        <v>98</v>
      </c>
      <c r="H135"/>
      <c r="I135" s="158">
        <v>46285.969664351855</v>
      </c>
      <c r="J135" t="s">
        <v>490</v>
      </c>
      <c r="K135" t="s">
        <v>444</v>
      </c>
      <c r="L135" s="157">
        <v>46284</v>
      </c>
      <c r="M135" t="s">
        <v>439</v>
      </c>
      <c r="N135" t="s">
        <v>231</v>
      </c>
      <c r="O135" t="s">
        <v>232</v>
      </c>
      <c r="P135">
        <v>1</v>
      </c>
      <c r="Q135" t="s">
        <v>247</v>
      </c>
    </row>
    <row r="136" spans="1:17" s="25" customFormat="1">
      <c r="A136" s="111">
        <v>4.2470814178240737E-2</v>
      </c>
      <c r="B136" t="s">
        <v>94</v>
      </c>
      <c r="C136"/>
      <c r="D136"/>
      <c r="E136" t="s">
        <v>213</v>
      </c>
      <c r="F136" t="s">
        <v>208</v>
      </c>
      <c r="G136" t="s">
        <v>98</v>
      </c>
      <c r="H136"/>
      <c r="I136" s="158">
        <v>46285.969664351855</v>
      </c>
      <c r="J136" t="s">
        <v>490</v>
      </c>
      <c r="K136" t="s">
        <v>444</v>
      </c>
      <c r="L136" s="157">
        <v>46284</v>
      </c>
      <c r="M136" t="s">
        <v>439</v>
      </c>
      <c r="N136" t="s">
        <v>231</v>
      </c>
      <c r="O136" t="s">
        <v>232</v>
      </c>
      <c r="P136">
        <v>1</v>
      </c>
      <c r="Q136" t="s">
        <v>247</v>
      </c>
    </row>
    <row r="137" spans="1:17" s="25" customFormat="1">
      <c r="A137" s="111">
        <v>4.2389813726851855E-2</v>
      </c>
      <c r="B137" t="s">
        <v>94</v>
      </c>
      <c r="C137"/>
      <c r="D137"/>
      <c r="E137" t="s">
        <v>184</v>
      </c>
      <c r="F137"/>
      <c r="G137" t="s">
        <v>164</v>
      </c>
      <c r="H137"/>
      <c r="I137" s="158">
        <v>46285.969525462962</v>
      </c>
      <c r="J137" t="s">
        <v>490</v>
      </c>
      <c r="K137" t="s">
        <v>444</v>
      </c>
      <c r="L137" s="157">
        <v>46284</v>
      </c>
      <c r="M137" t="s">
        <v>439</v>
      </c>
      <c r="N137" t="s">
        <v>231</v>
      </c>
      <c r="O137" t="s">
        <v>232</v>
      </c>
      <c r="P137">
        <v>1</v>
      </c>
      <c r="Q137" t="s">
        <v>247</v>
      </c>
    </row>
    <row r="138" spans="1:17" s="25" customFormat="1">
      <c r="A138" s="111">
        <v>4.229141226851852E-2</v>
      </c>
      <c r="B138" t="s">
        <v>94</v>
      </c>
      <c r="C138" t="s">
        <v>485</v>
      </c>
      <c r="D138"/>
      <c r="E138" t="s">
        <v>108</v>
      </c>
      <c r="F138"/>
      <c r="G138" t="s">
        <v>164</v>
      </c>
      <c r="H138"/>
      <c r="I138" s="158">
        <v>46285.969375000001</v>
      </c>
      <c r="J138" t="s">
        <v>490</v>
      </c>
      <c r="K138" t="s">
        <v>444</v>
      </c>
      <c r="L138" s="157">
        <v>46284</v>
      </c>
      <c r="M138" t="s">
        <v>439</v>
      </c>
      <c r="N138" t="s">
        <v>231</v>
      </c>
      <c r="O138" t="s">
        <v>232</v>
      </c>
      <c r="P138">
        <v>1</v>
      </c>
      <c r="Q138" t="s">
        <v>247</v>
      </c>
    </row>
    <row r="139" spans="1:17" s="25" customFormat="1">
      <c r="A139" s="111">
        <v>4.2237698749999997E-2</v>
      </c>
      <c r="B139" t="s">
        <v>94</v>
      </c>
      <c r="C139"/>
      <c r="D139"/>
      <c r="E139" t="s">
        <v>113</v>
      </c>
      <c r="F139"/>
      <c r="G139" t="s">
        <v>164</v>
      </c>
      <c r="H139"/>
      <c r="I139" s="158">
        <v>46285.969189814816</v>
      </c>
      <c r="J139" t="s">
        <v>490</v>
      </c>
      <c r="K139" t="s">
        <v>444</v>
      </c>
      <c r="L139" s="157">
        <v>46284</v>
      </c>
      <c r="M139" t="s">
        <v>439</v>
      </c>
      <c r="N139" t="s">
        <v>231</v>
      </c>
      <c r="O139" t="s">
        <v>232</v>
      </c>
      <c r="P139">
        <v>1</v>
      </c>
      <c r="Q139" t="s">
        <v>247</v>
      </c>
    </row>
    <row r="140" spans="1:17" s="25" customFormat="1">
      <c r="A140" s="111">
        <v>4.2170424537037038E-2</v>
      </c>
      <c r="B140" t="s">
        <v>94</v>
      </c>
      <c r="C140"/>
      <c r="D140"/>
      <c r="E140" t="s">
        <v>104</v>
      </c>
      <c r="F140"/>
      <c r="G140" t="s">
        <v>164</v>
      </c>
      <c r="H140"/>
      <c r="I140" s="158">
        <v>46285.969097222223</v>
      </c>
      <c r="J140" t="s">
        <v>490</v>
      </c>
      <c r="K140" t="s">
        <v>444</v>
      </c>
      <c r="L140" s="157">
        <v>46284</v>
      </c>
      <c r="M140" t="s">
        <v>439</v>
      </c>
      <c r="N140" t="s">
        <v>231</v>
      </c>
      <c r="O140" t="s">
        <v>232</v>
      </c>
      <c r="P140">
        <v>1</v>
      </c>
      <c r="Q140" t="s">
        <v>247</v>
      </c>
    </row>
    <row r="141" spans="1:17" s="25" customFormat="1">
      <c r="A141" s="111">
        <v>4.1766423923611115E-2</v>
      </c>
      <c r="B141" t="s">
        <v>94</v>
      </c>
      <c r="C141"/>
      <c r="D141"/>
      <c r="E141" t="s">
        <v>87</v>
      </c>
      <c r="F141"/>
      <c r="G141" t="s">
        <v>98</v>
      </c>
      <c r="H141"/>
      <c r="I141" s="158">
        <v>46285.968981481485</v>
      </c>
      <c r="J141" t="s">
        <v>490</v>
      </c>
      <c r="K141" t="s">
        <v>444</v>
      </c>
      <c r="L141" s="157">
        <v>46284</v>
      </c>
      <c r="M141" t="s">
        <v>439</v>
      </c>
      <c r="N141" t="s">
        <v>231</v>
      </c>
      <c r="O141" t="s">
        <v>232</v>
      </c>
      <c r="P141">
        <v>1</v>
      </c>
      <c r="Q141" t="s">
        <v>247</v>
      </c>
    </row>
    <row r="142" spans="1:17" s="25" customFormat="1">
      <c r="A142" s="111">
        <v>4.1624883981481481E-2</v>
      </c>
      <c r="B142" t="s">
        <v>94</v>
      </c>
      <c r="C142"/>
      <c r="D142"/>
      <c r="E142" t="s">
        <v>100</v>
      </c>
      <c r="F142"/>
      <c r="G142" t="s">
        <v>98</v>
      </c>
      <c r="H142"/>
      <c r="I142" s="158">
        <v>46285.968831018516</v>
      </c>
      <c r="J142" t="s">
        <v>490</v>
      </c>
      <c r="K142" t="s">
        <v>444</v>
      </c>
      <c r="L142" s="157">
        <v>46284</v>
      </c>
      <c r="M142" t="s">
        <v>439</v>
      </c>
      <c r="N142" t="s">
        <v>231</v>
      </c>
      <c r="O142" t="s">
        <v>232</v>
      </c>
      <c r="P142">
        <v>1</v>
      </c>
      <c r="Q142" t="s">
        <v>247</v>
      </c>
    </row>
    <row r="143" spans="1:17" s="25" customFormat="1">
      <c r="A143" s="111">
        <v>4.0413395844907406E-2</v>
      </c>
      <c r="B143" t="s">
        <v>94</v>
      </c>
      <c r="C143"/>
      <c r="D143"/>
      <c r="E143" t="s">
        <v>87</v>
      </c>
      <c r="F143"/>
      <c r="G143" t="s">
        <v>164</v>
      </c>
      <c r="H143"/>
      <c r="I143" s="158">
        <v>46285.968194444446</v>
      </c>
      <c r="J143" t="s">
        <v>490</v>
      </c>
      <c r="K143" t="s">
        <v>444</v>
      </c>
      <c r="L143" s="157">
        <v>46284</v>
      </c>
      <c r="M143" t="s">
        <v>439</v>
      </c>
      <c r="N143" t="s">
        <v>231</v>
      </c>
      <c r="O143" t="s">
        <v>232</v>
      </c>
      <c r="P143">
        <v>1</v>
      </c>
      <c r="Q143" t="s">
        <v>247</v>
      </c>
    </row>
    <row r="144" spans="1:17" s="25" customFormat="1">
      <c r="A144" s="111">
        <v>4.0413395844907406E-2</v>
      </c>
      <c r="B144" t="s">
        <v>94</v>
      </c>
      <c r="C144" t="s">
        <v>475</v>
      </c>
      <c r="D144" t="s">
        <v>204</v>
      </c>
      <c r="E144" t="s">
        <v>214</v>
      </c>
      <c r="F144" t="s">
        <v>82</v>
      </c>
      <c r="G144" t="s">
        <v>164</v>
      </c>
      <c r="H144"/>
      <c r="I144" s="158">
        <v>46285.968194444446</v>
      </c>
      <c r="J144" t="s">
        <v>490</v>
      </c>
      <c r="K144" t="s">
        <v>444</v>
      </c>
      <c r="L144" s="157">
        <v>46284</v>
      </c>
      <c r="M144" t="s">
        <v>439</v>
      </c>
      <c r="N144" t="s">
        <v>231</v>
      </c>
      <c r="O144" t="s">
        <v>232</v>
      </c>
      <c r="P144">
        <v>1</v>
      </c>
      <c r="Q144" t="s">
        <v>247</v>
      </c>
    </row>
    <row r="145" spans="1:17" s="25" customFormat="1">
      <c r="A145" s="111">
        <v>4.0344366377314818E-2</v>
      </c>
      <c r="B145" t="s">
        <v>94</v>
      </c>
      <c r="C145" t="s">
        <v>474</v>
      </c>
      <c r="D145"/>
      <c r="E145" t="s">
        <v>108</v>
      </c>
      <c r="F145"/>
      <c r="G145" t="s">
        <v>164</v>
      </c>
      <c r="H145"/>
      <c r="I145" s="158">
        <v>46285.967604166668</v>
      </c>
      <c r="J145" t="s">
        <v>490</v>
      </c>
      <c r="K145" t="s">
        <v>444</v>
      </c>
      <c r="L145" s="157">
        <v>46284</v>
      </c>
      <c r="M145" t="s">
        <v>439</v>
      </c>
      <c r="N145" t="s">
        <v>231</v>
      </c>
      <c r="O145" t="s">
        <v>232</v>
      </c>
      <c r="P145">
        <v>1</v>
      </c>
      <c r="Q145" t="s">
        <v>247</v>
      </c>
    </row>
    <row r="146" spans="1:17" s="25" customFormat="1">
      <c r="A146" s="111">
        <v>4.0294835717592591E-2</v>
      </c>
      <c r="B146" t="s">
        <v>94</v>
      </c>
      <c r="C146"/>
      <c r="D146"/>
      <c r="E146" t="s">
        <v>113</v>
      </c>
      <c r="F146"/>
      <c r="G146" t="s">
        <v>164</v>
      </c>
      <c r="H146"/>
      <c r="I146" s="158">
        <v>46285.967465277776</v>
      </c>
      <c r="J146" t="s">
        <v>490</v>
      </c>
      <c r="K146" t="s">
        <v>444</v>
      </c>
      <c r="L146" s="157">
        <v>46284</v>
      </c>
      <c r="M146" t="s">
        <v>439</v>
      </c>
      <c r="N146" t="s">
        <v>231</v>
      </c>
      <c r="O146" t="s">
        <v>232</v>
      </c>
      <c r="P146">
        <v>1</v>
      </c>
      <c r="Q146" t="s">
        <v>247</v>
      </c>
    </row>
    <row r="147" spans="1:17" s="25" customFormat="1">
      <c r="A147" s="111">
        <v>4.0242634432870371E-2</v>
      </c>
      <c r="B147" t="s">
        <v>94</v>
      </c>
      <c r="C147"/>
      <c r="D147"/>
      <c r="E147" t="s">
        <v>104</v>
      </c>
      <c r="F147"/>
      <c r="G147" t="s">
        <v>164</v>
      </c>
      <c r="H147"/>
      <c r="I147" s="158">
        <v>46285.967407407406</v>
      </c>
      <c r="J147" t="s">
        <v>490</v>
      </c>
      <c r="K147" t="s">
        <v>444</v>
      </c>
      <c r="L147" s="157">
        <v>46284</v>
      </c>
      <c r="M147" t="s">
        <v>439</v>
      </c>
      <c r="N147" t="s">
        <v>231</v>
      </c>
      <c r="O147" t="s">
        <v>232</v>
      </c>
      <c r="P147">
        <v>1</v>
      </c>
      <c r="Q147" t="s">
        <v>247</v>
      </c>
    </row>
    <row r="148" spans="1:17" s="25" customFormat="1">
      <c r="A148" s="111">
        <v>3.9834541527777781E-2</v>
      </c>
      <c r="B148" t="s">
        <v>94</v>
      </c>
      <c r="C148" t="s">
        <v>471</v>
      </c>
      <c r="D148" t="s">
        <v>204</v>
      </c>
      <c r="E148" t="s">
        <v>214</v>
      </c>
      <c r="F148" t="s">
        <v>207</v>
      </c>
      <c r="G148" t="s">
        <v>164</v>
      </c>
      <c r="H148"/>
      <c r="I148" s="158">
        <v>46285.967268518521</v>
      </c>
      <c r="J148" t="s">
        <v>490</v>
      </c>
      <c r="K148" t="s">
        <v>444</v>
      </c>
      <c r="L148" s="157">
        <v>46284</v>
      </c>
      <c r="M148" t="s">
        <v>439</v>
      </c>
      <c r="N148" t="s">
        <v>231</v>
      </c>
      <c r="O148" t="s">
        <v>232</v>
      </c>
      <c r="P148">
        <v>1</v>
      </c>
      <c r="Q148" t="s">
        <v>247</v>
      </c>
    </row>
    <row r="149" spans="1:17" s="25" customFormat="1">
      <c r="A149" s="111">
        <v>3.9719516469907408E-2</v>
      </c>
      <c r="B149" t="s">
        <v>94</v>
      </c>
      <c r="C149"/>
      <c r="D149"/>
      <c r="E149" t="s">
        <v>87</v>
      </c>
      <c r="F149"/>
      <c r="G149" t="s">
        <v>98</v>
      </c>
      <c r="H149"/>
      <c r="I149" s="158">
        <v>46285.966562499998</v>
      </c>
      <c r="J149" t="s">
        <v>490</v>
      </c>
      <c r="K149" t="s">
        <v>444</v>
      </c>
      <c r="L149" s="157">
        <v>46284</v>
      </c>
      <c r="M149" t="s">
        <v>439</v>
      </c>
      <c r="N149" t="s">
        <v>231</v>
      </c>
      <c r="O149" t="s">
        <v>232</v>
      </c>
      <c r="P149">
        <v>1</v>
      </c>
      <c r="Q149" t="s">
        <v>247</v>
      </c>
    </row>
    <row r="150" spans="1:17" s="25" customFormat="1">
      <c r="A150" s="111">
        <v>3.9682493043981484E-2</v>
      </c>
      <c r="B150" t="s">
        <v>94</v>
      </c>
      <c r="C150"/>
      <c r="D150"/>
      <c r="E150" t="s">
        <v>183</v>
      </c>
      <c r="F150"/>
      <c r="G150" t="s">
        <v>164</v>
      </c>
      <c r="H150"/>
      <c r="I150" s="158">
        <v>46285.966504629629</v>
      </c>
      <c r="J150" t="s">
        <v>490</v>
      </c>
      <c r="K150" t="s">
        <v>444</v>
      </c>
      <c r="L150" s="157">
        <v>46284</v>
      </c>
      <c r="M150" t="s">
        <v>439</v>
      </c>
      <c r="N150" t="s">
        <v>231</v>
      </c>
      <c r="O150" t="s">
        <v>232</v>
      </c>
      <c r="P150">
        <v>1</v>
      </c>
      <c r="Q150" t="s">
        <v>247</v>
      </c>
    </row>
    <row r="151" spans="1:17" s="25" customFormat="1">
      <c r="A151" s="111">
        <v>3.9630245393518518E-2</v>
      </c>
      <c r="B151" t="s">
        <v>94</v>
      </c>
      <c r="C151" t="s">
        <v>468</v>
      </c>
      <c r="D151"/>
      <c r="E151" t="s">
        <v>108</v>
      </c>
      <c r="F151"/>
      <c r="G151" t="s">
        <v>164</v>
      </c>
      <c r="H151"/>
      <c r="I151" s="158">
        <v>46285.966377314813</v>
      </c>
      <c r="J151" t="s">
        <v>490</v>
      </c>
      <c r="K151" t="s">
        <v>444</v>
      </c>
      <c r="L151" s="157">
        <v>46284</v>
      </c>
      <c r="M151" t="s">
        <v>439</v>
      </c>
      <c r="N151" t="s">
        <v>231</v>
      </c>
      <c r="O151" t="s">
        <v>232</v>
      </c>
      <c r="P151">
        <v>1</v>
      </c>
      <c r="Q151" t="s">
        <v>247</v>
      </c>
    </row>
    <row r="152" spans="1:17" s="25" customFormat="1">
      <c r="A152" s="111">
        <v>3.9502819409722223E-2</v>
      </c>
      <c r="B152" t="s">
        <v>94</v>
      </c>
      <c r="C152" t="s">
        <v>485</v>
      </c>
      <c r="D152"/>
      <c r="E152" t="s">
        <v>108</v>
      </c>
      <c r="F152"/>
      <c r="G152" t="s">
        <v>164</v>
      </c>
      <c r="H152"/>
      <c r="I152" s="158">
        <v>46285.966215277775</v>
      </c>
      <c r="J152" t="s">
        <v>490</v>
      </c>
      <c r="K152" t="s">
        <v>444</v>
      </c>
      <c r="L152" s="157">
        <v>46284</v>
      </c>
      <c r="M152" t="s">
        <v>439</v>
      </c>
      <c r="N152" t="s">
        <v>231</v>
      </c>
      <c r="O152" t="s">
        <v>232</v>
      </c>
      <c r="P152">
        <v>1</v>
      </c>
      <c r="Q152" t="s">
        <v>247</v>
      </c>
    </row>
    <row r="153" spans="1:17" s="25" customFormat="1">
      <c r="A153" s="111">
        <v>3.9443512361111113E-2</v>
      </c>
      <c r="B153" t="s">
        <v>94</v>
      </c>
      <c r="C153" t="s">
        <v>476</v>
      </c>
      <c r="D153"/>
      <c r="E153" t="s">
        <v>58</v>
      </c>
      <c r="F153"/>
      <c r="G153" t="s">
        <v>164</v>
      </c>
      <c r="H153"/>
      <c r="I153" s="158">
        <v>46285.966006944444</v>
      </c>
      <c r="J153" t="s">
        <v>490</v>
      </c>
      <c r="K153" t="s">
        <v>444</v>
      </c>
      <c r="L153" s="157">
        <v>46284</v>
      </c>
      <c r="M153" t="s">
        <v>439</v>
      </c>
      <c r="N153" t="s">
        <v>231</v>
      </c>
      <c r="O153" t="s">
        <v>232</v>
      </c>
      <c r="P153">
        <v>1</v>
      </c>
      <c r="Q153" t="s">
        <v>247</v>
      </c>
    </row>
    <row r="154" spans="1:17" s="25" customFormat="1">
      <c r="A154" s="111">
        <v>3.9402983425925922E-2</v>
      </c>
      <c r="B154" t="s">
        <v>94</v>
      </c>
      <c r="C154" t="s">
        <v>474</v>
      </c>
      <c r="D154"/>
      <c r="E154" t="s">
        <v>108</v>
      </c>
      <c r="F154"/>
      <c r="G154" t="s">
        <v>164</v>
      </c>
      <c r="H154"/>
      <c r="I154" s="158">
        <v>46285.965810185182</v>
      </c>
      <c r="J154" t="s">
        <v>490</v>
      </c>
      <c r="K154" t="s">
        <v>444</v>
      </c>
      <c r="L154" s="157">
        <v>46284</v>
      </c>
      <c r="M154" t="s">
        <v>439</v>
      </c>
      <c r="N154" t="s">
        <v>231</v>
      </c>
      <c r="O154" t="s">
        <v>232</v>
      </c>
      <c r="P154">
        <v>1</v>
      </c>
      <c r="Q154" t="s">
        <v>247</v>
      </c>
    </row>
    <row r="155" spans="1:17" s="25" customFormat="1">
      <c r="A155" s="111">
        <v>3.9333494224537038E-2</v>
      </c>
      <c r="B155" t="s">
        <v>94</v>
      </c>
      <c r="C155" t="s">
        <v>482</v>
      </c>
      <c r="D155"/>
      <c r="E155" t="s">
        <v>108</v>
      </c>
      <c r="F155"/>
      <c r="G155" t="s">
        <v>164</v>
      </c>
      <c r="H155"/>
      <c r="I155" s="158">
        <v>46285.965462962966</v>
      </c>
      <c r="J155" t="s">
        <v>490</v>
      </c>
      <c r="K155" t="s">
        <v>444</v>
      </c>
      <c r="L155" s="157">
        <v>46284</v>
      </c>
      <c r="M155" t="s">
        <v>439</v>
      </c>
      <c r="N155" t="s">
        <v>231</v>
      </c>
      <c r="O155" t="s">
        <v>232</v>
      </c>
      <c r="P155">
        <v>1</v>
      </c>
      <c r="Q155" t="s">
        <v>247</v>
      </c>
    </row>
    <row r="156" spans="1:17" s="25" customFormat="1">
      <c r="A156" s="111">
        <v>3.9275523576388888E-2</v>
      </c>
      <c r="B156" t="s">
        <v>94</v>
      </c>
      <c r="C156"/>
      <c r="D156"/>
      <c r="E156" t="s">
        <v>188</v>
      </c>
      <c r="F156"/>
      <c r="G156" t="s">
        <v>164</v>
      </c>
      <c r="H156"/>
      <c r="I156" s="158">
        <v>46285.964502314811</v>
      </c>
      <c r="J156" t="s">
        <v>490</v>
      </c>
      <c r="K156" t="s">
        <v>444</v>
      </c>
      <c r="L156" s="157">
        <v>46284</v>
      </c>
      <c r="M156" t="s">
        <v>439</v>
      </c>
      <c r="N156" t="s">
        <v>231</v>
      </c>
      <c r="O156" t="s">
        <v>232</v>
      </c>
      <c r="P156">
        <v>1</v>
      </c>
      <c r="Q156" t="s">
        <v>247</v>
      </c>
    </row>
    <row r="157" spans="1:17" s="25" customFormat="1">
      <c r="A157" s="111">
        <v>3.9249079108796298E-2</v>
      </c>
      <c r="B157" t="s">
        <v>94</v>
      </c>
      <c r="C157"/>
      <c r="D157"/>
      <c r="E157" t="s">
        <v>184</v>
      </c>
      <c r="F157"/>
      <c r="G157" t="s">
        <v>98</v>
      </c>
      <c r="H157"/>
      <c r="I157" s="158">
        <v>46285.964479166665</v>
      </c>
      <c r="J157" t="s">
        <v>490</v>
      </c>
      <c r="K157" t="s">
        <v>444</v>
      </c>
      <c r="L157" s="157">
        <v>46284</v>
      </c>
      <c r="M157" t="s">
        <v>439</v>
      </c>
      <c r="N157" t="s">
        <v>231</v>
      </c>
      <c r="O157" t="s">
        <v>232</v>
      </c>
      <c r="P157">
        <v>1</v>
      </c>
      <c r="Q157" t="s">
        <v>247</v>
      </c>
    </row>
    <row r="158" spans="1:17" s="25" customFormat="1">
      <c r="A158" s="111">
        <v>3.9221433449074077E-2</v>
      </c>
      <c r="B158" t="s">
        <v>94</v>
      </c>
      <c r="C158"/>
      <c r="D158"/>
      <c r="E158" t="s">
        <v>186</v>
      </c>
      <c r="F158"/>
      <c r="G158" t="s">
        <v>98</v>
      </c>
      <c r="H158"/>
      <c r="I158" s="158">
        <v>46285.964456018519</v>
      </c>
      <c r="J158" t="s">
        <v>490</v>
      </c>
      <c r="K158" t="s">
        <v>444</v>
      </c>
      <c r="L158" s="157">
        <v>46284</v>
      </c>
      <c r="M158" t="s">
        <v>439</v>
      </c>
      <c r="N158" t="s">
        <v>231</v>
      </c>
      <c r="O158" t="s">
        <v>232</v>
      </c>
      <c r="P158">
        <v>1</v>
      </c>
      <c r="Q158" t="s">
        <v>247</v>
      </c>
    </row>
    <row r="159" spans="1:17" s="25" customFormat="1">
      <c r="A159" s="111">
        <v>3.9203007777777778E-2</v>
      </c>
      <c r="B159" t="s">
        <v>94</v>
      </c>
      <c r="C159"/>
      <c r="D159"/>
      <c r="E159" t="s">
        <v>184</v>
      </c>
      <c r="F159"/>
      <c r="G159" t="s">
        <v>164</v>
      </c>
      <c r="H159"/>
      <c r="I159" s="158">
        <v>46285.964432870373</v>
      </c>
      <c r="J159" t="s">
        <v>490</v>
      </c>
      <c r="K159" t="s">
        <v>444</v>
      </c>
      <c r="L159" s="157">
        <v>46284</v>
      </c>
      <c r="M159" t="s">
        <v>439</v>
      </c>
      <c r="N159" t="s">
        <v>231</v>
      </c>
      <c r="O159" t="s">
        <v>232</v>
      </c>
      <c r="P159">
        <v>1</v>
      </c>
      <c r="Q159" t="s">
        <v>247</v>
      </c>
    </row>
    <row r="160" spans="1:17" s="25" customFormat="1">
      <c r="A160" s="111">
        <v>3.9156928923611112E-2</v>
      </c>
      <c r="B160" t="s">
        <v>94</v>
      </c>
      <c r="C160"/>
      <c r="D160"/>
      <c r="E160" t="s">
        <v>188</v>
      </c>
      <c r="F160"/>
      <c r="G160" t="s">
        <v>164</v>
      </c>
      <c r="H160"/>
      <c r="I160" s="158">
        <v>46285.964386574073</v>
      </c>
      <c r="J160" t="s">
        <v>490</v>
      </c>
      <c r="K160" t="s">
        <v>444</v>
      </c>
      <c r="L160" s="157">
        <v>46284</v>
      </c>
      <c r="M160" t="s">
        <v>439</v>
      </c>
      <c r="N160" t="s">
        <v>231</v>
      </c>
      <c r="O160" t="s">
        <v>232</v>
      </c>
      <c r="P160">
        <v>1</v>
      </c>
      <c r="Q160" t="s">
        <v>247</v>
      </c>
    </row>
    <row r="161" spans="1:17" s="25" customFormat="1">
      <c r="A161" s="111">
        <v>3.9086905810185188E-2</v>
      </c>
      <c r="B161" t="s">
        <v>94</v>
      </c>
      <c r="C161"/>
      <c r="D161"/>
      <c r="E161" t="s">
        <v>184</v>
      </c>
      <c r="F161"/>
      <c r="G161" t="s">
        <v>98</v>
      </c>
      <c r="H161"/>
      <c r="I161" s="158">
        <v>46285.964189814818</v>
      </c>
      <c r="J161" t="s">
        <v>490</v>
      </c>
      <c r="K161" t="s">
        <v>444</v>
      </c>
      <c r="L161" s="157">
        <v>46284</v>
      </c>
      <c r="M161" t="s">
        <v>439</v>
      </c>
      <c r="N161" t="s">
        <v>231</v>
      </c>
      <c r="O161" t="s">
        <v>232</v>
      </c>
      <c r="P161">
        <v>1</v>
      </c>
      <c r="Q161" t="s">
        <v>247</v>
      </c>
    </row>
    <row r="162" spans="1:17" s="25" customFormat="1">
      <c r="A162" s="111">
        <v>3.9005373541666666E-2</v>
      </c>
      <c r="B162" t="s">
        <v>94</v>
      </c>
      <c r="C162"/>
      <c r="D162"/>
      <c r="E162" t="s">
        <v>186</v>
      </c>
      <c r="F162"/>
      <c r="G162" t="s">
        <v>98</v>
      </c>
      <c r="H162"/>
      <c r="I162" s="158">
        <v>46285.964120370372</v>
      </c>
      <c r="J162" t="s">
        <v>490</v>
      </c>
      <c r="K162" t="s">
        <v>444</v>
      </c>
      <c r="L162" s="157">
        <v>46284</v>
      </c>
      <c r="M162" t="s">
        <v>439</v>
      </c>
      <c r="N162" t="s">
        <v>231</v>
      </c>
      <c r="O162" t="s">
        <v>232</v>
      </c>
      <c r="P162">
        <v>1</v>
      </c>
      <c r="Q162" t="s">
        <v>247</v>
      </c>
    </row>
    <row r="163" spans="1:17" s="25" customFormat="1">
      <c r="A163" s="111">
        <v>3.8970622349537042E-2</v>
      </c>
      <c r="B163" t="s">
        <v>94</v>
      </c>
      <c r="C163"/>
      <c r="D163"/>
      <c r="E163" t="s">
        <v>100</v>
      </c>
      <c r="F163"/>
      <c r="G163" t="s">
        <v>98</v>
      </c>
      <c r="H163"/>
      <c r="I163" s="158">
        <v>46285.964085648149</v>
      </c>
      <c r="J163" t="s">
        <v>490</v>
      </c>
      <c r="K163" t="s">
        <v>444</v>
      </c>
      <c r="L163" s="157">
        <v>46284</v>
      </c>
      <c r="M163" t="s">
        <v>439</v>
      </c>
      <c r="N163" t="s">
        <v>231</v>
      </c>
      <c r="O163" t="s">
        <v>232</v>
      </c>
      <c r="P163">
        <v>1</v>
      </c>
      <c r="Q163" t="s">
        <v>247</v>
      </c>
    </row>
    <row r="164" spans="1:17" s="25" customFormat="1">
      <c r="A164" s="111">
        <v>3.8682529363425928E-2</v>
      </c>
      <c r="B164" t="s">
        <v>94</v>
      </c>
      <c r="C164" t="s">
        <v>477</v>
      </c>
      <c r="D164"/>
      <c r="E164" t="s">
        <v>116</v>
      </c>
      <c r="F164"/>
      <c r="G164" t="s">
        <v>98</v>
      </c>
      <c r="H164"/>
      <c r="I164" s="158">
        <v>46285.96398148148</v>
      </c>
      <c r="J164" t="s">
        <v>490</v>
      </c>
      <c r="K164" t="s">
        <v>444</v>
      </c>
      <c r="L164" s="157">
        <v>46284</v>
      </c>
      <c r="M164" t="s">
        <v>439</v>
      </c>
      <c r="N164" t="s">
        <v>231</v>
      </c>
      <c r="O164" t="s">
        <v>232</v>
      </c>
      <c r="P164">
        <v>1</v>
      </c>
      <c r="Q164" t="s">
        <v>247</v>
      </c>
    </row>
    <row r="165" spans="1:17" s="25" customFormat="1">
      <c r="A165" s="111">
        <v>3.75574612962963E-2</v>
      </c>
      <c r="B165" t="s">
        <v>94</v>
      </c>
      <c r="C165"/>
      <c r="D165"/>
      <c r="E165" t="s">
        <v>318</v>
      </c>
      <c r="F165"/>
      <c r="G165" t="s">
        <v>98</v>
      </c>
      <c r="H165"/>
      <c r="I165" s="158">
        <v>46285.963576388887</v>
      </c>
      <c r="J165" t="s">
        <v>490</v>
      </c>
      <c r="K165" t="s">
        <v>444</v>
      </c>
      <c r="L165" s="157">
        <v>46284</v>
      </c>
      <c r="M165" t="s">
        <v>439</v>
      </c>
      <c r="N165" t="s">
        <v>231</v>
      </c>
      <c r="O165" t="s">
        <v>232</v>
      </c>
      <c r="P165">
        <v>1</v>
      </c>
      <c r="Q165" t="s">
        <v>247</v>
      </c>
    </row>
    <row r="166" spans="1:17" s="25" customFormat="1">
      <c r="A166" s="111">
        <v>3.7706149722222228E-2</v>
      </c>
      <c r="B166" t="s">
        <v>94</v>
      </c>
      <c r="C166"/>
      <c r="D166"/>
      <c r="E166" t="s">
        <v>87</v>
      </c>
      <c r="F166"/>
      <c r="G166" t="s">
        <v>98</v>
      </c>
      <c r="H166"/>
      <c r="I166" s="158">
        <v>46285.963402777779</v>
      </c>
      <c r="J166" t="s">
        <v>490</v>
      </c>
      <c r="K166" t="s">
        <v>444</v>
      </c>
      <c r="L166" s="157">
        <v>46284</v>
      </c>
      <c r="M166" t="s">
        <v>439</v>
      </c>
      <c r="N166" t="s">
        <v>231</v>
      </c>
      <c r="O166" t="s">
        <v>232</v>
      </c>
      <c r="P166">
        <v>1</v>
      </c>
      <c r="Q166" t="s">
        <v>247</v>
      </c>
    </row>
    <row r="167" spans="1:17" s="25" customFormat="1">
      <c r="A167" s="111">
        <v>3.7706149722222228E-2</v>
      </c>
      <c r="B167" t="s">
        <v>94</v>
      </c>
      <c r="C167"/>
      <c r="D167"/>
      <c r="E167" t="s">
        <v>213</v>
      </c>
      <c r="F167" t="s">
        <v>207</v>
      </c>
      <c r="G167" t="s">
        <v>98</v>
      </c>
      <c r="H167"/>
      <c r="I167" s="158">
        <v>46285.963402777779</v>
      </c>
      <c r="J167" t="s">
        <v>490</v>
      </c>
      <c r="K167" t="s">
        <v>444</v>
      </c>
      <c r="L167" s="157">
        <v>46284</v>
      </c>
      <c r="M167" t="s">
        <v>439</v>
      </c>
      <c r="N167" t="s">
        <v>231</v>
      </c>
      <c r="O167" t="s">
        <v>232</v>
      </c>
      <c r="P167">
        <v>1</v>
      </c>
      <c r="Q167" t="s">
        <v>247</v>
      </c>
    </row>
    <row r="168" spans="1:17" s="25" customFormat="1">
      <c r="A168" s="111">
        <v>3.7487895092592594E-2</v>
      </c>
      <c r="B168" t="s">
        <v>94</v>
      </c>
      <c r="C168" t="s">
        <v>472</v>
      </c>
      <c r="D168"/>
      <c r="E168" t="s">
        <v>462</v>
      </c>
      <c r="F168"/>
      <c r="G168" t="s">
        <v>98</v>
      </c>
      <c r="H168"/>
      <c r="I168" s="158">
        <v>46285.963125000002</v>
      </c>
      <c r="J168" t="s">
        <v>490</v>
      </c>
      <c r="K168" t="s">
        <v>444</v>
      </c>
      <c r="L168" s="157">
        <v>46284</v>
      </c>
      <c r="M168" t="s">
        <v>439</v>
      </c>
      <c r="N168" t="s">
        <v>231</v>
      </c>
      <c r="O168" t="s">
        <v>232</v>
      </c>
      <c r="P168">
        <v>1</v>
      </c>
      <c r="Q168" t="s">
        <v>247</v>
      </c>
    </row>
    <row r="169" spans="1:17" s="25" customFormat="1">
      <c r="A169" s="111">
        <v>3.7424452465277779E-2</v>
      </c>
      <c r="B169" t="s">
        <v>94</v>
      </c>
      <c r="C169" t="s">
        <v>481</v>
      </c>
      <c r="D169"/>
      <c r="E169" t="s">
        <v>463</v>
      </c>
      <c r="F169"/>
      <c r="G169" t="s">
        <v>98</v>
      </c>
      <c r="H169"/>
      <c r="I169" s="158">
        <v>46285.96297453704</v>
      </c>
      <c r="J169" t="s">
        <v>490</v>
      </c>
      <c r="K169" t="s">
        <v>444</v>
      </c>
      <c r="L169" s="157">
        <v>46284</v>
      </c>
      <c r="M169" t="s">
        <v>439</v>
      </c>
      <c r="N169" t="s">
        <v>231</v>
      </c>
      <c r="O169" t="s">
        <v>232</v>
      </c>
      <c r="P169">
        <v>1</v>
      </c>
      <c r="Q169" t="s">
        <v>247</v>
      </c>
    </row>
    <row r="170" spans="1:17" s="25" customFormat="1">
      <c r="A170" s="111">
        <v>3.7346149942129626E-2</v>
      </c>
      <c r="B170" t="s">
        <v>94</v>
      </c>
      <c r="C170" t="s">
        <v>479</v>
      </c>
      <c r="D170"/>
      <c r="E170" t="s">
        <v>462</v>
      </c>
      <c r="F170"/>
      <c r="G170" t="s">
        <v>98</v>
      </c>
      <c r="H170"/>
      <c r="I170" s="158">
        <v>46285.962546296294</v>
      </c>
      <c r="J170" t="s">
        <v>490</v>
      </c>
      <c r="K170" t="s">
        <v>444</v>
      </c>
      <c r="L170" s="157">
        <v>46284</v>
      </c>
      <c r="M170" t="s">
        <v>439</v>
      </c>
      <c r="N170" t="s">
        <v>231</v>
      </c>
      <c r="O170" t="s">
        <v>232</v>
      </c>
      <c r="P170">
        <v>1</v>
      </c>
      <c r="Q170" t="s">
        <v>247</v>
      </c>
    </row>
    <row r="171" spans="1:17" s="25" customFormat="1">
      <c r="A171" s="111">
        <v>3.7317062430555555E-2</v>
      </c>
      <c r="B171" t="s">
        <v>94</v>
      </c>
      <c r="C171" t="s">
        <v>477</v>
      </c>
      <c r="D171"/>
      <c r="E171" t="s">
        <v>463</v>
      </c>
      <c r="F171"/>
      <c r="G171" t="s">
        <v>98</v>
      </c>
      <c r="H171"/>
      <c r="I171" s="158">
        <v>46285.962418981479</v>
      </c>
      <c r="J171" t="s">
        <v>490</v>
      </c>
      <c r="K171" t="s">
        <v>444</v>
      </c>
      <c r="L171" s="157">
        <v>46284</v>
      </c>
      <c r="M171" t="s">
        <v>439</v>
      </c>
      <c r="N171" t="s">
        <v>231</v>
      </c>
      <c r="O171" t="s">
        <v>232</v>
      </c>
      <c r="P171">
        <v>1</v>
      </c>
      <c r="Q171" t="s">
        <v>247</v>
      </c>
    </row>
    <row r="172" spans="1:17" s="25" customFormat="1">
      <c r="A172" s="111">
        <v>3.7254122766203705E-2</v>
      </c>
      <c r="B172" t="s">
        <v>94</v>
      </c>
      <c r="C172" t="s">
        <v>474</v>
      </c>
      <c r="D172"/>
      <c r="E172" t="s">
        <v>462</v>
      </c>
      <c r="F172"/>
      <c r="G172" t="s">
        <v>98</v>
      </c>
      <c r="H172"/>
      <c r="I172" s="158">
        <v>46285.962175925924</v>
      </c>
      <c r="J172" t="s">
        <v>490</v>
      </c>
      <c r="K172" t="s">
        <v>444</v>
      </c>
      <c r="L172" s="157">
        <v>46284</v>
      </c>
      <c r="M172" t="s">
        <v>439</v>
      </c>
      <c r="N172" t="s">
        <v>231</v>
      </c>
      <c r="O172" t="s">
        <v>232</v>
      </c>
      <c r="P172">
        <v>1</v>
      </c>
      <c r="Q172" t="s">
        <v>247</v>
      </c>
    </row>
    <row r="173" spans="1:17" s="25" customFormat="1">
      <c r="A173" s="111">
        <v>3.7149663182870371E-2</v>
      </c>
      <c r="B173" t="s">
        <v>94</v>
      </c>
      <c r="C173" t="s">
        <v>469</v>
      </c>
      <c r="D173"/>
      <c r="E173" t="s">
        <v>462</v>
      </c>
      <c r="F173"/>
      <c r="G173" t="s">
        <v>98</v>
      </c>
      <c r="H173"/>
      <c r="I173" s="158">
        <v>46285.962013888886</v>
      </c>
      <c r="J173" t="s">
        <v>490</v>
      </c>
      <c r="K173" t="s">
        <v>444</v>
      </c>
      <c r="L173" s="157">
        <v>46284</v>
      </c>
      <c r="M173" t="s">
        <v>439</v>
      </c>
      <c r="N173" t="s">
        <v>231</v>
      </c>
      <c r="O173" t="s">
        <v>232</v>
      </c>
      <c r="P173">
        <v>1</v>
      </c>
      <c r="Q173" t="s">
        <v>247</v>
      </c>
    </row>
    <row r="174" spans="1:17" s="25" customFormat="1">
      <c r="A174" s="111">
        <v>3.7120538750000001E-2</v>
      </c>
      <c r="B174" t="s">
        <v>94</v>
      </c>
      <c r="C174" t="s">
        <v>475</v>
      </c>
      <c r="D174"/>
      <c r="E174" t="s">
        <v>110</v>
      </c>
      <c r="F174"/>
      <c r="G174" t="s">
        <v>164</v>
      </c>
      <c r="H174"/>
      <c r="I174" s="158">
        <v>46285.961921296293</v>
      </c>
      <c r="J174" t="s">
        <v>490</v>
      </c>
      <c r="K174" t="s">
        <v>444</v>
      </c>
      <c r="L174" s="157">
        <v>46284</v>
      </c>
      <c r="M174" t="s">
        <v>439</v>
      </c>
      <c r="N174" t="s">
        <v>231</v>
      </c>
      <c r="O174" t="s">
        <v>232</v>
      </c>
      <c r="P174">
        <v>1</v>
      </c>
      <c r="Q174" t="s">
        <v>247</v>
      </c>
    </row>
    <row r="175" spans="1:17" s="25" customFormat="1">
      <c r="A175" s="111">
        <v>3.7014946909722221E-2</v>
      </c>
      <c r="B175" t="s">
        <v>94</v>
      </c>
      <c r="C175"/>
      <c r="D175"/>
      <c r="E175" t="s">
        <v>104</v>
      </c>
      <c r="F175"/>
      <c r="G175" t="s">
        <v>164</v>
      </c>
      <c r="H175"/>
      <c r="I175" s="158">
        <v>46285.961782407408</v>
      </c>
      <c r="J175" t="s">
        <v>490</v>
      </c>
      <c r="K175" t="s">
        <v>444</v>
      </c>
      <c r="L175" s="157">
        <v>46284</v>
      </c>
      <c r="M175" t="s">
        <v>439</v>
      </c>
      <c r="N175" t="s">
        <v>231</v>
      </c>
      <c r="O175" t="s">
        <v>232</v>
      </c>
      <c r="P175">
        <v>1</v>
      </c>
      <c r="Q175" t="s">
        <v>247</v>
      </c>
    </row>
    <row r="176" spans="1:17" s="25" customFormat="1">
      <c r="A176" s="111">
        <v>3.679851221064815E-2</v>
      </c>
      <c r="B176" t="s">
        <v>94</v>
      </c>
      <c r="C176"/>
      <c r="D176"/>
      <c r="E176" t="s">
        <v>87</v>
      </c>
      <c r="F176"/>
      <c r="G176" t="s">
        <v>98</v>
      </c>
      <c r="H176"/>
      <c r="I176" s="158">
        <v>46285.961678240739</v>
      </c>
      <c r="J176" t="s">
        <v>490</v>
      </c>
      <c r="K176" t="s">
        <v>444</v>
      </c>
      <c r="L176" s="157">
        <v>46284</v>
      </c>
      <c r="M176" t="s">
        <v>439</v>
      </c>
      <c r="N176" t="s">
        <v>231</v>
      </c>
      <c r="O176" t="s">
        <v>232</v>
      </c>
      <c r="P176">
        <v>1</v>
      </c>
      <c r="Q176" t="s">
        <v>247</v>
      </c>
    </row>
    <row r="177" spans="1:17" s="25" customFormat="1">
      <c r="A177" s="111">
        <v>3.67061934837963E-2</v>
      </c>
      <c r="B177" t="s">
        <v>94</v>
      </c>
      <c r="C177"/>
      <c r="D177"/>
      <c r="E177" t="s">
        <v>184</v>
      </c>
      <c r="F177"/>
      <c r="G177" t="s">
        <v>98</v>
      </c>
      <c r="H177"/>
      <c r="I177" s="158">
        <v>46285.961574074077</v>
      </c>
      <c r="J177" t="s">
        <v>490</v>
      </c>
      <c r="K177" t="s">
        <v>444</v>
      </c>
      <c r="L177" s="157">
        <v>46284</v>
      </c>
      <c r="M177" t="s">
        <v>439</v>
      </c>
      <c r="N177" t="s">
        <v>231</v>
      </c>
      <c r="O177" t="s">
        <v>232</v>
      </c>
      <c r="P177">
        <v>1</v>
      </c>
      <c r="Q177" t="s">
        <v>247</v>
      </c>
    </row>
    <row r="178" spans="1:17" s="25" customFormat="1">
      <c r="A178" s="111">
        <v>3.67061934837963E-2</v>
      </c>
      <c r="B178" t="s">
        <v>94</v>
      </c>
      <c r="C178"/>
      <c r="D178"/>
      <c r="E178" t="s">
        <v>186</v>
      </c>
      <c r="F178"/>
      <c r="G178" t="s">
        <v>98</v>
      </c>
      <c r="H178"/>
      <c r="I178" s="158">
        <v>46285.961562500001</v>
      </c>
      <c r="J178" t="s">
        <v>490</v>
      </c>
      <c r="K178" t="s">
        <v>444</v>
      </c>
      <c r="L178" s="157">
        <v>46284</v>
      </c>
      <c r="M178" t="s">
        <v>439</v>
      </c>
      <c r="N178" t="s">
        <v>231</v>
      </c>
      <c r="O178" t="s">
        <v>232</v>
      </c>
      <c r="P178">
        <v>1</v>
      </c>
      <c r="Q178" t="s">
        <v>247</v>
      </c>
    </row>
    <row r="179" spans="1:17" s="25" customFormat="1">
      <c r="A179" s="111">
        <v>3.6660159224537039E-2</v>
      </c>
      <c r="B179" t="s">
        <v>94</v>
      </c>
      <c r="C179"/>
      <c r="D179"/>
      <c r="E179" t="s">
        <v>100</v>
      </c>
      <c r="F179"/>
      <c r="G179" t="s">
        <v>98</v>
      </c>
      <c r="H179"/>
      <c r="I179" s="158">
        <v>46285.961388888885</v>
      </c>
      <c r="J179" t="s">
        <v>490</v>
      </c>
      <c r="K179" t="s">
        <v>444</v>
      </c>
      <c r="L179" s="157">
        <v>46284</v>
      </c>
      <c r="M179" t="s">
        <v>439</v>
      </c>
      <c r="N179" t="s">
        <v>231</v>
      </c>
      <c r="O179" t="s">
        <v>232</v>
      </c>
      <c r="P179">
        <v>1</v>
      </c>
      <c r="Q179" t="s">
        <v>247</v>
      </c>
    </row>
    <row r="180" spans="1:17" s="25" customFormat="1">
      <c r="A180" s="111">
        <v>3.6407786087962961E-2</v>
      </c>
      <c r="B180" t="s">
        <v>94</v>
      </c>
      <c r="C180" t="s">
        <v>477</v>
      </c>
      <c r="D180"/>
      <c r="E180" t="s">
        <v>116</v>
      </c>
      <c r="F180"/>
      <c r="G180" t="s">
        <v>98</v>
      </c>
      <c r="H180"/>
      <c r="I180" s="158">
        <v>46285.9606712963</v>
      </c>
      <c r="J180" t="s">
        <v>490</v>
      </c>
      <c r="K180" t="s">
        <v>444</v>
      </c>
      <c r="L180" s="157">
        <v>46284</v>
      </c>
      <c r="M180" t="s">
        <v>439</v>
      </c>
      <c r="N180" t="s">
        <v>231</v>
      </c>
      <c r="O180" t="s">
        <v>232</v>
      </c>
      <c r="P180">
        <v>1</v>
      </c>
      <c r="Q180" t="s">
        <v>247</v>
      </c>
    </row>
    <row r="181" spans="1:17" s="25" customFormat="1">
      <c r="A181" s="111">
        <v>3.5254488136574072E-2</v>
      </c>
      <c r="B181" t="s">
        <v>94</v>
      </c>
      <c r="C181"/>
      <c r="D181"/>
      <c r="E181" t="s">
        <v>213</v>
      </c>
      <c r="F181" t="s">
        <v>207</v>
      </c>
      <c r="G181" t="s">
        <v>98</v>
      </c>
      <c r="H181"/>
      <c r="I181" s="158">
        <v>46285.960393518515</v>
      </c>
      <c r="J181" t="s">
        <v>490</v>
      </c>
      <c r="K181" t="s">
        <v>444</v>
      </c>
      <c r="L181" s="157">
        <v>46284</v>
      </c>
      <c r="M181" t="s">
        <v>439</v>
      </c>
      <c r="N181" t="s">
        <v>231</v>
      </c>
      <c r="O181" t="s">
        <v>232</v>
      </c>
      <c r="P181">
        <v>1</v>
      </c>
      <c r="Q181" t="s">
        <v>247</v>
      </c>
    </row>
    <row r="182" spans="1:17" s="25" customFormat="1">
      <c r="A182" s="111">
        <v>3.5181676203703702E-2</v>
      </c>
      <c r="B182" t="s">
        <v>94</v>
      </c>
      <c r="C182"/>
      <c r="D182"/>
      <c r="E182" t="s">
        <v>87</v>
      </c>
      <c r="F182"/>
      <c r="G182" t="s">
        <v>98</v>
      </c>
      <c r="H182"/>
      <c r="I182" s="158">
        <v>46285.95925925926</v>
      </c>
      <c r="J182" t="s">
        <v>490</v>
      </c>
      <c r="K182" t="s">
        <v>444</v>
      </c>
      <c r="L182" s="157">
        <v>46284</v>
      </c>
      <c r="M182" t="s">
        <v>439</v>
      </c>
      <c r="N182" t="s">
        <v>231</v>
      </c>
      <c r="O182" t="s">
        <v>232</v>
      </c>
      <c r="P182">
        <v>1</v>
      </c>
      <c r="Q182" t="s">
        <v>247</v>
      </c>
    </row>
    <row r="183" spans="1:17" s="25" customFormat="1">
      <c r="A183" s="111">
        <v>3.5129404722222222E-2</v>
      </c>
      <c r="B183" t="s">
        <v>94</v>
      </c>
      <c r="C183"/>
      <c r="D183"/>
      <c r="E183" t="s">
        <v>184</v>
      </c>
      <c r="F183"/>
      <c r="G183" t="s">
        <v>98</v>
      </c>
      <c r="H183"/>
      <c r="I183" s="158">
        <v>46285.959178240744</v>
      </c>
      <c r="J183" t="s">
        <v>490</v>
      </c>
      <c r="K183" t="s">
        <v>444</v>
      </c>
      <c r="L183" s="157">
        <v>46284</v>
      </c>
      <c r="M183" t="s">
        <v>439</v>
      </c>
      <c r="N183" t="s">
        <v>231</v>
      </c>
      <c r="O183" t="s">
        <v>232</v>
      </c>
      <c r="P183">
        <v>1</v>
      </c>
      <c r="Q183" t="s">
        <v>247</v>
      </c>
    </row>
    <row r="184" spans="1:17" s="25" customFormat="1">
      <c r="A184" s="111">
        <v>3.5042637523148144E-2</v>
      </c>
      <c r="B184" t="s">
        <v>94</v>
      </c>
      <c r="C184" t="s">
        <v>471</v>
      </c>
      <c r="D184"/>
      <c r="E184" t="s">
        <v>463</v>
      </c>
      <c r="F184"/>
      <c r="G184" t="s">
        <v>98</v>
      </c>
      <c r="H184"/>
      <c r="I184" s="158">
        <v>46285.959027777775</v>
      </c>
      <c r="J184" t="s">
        <v>490</v>
      </c>
      <c r="K184" t="s">
        <v>444</v>
      </c>
      <c r="L184" s="157">
        <v>46284</v>
      </c>
      <c r="M184" t="s">
        <v>439</v>
      </c>
      <c r="N184" t="s">
        <v>231</v>
      </c>
      <c r="O184" t="s">
        <v>232</v>
      </c>
      <c r="P184">
        <v>1</v>
      </c>
      <c r="Q184" t="s">
        <v>247</v>
      </c>
    </row>
    <row r="185" spans="1:17" s="25" customFormat="1">
      <c r="A185" s="111">
        <v>3.4943935995370372E-2</v>
      </c>
      <c r="B185" t="s">
        <v>94</v>
      </c>
      <c r="C185" t="s">
        <v>476</v>
      </c>
      <c r="D185"/>
      <c r="E185" t="s">
        <v>463</v>
      </c>
      <c r="F185"/>
      <c r="G185" t="s">
        <v>98</v>
      </c>
      <c r="H185"/>
      <c r="I185" s="158">
        <v>46285.95888888889</v>
      </c>
      <c r="J185" t="s">
        <v>490</v>
      </c>
      <c r="K185" t="s">
        <v>444</v>
      </c>
      <c r="L185" s="157">
        <v>46284</v>
      </c>
      <c r="M185" t="s">
        <v>439</v>
      </c>
      <c r="N185" t="s">
        <v>231</v>
      </c>
      <c r="O185" t="s">
        <v>232</v>
      </c>
      <c r="P185">
        <v>1</v>
      </c>
      <c r="Q185" t="s">
        <v>247</v>
      </c>
    </row>
    <row r="186" spans="1:17" s="25" customFormat="1">
      <c r="A186" s="111">
        <v>3.4919121886574075E-2</v>
      </c>
      <c r="B186" t="s">
        <v>94</v>
      </c>
      <c r="C186" t="s">
        <v>480</v>
      </c>
      <c r="D186"/>
      <c r="E186" t="s">
        <v>463</v>
      </c>
      <c r="F186"/>
      <c r="G186" t="s">
        <v>98</v>
      </c>
      <c r="H186"/>
      <c r="I186" s="158">
        <v>46285.958726851852</v>
      </c>
      <c r="J186" t="s">
        <v>490</v>
      </c>
      <c r="K186" t="s">
        <v>444</v>
      </c>
      <c r="L186" s="157">
        <v>46284</v>
      </c>
      <c r="M186" t="s">
        <v>439</v>
      </c>
      <c r="N186" t="s">
        <v>231</v>
      </c>
      <c r="O186" t="s">
        <v>232</v>
      </c>
      <c r="P186">
        <v>1</v>
      </c>
      <c r="Q186" t="s">
        <v>247</v>
      </c>
    </row>
    <row r="187" spans="1:17" s="25" customFormat="1">
      <c r="A187" s="111">
        <v>3.4780090682870371E-2</v>
      </c>
      <c r="B187" t="s">
        <v>94</v>
      </c>
      <c r="C187" t="s">
        <v>474</v>
      </c>
      <c r="D187"/>
      <c r="E187" t="s">
        <v>463</v>
      </c>
      <c r="F187"/>
      <c r="G187" t="s">
        <v>98</v>
      </c>
      <c r="H187"/>
      <c r="I187" s="158">
        <v>46285.958553240744</v>
      </c>
      <c r="J187" t="s">
        <v>490</v>
      </c>
      <c r="K187" t="s">
        <v>444</v>
      </c>
      <c r="L187" s="157">
        <v>46284</v>
      </c>
      <c r="M187" t="s">
        <v>439</v>
      </c>
      <c r="N187" t="s">
        <v>231</v>
      </c>
      <c r="O187" t="s">
        <v>232</v>
      </c>
      <c r="P187">
        <v>1</v>
      </c>
      <c r="Q187" t="s">
        <v>247</v>
      </c>
    </row>
    <row r="188" spans="1:17" s="25" customFormat="1">
      <c r="A188" s="111">
        <v>3.4664115682870367E-2</v>
      </c>
      <c r="B188" t="s">
        <v>94</v>
      </c>
      <c r="C188" t="s">
        <v>476</v>
      </c>
      <c r="D188"/>
      <c r="E188" t="s">
        <v>463</v>
      </c>
      <c r="F188"/>
      <c r="G188" t="s">
        <v>98</v>
      </c>
      <c r="H188"/>
      <c r="I188" s="158">
        <v>46285.958368055559</v>
      </c>
      <c r="J188" t="s">
        <v>490</v>
      </c>
      <c r="K188" t="s">
        <v>444</v>
      </c>
      <c r="L188" s="157">
        <v>46284</v>
      </c>
      <c r="M188" t="s">
        <v>439</v>
      </c>
      <c r="N188" t="s">
        <v>231</v>
      </c>
      <c r="O188" t="s">
        <v>232</v>
      </c>
      <c r="P188">
        <v>1</v>
      </c>
      <c r="Q188" t="s">
        <v>247</v>
      </c>
    </row>
    <row r="189" spans="1:17" s="25" customFormat="1">
      <c r="A189" s="111">
        <v>3.4577022488425924E-2</v>
      </c>
      <c r="B189" t="s">
        <v>94</v>
      </c>
      <c r="C189" t="s">
        <v>479</v>
      </c>
      <c r="D189"/>
      <c r="E189" t="s">
        <v>304</v>
      </c>
      <c r="F189"/>
      <c r="G189" t="s">
        <v>98</v>
      </c>
      <c r="H189"/>
      <c r="I189" s="158">
        <v>46285.95784722222</v>
      </c>
      <c r="J189" t="s">
        <v>490</v>
      </c>
      <c r="K189" t="s">
        <v>444</v>
      </c>
      <c r="L189" s="157">
        <v>46284</v>
      </c>
      <c r="M189" t="s">
        <v>439</v>
      </c>
      <c r="N189" t="s">
        <v>231</v>
      </c>
      <c r="O189" t="s">
        <v>232</v>
      </c>
      <c r="P189">
        <v>1</v>
      </c>
      <c r="Q189" t="s">
        <v>247</v>
      </c>
    </row>
    <row r="190" spans="1:17" s="25" customFormat="1">
      <c r="A190" s="111">
        <v>3.4513411875000004E-2</v>
      </c>
      <c r="B190" t="s">
        <v>94</v>
      </c>
      <c r="C190"/>
      <c r="D190"/>
      <c r="E190" t="s">
        <v>279</v>
      </c>
      <c r="F190"/>
      <c r="G190" t="s">
        <v>98</v>
      </c>
      <c r="H190"/>
      <c r="I190" s="158">
        <v>46285.957719907405</v>
      </c>
      <c r="J190" t="s">
        <v>490</v>
      </c>
      <c r="K190" t="s">
        <v>444</v>
      </c>
      <c r="L190" s="157">
        <v>46284</v>
      </c>
      <c r="M190" t="s">
        <v>439</v>
      </c>
      <c r="N190" t="s">
        <v>231</v>
      </c>
      <c r="O190" t="s">
        <v>232</v>
      </c>
      <c r="P190">
        <v>1</v>
      </c>
      <c r="Q190" t="s">
        <v>247</v>
      </c>
    </row>
    <row r="191" spans="1:17" s="25" customFormat="1">
      <c r="A191" s="111">
        <v>3.4392651400462958E-2</v>
      </c>
      <c r="B191" t="s">
        <v>94</v>
      </c>
      <c r="C191"/>
      <c r="D191"/>
      <c r="E191" t="s">
        <v>105</v>
      </c>
      <c r="F191"/>
      <c r="G191" t="s">
        <v>98</v>
      </c>
      <c r="H191"/>
      <c r="I191" s="158">
        <v>46285.957627314812</v>
      </c>
      <c r="J191" t="s">
        <v>490</v>
      </c>
      <c r="K191" t="s">
        <v>444</v>
      </c>
      <c r="L191" s="157">
        <v>46284</v>
      </c>
      <c r="M191" t="s">
        <v>439</v>
      </c>
      <c r="N191" t="s">
        <v>231</v>
      </c>
      <c r="O191" t="s">
        <v>232</v>
      </c>
      <c r="P191">
        <v>1</v>
      </c>
      <c r="Q191" t="s">
        <v>247</v>
      </c>
    </row>
    <row r="192" spans="1:17" s="25" customFormat="1">
      <c r="A192" s="111">
        <v>3.4100802777777779E-2</v>
      </c>
      <c r="B192" t="s">
        <v>94</v>
      </c>
      <c r="C192"/>
      <c r="D192"/>
      <c r="E192" t="s">
        <v>87</v>
      </c>
      <c r="F192"/>
      <c r="G192" t="s">
        <v>98</v>
      </c>
      <c r="H192"/>
      <c r="I192" s="158">
        <v>46285.957499999997</v>
      </c>
      <c r="J192" t="s">
        <v>490</v>
      </c>
      <c r="K192" t="s">
        <v>444</v>
      </c>
      <c r="L192" s="157">
        <v>46284</v>
      </c>
      <c r="M192" t="s">
        <v>439</v>
      </c>
      <c r="N192" t="s">
        <v>231</v>
      </c>
      <c r="O192" t="s">
        <v>232</v>
      </c>
      <c r="P192">
        <v>1</v>
      </c>
      <c r="Q192" t="s">
        <v>247</v>
      </c>
    </row>
    <row r="193" spans="1:17" s="25" customFormat="1">
      <c r="A193" s="111">
        <v>3.4100802777777779E-2</v>
      </c>
      <c r="B193" t="s">
        <v>94</v>
      </c>
      <c r="C193"/>
      <c r="D193"/>
      <c r="E193" t="s">
        <v>183</v>
      </c>
      <c r="F193"/>
      <c r="G193" t="s">
        <v>164</v>
      </c>
      <c r="H193"/>
      <c r="I193" s="158">
        <v>46285.957476851851</v>
      </c>
      <c r="J193" t="s">
        <v>490</v>
      </c>
      <c r="K193" t="s">
        <v>444</v>
      </c>
      <c r="L193" s="157">
        <v>46284</v>
      </c>
      <c r="M193" t="s">
        <v>439</v>
      </c>
      <c r="N193" t="s">
        <v>231</v>
      </c>
      <c r="O193" t="s">
        <v>232</v>
      </c>
      <c r="P193">
        <v>1</v>
      </c>
      <c r="Q193" t="s">
        <v>247</v>
      </c>
    </row>
    <row r="194" spans="1:17" s="25" customFormat="1">
      <c r="A194" s="111">
        <v>3.4100802777777779E-2</v>
      </c>
      <c r="B194" t="s">
        <v>94</v>
      </c>
      <c r="C194"/>
      <c r="D194"/>
      <c r="E194" t="s">
        <v>188</v>
      </c>
      <c r="F194"/>
      <c r="G194" t="s">
        <v>164</v>
      </c>
      <c r="H194"/>
      <c r="I194" s="158">
        <v>46285.957476851851</v>
      </c>
      <c r="J194" t="s">
        <v>490</v>
      </c>
      <c r="K194" t="s">
        <v>444</v>
      </c>
      <c r="L194" s="157">
        <v>46284</v>
      </c>
      <c r="M194" t="s">
        <v>439</v>
      </c>
      <c r="N194" t="s">
        <v>231</v>
      </c>
      <c r="O194" t="s">
        <v>232</v>
      </c>
      <c r="P194">
        <v>1</v>
      </c>
      <c r="Q194" t="s">
        <v>247</v>
      </c>
    </row>
    <row r="195" spans="1:17" s="25" customFormat="1">
      <c r="A195" s="111">
        <v>3.4043046087962964E-2</v>
      </c>
      <c r="B195" t="s">
        <v>94</v>
      </c>
      <c r="C195"/>
      <c r="D195"/>
      <c r="E195" t="s">
        <v>100</v>
      </c>
      <c r="F195"/>
      <c r="G195" t="s">
        <v>98</v>
      </c>
      <c r="H195"/>
      <c r="I195" s="158">
        <v>46285.957291666666</v>
      </c>
      <c r="J195" t="s">
        <v>490</v>
      </c>
      <c r="K195" t="s">
        <v>444</v>
      </c>
      <c r="L195" s="157">
        <v>46284</v>
      </c>
      <c r="M195" t="s">
        <v>439</v>
      </c>
      <c r="N195" t="s">
        <v>231</v>
      </c>
      <c r="O195" t="s">
        <v>232</v>
      </c>
      <c r="P195">
        <v>1</v>
      </c>
      <c r="Q195" t="s">
        <v>247</v>
      </c>
    </row>
    <row r="196" spans="1:17" s="25" customFormat="1">
      <c r="A196" s="111">
        <v>3.0017413981481479E-2</v>
      </c>
      <c r="B196" t="s">
        <v>97</v>
      </c>
      <c r="C196"/>
      <c r="D196"/>
      <c r="E196" t="s">
        <v>87</v>
      </c>
      <c r="F196"/>
      <c r="G196" t="s">
        <v>164</v>
      </c>
      <c r="H196"/>
      <c r="I196" s="158">
        <v>46285.95716435185</v>
      </c>
      <c r="J196" t="s">
        <v>490</v>
      </c>
      <c r="K196" t="s">
        <v>444</v>
      </c>
      <c r="L196" s="157">
        <v>46284</v>
      </c>
      <c r="M196" t="s">
        <v>439</v>
      </c>
      <c r="N196" t="s">
        <v>231</v>
      </c>
      <c r="O196" t="s">
        <v>232</v>
      </c>
      <c r="P196">
        <v>1</v>
      </c>
      <c r="Q196" t="s">
        <v>247</v>
      </c>
    </row>
    <row r="197" spans="1:17" s="25" customFormat="1">
      <c r="A197" s="111">
        <v>2.9992729004629633E-2</v>
      </c>
      <c r="B197" t="s">
        <v>97</v>
      </c>
      <c r="C197"/>
      <c r="D197"/>
      <c r="E197" t="s">
        <v>184</v>
      </c>
      <c r="F197"/>
      <c r="G197" t="s">
        <v>164</v>
      </c>
      <c r="H197"/>
      <c r="I197" s="158">
        <v>46285.957141203704</v>
      </c>
      <c r="J197" t="s">
        <v>490</v>
      </c>
      <c r="K197" t="s">
        <v>444</v>
      </c>
      <c r="L197" s="157">
        <v>46284</v>
      </c>
      <c r="M197" t="s">
        <v>439</v>
      </c>
      <c r="N197" t="s">
        <v>231</v>
      </c>
      <c r="O197" t="s">
        <v>232</v>
      </c>
      <c r="P197">
        <v>1</v>
      </c>
      <c r="Q197" t="s">
        <v>247</v>
      </c>
    </row>
    <row r="198" spans="1:17" s="25" customFormat="1">
      <c r="A198" s="111">
        <v>2.9937452685185186E-2</v>
      </c>
      <c r="B198" t="s">
        <v>97</v>
      </c>
      <c r="C198"/>
      <c r="D198"/>
      <c r="E198" t="s">
        <v>285</v>
      </c>
      <c r="F198"/>
      <c r="G198" t="s">
        <v>164</v>
      </c>
      <c r="H198"/>
      <c r="I198" s="158">
        <v>46285.957083333335</v>
      </c>
      <c r="J198" t="s">
        <v>490</v>
      </c>
      <c r="K198" t="s">
        <v>444</v>
      </c>
      <c r="L198" s="157">
        <v>46284</v>
      </c>
      <c r="M198" t="s">
        <v>439</v>
      </c>
      <c r="N198" t="s">
        <v>231</v>
      </c>
      <c r="O198" t="s">
        <v>232</v>
      </c>
      <c r="P198">
        <v>1</v>
      </c>
      <c r="Q198" t="s">
        <v>247</v>
      </c>
    </row>
    <row r="199" spans="1:17" s="25" customFormat="1">
      <c r="A199" s="111">
        <v>2.9875023692129632E-2</v>
      </c>
      <c r="B199" t="s">
        <v>97</v>
      </c>
      <c r="C199"/>
      <c r="D199"/>
      <c r="E199" t="s">
        <v>105</v>
      </c>
      <c r="F199"/>
      <c r="G199" t="s">
        <v>164</v>
      </c>
      <c r="H199"/>
      <c r="I199" s="158">
        <v>46285.957013888888</v>
      </c>
      <c r="J199" t="s">
        <v>490</v>
      </c>
      <c r="K199" t="s">
        <v>444</v>
      </c>
      <c r="L199" s="157">
        <v>46284</v>
      </c>
      <c r="M199" t="s">
        <v>439</v>
      </c>
      <c r="N199" t="s">
        <v>231</v>
      </c>
      <c r="O199" t="s">
        <v>232</v>
      </c>
      <c r="P199">
        <v>1</v>
      </c>
      <c r="Q199" t="s">
        <v>247</v>
      </c>
    </row>
    <row r="200" spans="1:17" s="25" customFormat="1">
      <c r="A200" s="111">
        <v>2.8920540474537036E-2</v>
      </c>
      <c r="B200" t="s">
        <v>97</v>
      </c>
      <c r="C200"/>
      <c r="D200"/>
      <c r="E200" t="s">
        <v>87</v>
      </c>
      <c r="F200"/>
      <c r="G200" t="s">
        <v>98</v>
      </c>
      <c r="H200"/>
      <c r="I200" s="158">
        <v>46285.956689814811</v>
      </c>
      <c r="J200" t="s">
        <v>490</v>
      </c>
      <c r="K200" t="s">
        <v>444</v>
      </c>
      <c r="L200" s="157">
        <v>46284</v>
      </c>
      <c r="M200" t="s">
        <v>439</v>
      </c>
      <c r="N200" t="s">
        <v>231</v>
      </c>
      <c r="O200" t="s">
        <v>232</v>
      </c>
      <c r="P200">
        <v>1</v>
      </c>
      <c r="Q200" t="s">
        <v>247</v>
      </c>
    </row>
    <row r="201" spans="1:17" s="25" customFormat="1">
      <c r="A201" s="111">
        <v>2.8776435289351851E-2</v>
      </c>
      <c r="B201" t="s">
        <v>97</v>
      </c>
      <c r="C201" t="s">
        <v>475</v>
      </c>
      <c r="D201"/>
      <c r="E201" t="s">
        <v>111</v>
      </c>
      <c r="F201"/>
      <c r="G201" t="s">
        <v>98</v>
      </c>
      <c r="H201"/>
      <c r="I201" s="158">
        <v>46285.956400462965</v>
      </c>
      <c r="J201" t="s">
        <v>490</v>
      </c>
      <c r="K201" t="s">
        <v>444</v>
      </c>
      <c r="L201" s="157">
        <v>46284</v>
      </c>
      <c r="M201" t="s">
        <v>439</v>
      </c>
      <c r="N201" t="s">
        <v>231</v>
      </c>
      <c r="O201" t="s">
        <v>232</v>
      </c>
      <c r="P201">
        <v>1</v>
      </c>
      <c r="Q201" t="s">
        <v>247</v>
      </c>
    </row>
    <row r="202" spans="1:17" s="25" customFormat="1">
      <c r="A202" s="111">
        <v>2.8678638900462964E-2</v>
      </c>
      <c r="B202" t="s">
        <v>97</v>
      </c>
      <c r="C202"/>
      <c r="D202"/>
      <c r="E202" t="s">
        <v>104</v>
      </c>
      <c r="F202"/>
      <c r="G202" t="s">
        <v>98</v>
      </c>
      <c r="H202"/>
      <c r="I202" s="158">
        <v>46285.956157407411</v>
      </c>
      <c r="J202" t="s">
        <v>490</v>
      </c>
      <c r="K202" t="s">
        <v>444</v>
      </c>
      <c r="L202" s="157">
        <v>46284</v>
      </c>
      <c r="M202" t="s">
        <v>439</v>
      </c>
      <c r="N202" t="s">
        <v>231</v>
      </c>
      <c r="O202" t="s">
        <v>232</v>
      </c>
      <c r="P202">
        <v>1</v>
      </c>
      <c r="Q202" t="s">
        <v>247</v>
      </c>
    </row>
    <row r="203" spans="1:17" s="25" customFormat="1">
      <c r="A203" s="111">
        <v>2.8039814930555556E-2</v>
      </c>
      <c r="B203" t="s">
        <v>97</v>
      </c>
      <c r="C203"/>
      <c r="D203"/>
      <c r="E203" t="s">
        <v>213</v>
      </c>
      <c r="F203" t="s">
        <v>135</v>
      </c>
      <c r="G203" t="s">
        <v>98</v>
      </c>
      <c r="H203"/>
      <c r="I203" s="158">
        <v>46285.955995370372</v>
      </c>
      <c r="J203" t="s">
        <v>490</v>
      </c>
      <c r="K203" t="s">
        <v>444</v>
      </c>
      <c r="L203" s="157">
        <v>46284</v>
      </c>
      <c r="M203" t="s">
        <v>439</v>
      </c>
      <c r="N203" t="s">
        <v>231</v>
      </c>
      <c r="O203" t="s">
        <v>232</v>
      </c>
      <c r="P203">
        <v>1</v>
      </c>
      <c r="Q203" t="s">
        <v>247</v>
      </c>
    </row>
    <row r="204" spans="1:17" s="25" customFormat="1">
      <c r="A204" s="111">
        <v>2.8091341041666669E-2</v>
      </c>
      <c r="B204" t="s">
        <v>97</v>
      </c>
      <c r="C204"/>
      <c r="D204"/>
      <c r="E204" t="s">
        <v>87</v>
      </c>
      <c r="F204"/>
      <c r="G204" t="s">
        <v>164</v>
      </c>
      <c r="H204"/>
      <c r="I204" s="158">
        <v>46285.955543981479</v>
      </c>
      <c r="J204" t="s">
        <v>490</v>
      </c>
      <c r="K204" t="s">
        <v>444</v>
      </c>
      <c r="L204" s="157">
        <v>46284</v>
      </c>
      <c r="M204" t="s">
        <v>439</v>
      </c>
      <c r="N204" t="s">
        <v>231</v>
      </c>
      <c r="O204" t="s">
        <v>232</v>
      </c>
      <c r="P204">
        <v>1</v>
      </c>
      <c r="Q204" t="s">
        <v>247</v>
      </c>
    </row>
    <row r="205" spans="1:17" s="25" customFormat="1">
      <c r="A205" s="111">
        <v>2.7990668553240741E-2</v>
      </c>
      <c r="B205" t="s">
        <v>97</v>
      </c>
      <c r="C205" t="s">
        <v>477</v>
      </c>
      <c r="D205"/>
      <c r="E205" t="s">
        <v>183</v>
      </c>
      <c r="F205"/>
      <c r="G205" t="s">
        <v>98</v>
      </c>
      <c r="H205"/>
      <c r="I205" s="158">
        <v>46285.955509259256</v>
      </c>
      <c r="J205" t="s">
        <v>490</v>
      </c>
      <c r="K205" t="s">
        <v>444</v>
      </c>
      <c r="L205" s="157">
        <v>46284</v>
      </c>
      <c r="M205" t="s">
        <v>439</v>
      </c>
      <c r="N205" t="s">
        <v>231</v>
      </c>
      <c r="O205" t="s">
        <v>232</v>
      </c>
      <c r="P205">
        <v>1</v>
      </c>
      <c r="Q205" t="s">
        <v>247</v>
      </c>
    </row>
    <row r="206" spans="1:17" s="25" customFormat="1">
      <c r="A206" s="111">
        <v>2.7955900787037035E-2</v>
      </c>
      <c r="B206" t="s">
        <v>97</v>
      </c>
      <c r="C206"/>
      <c r="D206"/>
      <c r="E206" t="s">
        <v>184</v>
      </c>
      <c r="F206"/>
      <c r="G206" t="s">
        <v>98</v>
      </c>
      <c r="H206"/>
      <c r="I206" s="158">
        <v>46285.955381944441</v>
      </c>
      <c r="J206" t="s">
        <v>490</v>
      </c>
      <c r="K206" t="s">
        <v>444</v>
      </c>
      <c r="L206" s="157">
        <v>46284</v>
      </c>
      <c r="M206" t="s">
        <v>439</v>
      </c>
      <c r="N206" t="s">
        <v>231</v>
      </c>
      <c r="O206" t="s">
        <v>232</v>
      </c>
      <c r="P206">
        <v>1</v>
      </c>
      <c r="Q206" t="s">
        <v>247</v>
      </c>
    </row>
    <row r="207" spans="1:17" s="25" customFormat="1">
      <c r="A207" s="111">
        <v>2.7915161168981482E-2</v>
      </c>
      <c r="B207" t="s">
        <v>97</v>
      </c>
      <c r="C207" t="s">
        <v>469</v>
      </c>
      <c r="D207"/>
      <c r="E207" t="s">
        <v>462</v>
      </c>
      <c r="F207"/>
      <c r="G207" t="s">
        <v>98</v>
      </c>
      <c r="H207"/>
      <c r="I207" s="158">
        <v>46285.955289351848</v>
      </c>
      <c r="J207" t="s">
        <v>490</v>
      </c>
      <c r="K207" t="s">
        <v>444</v>
      </c>
      <c r="L207" s="157">
        <v>46284</v>
      </c>
      <c r="M207" t="s">
        <v>439</v>
      </c>
      <c r="N207" t="s">
        <v>231</v>
      </c>
      <c r="O207" t="s">
        <v>232</v>
      </c>
      <c r="P207">
        <v>1</v>
      </c>
      <c r="Q207" t="s">
        <v>247</v>
      </c>
    </row>
    <row r="208" spans="1:17" s="25" customFormat="1">
      <c r="A208" s="111">
        <v>2.7857421701388888E-2</v>
      </c>
      <c r="B208" t="s">
        <v>97</v>
      </c>
      <c r="C208" t="s">
        <v>468</v>
      </c>
      <c r="D208"/>
      <c r="E208" t="s">
        <v>111</v>
      </c>
      <c r="F208"/>
      <c r="G208" t="s">
        <v>98</v>
      </c>
      <c r="H208"/>
      <c r="I208" s="158">
        <v>46285.95517361111</v>
      </c>
      <c r="J208" t="s">
        <v>490</v>
      </c>
      <c r="K208" t="s">
        <v>444</v>
      </c>
      <c r="L208" s="157">
        <v>46284</v>
      </c>
      <c r="M208" t="s">
        <v>439</v>
      </c>
      <c r="N208" t="s">
        <v>231</v>
      </c>
      <c r="O208" t="s">
        <v>232</v>
      </c>
      <c r="P208">
        <v>1</v>
      </c>
      <c r="Q208" t="s">
        <v>247</v>
      </c>
    </row>
    <row r="209" spans="1:17" s="25" customFormat="1">
      <c r="A209" s="111">
        <v>2.7753771087962963E-2</v>
      </c>
      <c r="B209" t="s">
        <v>97</v>
      </c>
      <c r="C209"/>
      <c r="D209"/>
      <c r="E209" t="s">
        <v>104</v>
      </c>
      <c r="F209"/>
      <c r="G209" t="s">
        <v>98</v>
      </c>
      <c r="H209"/>
      <c r="I209" s="158">
        <v>46285.954988425925</v>
      </c>
      <c r="J209" t="s">
        <v>490</v>
      </c>
      <c r="K209" t="s">
        <v>444</v>
      </c>
      <c r="L209" s="157">
        <v>46284</v>
      </c>
      <c r="M209" t="s">
        <v>439</v>
      </c>
      <c r="N209" t="s">
        <v>231</v>
      </c>
      <c r="O209" t="s">
        <v>232</v>
      </c>
      <c r="P209">
        <v>1</v>
      </c>
      <c r="Q209" t="s">
        <v>247</v>
      </c>
    </row>
    <row r="210" spans="1:17" s="25" customFormat="1">
      <c r="A210" s="111">
        <v>2.7429195567129631E-2</v>
      </c>
      <c r="B210" t="s">
        <v>97</v>
      </c>
      <c r="C210"/>
      <c r="D210"/>
      <c r="E210" t="s">
        <v>87</v>
      </c>
      <c r="F210"/>
      <c r="G210" t="s">
        <v>164</v>
      </c>
      <c r="H210"/>
      <c r="I210" s="158">
        <v>46285.954837962963</v>
      </c>
      <c r="J210" t="s">
        <v>490</v>
      </c>
      <c r="K210" t="s">
        <v>444</v>
      </c>
      <c r="L210" s="157">
        <v>46284</v>
      </c>
      <c r="M210" t="s">
        <v>439</v>
      </c>
      <c r="N210" t="s">
        <v>231</v>
      </c>
      <c r="O210" t="s">
        <v>232</v>
      </c>
      <c r="P210">
        <v>1</v>
      </c>
      <c r="Q210" t="s">
        <v>247</v>
      </c>
    </row>
    <row r="211" spans="1:17" s="25" customFormat="1">
      <c r="A211" s="111">
        <v>2.7392385150462963E-2</v>
      </c>
      <c r="B211" t="s">
        <v>97</v>
      </c>
      <c r="C211"/>
      <c r="D211"/>
      <c r="E211" t="s">
        <v>184</v>
      </c>
      <c r="F211"/>
      <c r="G211" t="s">
        <v>164</v>
      </c>
      <c r="H211"/>
      <c r="I211" s="158">
        <v>46285.954780092594</v>
      </c>
      <c r="J211" t="s">
        <v>490</v>
      </c>
      <c r="K211" t="s">
        <v>444</v>
      </c>
      <c r="L211" s="157">
        <v>46284</v>
      </c>
      <c r="M211" t="s">
        <v>439</v>
      </c>
      <c r="N211" t="s">
        <v>231</v>
      </c>
      <c r="O211" t="s">
        <v>232</v>
      </c>
      <c r="P211">
        <v>1</v>
      </c>
      <c r="Q211" t="s">
        <v>247</v>
      </c>
    </row>
    <row r="212" spans="1:17" s="25" customFormat="1">
      <c r="A212" s="111">
        <v>2.7349107905092592E-2</v>
      </c>
      <c r="B212" t="s">
        <v>97</v>
      </c>
      <c r="C212"/>
      <c r="D212"/>
      <c r="E212" t="s">
        <v>285</v>
      </c>
      <c r="F212"/>
      <c r="G212" t="s">
        <v>164</v>
      </c>
      <c r="H212"/>
      <c r="I212" s="158">
        <v>46285.954699074071</v>
      </c>
      <c r="J212" t="s">
        <v>490</v>
      </c>
      <c r="K212" t="s">
        <v>444</v>
      </c>
      <c r="L212" s="157">
        <v>46284</v>
      </c>
      <c r="M212" t="s">
        <v>439</v>
      </c>
      <c r="N212" t="s">
        <v>231</v>
      </c>
      <c r="O212" t="s">
        <v>232</v>
      </c>
      <c r="P212">
        <v>1</v>
      </c>
      <c r="Q212" t="s">
        <v>247</v>
      </c>
    </row>
    <row r="213" spans="1:17" s="25" customFormat="1">
      <c r="A213" s="111">
        <v>2.7226130659722222E-2</v>
      </c>
      <c r="B213" t="s">
        <v>97</v>
      </c>
      <c r="C213"/>
      <c r="D213"/>
      <c r="E213" t="s">
        <v>105</v>
      </c>
      <c r="F213"/>
      <c r="G213" t="s">
        <v>164</v>
      </c>
      <c r="H213"/>
      <c r="I213" s="158">
        <v>46285.954641203702</v>
      </c>
      <c r="J213" t="s">
        <v>490</v>
      </c>
      <c r="K213" t="s">
        <v>444</v>
      </c>
      <c r="L213" s="157">
        <v>46284</v>
      </c>
      <c r="M213" t="s">
        <v>439</v>
      </c>
      <c r="N213" t="s">
        <v>231</v>
      </c>
      <c r="O213" t="s">
        <v>232</v>
      </c>
      <c r="P213">
        <v>1</v>
      </c>
      <c r="Q213" t="s">
        <v>247</v>
      </c>
    </row>
    <row r="214" spans="1:17" s="25" customFormat="1">
      <c r="A214" s="111">
        <v>2.6775663807870369E-2</v>
      </c>
      <c r="B214" t="s">
        <v>97</v>
      </c>
      <c r="C214"/>
      <c r="D214"/>
      <c r="E214" t="s">
        <v>87</v>
      </c>
      <c r="F214"/>
      <c r="G214" t="s">
        <v>164</v>
      </c>
      <c r="H214"/>
      <c r="I214" s="158">
        <v>46285.95449074074</v>
      </c>
      <c r="J214" t="s">
        <v>490</v>
      </c>
      <c r="K214" t="s">
        <v>444</v>
      </c>
      <c r="L214" s="157">
        <v>46284</v>
      </c>
      <c r="M214" t="s">
        <v>439</v>
      </c>
      <c r="N214" t="s">
        <v>231</v>
      </c>
      <c r="O214" t="s">
        <v>232</v>
      </c>
      <c r="P214">
        <v>1</v>
      </c>
      <c r="Q214" t="s">
        <v>247</v>
      </c>
    </row>
    <row r="215" spans="1:17" s="25" customFormat="1">
      <c r="A215" s="111">
        <v>2.6749074386574073E-2</v>
      </c>
      <c r="B215" t="s">
        <v>97</v>
      </c>
      <c r="C215" t="s">
        <v>475</v>
      </c>
      <c r="D215"/>
      <c r="E215" t="s">
        <v>183</v>
      </c>
      <c r="F215"/>
      <c r="G215" t="s">
        <v>98</v>
      </c>
      <c r="H215" t="s">
        <v>514</v>
      </c>
      <c r="I215" s="158">
        <v>46285.953969907408</v>
      </c>
      <c r="J215" t="s">
        <v>490</v>
      </c>
      <c r="K215" t="s">
        <v>444</v>
      </c>
      <c r="L215" s="157">
        <v>46284</v>
      </c>
      <c r="M215" t="s">
        <v>439</v>
      </c>
      <c r="N215" t="s">
        <v>231</v>
      </c>
      <c r="O215" t="s">
        <v>232</v>
      </c>
      <c r="P215">
        <v>1</v>
      </c>
      <c r="Q215" t="s">
        <v>247</v>
      </c>
    </row>
    <row r="216" spans="1:17" s="25" customFormat="1">
      <c r="A216" s="111">
        <v>2.6704646238425923E-2</v>
      </c>
      <c r="B216" t="s">
        <v>97</v>
      </c>
      <c r="C216"/>
      <c r="D216"/>
      <c r="E216" t="s">
        <v>186</v>
      </c>
      <c r="F216"/>
      <c r="G216" t="s">
        <v>98</v>
      </c>
      <c r="H216"/>
      <c r="I216" s="158">
        <v>46285.953796296293</v>
      </c>
      <c r="J216" t="s">
        <v>490</v>
      </c>
      <c r="K216" t="s">
        <v>444</v>
      </c>
      <c r="L216" s="157">
        <v>46284</v>
      </c>
      <c r="M216" t="s">
        <v>439</v>
      </c>
      <c r="N216" t="s">
        <v>231</v>
      </c>
      <c r="O216" t="s">
        <v>232</v>
      </c>
      <c r="P216">
        <v>1</v>
      </c>
      <c r="Q216" t="s">
        <v>247</v>
      </c>
    </row>
    <row r="217" spans="1:17" s="25" customFormat="1">
      <c r="A217" s="111">
        <v>2.6670835243055555E-2</v>
      </c>
      <c r="B217" t="s">
        <v>97</v>
      </c>
      <c r="C217"/>
      <c r="D217"/>
      <c r="E217" t="s">
        <v>184</v>
      </c>
      <c r="F217"/>
      <c r="G217" t="s">
        <v>164</v>
      </c>
      <c r="H217"/>
      <c r="I217" s="158">
        <v>46285.953761574077</v>
      </c>
      <c r="J217" t="s">
        <v>490</v>
      </c>
      <c r="K217" t="s">
        <v>444</v>
      </c>
      <c r="L217" s="157">
        <v>46284</v>
      </c>
      <c r="M217" t="s">
        <v>439</v>
      </c>
      <c r="N217" t="s">
        <v>231</v>
      </c>
      <c r="O217" t="s">
        <v>232</v>
      </c>
      <c r="P217">
        <v>1</v>
      </c>
      <c r="Q217" t="s">
        <v>247</v>
      </c>
    </row>
    <row r="218" spans="1:17" s="25" customFormat="1">
      <c r="A218" s="111">
        <v>2.6622342256944445E-2</v>
      </c>
      <c r="B218" t="s">
        <v>97</v>
      </c>
      <c r="C218"/>
      <c r="D218"/>
      <c r="E218" t="s">
        <v>188</v>
      </c>
      <c r="F218"/>
      <c r="G218" t="s">
        <v>164</v>
      </c>
      <c r="H218"/>
      <c r="I218" s="158">
        <v>46285.953703703701</v>
      </c>
      <c r="J218" t="s">
        <v>490</v>
      </c>
      <c r="K218" t="s">
        <v>444</v>
      </c>
      <c r="L218" s="157">
        <v>46284</v>
      </c>
      <c r="M218" t="s">
        <v>439</v>
      </c>
      <c r="N218" t="s">
        <v>231</v>
      </c>
      <c r="O218" t="s">
        <v>232</v>
      </c>
      <c r="P218">
        <v>1</v>
      </c>
      <c r="Q218" t="s">
        <v>247</v>
      </c>
    </row>
    <row r="219" spans="1:17" s="25" customFormat="1">
      <c r="A219" s="111">
        <v>2.6587785856481482E-2</v>
      </c>
      <c r="B219" t="s">
        <v>97</v>
      </c>
      <c r="C219"/>
      <c r="D219"/>
      <c r="E219" t="s">
        <v>184</v>
      </c>
      <c r="F219"/>
      <c r="G219" t="s">
        <v>98</v>
      </c>
      <c r="H219"/>
      <c r="I219" s="158">
        <v>46285.953680555554</v>
      </c>
      <c r="J219" t="s">
        <v>490</v>
      </c>
      <c r="K219" t="s">
        <v>444</v>
      </c>
      <c r="L219" s="157">
        <v>46284</v>
      </c>
      <c r="M219" t="s">
        <v>439</v>
      </c>
      <c r="N219" t="s">
        <v>231</v>
      </c>
      <c r="O219" t="s">
        <v>232</v>
      </c>
      <c r="P219">
        <v>1</v>
      </c>
      <c r="Q219" t="s">
        <v>247</v>
      </c>
    </row>
    <row r="220" spans="1:17" s="25" customFormat="1">
      <c r="A220" s="111">
        <v>2.6554004016203701E-2</v>
      </c>
      <c r="B220" t="s">
        <v>97</v>
      </c>
      <c r="C220"/>
      <c r="D220"/>
      <c r="E220" t="s">
        <v>186</v>
      </c>
      <c r="F220"/>
      <c r="G220" t="s">
        <v>98</v>
      </c>
      <c r="H220"/>
      <c r="I220" s="158">
        <v>46285.953645833331</v>
      </c>
      <c r="J220" t="s">
        <v>490</v>
      </c>
      <c r="K220" t="s">
        <v>444</v>
      </c>
      <c r="L220" s="157">
        <v>46284</v>
      </c>
      <c r="M220" t="s">
        <v>439</v>
      </c>
      <c r="N220" t="s">
        <v>231</v>
      </c>
      <c r="O220" t="s">
        <v>232</v>
      </c>
      <c r="P220">
        <v>1</v>
      </c>
      <c r="Q220" t="s">
        <v>247</v>
      </c>
    </row>
    <row r="221" spans="1:17" s="25" customFormat="1">
      <c r="A221" s="111">
        <v>2.6526360798611114E-2</v>
      </c>
      <c r="B221" t="s">
        <v>97</v>
      </c>
      <c r="C221"/>
      <c r="D221"/>
      <c r="E221" t="s">
        <v>184</v>
      </c>
      <c r="F221"/>
      <c r="G221" t="s">
        <v>164</v>
      </c>
      <c r="H221"/>
      <c r="I221" s="158">
        <v>46285.953611111108</v>
      </c>
      <c r="J221" t="s">
        <v>490</v>
      </c>
      <c r="K221" t="s">
        <v>444</v>
      </c>
      <c r="L221" s="157">
        <v>46284</v>
      </c>
      <c r="M221" t="s">
        <v>439</v>
      </c>
      <c r="N221" t="s">
        <v>231</v>
      </c>
      <c r="O221" t="s">
        <v>232</v>
      </c>
      <c r="P221">
        <v>1</v>
      </c>
      <c r="Q221" t="s">
        <v>247</v>
      </c>
    </row>
    <row r="222" spans="1:17" s="25" customFormat="1">
      <c r="A222" s="111">
        <v>2.6338797708333334E-2</v>
      </c>
      <c r="B222" t="s">
        <v>97</v>
      </c>
      <c r="C222" t="s">
        <v>480</v>
      </c>
      <c r="D222"/>
      <c r="E222" t="s">
        <v>58</v>
      </c>
      <c r="F222"/>
      <c r="G222" t="s">
        <v>164</v>
      </c>
      <c r="H222"/>
      <c r="I222" s="158">
        <v>46285.953414351854</v>
      </c>
      <c r="J222" t="s">
        <v>490</v>
      </c>
      <c r="K222" t="s">
        <v>444</v>
      </c>
      <c r="L222" s="157">
        <v>46284</v>
      </c>
      <c r="M222" t="s">
        <v>439</v>
      </c>
      <c r="N222" t="s">
        <v>231</v>
      </c>
      <c r="O222" t="s">
        <v>232</v>
      </c>
      <c r="P222">
        <v>1</v>
      </c>
      <c r="Q222" t="s">
        <v>247</v>
      </c>
    </row>
    <row r="223" spans="1:17" s="25" customFormat="1">
      <c r="A223" s="111">
        <v>2.6292244571759257E-2</v>
      </c>
      <c r="B223" t="s">
        <v>97</v>
      </c>
      <c r="C223"/>
      <c r="D223"/>
      <c r="E223" t="s">
        <v>285</v>
      </c>
      <c r="F223"/>
      <c r="G223" t="s">
        <v>164</v>
      </c>
      <c r="H223"/>
      <c r="I223" s="158">
        <v>46285.953287037039</v>
      </c>
      <c r="J223" t="s">
        <v>490</v>
      </c>
      <c r="K223" t="s">
        <v>444</v>
      </c>
      <c r="L223" s="157">
        <v>46284</v>
      </c>
      <c r="M223" t="s">
        <v>439</v>
      </c>
      <c r="N223" t="s">
        <v>231</v>
      </c>
      <c r="O223" t="s">
        <v>232</v>
      </c>
      <c r="P223">
        <v>1</v>
      </c>
      <c r="Q223" t="s">
        <v>247</v>
      </c>
    </row>
    <row r="224" spans="1:17" s="25" customFormat="1">
      <c r="A224" s="111">
        <v>2.6083722488425928E-2</v>
      </c>
      <c r="B224" t="s">
        <v>97</v>
      </c>
      <c r="C224"/>
      <c r="D224"/>
      <c r="E224" t="s">
        <v>105</v>
      </c>
      <c r="F224"/>
      <c r="G224" t="s">
        <v>164</v>
      </c>
      <c r="H224"/>
      <c r="I224" s="158">
        <v>46285.953159722223</v>
      </c>
      <c r="J224" t="s">
        <v>490</v>
      </c>
      <c r="K224" t="s">
        <v>444</v>
      </c>
      <c r="L224" s="157">
        <v>46284</v>
      </c>
      <c r="M224" t="s">
        <v>439</v>
      </c>
      <c r="N224" t="s">
        <v>231</v>
      </c>
      <c r="O224" t="s">
        <v>232</v>
      </c>
      <c r="P224">
        <v>1</v>
      </c>
      <c r="Q224" t="s">
        <v>247</v>
      </c>
    </row>
    <row r="225" spans="1:17" s="25" customFormat="1">
      <c r="A225" s="111">
        <v>2.5824098124999997E-2</v>
      </c>
      <c r="B225" t="s">
        <v>97</v>
      </c>
      <c r="C225"/>
      <c r="D225"/>
      <c r="E225" t="s">
        <v>87</v>
      </c>
      <c r="F225"/>
      <c r="G225" t="s">
        <v>164</v>
      </c>
      <c r="H225"/>
      <c r="I225" s="158">
        <v>46285.9530787037</v>
      </c>
      <c r="J225" t="s">
        <v>490</v>
      </c>
      <c r="K225" t="s">
        <v>444</v>
      </c>
      <c r="L225" s="157">
        <v>46284</v>
      </c>
      <c r="M225" t="s">
        <v>439</v>
      </c>
      <c r="N225" t="s">
        <v>231</v>
      </c>
      <c r="O225" t="s">
        <v>232</v>
      </c>
      <c r="P225">
        <v>1</v>
      </c>
      <c r="Q225" t="s">
        <v>247</v>
      </c>
    </row>
    <row r="226" spans="1:17" s="25" customFormat="1">
      <c r="A226" s="111">
        <v>2.5790196423611109E-2</v>
      </c>
      <c r="B226" t="s">
        <v>97</v>
      </c>
      <c r="C226" t="s">
        <v>82</v>
      </c>
      <c r="D226"/>
      <c r="E226" t="s">
        <v>183</v>
      </c>
      <c r="F226"/>
      <c r="G226" t="s">
        <v>98</v>
      </c>
      <c r="H226"/>
      <c r="I226" s="158">
        <v>46285.953067129631</v>
      </c>
      <c r="J226" t="s">
        <v>490</v>
      </c>
      <c r="K226" t="s">
        <v>444</v>
      </c>
      <c r="L226" s="157">
        <v>46284</v>
      </c>
      <c r="M226" t="s">
        <v>439</v>
      </c>
      <c r="N226" t="s">
        <v>231</v>
      </c>
      <c r="O226" t="s">
        <v>232</v>
      </c>
      <c r="P226">
        <v>1</v>
      </c>
      <c r="Q226" t="s">
        <v>247</v>
      </c>
    </row>
    <row r="227" spans="1:17" s="25" customFormat="1">
      <c r="A227" s="111">
        <v>2.5771758333333335E-2</v>
      </c>
      <c r="B227" t="s">
        <v>97</v>
      </c>
      <c r="C227"/>
      <c r="D227"/>
      <c r="E227" t="s">
        <v>186</v>
      </c>
      <c r="F227"/>
      <c r="G227" t="s">
        <v>98</v>
      </c>
      <c r="H227"/>
      <c r="I227" s="158">
        <v>46285.953020833331</v>
      </c>
      <c r="J227" t="s">
        <v>490</v>
      </c>
      <c r="K227" t="s">
        <v>444</v>
      </c>
      <c r="L227" s="157">
        <v>46284</v>
      </c>
      <c r="M227" t="s">
        <v>439</v>
      </c>
      <c r="N227" t="s">
        <v>231</v>
      </c>
      <c r="O227" t="s">
        <v>232</v>
      </c>
      <c r="P227">
        <v>1</v>
      </c>
      <c r="Q227" t="s">
        <v>247</v>
      </c>
    </row>
    <row r="228" spans="1:17" s="25" customFormat="1">
      <c r="A228" s="111">
        <v>2.5722610543981481E-2</v>
      </c>
      <c r="B228" t="s">
        <v>97</v>
      </c>
      <c r="C228"/>
      <c r="D228"/>
      <c r="E228" t="s">
        <v>184</v>
      </c>
      <c r="F228"/>
      <c r="G228" t="s">
        <v>164</v>
      </c>
      <c r="H228"/>
      <c r="I228" s="158">
        <v>46285.952974537038</v>
      </c>
      <c r="J228" t="s">
        <v>490</v>
      </c>
      <c r="K228" t="s">
        <v>444</v>
      </c>
      <c r="L228" s="157">
        <v>46284</v>
      </c>
      <c r="M228" t="s">
        <v>439</v>
      </c>
      <c r="N228" t="s">
        <v>231</v>
      </c>
      <c r="O228" t="s">
        <v>232</v>
      </c>
      <c r="P228">
        <v>1</v>
      </c>
      <c r="Q228" t="s">
        <v>247</v>
      </c>
    </row>
    <row r="229" spans="1:17" s="25" customFormat="1">
      <c r="A229" s="111">
        <v>2.5649707708333334E-2</v>
      </c>
      <c r="B229" t="s">
        <v>97</v>
      </c>
      <c r="C229"/>
      <c r="D229"/>
      <c r="E229" t="s">
        <v>285</v>
      </c>
      <c r="F229"/>
      <c r="G229" t="s">
        <v>164</v>
      </c>
      <c r="H229"/>
      <c r="I229" s="158">
        <v>46285.952893518515</v>
      </c>
      <c r="J229" t="s">
        <v>490</v>
      </c>
      <c r="K229" t="s">
        <v>444</v>
      </c>
      <c r="L229" s="157">
        <v>46284</v>
      </c>
      <c r="M229" t="s">
        <v>439</v>
      </c>
      <c r="N229" t="s">
        <v>231</v>
      </c>
      <c r="O229" t="s">
        <v>232</v>
      </c>
      <c r="P229">
        <v>1</v>
      </c>
      <c r="Q229" t="s">
        <v>247</v>
      </c>
    </row>
    <row r="230" spans="1:17" s="25" customFormat="1">
      <c r="A230" s="111">
        <v>2.5446166712962962E-2</v>
      </c>
      <c r="B230" t="s">
        <v>97</v>
      </c>
      <c r="C230"/>
      <c r="D230"/>
      <c r="E230" t="s">
        <v>105</v>
      </c>
      <c r="F230"/>
      <c r="G230" t="s">
        <v>164</v>
      </c>
      <c r="H230"/>
      <c r="I230" s="158">
        <v>46285.9528125</v>
      </c>
      <c r="J230" t="s">
        <v>490</v>
      </c>
      <c r="K230" t="s">
        <v>444</v>
      </c>
      <c r="L230" s="157">
        <v>46284</v>
      </c>
      <c r="M230" t="s">
        <v>439</v>
      </c>
      <c r="N230" t="s">
        <v>231</v>
      </c>
      <c r="O230" t="s">
        <v>232</v>
      </c>
      <c r="P230">
        <v>1</v>
      </c>
      <c r="Q230" t="s">
        <v>247</v>
      </c>
    </row>
    <row r="231" spans="1:17" s="25" customFormat="1">
      <c r="A231" s="111">
        <v>2.5198196157407406E-2</v>
      </c>
      <c r="B231" t="s">
        <v>97</v>
      </c>
      <c r="C231" t="s">
        <v>474</v>
      </c>
      <c r="D231"/>
      <c r="E231" t="s">
        <v>183</v>
      </c>
      <c r="F231"/>
      <c r="G231" t="s">
        <v>98</v>
      </c>
      <c r="H231"/>
      <c r="I231" s="158">
        <v>46285.952708333331</v>
      </c>
      <c r="J231" t="s">
        <v>490</v>
      </c>
      <c r="K231" t="s">
        <v>444</v>
      </c>
      <c r="L231" s="157">
        <v>46284</v>
      </c>
      <c r="M231" t="s">
        <v>439</v>
      </c>
      <c r="N231" t="s">
        <v>231</v>
      </c>
      <c r="O231" t="s">
        <v>232</v>
      </c>
      <c r="P231">
        <v>1</v>
      </c>
      <c r="Q231" t="s">
        <v>247</v>
      </c>
    </row>
    <row r="232" spans="1:17" s="25" customFormat="1">
      <c r="A232" s="111">
        <v>2.5157728761574075E-2</v>
      </c>
      <c r="B232" t="s">
        <v>97</v>
      </c>
      <c r="C232" t="s">
        <v>469</v>
      </c>
      <c r="D232"/>
      <c r="E232" t="s">
        <v>112</v>
      </c>
      <c r="F232"/>
      <c r="G232" t="s">
        <v>98</v>
      </c>
      <c r="H232"/>
    </row>
    <row r="233" spans="1:17" s="25" customFormat="1">
      <c r="A233" s="111">
        <v>2.5157728761574075E-2</v>
      </c>
      <c r="B233" t="s">
        <v>97</v>
      </c>
      <c r="C233"/>
      <c r="D233"/>
      <c r="E233" t="s">
        <v>104</v>
      </c>
      <c r="F233"/>
      <c r="G233" t="s">
        <v>98</v>
      </c>
      <c r="H233"/>
      <c r="I233" s="158">
        <v>46285.952592592592</v>
      </c>
      <c r="J233" t="s">
        <v>490</v>
      </c>
      <c r="K233" t="s">
        <v>444</v>
      </c>
      <c r="L233" s="157">
        <v>46284</v>
      </c>
      <c r="M233" t="s">
        <v>439</v>
      </c>
      <c r="N233" t="s">
        <v>231</v>
      </c>
      <c r="O233" t="s">
        <v>232</v>
      </c>
      <c r="P233">
        <v>1</v>
      </c>
      <c r="Q233" t="s">
        <v>247</v>
      </c>
    </row>
    <row r="234" spans="1:17" s="25" customFormat="1">
      <c r="A234" s="111">
        <v>2.4796915567129631E-2</v>
      </c>
      <c r="B234" t="s">
        <v>97</v>
      </c>
      <c r="C234"/>
      <c r="D234"/>
      <c r="E234" t="s">
        <v>87</v>
      </c>
      <c r="F234"/>
      <c r="G234" t="s">
        <v>164</v>
      </c>
      <c r="H234"/>
      <c r="I234" s="158">
        <v>46285.950752314813</v>
      </c>
      <c r="J234" t="s">
        <v>490</v>
      </c>
      <c r="K234" t="s">
        <v>444</v>
      </c>
      <c r="L234" s="157">
        <v>46284</v>
      </c>
      <c r="M234" t="s">
        <v>439</v>
      </c>
      <c r="N234" t="s">
        <v>231</v>
      </c>
      <c r="O234" t="s">
        <v>232</v>
      </c>
      <c r="P234">
        <v>1</v>
      </c>
      <c r="Q234" t="s">
        <v>247</v>
      </c>
    </row>
    <row r="235" spans="1:17" s="25" customFormat="1">
      <c r="A235" s="111">
        <v>2.4745145335648148E-2</v>
      </c>
      <c r="B235" t="s">
        <v>97</v>
      </c>
      <c r="C235"/>
      <c r="D235"/>
      <c r="E235" t="s">
        <v>184</v>
      </c>
      <c r="F235"/>
      <c r="G235" t="s">
        <v>164</v>
      </c>
      <c r="H235"/>
      <c r="I235" s="158">
        <v>46285.950682870367</v>
      </c>
      <c r="J235" t="s">
        <v>490</v>
      </c>
      <c r="K235" t="s">
        <v>444</v>
      </c>
      <c r="L235" s="157">
        <v>46284</v>
      </c>
      <c r="M235" t="s">
        <v>439</v>
      </c>
      <c r="N235" t="s">
        <v>231</v>
      </c>
      <c r="O235" t="s">
        <v>232</v>
      </c>
      <c r="P235">
        <v>1</v>
      </c>
      <c r="Q235" t="s">
        <v>247</v>
      </c>
    </row>
    <row r="236" spans="1:17" s="25" customFormat="1">
      <c r="A236" s="111">
        <v>2.471136033564815E-2</v>
      </c>
      <c r="B236" t="s">
        <v>97</v>
      </c>
      <c r="C236"/>
      <c r="D236"/>
      <c r="E236" t="s">
        <v>188</v>
      </c>
      <c r="F236"/>
      <c r="G236" t="s">
        <v>164</v>
      </c>
      <c r="H236"/>
      <c r="I236" s="158">
        <v>46285.950648148151</v>
      </c>
      <c r="J236" t="s">
        <v>490</v>
      </c>
      <c r="K236" t="s">
        <v>444</v>
      </c>
      <c r="L236" s="157">
        <v>46284</v>
      </c>
      <c r="M236" t="s">
        <v>439</v>
      </c>
      <c r="N236" t="s">
        <v>231</v>
      </c>
      <c r="O236" t="s">
        <v>232</v>
      </c>
      <c r="P236">
        <v>1</v>
      </c>
      <c r="Q236" t="s">
        <v>247</v>
      </c>
    </row>
    <row r="237" spans="1:17" s="25" customFormat="1">
      <c r="A237" s="111">
        <v>2.4683724062499999E-2</v>
      </c>
      <c r="B237" t="s">
        <v>97</v>
      </c>
      <c r="C237"/>
      <c r="D237"/>
      <c r="E237" t="s">
        <v>184</v>
      </c>
      <c r="F237"/>
      <c r="G237" t="s">
        <v>98</v>
      </c>
      <c r="H237"/>
      <c r="I237" s="158">
        <v>46285.950613425928</v>
      </c>
      <c r="J237" t="s">
        <v>490</v>
      </c>
      <c r="K237" t="s">
        <v>444</v>
      </c>
      <c r="L237" s="157">
        <v>46284</v>
      </c>
      <c r="M237" t="s">
        <v>439</v>
      </c>
      <c r="N237" t="s">
        <v>231</v>
      </c>
      <c r="O237" t="s">
        <v>232</v>
      </c>
      <c r="P237">
        <v>1</v>
      </c>
      <c r="Q237" t="s">
        <v>247</v>
      </c>
    </row>
    <row r="238" spans="1:17" s="25" customFormat="1">
      <c r="A238" s="111">
        <v>2.4640677164351851E-2</v>
      </c>
      <c r="B238" t="s">
        <v>97</v>
      </c>
      <c r="C238"/>
      <c r="D238"/>
      <c r="E238" t="s">
        <v>184</v>
      </c>
      <c r="F238"/>
      <c r="G238" t="s">
        <v>98</v>
      </c>
      <c r="H238"/>
      <c r="I238" s="158">
        <v>46285.950555555559</v>
      </c>
      <c r="J238" t="s">
        <v>490</v>
      </c>
      <c r="K238" t="s">
        <v>444</v>
      </c>
      <c r="L238" s="157">
        <v>46284</v>
      </c>
      <c r="M238" t="s">
        <v>439</v>
      </c>
      <c r="N238" t="s">
        <v>231</v>
      </c>
      <c r="O238" t="s">
        <v>232</v>
      </c>
      <c r="P238">
        <v>1</v>
      </c>
      <c r="Q238" t="s">
        <v>247</v>
      </c>
    </row>
    <row r="239" spans="1:17" s="25" customFormat="1">
      <c r="A239" s="111">
        <v>2.4536593032407409E-2</v>
      </c>
      <c r="B239" t="s">
        <v>97</v>
      </c>
      <c r="C239" t="s">
        <v>475</v>
      </c>
      <c r="D239"/>
      <c r="E239" t="s">
        <v>463</v>
      </c>
      <c r="F239"/>
      <c r="G239" t="s">
        <v>98</v>
      </c>
      <c r="H239"/>
      <c r="I239" s="158">
        <v>46285.95040509259</v>
      </c>
      <c r="J239" t="s">
        <v>490</v>
      </c>
      <c r="K239" t="s">
        <v>444</v>
      </c>
      <c r="L239" s="157">
        <v>46284</v>
      </c>
      <c r="M239" t="s">
        <v>439</v>
      </c>
      <c r="N239" t="s">
        <v>231</v>
      </c>
      <c r="O239" t="s">
        <v>232</v>
      </c>
      <c r="P239">
        <v>1</v>
      </c>
      <c r="Q239" t="s">
        <v>247</v>
      </c>
    </row>
    <row r="240" spans="1:17" s="25" customFormat="1">
      <c r="A240" s="111">
        <v>2.4513383171296296E-2</v>
      </c>
      <c r="B240" t="s">
        <v>97</v>
      </c>
      <c r="C240"/>
      <c r="D240"/>
      <c r="E240" t="s">
        <v>186</v>
      </c>
      <c r="F240"/>
      <c r="G240" t="s">
        <v>98</v>
      </c>
      <c r="H240"/>
      <c r="I240" s="158">
        <v>46285.950277777774</v>
      </c>
      <c r="J240" t="s">
        <v>490</v>
      </c>
      <c r="K240" t="s">
        <v>444</v>
      </c>
      <c r="L240" s="157">
        <v>46284</v>
      </c>
      <c r="M240" t="s">
        <v>439</v>
      </c>
      <c r="N240" t="s">
        <v>231</v>
      </c>
      <c r="O240" t="s">
        <v>232</v>
      </c>
      <c r="P240">
        <v>1</v>
      </c>
      <c r="Q240" t="s">
        <v>247</v>
      </c>
    </row>
    <row r="241" spans="1:17" s="25" customFormat="1">
      <c r="A241" s="111">
        <v>2.4468771539351852E-2</v>
      </c>
      <c r="B241" t="s">
        <v>97</v>
      </c>
      <c r="C241"/>
      <c r="D241"/>
      <c r="E241" t="s">
        <v>100</v>
      </c>
      <c r="F241"/>
      <c r="G241" t="s">
        <v>164</v>
      </c>
      <c r="H241"/>
      <c r="I241" s="158">
        <v>46285.949502314812</v>
      </c>
      <c r="J241" t="s">
        <v>490</v>
      </c>
      <c r="K241" t="s">
        <v>444</v>
      </c>
      <c r="L241" s="157">
        <v>46284</v>
      </c>
      <c r="M241" t="s">
        <v>439</v>
      </c>
      <c r="N241" t="s">
        <v>231</v>
      </c>
      <c r="O241" t="s">
        <v>232</v>
      </c>
      <c r="P241">
        <v>1</v>
      </c>
      <c r="Q241" t="s">
        <v>247</v>
      </c>
    </row>
    <row r="242" spans="1:17" s="25" customFormat="1">
      <c r="A242" s="111">
        <v>2.3298561192129631E-2</v>
      </c>
      <c r="B242" t="s">
        <v>97</v>
      </c>
      <c r="C242"/>
      <c r="D242"/>
      <c r="E242" t="s">
        <v>87</v>
      </c>
      <c r="F242"/>
      <c r="G242" t="s">
        <v>98</v>
      </c>
      <c r="H242"/>
      <c r="I242" s="158">
        <v>46285.949166666665</v>
      </c>
      <c r="J242" t="s">
        <v>490</v>
      </c>
      <c r="K242" t="s">
        <v>444</v>
      </c>
      <c r="L242" s="157">
        <v>46284</v>
      </c>
      <c r="M242" t="s">
        <v>439</v>
      </c>
      <c r="N242" t="s">
        <v>231</v>
      </c>
      <c r="O242" t="s">
        <v>232</v>
      </c>
      <c r="P242">
        <v>1</v>
      </c>
      <c r="Q242" t="s">
        <v>247</v>
      </c>
    </row>
    <row r="243" spans="1:17" s="25" customFormat="1">
      <c r="A243" s="111">
        <v>2.3298561192129631E-2</v>
      </c>
      <c r="B243" t="s">
        <v>97</v>
      </c>
      <c r="C243" t="s">
        <v>479</v>
      </c>
      <c r="D243"/>
      <c r="E243" t="s">
        <v>103</v>
      </c>
      <c r="F243"/>
      <c r="G243" t="s">
        <v>98</v>
      </c>
      <c r="H243"/>
      <c r="I243" s="158">
        <v>46285.949166666665</v>
      </c>
      <c r="J243" t="s">
        <v>490</v>
      </c>
      <c r="K243" t="s">
        <v>444</v>
      </c>
      <c r="L243" s="157">
        <v>46284</v>
      </c>
      <c r="M243" t="s">
        <v>439</v>
      </c>
      <c r="N243" t="s">
        <v>231</v>
      </c>
      <c r="O243" t="s">
        <v>232</v>
      </c>
      <c r="P243">
        <v>1</v>
      </c>
      <c r="Q243" t="s">
        <v>247</v>
      </c>
    </row>
    <row r="244" spans="1:17" s="25" customFormat="1">
      <c r="A244" s="111">
        <v>2.3205980462962961E-2</v>
      </c>
      <c r="B244" t="s">
        <v>97</v>
      </c>
      <c r="C244" t="s">
        <v>470</v>
      </c>
      <c r="D244"/>
      <c r="E244" t="s">
        <v>462</v>
      </c>
      <c r="F244"/>
      <c r="G244" t="s">
        <v>98</v>
      </c>
      <c r="H244"/>
      <c r="I244" s="158">
        <v>46285.948750000003</v>
      </c>
      <c r="J244" t="s">
        <v>490</v>
      </c>
      <c r="K244" t="s">
        <v>444</v>
      </c>
      <c r="L244" s="157">
        <v>46284</v>
      </c>
      <c r="M244" t="s">
        <v>439</v>
      </c>
      <c r="N244" t="s">
        <v>231</v>
      </c>
      <c r="O244" t="s">
        <v>232</v>
      </c>
      <c r="P244">
        <v>1</v>
      </c>
      <c r="Q244" t="s">
        <v>247</v>
      </c>
    </row>
    <row r="245" spans="1:17" s="25" customFormat="1">
      <c r="A245" s="111">
        <v>2.3143780046296296E-2</v>
      </c>
      <c r="B245" t="s">
        <v>97</v>
      </c>
      <c r="C245" t="s">
        <v>474</v>
      </c>
      <c r="D245"/>
      <c r="E245" t="s">
        <v>463</v>
      </c>
      <c r="F245"/>
      <c r="G245" t="s">
        <v>98</v>
      </c>
      <c r="H245"/>
      <c r="I245" s="158">
        <v>46285.948182870372</v>
      </c>
      <c r="J245" t="s">
        <v>490</v>
      </c>
      <c r="K245" t="s">
        <v>444</v>
      </c>
      <c r="L245" s="157">
        <v>46284</v>
      </c>
      <c r="M245" t="s">
        <v>439</v>
      </c>
      <c r="N245" t="s">
        <v>231</v>
      </c>
      <c r="O245" t="s">
        <v>232</v>
      </c>
      <c r="P245">
        <v>1</v>
      </c>
      <c r="Q245" t="s">
        <v>247</v>
      </c>
    </row>
    <row r="246" spans="1:17" s="25" customFormat="1">
      <c r="A246" s="111">
        <v>2.3074120543981481E-2</v>
      </c>
      <c r="B246" t="s">
        <v>97</v>
      </c>
      <c r="C246" t="s">
        <v>469</v>
      </c>
      <c r="D246"/>
      <c r="E246" t="s">
        <v>463</v>
      </c>
      <c r="F246"/>
      <c r="G246" t="s">
        <v>98</v>
      </c>
      <c r="H246"/>
      <c r="I246" s="158">
        <v>46285.948078703703</v>
      </c>
      <c r="J246" t="s">
        <v>490</v>
      </c>
      <c r="K246" t="s">
        <v>444</v>
      </c>
      <c r="L246" s="157">
        <v>46284</v>
      </c>
      <c r="M246" t="s">
        <v>439</v>
      </c>
      <c r="N246" t="s">
        <v>231</v>
      </c>
      <c r="O246" t="s">
        <v>232</v>
      </c>
      <c r="P246">
        <v>1</v>
      </c>
      <c r="Q246" t="s">
        <v>247</v>
      </c>
    </row>
    <row r="247" spans="1:17" s="25" customFormat="1">
      <c r="A247" s="111">
        <v>2.2974287141203704E-2</v>
      </c>
      <c r="B247" t="s">
        <v>97</v>
      </c>
      <c r="C247" t="s">
        <v>472</v>
      </c>
      <c r="D247"/>
      <c r="E247" t="s">
        <v>463</v>
      </c>
      <c r="F247"/>
      <c r="G247" t="s">
        <v>98</v>
      </c>
      <c r="H247"/>
      <c r="I247" s="158">
        <v>46285.947847222225</v>
      </c>
      <c r="J247" t="s">
        <v>490</v>
      </c>
      <c r="K247" t="s">
        <v>444</v>
      </c>
      <c r="L247" s="157">
        <v>46284</v>
      </c>
      <c r="M247" t="s">
        <v>439</v>
      </c>
      <c r="N247" t="s">
        <v>231</v>
      </c>
      <c r="O247" t="s">
        <v>232</v>
      </c>
      <c r="P247">
        <v>1</v>
      </c>
      <c r="Q247" t="s">
        <v>247</v>
      </c>
    </row>
    <row r="248" spans="1:17" s="25" customFormat="1">
      <c r="A248" s="111">
        <v>2.2875191770833334E-2</v>
      </c>
      <c r="B248" t="s">
        <v>97</v>
      </c>
      <c r="C248" t="s">
        <v>475</v>
      </c>
      <c r="D248"/>
      <c r="E248" t="s">
        <v>462</v>
      </c>
      <c r="F248"/>
      <c r="G248" t="s">
        <v>98</v>
      </c>
      <c r="H248"/>
      <c r="I248" s="158">
        <v>46285.947476851848</v>
      </c>
      <c r="J248" t="s">
        <v>490</v>
      </c>
      <c r="K248" t="s">
        <v>444</v>
      </c>
      <c r="L248" s="157">
        <v>46284</v>
      </c>
      <c r="M248" t="s">
        <v>439</v>
      </c>
      <c r="N248" t="s">
        <v>231</v>
      </c>
      <c r="O248" t="s">
        <v>232</v>
      </c>
      <c r="P248">
        <v>1</v>
      </c>
      <c r="Q248" t="s">
        <v>247</v>
      </c>
    </row>
    <row r="249" spans="1:17" s="25" customFormat="1">
      <c r="A249" s="111">
        <v>2.2828909270833333E-2</v>
      </c>
      <c r="B249" t="s">
        <v>97</v>
      </c>
      <c r="C249"/>
      <c r="D249"/>
      <c r="E249" t="s">
        <v>101</v>
      </c>
      <c r="F249"/>
      <c r="G249" t="s">
        <v>98</v>
      </c>
      <c r="H249"/>
      <c r="I249" s="158">
        <v>46285.947280092594</v>
      </c>
      <c r="J249" t="s">
        <v>490</v>
      </c>
      <c r="K249" t="s">
        <v>444</v>
      </c>
      <c r="L249" s="157">
        <v>46284</v>
      </c>
      <c r="M249" t="s">
        <v>439</v>
      </c>
      <c r="N249" t="s">
        <v>231</v>
      </c>
      <c r="O249" t="s">
        <v>232</v>
      </c>
      <c r="P249">
        <v>1</v>
      </c>
      <c r="Q249" t="s">
        <v>247</v>
      </c>
    </row>
    <row r="250" spans="1:17" s="25" customFormat="1">
      <c r="A250" s="111">
        <v>2.2141308356481482E-2</v>
      </c>
      <c r="B250" t="s">
        <v>97</v>
      </c>
      <c r="C250"/>
      <c r="D250"/>
      <c r="E250" t="s">
        <v>87</v>
      </c>
      <c r="F250"/>
      <c r="G250" t="s">
        <v>98</v>
      </c>
      <c r="H250"/>
      <c r="I250" s="158">
        <v>46285.94699074074</v>
      </c>
      <c r="J250" t="s">
        <v>490</v>
      </c>
      <c r="K250" t="s">
        <v>444</v>
      </c>
      <c r="L250" s="157">
        <v>46284</v>
      </c>
      <c r="M250" t="s">
        <v>439</v>
      </c>
      <c r="N250" t="s">
        <v>231</v>
      </c>
      <c r="O250" t="s">
        <v>232</v>
      </c>
      <c r="P250">
        <v>1</v>
      </c>
      <c r="Q250" t="s">
        <v>247</v>
      </c>
    </row>
    <row r="251" spans="1:17" s="25" customFormat="1">
      <c r="A251" s="111">
        <v>2.2141308356481482E-2</v>
      </c>
      <c r="B251" t="s">
        <v>97</v>
      </c>
      <c r="C251"/>
      <c r="D251"/>
      <c r="E251" t="s">
        <v>213</v>
      </c>
      <c r="F251" t="s">
        <v>208</v>
      </c>
      <c r="G251" t="s">
        <v>98</v>
      </c>
      <c r="H251"/>
      <c r="I251" s="158">
        <v>46285.94699074074</v>
      </c>
      <c r="J251" t="s">
        <v>490</v>
      </c>
      <c r="K251" t="s">
        <v>444</v>
      </c>
      <c r="L251" s="157">
        <v>46284</v>
      </c>
      <c r="M251" t="s">
        <v>439</v>
      </c>
      <c r="N251" t="s">
        <v>231</v>
      </c>
      <c r="O251" t="s">
        <v>232</v>
      </c>
      <c r="P251">
        <v>1</v>
      </c>
      <c r="Q251" t="s">
        <v>247</v>
      </c>
    </row>
    <row r="252" spans="1:17" s="25" customFormat="1">
      <c r="A252" s="111">
        <v>2.2135056388888887E-2</v>
      </c>
      <c r="B252" t="s">
        <v>97</v>
      </c>
      <c r="C252" t="s">
        <v>478</v>
      </c>
      <c r="D252"/>
      <c r="E252" t="s">
        <v>183</v>
      </c>
      <c r="F252"/>
      <c r="G252" t="s">
        <v>98</v>
      </c>
      <c r="H252"/>
      <c r="I252" s="158">
        <v>46285.946655092594</v>
      </c>
      <c r="J252" t="s">
        <v>490</v>
      </c>
      <c r="K252" t="s">
        <v>444</v>
      </c>
      <c r="L252" s="157">
        <v>46284</v>
      </c>
      <c r="M252" t="s">
        <v>439</v>
      </c>
      <c r="N252" t="s">
        <v>231</v>
      </c>
      <c r="O252" t="s">
        <v>232</v>
      </c>
      <c r="P252">
        <v>1</v>
      </c>
      <c r="Q252" t="s">
        <v>247</v>
      </c>
    </row>
    <row r="253" spans="1:17" s="25" customFormat="1">
      <c r="A253" s="111">
        <v>2.2088610960648149E-2</v>
      </c>
      <c r="B253" t="s">
        <v>97</v>
      </c>
      <c r="C253" t="s">
        <v>472</v>
      </c>
      <c r="D253"/>
      <c r="E253" t="s">
        <v>463</v>
      </c>
      <c r="F253"/>
      <c r="G253" t="s">
        <v>98</v>
      </c>
      <c r="H253"/>
      <c r="I253" s="158">
        <v>46285.946504629632</v>
      </c>
      <c r="J253" t="s">
        <v>490</v>
      </c>
      <c r="K253" t="s">
        <v>444</v>
      </c>
      <c r="L253" s="157">
        <v>46284</v>
      </c>
      <c r="M253" t="s">
        <v>439</v>
      </c>
      <c r="N253" t="s">
        <v>231</v>
      </c>
      <c r="O253" t="s">
        <v>232</v>
      </c>
      <c r="P253">
        <v>1</v>
      </c>
      <c r="Q253" t="s">
        <v>247</v>
      </c>
    </row>
    <row r="254" spans="1:17" s="25" customFormat="1">
      <c r="A254" s="111">
        <v>2.2001679131944445E-2</v>
      </c>
      <c r="B254" t="s">
        <v>97</v>
      </c>
      <c r="C254" t="s">
        <v>482</v>
      </c>
      <c r="D254"/>
      <c r="E254" t="s">
        <v>462</v>
      </c>
      <c r="F254"/>
      <c r="G254" t="s">
        <v>98</v>
      </c>
      <c r="H254"/>
      <c r="I254" s="158">
        <v>46285.946180555555</v>
      </c>
      <c r="J254" t="s">
        <v>490</v>
      </c>
      <c r="K254" t="s">
        <v>444</v>
      </c>
      <c r="L254" s="157">
        <v>46284</v>
      </c>
      <c r="M254" t="s">
        <v>439</v>
      </c>
      <c r="N254" t="s">
        <v>231</v>
      </c>
      <c r="O254" t="s">
        <v>232</v>
      </c>
      <c r="P254">
        <v>1</v>
      </c>
      <c r="Q254" t="s">
        <v>247</v>
      </c>
    </row>
    <row r="255" spans="1:17" s="25" customFormat="1">
      <c r="A255" s="111">
        <v>2.193884579861111E-2</v>
      </c>
      <c r="B255" t="s">
        <v>97</v>
      </c>
      <c r="C255" t="s">
        <v>469</v>
      </c>
      <c r="D255"/>
      <c r="E255" t="s">
        <v>462</v>
      </c>
      <c r="F255"/>
      <c r="G255" t="s">
        <v>98</v>
      </c>
      <c r="H255"/>
      <c r="I255" s="158">
        <v>46285.945636574077</v>
      </c>
      <c r="J255" t="s">
        <v>490</v>
      </c>
      <c r="K255" t="s">
        <v>444</v>
      </c>
      <c r="L255" s="157">
        <v>46284</v>
      </c>
      <c r="M255" t="s">
        <v>439</v>
      </c>
      <c r="N255" t="s">
        <v>231</v>
      </c>
      <c r="O255" t="s">
        <v>232</v>
      </c>
      <c r="P255">
        <v>1</v>
      </c>
      <c r="Q255" t="s">
        <v>247</v>
      </c>
    </row>
    <row r="256" spans="1:17" s="25" customFormat="1">
      <c r="A256" s="111">
        <v>2.1828595810185186E-2</v>
      </c>
      <c r="B256" t="s">
        <v>97</v>
      </c>
      <c r="C256" t="s">
        <v>479</v>
      </c>
      <c r="D256"/>
      <c r="E256" t="s">
        <v>462</v>
      </c>
      <c r="F256"/>
      <c r="G256" t="s">
        <v>98</v>
      </c>
      <c r="H256"/>
      <c r="I256" s="158">
        <v>46285.945324074077</v>
      </c>
      <c r="J256" t="s">
        <v>490</v>
      </c>
      <c r="K256" t="s">
        <v>444</v>
      </c>
      <c r="L256" s="157">
        <v>46284</v>
      </c>
      <c r="M256" t="s">
        <v>439</v>
      </c>
      <c r="N256" t="s">
        <v>231</v>
      </c>
      <c r="O256" t="s">
        <v>232</v>
      </c>
      <c r="P256">
        <v>1</v>
      </c>
      <c r="Q256" t="s">
        <v>247</v>
      </c>
    </row>
    <row r="257" spans="1:17" s="25" customFormat="1">
      <c r="A257" s="111">
        <v>2.1707292673611111E-2</v>
      </c>
      <c r="B257" t="s">
        <v>97</v>
      </c>
      <c r="C257" t="s">
        <v>474</v>
      </c>
      <c r="D257"/>
      <c r="E257" t="s">
        <v>304</v>
      </c>
      <c r="F257"/>
      <c r="G257" t="s">
        <v>98</v>
      </c>
      <c r="H257"/>
      <c r="I257" s="158">
        <v>46285.944988425923</v>
      </c>
      <c r="J257" t="s">
        <v>490</v>
      </c>
      <c r="K257" t="s">
        <v>444</v>
      </c>
      <c r="L257" s="157">
        <v>46284</v>
      </c>
      <c r="M257" t="s">
        <v>439</v>
      </c>
      <c r="N257" t="s">
        <v>231</v>
      </c>
      <c r="O257" t="s">
        <v>232</v>
      </c>
      <c r="P257">
        <v>1</v>
      </c>
      <c r="Q257" t="s">
        <v>247</v>
      </c>
    </row>
    <row r="258" spans="1:17" s="25" customFormat="1">
      <c r="A258" s="111">
        <v>2.1632109641203705E-2</v>
      </c>
      <c r="B258" t="s">
        <v>97</v>
      </c>
      <c r="C258" t="s">
        <v>472</v>
      </c>
      <c r="D258"/>
      <c r="E258" t="s">
        <v>463</v>
      </c>
      <c r="F258"/>
      <c r="G258" t="s">
        <v>98</v>
      </c>
      <c r="H258"/>
      <c r="I258" s="158">
        <v>46285.944791666669</v>
      </c>
      <c r="J258" t="s">
        <v>490</v>
      </c>
      <c r="K258" t="s">
        <v>444</v>
      </c>
      <c r="L258" s="157">
        <v>46284</v>
      </c>
      <c r="M258" t="s">
        <v>439</v>
      </c>
      <c r="N258" t="s">
        <v>231</v>
      </c>
      <c r="O258" t="s">
        <v>232</v>
      </c>
      <c r="P258">
        <v>1</v>
      </c>
      <c r="Q258" t="s">
        <v>247</v>
      </c>
    </row>
    <row r="259" spans="1:17" s="25" customFormat="1">
      <c r="A259" s="111">
        <v>2.1579976666666667E-2</v>
      </c>
      <c r="B259" t="s">
        <v>97</v>
      </c>
      <c r="C259"/>
      <c r="D259"/>
      <c r="E259" t="s">
        <v>101</v>
      </c>
      <c r="F259"/>
      <c r="G259" t="s">
        <v>98</v>
      </c>
      <c r="H259"/>
      <c r="I259" s="158">
        <v>46285.944652777776</v>
      </c>
      <c r="J259" t="s">
        <v>490</v>
      </c>
      <c r="K259" t="s">
        <v>444</v>
      </c>
      <c r="L259" s="157">
        <v>46284</v>
      </c>
      <c r="M259" t="s">
        <v>439</v>
      </c>
      <c r="N259" t="s">
        <v>231</v>
      </c>
      <c r="O259" t="s">
        <v>232</v>
      </c>
      <c r="P259">
        <v>1</v>
      </c>
      <c r="Q259" t="s">
        <v>247</v>
      </c>
    </row>
    <row r="260" spans="1:17" s="25" customFormat="1">
      <c r="A260" s="111">
        <v>2.1341151516203704E-2</v>
      </c>
      <c r="B260" t="s">
        <v>97</v>
      </c>
      <c r="C260"/>
      <c r="D260"/>
      <c r="E260" t="s">
        <v>275</v>
      </c>
      <c r="F260"/>
      <c r="G260" t="s">
        <v>164</v>
      </c>
      <c r="H260"/>
      <c r="I260" s="158">
        <v>46285.944467592592</v>
      </c>
      <c r="J260" t="s">
        <v>490</v>
      </c>
      <c r="K260" t="s">
        <v>444</v>
      </c>
      <c r="L260" s="157">
        <v>46284</v>
      </c>
      <c r="M260" t="s">
        <v>439</v>
      </c>
      <c r="N260" t="s">
        <v>231</v>
      </c>
      <c r="O260" t="s">
        <v>232</v>
      </c>
      <c r="P260">
        <v>1</v>
      </c>
      <c r="Q260" t="s">
        <v>247</v>
      </c>
    </row>
    <row r="261" spans="1:17" s="25" customFormat="1">
      <c r="A261" s="111">
        <v>2.1260116493055554E-2</v>
      </c>
      <c r="B261" t="s">
        <v>97</v>
      </c>
      <c r="C261"/>
      <c r="D261"/>
      <c r="E261" t="s">
        <v>104</v>
      </c>
      <c r="F261"/>
      <c r="G261" t="s">
        <v>164</v>
      </c>
      <c r="H261"/>
      <c r="I261" s="158">
        <v>46285.944328703707</v>
      </c>
      <c r="J261" t="s">
        <v>490</v>
      </c>
      <c r="K261" t="s">
        <v>444</v>
      </c>
      <c r="L261" s="157">
        <v>46284</v>
      </c>
      <c r="M261" t="s">
        <v>439</v>
      </c>
      <c r="N261" t="s">
        <v>231</v>
      </c>
      <c r="O261" t="s">
        <v>232</v>
      </c>
      <c r="P261">
        <v>1</v>
      </c>
      <c r="Q261" t="s">
        <v>247</v>
      </c>
    </row>
    <row r="262" spans="1:17" s="25" customFormat="1">
      <c r="A262" s="111">
        <v>2.0755268854166668E-2</v>
      </c>
      <c r="B262" t="s">
        <v>97</v>
      </c>
      <c r="C262"/>
      <c r="D262"/>
      <c r="E262" t="s">
        <v>87</v>
      </c>
      <c r="F262"/>
      <c r="G262" t="s">
        <v>164</v>
      </c>
      <c r="H262"/>
      <c r="I262" s="158">
        <v>46285.943923611114</v>
      </c>
      <c r="J262" t="s">
        <v>490</v>
      </c>
      <c r="K262" t="s">
        <v>444</v>
      </c>
      <c r="L262" s="157">
        <v>46284</v>
      </c>
      <c r="M262" t="s">
        <v>439</v>
      </c>
      <c r="N262" t="s">
        <v>231</v>
      </c>
      <c r="O262" t="s">
        <v>232</v>
      </c>
      <c r="P262">
        <v>1</v>
      </c>
      <c r="Q262" t="s">
        <v>247</v>
      </c>
    </row>
    <row r="263" spans="1:17" s="25" customFormat="1">
      <c r="A263" s="111">
        <v>2.0755268854166668E-2</v>
      </c>
      <c r="B263" t="s">
        <v>97</v>
      </c>
      <c r="C263" t="s">
        <v>476</v>
      </c>
      <c r="D263" t="s">
        <v>222</v>
      </c>
      <c r="E263" t="s">
        <v>214</v>
      </c>
      <c r="F263" t="s">
        <v>207</v>
      </c>
      <c r="G263" t="s">
        <v>164</v>
      </c>
      <c r="H263"/>
      <c r="I263" s="158">
        <v>46285.943923611114</v>
      </c>
      <c r="J263" t="s">
        <v>490</v>
      </c>
      <c r="K263" t="s">
        <v>444</v>
      </c>
      <c r="L263" s="157">
        <v>46284</v>
      </c>
      <c r="M263" t="s">
        <v>439</v>
      </c>
      <c r="N263" t="s">
        <v>231</v>
      </c>
      <c r="O263" t="s">
        <v>232</v>
      </c>
      <c r="P263">
        <v>1</v>
      </c>
      <c r="Q263" t="s">
        <v>247</v>
      </c>
    </row>
    <row r="264" spans="1:17" s="25" customFormat="1">
      <c r="A264" s="111">
        <v>2.0645263460648149E-2</v>
      </c>
      <c r="B264" t="s">
        <v>97</v>
      </c>
      <c r="C264" t="s">
        <v>473</v>
      </c>
      <c r="D264"/>
      <c r="E264" t="s">
        <v>463</v>
      </c>
      <c r="F264"/>
      <c r="G264" t="s">
        <v>98</v>
      </c>
      <c r="H264"/>
      <c r="I264" s="158">
        <v>46285.943657407406</v>
      </c>
      <c r="J264" t="s">
        <v>490</v>
      </c>
      <c r="K264" t="s">
        <v>444</v>
      </c>
      <c r="L264" s="157">
        <v>46284</v>
      </c>
      <c r="M264" t="s">
        <v>439</v>
      </c>
      <c r="N264" t="s">
        <v>231</v>
      </c>
      <c r="O264" t="s">
        <v>232</v>
      </c>
      <c r="P264">
        <v>1</v>
      </c>
      <c r="Q264" t="s">
        <v>247</v>
      </c>
    </row>
    <row r="265" spans="1:17" s="25" customFormat="1">
      <c r="A265" s="111">
        <v>2.0623176574074076E-2</v>
      </c>
      <c r="B265" t="s">
        <v>97</v>
      </c>
      <c r="C265" t="s">
        <v>474</v>
      </c>
      <c r="D265"/>
      <c r="E265" t="s">
        <v>111</v>
      </c>
      <c r="F265"/>
      <c r="G265" t="s">
        <v>98</v>
      </c>
      <c r="H265"/>
      <c r="I265" s="158">
        <v>46285.943425925929</v>
      </c>
      <c r="J265" t="s">
        <v>490</v>
      </c>
      <c r="K265" t="s">
        <v>444</v>
      </c>
      <c r="L265" s="157">
        <v>46284</v>
      </c>
      <c r="M265" t="s">
        <v>439</v>
      </c>
      <c r="N265" t="s">
        <v>231</v>
      </c>
      <c r="O265" t="s">
        <v>232</v>
      </c>
      <c r="P265">
        <v>1</v>
      </c>
      <c r="Q265" t="s">
        <v>247</v>
      </c>
    </row>
    <row r="266" spans="1:17" s="25" customFormat="1">
      <c r="A266" s="111">
        <v>2.0484943055555555E-2</v>
      </c>
      <c r="B266" t="s">
        <v>97</v>
      </c>
      <c r="C266"/>
      <c r="D266"/>
      <c r="E266" t="s">
        <v>104</v>
      </c>
      <c r="F266"/>
      <c r="G266" t="s">
        <v>98</v>
      </c>
      <c r="H266"/>
      <c r="I266" s="158">
        <v>46285.942997685182</v>
      </c>
      <c r="J266" t="s">
        <v>490</v>
      </c>
      <c r="K266" t="s">
        <v>444</v>
      </c>
      <c r="L266" s="157">
        <v>46284</v>
      </c>
      <c r="M266" t="s">
        <v>439</v>
      </c>
      <c r="N266" t="s">
        <v>231</v>
      </c>
      <c r="O266" t="s">
        <v>232</v>
      </c>
      <c r="P266">
        <v>1</v>
      </c>
      <c r="Q266" t="s">
        <v>247</v>
      </c>
    </row>
    <row r="267" spans="1:17" s="25" customFormat="1">
      <c r="A267" s="111">
        <v>2.0032855740740738E-2</v>
      </c>
      <c r="B267" t="s">
        <v>97</v>
      </c>
      <c r="C267"/>
      <c r="D267"/>
      <c r="E267" t="s">
        <v>87</v>
      </c>
      <c r="F267"/>
      <c r="G267" t="s">
        <v>98</v>
      </c>
      <c r="H267"/>
      <c r="I267" s="158">
        <v>46285.942893518521</v>
      </c>
      <c r="J267" t="s">
        <v>490</v>
      </c>
      <c r="K267" t="s">
        <v>444</v>
      </c>
      <c r="L267" s="157">
        <v>46284</v>
      </c>
      <c r="M267" t="s">
        <v>439</v>
      </c>
      <c r="N267" t="s">
        <v>231</v>
      </c>
      <c r="O267" t="s">
        <v>232</v>
      </c>
      <c r="P267">
        <v>1</v>
      </c>
      <c r="Q267" t="s">
        <v>247</v>
      </c>
    </row>
    <row r="268" spans="1:17" s="25" customFormat="1">
      <c r="A268" s="111">
        <v>2.0032855740740738E-2</v>
      </c>
      <c r="B268" t="s">
        <v>97</v>
      </c>
      <c r="C268"/>
      <c r="D268"/>
      <c r="E268" t="s">
        <v>213</v>
      </c>
      <c r="F268" t="s">
        <v>208</v>
      </c>
      <c r="G268" t="s">
        <v>98</v>
      </c>
      <c r="H268"/>
      <c r="I268" s="158">
        <v>46285.942893518521</v>
      </c>
      <c r="J268" t="s">
        <v>490</v>
      </c>
      <c r="K268" t="s">
        <v>444</v>
      </c>
      <c r="L268" s="157">
        <v>46284</v>
      </c>
      <c r="M268" t="s">
        <v>439</v>
      </c>
      <c r="N268" t="s">
        <v>231</v>
      </c>
      <c r="O268" t="s">
        <v>232</v>
      </c>
      <c r="P268">
        <v>1</v>
      </c>
      <c r="Q268" t="s">
        <v>247</v>
      </c>
    </row>
    <row r="269" spans="1:17" s="25" customFormat="1">
      <c r="A269" s="111">
        <v>1.9943817627314814E-2</v>
      </c>
      <c r="B269" t="s">
        <v>97</v>
      </c>
      <c r="C269" t="s">
        <v>469</v>
      </c>
      <c r="D269"/>
      <c r="E269" t="s">
        <v>183</v>
      </c>
      <c r="F269"/>
      <c r="G269" t="s">
        <v>98</v>
      </c>
      <c r="H269"/>
      <c r="I269" s="158">
        <v>46285.94263888889</v>
      </c>
      <c r="J269" t="s">
        <v>490</v>
      </c>
      <c r="K269" t="s">
        <v>444</v>
      </c>
      <c r="L269" s="157">
        <v>46284</v>
      </c>
      <c r="M269" t="s">
        <v>439</v>
      </c>
      <c r="N269" t="s">
        <v>231</v>
      </c>
      <c r="O269" t="s">
        <v>232</v>
      </c>
      <c r="P269">
        <v>1</v>
      </c>
      <c r="Q269" t="s">
        <v>247</v>
      </c>
    </row>
    <row r="270" spans="1:17" s="25" customFormat="1">
      <c r="A270" s="111">
        <v>1.9897364004629631E-2</v>
      </c>
      <c r="B270" t="s">
        <v>97</v>
      </c>
      <c r="C270" t="s">
        <v>474</v>
      </c>
      <c r="D270"/>
      <c r="E270" t="s">
        <v>463</v>
      </c>
      <c r="F270"/>
      <c r="G270" t="s">
        <v>98</v>
      </c>
      <c r="H270"/>
      <c r="I270" s="158">
        <v>46285.94253472222</v>
      </c>
      <c r="J270" t="s">
        <v>490</v>
      </c>
      <c r="K270" t="s">
        <v>444</v>
      </c>
      <c r="L270" s="157">
        <v>46284</v>
      </c>
      <c r="M270" t="s">
        <v>439</v>
      </c>
      <c r="N270" t="s">
        <v>231</v>
      </c>
      <c r="O270" t="s">
        <v>232</v>
      </c>
      <c r="P270">
        <v>1</v>
      </c>
      <c r="Q270" t="s">
        <v>247</v>
      </c>
    </row>
    <row r="271" spans="1:17" s="25" customFormat="1">
      <c r="A271" s="111">
        <v>1.9828062800925927E-2</v>
      </c>
      <c r="B271" t="s">
        <v>97</v>
      </c>
      <c r="C271" t="s">
        <v>471</v>
      </c>
      <c r="D271"/>
      <c r="E271" t="s">
        <v>462</v>
      </c>
      <c r="F271"/>
      <c r="G271" t="s">
        <v>98</v>
      </c>
      <c r="H271"/>
      <c r="I271" s="158">
        <v>46285.942384259259</v>
      </c>
      <c r="J271" t="s">
        <v>490</v>
      </c>
      <c r="K271" t="s">
        <v>444</v>
      </c>
      <c r="L271" s="157">
        <v>46284</v>
      </c>
      <c r="M271" t="s">
        <v>439</v>
      </c>
      <c r="N271" t="s">
        <v>231</v>
      </c>
      <c r="O271" t="s">
        <v>232</v>
      </c>
      <c r="P271">
        <v>1</v>
      </c>
      <c r="Q271" t="s">
        <v>247</v>
      </c>
    </row>
    <row r="272" spans="1:17" s="25" customFormat="1">
      <c r="A272" s="111">
        <v>1.9807296180555555E-2</v>
      </c>
      <c r="B272" t="s">
        <v>97</v>
      </c>
      <c r="C272"/>
      <c r="D272"/>
      <c r="E272" t="s">
        <v>456</v>
      </c>
      <c r="F272"/>
      <c r="G272" t="s">
        <v>164</v>
      </c>
      <c r="H272"/>
      <c r="I272" s="158">
        <v>46285.942199074074</v>
      </c>
      <c r="J272" t="s">
        <v>490</v>
      </c>
      <c r="K272" t="s">
        <v>444</v>
      </c>
      <c r="L272" s="157">
        <v>46284</v>
      </c>
      <c r="M272" t="s">
        <v>439</v>
      </c>
      <c r="N272" t="s">
        <v>231</v>
      </c>
      <c r="O272" t="s">
        <v>232</v>
      </c>
      <c r="P272">
        <v>1</v>
      </c>
      <c r="Q272" t="s">
        <v>247</v>
      </c>
    </row>
    <row r="273" spans="1:17" s="25" customFormat="1">
      <c r="A273" s="111">
        <v>1.9807296180555555E-2</v>
      </c>
      <c r="B273" t="s">
        <v>97</v>
      </c>
      <c r="C273" t="s">
        <v>474</v>
      </c>
      <c r="D273"/>
      <c r="E273" t="s">
        <v>108</v>
      </c>
      <c r="F273"/>
      <c r="G273" t="s">
        <v>164</v>
      </c>
      <c r="H273"/>
      <c r="I273" s="158">
        <v>46285.942129629628</v>
      </c>
      <c r="J273" t="s">
        <v>490</v>
      </c>
      <c r="K273" t="s">
        <v>444</v>
      </c>
      <c r="L273" s="157">
        <v>46284</v>
      </c>
      <c r="M273" t="s">
        <v>439</v>
      </c>
      <c r="N273" t="s">
        <v>231</v>
      </c>
      <c r="O273" t="s">
        <v>232</v>
      </c>
      <c r="P273">
        <v>1</v>
      </c>
      <c r="Q273" t="s">
        <v>247</v>
      </c>
    </row>
    <row r="274" spans="1:17" s="25" customFormat="1">
      <c r="A274" s="111">
        <v>1.973195939814815E-2</v>
      </c>
      <c r="B274" t="s">
        <v>97</v>
      </c>
      <c r="C274"/>
      <c r="D274"/>
      <c r="E274" t="s">
        <v>100</v>
      </c>
      <c r="F274"/>
      <c r="G274" t="s">
        <v>164</v>
      </c>
      <c r="H274"/>
      <c r="I274" s="158">
        <v>46285.941921296297</v>
      </c>
      <c r="J274" t="s">
        <v>490</v>
      </c>
      <c r="K274" t="s">
        <v>444</v>
      </c>
      <c r="L274" s="157">
        <v>46284</v>
      </c>
      <c r="M274" t="s">
        <v>439</v>
      </c>
      <c r="N274" t="s">
        <v>231</v>
      </c>
      <c r="O274" t="s">
        <v>232</v>
      </c>
      <c r="P274">
        <v>1</v>
      </c>
      <c r="Q274" t="s">
        <v>247</v>
      </c>
    </row>
    <row r="275" spans="1:17" s="25" customFormat="1">
      <c r="A275" s="111">
        <v>1.9568580231481482E-2</v>
      </c>
      <c r="B275" t="s">
        <v>97</v>
      </c>
      <c r="C275"/>
      <c r="D275"/>
      <c r="E275" t="s">
        <v>116</v>
      </c>
      <c r="F275"/>
      <c r="G275" t="s">
        <v>164</v>
      </c>
      <c r="H275"/>
      <c r="I275" s="158">
        <v>46285.941782407404</v>
      </c>
      <c r="J275" t="s">
        <v>490</v>
      </c>
      <c r="K275" t="s">
        <v>444</v>
      </c>
      <c r="L275" s="157">
        <v>46284</v>
      </c>
      <c r="M275" t="s">
        <v>439</v>
      </c>
      <c r="N275" t="s">
        <v>231</v>
      </c>
      <c r="O275" t="s">
        <v>232</v>
      </c>
      <c r="P275">
        <v>1</v>
      </c>
      <c r="Q275" t="s">
        <v>247</v>
      </c>
    </row>
    <row r="276" spans="1:17" s="25" customFormat="1">
      <c r="A276" s="111">
        <v>1.8698374652777777E-2</v>
      </c>
      <c r="B276" t="s">
        <v>97</v>
      </c>
      <c r="C276" t="s">
        <v>480</v>
      </c>
      <c r="D276"/>
      <c r="E276" t="s">
        <v>317</v>
      </c>
      <c r="F276"/>
      <c r="G276" t="s">
        <v>164</v>
      </c>
      <c r="H276"/>
      <c r="I276" s="158">
        <v>46285.941550925927</v>
      </c>
      <c r="J276" t="s">
        <v>490</v>
      </c>
      <c r="K276" t="s">
        <v>444</v>
      </c>
      <c r="L276" s="157">
        <v>46284</v>
      </c>
      <c r="M276" t="s">
        <v>439</v>
      </c>
      <c r="N276" t="s">
        <v>231</v>
      </c>
      <c r="O276" t="s">
        <v>232</v>
      </c>
      <c r="P276">
        <v>1</v>
      </c>
      <c r="Q276" t="s">
        <v>247</v>
      </c>
    </row>
    <row r="277" spans="1:17" s="25" customFormat="1">
      <c r="A277" s="111">
        <v>1.850973962962963E-2</v>
      </c>
      <c r="B277" t="s">
        <v>97</v>
      </c>
      <c r="C277"/>
      <c r="D277"/>
      <c r="E277" t="s">
        <v>87</v>
      </c>
      <c r="F277"/>
      <c r="G277" t="s">
        <v>164</v>
      </c>
      <c r="H277"/>
      <c r="I277" s="158">
        <v>46285.941354166665</v>
      </c>
      <c r="J277" t="s">
        <v>490</v>
      </c>
      <c r="K277" t="s">
        <v>444</v>
      </c>
      <c r="L277" s="157">
        <v>46284</v>
      </c>
      <c r="M277" t="s">
        <v>439</v>
      </c>
      <c r="N277" t="s">
        <v>231</v>
      </c>
      <c r="O277" t="s">
        <v>232</v>
      </c>
      <c r="P277">
        <v>1</v>
      </c>
      <c r="Q277" t="s">
        <v>247</v>
      </c>
    </row>
    <row r="278" spans="1:17" s="25" customFormat="1">
      <c r="A278" s="111">
        <v>1.850973962962963E-2</v>
      </c>
      <c r="B278" t="s">
        <v>97</v>
      </c>
      <c r="C278" t="s">
        <v>480</v>
      </c>
      <c r="D278" t="s">
        <v>222</v>
      </c>
      <c r="E278" t="s">
        <v>214</v>
      </c>
      <c r="F278" t="s">
        <v>207</v>
      </c>
      <c r="G278" t="s">
        <v>164</v>
      </c>
      <c r="H278"/>
      <c r="I278" s="158">
        <v>46285.941354166665</v>
      </c>
      <c r="J278" t="s">
        <v>490</v>
      </c>
      <c r="K278" t="s">
        <v>444</v>
      </c>
      <c r="L278" s="157">
        <v>46284</v>
      </c>
      <c r="M278" t="s">
        <v>439</v>
      </c>
      <c r="N278" t="s">
        <v>231</v>
      </c>
      <c r="O278" t="s">
        <v>232</v>
      </c>
      <c r="P278">
        <v>1</v>
      </c>
      <c r="Q278" t="s">
        <v>247</v>
      </c>
    </row>
    <row r="279" spans="1:17" s="25" customFormat="1">
      <c r="A279" s="111">
        <v>1.8405549965277778E-2</v>
      </c>
      <c r="B279" t="s">
        <v>97</v>
      </c>
      <c r="C279" t="s">
        <v>479</v>
      </c>
      <c r="D279"/>
      <c r="E279" t="s">
        <v>108</v>
      </c>
      <c r="F279"/>
      <c r="G279" t="s">
        <v>164</v>
      </c>
      <c r="H279"/>
      <c r="I279" s="158">
        <v>46285.941168981481</v>
      </c>
      <c r="J279" t="s">
        <v>490</v>
      </c>
      <c r="K279" t="s">
        <v>444</v>
      </c>
      <c r="L279" s="157">
        <v>46284</v>
      </c>
      <c r="M279" t="s">
        <v>439</v>
      </c>
      <c r="N279" t="s">
        <v>231</v>
      </c>
      <c r="O279" t="s">
        <v>232</v>
      </c>
      <c r="P279">
        <v>1</v>
      </c>
      <c r="Q279" t="s">
        <v>247</v>
      </c>
    </row>
    <row r="280" spans="1:17" s="25" customFormat="1">
      <c r="A280" s="111">
        <v>1.8324472442129629E-2</v>
      </c>
      <c r="B280" t="s">
        <v>97</v>
      </c>
      <c r="C280" t="s">
        <v>477</v>
      </c>
      <c r="D280"/>
      <c r="E280" t="s">
        <v>108</v>
      </c>
      <c r="F280"/>
      <c r="G280" t="s">
        <v>164</v>
      </c>
      <c r="H280"/>
      <c r="I280" s="158">
        <v>46285.941041666665</v>
      </c>
      <c r="J280" t="s">
        <v>490</v>
      </c>
      <c r="K280" t="s">
        <v>444</v>
      </c>
      <c r="L280" s="157">
        <v>46284</v>
      </c>
      <c r="M280" t="s">
        <v>439</v>
      </c>
      <c r="N280" t="s">
        <v>231</v>
      </c>
      <c r="O280" t="s">
        <v>232</v>
      </c>
      <c r="P280">
        <v>1</v>
      </c>
      <c r="Q280" t="s">
        <v>247</v>
      </c>
    </row>
    <row r="281" spans="1:17" s="25" customFormat="1">
      <c r="A281" s="111">
        <v>1.8232647581018519E-2</v>
      </c>
      <c r="B281" t="s">
        <v>97</v>
      </c>
      <c r="C281" t="s">
        <v>471</v>
      </c>
      <c r="D281"/>
      <c r="E281" t="s">
        <v>58</v>
      </c>
      <c r="F281"/>
      <c r="G281" t="s">
        <v>164</v>
      </c>
      <c r="H281"/>
      <c r="I281" s="158">
        <v>46285.940740740742</v>
      </c>
      <c r="J281" t="s">
        <v>490</v>
      </c>
      <c r="K281" t="s">
        <v>444</v>
      </c>
      <c r="L281" s="157">
        <v>46284</v>
      </c>
      <c r="M281" t="s">
        <v>439</v>
      </c>
      <c r="N281" t="s">
        <v>231</v>
      </c>
      <c r="O281" t="s">
        <v>232</v>
      </c>
      <c r="P281">
        <v>1</v>
      </c>
      <c r="Q281" t="s">
        <v>247</v>
      </c>
    </row>
    <row r="282" spans="1:17" s="25" customFormat="1">
      <c r="A282" s="111">
        <v>1.8082087939814816E-2</v>
      </c>
      <c r="B282" t="s">
        <v>97</v>
      </c>
      <c r="C282" t="s">
        <v>472</v>
      </c>
      <c r="D282"/>
      <c r="E282" t="s">
        <v>108</v>
      </c>
      <c r="F282"/>
      <c r="G282" t="s">
        <v>164</v>
      </c>
      <c r="H282"/>
      <c r="I282" s="158">
        <v>46285.940509259257</v>
      </c>
      <c r="J282" t="s">
        <v>490</v>
      </c>
      <c r="K282" t="s">
        <v>444</v>
      </c>
      <c r="L282" s="157">
        <v>46284</v>
      </c>
      <c r="M282" t="s">
        <v>439</v>
      </c>
      <c r="N282" t="s">
        <v>231</v>
      </c>
      <c r="O282" t="s">
        <v>232</v>
      </c>
      <c r="P282">
        <v>1</v>
      </c>
      <c r="Q282" t="s">
        <v>247</v>
      </c>
    </row>
    <row r="283" spans="1:17" s="25" customFormat="1">
      <c r="A283" s="111">
        <v>1.8024027129629628E-2</v>
      </c>
      <c r="B283" t="s">
        <v>97</v>
      </c>
      <c r="C283"/>
      <c r="D283"/>
      <c r="E283" t="s">
        <v>113</v>
      </c>
      <c r="F283"/>
      <c r="G283" t="s">
        <v>164</v>
      </c>
      <c r="H283"/>
      <c r="I283" s="158">
        <v>46285.940312500003</v>
      </c>
      <c r="J283" t="s">
        <v>490</v>
      </c>
      <c r="K283" t="s">
        <v>444</v>
      </c>
      <c r="L283" s="157">
        <v>46284</v>
      </c>
      <c r="M283" t="s">
        <v>439</v>
      </c>
      <c r="N283" t="s">
        <v>231</v>
      </c>
      <c r="O283" t="s">
        <v>232</v>
      </c>
      <c r="P283">
        <v>1</v>
      </c>
      <c r="Q283" t="s">
        <v>247</v>
      </c>
    </row>
    <row r="284" spans="1:17" s="25" customFormat="1">
      <c r="A284" s="111">
        <v>1.800765648148148E-2</v>
      </c>
      <c r="B284" t="s">
        <v>97</v>
      </c>
      <c r="C284"/>
      <c r="D284"/>
      <c r="E284" t="s">
        <v>104</v>
      </c>
      <c r="F284"/>
      <c r="G284" t="s">
        <v>164</v>
      </c>
      <c r="H284"/>
      <c r="I284" s="158">
        <v>46285.940034722225</v>
      </c>
      <c r="J284" t="s">
        <v>490</v>
      </c>
      <c r="K284" t="s">
        <v>444</v>
      </c>
      <c r="L284" s="157">
        <v>46284</v>
      </c>
      <c r="M284" t="s">
        <v>439</v>
      </c>
      <c r="N284" t="s">
        <v>231</v>
      </c>
      <c r="O284" t="s">
        <v>232</v>
      </c>
      <c r="P284">
        <v>1</v>
      </c>
      <c r="Q284" t="s">
        <v>247</v>
      </c>
    </row>
    <row r="285" spans="1:17" s="25" customFormat="1">
      <c r="A285" s="111">
        <v>1.7503638877314816E-2</v>
      </c>
      <c r="B285" t="s">
        <v>97</v>
      </c>
      <c r="C285"/>
      <c r="D285"/>
      <c r="E285" t="s">
        <v>87</v>
      </c>
      <c r="F285"/>
      <c r="G285" t="s">
        <v>98</v>
      </c>
      <c r="H285"/>
      <c r="I285" s="158">
        <v>46285.939930555556</v>
      </c>
      <c r="J285" t="s">
        <v>490</v>
      </c>
      <c r="K285" t="s">
        <v>444</v>
      </c>
      <c r="L285" s="157">
        <v>46284</v>
      </c>
      <c r="M285" t="s">
        <v>439</v>
      </c>
      <c r="N285" t="s">
        <v>231</v>
      </c>
      <c r="O285" t="s">
        <v>232</v>
      </c>
      <c r="P285">
        <v>1</v>
      </c>
      <c r="Q285" t="s">
        <v>247</v>
      </c>
    </row>
    <row r="286" spans="1:17" s="25" customFormat="1">
      <c r="A286" s="111">
        <v>1.7423605543981483E-2</v>
      </c>
      <c r="B286" t="s">
        <v>97</v>
      </c>
      <c r="C286"/>
      <c r="D286"/>
      <c r="E286" t="s">
        <v>186</v>
      </c>
      <c r="F286"/>
      <c r="G286" t="s">
        <v>98</v>
      </c>
      <c r="H286"/>
      <c r="I286" s="158">
        <v>46285.939837962964</v>
      </c>
      <c r="J286" t="s">
        <v>490</v>
      </c>
      <c r="K286" t="s">
        <v>444</v>
      </c>
      <c r="L286" s="157">
        <v>46284</v>
      </c>
      <c r="M286" t="s">
        <v>439</v>
      </c>
      <c r="N286" t="s">
        <v>231</v>
      </c>
      <c r="O286" t="s">
        <v>232</v>
      </c>
      <c r="P286">
        <v>1</v>
      </c>
      <c r="Q286" t="s">
        <v>247</v>
      </c>
    </row>
    <row r="287" spans="1:17" s="25" customFormat="1">
      <c r="A287" s="111">
        <v>1.7377361446759259E-2</v>
      </c>
      <c r="B287" t="s">
        <v>97</v>
      </c>
      <c r="C287"/>
      <c r="D287"/>
      <c r="E287" t="s">
        <v>184</v>
      </c>
      <c r="F287"/>
      <c r="G287" t="s">
        <v>164</v>
      </c>
      <c r="H287"/>
      <c r="I287" s="158">
        <v>46285.939745370371</v>
      </c>
      <c r="J287" t="s">
        <v>490</v>
      </c>
      <c r="K287" t="s">
        <v>444</v>
      </c>
      <c r="L287" s="157">
        <v>46284</v>
      </c>
      <c r="M287" t="s">
        <v>439</v>
      </c>
      <c r="N287" t="s">
        <v>231</v>
      </c>
      <c r="O287" t="s">
        <v>232</v>
      </c>
      <c r="P287">
        <v>1</v>
      </c>
      <c r="Q287" t="s">
        <v>247</v>
      </c>
    </row>
    <row r="288" spans="1:17" s="25" customFormat="1">
      <c r="A288" s="111">
        <v>1.7342594849537037E-2</v>
      </c>
      <c r="B288" t="s">
        <v>97</v>
      </c>
      <c r="C288"/>
      <c r="D288"/>
      <c r="E288" t="s">
        <v>188</v>
      </c>
      <c r="F288"/>
      <c r="G288" t="s">
        <v>164</v>
      </c>
      <c r="H288"/>
      <c r="I288" s="158">
        <v>46285.939675925925</v>
      </c>
      <c r="J288" t="s">
        <v>490</v>
      </c>
      <c r="K288" t="s">
        <v>444</v>
      </c>
      <c r="L288" s="157">
        <v>46284</v>
      </c>
      <c r="M288" t="s">
        <v>439</v>
      </c>
      <c r="N288" t="s">
        <v>231</v>
      </c>
      <c r="O288" t="s">
        <v>232</v>
      </c>
      <c r="P288">
        <v>1</v>
      </c>
      <c r="Q288" t="s">
        <v>247</v>
      </c>
    </row>
    <row r="289" spans="1:17" s="25" customFormat="1">
      <c r="A289" s="111">
        <v>1.731940846064815E-2</v>
      </c>
      <c r="B289" t="s">
        <v>97</v>
      </c>
      <c r="C289"/>
      <c r="D289"/>
      <c r="E289" t="s">
        <v>184</v>
      </c>
      <c r="F289"/>
      <c r="G289" t="s">
        <v>98</v>
      </c>
      <c r="H289"/>
      <c r="I289" s="158">
        <v>46285.939618055556</v>
      </c>
      <c r="J289" t="s">
        <v>490</v>
      </c>
      <c r="K289" t="s">
        <v>444</v>
      </c>
      <c r="L289" s="157">
        <v>46284</v>
      </c>
      <c r="M289" t="s">
        <v>439</v>
      </c>
      <c r="N289" t="s">
        <v>231</v>
      </c>
      <c r="O289" t="s">
        <v>232</v>
      </c>
      <c r="P289">
        <v>1</v>
      </c>
      <c r="Q289" t="s">
        <v>247</v>
      </c>
    </row>
    <row r="290" spans="1:17" s="25" customFormat="1">
      <c r="A290" s="111">
        <v>1.7232465659722224E-2</v>
      </c>
      <c r="B290" t="s">
        <v>97</v>
      </c>
      <c r="C290"/>
      <c r="D290"/>
      <c r="E290" t="s">
        <v>186</v>
      </c>
      <c r="F290"/>
      <c r="G290" t="s">
        <v>98</v>
      </c>
      <c r="H290"/>
      <c r="I290" s="158">
        <v>46285.939502314817</v>
      </c>
      <c r="J290" t="s">
        <v>490</v>
      </c>
      <c r="K290" t="s">
        <v>444</v>
      </c>
      <c r="L290" s="157">
        <v>46284</v>
      </c>
      <c r="M290" t="s">
        <v>439</v>
      </c>
      <c r="N290" t="s">
        <v>231</v>
      </c>
      <c r="O290" t="s">
        <v>232</v>
      </c>
      <c r="P290">
        <v>1</v>
      </c>
      <c r="Q290" t="s">
        <v>247</v>
      </c>
    </row>
    <row r="291" spans="1:17" s="25" customFormat="1">
      <c r="A291" s="111">
        <v>1.7157600763888888E-2</v>
      </c>
      <c r="B291" t="s">
        <v>97</v>
      </c>
      <c r="C291"/>
      <c r="D291"/>
      <c r="E291" t="s">
        <v>184</v>
      </c>
      <c r="F291"/>
      <c r="G291" t="s">
        <v>164</v>
      </c>
      <c r="H291"/>
      <c r="I291" s="158">
        <v>46285.939409722225</v>
      </c>
      <c r="J291" t="s">
        <v>490</v>
      </c>
      <c r="K291" t="s">
        <v>444</v>
      </c>
      <c r="L291" s="157">
        <v>46284</v>
      </c>
      <c r="M291" t="s">
        <v>439</v>
      </c>
      <c r="N291" t="s">
        <v>231</v>
      </c>
      <c r="O291" t="s">
        <v>232</v>
      </c>
      <c r="P291">
        <v>1</v>
      </c>
      <c r="Q291" t="s">
        <v>247</v>
      </c>
    </row>
    <row r="292" spans="1:17" s="25" customFormat="1">
      <c r="A292" s="111">
        <v>1.7000912349537038E-2</v>
      </c>
      <c r="B292" t="s">
        <v>97</v>
      </c>
      <c r="C292" t="s">
        <v>471</v>
      </c>
      <c r="D292"/>
      <c r="E292" t="s">
        <v>58</v>
      </c>
      <c r="F292"/>
      <c r="G292" t="s">
        <v>164</v>
      </c>
      <c r="H292"/>
      <c r="I292" s="158">
        <v>46285.939236111109</v>
      </c>
      <c r="J292" t="s">
        <v>490</v>
      </c>
      <c r="K292" t="s">
        <v>444</v>
      </c>
      <c r="L292" s="157">
        <v>46284</v>
      </c>
      <c r="M292" t="s">
        <v>439</v>
      </c>
      <c r="N292" t="s">
        <v>231</v>
      </c>
      <c r="O292" t="s">
        <v>232</v>
      </c>
      <c r="P292">
        <v>1</v>
      </c>
      <c r="Q292" t="s">
        <v>247</v>
      </c>
    </row>
    <row r="293" spans="1:17" s="25" customFormat="1">
      <c r="A293" s="111">
        <v>1.6944086157407407E-2</v>
      </c>
      <c r="B293" t="s">
        <v>97</v>
      </c>
      <c r="C293" t="s">
        <v>473</v>
      </c>
      <c r="D293"/>
      <c r="E293" t="s">
        <v>108</v>
      </c>
      <c r="F293"/>
      <c r="G293" t="s">
        <v>164</v>
      </c>
      <c r="H293"/>
      <c r="I293" s="158">
        <v>46285.938981481479</v>
      </c>
      <c r="J293" t="s">
        <v>490</v>
      </c>
      <c r="K293" t="s">
        <v>444</v>
      </c>
      <c r="L293" s="157">
        <v>46284</v>
      </c>
      <c r="M293" t="s">
        <v>439</v>
      </c>
      <c r="N293" t="s">
        <v>231</v>
      </c>
      <c r="O293" t="s">
        <v>232</v>
      </c>
      <c r="P293">
        <v>1</v>
      </c>
      <c r="Q293" t="s">
        <v>247</v>
      </c>
    </row>
    <row r="294" spans="1:17" s="25" customFormat="1">
      <c r="A294" s="111">
        <v>1.6944086157407407E-2</v>
      </c>
      <c r="B294" t="s">
        <v>97</v>
      </c>
      <c r="C294" t="s">
        <v>469</v>
      </c>
      <c r="D294"/>
      <c r="E294" t="s">
        <v>108</v>
      </c>
      <c r="F294"/>
      <c r="G294" t="s">
        <v>164</v>
      </c>
      <c r="H294"/>
      <c r="I294" s="158">
        <v>46285.938946759263</v>
      </c>
      <c r="J294" t="s">
        <v>490</v>
      </c>
      <c r="K294" t="s">
        <v>444</v>
      </c>
      <c r="L294" s="157">
        <v>46284</v>
      </c>
      <c r="M294" t="s">
        <v>439</v>
      </c>
      <c r="N294" t="s">
        <v>231</v>
      </c>
      <c r="O294" t="s">
        <v>232</v>
      </c>
      <c r="P294">
        <v>1</v>
      </c>
      <c r="Q294" t="s">
        <v>247</v>
      </c>
    </row>
    <row r="295" spans="1:17" s="25" customFormat="1">
      <c r="A295" s="111">
        <v>1.6939136655092592E-2</v>
      </c>
      <c r="B295" t="s">
        <v>97</v>
      </c>
      <c r="C295"/>
      <c r="D295"/>
      <c r="E295" t="s">
        <v>188</v>
      </c>
      <c r="F295"/>
      <c r="G295" t="s">
        <v>164</v>
      </c>
      <c r="H295"/>
      <c r="I295" s="158">
        <v>46285.938622685186</v>
      </c>
      <c r="J295" t="s">
        <v>490</v>
      </c>
      <c r="K295" t="s">
        <v>444</v>
      </c>
      <c r="L295" s="157">
        <v>46284</v>
      </c>
      <c r="M295" t="s">
        <v>439</v>
      </c>
      <c r="N295" t="s">
        <v>231</v>
      </c>
      <c r="O295" t="s">
        <v>232</v>
      </c>
      <c r="P295">
        <v>1</v>
      </c>
      <c r="Q295" t="s">
        <v>247</v>
      </c>
    </row>
    <row r="296" spans="1:17" s="25" customFormat="1">
      <c r="A296" s="111">
        <v>1.6873020775462964E-2</v>
      </c>
      <c r="B296" t="s">
        <v>97</v>
      </c>
      <c r="C296"/>
      <c r="D296"/>
      <c r="E296" t="s">
        <v>184</v>
      </c>
      <c r="F296"/>
      <c r="G296" t="s">
        <v>164</v>
      </c>
      <c r="H296"/>
      <c r="I296" s="158">
        <v>46285.938530092593</v>
      </c>
      <c r="J296" t="s">
        <v>490</v>
      </c>
      <c r="K296" t="s">
        <v>444</v>
      </c>
      <c r="L296" s="157">
        <v>46284</v>
      </c>
      <c r="M296" t="s">
        <v>439</v>
      </c>
      <c r="N296" t="s">
        <v>231</v>
      </c>
      <c r="O296" t="s">
        <v>232</v>
      </c>
      <c r="P296">
        <v>1</v>
      </c>
      <c r="Q296" t="s">
        <v>247</v>
      </c>
    </row>
    <row r="297" spans="1:17" s="25" customFormat="1">
      <c r="A297" s="111">
        <v>1.6765469155092593E-2</v>
      </c>
      <c r="B297" t="s">
        <v>97</v>
      </c>
      <c r="C297" t="s">
        <v>471</v>
      </c>
      <c r="D297"/>
      <c r="E297" t="s">
        <v>108</v>
      </c>
      <c r="F297"/>
      <c r="G297" t="s">
        <v>164</v>
      </c>
      <c r="H297"/>
      <c r="I297" s="158">
        <v>46285.938402777778</v>
      </c>
      <c r="J297" t="s">
        <v>490</v>
      </c>
      <c r="K297" t="s">
        <v>444</v>
      </c>
      <c r="L297" s="157">
        <v>46284</v>
      </c>
      <c r="M297" t="s">
        <v>439</v>
      </c>
      <c r="N297" t="s">
        <v>231</v>
      </c>
      <c r="O297" t="s">
        <v>232</v>
      </c>
      <c r="P297">
        <v>1</v>
      </c>
      <c r="Q297" t="s">
        <v>247</v>
      </c>
    </row>
    <row r="298" spans="1:17" s="25" customFormat="1">
      <c r="A298" s="111">
        <v>1.6721590254629631E-2</v>
      </c>
      <c r="B298" t="s">
        <v>97</v>
      </c>
      <c r="C298" t="s">
        <v>469</v>
      </c>
      <c r="D298"/>
      <c r="E298" t="s">
        <v>109</v>
      </c>
      <c r="F298"/>
      <c r="G298" t="s">
        <v>98</v>
      </c>
      <c r="H298"/>
      <c r="I298" s="158">
        <v>46285.938136574077</v>
      </c>
      <c r="J298" t="s">
        <v>490</v>
      </c>
      <c r="K298" t="s">
        <v>444</v>
      </c>
      <c r="L298" s="157">
        <v>46284</v>
      </c>
      <c r="M298" t="s">
        <v>439</v>
      </c>
      <c r="N298" t="s">
        <v>231</v>
      </c>
      <c r="O298" t="s">
        <v>232</v>
      </c>
      <c r="P298">
        <v>1</v>
      </c>
      <c r="Q298" t="s">
        <v>247</v>
      </c>
    </row>
    <row r="299" spans="1:17" s="25" customFormat="1">
      <c r="A299" s="111">
        <v>1.6652192361111113E-2</v>
      </c>
      <c r="B299" t="s">
        <v>97</v>
      </c>
      <c r="C299"/>
      <c r="D299"/>
      <c r="E299" t="s">
        <v>104</v>
      </c>
      <c r="F299"/>
      <c r="G299" t="s">
        <v>98</v>
      </c>
      <c r="H299"/>
      <c r="I299" s="158">
        <v>46285.937962962962</v>
      </c>
      <c r="J299" t="s">
        <v>490</v>
      </c>
      <c r="K299" t="s">
        <v>444</v>
      </c>
      <c r="L299" s="157">
        <v>46284</v>
      </c>
      <c r="M299" t="s">
        <v>439</v>
      </c>
      <c r="N299" t="s">
        <v>231</v>
      </c>
      <c r="O299" t="s">
        <v>232</v>
      </c>
      <c r="P299">
        <v>1</v>
      </c>
      <c r="Q299" t="s">
        <v>247</v>
      </c>
    </row>
    <row r="300" spans="1:17" s="25" customFormat="1">
      <c r="A300" s="111">
        <v>1.4968967615740741E-2</v>
      </c>
      <c r="B300" t="s">
        <v>97</v>
      </c>
      <c r="C300"/>
      <c r="D300"/>
      <c r="E300" t="s">
        <v>318</v>
      </c>
      <c r="F300"/>
      <c r="G300" t="s">
        <v>98</v>
      </c>
      <c r="H300"/>
      <c r="I300" s="158">
        <v>46285.937615740739</v>
      </c>
      <c r="J300" t="s">
        <v>490</v>
      </c>
      <c r="K300" t="s">
        <v>444</v>
      </c>
      <c r="L300" s="157">
        <v>46284</v>
      </c>
      <c r="M300" t="s">
        <v>439</v>
      </c>
      <c r="N300" t="s">
        <v>231</v>
      </c>
      <c r="O300" t="s">
        <v>232</v>
      </c>
      <c r="P300">
        <v>1</v>
      </c>
      <c r="Q300" t="s">
        <v>247</v>
      </c>
    </row>
    <row r="301" spans="1:17" s="25" customFormat="1">
      <c r="A301" s="111">
        <v>1.4968967615740741E-2</v>
      </c>
      <c r="B301" t="s">
        <v>97</v>
      </c>
      <c r="C301"/>
      <c r="D301"/>
      <c r="E301" t="s">
        <v>87</v>
      </c>
      <c r="F301"/>
      <c r="G301" t="s">
        <v>98</v>
      </c>
      <c r="H301"/>
      <c r="I301" s="158">
        <v>46285.937592592592</v>
      </c>
      <c r="J301" t="s">
        <v>490</v>
      </c>
      <c r="K301" t="s">
        <v>444</v>
      </c>
      <c r="L301" s="157">
        <v>46284</v>
      </c>
      <c r="M301" t="s">
        <v>439</v>
      </c>
      <c r="N301" t="s">
        <v>231</v>
      </c>
      <c r="O301" t="s">
        <v>232</v>
      </c>
      <c r="P301">
        <v>1</v>
      </c>
      <c r="Q301" t="s">
        <v>247</v>
      </c>
    </row>
    <row r="302" spans="1:17" s="25" customFormat="1">
      <c r="A302" s="111">
        <v>1.4968967615740741E-2</v>
      </c>
      <c r="B302" t="s">
        <v>97</v>
      </c>
      <c r="C302"/>
      <c r="D302"/>
      <c r="E302" t="s">
        <v>213</v>
      </c>
      <c r="F302" t="s">
        <v>207</v>
      </c>
      <c r="G302" t="s">
        <v>98</v>
      </c>
      <c r="H302"/>
      <c r="I302" s="158">
        <v>46285.937592592592</v>
      </c>
      <c r="J302" t="s">
        <v>490</v>
      </c>
      <c r="K302" t="s">
        <v>444</v>
      </c>
      <c r="L302" s="157">
        <v>46284</v>
      </c>
      <c r="M302" t="s">
        <v>439</v>
      </c>
      <c r="N302" t="s">
        <v>231</v>
      </c>
      <c r="O302" t="s">
        <v>232</v>
      </c>
      <c r="P302">
        <v>1</v>
      </c>
      <c r="Q302" t="s">
        <v>247</v>
      </c>
    </row>
    <row r="303" spans="1:17" s="25" customFormat="1">
      <c r="A303" s="111">
        <v>1.4918119560185185E-2</v>
      </c>
      <c r="B303" t="s">
        <v>97</v>
      </c>
      <c r="C303" t="s">
        <v>475</v>
      </c>
      <c r="D303"/>
      <c r="E303" t="s">
        <v>462</v>
      </c>
      <c r="F303"/>
      <c r="G303" t="s">
        <v>98</v>
      </c>
      <c r="H303"/>
      <c r="I303" s="158">
        <v>46285.914398148147</v>
      </c>
      <c r="J303" t="s">
        <v>490</v>
      </c>
      <c r="K303" t="s">
        <v>444</v>
      </c>
      <c r="L303" s="157">
        <v>46284</v>
      </c>
      <c r="M303" t="s">
        <v>439</v>
      </c>
      <c r="N303" t="s">
        <v>231</v>
      </c>
      <c r="O303" t="s">
        <v>232</v>
      </c>
      <c r="P303">
        <v>1</v>
      </c>
      <c r="Q303" t="s">
        <v>247</v>
      </c>
    </row>
    <row r="304" spans="1:17" s="25" customFormat="1">
      <c r="A304" s="111">
        <v>1.4904619340277779E-2</v>
      </c>
      <c r="B304" t="s">
        <v>97</v>
      </c>
      <c r="C304"/>
      <c r="D304"/>
      <c r="E304" t="s">
        <v>186</v>
      </c>
      <c r="F304"/>
      <c r="G304" t="s">
        <v>98</v>
      </c>
      <c r="H304"/>
      <c r="I304" s="158">
        <v>46285.914259259262</v>
      </c>
      <c r="J304" t="s">
        <v>490</v>
      </c>
      <c r="K304" t="s">
        <v>444</v>
      </c>
      <c r="L304" s="157">
        <v>46284</v>
      </c>
      <c r="M304" t="s">
        <v>439</v>
      </c>
      <c r="N304" t="s">
        <v>231</v>
      </c>
      <c r="O304" t="s">
        <v>232</v>
      </c>
      <c r="P304">
        <v>1</v>
      </c>
      <c r="Q304" t="s">
        <v>247</v>
      </c>
    </row>
    <row r="305" spans="1:17" s="25" customFormat="1">
      <c r="A305" s="111">
        <v>1.4803260636574075E-2</v>
      </c>
      <c r="B305" t="s">
        <v>97</v>
      </c>
      <c r="C305"/>
      <c r="D305"/>
      <c r="E305" t="s">
        <v>184</v>
      </c>
      <c r="F305"/>
      <c r="G305" t="s">
        <v>164</v>
      </c>
      <c r="H305"/>
      <c r="I305" s="158">
        <v>46285.914143518516</v>
      </c>
      <c r="J305" t="s">
        <v>490</v>
      </c>
      <c r="K305" t="s">
        <v>444</v>
      </c>
      <c r="L305" s="157">
        <v>46284</v>
      </c>
      <c r="M305" t="s">
        <v>439</v>
      </c>
      <c r="N305" t="s">
        <v>231</v>
      </c>
      <c r="O305" t="s">
        <v>232</v>
      </c>
      <c r="P305">
        <v>1</v>
      </c>
      <c r="Q305" t="s">
        <v>247</v>
      </c>
    </row>
    <row r="306" spans="1:17" s="25" customFormat="1">
      <c r="A306" s="111">
        <v>1.4761078831018518E-2</v>
      </c>
      <c r="B306" t="s">
        <v>97</v>
      </c>
      <c r="C306" t="s">
        <v>481</v>
      </c>
      <c r="D306"/>
      <c r="E306" t="s">
        <v>183</v>
      </c>
      <c r="F306"/>
      <c r="G306" t="s">
        <v>98</v>
      </c>
      <c r="H306"/>
      <c r="I306" s="158">
        <v>46285.914027777777</v>
      </c>
      <c r="J306" t="s">
        <v>490</v>
      </c>
      <c r="K306" t="s">
        <v>444</v>
      </c>
      <c r="L306" s="157">
        <v>46284</v>
      </c>
      <c r="M306" t="s">
        <v>439</v>
      </c>
      <c r="N306" t="s">
        <v>231</v>
      </c>
      <c r="O306" t="s">
        <v>232</v>
      </c>
      <c r="P306">
        <v>1</v>
      </c>
      <c r="Q306" t="s">
        <v>247</v>
      </c>
    </row>
    <row r="307" spans="1:17" s="25" customFormat="1">
      <c r="A307" s="111">
        <v>1.4738033773148147E-2</v>
      </c>
      <c r="B307" t="s">
        <v>97</v>
      </c>
      <c r="C307" t="s">
        <v>479</v>
      </c>
      <c r="D307"/>
      <c r="E307" t="s">
        <v>462</v>
      </c>
      <c r="F307"/>
      <c r="G307" t="s">
        <v>98</v>
      </c>
      <c r="H307"/>
      <c r="I307" s="158">
        <v>46285.913576388892</v>
      </c>
      <c r="J307" t="s">
        <v>490</v>
      </c>
      <c r="K307" t="s">
        <v>444</v>
      </c>
      <c r="L307" s="157">
        <v>46284</v>
      </c>
      <c r="M307" t="s">
        <v>439</v>
      </c>
      <c r="N307" t="s">
        <v>231</v>
      </c>
      <c r="O307" t="s">
        <v>232</v>
      </c>
      <c r="P307">
        <v>1</v>
      </c>
      <c r="Q307" t="s">
        <v>247</v>
      </c>
    </row>
    <row r="308" spans="1:17" s="25" customFormat="1">
      <c r="A308" s="111">
        <v>1.4687473275462963E-2</v>
      </c>
      <c r="B308" t="s">
        <v>97</v>
      </c>
      <c r="C308" t="s">
        <v>471</v>
      </c>
      <c r="D308"/>
      <c r="E308" t="s">
        <v>111</v>
      </c>
      <c r="F308"/>
      <c r="G308" t="s">
        <v>98</v>
      </c>
      <c r="H308"/>
      <c r="I308" s="158">
        <v>46285.913159722222</v>
      </c>
      <c r="J308" t="s">
        <v>490</v>
      </c>
      <c r="K308" t="s">
        <v>444</v>
      </c>
      <c r="L308" s="157">
        <v>46284</v>
      </c>
      <c r="M308" t="s">
        <v>439</v>
      </c>
      <c r="N308" t="s">
        <v>231</v>
      </c>
      <c r="O308" t="s">
        <v>232</v>
      </c>
      <c r="P308">
        <v>1</v>
      </c>
      <c r="Q308" t="s">
        <v>247</v>
      </c>
    </row>
    <row r="309" spans="1:17" s="25" customFormat="1">
      <c r="A309" s="111">
        <v>1.4555148275462962E-2</v>
      </c>
      <c r="B309" t="s">
        <v>97</v>
      </c>
      <c r="C309"/>
      <c r="D309"/>
      <c r="E309" t="s">
        <v>104</v>
      </c>
      <c r="F309"/>
      <c r="G309" t="s">
        <v>98</v>
      </c>
      <c r="H309"/>
      <c r="I309" s="158">
        <v>46285.912974537037</v>
      </c>
      <c r="J309" t="s">
        <v>490</v>
      </c>
      <c r="K309" t="s">
        <v>444</v>
      </c>
      <c r="L309" s="157">
        <v>46284</v>
      </c>
      <c r="M309" t="s">
        <v>439</v>
      </c>
      <c r="N309" t="s">
        <v>231</v>
      </c>
      <c r="O309" t="s">
        <v>232</v>
      </c>
      <c r="P309">
        <v>1</v>
      </c>
      <c r="Q309" t="s">
        <v>247</v>
      </c>
    </row>
    <row r="310" spans="1:17" s="25" customFormat="1">
      <c r="A310" s="111">
        <v>1.4396116006944445E-2</v>
      </c>
      <c r="B310" t="s">
        <v>97</v>
      </c>
      <c r="C310"/>
      <c r="D310"/>
      <c r="E310" t="s">
        <v>87</v>
      </c>
      <c r="F310"/>
      <c r="G310" t="s">
        <v>164</v>
      </c>
      <c r="H310"/>
      <c r="I310" s="158">
        <v>46285.912870370368</v>
      </c>
      <c r="J310" t="s">
        <v>490</v>
      </c>
      <c r="K310" t="s">
        <v>444</v>
      </c>
      <c r="L310" s="157">
        <v>46284</v>
      </c>
      <c r="M310" t="s">
        <v>439</v>
      </c>
      <c r="N310" t="s">
        <v>231</v>
      </c>
      <c r="O310" t="s">
        <v>232</v>
      </c>
      <c r="P310">
        <v>1</v>
      </c>
      <c r="Q310" t="s">
        <v>247</v>
      </c>
    </row>
    <row r="311" spans="1:17" s="25" customFormat="1">
      <c r="A311" s="111">
        <v>1.4337629907407409E-2</v>
      </c>
      <c r="B311" t="s">
        <v>97</v>
      </c>
      <c r="C311"/>
      <c r="D311"/>
      <c r="E311" t="s">
        <v>188</v>
      </c>
      <c r="F311"/>
      <c r="G311" t="s">
        <v>164</v>
      </c>
      <c r="H311"/>
      <c r="I311" s="158">
        <v>46285.912812499999</v>
      </c>
      <c r="J311" t="s">
        <v>490</v>
      </c>
      <c r="K311" t="s">
        <v>444</v>
      </c>
      <c r="L311" s="157">
        <v>46284</v>
      </c>
      <c r="M311" t="s">
        <v>439</v>
      </c>
      <c r="N311" t="s">
        <v>231</v>
      </c>
      <c r="O311" t="s">
        <v>232</v>
      </c>
      <c r="P311">
        <v>1</v>
      </c>
      <c r="Q311" t="s">
        <v>247</v>
      </c>
    </row>
    <row r="312" spans="1:17" s="25" customFormat="1">
      <c r="A312" s="111">
        <v>1.4227070949074074E-2</v>
      </c>
      <c r="B312" t="s">
        <v>97</v>
      </c>
      <c r="C312"/>
      <c r="D312"/>
      <c r="E312" t="s">
        <v>100</v>
      </c>
      <c r="F312"/>
      <c r="G312" t="s">
        <v>164</v>
      </c>
      <c r="H312"/>
      <c r="I312" s="158">
        <v>46285.91269675926</v>
      </c>
      <c r="J312" t="s">
        <v>490</v>
      </c>
      <c r="K312" t="s">
        <v>444</v>
      </c>
      <c r="L312" s="157">
        <v>46284</v>
      </c>
      <c r="M312" t="s">
        <v>439</v>
      </c>
      <c r="N312" t="s">
        <v>231</v>
      </c>
      <c r="O312" t="s">
        <v>232</v>
      </c>
      <c r="P312">
        <v>1</v>
      </c>
      <c r="Q312" t="s">
        <v>247</v>
      </c>
    </row>
    <row r="313" spans="1:17" s="25" customFormat="1">
      <c r="A313" s="111">
        <v>1.3866101145833332E-2</v>
      </c>
      <c r="B313" t="s">
        <v>97</v>
      </c>
      <c r="C313"/>
      <c r="D313"/>
      <c r="E313" t="s">
        <v>116</v>
      </c>
      <c r="F313"/>
      <c r="G313" t="s">
        <v>164</v>
      </c>
      <c r="H313"/>
      <c r="I313" s="158">
        <v>46285.912511574075</v>
      </c>
      <c r="J313" t="s">
        <v>490</v>
      </c>
      <c r="K313" t="s">
        <v>444</v>
      </c>
      <c r="L313" s="157">
        <v>46284</v>
      </c>
      <c r="M313" t="s">
        <v>439</v>
      </c>
      <c r="N313" t="s">
        <v>231</v>
      </c>
      <c r="O313" t="s">
        <v>232</v>
      </c>
      <c r="P313">
        <v>1</v>
      </c>
      <c r="Q313" t="s">
        <v>247</v>
      </c>
    </row>
    <row r="314" spans="1:17" s="25" customFormat="1">
      <c r="A314" s="111">
        <v>1.3181862488425927E-2</v>
      </c>
      <c r="B314" t="s">
        <v>97</v>
      </c>
      <c r="C314"/>
      <c r="D314"/>
      <c r="E314" t="s">
        <v>87</v>
      </c>
      <c r="F314"/>
      <c r="G314" t="s">
        <v>164</v>
      </c>
      <c r="H314"/>
      <c r="I314" s="158">
        <v>46285.91207175926</v>
      </c>
      <c r="J314" t="s">
        <v>490</v>
      </c>
      <c r="K314" t="s">
        <v>444</v>
      </c>
      <c r="L314" s="157">
        <v>46284</v>
      </c>
      <c r="M314" t="s">
        <v>439</v>
      </c>
      <c r="N314" t="s">
        <v>231</v>
      </c>
      <c r="O314" t="s">
        <v>232</v>
      </c>
      <c r="P314">
        <v>1</v>
      </c>
      <c r="Q314" t="s">
        <v>247</v>
      </c>
    </row>
    <row r="315" spans="1:17" s="25" customFormat="1">
      <c r="A315" s="111">
        <v>1.3181862488425927E-2</v>
      </c>
      <c r="B315" t="s">
        <v>97</v>
      </c>
      <c r="C315" t="s">
        <v>82</v>
      </c>
      <c r="D315" t="s">
        <v>204</v>
      </c>
      <c r="E315" t="s">
        <v>214</v>
      </c>
      <c r="F315" t="s">
        <v>135</v>
      </c>
      <c r="G315" t="s">
        <v>164</v>
      </c>
      <c r="H315"/>
      <c r="I315" s="158">
        <v>46285.91207175926</v>
      </c>
      <c r="J315" t="s">
        <v>490</v>
      </c>
      <c r="K315" t="s">
        <v>444</v>
      </c>
      <c r="L315" s="157">
        <v>46284</v>
      </c>
      <c r="M315" t="s">
        <v>439</v>
      </c>
      <c r="N315" t="s">
        <v>231</v>
      </c>
      <c r="O315" t="s">
        <v>232</v>
      </c>
      <c r="P315">
        <v>1</v>
      </c>
      <c r="Q315" t="s">
        <v>247</v>
      </c>
    </row>
    <row r="316" spans="1:17" s="25" customFormat="1">
      <c r="A316" s="111">
        <v>1.3095019930555557E-2</v>
      </c>
      <c r="B316" t="s">
        <v>97</v>
      </c>
      <c r="C316"/>
      <c r="D316"/>
      <c r="E316" t="s">
        <v>186</v>
      </c>
      <c r="F316"/>
      <c r="G316" t="s">
        <v>98</v>
      </c>
      <c r="H316"/>
      <c r="I316" s="158">
        <v>46285.911736111113</v>
      </c>
      <c r="J316" t="s">
        <v>490</v>
      </c>
      <c r="K316" t="s">
        <v>444</v>
      </c>
      <c r="L316" s="157">
        <v>46284</v>
      </c>
      <c r="M316" t="s">
        <v>439</v>
      </c>
      <c r="N316" t="s">
        <v>231</v>
      </c>
      <c r="O316" t="s">
        <v>232</v>
      </c>
      <c r="P316">
        <v>1</v>
      </c>
      <c r="Q316" t="s">
        <v>247</v>
      </c>
    </row>
    <row r="317" spans="1:17" s="25" customFormat="1">
      <c r="A317" s="111">
        <v>1.3077531458333333E-2</v>
      </c>
      <c r="B317" t="s">
        <v>97</v>
      </c>
      <c r="C317"/>
      <c r="D317"/>
      <c r="E317" t="s">
        <v>184</v>
      </c>
      <c r="F317"/>
      <c r="G317" t="s">
        <v>164</v>
      </c>
      <c r="H317"/>
      <c r="I317" s="158">
        <v>46285.911689814813</v>
      </c>
      <c r="J317" t="s">
        <v>490</v>
      </c>
      <c r="K317" t="s">
        <v>444</v>
      </c>
      <c r="L317" s="157">
        <v>46284</v>
      </c>
      <c r="M317" t="s">
        <v>439</v>
      </c>
      <c r="N317" t="s">
        <v>231</v>
      </c>
      <c r="O317" t="s">
        <v>232</v>
      </c>
      <c r="P317">
        <v>1</v>
      </c>
      <c r="Q317" t="s">
        <v>247</v>
      </c>
    </row>
    <row r="318" spans="1:17" s="25" customFormat="1">
      <c r="A318" s="111">
        <v>1.297923931712963E-2</v>
      </c>
      <c r="B318" t="s">
        <v>97</v>
      </c>
      <c r="C318" t="s">
        <v>470</v>
      </c>
      <c r="D318"/>
      <c r="E318" t="s">
        <v>135</v>
      </c>
      <c r="F318"/>
      <c r="G318" t="s">
        <v>164</v>
      </c>
      <c r="H318"/>
      <c r="I318" s="158">
        <v>46285.911516203705</v>
      </c>
      <c r="J318" t="s">
        <v>490</v>
      </c>
      <c r="K318" t="s">
        <v>444</v>
      </c>
      <c r="L318" s="157">
        <v>46284</v>
      </c>
      <c r="M318" t="s">
        <v>439</v>
      </c>
      <c r="N318" t="s">
        <v>231</v>
      </c>
      <c r="O318" t="s">
        <v>232</v>
      </c>
      <c r="P318">
        <v>1</v>
      </c>
      <c r="Q318" t="s">
        <v>247</v>
      </c>
    </row>
    <row r="319" spans="1:17" s="25" customFormat="1">
      <c r="A319" s="111">
        <v>1.2850158912037037E-2</v>
      </c>
      <c r="B319" t="s">
        <v>97</v>
      </c>
      <c r="C319" t="s">
        <v>478</v>
      </c>
      <c r="D319"/>
      <c r="E319" t="s">
        <v>108</v>
      </c>
      <c r="F319"/>
      <c r="G319" t="s">
        <v>164</v>
      </c>
      <c r="H319"/>
      <c r="I319" s="158">
        <v>46285.911053240743</v>
      </c>
      <c r="J319" t="s">
        <v>490</v>
      </c>
      <c r="K319" t="s">
        <v>444</v>
      </c>
      <c r="L319" s="157">
        <v>46284</v>
      </c>
      <c r="M319" t="s">
        <v>439</v>
      </c>
      <c r="N319" t="s">
        <v>231</v>
      </c>
      <c r="O319" t="s">
        <v>232</v>
      </c>
      <c r="P319">
        <v>1</v>
      </c>
      <c r="Q319" t="s">
        <v>247</v>
      </c>
    </row>
    <row r="320" spans="1:17" s="25" customFormat="1">
      <c r="A320" s="111">
        <v>1.2838521203703704E-2</v>
      </c>
      <c r="B320" t="s">
        <v>97</v>
      </c>
      <c r="C320" t="s">
        <v>476</v>
      </c>
      <c r="D320"/>
      <c r="E320" t="s">
        <v>108</v>
      </c>
      <c r="F320"/>
      <c r="G320" t="s">
        <v>164</v>
      </c>
      <c r="H320"/>
      <c r="I320" s="158">
        <v>46285.910995370374</v>
      </c>
      <c r="J320" t="s">
        <v>490</v>
      </c>
      <c r="K320" t="s">
        <v>444</v>
      </c>
      <c r="L320" s="157">
        <v>46284</v>
      </c>
      <c r="M320" t="s">
        <v>439</v>
      </c>
      <c r="N320" t="s">
        <v>231</v>
      </c>
      <c r="O320" t="s">
        <v>232</v>
      </c>
      <c r="P320">
        <v>1</v>
      </c>
      <c r="Q320" t="s">
        <v>247</v>
      </c>
    </row>
    <row r="321" spans="1:17" s="25" customFormat="1">
      <c r="A321" s="111">
        <v>1.2807961979166668E-2</v>
      </c>
      <c r="B321" t="s">
        <v>97</v>
      </c>
      <c r="C321" t="s">
        <v>82</v>
      </c>
      <c r="D321"/>
      <c r="E321" t="s">
        <v>59</v>
      </c>
      <c r="F321"/>
      <c r="G321" t="s">
        <v>164</v>
      </c>
      <c r="H321"/>
      <c r="I321" s="158">
        <v>46285.910243055558</v>
      </c>
      <c r="J321" t="s">
        <v>490</v>
      </c>
      <c r="K321" t="s">
        <v>444</v>
      </c>
      <c r="L321" s="157">
        <v>46284</v>
      </c>
      <c r="M321" t="s">
        <v>439</v>
      </c>
      <c r="N321" t="s">
        <v>231</v>
      </c>
      <c r="O321" t="s">
        <v>232</v>
      </c>
      <c r="P321">
        <v>1</v>
      </c>
      <c r="Q321" t="s">
        <v>247</v>
      </c>
    </row>
    <row r="322" spans="1:17" s="25" customFormat="1">
      <c r="A322" s="111">
        <v>1.2745920254629629E-2</v>
      </c>
      <c r="B322" t="s">
        <v>97</v>
      </c>
      <c r="C322" t="s">
        <v>469</v>
      </c>
      <c r="D322"/>
      <c r="E322" t="s">
        <v>108</v>
      </c>
      <c r="F322"/>
      <c r="G322" t="s">
        <v>164</v>
      </c>
      <c r="H322"/>
      <c r="I322" s="158">
        <v>46285.91002314815</v>
      </c>
      <c r="J322" t="s">
        <v>490</v>
      </c>
      <c r="K322" t="s">
        <v>444</v>
      </c>
      <c r="L322" s="157">
        <v>46284</v>
      </c>
      <c r="M322" t="s">
        <v>439</v>
      </c>
      <c r="N322" t="s">
        <v>231</v>
      </c>
      <c r="O322" t="s">
        <v>232</v>
      </c>
      <c r="P322">
        <v>1</v>
      </c>
      <c r="Q322" t="s">
        <v>247</v>
      </c>
    </row>
    <row r="323" spans="1:17" s="25" customFormat="1">
      <c r="A323" s="111">
        <v>1.2716885949074073E-2</v>
      </c>
      <c r="B323" t="s">
        <v>97</v>
      </c>
      <c r="C323"/>
      <c r="D323"/>
      <c r="E323" t="s">
        <v>113</v>
      </c>
      <c r="F323"/>
      <c r="G323" t="s">
        <v>164</v>
      </c>
      <c r="H323"/>
      <c r="I323" s="158">
        <v>46285.909826388888</v>
      </c>
      <c r="J323" t="s">
        <v>490</v>
      </c>
      <c r="K323" t="s">
        <v>444</v>
      </c>
      <c r="L323" s="157">
        <v>46284</v>
      </c>
      <c r="M323" t="s">
        <v>439</v>
      </c>
      <c r="N323" t="s">
        <v>231</v>
      </c>
      <c r="O323" t="s">
        <v>232</v>
      </c>
      <c r="P323">
        <v>1</v>
      </c>
      <c r="Q323" t="s">
        <v>247</v>
      </c>
    </row>
    <row r="324" spans="1:17" s="25" customFormat="1">
      <c r="A324" s="111">
        <v>1.2716885949074073E-2</v>
      </c>
      <c r="B324" t="s">
        <v>97</v>
      </c>
      <c r="C324"/>
      <c r="D324"/>
      <c r="E324" t="s">
        <v>104</v>
      </c>
      <c r="F324"/>
      <c r="G324" t="s">
        <v>164</v>
      </c>
      <c r="H324"/>
      <c r="I324" s="158">
        <v>46285.909791666665</v>
      </c>
      <c r="J324" t="s">
        <v>490</v>
      </c>
      <c r="K324" t="s">
        <v>444</v>
      </c>
      <c r="L324" s="157">
        <v>46284</v>
      </c>
      <c r="M324" t="s">
        <v>439</v>
      </c>
      <c r="N324" t="s">
        <v>231</v>
      </c>
      <c r="O324" t="s">
        <v>232</v>
      </c>
      <c r="P324">
        <v>1</v>
      </c>
      <c r="Q324" t="s">
        <v>247</v>
      </c>
    </row>
    <row r="325" spans="1:17" s="25" customFormat="1">
      <c r="A325" s="111">
        <v>1.2392531307870372E-2</v>
      </c>
      <c r="B325" t="s">
        <v>97</v>
      </c>
      <c r="C325"/>
      <c r="D325"/>
      <c r="E325" t="s">
        <v>87</v>
      </c>
      <c r="F325"/>
      <c r="G325" t="s">
        <v>164</v>
      </c>
      <c r="H325"/>
      <c r="I325" s="158">
        <v>46285.909629629627</v>
      </c>
      <c r="J325" t="s">
        <v>490</v>
      </c>
      <c r="K325" t="s">
        <v>444</v>
      </c>
      <c r="L325" s="157">
        <v>46284</v>
      </c>
      <c r="M325" t="s">
        <v>439</v>
      </c>
      <c r="N325" t="s">
        <v>231</v>
      </c>
      <c r="O325" t="s">
        <v>232</v>
      </c>
      <c r="P325">
        <v>1</v>
      </c>
      <c r="Q325" t="s">
        <v>247</v>
      </c>
    </row>
    <row r="326" spans="1:17" s="25" customFormat="1">
      <c r="A326" s="111">
        <v>1.2740268425925926E-2</v>
      </c>
      <c r="B326" t="s">
        <v>97</v>
      </c>
      <c r="C326"/>
      <c r="D326"/>
      <c r="E326" t="s">
        <v>188</v>
      </c>
      <c r="F326"/>
      <c r="G326" t="s">
        <v>164</v>
      </c>
      <c r="H326"/>
      <c r="I326" s="158">
        <v>46285.909432870372</v>
      </c>
      <c r="J326" t="s">
        <v>490</v>
      </c>
      <c r="K326" t="s">
        <v>444</v>
      </c>
      <c r="L326" s="157">
        <v>46284</v>
      </c>
      <c r="M326" t="s">
        <v>439</v>
      </c>
      <c r="N326" t="s">
        <v>231</v>
      </c>
      <c r="O326" t="s">
        <v>232</v>
      </c>
      <c r="P326">
        <v>1</v>
      </c>
      <c r="Q326" t="s">
        <v>247</v>
      </c>
    </row>
    <row r="327" spans="1:17" s="25" customFormat="1">
      <c r="A327" s="111">
        <v>1.2342169247685185E-2</v>
      </c>
      <c r="B327" t="s">
        <v>97</v>
      </c>
      <c r="C327"/>
      <c r="D327"/>
      <c r="E327" t="s">
        <v>184</v>
      </c>
      <c r="F327"/>
      <c r="G327" t="s">
        <v>98</v>
      </c>
      <c r="H327"/>
      <c r="I327" s="158">
        <v>46285.909062500003</v>
      </c>
      <c r="J327" t="s">
        <v>490</v>
      </c>
      <c r="K327" t="s">
        <v>444</v>
      </c>
      <c r="L327" s="157">
        <v>46284</v>
      </c>
      <c r="M327" t="s">
        <v>439</v>
      </c>
      <c r="N327" t="s">
        <v>231</v>
      </c>
      <c r="O327" t="s">
        <v>232</v>
      </c>
      <c r="P327">
        <v>1</v>
      </c>
      <c r="Q327" t="s">
        <v>247</v>
      </c>
    </row>
    <row r="328" spans="1:17" s="25" customFormat="1">
      <c r="A328" s="111">
        <v>1.2317579837962963E-2</v>
      </c>
      <c r="B328" t="s">
        <v>97</v>
      </c>
      <c r="C328"/>
      <c r="D328"/>
      <c r="E328" t="s">
        <v>186</v>
      </c>
      <c r="F328"/>
      <c r="G328" t="s">
        <v>98</v>
      </c>
      <c r="H328"/>
      <c r="I328" s="158">
        <v>46285.909016203703</v>
      </c>
      <c r="J328" t="s">
        <v>490</v>
      </c>
      <c r="K328" t="s">
        <v>444</v>
      </c>
      <c r="L328" s="157">
        <v>46284</v>
      </c>
      <c r="M328" t="s">
        <v>439</v>
      </c>
      <c r="N328" t="s">
        <v>231</v>
      </c>
      <c r="O328" t="s">
        <v>232</v>
      </c>
      <c r="P328">
        <v>1</v>
      </c>
      <c r="Q328" t="s">
        <v>247</v>
      </c>
    </row>
    <row r="329" spans="1:17" s="25" customFormat="1">
      <c r="A329" s="111">
        <v>1.2276302256944444E-2</v>
      </c>
      <c r="B329" t="s">
        <v>97</v>
      </c>
      <c r="C329"/>
      <c r="D329"/>
      <c r="E329" t="s">
        <v>100</v>
      </c>
      <c r="F329"/>
      <c r="G329" t="s">
        <v>164</v>
      </c>
      <c r="H329"/>
      <c r="I329" s="158">
        <v>46285.908946759257</v>
      </c>
      <c r="J329" t="s">
        <v>490</v>
      </c>
      <c r="K329" t="s">
        <v>444</v>
      </c>
      <c r="L329" s="157">
        <v>46284</v>
      </c>
      <c r="M329" t="s">
        <v>439</v>
      </c>
      <c r="N329" t="s">
        <v>231</v>
      </c>
      <c r="O329" t="s">
        <v>232</v>
      </c>
      <c r="P329">
        <v>1</v>
      </c>
      <c r="Q329" t="s">
        <v>247</v>
      </c>
    </row>
    <row r="330" spans="1:17" s="25" customFormat="1">
      <c r="A330" s="111">
        <v>1.2267099988425926E-2</v>
      </c>
      <c r="B330" t="s">
        <v>97</v>
      </c>
      <c r="C330"/>
      <c r="D330"/>
      <c r="E330" t="s">
        <v>100</v>
      </c>
      <c r="F330"/>
      <c r="G330" t="s">
        <v>164</v>
      </c>
      <c r="H330"/>
      <c r="I330" s="158">
        <v>46285.908935185187</v>
      </c>
      <c r="J330" t="s">
        <v>490</v>
      </c>
      <c r="K330" t="s">
        <v>444</v>
      </c>
      <c r="L330" s="157">
        <v>46284</v>
      </c>
      <c r="M330" t="s">
        <v>439</v>
      </c>
      <c r="N330" t="s">
        <v>231</v>
      </c>
      <c r="O330" t="s">
        <v>232</v>
      </c>
      <c r="P330">
        <v>1</v>
      </c>
      <c r="Q330" t="s">
        <v>247</v>
      </c>
    </row>
    <row r="331" spans="1:17" s="25" customFormat="1">
      <c r="A331" s="111">
        <v>1.2005766145833334E-2</v>
      </c>
      <c r="B331" t="s">
        <v>97</v>
      </c>
      <c r="C331" t="s">
        <v>477</v>
      </c>
      <c r="D331"/>
      <c r="E331" t="s">
        <v>115</v>
      </c>
      <c r="F331"/>
      <c r="G331" t="s">
        <v>98</v>
      </c>
      <c r="H331"/>
      <c r="I331" s="158">
        <v>46285.908680555556</v>
      </c>
      <c r="J331" t="s">
        <v>490</v>
      </c>
      <c r="K331" t="s">
        <v>444</v>
      </c>
      <c r="L331" s="157">
        <v>46284</v>
      </c>
      <c r="M331" t="s">
        <v>439</v>
      </c>
      <c r="N331" t="s">
        <v>231</v>
      </c>
      <c r="O331" t="s">
        <v>232</v>
      </c>
      <c r="P331">
        <v>1</v>
      </c>
      <c r="Q331" t="s">
        <v>247</v>
      </c>
    </row>
    <row r="332" spans="1:17" s="25" customFormat="1">
      <c r="A332" s="111">
        <v>1.1180094687500001E-2</v>
      </c>
      <c r="B332" t="s">
        <v>97</v>
      </c>
      <c r="C332"/>
      <c r="D332"/>
      <c r="E332" t="s">
        <v>87</v>
      </c>
      <c r="F332"/>
      <c r="G332" t="s">
        <v>98</v>
      </c>
      <c r="H332"/>
      <c r="I332" s="158">
        <v>46285.905601851853</v>
      </c>
      <c r="J332" t="s">
        <v>490</v>
      </c>
      <c r="K332" t="s">
        <v>444</v>
      </c>
      <c r="L332" s="157">
        <v>46284</v>
      </c>
      <c r="M332" t="s">
        <v>439</v>
      </c>
      <c r="N332" t="s">
        <v>231</v>
      </c>
      <c r="O332" t="s">
        <v>232</v>
      </c>
      <c r="P332">
        <v>1</v>
      </c>
      <c r="Q332" t="s">
        <v>247</v>
      </c>
    </row>
    <row r="333" spans="1:17" s="25" customFormat="1">
      <c r="A333" s="111">
        <v>1.1180094687500001E-2</v>
      </c>
      <c r="B333" t="s">
        <v>97</v>
      </c>
      <c r="C333" t="s">
        <v>479</v>
      </c>
      <c r="D333"/>
      <c r="E333" t="s">
        <v>103</v>
      </c>
      <c r="F333"/>
      <c r="G333" t="s">
        <v>98</v>
      </c>
      <c r="H333"/>
      <c r="I333" s="158">
        <v>46285.905601851853</v>
      </c>
      <c r="J333" t="s">
        <v>490</v>
      </c>
      <c r="K333" t="s">
        <v>444</v>
      </c>
      <c r="L333" s="157">
        <v>46284</v>
      </c>
      <c r="M333" t="s">
        <v>439</v>
      </c>
      <c r="N333" t="s">
        <v>231</v>
      </c>
      <c r="O333" t="s">
        <v>232</v>
      </c>
      <c r="P333">
        <v>1</v>
      </c>
      <c r="Q333" t="s">
        <v>247</v>
      </c>
    </row>
    <row r="334" spans="1:17" s="25" customFormat="1">
      <c r="A334" s="111">
        <v>1.1084867986111111E-2</v>
      </c>
      <c r="B334" t="s">
        <v>97</v>
      </c>
      <c r="C334" t="s">
        <v>479</v>
      </c>
      <c r="D334"/>
      <c r="E334" t="s">
        <v>304</v>
      </c>
      <c r="F334"/>
      <c r="G334" t="s">
        <v>98</v>
      </c>
      <c r="H334"/>
      <c r="I334" s="158">
        <v>46285.905474537038</v>
      </c>
      <c r="J334" t="s">
        <v>490</v>
      </c>
      <c r="K334" t="s">
        <v>444</v>
      </c>
      <c r="L334" s="157">
        <v>46284</v>
      </c>
      <c r="M334" t="s">
        <v>439</v>
      </c>
      <c r="N334" t="s">
        <v>231</v>
      </c>
      <c r="O334" t="s">
        <v>232</v>
      </c>
      <c r="P334">
        <v>1</v>
      </c>
      <c r="Q334" t="s">
        <v>247</v>
      </c>
    </row>
    <row r="335" spans="1:17" s="25" customFormat="1">
      <c r="A335" s="111">
        <v>1.1050065196759259E-2</v>
      </c>
      <c r="B335" t="s">
        <v>97</v>
      </c>
      <c r="C335" t="s">
        <v>480</v>
      </c>
      <c r="D335"/>
      <c r="E335" t="s">
        <v>304</v>
      </c>
      <c r="F335"/>
      <c r="G335" t="s">
        <v>98</v>
      </c>
      <c r="H335"/>
      <c r="I335" s="158">
        <v>46285.905381944445</v>
      </c>
      <c r="J335" t="s">
        <v>490</v>
      </c>
      <c r="K335" t="s">
        <v>444</v>
      </c>
      <c r="L335" s="157">
        <v>46284</v>
      </c>
      <c r="M335" t="s">
        <v>439</v>
      </c>
      <c r="N335" t="s">
        <v>231</v>
      </c>
      <c r="O335" t="s">
        <v>232</v>
      </c>
      <c r="P335">
        <v>1</v>
      </c>
      <c r="Q335" t="s">
        <v>247</v>
      </c>
    </row>
    <row r="336" spans="1:17" s="25" customFormat="1">
      <c r="A336" s="111">
        <v>1.1039308310185186E-2</v>
      </c>
      <c r="B336" t="s">
        <v>97</v>
      </c>
      <c r="C336" t="s">
        <v>481</v>
      </c>
      <c r="D336"/>
      <c r="E336" t="s">
        <v>462</v>
      </c>
      <c r="F336"/>
      <c r="G336" t="s">
        <v>98</v>
      </c>
      <c r="H336"/>
      <c r="I336" s="158">
        <v>46285.905034722222</v>
      </c>
      <c r="J336" t="s">
        <v>490</v>
      </c>
      <c r="K336" t="s">
        <v>444</v>
      </c>
      <c r="L336" s="157">
        <v>46284</v>
      </c>
      <c r="M336" t="s">
        <v>439</v>
      </c>
      <c r="N336" t="s">
        <v>231</v>
      </c>
      <c r="O336" t="s">
        <v>232</v>
      </c>
      <c r="P336">
        <v>1</v>
      </c>
      <c r="Q336" t="s">
        <v>247</v>
      </c>
    </row>
    <row r="337" spans="1:17" s="25" customFormat="1">
      <c r="A337" s="111">
        <v>1.0941198449074074E-2</v>
      </c>
      <c r="B337" t="s">
        <v>97</v>
      </c>
      <c r="C337" t="s">
        <v>82</v>
      </c>
      <c r="D337"/>
      <c r="E337" t="s">
        <v>279</v>
      </c>
      <c r="F337"/>
      <c r="G337" t="s">
        <v>98</v>
      </c>
      <c r="H337"/>
      <c r="I337" s="158">
        <v>46285.904942129629</v>
      </c>
      <c r="J337" t="s">
        <v>490</v>
      </c>
      <c r="K337" t="s">
        <v>444</v>
      </c>
      <c r="L337" s="157">
        <v>46284</v>
      </c>
      <c r="M337" t="s">
        <v>439</v>
      </c>
      <c r="N337" t="s">
        <v>231</v>
      </c>
      <c r="O337" t="s">
        <v>232</v>
      </c>
      <c r="P337">
        <v>1</v>
      </c>
      <c r="Q337" t="s">
        <v>247</v>
      </c>
    </row>
    <row r="338" spans="1:17" s="25" customFormat="1">
      <c r="A338" s="111">
        <v>1.0893025381944444E-2</v>
      </c>
      <c r="B338" t="s">
        <v>97</v>
      </c>
      <c r="C338"/>
      <c r="D338"/>
      <c r="E338" t="s">
        <v>105</v>
      </c>
      <c r="F338"/>
      <c r="G338" t="s">
        <v>98</v>
      </c>
      <c r="H338"/>
      <c r="I338" s="158">
        <v>46285.904652777775</v>
      </c>
      <c r="J338" t="s">
        <v>490</v>
      </c>
      <c r="K338" t="s">
        <v>444</v>
      </c>
      <c r="L338" s="157">
        <v>46284</v>
      </c>
      <c r="M338" t="s">
        <v>439</v>
      </c>
      <c r="N338" t="s">
        <v>231</v>
      </c>
      <c r="O338" t="s">
        <v>232</v>
      </c>
      <c r="P338">
        <v>1</v>
      </c>
      <c r="Q338" t="s">
        <v>247</v>
      </c>
    </row>
    <row r="339" spans="1:17" s="25" customFormat="1">
      <c r="A339" s="111">
        <v>1.0584800405092592E-2</v>
      </c>
      <c r="B339" t="s">
        <v>97</v>
      </c>
      <c r="C339"/>
      <c r="D339"/>
      <c r="E339" t="s">
        <v>87</v>
      </c>
      <c r="F339"/>
      <c r="G339" t="s">
        <v>98</v>
      </c>
      <c r="H339"/>
      <c r="I339" s="158">
        <v>46285.90457175926</v>
      </c>
      <c r="J339" t="s">
        <v>490</v>
      </c>
      <c r="K339" t="s">
        <v>444</v>
      </c>
      <c r="L339" s="157">
        <v>46284</v>
      </c>
      <c r="M339" t="s">
        <v>439</v>
      </c>
      <c r="N339" t="s">
        <v>231</v>
      </c>
      <c r="O339" t="s">
        <v>232</v>
      </c>
      <c r="P339">
        <v>1</v>
      </c>
      <c r="Q339" t="s">
        <v>247</v>
      </c>
    </row>
    <row r="340" spans="1:17" s="25" customFormat="1">
      <c r="A340" s="111">
        <v>1.0546330636574073E-2</v>
      </c>
      <c r="B340" t="s">
        <v>97</v>
      </c>
      <c r="C340"/>
      <c r="D340"/>
      <c r="E340" t="s">
        <v>275</v>
      </c>
      <c r="F340"/>
      <c r="G340" t="s">
        <v>164</v>
      </c>
      <c r="H340"/>
      <c r="I340" s="158">
        <v>46285.90452546296</v>
      </c>
      <c r="J340" t="s">
        <v>490</v>
      </c>
      <c r="K340" t="s">
        <v>444</v>
      </c>
      <c r="L340" s="157">
        <v>46284</v>
      </c>
      <c r="M340" t="s">
        <v>439</v>
      </c>
      <c r="N340" t="s">
        <v>231</v>
      </c>
      <c r="O340" t="s">
        <v>232</v>
      </c>
      <c r="P340">
        <v>1</v>
      </c>
      <c r="Q340" t="s">
        <v>247</v>
      </c>
    </row>
    <row r="341" spans="1:17" s="25" customFormat="1">
      <c r="A341" s="111">
        <v>1.0412194733796296E-2</v>
      </c>
      <c r="B341" t="s">
        <v>97</v>
      </c>
      <c r="C341"/>
      <c r="D341"/>
      <c r="E341" t="s">
        <v>104</v>
      </c>
      <c r="F341"/>
      <c r="G341" t="s">
        <v>164</v>
      </c>
      <c r="H341"/>
      <c r="I341" s="158">
        <v>46285.904305555552</v>
      </c>
      <c r="J341" t="s">
        <v>490</v>
      </c>
      <c r="K341" t="s">
        <v>444</v>
      </c>
      <c r="L341" s="157">
        <v>46284</v>
      </c>
      <c r="M341" t="s">
        <v>439</v>
      </c>
      <c r="N341" t="s">
        <v>231</v>
      </c>
      <c r="O341" t="s">
        <v>232</v>
      </c>
      <c r="P341">
        <v>1</v>
      </c>
      <c r="Q341" t="s">
        <v>247</v>
      </c>
    </row>
    <row r="342" spans="1:17" s="25" customFormat="1">
      <c r="A342" s="111">
        <v>9.5844457754629634E-3</v>
      </c>
      <c r="B342" t="s">
        <v>97</v>
      </c>
      <c r="C342"/>
      <c r="D342"/>
      <c r="E342" t="s">
        <v>87</v>
      </c>
      <c r="F342"/>
      <c r="G342" t="s">
        <v>164</v>
      </c>
      <c r="H342"/>
      <c r="I342" s="158">
        <v>46285.903877314813</v>
      </c>
      <c r="J342" t="s">
        <v>490</v>
      </c>
      <c r="K342" t="s">
        <v>444</v>
      </c>
      <c r="L342" s="157">
        <v>46284</v>
      </c>
      <c r="M342" t="s">
        <v>439</v>
      </c>
      <c r="N342" t="s">
        <v>231</v>
      </c>
      <c r="O342" t="s">
        <v>232</v>
      </c>
      <c r="P342">
        <v>1</v>
      </c>
      <c r="Q342" t="s">
        <v>247</v>
      </c>
    </row>
    <row r="343" spans="1:17" s="25" customFormat="1">
      <c r="A343" s="111">
        <v>9.5844457754629634E-3</v>
      </c>
      <c r="B343" t="s">
        <v>97</v>
      </c>
      <c r="C343" t="s">
        <v>480</v>
      </c>
      <c r="D343" t="s">
        <v>222</v>
      </c>
      <c r="E343" t="s">
        <v>214</v>
      </c>
      <c r="F343" t="s">
        <v>135</v>
      </c>
      <c r="G343" t="s">
        <v>164</v>
      </c>
      <c r="H343"/>
      <c r="I343" s="158">
        <v>46285.903877314813</v>
      </c>
      <c r="J343" t="s">
        <v>490</v>
      </c>
      <c r="K343" t="s">
        <v>444</v>
      </c>
      <c r="L343" s="157">
        <v>46284</v>
      </c>
      <c r="M343" t="s">
        <v>439</v>
      </c>
      <c r="N343" t="s">
        <v>231</v>
      </c>
      <c r="O343" t="s">
        <v>232</v>
      </c>
      <c r="P343">
        <v>1</v>
      </c>
      <c r="Q343" t="s">
        <v>247</v>
      </c>
    </row>
    <row r="344" spans="1:17" s="25" customFormat="1">
      <c r="A344" s="111">
        <v>9.5844457754629634E-3</v>
      </c>
      <c r="B344" t="s">
        <v>97</v>
      </c>
      <c r="C344" t="s">
        <v>476</v>
      </c>
      <c r="D344"/>
      <c r="E344" t="s">
        <v>108</v>
      </c>
      <c r="F344"/>
      <c r="G344" t="s">
        <v>164</v>
      </c>
      <c r="H344"/>
      <c r="I344" s="158">
        <v>46285.903773148151</v>
      </c>
      <c r="J344" t="s">
        <v>490</v>
      </c>
      <c r="K344" t="s">
        <v>444</v>
      </c>
      <c r="L344" s="157">
        <v>46284</v>
      </c>
      <c r="M344" t="s">
        <v>439</v>
      </c>
      <c r="N344" t="s">
        <v>231</v>
      </c>
      <c r="O344" t="s">
        <v>232</v>
      </c>
      <c r="P344">
        <v>1</v>
      </c>
      <c r="Q344" t="s">
        <v>247</v>
      </c>
    </row>
    <row r="345" spans="1:17" s="25" customFormat="1">
      <c r="A345" s="111">
        <v>9.5601060995370371E-3</v>
      </c>
      <c r="B345" t="s">
        <v>97</v>
      </c>
      <c r="C345" t="s">
        <v>471</v>
      </c>
      <c r="D345"/>
      <c r="E345" t="s">
        <v>59</v>
      </c>
      <c r="F345"/>
      <c r="G345" t="s">
        <v>164</v>
      </c>
      <c r="H345"/>
      <c r="I345" s="158">
        <v>46285.903425925928</v>
      </c>
      <c r="J345" t="s">
        <v>490</v>
      </c>
      <c r="K345" t="s">
        <v>444</v>
      </c>
      <c r="L345" s="157">
        <v>46284</v>
      </c>
      <c r="M345" t="s">
        <v>439</v>
      </c>
      <c r="N345" t="s">
        <v>231</v>
      </c>
      <c r="O345" t="s">
        <v>232</v>
      </c>
      <c r="P345">
        <v>1</v>
      </c>
      <c r="Q345" t="s">
        <v>247</v>
      </c>
    </row>
    <row r="346" spans="1:17" s="25" customFormat="1">
      <c r="A346" s="111">
        <v>9.5437768287037032E-3</v>
      </c>
      <c r="B346" t="s">
        <v>97</v>
      </c>
      <c r="C346" t="s">
        <v>473</v>
      </c>
      <c r="D346"/>
      <c r="E346" t="s">
        <v>108</v>
      </c>
      <c r="F346"/>
      <c r="G346" t="s">
        <v>164</v>
      </c>
      <c r="H346"/>
      <c r="I346" s="158">
        <v>46285.903240740743</v>
      </c>
      <c r="J346" t="s">
        <v>490</v>
      </c>
      <c r="K346" t="s">
        <v>444</v>
      </c>
      <c r="L346" s="157">
        <v>46284</v>
      </c>
      <c r="M346" t="s">
        <v>439</v>
      </c>
      <c r="N346" t="s">
        <v>231</v>
      </c>
      <c r="O346" t="s">
        <v>232</v>
      </c>
      <c r="P346">
        <v>1</v>
      </c>
      <c r="Q346" t="s">
        <v>247</v>
      </c>
    </row>
    <row r="347" spans="1:17" s="25" customFormat="1">
      <c r="A347" s="111">
        <v>9.4756983217592593E-3</v>
      </c>
      <c r="B347" t="s">
        <v>97</v>
      </c>
      <c r="C347" t="s">
        <v>470</v>
      </c>
      <c r="D347"/>
      <c r="E347" t="s">
        <v>135</v>
      </c>
      <c r="F347"/>
      <c r="G347" t="s">
        <v>164</v>
      </c>
      <c r="H347"/>
      <c r="I347" s="158">
        <v>46285.90283564815</v>
      </c>
      <c r="J347" t="s">
        <v>490</v>
      </c>
      <c r="K347" t="s">
        <v>444</v>
      </c>
      <c r="L347" s="157">
        <v>46284</v>
      </c>
      <c r="M347" t="s">
        <v>439</v>
      </c>
      <c r="N347" t="s">
        <v>231</v>
      </c>
      <c r="O347" t="s">
        <v>232</v>
      </c>
      <c r="P347">
        <v>1</v>
      </c>
      <c r="Q347" t="s">
        <v>247</v>
      </c>
    </row>
    <row r="348" spans="1:17" s="25" customFormat="1">
      <c r="A348" s="111">
        <v>9.390459641203705E-3</v>
      </c>
      <c r="B348" t="s">
        <v>97</v>
      </c>
      <c r="C348" t="s">
        <v>480</v>
      </c>
      <c r="D348"/>
      <c r="E348" t="s">
        <v>135</v>
      </c>
      <c r="F348"/>
      <c r="G348" t="s">
        <v>164</v>
      </c>
      <c r="H348"/>
      <c r="I348" s="158">
        <v>46285.901817129627</v>
      </c>
      <c r="J348" t="s">
        <v>490</v>
      </c>
      <c r="K348" t="s">
        <v>444</v>
      </c>
      <c r="L348" s="157">
        <v>46284</v>
      </c>
      <c r="M348" t="s">
        <v>439</v>
      </c>
      <c r="N348" t="s">
        <v>231</v>
      </c>
      <c r="O348" t="s">
        <v>232</v>
      </c>
      <c r="P348">
        <v>1</v>
      </c>
      <c r="Q348" t="s">
        <v>247</v>
      </c>
    </row>
    <row r="349" spans="1:17" s="25" customFormat="1">
      <c r="A349" s="111">
        <v>9.3755390740740737E-3</v>
      </c>
      <c r="B349" t="s">
        <v>97</v>
      </c>
      <c r="C349" t="s">
        <v>478</v>
      </c>
      <c r="D349"/>
      <c r="E349" t="s">
        <v>108</v>
      </c>
      <c r="F349"/>
      <c r="G349" t="s">
        <v>164</v>
      </c>
      <c r="H349"/>
      <c r="I349" s="158">
        <v>46285.901435185187</v>
      </c>
      <c r="J349" t="s">
        <v>490</v>
      </c>
      <c r="K349" t="s">
        <v>444</v>
      </c>
      <c r="L349" s="157">
        <v>46284</v>
      </c>
      <c r="M349" t="s">
        <v>439</v>
      </c>
      <c r="N349" t="s">
        <v>231</v>
      </c>
      <c r="O349" t="s">
        <v>232</v>
      </c>
      <c r="P349">
        <v>1</v>
      </c>
      <c r="Q349" t="s">
        <v>247</v>
      </c>
    </row>
    <row r="350" spans="1:17" s="25" customFormat="1">
      <c r="A350" s="111">
        <v>9.3411304745370377E-3</v>
      </c>
      <c r="B350" t="s">
        <v>97</v>
      </c>
      <c r="C350"/>
      <c r="D350"/>
      <c r="E350" t="s">
        <v>188</v>
      </c>
      <c r="F350"/>
      <c r="G350" t="s">
        <v>164</v>
      </c>
      <c r="H350"/>
      <c r="I350" s="158">
        <v>46285.901319444441</v>
      </c>
      <c r="J350" t="s">
        <v>490</v>
      </c>
      <c r="K350" t="s">
        <v>444</v>
      </c>
      <c r="L350" s="157">
        <v>46284</v>
      </c>
      <c r="M350" t="s">
        <v>439</v>
      </c>
      <c r="N350" t="s">
        <v>231</v>
      </c>
      <c r="O350" t="s">
        <v>232</v>
      </c>
      <c r="P350">
        <v>1</v>
      </c>
      <c r="Q350" t="s">
        <v>247</v>
      </c>
    </row>
    <row r="351" spans="1:17" s="25" customFormat="1">
      <c r="A351" s="111">
        <v>9.2678268981481477E-3</v>
      </c>
      <c r="B351" t="s">
        <v>97</v>
      </c>
      <c r="C351"/>
      <c r="D351"/>
      <c r="E351" t="s">
        <v>184</v>
      </c>
      <c r="F351"/>
      <c r="G351" t="s">
        <v>98</v>
      </c>
      <c r="H351"/>
      <c r="I351" s="158">
        <v>46285.901192129626</v>
      </c>
      <c r="J351" t="s">
        <v>490</v>
      </c>
      <c r="K351" t="s">
        <v>444</v>
      </c>
      <c r="L351" s="157">
        <v>46284</v>
      </c>
      <c r="M351" t="s">
        <v>439</v>
      </c>
      <c r="N351" t="s">
        <v>231</v>
      </c>
      <c r="O351" t="s">
        <v>232</v>
      </c>
      <c r="P351">
        <v>1</v>
      </c>
      <c r="Q351" t="s">
        <v>247</v>
      </c>
    </row>
    <row r="352" spans="1:17" s="25" customFormat="1">
      <c r="A352" s="111">
        <v>9.2340438078703704E-3</v>
      </c>
      <c r="B352" t="s">
        <v>97</v>
      </c>
      <c r="C352"/>
      <c r="D352"/>
      <c r="E352" t="s">
        <v>186</v>
      </c>
      <c r="F352"/>
      <c r="G352" t="s">
        <v>98</v>
      </c>
      <c r="H352"/>
      <c r="I352" s="158">
        <v>46285.90115740741</v>
      </c>
      <c r="J352" t="s">
        <v>490</v>
      </c>
      <c r="K352" t="s">
        <v>444</v>
      </c>
      <c r="L352" s="157">
        <v>46284</v>
      </c>
      <c r="M352" t="s">
        <v>439</v>
      </c>
      <c r="N352" t="s">
        <v>231</v>
      </c>
      <c r="O352" t="s">
        <v>232</v>
      </c>
      <c r="P352">
        <v>1</v>
      </c>
      <c r="Q352" t="s">
        <v>247</v>
      </c>
    </row>
    <row r="353" spans="1:17" s="25" customFormat="1">
      <c r="A353" s="111">
        <v>9.2320389236111109E-3</v>
      </c>
      <c r="B353" t="s">
        <v>97</v>
      </c>
      <c r="C353"/>
      <c r="D353"/>
      <c r="E353" t="s">
        <v>100</v>
      </c>
      <c r="F353"/>
      <c r="G353" t="s">
        <v>164</v>
      </c>
      <c r="H353"/>
      <c r="I353" s="158">
        <v>46285.90084490741</v>
      </c>
      <c r="J353" t="s">
        <v>490</v>
      </c>
      <c r="K353" t="s">
        <v>444</v>
      </c>
      <c r="L353" s="157">
        <v>46284</v>
      </c>
      <c r="M353" t="s">
        <v>439</v>
      </c>
      <c r="N353" t="s">
        <v>231</v>
      </c>
      <c r="O353" t="s">
        <v>232</v>
      </c>
      <c r="P353">
        <v>1</v>
      </c>
      <c r="Q353" t="s">
        <v>247</v>
      </c>
    </row>
    <row r="354" spans="1:17" s="25" customFormat="1">
      <c r="A354" s="111">
        <v>9.1908456712962959E-3</v>
      </c>
      <c r="B354" t="s">
        <v>97</v>
      </c>
      <c r="C354"/>
      <c r="D354"/>
      <c r="E354" t="s">
        <v>100</v>
      </c>
      <c r="F354"/>
      <c r="G354" t="s">
        <v>164</v>
      </c>
      <c r="H354"/>
      <c r="I354" s="158">
        <v>46285.90079861111</v>
      </c>
      <c r="J354" t="s">
        <v>490</v>
      </c>
      <c r="K354" t="s">
        <v>444</v>
      </c>
      <c r="L354" s="157">
        <v>46284</v>
      </c>
      <c r="M354" t="s">
        <v>439</v>
      </c>
      <c r="N354" t="s">
        <v>231</v>
      </c>
      <c r="O354" t="s">
        <v>232</v>
      </c>
      <c r="P354">
        <v>1</v>
      </c>
      <c r="Q354" t="s">
        <v>247</v>
      </c>
    </row>
    <row r="355" spans="1:17" s="25" customFormat="1">
      <c r="A355" s="111">
        <v>8.9530315972222215E-3</v>
      </c>
      <c r="B355" t="s">
        <v>97</v>
      </c>
      <c r="C355" t="s">
        <v>477</v>
      </c>
      <c r="D355"/>
      <c r="E355" t="s">
        <v>116</v>
      </c>
      <c r="F355"/>
      <c r="G355" t="s">
        <v>98</v>
      </c>
      <c r="H355"/>
      <c r="I355" s="158">
        <v>46285.900763888887</v>
      </c>
      <c r="J355" t="s">
        <v>490</v>
      </c>
      <c r="K355" t="s">
        <v>444</v>
      </c>
      <c r="L355" s="157">
        <v>46284</v>
      </c>
      <c r="M355" t="s">
        <v>439</v>
      </c>
      <c r="N355" t="s">
        <v>231</v>
      </c>
      <c r="O355" t="s">
        <v>232</v>
      </c>
      <c r="P355">
        <v>1</v>
      </c>
      <c r="Q355" t="s">
        <v>247</v>
      </c>
    </row>
    <row r="356" spans="1:17" s="25" customFormat="1">
      <c r="A356" s="111">
        <v>8.0509666203703711E-3</v>
      </c>
      <c r="B356" t="s">
        <v>97</v>
      </c>
      <c r="C356"/>
      <c r="D356"/>
      <c r="E356" t="s">
        <v>87</v>
      </c>
      <c r="F356"/>
      <c r="G356" t="s">
        <v>98</v>
      </c>
      <c r="H356"/>
      <c r="I356" s="158">
        <v>46285.900636574072</v>
      </c>
      <c r="J356" t="s">
        <v>490</v>
      </c>
      <c r="K356" t="s">
        <v>444</v>
      </c>
      <c r="L356" s="157">
        <v>46284</v>
      </c>
      <c r="M356" t="s">
        <v>439</v>
      </c>
      <c r="N356" t="s">
        <v>231</v>
      </c>
      <c r="O356" t="s">
        <v>232</v>
      </c>
      <c r="P356">
        <v>1</v>
      </c>
      <c r="Q356" t="s">
        <v>247</v>
      </c>
    </row>
    <row r="357" spans="1:17" s="25" customFormat="1">
      <c r="A357" s="111">
        <v>8.0509666203703711E-3</v>
      </c>
      <c r="B357" t="s">
        <v>97</v>
      </c>
      <c r="C357"/>
      <c r="D357"/>
      <c r="E357" t="s">
        <v>213</v>
      </c>
      <c r="F357" t="s">
        <v>208</v>
      </c>
      <c r="G357" t="s">
        <v>98</v>
      </c>
      <c r="H357"/>
      <c r="I357" s="158">
        <v>46285.900636574072</v>
      </c>
      <c r="J357" t="s">
        <v>490</v>
      </c>
      <c r="K357" t="s">
        <v>444</v>
      </c>
      <c r="L357" s="157">
        <v>46284</v>
      </c>
      <c r="M357" t="s">
        <v>439</v>
      </c>
      <c r="N357" t="s">
        <v>231</v>
      </c>
      <c r="O357" t="s">
        <v>232</v>
      </c>
      <c r="P357">
        <v>1</v>
      </c>
      <c r="Q357" t="s">
        <v>247</v>
      </c>
    </row>
    <row r="358" spans="1:17" s="25" customFormat="1">
      <c r="A358" s="111">
        <v>7.8972391550925919E-3</v>
      </c>
      <c r="B358" t="s">
        <v>97</v>
      </c>
      <c r="C358" t="s">
        <v>473</v>
      </c>
      <c r="D358"/>
      <c r="E358" t="s">
        <v>463</v>
      </c>
      <c r="F358"/>
      <c r="G358" t="s">
        <v>98</v>
      </c>
      <c r="H358"/>
      <c r="I358" s="158">
        <v>46285.899375000001</v>
      </c>
      <c r="J358" t="s">
        <v>490</v>
      </c>
      <c r="K358" t="s">
        <v>444</v>
      </c>
      <c r="L358" s="157">
        <v>46284</v>
      </c>
      <c r="M358" t="s">
        <v>439</v>
      </c>
      <c r="N358" t="s">
        <v>231</v>
      </c>
      <c r="O358" t="s">
        <v>232</v>
      </c>
      <c r="P358">
        <v>1</v>
      </c>
      <c r="Q358" t="s">
        <v>247</v>
      </c>
    </row>
    <row r="359" spans="1:17" s="25" customFormat="1">
      <c r="A359" s="111">
        <v>7.870899467592592E-3</v>
      </c>
      <c r="B359" t="s">
        <v>97</v>
      </c>
      <c r="C359" t="s">
        <v>475</v>
      </c>
      <c r="D359"/>
      <c r="E359" t="s">
        <v>463</v>
      </c>
      <c r="F359"/>
      <c r="G359" t="s">
        <v>98</v>
      </c>
      <c r="H359"/>
      <c r="I359" s="158">
        <v>46285.899108796293</v>
      </c>
      <c r="J359" t="s">
        <v>490</v>
      </c>
      <c r="K359" t="s">
        <v>444</v>
      </c>
      <c r="L359" s="157">
        <v>46284</v>
      </c>
      <c r="M359" t="s">
        <v>439</v>
      </c>
      <c r="N359" t="s">
        <v>231</v>
      </c>
      <c r="O359" t="s">
        <v>232</v>
      </c>
      <c r="P359">
        <v>1</v>
      </c>
      <c r="Q359" t="s">
        <v>247</v>
      </c>
    </row>
    <row r="360" spans="1:17" s="25" customFormat="1">
      <c r="A360" s="111">
        <v>7.8375122569444445E-3</v>
      </c>
      <c r="B360" t="s">
        <v>97</v>
      </c>
      <c r="C360" t="s">
        <v>474</v>
      </c>
      <c r="D360"/>
      <c r="E360" t="s">
        <v>304</v>
      </c>
      <c r="F360"/>
      <c r="G360" t="s">
        <v>98</v>
      </c>
      <c r="H360"/>
      <c r="I360" s="158">
        <v>46285.898900462962</v>
      </c>
      <c r="J360" t="s">
        <v>490</v>
      </c>
      <c r="K360" t="s">
        <v>444</v>
      </c>
      <c r="L360" s="157">
        <v>46284</v>
      </c>
      <c r="M360" t="s">
        <v>439</v>
      </c>
      <c r="N360" t="s">
        <v>231</v>
      </c>
      <c r="O360" t="s">
        <v>232</v>
      </c>
      <c r="P360">
        <v>1</v>
      </c>
      <c r="Q360" t="s">
        <v>247</v>
      </c>
    </row>
    <row r="361" spans="1:17" s="25" customFormat="1">
      <c r="A361" s="111">
        <v>7.7737276388888891E-3</v>
      </c>
      <c r="B361" t="s">
        <v>97</v>
      </c>
      <c r="C361" t="s">
        <v>471</v>
      </c>
      <c r="D361"/>
      <c r="E361" t="s">
        <v>462</v>
      </c>
      <c r="F361"/>
      <c r="G361" t="s">
        <v>98</v>
      </c>
      <c r="H361"/>
      <c r="I361" s="158">
        <v>46285.898657407408</v>
      </c>
      <c r="J361" t="s">
        <v>490</v>
      </c>
      <c r="K361" t="s">
        <v>444</v>
      </c>
      <c r="L361" s="157">
        <v>46284</v>
      </c>
      <c r="M361" t="s">
        <v>439</v>
      </c>
      <c r="N361" t="s">
        <v>231</v>
      </c>
      <c r="O361" t="s">
        <v>232</v>
      </c>
      <c r="P361">
        <v>1</v>
      </c>
      <c r="Q361" t="s">
        <v>247</v>
      </c>
    </row>
    <row r="362" spans="1:17" s="25" customFormat="1">
      <c r="A362" s="111">
        <v>7.681187141203704E-3</v>
      </c>
      <c r="B362" t="s">
        <v>97</v>
      </c>
      <c r="C362" t="s">
        <v>477</v>
      </c>
      <c r="D362"/>
      <c r="E362" t="s">
        <v>462</v>
      </c>
      <c r="F362"/>
      <c r="G362" t="s">
        <v>98</v>
      </c>
      <c r="H362"/>
      <c r="I362" s="158">
        <v>46285.898506944446</v>
      </c>
      <c r="J362" t="s">
        <v>490</v>
      </c>
      <c r="K362" t="s">
        <v>444</v>
      </c>
      <c r="L362" s="157">
        <v>46284</v>
      </c>
      <c r="M362" t="s">
        <v>439</v>
      </c>
      <c r="N362" t="s">
        <v>231</v>
      </c>
      <c r="O362" t="s">
        <v>232</v>
      </c>
      <c r="P362">
        <v>1</v>
      </c>
      <c r="Q362" t="s">
        <v>247</v>
      </c>
    </row>
    <row r="363" spans="1:17" s="25" customFormat="1">
      <c r="A363" s="111">
        <v>7.6117472569444443E-3</v>
      </c>
      <c r="B363" t="s">
        <v>97</v>
      </c>
      <c r="C363" t="s">
        <v>479</v>
      </c>
      <c r="D363"/>
      <c r="E363" t="s">
        <v>462</v>
      </c>
      <c r="F363"/>
      <c r="G363" t="s">
        <v>98</v>
      </c>
      <c r="H363"/>
      <c r="I363" s="158">
        <v>46285.898356481484</v>
      </c>
      <c r="J363" t="s">
        <v>490</v>
      </c>
      <c r="K363" t="s">
        <v>444</v>
      </c>
      <c r="L363" s="157">
        <v>46284</v>
      </c>
      <c r="M363" t="s">
        <v>439</v>
      </c>
      <c r="N363" t="s">
        <v>231</v>
      </c>
      <c r="O363" t="s">
        <v>232</v>
      </c>
      <c r="P363">
        <v>1</v>
      </c>
      <c r="Q363" t="s">
        <v>247</v>
      </c>
    </row>
    <row r="364" spans="1:17" s="25" customFormat="1">
      <c r="A364" s="111">
        <v>7.5365310416666675E-3</v>
      </c>
      <c r="B364" t="s">
        <v>97</v>
      </c>
      <c r="C364"/>
      <c r="D364"/>
      <c r="E364" t="s">
        <v>186</v>
      </c>
      <c r="F364"/>
      <c r="G364" t="s">
        <v>98</v>
      </c>
      <c r="H364"/>
      <c r="I364" s="158">
        <v>46285.8981712963</v>
      </c>
      <c r="J364" t="s">
        <v>490</v>
      </c>
      <c r="K364" t="s">
        <v>444</v>
      </c>
      <c r="L364" s="157">
        <v>46284</v>
      </c>
      <c r="M364" t="s">
        <v>439</v>
      </c>
      <c r="N364" t="s">
        <v>231</v>
      </c>
      <c r="O364" t="s">
        <v>232</v>
      </c>
      <c r="P364">
        <v>1</v>
      </c>
      <c r="Q364" t="s">
        <v>247</v>
      </c>
    </row>
    <row r="365" spans="1:17" s="25" customFormat="1">
      <c r="A365" s="111">
        <v>7.507644131944444E-3</v>
      </c>
      <c r="B365" t="s">
        <v>97</v>
      </c>
      <c r="C365"/>
      <c r="D365"/>
      <c r="E365" t="s">
        <v>184</v>
      </c>
      <c r="F365"/>
      <c r="G365" t="s">
        <v>164</v>
      </c>
      <c r="H365"/>
      <c r="I365" s="158">
        <v>46285.898101851853</v>
      </c>
      <c r="J365" t="s">
        <v>490</v>
      </c>
      <c r="K365" t="s">
        <v>444</v>
      </c>
      <c r="L365" s="157">
        <v>46284</v>
      </c>
      <c r="M365" t="s">
        <v>439</v>
      </c>
      <c r="N365" t="s">
        <v>231</v>
      </c>
      <c r="O365" t="s">
        <v>232</v>
      </c>
      <c r="P365">
        <v>1</v>
      </c>
      <c r="Q365" t="s">
        <v>247</v>
      </c>
    </row>
    <row r="366" spans="1:17" s="25" customFormat="1">
      <c r="A366" s="111">
        <v>7.4686338078703701E-3</v>
      </c>
      <c r="B366" t="s">
        <v>97</v>
      </c>
      <c r="C366"/>
      <c r="D366"/>
      <c r="E366" t="s">
        <v>188</v>
      </c>
      <c r="F366"/>
      <c r="G366" t="s">
        <v>164</v>
      </c>
      <c r="H366"/>
      <c r="I366" s="158">
        <v>46285.897962962961</v>
      </c>
      <c r="J366" t="s">
        <v>490</v>
      </c>
      <c r="K366" t="s">
        <v>444</v>
      </c>
      <c r="L366" s="157">
        <v>46284</v>
      </c>
      <c r="M366" t="s">
        <v>439</v>
      </c>
      <c r="N366" t="s">
        <v>231</v>
      </c>
      <c r="O366" t="s">
        <v>232</v>
      </c>
      <c r="P366">
        <v>1</v>
      </c>
      <c r="Q366" t="s">
        <v>247</v>
      </c>
    </row>
    <row r="367" spans="1:17" s="25" customFormat="1">
      <c r="A367" s="111">
        <v>7.4686338078703701E-3</v>
      </c>
      <c r="B367" t="s">
        <v>97</v>
      </c>
      <c r="C367"/>
      <c r="D367"/>
      <c r="E367" t="s">
        <v>101</v>
      </c>
      <c r="F367"/>
      <c r="G367" t="s">
        <v>98</v>
      </c>
      <c r="H367"/>
      <c r="I367" s="158">
        <v>46285.897893518515</v>
      </c>
      <c r="J367" t="s">
        <v>490</v>
      </c>
      <c r="K367" t="s">
        <v>444</v>
      </c>
      <c r="L367" s="157">
        <v>46284</v>
      </c>
      <c r="M367" t="s">
        <v>439</v>
      </c>
      <c r="N367" t="s">
        <v>231</v>
      </c>
      <c r="O367" t="s">
        <v>232</v>
      </c>
      <c r="P367">
        <v>1</v>
      </c>
      <c r="Q367" t="s">
        <v>247</v>
      </c>
    </row>
    <row r="368" spans="1:17" s="25" customFormat="1">
      <c r="A368" s="111">
        <v>6.6708966203703696E-3</v>
      </c>
      <c r="B368" t="s">
        <v>97</v>
      </c>
      <c r="C368"/>
      <c r="D368"/>
      <c r="E368" t="s">
        <v>87</v>
      </c>
      <c r="F368"/>
      <c r="G368" t="s">
        <v>98</v>
      </c>
      <c r="H368"/>
      <c r="I368" s="158">
        <v>46285.897673611114</v>
      </c>
      <c r="J368" t="s">
        <v>490</v>
      </c>
      <c r="K368" t="s">
        <v>444</v>
      </c>
      <c r="L368" s="157">
        <v>46284</v>
      </c>
      <c r="M368" t="s">
        <v>439</v>
      </c>
      <c r="N368" t="s">
        <v>231</v>
      </c>
      <c r="O368" t="s">
        <v>232</v>
      </c>
      <c r="P368">
        <v>1</v>
      </c>
      <c r="Q368" t="s">
        <v>247</v>
      </c>
    </row>
    <row r="369" spans="1:17" s="25" customFormat="1">
      <c r="A369" s="111">
        <v>6.6708966203703696E-3</v>
      </c>
      <c r="B369" t="s">
        <v>97</v>
      </c>
      <c r="C369"/>
      <c r="D369"/>
      <c r="E369" t="s">
        <v>213</v>
      </c>
      <c r="F369" t="s">
        <v>206</v>
      </c>
      <c r="G369" t="s">
        <v>98</v>
      </c>
      <c r="H369"/>
      <c r="I369" s="158">
        <v>46285.897673611114</v>
      </c>
      <c r="J369" t="s">
        <v>490</v>
      </c>
      <c r="K369" t="s">
        <v>444</v>
      </c>
      <c r="L369" s="157">
        <v>46284</v>
      </c>
      <c r="M369" t="s">
        <v>439</v>
      </c>
      <c r="N369" t="s">
        <v>231</v>
      </c>
      <c r="O369" t="s">
        <v>232</v>
      </c>
      <c r="P369">
        <v>1</v>
      </c>
      <c r="Q369" t="s">
        <v>247</v>
      </c>
    </row>
    <row r="370" spans="1:17" s="25" customFormat="1">
      <c r="A370" s="111">
        <v>6.4683574074074074E-3</v>
      </c>
      <c r="B370" t="s">
        <v>97</v>
      </c>
      <c r="C370" t="s">
        <v>471</v>
      </c>
      <c r="D370"/>
      <c r="E370" t="s">
        <v>111</v>
      </c>
      <c r="F370"/>
      <c r="G370" t="s">
        <v>98</v>
      </c>
      <c r="H370"/>
      <c r="I370" s="158">
        <v>46285.897372685184</v>
      </c>
      <c r="J370" t="s">
        <v>490</v>
      </c>
      <c r="K370" t="s">
        <v>444</v>
      </c>
      <c r="L370" s="157">
        <v>46284</v>
      </c>
      <c r="M370" t="s">
        <v>439</v>
      </c>
      <c r="N370" t="s">
        <v>231</v>
      </c>
      <c r="O370" t="s">
        <v>232</v>
      </c>
      <c r="P370">
        <v>1</v>
      </c>
      <c r="Q370" t="s">
        <v>247</v>
      </c>
    </row>
    <row r="371" spans="1:17" s="25" customFormat="1">
      <c r="A371" s="111">
        <v>6.3792860763888888E-3</v>
      </c>
      <c r="B371" t="s">
        <v>97</v>
      </c>
      <c r="C371"/>
      <c r="D371"/>
      <c r="E371" t="s">
        <v>104</v>
      </c>
      <c r="F371"/>
      <c r="G371" t="s">
        <v>98</v>
      </c>
      <c r="H371"/>
      <c r="I371" s="158">
        <v>46285.897233796299</v>
      </c>
      <c r="J371" t="s">
        <v>490</v>
      </c>
      <c r="K371" t="s">
        <v>444</v>
      </c>
      <c r="L371" s="157">
        <v>46284</v>
      </c>
      <c r="M371" t="s">
        <v>439</v>
      </c>
      <c r="N371" t="s">
        <v>231</v>
      </c>
      <c r="O371" t="s">
        <v>232</v>
      </c>
      <c r="P371">
        <v>1</v>
      </c>
      <c r="Q371" t="s">
        <v>247</v>
      </c>
    </row>
    <row r="372" spans="1:17" s="25" customFormat="1">
      <c r="A372" s="111">
        <v>5.9311378703703708E-3</v>
      </c>
      <c r="B372" t="s">
        <v>97</v>
      </c>
      <c r="C372"/>
      <c r="D372"/>
      <c r="E372" t="s">
        <v>87</v>
      </c>
      <c r="F372"/>
      <c r="G372" t="s">
        <v>98</v>
      </c>
      <c r="H372"/>
      <c r="I372" s="158">
        <v>46285.89702546296</v>
      </c>
      <c r="J372" t="s">
        <v>490</v>
      </c>
      <c r="K372" t="s">
        <v>444</v>
      </c>
      <c r="L372" s="157">
        <v>46284</v>
      </c>
      <c r="M372" t="s">
        <v>439</v>
      </c>
      <c r="N372" t="s">
        <v>231</v>
      </c>
      <c r="O372" t="s">
        <v>232</v>
      </c>
      <c r="P372">
        <v>1</v>
      </c>
      <c r="Q372" t="s">
        <v>247</v>
      </c>
    </row>
    <row r="373" spans="1:17" s="25" customFormat="1">
      <c r="A373" s="111">
        <v>5.9311378703703708E-3</v>
      </c>
      <c r="B373" t="s">
        <v>97</v>
      </c>
      <c r="C373"/>
      <c r="D373"/>
      <c r="E373" t="s">
        <v>213</v>
      </c>
      <c r="F373" t="s">
        <v>135</v>
      </c>
      <c r="G373" t="s">
        <v>98</v>
      </c>
      <c r="H373"/>
      <c r="I373" s="158">
        <v>46285.89702546296</v>
      </c>
      <c r="J373" t="s">
        <v>490</v>
      </c>
      <c r="K373" t="s">
        <v>444</v>
      </c>
      <c r="L373" s="157">
        <v>46284</v>
      </c>
      <c r="M373" t="s">
        <v>439</v>
      </c>
      <c r="N373" t="s">
        <v>231</v>
      </c>
      <c r="O373" t="s">
        <v>232</v>
      </c>
      <c r="P373">
        <v>1</v>
      </c>
      <c r="Q373" t="s">
        <v>247</v>
      </c>
    </row>
    <row r="374" spans="1:17" s="25" customFormat="1">
      <c r="A374" s="111">
        <v>5.8587409606481481E-3</v>
      </c>
      <c r="B374" t="s">
        <v>97</v>
      </c>
      <c r="C374" t="s">
        <v>476</v>
      </c>
      <c r="D374"/>
      <c r="E374" t="s">
        <v>462</v>
      </c>
      <c r="F374"/>
      <c r="G374" t="s">
        <v>98</v>
      </c>
      <c r="H374"/>
      <c r="I374" s="158">
        <v>46285.896840277775</v>
      </c>
      <c r="J374" t="s">
        <v>490</v>
      </c>
      <c r="K374" t="s">
        <v>444</v>
      </c>
      <c r="L374" s="157">
        <v>46284</v>
      </c>
      <c r="M374" t="s">
        <v>439</v>
      </c>
      <c r="N374" t="s">
        <v>231</v>
      </c>
      <c r="O374" t="s">
        <v>232</v>
      </c>
      <c r="P374">
        <v>1</v>
      </c>
      <c r="Q374" t="s">
        <v>247</v>
      </c>
    </row>
    <row r="375" spans="1:17" s="25" customFormat="1">
      <c r="A375" s="111">
        <v>5.8180942708333334E-3</v>
      </c>
      <c r="B375" t="s">
        <v>97</v>
      </c>
      <c r="C375"/>
      <c r="D375"/>
      <c r="E375" t="s">
        <v>186</v>
      </c>
      <c r="F375"/>
      <c r="G375" t="s">
        <v>98</v>
      </c>
      <c r="H375"/>
      <c r="I375" s="158">
        <v>46285.896678240744</v>
      </c>
      <c r="J375" t="s">
        <v>490</v>
      </c>
      <c r="K375" t="s">
        <v>444</v>
      </c>
      <c r="L375" s="157">
        <v>46284</v>
      </c>
      <c r="M375" t="s">
        <v>439</v>
      </c>
      <c r="N375" t="s">
        <v>231</v>
      </c>
      <c r="O375" t="s">
        <v>232</v>
      </c>
      <c r="P375">
        <v>1</v>
      </c>
      <c r="Q375" t="s">
        <v>247</v>
      </c>
    </row>
    <row r="376" spans="1:17" s="25" customFormat="1">
      <c r="A376" s="111">
        <v>5.7660133564814819E-3</v>
      </c>
      <c r="B376" t="s">
        <v>97</v>
      </c>
      <c r="C376"/>
      <c r="D376"/>
      <c r="E376" t="s">
        <v>184</v>
      </c>
      <c r="F376"/>
      <c r="G376" t="s">
        <v>164</v>
      </c>
      <c r="H376"/>
      <c r="I376" s="158">
        <v>46285.896550925929</v>
      </c>
      <c r="J376" t="s">
        <v>490</v>
      </c>
      <c r="K376" t="s">
        <v>444</v>
      </c>
      <c r="L376" s="157">
        <v>46284</v>
      </c>
      <c r="M376" t="s">
        <v>439</v>
      </c>
      <c r="N376" t="s">
        <v>231</v>
      </c>
      <c r="O376" t="s">
        <v>232</v>
      </c>
      <c r="P376">
        <v>1</v>
      </c>
      <c r="Q376" t="s">
        <v>247</v>
      </c>
    </row>
    <row r="377" spans="1:17" s="25" customFormat="1">
      <c r="A377" s="111">
        <v>5.6443767939814817E-3</v>
      </c>
      <c r="B377" t="s">
        <v>97</v>
      </c>
      <c r="C377" t="s">
        <v>468</v>
      </c>
      <c r="D377"/>
      <c r="E377" t="s">
        <v>108</v>
      </c>
      <c r="F377"/>
      <c r="G377" t="s">
        <v>164</v>
      </c>
      <c r="H377"/>
      <c r="I377" s="158">
        <v>46285.896331018521</v>
      </c>
      <c r="J377" t="s">
        <v>490</v>
      </c>
      <c r="K377" t="s">
        <v>444</v>
      </c>
      <c r="L377" s="157">
        <v>46284</v>
      </c>
      <c r="M377" t="s">
        <v>439</v>
      </c>
      <c r="N377" t="s">
        <v>231</v>
      </c>
      <c r="O377" t="s">
        <v>232</v>
      </c>
      <c r="P377">
        <v>1</v>
      </c>
      <c r="Q377" t="s">
        <v>247</v>
      </c>
    </row>
    <row r="378" spans="1:17" s="25" customFormat="1">
      <c r="A378" s="111">
        <v>5.6335743287037037E-3</v>
      </c>
      <c r="B378" t="s">
        <v>97</v>
      </c>
      <c r="C378"/>
      <c r="D378"/>
      <c r="E378" t="s">
        <v>188</v>
      </c>
      <c r="F378"/>
      <c r="G378" t="s">
        <v>164</v>
      </c>
      <c r="H378"/>
      <c r="I378" s="158">
        <v>46285.895972222221</v>
      </c>
      <c r="J378" t="s">
        <v>490</v>
      </c>
      <c r="K378" t="s">
        <v>444</v>
      </c>
      <c r="L378" s="157">
        <v>46284</v>
      </c>
      <c r="M378" t="s">
        <v>439</v>
      </c>
      <c r="N378" t="s">
        <v>231</v>
      </c>
      <c r="O378" t="s">
        <v>232</v>
      </c>
      <c r="P378">
        <v>1</v>
      </c>
      <c r="Q378" t="s">
        <v>247</v>
      </c>
    </row>
    <row r="379" spans="1:17" s="25" customFormat="1">
      <c r="A379" s="111">
        <v>5.5812996527777776E-3</v>
      </c>
      <c r="B379" t="s">
        <v>97</v>
      </c>
      <c r="C379"/>
      <c r="D379"/>
      <c r="E379" t="s">
        <v>100</v>
      </c>
      <c r="F379"/>
      <c r="G379" t="s">
        <v>164</v>
      </c>
      <c r="H379"/>
      <c r="I379" s="158">
        <v>46285.895833333336</v>
      </c>
      <c r="J379" t="s">
        <v>490</v>
      </c>
      <c r="K379" t="s">
        <v>444</v>
      </c>
      <c r="L379" s="157">
        <v>46284</v>
      </c>
      <c r="M379" t="s">
        <v>439</v>
      </c>
      <c r="N379" t="s">
        <v>231</v>
      </c>
      <c r="O379" t="s">
        <v>232</v>
      </c>
      <c r="P379">
        <v>1</v>
      </c>
      <c r="Q379" t="s">
        <v>247</v>
      </c>
    </row>
    <row r="380" spans="1:17" s="25" customFormat="1">
      <c r="A380" s="111">
        <v>5.3415384374999996E-3</v>
      </c>
      <c r="B380" t="s">
        <v>97</v>
      </c>
      <c r="C380"/>
      <c r="D380"/>
      <c r="E380" t="s">
        <v>115</v>
      </c>
      <c r="F380"/>
      <c r="G380" t="s">
        <v>164</v>
      </c>
      <c r="H380"/>
      <c r="I380" s="158">
        <v>46285.895694444444</v>
      </c>
      <c r="J380" t="s">
        <v>490</v>
      </c>
      <c r="K380" t="s">
        <v>444</v>
      </c>
      <c r="L380" s="157">
        <v>46284</v>
      </c>
      <c r="M380" t="s">
        <v>439</v>
      </c>
      <c r="N380" t="s">
        <v>231</v>
      </c>
      <c r="O380" t="s">
        <v>232</v>
      </c>
      <c r="P380">
        <v>1</v>
      </c>
      <c r="Q380" t="s">
        <v>247</v>
      </c>
    </row>
    <row r="381" spans="1:17" s="25" customFormat="1">
      <c r="A381" s="111">
        <v>4.8111918518518523E-3</v>
      </c>
      <c r="B381" t="s">
        <v>97</v>
      </c>
      <c r="C381"/>
      <c r="D381"/>
      <c r="E381" t="s">
        <v>87</v>
      </c>
      <c r="F381"/>
      <c r="G381" t="s">
        <v>164</v>
      </c>
      <c r="H381"/>
      <c r="I381" s="158">
        <v>46285.895509259259</v>
      </c>
      <c r="J381" t="s">
        <v>490</v>
      </c>
      <c r="K381" t="s">
        <v>444</v>
      </c>
      <c r="L381" s="157">
        <v>46284</v>
      </c>
      <c r="M381" t="s">
        <v>439</v>
      </c>
      <c r="N381" t="s">
        <v>231</v>
      </c>
      <c r="O381" t="s">
        <v>232</v>
      </c>
      <c r="P381">
        <v>1</v>
      </c>
      <c r="Q381" t="s">
        <v>247</v>
      </c>
    </row>
    <row r="382" spans="1:17" s="25" customFormat="1">
      <c r="A382" s="111">
        <v>4.8111918518518523E-3</v>
      </c>
      <c r="B382" t="s">
        <v>97</v>
      </c>
      <c r="C382"/>
      <c r="D382"/>
      <c r="E382" t="s">
        <v>103</v>
      </c>
      <c r="F382"/>
      <c r="G382" t="s">
        <v>164</v>
      </c>
      <c r="H382"/>
      <c r="I382" s="158">
        <v>46285.895509259259</v>
      </c>
      <c r="J382" t="s">
        <v>490</v>
      </c>
      <c r="K382" t="s">
        <v>444</v>
      </c>
      <c r="L382" s="157">
        <v>46284</v>
      </c>
      <c r="M382" t="s">
        <v>439</v>
      </c>
      <c r="N382" t="s">
        <v>231</v>
      </c>
      <c r="O382" t="s">
        <v>232</v>
      </c>
      <c r="P382">
        <v>1</v>
      </c>
      <c r="Q382" t="s">
        <v>247</v>
      </c>
    </row>
    <row r="383" spans="1:17" s="25" customFormat="1">
      <c r="A383" s="111">
        <v>4.7706965856481477E-3</v>
      </c>
      <c r="B383" t="s">
        <v>97</v>
      </c>
      <c r="C383" t="s">
        <v>477</v>
      </c>
      <c r="D383"/>
      <c r="E383" t="s">
        <v>135</v>
      </c>
      <c r="F383"/>
      <c r="G383" t="s">
        <v>164</v>
      </c>
      <c r="H383"/>
      <c r="I383" s="158">
        <v>46285.895405092589</v>
      </c>
      <c r="J383" t="s">
        <v>490</v>
      </c>
      <c r="K383" t="s">
        <v>444</v>
      </c>
      <c r="L383" s="157">
        <v>46284</v>
      </c>
      <c r="M383" t="s">
        <v>439</v>
      </c>
      <c r="N383" t="s">
        <v>231</v>
      </c>
      <c r="O383" t="s">
        <v>232</v>
      </c>
      <c r="P383">
        <v>1</v>
      </c>
      <c r="Q383" t="s">
        <v>247</v>
      </c>
    </row>
    <row r="384" spans="1:17" s="25" customFormat="1">
      <c r="A384" s="111">
        <v>4.7664129050925931E-3</v>
      </c>
      <c r="B384" t="s">
        <v>97</v>
      </c>
      <c r="C384" t="s">
        <v>474</v>
      </c>
      <c r="D384"/>
      <c r="E384" t="s">
        <v>108</v>
      </c>
      <c r="F384"/>
      <c r="G384" t="s">
        <v>164</v>
      </c>
      <c r="H384"/>
      <c r="I384" s="158">
        <v>46285.895277777781</v>
      </c>
      <c r="J384" t="s">
        <v>490</v>
      </c>
      <c r="K384" t="s">
        <v>444</v>
      </c>
      <c r="L384" s="157">
        <v>46284</v>
      </c>
      <c r="M384" t="s">
        <v>439</v>
      </c>
      <c r="N384" t="s">
        <v>231</v>
      </c>
      <c r="O384" t="s">
        <v>232</v>
      </c>
      <c r="P384">
        <v>1</v>
      </c>
      <c r="Q384" t="s">
        <v>247</v>
      </c>
    </row>
    <row r="385" spans="1:17" s="25" customFormat="1">
      <c r="A385" s="111">
        <v>4.7201950231481483E-3</v>
      </c>
      <c r="B385" t="s">
        <v>97</v>
      </c>
      <c r="C385" t="s">
        <v>471</v>
      </c>
      <c r="D385"/>
      <c r="E385" t="s">
        <v>135</v>
      </c>
      <c r="F385"/>
      <c r="G385" t="s">
        <v>164</v>
      </c>
      <c r="H385"/>
      <c r="I385" s="158">
        <v>46285.895115740743</v>
      </c>
      <c r="J385" t="s">
        <v>490</v>
      </c>
      <c r="K385" t="s">
        <v>444</v>
      </c>
      <c r="L385" s="157">
        <v>46284</v>
      </c>
      <c r="M385" t="s">
        <v>439</v>
      </c>
      <c r="N385" t="s">
        <v>231</v>
      </c>
      <c r="O385" t="s">
        <v>232</v>
      </c>
      <c r="P385">
        <v>1</v>
      </c>
      <c r="Q385" t="s">
        <v>247</v>
      </c>
    </row>
    <row r="386" spans="1:17" s="25" customFormat="1">
      <c r="A386" s="111">
        <v>4.6520920833333333E-3</v>
      </c>
      <c r="B386" t="s">
        <v>97</v>
      </c>
      <c r="C386" t="s">
        <v>481</v>
      </c>
      <c r="D386"/>
      <c r="E386" t="s">
        <v>108</v>
      </c>
      <c r="F386"/>
      <c r="G386" t="s">
        <v>164</v>
      </c>
      <c r="H386"/>
      <c r="I386" s="158">
        <v>46285.894155092596</v>
      </c>
      <c r="J386" t="s">
        <v>490</v>
      </c>
      <c r="K386" t="s">
        <v>444</v>
      </c>
      <c r="L386" s="157">
        <v>46284</v>
      </c>
      <c r="M386" t="s">
        <v>439</v>
      </c>
      <c r="N386" t="s">
        <v>231</v>
      </c>
      <c r="O386" t="s">
        <v>232</v>
      </c>
      <c r="P386">
        <v>1</v>
      </c>
      <c r="Q386" t="s">
        <v>247</v>
      </c>
    </row>
    <row r="387" spans="1:17" s="25" customFormat="1">
      <c r="A387" s="111">
        <v>4.6066541782407407E-3</v>
      </c>
      <c r="B387" t="s">
        <v>97</v>
      </c>
      <c r="C387" t="s">
        <v>477</v>
      </c>
      <c r="D387"/>
      <c r="E387" t="s">
        <v>135</v>
      </c>
      <c r="F387"/>
      <c r="G387" t="s">
        <v>164</v>
      </c>
      <c r="H387"/>
      <c r="I387" s="158">
        <v>46285.893506944441</v>
      </c>
      <c r="J387" t="s">
        <v>490</v>
      </c>
      <c r="K387" t="s">
        <v>444</v>
      </c>
      <c r="L387" s="157">
        <v>46284</v>
      </c>
      <c r="M387" t="s">
        <v>439</v>
      </c>
      <c r="N387" t="s">
        <v>231</v>
      </c>
      <c r="O387" t="s">
        <v>232</v>
      </c>
      <c r="P387">
        <v>1</v>
      </c>
      <c r="Q387" t="s">
        <v>247</v>
      </c>
    </row>
    <row r="388" spans="1:17" s="25" customFormat="1">
      <c r="A388" s="111">
        <v>4.58934974537037E-3</v>
      </c>
      <c r="B388" t="s">
        <v>97</v>
      </c>
      <c r="C388" t="s">
        <v>473</v>
      </c>
      <c r="D388"/>
      <c r="E388" t="s">
        <v>108</v>
      </c>
      <c r="F388"/>
      <c r="G388" t="s">
        <v>164</v>
      </c>
      <c r="H388"/>
      <c r="I388" s="158">
        <v>46285.89340277778</v>
      </c>
      <c r="J388" t="s">
        <v>490</v>
      </c>
      <c r="K388" t="s">
        <v>444</v>
      </c>
      <c r="L388" s="157">
        <v>46284</v>
      </c>
      <c r="M388" t="s">
        <v>439</v>
      </c>
      <c r="N388" t="s">
        <v>231</v>
      </c>
      <c r="O388" t="s">
        <v>232</v>
      </c>
      <c r="P388">
        <v>1</v>
      </c>
      <c r="Q388" t="s">
        <v>247</v>
      </c>
    </row>
    <row r="389" spans="1:17" s="25" customFormat="1">
      <c r="A389" s="111">
        <v>4.5717822222222223E-3</v>
      </c>
      <c r="B389" t="s">
        <v>97</v>
      </c>
      <c r="C389"/>
      <c r="D389"/>
      <c r="E389" t="s">
        <v>285</v>
      </c>
      <c r="F389"/>
      <c r="G389" t="s">
        <v>164</v>
      </c>
      <c r="H389"/>
      <c r="I389" s="158">
        <v>46285.893252314818</v>
      </c>
      <c r="J389" t="s">
        <v>490</v>
      </c>
      <c r="K389" t="s">
        <v>444</v>
      </c>
      <c r="L389" s="157">
        <v>46284</v>
      </c>
      <c r="M389" t="s">
        <v>439</v>
      </c>
      <c r="N389" t="s">
        <v>231</v>
      </c>
      <c r="O389" t="s">
        <v>232</v>
      </c>
      <c r="P389">
        <v>1</v>
      </c>
      <c r="Q389" t="s">
        <v>247</v>
      </c>
    </row>
    <row r="390" spans="1:17" s="25" customFormat="1">
      <c r="A390" s="111">
        <v>4.4060336921296298E-3</v>
      </c>
      <c r="B390" t="s">
        <v>97</v>
      </c>
      <c r="C390"/>
      <c r="D390"/>
      <c r="E390" t="s">
        <v>105</v>
      </c>
      <c r="F390"/>
      <c r="G390" t="s">
        <v>164</v>
      </c>
      <c r="H390"/>
      <c r="I390" s="158">
        <v>46285.893159722225</v>
      </c>
      <c r="J390" t="s">
        <v>490</v>
      </c>
      <c r="K390" t="s">
        <v>444</v>
      </c>
      <c r="L390" s="157">
        <v>46284</v>
      </c>
      <c r="M390" t="s">
        <v>439</v>
      </c>
      <c r="N390" t="s">
        <v>231</v>
      </c>
      <c r="O390" t="s">
        <v>232</v>
      </c>
      <c r="P390">
        <v>1</v>
      </c>
      <c r="Q390" t="s">
        <v>247</v>
      </c>
    </row>
    <row r="391" spans="1:17" s="25" customFormat="1">
      <c r="A391" s="111">
        <v>3.7557267245370372E-3</v>
      </c>
      <c r="B391" t="s">
        <v>97</v>
      </c>
      <c r="C391"/>
      <c r="D391"/>
      <c r="E391" t="s">
        <v>87</v>
      </c>
      <c r="F391"/>
      <c r="G391" t="s">
        <v>98</v>
      </c>
      <c r="H391"/>
      <c r="I391" s="158">
        <v>46285.892650462964</v>
      </c>
      <c r="J391" t="s">
        <v>490</v>
      </c>
      <c r="K391" t="s">
        <v>444</v>
      </c>
      <c r="L391" s="157">
        <v>46284</v>
      </c>
      <c r="M391" t="s">
        <v>439</v>
      </c>
      <c r="N391" t="s">
        <v>231</v>
      </c>
      <c r="O391" t="s">
        <v>232</v>
      </c>
      <c r="P391">
        <v>1</v>
      </c>
      <c r="Q391" t="s">
        <v>247</v>
      </c>
    </row>
    <row r="392" spans="1:17" s="25" customFormat="1">
      <c r="A392" s="111">
        <v>3.6844218287037035E-3</v>
      </c>
      <c r="B392" t="s">
        <v>97</v>
      </c>
      <c r="C392"/>
      <c r="D392"/>
      <c r="E392" t="s">
        <v>186</v>
      </c>
      <c r="F392"/>
      <c r="G392" t="s">
        <v>98</v>
      </c>
      <c r="H392"/>
      <c r="I392" s="158">
        <v>46285.892546296294</v>
      </c>
      <c r="J392" t="s">
        <v>490</v>
      </c>
      <c r="K392" t="s">
        <v>444</v>
      </c>
      <c r="L392" s="157">
        <v>46284</v>
      </c>
      <c r="M392" t="s">
        <v>439</v>
      </c>
      <c r="N392" t="s">
        <v>231</v>
      </c>
      <c r="O392" t="s">
        <v>232</v>
      </c>
      <c r="P392">
        <v>1</v>
      </c>
      <c r="Q392" t="s">
        <v>247</v>
      </c>
    </row>
    <row r="393" spans="1:17" s="25" customFormat="1">
      <c r="A393" s="111">
        <v>3.6167043981481478E-3</v>
      </c>
      <c r="B393" t="s">
        <v>97</v>
      </c>
      <c r="C393"/>
      <c r="D393"/>
      <c r="E393" t="s">
        <v>184</v>
      </c>
      <c r="F393"/>
      <c r="G393" t="s">
        <v>164</v>
      </c>
      <c r="H393"/>
      <c r="I393" s="158">
        <v>46285.892465277779</v>
      </c>
      <c r="J393" t="s">
        <v>490</v>
      </c>
      <c r="K393" t="s">
        <v>444</v>
      </c>
      <c r="L393" s="157">
        <v>46284</v>
      </c>
      <c r="M393" t="s">
        <v>439</v>
      </c>
      <c r="N393" t="s">
        <v>231</v>
      </c>
      <c r="O393" t="s">
        <v>232</v>
      </c>
      <c r="P393">
        <v>1</v>
      </c>
      <c r="Q393" t="s">
        <v>247</v>
      </c>
    </row>
    <row r="394" spans="1:17" s="25" customFormat="1">
      <c r="A394" s="111">
        <v>3.5760452893518514E-3</v>
      </c>
      <c r="B394" t="s">
        <v>97</v>
      </c>
      <c r="C394"/>
      <c r="D394"/>
      <c r="E394" t="s">
        <v>188</v>
      </c>
      <c r="F394"/>
      <c r="G394" t="s">
        <v>164</v>
      </c>
      <c r="H394"/>
      <c r="I394" s="158">
        <v>46285.892395833333</v>
      </c>
      <c r="J394" t="s">
        <v>490</v>
      </c>
      <c r="K394" t="s">
        <v>444</v>
      </c>
      <c r="L394" s="157">
        <v>46284</v>
      </c>
      <c r="M394" t="s">
        <v>439</v>
      </c>
      <c r="N394" t="s">
        <v>231</v>
      </c>
      <c r="O394" t="s">
        <v>232</v>
      </c>
      <c r="P394">
        <v>1</v>
      </c>
      <c r="Q394" t="s">
        <v>247</v>
      </c>
    </row>
    <row r="395" spans="1:17" s="25" customFormat="1">
      <c r="A395" s="111">
        <v>3.5296979629629633E-3</v>
      </c>
      <c r="B395" t="s">
        <v>97</v>
      </c>
      <c r="C395"/>
      <c r="D395"/>
      <c r="E395" t="s">
        <v>184</v>
      </c>
      <c r="F395"/>
      <c r="G395" t="s">
        <v>98</v>
      </c>
      <c r="H395"/>
      <c r="I395" s="158">
        <v>46285.892314814817</v>
      </c>
      <c r="J395" t="s">
        <v>490</v>
      </c>
      <c r="K395" t="s">
        <v>444</v>
      </c>
      <c r="L395" s="157">
        <v>46284</v>
      </c>
      <c r="M395" t="s">
        <v>439</v>
      </c>
      <c r="N395" t="s">
        <v>231</v>
      </c>
      <c r="O395" t="s">
        <v>232</v>
      </c>
      <c r="P395">
        <v>1</v>
      </c>
      <c r="Q395" t="s">
        <v>247</v>
      </c>
    </row>
    <row r="396" spans="1:17" s="25" customFormat="1">
      <c r="A396" s="111">
        <v>3.5067622800925924E-3</v>
      </c>
      <c r="B396" t="s">
        <v>97</v>
      </c>
      <c r="C396"/>
      <c r="D396"/>
      <c r="E396" t="s">
        <v>186</v>
      </c>
      <c r="F396"/>
      <c r="G396" t="s">
        <v>98</v>
      </c>
      <c r="H396"/>
      <c r="I396" s="158">
        <v>46285.892129629632</v>
      </c>
      <c r="J396" t="s">
        <v>490</v>
      </c>
      <c r="K396" t="s">
        <v>444</v>
      </c>
      <c r="L396" s="157">
        <v>46284</v>
      </c>
      <c r="M396" t="s">
        <v>439</v>
      </c>
      <c r="N396" t="s">
        <v>231</v>
      </c>
      <c r="O396" t="s">
        <v>232</v>
      </c>
      <c r="P396">
        <v>1</v>
      </c>
      <c r="Q396" t="s">
        <v>247</v>
      </c>
    </row>
    <row r="397" spans="1:17" s="25" customFormat="1">
      <c r="A397" s="111">
        <v>3.4835690972222222E-3</v>
      </c>
      <c r="B397" t="s">
        <v>97</v>
      </c>
      <c r="C397"/>
      <c r="D397"/>
      <c r="E397" t="s">
        <v>184</v>
      </c>
      <c r="F397"/>
      <c r="G397" t="s">
        <v>164</v>
      </c>
      <c r="H397"/>
      <c r="I397" s="158">
        <v>46285.892048611109</v>
      </c>
      <c r="J397" t="s">
        <v>490</v>
      </c>
      <c r="K397" t="s">
        <v>444</v>
      </c>
      <c r="L397" s="157">
        <v>46284</v>
      </c>
      <c r="M397" t="s">
        <v>439</v>
      </c>
      <c r="N397" t="s">
        <v>231</v>
      </c>
      <c r="O397" t="s">
        <v>232</v>
      </c>
      <c r="P397">
        <v>1</v>
      </c>
      <c r="Q397" t="s">
        <v>247</v>
      </c>
    </row>
    <row r="398" spans="1:17" s="25" customFormat="1">
      <c r="A398" s="111">
        <v>3.4429587731481478E-3</v>
      </c>
      <c r="B398" t="s">
        <v>97</v>
      </c>
      <c r="C398"/>
      <c r="D398"/>
      <c r="E398" t="s">
        <v>188</v>
      </c>
      <c r="F398"/>
      <c r="G398" t="s">
        <v>164</v>
      </c>
      <c r="H398"/>
      <c r="I398" s="158">
        <v>46285.891793981478</v>
      </c>
      <c r="J398" t="s">
        <v>490</v>
      </c>
      <c r="K398" t="s">
        <v>444</v>
      </c>
      <c r="L398" s="157">
        <v>46284</v>
      </c>
      <c r="M398" t="s">
        <v>439</v>
      </c>
      <c r="N398" t="s">
        <v>231</v>
      </c>
      <c r="O398" t="s">
        <v>232</v>
      </c>
      <c r="P398">
        <v>1</v>
      </c>
      <c r="Q398" t="s">
        <v>247</v>
      </c>
    </row>
    <row r="399" spans="1:17" s="25" customFormat="1">
      <c r="A399" s="111">
        <v>3.4080115740740742E-3</v>
      </c>
      <c r="B399" t="s">
        <v>97</v>
      </c>
      <c r="C399"/>
      <c r="D399"/>
      <c r="E399" t="s">
        <v>184</v>
      </c>
      <c r="F399"/>
      <c r="G399" t="s">
        <v>98</v>
      </c>
      <c r="H399"/>
      <c r="I399" s="158">
        <v>46285.891736111109</v>
      </c>
      <c r="J399" t="s">
        <v>490</v>
      </c>
      <c r="K399" t="s">
        <v>444</v>
      </c>
      <c r="L399" s="157">
        <v>46284</v>
      </c>
      <c r="M399" t="s">
        <v>439</v>
      </c>
      <c r="N399" t="s">
        <v>231</v>
      </c>
      <c r="O399" t="s">
        <v>232</v>
      </c>
      <c r="P399">
        <v>1</v>
      </c>
      <c r="Q399" t="s">
        <v>247</v>
      </c>
    </row>
    <row r="400" spans="1:17" s="25" customFormat="1">
      <c r="A400" s="111">
        <v>3.2637734143518521E-3</v>
      </c>
      <c r="B400" t="s">
        <v>97</v>
      </c>
      <c r="C400"/>
      <c r="D400"/>
      <c r="E400" t="s">
        <v>186</v>
      </c>
      <c r="F400"/>
      <c r="G400" t="s">
        <v>98</v>
      </c>
      <c r="H400"/>
      <c r="I400" s="158">
        <v>46285.891574074078</v>
      </c>
      <c r="J400" t="s">
        <v>490</v>
      </c>
      <c r="K400" t="s">
        <v>444</v>
      </c>
      <c r="L400" s="157">
        <v>46284</v>
      </c>
      <c r="M400" t="s">
        <v>439</v>
      </c>
      <c r="N400" t="s">
        <v>231</v>
      </c>
      <c r="O400" t="s">
        <v>232</v>
      </c>
      <c r="P400">
        <v>1</v>
      </c>
      <c r="Q400" t="s">
        <v>247</v>
      </c>
    </row>
    <row r="401" spans="1:17" s="25" customFormat="1">
      <c r="A401" s="111">
        <v>3.2059268402777775E-3</v>
      </c>
      <c r="B401" t="s">
        <v>97</v>
      </c>
      <c r="C401"/>
      <c r="D401"/>
      <c r="E401" t="s">
        <v>184</v>
      </c>
      <c r="F401"/>
      <c r="G401" t="s">
        <v>164</v>
      </c>
      <c r="H401"/>
      <c r="I401" s="158">
        <v>46285.891435185185</v>
      </c>
      <c r="J401" t="s">
        <v>490</v>
      </c>
      <c r="K401" t="s">
        <v>444</v>
      </c>
      <c r="L401" s="157">
        <v>46284</v>
      </c>
      <c r="M401" t="s">
        <v>439</v>
      </c>
      <c r="N401" t="s">
        <v>231</v>
      </c>
      <c r="O401" t="s">
        <v>232</v>
      </c>
      <c r="P401">
        <v>1</v>
      </c>
      <c r="Q401" t="s">
        <v>247</v>
      </c>
    </row>
    <row r="402" spans="1:17" s="25" customFormat="1">
      <c r="A402" s="111">
        <v>3.1652951620370368E-3</v>
      </c>
      <c r="B402" t="s">
        <v>97</v>
      </c>
      <c r="C402"/>
      <c r="D402"/>
      <c r="E402" t="s">
        <v>113</v>
      </c>
      <c r="F402"/>
      <c r="G402" t="s">
        <v>164</v>
      </c>
      <c r="H402"/>
      <c r="I402" s="158">
        <v>46285.891342592593</v>
      </c>
      <c r="J402" t="s">
        <v>490</v>
      </c>
      <c r="K402" t="s">
        <v>444</v>
      </c>
      <c r="L402" s="157">
        <v>46284</v>
      </c>
      <c r="M402" t="s">
        <v>439</v>
      </c>
      <c r="N402" t="s">
        <v>231</v>
      </c>
      <c r="O402" t="s">
        <v>232</v>
      </c>
      <c r="P402">
        <v>1</v>
      </c>
      <c r="Q402" t="s">
        <v>247</v>
      </c>
    </row>
    <row r="403" spans="1:17" s="25" customFormat="1">
      <c r="A403" s="111">
        <v>3.0931257175925925E-3</v>
      </c>
      <c r="B403" t="s">
        <v>97</v>
      </c>
      <c r="C403"/>
      <c r="D403"/>
      <c r="E403" t="s">
        <v>104</v>
      </c>
      <c r="F403"/>
      <c r="G403" t="s">
        <v>164</v>
      </c>
      <c r="H403"/>
      <c r="I403" s="158">
        <v>46285.891226851854</v>
      </c>
      <c r="J403" t="s">
        <v>490</v>
      </c>
      <c r="K403" t="s">
        <v>444</v>
      </c>
      <c r="L403" s="157">
        <v>46284</v>
      </c>
      <c r="M403" t="s">
        <v>439</v>
      </c>
      <c r="N403" t="s">
        <v>231</v>
      </c>
      <c r="O403" t="s">
        <v>232</v>
      </c>
      <c r="P403">
        <v>1</v>
      </c>
      <c r="Q403" t="s">
        <v>247</v>
      </c>
    </row>
    <row r="404" spans="1:17" s="25" customFormat="1">
      <c r="A404" s="111">
        <v>2.6806235069444444E-3</v>
      </c>
      <c r="B404" t="s">
        <v>97</v>
      </c>
      <c r="C404"/>
      <c r="D404"/>
      <c r="E404" t="s">
        <v>87</v>
      </c>
      <c r="F404"/>
      <c r="G404" t="s">
        <v>164</v>
      </c>
      <c r="H404"/>
      <c r="I404" s="158">
        <v>46285.890405092592</v>
      </c>
      <c r="J404" t="s">
        <v>490</v>
      </c>
      <c r="K404" t="s">
        <v>444</v>
      </c>
      <c r="L404" s="157">
        <v>46284</v>
      </c>
      <c r="M404" t="s">
        <v>439</v>
      </c>
      <c r="N404" t="s">
        <v>231</v>
      </c>
      <c r="O404" t="s">
        <v>232</v>
      </c>
      <c r="P404">
        <v>1</v>
      </c>
      <c r="Q404" t="s">
        <v>247</v>
      </c>
    </row>
    <row r="405" spans="1:17" s="25" customFormat="1">
      <c r="A405" s="111">
        <v>2.6806235069444444E-3</v>
      </c>
      <c r="B405" t="s">
        <v>97</v>
      </c>
      <c r="C405" t="s">
        <v>82</v>
      </c>
      <c r="D405" t="s">
        <v>82</v>
      </c>
      <c r="E405" t="s">
        <v>214</v>
      </c>
      <c r="F405" t="s">
        <v>82</v>
      </c>
      <c r="G405" t="s">
        <v>164</v>
      </c>
      <c r="H405" t="s">
        <v>513</v>
      </c>
      <c r="I405" s="158">
        <v>46285.890393518515</v>
      </c>
      <c r="J405" t="s">
        <v>490</v>
      </c>
      <c r="K405" t="s">
        <v>444</v>
      </c>
      <c r="L405" s="157">
        <v>46284</v>
      </c>
      <c r="M405" t="s">
        <v>439</v>
      </c>
      <c r="N405" t="s">
        <v>231</v>
      </c>
      <c r="O405" t="s">
        <v>232</v>
      </c>
      <c r="P405">
        <v>1</v>
      </c>
      <c r="Q405" t="s">
        <v>247</v>
      </c>
    </row>
    <row r="406" spans="1:17" s="25" customFormat="1">
      <c r="A406" s="111">
        <v>2.6125402546296294E-3</v>
      </c>
      <c r="B406" t="s">
        <v>97</v>
      </c>
      <c r="C406" t="s">
        <v>474</v>
      </c>
      <c r="D406"/>
      <c r="E406" t="s">
        <v>111</v>
      </c>
      <c r="F406"/>
      <c r="G406" t="s">
        <v>98</v>
      </c>
      <c r="H406"/>
      <c r="I406" s="158">
        <v>46285.889791666668</v>
      </c>
      <c r="J406" t="s">
        <v>490</v>
      </c>
      <c r="K406" t="s">
        <v>444</v>
      </c>
      <c r="L406" s="157">
        <v>46284</v>
      </c>
      <c r="M406" t="s">
        <v>439</v>
      </c>
      <c r="N406" t="s">
        <v>231</v>
      </c>
      <c r="O406" t="s">
        <v>232</v>
      </c>
      <c r="P406">
        <v>1</v>
      </c>
      <c r="Q406" t="s">
        <v>247</v>
      </c>
    </row>
    <row r="407" spans="1:17" s="25" customFormat="1">
      <c r="A407" s="111">
        <v>2.5488273495370369E-3</v>
      </c>
      <c r="B407" t="s">
        <v>97</v>
      </c>
      <c r="C407"/>
      <c r="D407"/>
      <c r="E407" t="s">
        <v>104</v>
      </c>
      <c r="F407"/>
      <c r="G407" t="s">
        <v>98</v>
      </c>
      <c r="H407"/>
      <c r="I407" s="158">
        <v>46285.88962962963</v>
      </c>
      <c r="J407" t="s">
        <v>490</v>
      </c>
      <c r="K407" t="s">
        <v>444</v>
      </c>
      <c r="L407" s="157">
        <v>46284</v>
      </c>
      <c r="M407" t="s">
        <v>439</v>
      </c>
      <c r="N407" t="s">
        <v>231</v>
      </c>
      <c r="O407" t="s">
        <v>232</v>
      </c>
      <c r="P407">
        <v>1</v>
      </c>
      <c r="Q407" t="s">
        <v>247</v>
      </c>
    </row>
    <row r="408" spans="1:17" s="25" customFormat="1">
      <c r="A408" s="111">
        <v>2.0071859837962965E-3</v>
      </c>
      <c r="B408" t="s">
        <v>97</v>
      </c>
      <c r="C408"/>
      <c r="D408"/>
      <c r="E408" t="s">
        <v>87</v>
      </c>
      <c r="F408"/>
      <c r="G408" t="s">
        <v>98</v>
      </c>
      <c r="H408"/>
      <c r="I408" s="158">
        <v>46285.88853009259</v>
      </c>
      <c r="J408" t="s">
        <v>490</v>
      </c>
      <c r="K408" t="s">
        <v>444</v>
      </c>
      <c r="L408" s="157">
        <v>46284</v>
      </c>
      <c r="M408" t="s">
        <v>439</v>
      </c>
      <c r="N408" t="s">
        <v>231</v>
      </c>
      <c r="O408" t="s">
        <v>232</v>
      </c>
      <c r="P408">
        <v>1</v>
      </c>
      <c r="Q408" t="s">
        <v>247</v>
      </c>
    </row>
    <row r="409" spans="1:17" s="25" customFormat="1">
      <c r="A409" s="111">
        <v>2.0071859837962965E-3</v>
      </c>
      <c r="B409" t="s">
        <v>97</v>
      </c>
      <c r="C409"/>
      <c r="D409"/>
      <c r="E409" t="s">
        <v>213</v>
      </c>
      <c r="F409" t="s">
        <v>135</v>
      </c>
      <c r="G409" t="s">
        <v>98</v>
      </c>
      <c r="H409"/>
      <c r="I409" s="158">
        <v>46285.88853009259</v>
      </c>
      <c r="J409" t="s">
        <v>490</v>
      </c>
      <c r="K409" t="s">
        <v>444</v>
      </c>
      <c r="L409" s="157">
        <v>46284</v>
      </c>
      <c r="M409" t="s">
        <v>439</v>
      </c>
      <c r="N409" t="s">
        <v>231</v>
      </c>
      <c r="O409" t="s">
        <v>232</v>
      </c>
      <c r="P409">
        <v>1</v>
      </c>
      <c r="Q409" t="s">
        <v>247</v>
      </c>
    </row>
    <row r="410" spans="1:17" s="25" customFormat="1">
      <c r="A410" s="111">
        <v>1.9057497685185186E-3</v>
      </c>
      <c r="B410" t="s">
        <v>97</v>
      </c>
      <c r="C410" t="s">
        <v>472</v>
      </c>
      <c r="D410"/>
      <c r="E410" t="s">
        <v>462</v>
      </c>
      <c r="F410"/>
      <c r="G410" t="s">
        <v>98</v>
      </c>
      <c r="H410"/>
      <c r="I410" s="158">
        <v>46285.887928240743</v>
      </c>
      <c r="J410" t="s">
        <v>490</v>
      </c>
      <c r="K410" t="s">
        <v>444</v>
      </c>
      <c r="L410" s="157">
        <v>46284</v>
      </c>
      <c r="M410" t="s">
        <v>439</v>
      </c>
      <c r="N410" t="s">
        <v>231</v>
      </c>
      <c r="O410" t="s">
        <v>232</v>
      </c>
      <c r="P410">
        <v>1</v>
      </c>
      <c r="Q410" t="s">
        <v>247</v>
      </c>
    </row>
    <row r="411" spans="1:17" s="25" customFormat="1">
      <c r="A411" s="111">
        <v>1.8141224652777779E-3</v>
      </c>
      <c r="B411" t="s">
        <v>97</v>
      </c>
      <c r="C411" t="s">
        <v>468</v>
      </c>
      <c r="D411"/>
      <c r="E411" t="s">
        <v>463</v>
      </c>
      <c r="F411"/>
      <c r="G411" t="s">
        <v>98</v>
      </c>
      <c r="H411"/>
      <c r="I411" s="158">
        <v>46285.887604166666</v>
      </c>
      <c r="J411" t="s">
        <v>490</v>
      </c>
      <c r="K411" t="s">
        <v>444</v>
      </c>
      <c r="L411" s="157">
        <v>46284</v>
      </c>
      <c r="M411" t="s">
        <v>439</v>
      </c>
      <c r="N411" t="s">
        <v>231</v>
      </c>
      <c r="O411" t="s">
        <v>232</v>
      </c>
      <c r="P411">
        <v>1</v>
      </c>
      <c r="Q411" t="s">
        <v>247</v>
      </c>
    </row>
    <row r="412" spans="1:17" s="25" customFormat="1">
      <c r="A412" s="111">
        <v>1.6544777314814816E-3</v>
      </c>
      <c r="B412" t="s">
        <v>97</v>
      </c>
      <c r="C412" t="s">
        <v>475</v>
      </c>
      <c r="D412"/>
      <c r="E412" t="s">
        <v>462</v>
      </c>
      <c r="F412"/>
      <c r="G412" t="s">
        <v>98</v>
      </c>
      <c r="H412"/>
      <c r="I412" s="158">
        <v>46285.887152777781</v>
      </c>
      <c r="J412" t="s">
        <v>490</v>
      </c>
      <c r="K412" t="s">
        <v>444</v>
      </c>
      <c r="L412" s="157">
        <v>46284</v>
      </c>
      <c r="M412" t="s">
        <v>439</v>
      </c>
      <c r="N412" t="s">
        <v>231</v>
      </c>
      <c r="O412" t="s">
        <v>232</v>
      </c>
      <c r="P412">
        <v>1</v>
      </c>
      <c r="Q412" t="s">
        <v>247</v>
      </c>
    </row>
    <row r="413" spans="1:17" s="25" customFormat="1">
      <c r="A413" s="111">
        <v>1.6504192824074073E-3</v>
      </c>
      <c r="B413" t="s">
        <v>97</v>
      </c>
      <c r="C413"/>
      <c r="D413"/>
      <c r="E413" t="s">
        <v>186</v>
      </c>
      <c r="F413"/>
      <c r="G413" t="s">
        <v>98</v>
      </c>
      <c r="H413"/>
      <c r="I413" s="158">
        <v>46285.886423611111</v>
      </c>
      <c r="J413" t="s">
        <v>490</v>
      </c>
      <c r="K413" t="s">
        <v>444</v>
      </c>
      <c r="L413" s="157">
        <v>46284</v>
      </c>
      <c r="M413" t="s">
        <v>439</v>
      </c>
      <c r="N413" t="s">
        <v>231</v>
      </c>
      <c r="O413" t="s">
        <v>232</v>
      </c>
      <c r="P413">
        <v>1</v>
      </c>
      <c r="Q413" t="s">
        <v>247</v>
      </c>
    </row>
    <row r="414" spans="1:17" s="25" customFormat="1">
      <c r="A414" s="111">
        <v>1.5648823958333332E-3</v>
      </c>
      <c r="B414" t="s">
        <v>97</v>
      </c>
      <c r="C414"/>
      <c r="D414"/>
      <c r="E414" t="s">
        <v>100</v>
      </c>
      <c r="F414"/>
      <c r="G414" t="s">
        <v>164</v>
      </c>
      <c r="H414"/>
      <c r="I414" s="158">
        <v>46285.886180555557</v>
      </c>
      <c r="J414" t="s">
        <v>490</v>
      </c>
      <c r="K414" t="s">
        <v>444</v>
      </c>
      <c r="L414" s="157">
        <v>46284</v>
      </c>
      <c r="M414" t="s">
        <v>439</v>
      </c>
      <c r="N414" t="s">
        <v>231</v>
      </c>
      <c r="O414" t="s">
        <v>232</v>
      </c>
      <c r="P414">
        <v>1</v>
      </c>
      <c r="Q414" t="s">
        <v>247</v>
      </c>
    </row>
    <row r="415" spans="1:17" s="25" customFormat="1"/>
    <row r="416" spans="1:17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pans="1:17" s="25" customFormat="1"/>
    <row r="498" spans="1:17" s="25" customFormat="1"/>
    <row r="499" spans="1:17" s="25" customFormat="1"/>
    <row r="500" spans="1:17" s="25" customFormat="1"/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</sheetData>
  <phoneticPr fontId="20" type="noConversion"/>
  <dataValidations count="6">
    <dataValidation type="list" allowBlank="1" showErrorMessage="1" sqref="B2:B414" xr:uid="{A80B933F-6506-8144-A267-923696DB8A00}">
      <formula1>LISTE_MT_JOURNAL</formula1>
    </dataValidation>
    <dataValidation type="list" allowBlank="1" showErrorMessage="1" sqref="C2:C414" xr:uid="{72F5497E-FB85-2F45-81CB-A0BB8CA748E5}">
      <formula1>LISTE_JOUEURS_JOURNAL</formula1>
    </dataValidation>
    <dataValidation type="list" allowBlank="1" showErrorMessage="1" sqref="E2:E414" xr:uid="{5E7EF8AE-61EB-6B48-8F85-19E766E99079}">
      <formula1>LISTE_ACTIONS_JOURNAL</formula1>
    </dataValidation>
    <dataValidation type="list" allowBlank="1" showErrorMessage="1" sqref="G2:G414" xr:uid="{A426EF27-8BB8-C742-BFA0-6332D9C8970A}">
      <formula1>LISTE_EQUIPES_JOURNAL</formula1>
    </dataValidation>
    <dataValidation type="list" allowBlank="1" showErrorMessage="1" sqref="F2:F414" xr:uid="{B2491AB4-D284-B541-B4FB-0E807EA19B19}">
      <formula1>LISTE_MOTIFS_PENALITE</formula1>
    </dataValidation>
    <dataValidation type="list" allowBlank="1" showInputMessage="1" showErrorMessage="1" sqref="D2:D414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896"/>
  <sheetViews>
    <sheetView workbookViewId="0"/>
  </sheetViews>
  <sheetFormatPr baseColWidth="10" defaultRowHeight="13"/>
  <cols>
    <col min="1" max="1" width="12.83203125" style="25" customWidth="1"/>
    <col min="2" max="2" width="25.1640625" bestFit="1" customWidth="1"/>
    <col min="3" max="3" width="11.6640625" customWidth="1"/>
    <col min="4" max="4" width="11.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25" hidden="1" customWidth="1"/>
    <col min="23" max="23" width="12.33203125" style="25" hidden="1" customWidth="1"/>
    <col min="24" max="24" width="13.83203125" style="25" hidden="1" customWidth="1"/>
    <col min="25" max="26" width="0" style="25" hidden="1" customWidth="1"/>
    <col min="27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66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Première</v>
      </c>
      <c r="C3" s="266"/>
      <c r="D3" s="266"/>
      <c r="E3" s="266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266"/>
    </row>
    <row r="4" spans="2:37" s="25" customFormat="1" ht="20" customHeight="1">
      <c r="B4" s="266"/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</row>
    <row r="5" spans="2:37" s="25" customFormat="1"/>
    <row r="6" spans="2:37" ht="14" customHeight="1">
      <c r="B6" s="262" t="s">
        <v>64</v>
      </c>
      <c r="C6" s="244" t="str">
        <f>ACT_PL_NORMAL</f>
        <v>Plaquage normal</v>
      </c>
      <c r="D6" s="245"/>
      <c r="E6" s="244" t="str">
        <f>ACT_PL_OFF</f>
        <v>Plaquage offensif</v>
      </c>
      <c r="F6" s="245"/>
      <c r="G6" s="244" t="str">
        <f>ACT_PL_RATE</f>
        <v>Plaquage raté</v>
      </c>
      <c r="H6" s="245"/>
      <c r="I6" s="244" t="str">
        <f>ACT_PL_A2</f>
        <v>Plaquage à 2</v>
      </c>
      <c r="J6" s="247"/>
      <c r="K6" s="247" t="str">
        <f>ACT_PL_HAUT</f>
        <v>Plaquage haut</v>
      </c>
      <c r="L6" s="245"/>
      <c r="M6" s="247" t="str">
        <f>ACT_GRATTAGE</f>
        <v>Grattage</v>
      </c>
      <c r="N6" s="245"/>
      <c r="O6" s="247" t="str">
        <f>ACT_FRANCHISSEMENT</f>
        <v>Franchissement</v>
      </c>
      <c r="P6" s="245"/>
      <c r="Q6" s="247" t="str">
        <f>ACT_AVANCEE</f>
        <v>Avancée au contact</v>
      </c>
      <c r="R6" s="245"/>
      <c r="S6" s="247" t="str">
        <f>ACT_ATT_NULLE</f>
        <v>Recul ou sans progression</v>
      </c>
      <c r="T6" s="245"/>
      <c r="U6" s="234" t="s">
        <v>286</v>
      </c>
      <c r="V6" s="235"/>
      <c r="W6" s="235"/>
      <c r="X6" s="235"/>
      <c r="Y6" s="235"/>
      <c r="Z6" s="236"/>
      <c r="AF6"/>
      <c r="AG6"/>
    </row>
    <row r="7" spans="2:37" ht="13" customHeight="1">
      <c r="B7" s="263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1">
        <f>IF(COUNTIFS(JournalActions[Joueur],$B8,JournalActions[Action],$C$6,JournalActions[Mi-temps],C$7)=0,"",COUNTIFS(JournalActions[Joueur],$B8,JournalActions[Action],$C$6,JournalActions[Mi-temps],C$7))</f>
        <v>1</v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>
        <f>IF(COUNTIFS(JournalActions[Joueur],$B8,JournalActions[Action],$E$6,JournalActions[Mi-temps],E$7)=0,"",COUNTIFS(JournalActions[Joueur],$B8,JournalActions[Action],$E$6,JournalActions[Mi-temps],E$7))</f>
        <v>2</v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>
        <f>IF(COUNTIFS(JournalActions[Joueur],$B8,JournalActions[Action],$G$6,JournalActions[Mi-temps],G$7)=0,"",COUNTIFS(JournalActions[Joueur],$B8,JournalActions[Action],$G$6,JournalActions[Mi-temps],G$7))</f>
        <v>1</v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>
        <f>IF(COUNTIFS(JournalActions[Joueur],$B8,JournalActions[Action],$K$6,JournalActions[Mi-temps],K$7)=0,"",COUNTIFS(JournalActions[Joueur],$B8,JournalActions[Action],$K$6,JournalActions[Mi-temps],K$7))</f>
        <v>1</v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>
        <f>IF(COUNTIFS(JournalActions[Joueur],$B8,JournalActions[Action],$Q$6,JournalActions[Mi-temps],Q$7)=0,"",COUNTIFS(JournalActions[Joueur],$B8,JournalActions[Action],$Q$6,JournalActions[Mi-temps],Q$7))</f>
        <v>2</v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>
        <f>IF(COUNTIFS(JournalActions[Joueur],$B8,JournalActions[Action],$S$6,JournalActions[Mi-temps],T$7)=0,"",COUNTIFS(JournalActions[Joueur],$B8,JournalActions[Action],$S$6,JournalActions[Mi-temps],T$7))</f>
        <v>1</v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>1</v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 t="str">
        <v>ABADIE Quentin</v>
      </c>
      <c r="C9" s="56">
        <f>IF(COUNTIFS(JournalActions[Joueur],$B9,JournalActions[Action],$C$6,JournalActions[Mi-temps],C$7)=0,"",COUNTIFS(JournalActions[Joueur],$B9,JournalActions[Action],$C$6,JournalActions[Mi-temps],C$7))</f>
        <v>1</v>
      </c>
      <c r="D9" s="57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>
        <f>IF(COUNTIFS(JournalActions[Joueur],$B9,JournalActions[Action],$Q$6,JournalActions[Mi-temps],R$7)=0,"",COUNTIFS(JournalActions[Joueur],$B9,JournalActions[Action],$Q$6,JournalActions[Mi-temps],R$7))</f>
        <v>1</v>
      </c>
      <c r="S9" s="56">
        <f>IF(COUNTIFS(JournalActions[Joueur],$B9,JournalActions[Action],$S$6,JournalActions[Mi-temps],S$7)=0,"",COUNTIFS(JournalActions[Joueur],$B9,JournalActions[Action],$S$6,JournalActions[Mi-temps],S$7))</f>
        <v>1</v>
      </c>
      <c r="T9" s="57">
        <f>IF(COUNTIFS(JournalActions[Joueur],$B9,JournalActions[Action],$S$6,JournalActions[Mi-temps],T$7)=0,"",COUNTIFS(JournalActions[Joueur],$B9,JournalActions[Action],$S$6,JournalActions[Mi-temps],T$7))</f>
        <v>1</v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 t="str">
        <v>ABADIE Thomas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 t="str">
        <v>BARATGIN Julian</v>
      </c>
      <c r="C11" s="56">
        <f>IF(COUNTIFS(JournalActions[Joueur],$B11,JournalActions[Action],$C$6,JournalActions[Mi-temps],C$7)=0,"",COUNTIFS(JournalActions[Joueur],$B11,JournalActions[Action],$C$6,JournalActions[Mi-temps],C$7))</f>
        <v>2</v>
      </c>
      <c r="D11" s="57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>
        <f>IF(COUNTIFS(JournalActions[Joueur],$B11,JournalActions[Action],$K$6,JournalActions[Mi-temps],L$7)=0,"",COUNTIFS(JournalActions[Joueur],$B11,JournalActions[Action],$K$6,JournalActions[Mi-temps],L$7))</f>
        <v>2</v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>
        <f>IF(COUNTIFS(JournalActions[Joueur],$B11,JournalActions[Action],$O$6,JournalActions[Mi-temps],O$7)=0,"",COUNTIFS(JournalActions[Joueur],$B11,JournalActions[Action],$O$6,JournalActions[Mi-temps],O$7))</f>
        <v>2</v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>
        <f>IF(COUNTIFS(JournalActions[Joueur],$B11,JournalActions[Action],$Q$6,JournalActions[Mi-temps],R$7)=0,"",COUNTIFS(JournalActions[Joueur],$B11,JournalActions[Action],$Q$6,JournalActions[Mi-temps],R$7))</f>
        <v>1</v>
      </c>
      <c r="S11" s="56">
        <f>IF(COUNTIFS(JournalActions[Joueur],$B11,JournalActions[Action],$S$6,JournalActions[Mi-temps],S$7)=0,"",COUNTIFS(JournalActions[Joueur],$B11,JournalActions[Action],$S$6,JournalActions[Mi-temps],S$7))</f>
        <v>2</v>
      </c>
      <c r="T11" s="57">
        <f>IF(COUNTIFS(JournalActions[Joueur],$B11,JournalActions[Action],$S$6,JournalActions[Mi-temps],T$7)=0,"",COUNTIFS(JournalActions[Joueur],$B11,JournalActions[Action],$S$6,JournalActions[Mi-temps],T$7))</f>
        <v>1</v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>1</v>
      </c>
      <c r="AF11"/>
      <c r="AG11"/>
    </row>
    <row r="12" spans="2:37">
      <c r="B12" s="56" t="str">
        <v>BAUP Bastien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>
        <f>IF(COUNTIFS(JournalActions[Joueur],$B12,JournalActions[Action],$Q$6,JournalActions[Mi-temps],Q$7)=0,"",COUNTIFS(JournalActions[Joueur],$B12,JournalActions[Action],$Q$6,JournalActions[Mi-temps],Q$7))</f>
        <v>1</v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 t="str">
        <v>BAYLE Jean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>
        <f>IF(COUNTIFS(JournalActions[Joueur],$B13,JournalActions[Action],$E$6,JournalActions[Mi-temps],F$7)=0,"",COUNTIFS(JournalActions[Joueur],$B13,JournalActions[Action],$E$6,JournalActions[Mi-temps],F$7))</f>
        <v>1</v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>
        <f>IF(COUNTIFS(JournalActions[Joueur],$B13,JournalActions[Action],$K$6,JournalActions[Mi-temps],L$7)=0,"",COUNTIFS(JournalActions[Joueur],$B13,JournalActions[Action],$K$6,JournalActions[Mi-temps],L$7))</f>
        <v>1</v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>
        <f>IF(COUNTIFS(JournalActions[Joueur],$B13,JournalActions[Action],$Q$6,JournalActions[Mi-temps],Q$7)=0,"",COUNTIFS(JournalActions[Joueur],$B13,JournalActions[Action],$Q$6,JournalActions[Mi-temps],Q$7))</f>
        <v>3</v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>
        <f>IF(COUNTIFS(JournalActions[Joueur],$B13,JournalActions[Action],$S$6,JournalActions[Mi-temps],S$7)=0,"",COUNTIFS(JournalActions[Joueur],$B13,JournalActions[Action],$S$6,JournalActions[Mi-temps],S$7))</f>
        <v>2</v>
      </c>
      <c r="T13" s="57">
        <f>IF(COUNTIFS(JournalActions[Joueur],$B13,JournalActions[Action],$S$6,JournalActions[Mi-temps],T$7)=0,"",COUNTIFS(JournalActions[Joueur],$B13,JournalActions[Action],$S$6,JournalActions[Mi-temps],T$7))</f>
        <v>1</v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>1</v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>1</v>
      </c>
      <c r="AH13" s="25"/>
      <c r="AI13" s="25"/>
      <c r="AJ13" s="25"/>
      <c r="AK13" s="25"/>
    </row>
    <row r="14" spans="2:37">
      <c r="B14" s="56" t="str">
        <v>BOURREC Anthony</v>
      </c>
      <c r="C14" s="56">
        <f>IF(COUNTIFS(JournalActions[Joueur],$B14,JournalActions[Action],$C$6,JournalActions[Mi-temps],C$7)=0,"",COUNTIFS(JournalActions[Joueur],$B14,JournalActions[Action],$C$6,JournalActions[Mi-temps],C$7))</f>
        <v>2</v>
      </c>
      <c r="D14" s="57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 t="str">
        <v>CESCA Sacha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 t="str">
        <v>COURREGES Romain</v>
      </c>
      <c r="C16" s="56">
        <f>IF(COUNTIFS(JournalActions[Joueur],$B16,JournalActions[Action],$C$6,JournalActions[Mi-temps],C$7)=0,"",COUNTIFS(JournalActions[Joueur],$B16,JournalActions[Action],$C$6,JournalActions[Mi-temps],C$7))</f>
        <v>1</v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>
        <f>IF(COUNTIFS(JournalActions[Joueur],$B16,JournalActions[Action],$K$6,JournalActions[Mi-temps],K$7)=0,"",COUNTIFS(JournalActions[Joueur],$B16,JournalActions[Action],$K$6,JournalActions[Mi-temps],K$7))</f>
        <v>2</v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>
        <f>IF(COUNTIFS(JournalActions[Joueur],$B16,JournalActions[Action],$Q$6,JournalActions[Mi-temps],Q$7)=0,"",COUNTIFS(JournalActions[Joueur],$B16,JournalActions[Action],$Q$6,JournalActions[Mi-temps],Q$7))</f>
        <v>1</v>
      </c>
      <c r="R16" s="57">
        <f>IF(COUNTIFS(JournalActions[Joueur],$B16,JournalActions[Action],$Q$6,JournalActions[Mi-temps],R$7)=0,"",COUNTIFS(JournalActions[Joueur],$B16,JournalActions[Action],$Q$6,JournalActions[Mi-temps],R$7))</f>
        <v>1</v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>
        <f>IF(COUNTIFS(JournalActions[Joueur],$B16,JournalActions[Action],$S$6,JournalActions[Mi-temps],T$7)=0,"",COUNTIFS(JournalActions[Joueur],$B16,JournalActions[Action],$S$6,JournalActions[Mi-temps],T$7))</f>
        <v>1</v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>1</v>
      </c>
      <c r="AH16" s="25"/>
      <c r="AI16" s="25"/>
      <c r="AJ16" s="25"/>
      <c r="AK16" s="25"/>
    </row>
    <row r="17" spans="2:37">
      <c r="B17" s="56" t="str">
        <v>DALLA ROSA Jonah</v>
      </c>
      <c r="C17" s="56">
        <f>IF(COUNTIFS(JournalActions[Joueur],$B17,JournalActions[Action],$C$6,JournalActions[Mi-temps],C$7)=0,"",COUNTIFS(JournalActions[Joueur],$B17,JournalActions[Action],$C$6,JournalActions[Mi-temps],C$7))</f>
        <v>2</v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>
        <f>IF(COUNTIFS(JournalActions[Joueur],$B17,JournalActions[Action],$Q$6,JournalActions[Mi-temps],Q$7)=0,"",COUNTIFS(JournalActions[Joueur],$B17,JournalActions[Action],$Q$6,JournalActions[Mi-temps],Q$7))</f>
        <v>2</v>
      </c>
      <c r="R17" s="57">
        <f>IF(COUNTIFS(JournalActions[Joueur],$B17,JournalActions[Action],$Q$6,JournalActions[Mi-temps],R$7)=0,"",COUNTIFS(JournalActions[Joueur],$B17,JournalActions[Action],$Q$6,JournalActions[Mi-temps],R$7))</f>
        <v>2</v>
      </c>
      <c r="S17" s="56">
        <f>IF(COUNTIFS(JournalActions[Joueur],$B17,JournalActions[Action],$S$6,JournalActions[Mi-temps],S$7)=0,"",COUNTIFS(JournalActions[Joueur],$B17,JournalActions[Action],$S$6,JournalActions[Mi-temps],S$7))</f>
        <v>1</v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 t="str">
        <v>GABRELLE Neot</v>
      </c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>
        <f>IF(COUNTIFS(JournalActions[Joueur],$B18,JournalActions[Action],$E$6,JournalActions[Mi-temps],F$7)=0,"",COUNTIFS(JournalActions[Joueur],$B18,JournalActions[Action],$E$6,JournalActions[Mi-temps],F$7))</f>
        <v>1</v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>
        <f>IF(COUNTIFS(JournalActions[Joueur],$B18,JournalActions[Action],$Q$6,JournalActions[Mi-temps],R$7)=0,"",COUNTIFS(JournalActions[Joueur],$B18,JournalActions[Action],$Q$6,JournalActions[Mi-temps],R$7))</f>
        <v>1</v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>1</v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 t="str">
        <v>JOUNAUX Joris</v>
      </c>
      <c r="C19" s="56">
        <f>IF(COUNTIFS(JournalActions[Joueur],$B19,JournalActions[Action],$C$6,JournalActions[Mi-temps],C$7)=0,"",COUNTIFS(JournalActions[Joueur],$B19,JournalActions[Action],$C$6,JournalActions[Mi-temps],C$7))</f>
        <v>1</v>
      </c>
      <c r="D19" s="57">
        <f>IF(COUNTIFS(JournalActions[Joueur],$B19,JournalActions[Action],$C$6,JournalActions[Mi-temps],D$7)=0,"",COUNTIFS(JournalActions[Joueur],$B19,JournalActions[Action],$C$6,JournalActions[Mi-temps],D$7))</f>
        <v>1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>
        <f>IF(COUNTIFS(JournalActions[Joueur],$B19,JournalActions[Action],$Q$6,JournalActions[Mi-temps],Q$7)=0,"",COUNTIFS(JournalActions[Joueur],$B19,JournalActions[Action],$Q$6,JournalActions[Mi-temps],Q$7))</f>
        <v>1</v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>
        <f>IF(COUNTIFS(JournalActions[Joueur],$B19,JournalActions[Action],$S$6,JournalActions[Mi-temps],T$7)=0,"",COUNTIFS(JournalActions[Joueur],$B19,JournalActions[Action],$S$6,JournalActions[Mi-temps],T$7))</f>
        <v>1</v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 t="str">
        <v>KAPFER Bastien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3</v>
      </c>
      <c r="E20">
        <f>IF(COUNTIFS(JournalActions[Joueur],$B20,JournalActions[Action],$E$6,JournalActions[Mi-temps],E$7)=0,"",COUNTIFS(JournalActions[Joueur],$B20,JournalActions[Action],$E$6,JournalActions[Mi-temps],E$7))</f>
        <v>1</v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>
        <f>IF(COUNTIFS(JournalActions[Joueur],$B20,JournalActions[Action],$K$6,JournalActions[Mi-temps],K$7)=0,"",COUNTIFS(JournalActions[Joueur],$B20,JournalActions[Action],$K$6,JournalActions[Mi-temps],K$7))</f>
        <v>1</v>
      </c>
      <c r="L20">
        <f>IF(COUNTIFS(JournalActions[Joueur],$B20,JournalActions[Action],$K$6,JournalActions[Mi-temps],L$7)=0,"",COUNTIFS(JournalActions[Joueur],$B20,JournalActions[Action],$K$6,JournalActions[Mi-temps],L$7))</f>
        <v>1</v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>
        <f>IF(COUNTIFS(JournalActions[Joueur],$B20,JournalActions[Action],$O$6,JournalActions[Mi-temps],O$7)=0,"",COUNTIFS(JournalActions[Joueur],$B20,JournalActions[Action],$O$6,JournalActions[Mi-temps],O$7))</f>
        <v>1</v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>
        <f>IF(COUNTIFS(JournalActions[Joueur],$B20,JournalActions[Action],$S$6,JournalActions[Mi-temps],T$7)=0,"",COUNTIFS(JournalActions[Joueur],$B20,JournalActions[Action],$S$6,JournalActions[Mi-temps],T$7))</f>
        <v>2</v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>1</v>
      </c>
      <c r="Y20" s="96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>1</v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 t="str">
        <v>LAUDET Jean Baptiste</v>
      </c>
      <c r="C21" s="56">
        <f>IF(COUNTIFS(JournalActions[Joueur],$B21,JournalActions[Action],$C$6,JournalActions[Mi-temps],C$7)=0,"",COUNTIFS(JournalActions[Joueur],$B21,JournalActions[Action],$C$6,JournalActions[Mi-temps],C$7))</f>
        <v>1</v>
      </c>
      <c r="D21" s="57">
        <f>IF(COUNTIFS(JournalActions[Joueur],$B21,JournalActions[Action],$C$6,JournalActions[Mi-temps],D$7)=0,"",COUNTIFS(JournalActions[Joueur],$B21,JournalActions[Action],$C$6,JournalActions[Mi-temps],D$7))</f>
        <v>3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>
        <f>IF(COUNTIFS(JournalActions[Joueur],$B21,JournalActions[Action],$O$6,JournalActions[Mi-temps],O$7)=0,"",COUNTIFS(JournalActions[Joueur],$B21,JournalActions[Action],$O$6,JournalActions[Mi-temps],O$7))</f>
        <v>1</v>
      </c>
      <c r="P21" s="57">
        <f>IF(COUNTIFS(JournalActions[Joueur],$B21,JournalActions[Action],$O$6,JournalActions[Mi-temps],P$7)=0,"",COUNTIFS(JournalActions[Joueur],$B21,JournalActions[Action],$O$6,JournalActions[Mi-temps],P$7))</f>
        <v>1</v>
      </c>
      <c r="Q21" s="56">
        <f>IF(COUNTIFS(JournalActions[Joueur],$B21,JournalActions[Action],$Q$6,JournalActions[Mi-temps],Q$7)=0,"",COUNTIFS(JournalActions[Joueur],$B21,JournalActions[Action],$Q$6,JournalActions[Mi-temps],Q$7))</f>
        <v>3</v>
      </c>
      <c r="R21" s="57">
        <f>IF(COUNTIFS(JournalActions[Joueur],$B21,JournalActions[Action],$Q$6,JournalActions[Mi-temps],R$7)=0,"",COUNTIFS(JournalActions[Joueur],$B21,JournalActions[Action],$Q$6,JournalActions[Mi-temps],R$7))</f>
        <v>1</v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>
        <f>IF(COUNTIFS(JournalActions[Joueur],$B21,JournalActions[Action],$S$6,JournalActions[Mi-temps],T$7)=0,"",COUNTIFS(JournalActions[Joueur],$B21,JournalActions[Action],$S$6,JournalActions[Mi-temps],T$7))</f>
        <v>1</v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>1</v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 t="str">
        <v>LOUREIRO LABAZUY Antonio</v>
      </c>
      <c r="C22" s="56">
        <f>IF(COUNTIFS(JournalActions[Joueur],$B22,JournalActions[Action],$C$6,JournalActions[Mi-temps],C$7)=0,"",COUNTIFS(JournalActions[Joueur],$B22,JournalActions[Action],$C$6,JournalActions[Mi-temps],C$7))</f>
        <v>3</v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>
        <f>IF(COUNTIFS(JournalActions[Joueur],$B22,JournalActions[Action],$S$6,JournalActions[Mi-temps],S$7)=0,"",COUNTIFS(JournalActions[Joueur],$B22,JournalActions[Action],$S$6,JournalActions[Mi-temps],S$7))</f>
        <v>2</v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 t="str">
        <v>MICHELIN Paul</v>
      </c>
      <c r="C23" s="56">
        <f>IF(COUNTIFS(JournalActions[Joueur],$B23,JournalActions[Action],$C$6,JournalActions[Mi-temps],C$7)=0,"",COUNTIFS(JournalActions[Joueur],$B23,JournalActions[Action],$C$6,JournalActions[Mi-temps],C$7))</f>
        <v>1</v>
      </c>
      <c r="D23" s="57">
        <f>IF(COUNTIFS(JournalActions[Joueur],$B23,JournalActions[Action],$C$6,JournalActions[Mi-temps],D$7)=0,"",COUNTIFS(JournalActions[Joueur],$B23,JournalActions[Action],$C$6,JournalActions[Mi-temps],D$7))</f>
        <v>1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>
        <f>IF(COUNTIFS(JournalActions[Joueur],$B23,JournalActions[Action],$G$6,JournalActions[Mi-temps],H$7)=0,"",COUNTIFS(JournalActions[Joueur],$B23,JournalActions[Action],$G$6,JournalActions[Mi-temps],H$7))</f>
        <v>1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>
        <f>IF(COUNTIFS(JournalActions[Joueur],$B23,JournalActions[Action],$Q$6,JournalActions[Mi-temps],Q$7)=0,"",COUNTIFS(JournalActions[Joueur],$B23,JournalActions[Action],$Q$6,JournalActions[Mi-temps],Q$7))</f>
        <v>1</v>
      </c>
      <c r="R23" s="57">
        <f>IF(COUNTIFS(JournalActions[Joueur],$B23,JournalActions[Action],$Q$6,JournalActions[Mi-temps],R$7)=0,"",COUNTIFS(JournalActions[Joueur],$B23,JournalActions[Action],$Q$6,JournalActions[Mi-temps],R$7))</f>
        <v>1</v>
      </c>
      <c r="S23" s="56">
        <f>IF(COUNTIFS(JournalActions[Joueur],$B23,JournalActions[Action],$S$6,JournalActions[Mi-temps],S$7)=0,"",COUNTIFS(JournalActions[Joueur],$B23,JournalActions[Action],$S$6,JournalActions[Mi-temps],S$7))</f>
        <v>3</v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 t="str">
        <v>MOUDENS Alexis</v>
      </c>
      <c r="C24" s="56">
        <f>IF(COUNTIFS(JournalActions[Joueur],$B24,JournalActions[Action],$C$6,JournalActions[Mi-temps],C$7)=0,"",COUNTIFS(JournalActions[Joueur],$B24,JournalActions[Action],$C$6,JournalActions[Mi-temps],C$7))</f>
        <v>2</v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>
        <f>IF(COUNTIFS(JournalActions[Joueur],$B24,JournalActions[Action],$E$6,JournalActions[Mi-temps],F$7)=0,"",COUNTIFS(JournalActions[Joueur],$B24,JournalActions[Action],$E$6,JournalActions[Mi-temps],F$7))</f>
        <v>1</v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>
        <f>IF(COUNTIFS(JournalActions[Joueur],$B24,JournalActions[Action],$Q$6,JournalActions[Mi-temps],Q$7)=0,"",COUNTIFS(JournalActions[Joueur],$B24,JournalActions[Action],$Q$6,JournalActions[Mi-temps],Q$7))</f>
        <v>1</v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>
        <f>IF(COUNTIFS(JournalActions[Joueur],$B24,JournalActions[Action],$S$6,JournalActions[Mi-temps],T$7)=0,"",COUNTIFS(JournalActions[Joueur],$B24,JournalActions[Action],$S$6,JournalActions[Mi-temps],T$7))</f>
        <v>2</v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>1</v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 t="str">
        <v>MULLIER Victor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3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>1</v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 t="str">
        <v>RICHIARDONNE Gregory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 t="str">
        <v>ROUSSEL Mathis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>
        <f>IF(COUNTIFS(JournalActions[Joueur],$B27,JournalActions[Action],$S$6,JournalActions[Mi-temps],T$7)=0,"",COUNTIFS(JournalActions[Joueur],$B27,JournalActions[Action],$S$6,JournalActions[Mi-temps],T$7))</f>
        <v>1</v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 t="str">
        <v>SALLES Fabien</v>
      </c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>
        <f>IF(COUNTIFS(JournalActions[Joueur],$B28,JournalActions[Action],$C$6,JournalActions[Mi-temps],D$7)=0,"",COUNTIFS(JournalActions[Joueur],$B28,JournalActions[Action],$C$6,JournalActions[Mi-temps],D$7))</f>
        <v>3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>
        <f>IF(COUNTIFS(JournalActions[Joueur],$B28,JournalActions[Action],$Q$6,JournalActions[Mi-temps],Q$7)=0,"",COUNTIFS(JournalActions[Joueur],$B28,JournalActions[Action],$Q$6,JournalActions[Mi-temps],Q$7))</f>
        <v>1</v>
      </c>
      <c r="R28" s="57">
        <f>IF(COUNTIFS(JournalActions[Joueur],$B28,JournalActions[Action],$Q$6,JournalActions[Mi-temps],R$7)=0,"",COUNTIFS(JournalActions[Joueur],$B28,JournalActions[Action],$Q$6,JournalActions[Mi-temps],R$7))</f>
        <v>2</v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 t="str">
        <v>SOUVILLE Quentin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>
        <f>IF(COUNTIFS(JournalActions[Joueur],$B29,JournalActions[Action],$E$6,JournalActions[Mi-temps],F$7)=0,"",COUNTIFS(JournalActions[Joueur],$B29,JournalActions[Action],$E$6,JournalActions[Mi-temps],F$7))</f>
        <v>1</v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>
        <f>IF(COUNTIFS(JournalActions[Joueur],$B31,JournalActions[Action],$G$6,JournalActions[Mi-temps],G$7)=0,"",COUNTIFS(JournalActions[Joueur],$B31,JournalActions[Action],$G$6,JournalActions[Mi-temps],G$7))</f>
        <v>1</v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>1</v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25" customFormat="1" ht="22" customHeight="1">
      <c r="B32" s="80" t="s">
        <v>230</v>
      </c>
      <c r="C32" s="81">
        <f>SUM(C8:C31)</f>
        <v>17</v>
      </c>
      <c r="D32" s="82">
        <f t="shared" ref="D32:Z32" si="0">SUM(D8:D31)</f>
        <v>23</v>
      </c>
      <c r="E32" s="81">
        <f t="shared" si="0"/>
        <v>3</v>
      </c>
      <c r="F32" s="82">
        <f t="shared" si="0"/>
        <v>4</v>
      </c>
      <c r="G32" s="81">
        <f t="shared" si="0"/>
        <v>2</v>
      </c>
      <c r="H32" s="82">
        <f t="shared" si="0"/>
        <v>4</v>
      </c>
      <c r="I32" s="81">
        <f t="shared" si="0"/>
        <v>0</v>
      </c>
      <c r="J32" s="82">
        <f t="shared" si="0"/>
        <v>2</v>
      </c>
      <c r="K32" s="81">
        <f t="shared" si="0"/>
        <v>6</v>
      </c>
      <c r="L32" s="82">
        <f t="shared" si="0"/>
        <v>4</v>
      </c>
      <c r="M32" s="81">
        <f t="shared" si="0"/>
        <v>0</v>
      </c>
      <c r="N32" s="82">
        <f t="shared" si="0"/>
        <v>0</v>
      </c>
      <c r="O32" s="81">
        <f t="shared" ref="O32:P32" si="1">SUM(O8:O31)</f>
        <v>4</v>
      </c>
      <c r="P32" s="82">
        <f t="shared" si="1"/>
        <v>1</v>
      </c>
      <c r="Q32" s="81">
        <f t="shared" ref="Q32:T32" si="2">SUM(Q8:Q31)</f>
        <v>16</v>
      </c>
      <c r="R32" s="82">
        <f t="shared" si="2"/>
        <v>10</v>
      </c>
      <c r="S32" s="81">
        <f t="shared" si="2"/>
        <v>11</v>
      </c>
      <c r="T32" s="82">
        <f t="shared" si="2"/>
        <v>12</v>
      </c>
      <c r="U32" s="237">
        <f t="shared" si="0"/>
        <v>0</v>
      </c>
      <c r="V32" s="237">
        <f t="shared" si="0"/>
        <v>1</v>
      </c>
      <c r="W32" s="237">
        <f t="shared" si="0"/>
        <v>0</v>
      </c>
      <c r="X32" s="237">
        <f t="shared" si="0"/>
        <v>4</v>
      </c>
      <c r="Y32" s="237">
        <f t="shared" si="0"/>
        <v>4</v>
      </c>
      <c r="Z32" s="237">
        <f t="shared" si="0"/>
        <v>4</v>
      </c>
    </row>
    <row r="33" spans="2:33" s="69" customFormat="1" ht="25" customHeight="1">
      <c r="B33" s="83" t="s">
        <v>229</v>
      </c>
      <c r="C33" s="241">
        <f>C32+D32</f>
        <v>40</v>
      </c>
      <c r="D33" s="242"/>
      <c r="E33" s="243">
        <f t="shared" ref="E33" si="3">E32+F32</f>
        <v>7</v>
      </c>
      <c r="F33" s="243"/>
      <c r="G33" s="241">
        <f t="shared" ref="G33" si="4">G32+H32</f>
        <v>6</v>
      </c>
      <c r="H33" s="242"/>
      <c r="I33" s="241">
        <f>I32+J32</f>
        <v>2</v>
      </c>
      <c r="J33" s="242"/>
      <c r="K33" s="241">
        <f t="shared" ref="K33" si="5">K32+L32</f>
        <v>10</v>
      </c>
      <c r="L33" s="242"/>
      <c r="M33" s="243">
        <f t="shared" ref="M33" si="6">M32+N32</f>
        <v>0</v>
      </c>
      <c r="N33" s="242"/>
      <c r="O33" s="243">
        <f t="shared" ref="O33" si="7">O32+P32</f>
        <v>5</v>
      </c>
      <c r="P33" s="242"/>
      <c r="Q33" s="243">
        <f t="shared" ref="Q33" si="8">Q32+R32</f>
        <v>26</v>
      </c>
      <c r="R33" s="242"/>
      <c r="S33" s="243">
        <f t="shared" ref="S33" si="9">S32+T32</f>
        <v>23</v>
      </c>
      <c r="T33" s="242"/>
      <c r="U33" s="238"/>
      <c r="V33" s="238"/>
      <c r="W33" s="238"/>
      <c r="X33" s="238"/>
      <c r="Y33" s="238"/>
      <c r="Z33" s="238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44" t="s">
        <v>224</v>
      </c>
      <c r="H36" s="245"/>
      <c r="J36" s="244" t="s">
        <v>78</v>
      </c>
      <c r="K36" s="244" t="s">
        <v>198</v>
      </c>
      <c r="L36" s="247"/>
      <c r="M36" s="245"/>
      <c r="N36" s="245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6</v>
      </c>
      <c r="D37" s="65">
        <f>COUNTIFS(JournalActions[Action],ACT_TO_NS_P,JournalActions[Mi-temps],"MT1")
+COUNTIFS(JournalActions[Action],ACT_TO_NS_PAS_DROIT,JournalActions[Mi-temps],"MT1")</f>
        <v>2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15</v>
      </c>
      <c r="I37" s="25"/>
      <c r="J37" s="246"/>
      <c r="K37" s="98" t="s">
        <v>204</v>
      </c>
      <c r="L37" s="94" t="s">
        <v>223</v>
      </c>
      <c r="M37" s="99" t="s">
        <v>82</v>
      </c>
      <c r="N37" s="248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3</v>
      </c>
      <c r="D38" s="37">
        <f>COUNTIFS(JournalActions[Action],ACT_TO_ADV_VOLEE,JournalActions[Mi-temps],"MT1")
+COUNTIFS(JournalActions[Action],ACT_TO_ADV_PAS_DROIT,JournalActions[Mi-temps],"MT1")</f>
        <v>2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25"/>
      <c r="J38" s="61" t="s">
        <v>97</v>
      </c>
      <c r="K38" s="96">
        <f>COUNTIFS(JournalActions[Action],ACT_PEN_CONTRE_NOUS,JournalActions[Mi-temps],"MT1",JournalActions[Groupe fautif],"Avant*")</f>
        <v>1</v>
      </c>
      <c r="L38" s="57">
        <f>COUNTIFS(JournalActions[Action],ACT_PEN_CONTRE_NOUS,JournalActions[Mi-temps],"MT1",JournalActions[Groupe fautif],"Trois-quarts*")</f>
        <v>3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62">
        <f>COUNTIFS(JournalActions[Action],ACT_PEN_CONTRE_ADV,JournalActions[Mi-temps],"MT1")</f>
        <v>8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6</v>
      </c>
      <c r="L39" s="37">
        <f>COUNTIFS(JournalActions[Action],ACT_PEN_CONTRE_NOUS,JournalActions[Mi-temps],"MT2",JournalActions[Groupe fautif],"Trois-quarts*")</f>
        <v>2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5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44" t="s">
        <v>200</v>
      </c>
      <c r="H40" s="24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2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24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3</v>
      </c>
      <c r="D42" s="37">
        <f>COUNTIFS(JournalActions[Action],ACT_TO_ADV_VOLEE,JournalActions[Mi-temps],"MT2")
+COUNTIFS(JournalActions[Action],ACT_TO_ADV_PAS_DROIT,JournalActions[Mi-temps],"MT2")</f>
        <v>4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16</v>
      </c>
      <c r="I42" s="25"/>
      <c r="J42" s="239" t="s">
        <v>31</v>
      </c>
      <c r="K42" s="240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2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51" t="s">
        <v>33</v>
      </c>
      <c r="K43" s="252"/>
      <c r="L43" s="38">
        <f>COUNTIFS(JournalActions[Action],ACT_PEN_CONTRE_NOUS,JournalActions[Motif penalite],ACT_PEN_RUCK)</f>
        <v>4</v>
      </c>
      <c r="M43" s="38">
        <f>COUNTIFS(JournalActions[Action],ACT_PEN_CONTRE_ADV,JournalActions[Motif penalite],ACT_PEN_RUCK)</f>
        <v>4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44" t="s">
        <v>291</v>
      </c>
      <c r="H44" s="245"/>
      <c r="I44" s="25"/>
      <c r="J44" s="239" t="s">
        <v>35</v>
      </c>
      <c r="K44" s="240"/>
      <c r="L44" s="66">
        <f>COUNTIFS(JournalActions[Action],ACT_PEN_CONTRE_NOUS,JournalActions[Motif penalite],ACT_PEN_HORS_JEU)</f>
        <v>1</v>
      </c>
      <c r="M44" s="66">
        <f>COUNTIFS(JournalActions[Action],ACT_PEN_CONTRE_ADV,JournalActions[Motif penalite],ACT_PEN_HORS_JEU)</f>
        <v>4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1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1.0779164849537032E-2</v>
      </c>
      <c r="I45" s="25"/>
      <c r="J45" s="251" t="s">
        <v>37</v>
      </c>
      <c r="K45" s="252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5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9.9093826967592558E-3</v>
      </c>
      <c r="I46" s="25"/>
      <c r="J46" s="239" t="s">
        <v>39</v>
      </c>
      <c r="K46" s="240"/>
      <c r="L46" s="66">
        <f>COUNTIFS(JournalActions[Action],ACT_PEN_CONTRE_NOUS,JournalActions[Motif penalite],ACT_PEN_PL_HAUT)</f>
        <v>4</v>
      </c>
      <c r="M46" s="66">
        <f>COUNTIFS(JournalActions[Action],ACT_PEN_CONTRE_ADV,JournalActions[Motif penalite],ACT_PEN_PL_HAUT)</f>
        <v>3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2.0688547546296288E-2</v>
      </c>
      <c r="I47" s="25"/>
      <c r="J47" s="251" t="s">
        <v>220</v>
      </c>
      <c r="K47" s="252"/>
      <c r="L47" s="38">
        <f>COUNTIFS(JournalActions[Action],ACT_PEN_CONTRE_NOUS,JournalActions[Motif penalite],"~?")</f>
        <v>4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7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1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/>
    <row r="56" spans="2:20" s="25" customFormat="1"/>
    <row r="57" spans="2:20" s="25" customFormat="1" ht="13" customHeight="1">
      <c r="B57" s="266" t="str">
        <f>"Stats par joueur - Match "&amp;IF('Compo'!C14="Aller","A",IF('Compo'!C14="Retour","R","PF"))&amp;'Compo'!C16&amp;IF('Compo'!C12="Extérieur"," : "&amp;'Compo'!C10&amp;" / MXV"," : MXV / "&amp;'Compo'!C10)&amp;" "&amp;'Compo'!C20&amp;" - Touche - Possession"</f>
        <v>Stats par joueur - Match A1 : MXV / US Portet Première - Touche - Possession</v>
      </c>
      <c r="C57" s="266"/>
      <c r="D57" s="266"/>
      <c r="E57" s="266"/>
      <c r="F57" s="266"/>
      <c r="G57" s="266"/>
      <c r="H57" s="266"/>
      <c r="I57" s="266"/>
      <c r="J57" s="266"/>
      <c r="K57" s="266"/>
      <c r="L57" s="197"/>
      <c r="M57" s="197"/>
      <c r="N57" s="197"/>
      <c r="O57" s="197"/>
      <c r="P57" s="197"/>
      <c r="Q57" s="197"/>
      <c r="R57" s="197"/>
      <c r="S57" s="197"/>
      <c r="T57" s="197"/>
    </row>
    <row r="58" spans="2:20" s="25" customFormat="1" ht="13" customHeight="1">
      <c r="B58" s="266"/>
      <c r="C58" s="266"/>
      <c r="D58" s="266"/>
      <c r="E58" s="266"/>
      <c r="F58" s="266"/>
      <c r="G58" s="266"/>
      <c r="H58" s="266"/>
      <c r="I58" s="266"/>
      <c r="J58" s="266"/>
      <c r="K58" s="266"/>
      <c r="L58" s="197"/>
      <c r="M58" s="197"/>
      <c r="N58" s="197"/>
      <c r="O58" s="197"/>
      <c r="P58" s="197"/>
      <c r="Q58" s="197"/>
      <c r="R58" s="197"/>
      <c r="S58" s="197"/>
      <c r="T58" s="197"/>
    </row>
    <row r="59" spans="2:20" s="25" customFormat="1" ht="14" thickBot="1"/>
    <row r="60" spans="2:20" s="25" customFormat="1">
      <c r="B60" s="253" t="s">
        <v>289</v>
      </c>
      <c r="C60" s="254"/>
      <c r="D60" s="254"/>
      <c r="E60" s="254"/>
      <c r="F60" s="254"/>
      <c r="G60" s="254"/>
      <c r="H60" s="254"/>
      <c r="I60" s="254"/>
      <c r="J60" s="254"/>
      <c r="K60" s="255"/>
    </row>
    <row r="61" spans="2:20" s="25" customFormat="1">
      <c r="B61" s="256"/>
      <c r="C61" s="257"/>
      <c r="D61" s="257"/>
      <c r="E61" s="257"/>
      <c r="F61" s="257"/>
      <c r="G61" s="257"/>
      <c r="H61" s="257"/>
      <c r="I61" s="257"/>
      <c r="J61" s="257"/>
      <c r="K61" s="258"/>
    </row>
    <row r="62" spans="2:20" s="25" customFormat="1" ht="14" thickBot="1">
      <c r="B62" s="259"/>
      <c r="C62" s="260"/>
      <c r="D62" s="260"/>
      <c r="E62" s="260"/>
      <c r="F62" s="260"/>
      <c r="G62" s="260"/>
      <c r="H62" s="260"/>
      <c r="I62" s="260"/>
      <c r="J62" s="260"/>
      <c r="K62" s="261"/>
    </row>
    <row r="63" spans="2:20" s="25" customFormat="1"/>
    <row r="64" spans="2:20" s="25" customFormat="1" ht="14">
      <c r="B64" s="262" t="s">
        <v>64</v>
      </c>
      <c r="C64" s="244" t="str">
        <f>ACT_TO_NS_G</f>
        <v>Touche à nous conservée</v>
      </c>
      <c r="D64" s="245"/>
      <c r="E64" s="244" t="str">
        <f>ACT_TO_ADV_VOLEE</f>
        <v>Touche à eux volée</v>
      </c>
      <c r="F64" s="245"/>
      <c r="H64" s="264" t="str">
        <f>ACT_TO_NS_P</f>
        <v>Touche à nous perdue</v>
      </c>
      <c r="I64" s="265"/>
      <c r="J64" s="264" t="str">
        <f>ACT_TO_NS_PAS_DROIT</f>
        <v>Touche à nous pas droite</v>
      </c>
      <c r="K64" s="265"/>
    </row>
    <row r="65" spans="2:11" s="25" customFormat="1" ht="14">
      <c r="B65" s="263"/>
      <c r="C65" s="98" t="s">
        <v>97</v>
      </c>
      <c r="D65" s="99" t="s">
        <v>94</v>
      </c>
      <c r="E65" s="98" t="s">
        <v>97</v>
      </c>
      <c r="F65" s="99" t="s">
        <v>94</v>
      </c>
      <c r="H65" s="100" t="s">
        <v>97</v>
      </c>
      <c r="I65" s="101" t="s">
        <v>94</v>
      </c>
      <c r="J65" s="100" t="s">
        <v>97</v>
      </c>
      <c r="K65" s="101" t="s">
        <v>94</v>
      </c>
    </row>
    <row r="66" spans="2:11" s="25" customFormat="1">
      <c r="B66" s="56" t="str" cm="1">
        <f t="array" ref="B66:B87">_xlfn._xlws.SORT(_xlfn._xlws.FILTER(COMPO[Nom du joueur],(COMPO[Nom du joueur]&lt;&gt;"")*(COMPO[Nom du joueur]&lt;&gt;"Collectif")*(COMPO[Nom du joueur]&lt;&gt;"?")))</f>
        <v>ABADIE Emeric</v>
      </c>
      <c r="C66" s="56">
        <f>IF(COUNTIFS(JournalActions[Joueur],$B66,JournalActions[Action],$C$64,JournalActions[Mi-temps],C$65)=0,"",COUNTIFS(JournalActions[Joueur],$B66,JournalActions[Action],$C$64,JournalActions[Mi-temps],C$65))</f>
        <v>2</v>
      </c>
      <c r="D66" s="57" t="str">
        <f>IF(COUNTIFS(JournalActions[Joueur],$B66,JournalActions[Action],$C$64,JournalActions[Mi-temps],D$65)=0,"",COUNTIFS(JournalActions[Joueur],$B66,JournalActions[Action],$C$64,JournalActions[Mi-temps],D$65))</f>
        <v/>
      </c>
      <c r="E66" s="56" t="str">
        <f>IF(COUNTIFS(JournalActions[Joueur],$B66,JournalActions[Action],$E$64,JournalActions[Mi-temps],E$65)=0,"",COUNTIFS(JournalActions[Joueur],$B66,JournalActions[Action],$E$64,JournalActions[Mi-temps],E$65))</f>
        <v/>
      </c>
      <c r="F66" s="57" t="str">
        <f>IF(COUNTIFS(JournalActions[Joueur],$B66,JournalActions[Action],$E$64,JournalActions[Mi-temps],F$65)=0,"",COUNTIFS(JournalActions[Joueur],$B66,JournalActions[Action],$E$64,JournalActions[Mi-temps],F$65))</f>
        <v/>
      </c>
      <c r="H66" s="56" t="str">
        <f>IF(COUNTIFS(JournalActions[Joueur],$B66,JournalActions[Action],$H$64,JournalActions[Mi-temps],H$65)=0,"",COUNTIFS(JournalActions[Joueur],$B66,JournalActions[Action],$H$64,JournalActions[Mi-temps],H$65))</f>
        <v/>
      </c>
      <c r="I66" s="57" t="str">
        <f>IF(COUNTIFS(JournalActions[Joueur],$B66,JournalActions[Action],$H$64,JournalActions[Mi-temps],I$65)=0,"",COUNTIFS(JournalActions[Joueur],$B66,JournalActions[Action],$H$64,JournalActions[Mi-temps],I$65))</f>
        <v/>
      </c>
      <c r="J66" s="56" t="str">
        <f>IF(COUNTIFS(JournalActions[Joueur],$B66,JournalActions[Action],$J$64,JournalActions[Mi-temps],J$65)=0,"",COUNTIFS(JournalActions[Joueur],$B66,JournalActions[Action],$J$64,JournalActions[Mi-temps],J$65))</f>
        <v/>
      </c>
      <c r="K66" s="57" t="str">
        <f>IF(COUNTIFS(JournalActions[Joueur],$B66,JournalActions[Action],$J$64,JournalActions[Mi-temps],K$65)=0,"",COUNTIFS(JournalActions[Joueur],$B66,JournalActions[Action],$J$64,JournalActions[Mi-temps],K$65))</f>
        <v/>
      </c>
    </row>
    <row r="67" spans="2:11" s="25" customFormat="1">
      <c r="B67" s="56" t="str">
        <v>ABADIE Quentin</v>
      </c>
      <c r="C67" s="56">
        <f>IF(COUNTIFS(JournalActions[Joueur],$B67,JournalActions[Action],$C$64,JournalActions[Mi-temps],C$65)=0,"",COUNTIFS(JournalActions[Joueur],$B67,JournalActions[Action],$C$64,JournalActions[Mi-temps],C$65))</f>
        <v>1</v>
      </c>
      <c r="D67" s="57" t="str">
        <f>IF(COUNTIFS(JournalActions[Joueur],$B67,JournalActions[Action],$C$64,JournalActions[Mi-temps],D$65)=0,"",COUNTIFS(JournalActions[Joueur],$B67,JournalActions[Action],$C$64,JournalActions[Mi-temps],D$65))</f>
        <v/>
      </c>
      <c r="E67" s="56" t="str">
        <f>IF(COUNTIFS(JournalActions[Joueur],$B67,JournalActions[Action],$E$64,JournalActions[Mi-temps],E$65)=0,"",COUNTIFS(JournalActions[Joueur],$B67,JournalActions[Action],$E$64,JournalActions[Mi-temps],E$65))</f>
        <v/>
      </c>
      <c r="F67" s="57" t="str">
        <f>IF(COUNTIFS(JournalActions[Joueur],$B67,JournalActions[Action],$E$64,JournalActions[Mi-temps],F$65)=0,"",COUNTIFS(JournalActions[Joueur],$B67,JournalActions[Action],$E$64,JournalActions[Mi-temps],F$65))</f>
        <v/>
      </c>
      <c r="H67" s="56" t="str">
        <f>IF(COUNTIFS(JournalActions[Joueur],$B67,JournalActions[Action],$H$64,JournalActions[Mi-temps],H$65)=0,"",COUNTIFS(JournalActions[Joueur],$B67,JournalActions[Action],$H$64,JournalActions[Mi-temps],H$65))</f>
        <v/>
      </c>
      <c r="I67" s="57" t="str">
        <f>IF(COUNTIFS(JournalActions[Joueur],$B67,JournalActions[Action],$H$64,JournalActions[Mi-temps],I$65)=0,"",COUNTIFS(JournalActions[Joueur],$B67,JournalActions[Action],$H$64,JournalActions[Mi-temps],I$65))</f>
        <v/>
      </c>
      <c r="J67" s="56" t="str">
        <f>IF(COUNTIFS(JournalActions[Joueur],$B67,JournalActions[Action],$J$64,JournalActions[Mi-temps],J$65)=0,"",COUNTIFS(JournalActions[Joueur],$B67,JournalActions[Action],$J$64,JournalActions[Mi-temps],J$65))</f>
        <v/>
      </c>
      <c r="K67" s="57" t="str">
        <f>IF(COUNTIFS(JournalActions[Joueur],$B67,JournalActions[Action],$J$64,JournalActions[Mi-temps],K$65)=0,"",COUNTIFS(JournalActions[Joueur],$B67,JournalActions[Action],$J$64,JournalActions[Mi-temps],K$65))</f>
        <v/>
      </c>
    </row>
    <row r="68" spans="2:11" s="25" customFormat="1">
      <c r="B68" s="56" t="str">
        <v>ABADIE Thomas</v>
      </c>
      <c r="C68" s="56" t="str">
        <f>IF(COUNTIFS(JournalActions[Joueur],$B68,JournalActions[Action],$C$64,JournalActions[Mi-temps],C$65)=0,"",COUNTIFS(JournalActions[Joueur],$B68,JournalActions[Action],$C$64,JournalActions[Mi-temps],C$65))</f>
        <v/>
      </c>
      <c r="D68" s="57" t="str">
        <f>IF(COUNTIFS(JournalActions[Joueur],$B68,JournalActions[Action],$C$64,JournalActions[Mi-temps],D$65)=0,"",COUNTIFS(JournalActions[Joueur],$B68,JournalActions[Action],$C$64,JournalActions[Mi-temps],D$65))</f>
        <v/>
      </c>
      <c r="E68" s="56" t="str">
        <f>IF(COUNTIFS(JournalActions[Joueur],$B68,JournalActions[Action],$E$64,JournalActions[Mi-temps],E$65)=0,"",COUNTIFS(JournalActions[Joueur],$B68,JournalActions[Action],$E$64,JournalActions[Mi-temps],E$65))</f>
        <v/>
      </c>
      <c r="F68" s="57" t="str">
        <f>IF(COUNTIFS(JournalActions[Joueur],$B68,JournalActions[Action],$E$64,JournalActions[Mi-temps],F$65)=0,"",COUNTIFS(JournalActions[Joueur],$B68,JournalActions[Action],$E$64,JournalActions[Mi-temps],F$65))</f>
        <v/>
      </c>
      <c r="H68" s="56" t="str">
        <f>IF(COUNTIFS(JournalActions[Joueur],$B68,JournalActions[Action],$H$64,JournalActions[Mi-temps],H$65)=0,"",COUNTIFS(JournalActions[Joueur],$B68,JournalActions[Action],$H$64,JournalActions[Mi-temps],H$65))</f>
        <v/>
      </c>
      <c r="I68" s="57" t="str">
        <f>IF(COUNTIFS(JournalActions[Joueur],$B68,JournalActions[Action],$H$64,JournalActions[Mi-temps],I$65)=0,"",COUNTIFS(JournalActions[Joueur],$B68,JournalActions[Action],$H$64,JournalActions[Mi-temps],I$65))</f>
        <v/>
      </c>
      <c r="J68" s="56" t="str">
        <f>IF(COUNTIFS(JournalActions[Joueur],$B68,JournalActions[Action],$J$64,JournalActions[Mi-temps],J$65)=0,"",COUNTIFS(JournalActions[Joueur],$B68,JournalActions[Action],$J$64,JournalActions[Mi-temps],J$65))</f>
        <v/>
      </c>
      <c r="K68" s="57" t="str">
        <f>IF(COUNTIFS(JournalActions[Joueur],$B68,JournalActions[Action],$J$64,JournalActions[Mi-temps],K$65)=0,"",COUNTIFS(JournalActions[Joueur],$B68,JournalActions[Action],$J$64,JournalActions[Mi-temps],K$65))</f>
        <v/>
      </c>
    </row>
    <row r="69" spans="2:11" s="25" customFormat="1">
      <c r="B69" s="56" t="str">
        <v>BARATGIN Julian</v>
      </c>
      <c r="C69" s="56">
        <f>IF(COUNTIFS(JournalActions[Joueur],$B69,JournalActions[Action],$C$64,JournalActions[Mi-temps],C$65)=0,"",COUNTIFS(JournalActions[Joueur],$B69,JournalActions[Action],$C$64,JournalActions[Mi-temps],C$65))</f>
        <v>2</v>
      </c>
      <c r="D69" s="57" t="str">
        <f>IF(COUNTIFS(JournalActions[Joueur],$B69,JournalActions[Action],$C$64,JournalActions[Mi-temps],D$65)=0,"",COUNTIFS(JournalActions[Joueur],$B69,JournalActions[Action],$C$64,JournalActions[Mi-temps],D$65))</f>
        <v/>
      </c>
      <c r="E69" s="56" t="str">
        <f>IF(COUNTIFS(JournalActions[Joueur],$B69,JournalActions[Action],$E$64,JournalActions[Mi-temps],E$65)=0,"",COUNTIFS(JournalActions[Joueur],$B69,JournalActions[Action],$E$64,JournalActions[Mi-temps],E$65))</f>
        <v/>
      </c>
      <c r="F69" s="57" t="str">
        <f>IF(COUNTIFS(JournalActions[Joueur],$B69,JournalActions[Action],$E$64,JournalActions[Mi-temps],F$65)=0,"",COUNTIFS(JournalActions[Joueur],$B69,JournalActions[Action],$E$64,JournalActions[Mi-temps],F$65))</f>
        <v/>
      </c>
      <c r="H69" s="56" t="str">
        <f>IF(COUNTIFS(JournalActions[Joueur],$B69,JournalActions[Action],$H$64,JournalActions[Mi-temps],H$65)=0,"",COUNTIFS(JournalActions[Joueur],$B69,JournalActions[Action],$H$64,JournalActions[Mi-temps],H$65))</f>
        <v/>
      </c>
      <c r="I69" s="57" t="str">
        <f>IF(COUNTIFS(JournalActions[Joueur],$B69,JournalActions[Action],$H$64,JournalActions[Mi-temps],I$65)=0,"",COUNTIFS(JournalActions[Joueur],$B69,JournalActions[Action],$H$64,JournalActions[Mi-temps],I$65))</f>
        <v/>
      </c>
      <c r="J69" s="56" t="str">
        <f>IF(COUNTIFS(JournalActions[Joueur],$B69,JournalActions[Action],$J$64,JournalActions[Mi-temps],J$65)=0,"",COUNTIFS(JournalActions[Joueur],$B69,JournalActions[Action],$J$64,JournalActions[Mi-temps],J$65))</f>
        <v/>
      </c>
      <c r="K69" s="57" t="str">
        <f>IF(COUNTIFS(JournalActions[Joueur],$B69,JournalActions[Action],$J$64,JournalActions[Mi-temps],K$65)=0,"",COUNTIFS(JournalActions[Joueur],$B69,JournalActions[Action],$J$64,JournalActions[Mi-temps],K$65))</f>
        <v/>
      </c>
    </row>
    <row r="70" spans="2:11" s="25" customFormat="1">
      <c r="B70" s="56" t="str">
        <v>BAUP Bastien</v>
      </c>
      <c r="C70" s="56" t="str">
        <f>IF(COUNTIFS(JournalActions[Joueur],$B70,JournalActions[Action],$C$64,JournalActions[Mi-temps],C$65)=0,"",COUNTIFS(JournalActions[Joueur],$B70,JournalActions[Action],$C$64,JournalActions[Mi-temps],C$65))</f>
        <v/>
      </c>
      <c r="D70" s="57" t="str">
        <f>IF(COUNTIFS(JournalActions[Joueur],$B70,JournalActions[Action],$C$64,JournalActions[Mi-temps],D$65)=0,"",COUNTIFS(JournalActions[Joueur],$B70,JournalActions[Action],$C$64,JournalActions[Mi-temps],D$65))</f>
        <v/>
      </c>
      <c r="E70" s="56" t="str">
        <f>IF(COUNTIFS(JournalActions[Joueur],$B70,JournalActions[Action],$E$64,JournalActions[Mi-temps],E$65)=0,"",COUNTIFS(JournalActions[Joueur],$B70,JournalActions[Action],$E$64,JournalActions[Mi-temps],E$65))</f>
        <v/>
      </c>
      <c r="F70" s="57" t="str">
        <f>IF(COUNTIFS(JournalActions[Joueur],$B70,JournalActions[Action],$E$64,JournalActions[Mi-temps],F$65)=0,"",COUNTIFS(JournalActions[Joueur],$B70,JournalActions[Action],$E$64,JournalActions[Mi-temps],F$65))</f>
        <v/>
      </c>
      <c r="H70" s="56" t="str">
        <f>IF(COUNTIFS(JournalActions[Joueur],$B70,JournalActions[Action],$H$64,JournalActions[Mi-temps],H$65)=0,"",COUNTIFS(JournalActions[Joueur],$B70,JournalActions[Action],$H$64,JournalActions[Mi-temps],H$65))</f>
        <v/>
      </c>
      <c r="I70" s="57" t="str">
        <f>IF(COUNTIFS(JournalActions[Joueur],$B70,JournalActions[Action],$H$64,JournalActions[Mi-temps],I$65)=0,"",COUNTIFS(JournalActions[Joueur],$B70,JournalActions[Action],$H$64,JournalActions[Mi-temps],I$65))</f>
        <v/>
      </c>
      <c r="J70" s="56" t="str">
        <f>IF(COUNTIFS(JournalActions[Joueur],$B70,JournalActions[Action],$J$64,JournalActions[Mi-temps],J$65)=0,"",COUNTIFS(JournalActions[Joueur],$B70,JournalActions[Action],$J$64,JournalActions[Mi-temps],J$65))</f>
        <v/>
      </c>
      <c r="K70" s="57" t="str">
        <f>IF(COUNTIFS(JournalActions[Joueur],$B70,JournalActions[Action],$J$64,JournalActions[Mi-temps],K$65)=0,"",COUNTIFS(JournalActions[Joueur],$B70,JournalActions[Action],$J$64,JournalActions[Mi-temps],K$65))</f>
        <v/>
      </c>
    </row>
    <row r="71" spans="2:11" s="25" customFormat="1">
      <c r="B71" s="56" t="str">
        <v>BAYLE Jean</v>
      </c>
      <c r="C71" s="56">
        <f>IF(COUNTIFS(JournalActions[Joueur],$B71,JournalActions[Action],$C$64,JournalActions[Mi-temps],C$65)=0,"",COUNTIFS(JournalActions[Joueur],$B71,JournalActions[Action],$C$64,JournalActions[Mi-temps],C$65))</f>
        <v>1</v>
      </c>
      <c r="D71" s="57">
        <f>IF(COUNTIFS(JournalActions[Joueur],$B71,JournalActions[Action],$C$64,JournalActions[Mi-temps],D$65)=0,"",COUNTIFS(JournalActions[Joueur],$B71,JournalActions[Action],$C$64,JournalActions[Mi-temps],D$65))</f>
        <v>2</v>
      </c>
      <c r="E71" s="56" t="str">
        <f>IF(COUNTIFS(JournalActions[Joueur],$B71,JournalActions[Action],$E$64,JournalActions[Mi-temps],E$65)=0,"",COUNTIFS(JournalActions[Joueur],$B71,JournalActions[Action],$E$64,JournalActions[Mi-temps],E$65))</f>
        <v/>
      </c>
      <c r="F71" s="57">
        <f>IF(COUNTIFS(JournalActions[Joueur],$B71,JournalActions[Action],$E$64,JournalActions[Mi-temps],F$65)=0,"",COUNTIFS(JournalActions[Joueur],$B71,JournalActions[Action],$E$64,JournalActions[Mi-temps],F$65))</f>
        <v>1</v>
      </c>
      <c r="H71" s="56" t="str">
        <f>IF(COUNTIFS(JournalActions[Joueur],$B71,JournalActions[Action],$H$64,JournalActions[Mi-temps],H$65)=0,"",COUNTIFS(JournalActions[Joueur],$B71,JournalActions[Action],$H$64,JournalActions[Mi-temps],H$65))</f>
        <v/>
      </c>
      <c r="I71" s="57" t="str">
        <f>IF(COUNTIFS(JournalActions[Joueur],$B71,JournalActions[Action],$H$64,JournalActions[Mi-temps],I$65)=0,"",COUNTIFS(JournalActions[Joueur],$B71,JournalActions[Action],$H$64,JournalActions[Mi-temps],I$65))</f>
        <v/>
      </c>
      <c r="J71" s="56" t="str">
        <f>IF(COUNTIFS(JournalActions[Joueur],$B71,JournalActions[Action],$J$64,JournalActions[Mi-temps],J$65)=0,"",COUNTIFS(JournalActions[Joueur],$B71,JournalActions[Action],$J$64,JournalActions[Mi-temps],J$65))</f>
        <v/>
      </c>
      <c r="K71" s="57" t="str">
        <f>IF(COUNTIFS(JournalActions[Joueur],$B71,JournalActions[Action],$J$64,JournalActions[Mi-temps],K$65)=0,"",COUNTIFS(JournalActions[Joueur],$B71,JournalActions[Action],$J$64,JournalActions[Mi-temps],K$65))</f>
        <v/>
      </c>
    </row>
    <row r="72" spans="2:11" s="25" customFormat="1">
      <c r="B72" s="56" t="str">
        <v>BOURREC Anthony</v>
      </c>
      <c r="C72" s="56" t="str">
        <f>IF(COUNTIFS(JournalActions[Joueur],$B72,JournalActions[Action],$C$64,JournalActions[Mi-temps],C$65)=0,"",COUNTIFS(JournalActions[Joueur],$B72,JournalActions[Action],$C$64,JournalActions[Mi-temps],C$65))</f>
        <v/>
      </c>
      <c r="D72" s="57" t="str">
        <f>IF(COUNTIFS(JournalActions[Joueur],$B72,JournalActions[Action],$C$64,JournalActions[Mi-temps],D$65)=0,"",COUNTIFS(JournalActions[Joueur],$B72,JournalActions[Action],$C$64,JournalActions[Mi-temps],D$65))</f>
        <v/>
      </c>
      <c r="E72" s="56" t="str">
        <f>IF(COUNTIFS(JournalActions[Joueur],$B72,JournalActions[Action],$E$64,JournalActions[Mi-temps],E$65)=0,"",COUNTIFS(JournalActions[Joueur],$B72,JournalActions[Action],$E$64,JournalActions[Mi-temps],E$65))</f>
        <v/>
      </c>
      <c r="F72" s="57" t="str">
        <f>IF(COUNTIFS(JournalActions[Joueur],$B72,JournalActions[Action],$E$64,JournalActions[Mi-temps],F$65)=0,"",COUNTIFS(JournalActions[Joueur],$B72,JournalActions[Action],$E$64,JournalActions[Mi-temps],F$65))</f>
        <v/>
      </c>
      <c r="H72" s="56" t="str">
        <f>IF(COUNTIFS(JournalActions[Joueur],$B72,JournalActions[Action],$H$64,JournalActions[Mi-temps],H$65)=0,"",COUNTIFS(JournalActions[Joueur],$B72,JournalActions[Action],$H$64,JournalActions[Mi-temps],H$65))</f>
        <v/>
      </c>
      <c r="I72" s="57" t="str">
        <f>IF(COUNTIFS(JournalActions[Joueur],$B72,JournalActions[Action],$H$64,JournalActions[Mi-temps],I$65)=0,"",COUNTIFS(JournalActions[Joueur],$B72,JournalActions[Action],$H$64,JournalActions[Mi-temps],I$65))</f>
        <v/>
      </c>
      <c r="J72" s="56" t="str">
        <f>IF(COUNTIFS(JournalActions[Joueur],$B72,JournalActions[Action],$J$64,JournalActions[Mi-temps],J$65)=0,"",COUNTIFS(JournalActions[Joueur],$B72,JournalActions[Action],$J$64,JournalActions[Mi-temps],J$65))</f>
        <v/>
      </c>
      <c r="K72" s="57" t="str">
        <f>IF(COUNTIFS(JournalActions[Joueur],$B72,JournalActions[Action],$J$64,JournalActions[Mi-temps],K$65)=0,"",COUNTIFS(JournalActions[Joueur],$B72,JournalActions[Action],$J$64,JournalActions[Mi-temps],K$65))</f>
        <v/>
      </c>
    </row>
    <row r="73" spans="2:11" s="25" customFormat="1">
      <c r="B73" s="56" t="str">
        <v>CESCA Sacha</v>
      </c>
      <c r="C73" s="56" t="str">
        <f>IF(COUNTIFS(JournalActions[Joueur],$B73,JournalActions[Action],$C$64,JournalActions[Mi-temps],C$65)=0,"",COUNTIFS(JournalActions[Joueur],$B73,JournalActions[Action],$C$64,JournalActions[Mi-temps],C$65))</f>
        <v/>
      </c>
      <c r="D73" s="57" t="str">
        <f>IF(COUNTIFS(JournalActions[Joueur],$B73,JournalActions[Action],$C$64,JournalActions[Mi-temps],D$65)=0,"",COUNTIFS(JournalActions[Joueur],$B73,JournalActions[Action],$C$64,JournalActions[Mi-temps],D$65))</f>
        <v/>
      </c>
      <c r="E73" s="56" t="str">
        <f>IF(COUNTIFS(JournalActions[Joueur],$B73,JournalActions[Action],$E$64,JournalActions[Mi-temps],E$65)=0,"",COUNTIFS(JournalActions[Joueur],$B73,JournalActions[Action],$E$64,JournalActions[Mi-temps],E$65))</f>
        <v/>
      </c>
      <c r="F73" s="57" t="str">
        <f>IF(COUNTIFS(JournalActions[Joueur],$B73,JournalActions[Action],$E$64,JournalActions[Mi-temps],F$65)=0,"",COUNTIFS(JournalActions[Joueur],$B73,JournalActions[Action],$E$64,JournalActions[Mi-temps],F$65))</f>
        <v/>
      </c>
      <c r="H73" s="56" t="str">
        <f>IF(COUNTIFS(JournalActions[Joueur],$B73,JournalActions[Action],$H$64,JournalActions[Mi-temps],H$65)=0,"",COUNTIFS(JournalActions[Joueur],$B73,JournalActions[Action],$H$64,JournalActions[Mi-temps],H$65))</f>
        <v/>
      </c>
      <c r="I73" s="57" t="str">
        <f>IF(COUNTIFS(JournalActions[Joueur],$B73,JournalActions[Action],$H$64,JournalActions[Mi-temps],I$65)=0,"",COUNTIFS(JournalActions[Joueur],$B73,JournalActions[Action],$H$64,JournalActions[Mi-temps],I$65))</f>
        <v/>
      </c>
      <c r="J73" s="56" t="str">
        <f>IF(COUNTIFS(JournalActions[Joueur],$B73,JournalActions[Action],$J$64,JournalActions[Mi-temps],J$65)=0,"",COUNTIFS(JournalActions[Joueur],$B73,JournalActions[Action],$J$64,JournalActions[Mi-temps],J$65))</f>
        <v/>
      </c>
      <c r="K73" s="57" t="str">
        <f>IF(COUNTIFS(JournalActions[Joueur],$B73,JournalActions[Action],$J$64,JournalActions[Mi-temps],K$65)=0,"",COUNTIFS(JournalActions[Joueur],$B73,JournalActions[Action],$J$64,JournalActions[Mi-temps],K$65))</f>
        <v/>
      </c>
    </row>
    <row r="74" spans="2:11" s="25" customFormat="1">
      <c r="B74" s="56" t="str">
        <v>COURREGES Romain</v>
      </c>
      <c r="C74" s="56" t="str">
        <f>IF(COUNTIFS(JournalActions[Joueur],$B74,JournalActions[Action],$C$64,JournalActions[Mi-temps],C$65)=0,"",COUNTIFS(JournalActions[Joueur],$B74,JournalActions[Action],$C$64,JournalActions[Mi-temps],C$65))</f>
        <v/>
      </c>
      <c r="D74" s="57" t="str">
        <f>IF(COUNTIFS(JournalActions[Joueur],$B74,JournalActions[Action],$C$64,JournalActions[Mi-temps],D$65)=0,"",COUNTIFS(JournalActions[Joueur],$B74,JournalActions[Action],$C$64,JournalActions[Mi-temps],D$65))</f>
        <v/>
      </c>
      <c r="E74" s="56" t="str">
        <f>IF(COUNTIFS(JournalActions[Joueur],$B74,JournalActions[Action],$E$64,JournalActions[Mi-temps],E$65)=0,"",COUNTIFS(JournalActions[Joueur],$B74,JournalActions[Action],$E$64,JournalActions[Mi-temps],E$65))</f>
        <v/>
      </c>
      <c r="F74" s="57" t="str">
        <f>IF(COUNTIFS(JournalActions[Joueur],$B74,JournalActions[Action],$E$64,JournalActions[Mi-temps],F$65)=0,"",COUNTIFS(JournalActions[Joueur],$B74,JournalActions[Action],$E$64,JournalActions[Mi-temps],F$65))</f>
        <v/>
      </c>
      <c r="H74" s="56" t="str">
        <f>IF(COUNTIFS(JournalActions[Joueur],$B74,JournalActions[Action],$H$64,JournalActions[Mi-temps],H$65)=0,"",COUNTIFS(JournalActions[Joueur],$B74,JournalActions[Action],$H$64,JournalActions[Mi-temps],H$65))</f>
        <v/>
      </c>
      <c r="I74" s="57" t="str">
        <f>IF(COUNTIFS(JournalActions[Joueur],$B74,JournalActions[Action],$H$64,JournalActions[Mi-temps],I$65)=0,"",COUNTIFS(JournalActions[Joueur],$B74,JournalActions[Action],$H$64,JournalActions[Mi-temps],I$65))</f>
        <v/>
      </c>
      <c r="J74" s="56" t="str">
        <f>IF(COUNTIFS(JournalActions[Joueur],$B74,JournalActions[Action],$J$64,JournalActions[Mi-temps],J$65)=0,"",COUNTIFS(JournalActions[Joueur],$B74,JournalActions[Action],$J$64,JournalActions[Mi-temps],J$65))</f>
        <v/>
      </c>
      <c r="K74" s="57" t="str">
        <f>IF(COUNTIFS(JournalActions[Joueur],$B74,JournalActions[Action],$J$64,JournalActions[Mi-temps],K$65)=0,"",COUNTIFS(JournalActions[Joueur],$B74,JournalActions[Action],$J$64,JournalActions[Mi-temps],K$65))</f>
        <v/>
      </c>
    </row>
    <row r="75" spans="2:11" s="25" customFormat="1">
      <c r="B75" s="56" t="str">
        <v>DALLA ROSA Jonah</v>
      </c>
      <c r="C75" s="56" t="str">
        <f>IF(COUNTIFS(JournalActions[Joueur],$B75,JournalActions[Action],$C$64,JournalActions[Mi-temps],C$65)=0,"",COUNTIFS(JournalActions[Joueur],$B75,JournalActions[Action],$C$64,JournalActions[Mi-temps],C$65))</f>
        <v/>
      </c>
      <c r="D75" s="57" t="str">
        <f>IF(COUNTIFS(JournalActions[Joueur],$B75,JournalActions[Action],$C$64,JournalActions[Mi-temps],D$65)=0,"",COUNTIFS(JournalActions[Joueur],$B75,JournalActions[Action],$C$64,JournalActions[Mi-temps],D$65))</f>
        <v/>
      </c>
      <c r="E75" s="56" t="str">
        <f>IF(COUNTIFS(JournalActions[Joueur],$B75,JournalActions[Action],$E$64,JournalActions[Mi-temps],E$65)=0,"",COUNTIFS(JournalActions[Joueur],$B75,JournalActions[Action],$E$64,JournalActions[Mi-temps],E$65))</f>
        <v/>
      </c>
      <c r="F75" s="57" t="str">
        <f>IF(COUNTIFS(JournalActions[Joueur],$B75,JournalActions[Action],$E$64,JournalActions[Mi-temps],F$65)=0,"",COUNTIFS(JournalActions[Joueur],$B75,JournalActions[Action],$E$64,JournalActions[Mi-temps],F$65))</f>
        <v/>
      </c>
      <c r="H75" s="56">
        <f>IF(COUNTIFS(JournalActions[Joueur],$B75,JournalActions[Action],$H$64,JournalActions[Mi-temps],H$65)=0,"",COUNTIFS(JournalActions[Joueur],$B75,JournalActions[Action],$H$64,JournalActions[Mi-temps],H$65))</f>
        <v>1</v>
      </c>
      <c r="I75" s="57" t="str">
        <f>IF(COUNTIFS(JournalActions[Joueur],$B75,JournalActions[Action],$H$64,JournalActions[Mi-temps],I$65)=0,"",COUNTIFS(JournalActions[Joueur],$B75,JournalActions[Action],$H$64,JournalActions[Mi-temps],I$65))</f>
        <v/>
      </c>
      <c r="J75" s="56">
        <f>IF(COUNTIFS(JournalActions[Joueur],$B75,JournalActions[Action],$J$64,JournalActions[Mi-temps],J$65)=0,"",COUNTIFS(JournalActions[Joueur],$B75,JournalActions[Action],$J$64,JournalActions[Mi-temps],J$65))</f>
        <v>1</v>
      </c>
      <c r="K75" s="57" t="str">
        <f>IF(COUNTIFS(JournalActions[Joueur],$B75,JournalActions[Action],$J$64,JournalActions[Mi-temps],K$65)=0,"",COUNTIFS(JournalActions[Joueur],$B75,JournalActions[Action],$J$64,JournalActions[Mi-temps],K$65))</f>
        <v/>
      </c>
    </row>
    <row r="76" spans="2:11" s="25" customFormat="1">
      <c r="B76" s="56" t="str">
        <v>GABRELLE Neot</v>
      </c>
      <c r="C76" s="56" t="str">
        <f>IF(COUNTIFS(JournalActions[Joueur],$B76,JournalActions[Action],$C$64,JournalActions[Mi-temps],C$65)=0,"",COUNTIFS(JournalActions[Joueur],$B76,JournalActions[Action],$C$64,JournalActions[Mi-temps],C$65))</f>
        <v/>
      </c>
      <c r="D76" s="57" t="str">
        <f>IF(COUNTIFS(JournalActions[Joueur],$B76,JournalActions[Action],$C$64,JournalActions[Mi-temps],D$65)=0,"",COUNTIFS(JournalActions[Joueur],$B76,JournalActions[Action],$C$64,JournalActions[Mi-temps],D$65))</f>
        <v/>
      </c>
      <c r="E76" s="56" t="str">
        <f>IF(COUNTIFS(JournalActions[Joueur],$B76,JournalActions[Action],$E$64,JournalActions[Mi-temps],E$65)=0,"",COUNTIFS(JournalActions[Joueur],$B76,JournalActions[Action],$E$64,JournalActions[Mi-temps],E$65))</f>
        <v/>
      </c>
      <c r="F76" s="57" t="str">
        <f>IF(COUNTIFS(JournalActions[Joueur],$B76,JournalActions[Action],$E$64,JournalActions[Mi-temps],F$65)=0,"",COUNTIFS(JournalActions[Joueur],$B76,JournalActions[Action],$E$64,JournalActions[Mi-temps],F$65))</f>
        <v/>
      </c>
      <c r="H76" s="56" t="str">
        <f>IF(COUNTIFS(JournalActions[Joueur],$B76,JournalActions[Action],$H$64,JournalActions[Mi-temps],H$65)=0,"",COUNTIFS(JournalActions[Joueur],$B76,JournalActions[Action],$H$64,JournalActions[Mi-temps],H$65))</f>
        <v/>
      </c>
      <c r="I76" s="57" t="str">
        <f>IF(COUNTIFS(JournalActions[Joueur],$B76,JournalActions[Action],$H$64,JournalActions[Mi-temps],I$65)=0,"",COUNTIFS(JournalActions[Joueur],$B76,JournalActions[Action],$H$64,JournalActions[Mi-temps],I$65))</f>
        <v/>
      </c>
      <c r="J76" s="56" t="str">
        <f>IF(COUNTIFS(JournalActions[Joueur],$B76,JournalActions[Action],$J$64,JournalActions[Mi-temps],J$65)=0,"",COUNTIFS(JournalActions[Joueur],$B76,JournalActions[Action],$J$64,JournalActions[Mi-temps],J$65))</f>
        <v/>
      </c>
      <c r="K76" s="57" t="str">
        <f>IF(COUNTIFS(JournalActions[Joueur],$B76,JournalActions[Action],$J$64,JournalActions[Mi-temps],K$65)=0,"",COUNTIFS(JournalActions[Joueur],$B76,JournalActions[Action],$J$64,JournalActions[Mi-temps],K$65))</f>
        <v/>
      </c>
    </row>
    <row r="77" spans="2:11" s="25" customFormat="1">
      <c r="B77" s="56" t="str">
        <v>JOUNAUX Joris</v>
      </c>
      <c r="C77" s="56" t="str">
        <f>IF(COUNTIFS(JournalActions[Joueur],$B77,JournalActions[Action],$C$64,JournalActions[Mi-temps],C$65)=0,"",COUNTIFS(JournalActions[Joueur],$B77,JournalActions[Action],$C$64,JournalActions[Mi-temps],C$65))</f>
        <v/>
      </c>
      <c r="D77" s="57" t="str">
        <f>IF(COUNTIFS(JournalActions[Joueur],$B77,JournalActions[Action],$C$64,JournalActions[Mi-temps],D$65)=0,"",COUNTIFS(JournalActions[Joueur],$B77,JournalActions[Action],$C$64,JournalActions[Mi-temps],D$65))</f>
        <v/>
      </c>
      <c r="E77" s="56" t="str">
        <f>IF(COUNTIFS(JournalActions[Joueur],$B77,JournalActions[Action],$E$64,JournalActions[Mi-temps],E$65)=0,"",COUNTIFS(JournalActions[Joueur],$B77,JournalActions[Action],$E$64,JournalActions[Mi-temps],E$65))</f>
        <v/>
      </c>
      <c r="F77" s="57" t="str">
        <f>IF(COUNTIFS(JournalActions[Joueur],$B77,JournalActions[Action],$E$64,JournalActions[Mi-temps],F$65)=0,"",COUNTIFS(JournalActions[Joueur],$B77,JournalActions[Action],$E$64,JournalActions[Mi-temps],F$65))</f>
        <v/>
      </c>
      <c r="H77" s="56" t="str">
        <f>IF(COUNTIFS(JournalActions[Joueur],$B77,JournalActions[Action],$H$64,JournalActions[Mi-temps],H$65)=0,"",COUNTIFS(JournalActions[Joueur],$B77,JournalActions[Action],$H$64,JournalActions[Mi-temps],H$65))</f>
        <v/>
      </c>
      <c r="I77" s="57" t="str">
        <f>IF(COUNTIFS(JournalActions[Joueur],$B77,JournalActions[Action],$H$64,JournalActions[Mi-temps],I$65)=0,"",COUNTIFS(JournalActions[Joueur],$B77,JournalActions[Action],$H$64,JournalActions[Mi-temps],I$65))</f>
        <v/>
      </c>
      <c r="J77" s="56" t="str">
        <f>IF(COUNTIFS(JournalActions[Joueur],$B77,JournalActions[Action],$J$64,JournalActions[Mi-temps],J$65)=0,"",COUNTIFS(JournalActions[Joueur],$B77,JournalActions[Action],$J$64,JournalActions[Mi-temps],J$65))</f>
        <v/>
      </c>
      <c r="K77" s="57" t="str">
        <f>IF(COUNTIFS(JournalActions[Joueur],$B77,JournalActions[Action],$J$64,JournalActions[Mi-temps],K$65)=0,"",COUNTIFS(JournalActions[Joueur],$B77,JournalActions[Action],$J$64,JournalActions[Mi-temps],K$65))</f>
        <v/>
      </c>
    </row>
    <row r="78" spans="2:11" s="25" customFormat="1">
      <c r="B78" s="56" t="str">
        <v>KAPFER Bastien</v>
      </c>
      <c r="C78" s="56" t="str">
        <f>IF(COUNTIFS(JournalActions[Joueur],$B78,JournalActions[Action],$C$64,JournalActions[Mi-temps],C$65)=0,"",COUNTIFS(JournalActions[Joueur],$B78,JournalActions[Action],$C$64,JournalActions[Mi-temps],C$65))</f>
        <v/>
      </c>
      <c r="D78" s="57" t="str">
        <f>IF(COUNTIFS(JournalActions[Joueur],$B78,JournalActions[Action],$C$64,JournalActions[Mi-temps],D$65)=0,"",COUNTIFS(JournalActions[Joueur],$B78,JournalActions[Action],$C$64,JournalActions[Mi-temps],D$65))</f>
        <v/>
      </c>
      <c r="E78" s="56" t="str">
        <f>IF(COUNTIFS(JournalActions[Joueur],$B78,JournalActions[Action],$E$64,JournalActions[Mi-temps],E$65)=0,"",COUNTIFS(JournalActions[Joueur],$B78,JournalActions[Action],$E$64,JournalActions[Mi-temps],E$65))</f>
        <v/>
      </c>
      <c r="F78" s="57" t="str">
        <f>IF(COUNTIFS(JournalActions[Joueur],$B78,JournalActions[Action],$E$64,JournalActions[Mi-temps],F$65)=0,"",COUNTIFS(JournalActions[Joueur],$B78,JournalActions[Action],$E$64,JournalActions[Mi-temps],F$65))</f>
        <v/>
      </c>
      <c r="H78" s="56" t="str">
        <f>IF(COUNTIFS(JournalActions[Joueur],$B78,JournalActions[Action],$H$64,JournalActions[Mi-temps],H$65)=0,"",COUNTIFS(JournalActions[Joueur],$B78,JournalActions[Action],$H$64,JournalActions[Mi-temps],H$65))</f>
        <v/>
      </c>
      <c r="I78" s="57" t="str">
        <f>IF(COUNTIFS(JournalActions[Joueur],$B78,JournalActions[Action],$H$64,JournalActions[Mi-temps],I$65)=0,"",COUNTIFS(JournalActions[Joueur],$B78,JournalActions[Action],$H$64,JournalActions[Mi-temps],I$65))</f>
        <v/>
      </c>
      <c r="J78" s="56" t="str">
        <f>IF(COUNTIFS(JournalActions[Joueur],$B78,JournalActions[Action],$J$64,JournalActions[Mi-temps],J$65)=0,"",COUNTIFS(JournalActions[Joueur],$B78,JournalActions[Action],$J$64,JournalActions[Mi-temps],J$65))</f>
        <v/>
      </c>
      <c r="K78" s="57" t="str">
        <f>IF(COUNTIFS(JournalActions[Joueur],$B78,JournalActions[Action],$J$64,JournalActions[Mi-temps],K$65)=0,"",COUNTIFS(JournalActions[Joueur],$B78,JournalActions[Action],$J$64,JournalActions[Mi-temps],K$65))</f>
        <v/>
      </c>
    </row>
    <row r="79" spans="2:11" s="25" customFormat="1">
      <c r="B79" s="56" t="str">
        <v>LAUDET Jean Baptiste</v>
      </c>
      <c r="C79" s="56" t="str">
        <f>IF(COUNTIFS(JournalActions[Joueur],$B79,JournalActions[Action],$C$64,JournalActions[Mi-temps],C$65)=0,"",COUNTIFS(JournalActions[Joueur],$B79,JournalActions[Action],$C$64,JournalActions[Mi-temps],C$65))</f>
        <v/>
      </c>
      <c r="D79" s="57" t="str">
        <f>IF(COUNTIFS(JournalActions[Joueur],$B79,JournalActions[Action],$C$64,JournalActions[Mi-temps],D$65)=0,"",COUNTIFS(JournalActions[Joueur],$B79,JournalActions[Action],$C$64,JournalActions[Mi-temps],D$65))</f>
        <v/>
      </c>
      <c r="E79" s="56" t="str">
        <f>IF(COUNTIFS(JournalActions[Joueur],$B79,JournalActions[Action],$E$64,JournalActions[Mi-temps],E$65)=0,"",COUNTIFS(JournalActions[Joueur],$B79,JournalActions[Action],$E$64,JournalActions[Mi-temps],E$65))</f>
        <v/>
      </c>
      <c r="F79" s="57" t="str">
        <f>IF(COUNTIFS(JournalActions[Joueur],$B79,JournalActions[Action],$E$64,JournalActions[Mi-temps],F$65)=0,"",COUNTIFS(JournalActions[Joueur],$B79,JournalActions[Action],$E$64,JournalActions[Mi-temps],F$65))</f>
        <v/>
      </c>
      <c r="H79" s="56" t="str">
        <f>IF(COUNTIFS(JournalActions[Joueur],$B79,JournalActions[Action],$H$64,JournalActions[Mi-temps],H$65)=0,"",COUNTIFS(JournalActions[Joueur],$B79,JournalActions[Action],$H$64,JournalActions[Mi-temps],H$65))</f>
        <v/>
      </c>
      <c r="I79" s="57" t="str">
        <f>IF(COUNTIFS(JournalActions[Joueur],$B79,JournalActions[Action],$H$64,JournalActions[Mi-temps],I$65)=0,"",COUNTIFS(JournalActions[Joueur],$B79,JournalActions[Action],$H$64,JournalActions[Mi-temps],I$65))</f>
        <v/>
      </c>
      <c r="J79" s="56" t="str">
        <f>IF(COUNTIFS(JournalActions[Joueur],$B79,JournalActions[Action],$J$64,JournalActions[Mi-temps],J$65)=0,"",COUNTIFS(JournalActions[Joueur],$B79,JournalActions[Action],$J$64,JournalActions[Mi-temps],J$65))</f>
        <v/>
      </c>
      <c r="K79" s="57" t="str">
        <f>IF(COUNTIFS(JournalActions[Joueur],$B79,JournalActions[Action],$J$64,JournalActions[Mi-temps],K$65)=0,"",COUNTIFS(JournalActions[Joueur],$B79,JournalActions[Action],$J$64,JournalActions[Mi-temps],K$65))</f>
        <v/>
      </c>
    </row>
    <row r="80" spans="2:11" s="25" customFormat="1">
      <c r="B80" s="56" t="str">
        <v>LOUREIRO LABAZUY Antonio</v>
      </c>
      <c r="C80" s="56" t="str">
        <f>IF(COUNTIFS(JournalActions[Joueur],$B80,JournalActions[Action],$C$64,JournalActions[Mi-temps],C$65)=0,"",COUNTIFS(JournalActions[Joueur],$B80,JournalActions[Action],$C$64,JournalActions[Mi-temps],C$65))</f>
        <v/>
      </c>
      <c r="D80" s="57" t="str">
        <f>IF(COUNTIFS(JournalActions[Joueur],$B80,JournalActions[Action],$C$64,JournalActions[Mi-temps],D$65)=0,"",COUNTIFS(JournalActions[Joueur],$B80,JournalActions[Action],$C$64,JournalActions[Mi-temps],D$65))</f>
        <v/>
      </c>
      <c r="E80" s="56" t="str">
        <f>IF(COUNTIFS(JournalActions[Joueur],$B80,JournalActions[Action],$E$64,JournalActions[Mi-temps],E$65)=0,"",COUNTIFS(JournalActions[Joueur],$B80,JournalActions[Action],$E$64,JournalActions[Mi-temps],E$65))</f>
        <v/>
      </c>
      <c r="F80" s="57" t="str">
        <f>IF(COUNTIFS(JournalActions[Joueur],$B80,JournalActions[Action],$E$64,JournalActions[Mi-temps],F$65)=0,"",COUNTIFS(JournalActions[Joueur],$B80,JournalActions[Action],$E$64,JournalActions[Mi-temps],F$65))</f>
        <v/>
      </c>
      <c r="H80" s="56" t="str">
        <f>IF(COUNTIFS(JournalActions[Joueur],$B80,JournalActions[Action],$H$64,JournalActions[Mi-temps],H$65)=0,"",COUNTIFS(JournalActions[Joueur],$B80,JournalActions[Action],$H$64,JournalActions[Mi-temps],H$65))</f>
        <v/>
      </c>
      <c r="I80" s="57" t="str">
        <f>IF(COUNTIFS(JournalActions[Joueur],$B80,JournalActions[Action],$H$64,JournalActions[Mi-temps],I$65)=0,"",COUNTIFS(JournalActions[Joueur],$B80,JournalActions[Action],$H$64,JournalActions[Mi-temps],I$65))</f>
        <v/>
      </c>
      <c r="J80" s="56" t="str">
        <f>IF(COUNTIFS(JournalActions[Joueur],$B80,JournalActions[Action],$J$64,JournalActions[Mi-temps],J$65)=0,"",COUNTIFS(JournalActions[Joueur],$B80,JournalActions[Action],$J$64,JournalActions[Mi-temps],J$65))</f>
        <v/>
      </c>
      <c r="K80" s="57" t="str">
        <f>IF(COUNTIFS(JournalActions[Joueur],$B80,JournalActions[Action],$J$64,JournalActions[Mi-temps],K$65)=0,"",COUNTIFS(JournalActions[Joueur],$B80,JournalActions[Action],$J$64,JournalActions[Mi-temps],K$65))</f>
        <v/>
      </c>
    </row>
    <row r="81" spans="2:11" s="25" customFormat="1">
      <c r="B81" s="56" t="str">
        <v>MICHELIN Paul</v>
      </c>
      <c r="C81" s="56" t="str">
        <f>IF(COUNTIFS(JournalActions[Joueur],$B81,JournalActions[Action],$C$64,JournalActions[Mi-temps],C$65)=0,"",COUNTIFS(JournalActions[Joueur],$B81,JournalActions[Action],$C$64,JournalActions[Mi-temps],C$65))</f>
        <v/>
      </c>
      <c r="D81" s="57" t="str">
        <f>IF(COUNTIFS(JournalActions[Joueur],$B81,JournalActions[Action],$C$64,JournalActions[Mi-temps],D$65)=0,"",COUNTIFS(JournalActions[Joueur],$B81,JournalActions[Action],$C$64,JournalActions[Mi-temps],D$65))</f>
        <v/>
      </c>
      <c r="E81" s="56" t="str">
        <f>IF(COUNTIFS(JournalActions[Joueur],$B81,JournalActions[Action],$E$64,JournalActions[Mi-temps],E$65)=0,"",COUNTIFS(JournalActions[Joueur],$B81,JournalActions[Action],$E$64,JournalActions[Mi-temps],E$65))</f>
        <v/>
      </c>
      <c r="F81" s="57" t="str">
        <f>IF(COUNTIFS(JournalActions[Joueur],$B81,JournalActions[Action],$E$64,JournalActions[Mi-temps],F$65)=0,"",COUNTIFS(JournalActions[Joueur],$B81,JournalActions[Action],$E$64,JournalActions[Mi-temps],F$65))</f>
        <v/>
      </c>
      <c r="H81" s="56" t="str">
        <f>IF(COUNTIFS(JournalActions[Joueur],$B81,JournalActions[Action],$H$64,JournalActions[Mi-temps],H$65)=0,"",COUNTIFS(JournalActions[Joueur],$B81,JournalActions[Action],$H$64,JournalActions[Mi-temps],H$65))</f>
        <v/>
      </c>
      <c r="I81" s="57" t="str">
        <f>IF(COUNTIFS(JournalActions[Joueur],$B81,JournalActions[Action],$H$64,JournalActions[Mi-temps],I$65)=0,"",COUNTIFS(JournalActions[Joueur],$B81,JournalActions[Action],$H$64,JournalActions[Mi-temps],I$65))</f>
        <v/>
      </c>
      <c r="J81" s="56" t="str">
        <f>IF(COUNTIFS(JournalActions[Joueur],$B81,JournalActions[Action],$J$64,JournalActions[Mi-temps],J$65)=0,"",COUNTIFS(JournalActions[Joueur],$B81,JournalActions[Action],$J$64,JournalActions[Mi-temps],J$65))</f>
        <v/>
      </c>
      <c r="K81" s="57" t="str">
        <f>IF(COUNTIFS(JournalActions[Joueur],$B81,JournalActions[Action],$J$64,JournalActions[Mi-temps],K$65)=0,"",COUNTIFS(JournalActions[Joueur],$B81,JournalActions[Action],$J$64,JournalActions[Mi-temps],K$65))</f>
        <v/>
      </c>
    </row>
    <row r="82" spans="2:11" s="25" customFormat="1">
      <c r="B82" s="56" t="str">
        <v>MOUDENS Alexis</v>
      </c>
      <c r="C82" s="56" t="str">
        <f>IF(COUNTIFS(JournalActions[Joueur],$B82,JournalActions[Action],$C$64,JournalActions[Mi-temps],C$65)=0,"",COUNTIFS(JournalActions[Joueur],$B82,JournalActions[Action],$C$64,JournalActions[Mi-temps],C$65))</f>
        <v/>
      </c>
      <c r="D82" s="57" t="str">
        <f>IF(COUNTIFS(JournalActions[Joueur],$B82,JournalActions[Action],$C$64,JournalActions[Mi-temps],D$65)=0,"",COUNTIFS(JournalActions[Joueur],$B82,JournalActions[Action],$C$64,JournalActions[Mi-temps],D$65))</f>
        <v/>
      </c>
      <c r="E82" s="56" t="str">
        <f>IF(COUNTIFS(JournalActions[Joueur],$B82,JournalActions[Action],$E$64,JournalActions[Mi-temps],E$65)=0,"",COUNTIFS(JournalActions[Joueur],$B82,JournalActions[Action],$E$64,JournalActions[Mi-temps],E$65))</f>
        <v/>
      </c>
      <c r="F82" s="57" t="str">
        <f>IF(COUNTIFS(JournalActions[Joueur],$B82,JournalActions[Action],$E$64,JournalActions[Mi-temps],F$65)=0,"",COUNTIFS(JournalActions[Joueur],$B82,JournalActions[Action],$E$64,JournalActions[Mi-temps],F$65))</f>
        <v/>
      </c>
      <c r="H82" s="56" t="str">
        <f>IF(COUNTIFS(JournalActions[Joueur],$B82,JournalActions[Action],$H$64,JournalActions[Mi-temps],H$65)=0,"",COUNTIFS(JournalActions[Joueur],$B82,JournalActions[Action],$H$64,JournalActions[Mi-temps],H$65))</f>
        <v/>
      </c>
      <c r="I82" s="57" t="str">
        <f>IF(COUNTIFS(JournalActions[Joueur],$B82,JournalActions[Action],$H$64,JournalActions[Mi-temps],I$65)=0,"",COUNTIFS(JournalActions[Joueur],$B82,JournalActions[Action],$H$64,JournalActions[Mi-temps],I$65))</f>
        <v/>
      </c>
      <c r="J82" s="56" t="str">
        <f>IF(COUNTIFS(JournalActions[Joueur],$B82,JournalActions[Action],$J$64,JournalActions[Mi-temps],J$65)=0,"",COUNTIFS(JournalActions[Joueur],$B82,JournalActions[Action],$J$64,JournalActions[Mi-temps],J$65))</f>
        <v/>
      </c>
      <c r="K82" s="57" t="str">
        <f>IF(COUNTIFS(JournalActions[Joueur],$B82,JournalActions[Action],$J$64,JournalActions[Mi-temps],K$65)=0,"",COUNTIFS(JournalActions[Joueur],$B82,JournalActions[Action],$J$64,JournalActions[Mi-temps],K$65))</f>
        <v/>
      </c>
    </row>
    <row r="83" spans="2:11" s="25" customFormat="1">
      <c r="B83" s="56" t="str">
        <v>MULLIER Victor</v>
      </c>
      <c r="C83" s="56" t="str">
        <f>IF(COUNTIFS(JournalActions[Joueur],$B83,JournalActions[Action],$C$64,JournalActions[Mi-temps],C$65)=0,"",COUNTIFS(JournalActions[Joueur],$B83,JournalActions[Action],$C$64,JournalActions[Mi-temps],C$65))</f>
        <v/>
      </c>
      <c r="D83" s="57" t="str">
        <f>IF(COUNTIFS(JournalActions[Joueur],$B83,JournalActions[Action],$C$64,JournalActions[Mi-temps],D$65)=0,"",COUNTIFS(JournalActions[Joueur],$B83,JournalActions[Action],$C$64,JournalActions[Mi-temps],D$65))</f>
        <v/>
      </c>
      <c r="E83" s="56" t="str">
        <f>IF(COUNTIFS(JournalActions[Joueur],$B83,JournalActions[Action],$E$64,JournalActions[Mi-temps],E$65)=0,"",COUNTIFS(JournalActions[Joueur],$B83,JournalActions[Action],$E$64,JournalActions[Mi-temps],E$65))</f>
        <v/>
      </c>
      <c r="F83" s="57" t="str">
        <f>IF(COUNTIFS(JournalActions[Joueur],$B83,JournalActions[Action],$E$64,JournalActions[Mi-temps],F$65)=0,"",COUNTIFS(JournalActions[Joueur],$B83,JournalActions[Action],$E$64,JournalActions[Mi-temps],F$65))</f>
        <v/>
      </c>
      <c r="H83" s="56" t="str">
        <f>IF(COUNTIFS(JournalActions[Joueur],$B83,JournalActions[Action],$H$64,JournalActions[Mi-temps],H$65)=0,"",COUNTIFS(JournalActions[Joueur],$B83,JournalActions[Action],$H$64,JournalActions[Mi-temps],H$65))</f>
        <v/>
      </c>
      <c r="I83" s="57" t="str">
        <f>IF(COUNTIFS(JournalActions[Joueur],$B83,JournalActions[Action],$H$64,JournalActions[Mi-temps],I$65)=0,"",COUNTIFS(JournalActions[Joueur],$B83,JournalActions[Action],$H$64,JournalActions[Mi-temps],I$65))</f>
        <v/>
      </c>
      <c r="J83" s="56" t="str">
        <f>IF(COUNTIFS(JournalActions[Joueur],$B83,JournalActions[Action],$J$64,JournalActions[Mi-temps],J$65)=0,"",COUNTIFS(JournalActions[Joueur],$B83,JournalActions[Action],$J$64,JournalActions[Mi-temps],J$65))</f>
        <v/>
      </c>
      <c r="K83" s="57" t="str">
        <f>IF(COUNTIFS(JournalActions[Joueur],$B83,JournalActions[Action],$J$64,JournalActions[Mi-temps],K$65)=0,"",COUNTIFS(JournalActions[Joueur],$B83,JournalActions[Action],$J$64,JournalActions[Mi-temps],K$65))</f>
        <v/>
      </c>
    </row>
    <row r="84" spans="2:11" s="25" customFormat="1">
      <c r="B84" s="56" t="str">
        <v>RICHIARDONNE Gregory</v>
      </c>
      <c r="C84" s="56" t="str">
        <f>IF(COUNTIFS(JournalActions[Joueur],$B84,JournalActions[Action],$C$64,JournalActions[Mi-temps],C$65)=0,"",COUNTIFS(JournalActions[Joueur],$B84,JournalActions[Action],$C$64,JournalActions[Mi-temps],C$65))</f>
        <v/>
      </c>
      <c r="D84" s="57" t="str">
        <f>IF(COUNTIFS(JournalActions[Joueur],$B84,JournalActions[Action],$C$64,JournalActions[Mi-temps],D$65)=0,"",COUNTIFS(JournalActions[Joueur],$B84,JournalActions[Action],$C$64,JournalActions[Mi-temps],D$65))</f>
        <v/>
      </c>
      <c r="E84" s="56" t="str">
        <f>IF(COUNTIFS(JournalActions[Joueur],$B84,JournalActions[Action],$E$64,JournalActions[Mi-temps],E$65)=0,"",COUNTIFS(JournalActions[Joueur],$B84,JournalActions[Action],$E$64,JournalActions[Mi-temps],E$65))</f>
        <v/>
      </c>
      <c r="F84" s="57" t="str">
        <f>IF(COUNTIFS(JournalActions[Joueur],$B84,JournalActions[Action],$E$64,JournalActions[Mi-temps],F$65)=0,"",COUNTIFS(JournalActions[Joueur],$B84,JournalActions[Action],$E$64,JournalActions[Mi-temps],F$65))</f>
        <v/>
      </c>
      <c r="H84" s="56" t="str">
        <f>IF(COUNTIFS(JournalActions[Joueur],$B84,JournalActions[Action],$H$64,JournalActions[Mi-temps],H$65)=0,"",COUNTIFS(JournalActions[Joueur],$B84,JournalActions[Action],$H$64,JournalActions[Mi-temps],H$65))</f>
        <v/>
      </c>
      <c r="I84" s="57" t="str">
        <f>IF(COUNTIFS(JournalActions[Joueur],$B84,JournalActions[Action],$H$64,JournalActions[Mi-temps],I$65)=0,"",COUNTIFS(JournalActions[Joueur],$B84,JournalActions[Action],$H$64,JournalActions[Mi-temps],I$65))</f>
        <v/>
      </c>
      <c r="J84" s="56" t="str">
        <f>IF(COUNTIFS(JournalActions[Joueur],$B84,JournalActions[Action],$J$64,JournalActions[Mi-temps],J$65)=0,"",COUNTIFS(JournalActions[Joueur],$B84,JournalActions[Action],$J$64,JournalActions[Mi-temps],J$65))</f>
        <v/>
      </c>
      <c r="K84" s="57" t="str">
        <f>IF(COUNTIFS(JournalActions[Joueur],$B84,JournalActions[Action],$J$64,JournalActions[Mi-temps],K$65)=0,"",COUNTIFS(JournalActions[Joueur],$B84,JournalActions[Action],$J$64,JournalActions[Mi-temps],K$65))</f>
        <v/>
      </c>
    </row>
    <row r="85" spans="2:11" s="25" customFormat="1">
      <c r="B85" s="56" t="str">
        <v>ROUSSEL Mathis</v>
      </c>
      <c r="C85" s="56" t="str">
        <f>IF(COUNTIFS(JournalActions[Joueur],$B85,JournalActions[Action],$C$64,JournalActions[Mi-temps],C$65)=0,"",COUNTIFS(JournalActions[Joueur],$B85,JournalActions[Action],$C$64,JournalActions[Mi-temps],C$65))</f>
        <v/>
      </c>
      <c r="D85" s="57" t="str">
        <f>IF(COUNTIFS(JournalActions[Joueur],$B85,JournalActions[Action],$C$64,JournalActions[Mi-temps],D$65)=0,"",COUNTIFS(JournalActions[Joueur],$B85,JournalActions[Action],$C$64,JournalActions[Mi-temps],D$65))</f>
        <v/>
      </c>
      <c r="E85" s="56" t="str">
        <f>IF(COUNTIFS(JournalActions[Joueur],$B85,JournalActions[Action],$E$64,JournalActions[Mi-temps],E$65)=0,"",COUNTIFS(JournalActions[Joueur],$B85,JournalActions[Action],$E$64,JournalActions[Mi-temps],E$65))</f>
        <v/>
      </c>
      <c r="F85" s="57" t="str">
        <f>IF(COUNTIFS(JournalActions[Joueur],$B85,JournalActions[Action],$E$64,JournalActions[Mi-temps],F$65)=0,"",COUNTIFS(JournalActions[Joueur],$B85,JournalActions[Action],$E$64,JournalActions[Mi-temps],F$65))</f>
        <v/>
      </c>
      <c r="H85" s="56" t="str">
        <f>IF(COUNTIFS(JournalActions[Joueur],$B85,JournalActions[Action],$H$64,JournalActions[Mi-temps],H$65)=0,"",COUNTIFS(JournalActions[Joueur],$B85,JournalActions[Action],$H$64,JournalActions[Mi-temps],H$65))</f>
        <v/>
      </c>
      <c r="I85" s="57" t="str">
        <f>IF(COUNTIFS(JournalActions[Joueur],$B85,JournalActions[Action],$H$64,JournalActions[Mi-temps],I$65)=0,"",COUNTIFS(JournalActions[Joueur],$B85,JournalActions[Action],$H$64,JournalActions[Mi-temps],I$65))</f>
        <v/>
      </c>
      <c r="J85" s="56" t="str">
        <f>IF(COUNTIFS(JournalActions[Joueur],$B85,JournalActions[Action],$J$64,JournalActions[Mi-temps],J$65)=0,"",COUNTIFS(JournalActions[Joueur],$B85,JournalActions[Action],$J$64,JournalActions[Mi-temps],J$65))</f>
        <v/>
      </c>
      <c r="K85" s="57" t="str">
        <f>IF(COUNTIFS(JournalActions[Joueur],$B85,JournalActions[Action],$J$64,JournalActions[Mi-temps],K$65)=0,"",COUNTIFS(JournalActions[Joueur],$B85,JournalActions[Action],$J$64,JournalActions[Mi-temps],K$65))</f>
        <v/>
      </c>
    </row>
    <row r="86" spans="2:11" s="25" customFormat="1">
      <c r="B86" s="56" t="str">
        <v>SALLES Fabien</v>
      </c>
      <c r="C86" s="56" t="str">
        <f>IF(COUNTIFS(JournalActions[Joueur],$B86,JournalActions[Action],$C$64,JournalActions[Mi-temps],C$65)=0,"",COUNTIFS(JournalActions[Joueur],$B86,JournalActions[Action],$C$64,JournalActions[Mi-temps],C$65))</f>
        <v/>
      </c>
      <c r="D86" s="57" t="str">
        <f>IF(COUNTIFS(JournalActions[Joueur],$B86,JournalActions[Action],$C$64,JournalActions[Mi-temps],D$65)=0,"",COUNTIFS(JournalActions[Joueur],$B86,JournalActions[Action],$C$64,JournalActions[Mi-temps],D$65))</f>
        <v/>
      </c>
      <c r="E86" s="56" t="str">
        <f>IF(COUNTIFS(JournalActions[Joueur],$B86,JournalActions[Action],$E$64,JournalActions[Mi-temps],E$65)=0,"",COUNTIFS(JournalActions[Joueur],$B86,JournalActions[Action],$E$64,JournalActions[Mi-temps],E$65))</f>
        <v/>
      </c>
      <c r="F86" s="57" t="str">
        <f>IF(COUNTIFS(JournalActions[Joueur],$B86,JournalActions[Action],$E$64,JournalActions[Mi-temps],F$65)=0,"",COUNTIFS(JournalActions[Joueur],$B86,JournalActions[Action],$E$64,JournalActions[Mi-temps],F$65))</f>
        <v/>
      </c>
      <c r="H86" s="56" t="str">
        <f>IF(COUNTIFS(JournalActions[Joueur],$B86,JournalActions[Action],$H$64,JournalActions[Mi-temps],H$65)=0,"",COUNTIFS(JournalActions[Joueur],$B86,JournalActions[Action],$H$64,JournalActions[Mi-temps],H$65))</f>
        <v/>
      </c>
      <c r="I86" s="57" t="str">
        <f>IF(COUNTIFS(JournalActions[Joueur],$B86,JournalActions[Action],$H$64,JournalActions[Mi-temps],I$65)=0,"",COUNTIFS(JournalActions[Joueur],$B86,JournalActions[Action],$H$64,JournalActions[Mi-temps],I$65))</f>
        <v/>
      </c>
      <c r="J86" s="56" t="str">
        <f>IF(COUNTIFS(JournalActions[Joueur],$B86,JournalActions[Action],$J$64,JournalActions[Mi-temps],J$65)=0,"",COUNTIFS(JournalActions[Joueur],$B86,JournalActions[Action],$J$64,JournalActions[Mi-temps],J$65))</f>
        <v/>
      </c>
      <c r="K86" s="57" t="str">
        <f>IF(COUNTIFS(JournalActions[Joueur],$B86,JournalActions[Action],$J$64,JournalActions[Mi-temps],K$65)=0,"",COUNTIFS(JournalActions[Joueur],$B86,JournalActions[Action],$J$64,JournalActions[Mi-temps],K$65))</f>
        <v/>
      </c>
    </row>
    <row r="87" spans="2:11" s="25" customFormat="1">
      <c r="B87" s="56" t="str">
        <v>SOUVILLE Quentin</v>
      </c>
      <c r="C87" s="56" t="str">
        <f>IF(COUNTIFS(JournalActions[Joueur],$B87,JournalActions[Action],$C$64,JournalActions[Mi-temps],C$65)=0,"",COUNTIFS(JournalActions[Joueur],$B87,JournalActions[Action],$C$64,JournalActions[Mi-temps],C$65))</f>
        <v/>
      </c>
      <c r="D87" s="57" t="str">
        <f>IF(COUNTIFS(JournalActions[Joueur],$B87,JournalActions[Action],$C$64,JournalActions[Mi-temps],D$65)=0,"",COUNTIFS(JournalActions[Joueur],$B87,JournalActions[Action],$C$64,JournalActions[Mi-temps],D$65))</f>
        <v/>
      </c>
      <c r="E87" s="109" t="str">
        <f>IF(COUNTIFS(JournalActions[Joueur],$B87,JournalActions[Action],$E$64,JournalActions[Mi-temps],E$65)=0,"",COUNTIFS(JournalActions[Joueur],$B87,JournalActions[Action],$E$64,JournalActions[Mi-temps],E$65))</f>
        <v/>
      </c>
      <c r="F87" s="57" t="str">
        <f>IF(COUNTIFS(JournalActions[Joueur],$B87,JournalActions[Action],$E$64,JournalActions[Mi-temps],F$65)=0,"",COUNTIFS(JournalActions[Joueur],$B87,JournalActions[Action],$E$64,JournalActions[Mi-temps],F$65))</f>
        <v/>
      </c>
      <c r="H87" s="56" t="str">
        <f>IF(COUNTIFS(JournalActions[Joueur],$B87,JournalActions[Action],$H$64,JournalActions[Mi-temps],H$65)=0,"",COUNTIFS(JournalActions[Joueur],$B87,JournalActions[Action],$H$64,JournalActions[Mi-temps],H$65))</f>
        <v/>
      </c>
      <c r="I87" s="57" t="str">
        <f>IF(COUNTIFS(JournalActions[Joueur],$B87,JournalActions[Action],$H$64,JournalActions[Mi-temps],I$65)=0,"",COUNTIFS(JournalActions[Joueur],$B87,JournalActions[Action],$H$64,JournalActions[Mi-temps],I$65))</f>
        <v/>
      </c>
      <c r="J87" s="56" t="str">
        <f>IF(COUNTIFS(JournalActions[Joueur],$B87,JournalActions[Action],$J$64,JournalActions[Mi-temps],J$65)=0,"",COUNTIFS(JournalActions[Joueur],$B87,JournalActions[Action],$J$64,JournalActions[Mi-temps],J$65))</f>
        <v/>
      </c>
      <c r="K87" s="57" t="str">
        <f>IF(COUNTIFS(JournalActions[Joueur],$B87,JournalActions[Action],$J$64,JournalActions[Mi-temps],K$65)=0,"",COUNTIFS(JournalActions[Joueur],$B87,JournalActions[Action],$J$64,JournalActions[Mi-temps],K$65))</f>
        <v/>
      </c>
    </row>
    <row r="88" spans="2:11" s="25" customFormat="1">
      <c r="B88" s="54" t="s">
        <v>92</v>
      </c>
      <c r="C88" s="56" t="str">
        <f>IF(COUNTIFS(JournalActions[Joueur],$B88,JournalActions[Action],$C$64,JournalActions[Mi-temps],C$65)=0,"",COUNTIFS(JournalActions[Joueur],$B88,JournalActions[Action],$C$64,JournalActions[Mi-temps],C$65))</f>
        <v/>
      </c>
      <c r="D88" s="57" t="str">
        <f>IF(COUNTIFS(JournalActions[Joueur],$B88,JournalActions[Action],$C$64,JournalActions[Mi-temps],D$65)=0,"",COUNTIFS(JournalActions[Joueur],$B88,JournalActions[Action],$C$64,JournalActions[Mi-temps],D$65))</f>
        <v/>
      </c>
      <c r="E88" s="56" t="str">
        <f>IF(COUNTIFS(JournalActions[Joueur],$B88,JournalActions[Action],$E$64,JournalActions[Mi-temps],E$65)=0,"",COUNTIFS(JournalActions[Joueur],$B88,JournalActions[Action],$E$64,JournalActions[Mi-temps],E$65))</f>
        <v/>
      </c>
      <c r="F88" s="57" t="str">
        <f>IF(COUNTIFS(JournalActions[Joueur],$B88,JournalActions[Action],$E$64,JournalActions[Mi-temps],F$65)=0,"",COUNTIFS(JournalActions[Joueur],$B88,JournalActions[Action],$E$64,JournalActions[Mi-temps],F$65))</f>
        <v/>
      </c>
      <c r="H88" s="56" t="str">
        <f>IF(COUNTIFS(JournalActions[Joueur],$B88,JournalActions[Action],$H$64,JournalActions[Mi-temps],H$65)=0,"",COUNTIFS(JournalActions[Joueur],$B88,JournalActions[Action],$H$64,JournalActions[Mi-temps],H$65))</f>
        <v/>
      </c>
      <c r="I88" s="57" t="str">
        <f>IF(COUNTIFS(JournalActions[Joueur],$B88,JournalActions[Action],$H$64,JournalActions[Mi-temps],I$65)=0,"",COUNTIFS(JournalActions[Joueur],$B88,JournalActions[Action],$H$64,JournalActions[Mi-temps],I$65))</f>
        <v/>
      </c>
      <c r="J88" s="56" t="str">
        <f>IF(COUNTIFS(JournalActions[Joueur],$B88,JournalActions[Action],$J$64,JournalActions[Mi-temps],J$65)=0,"",COUNTIFS(JournalActions[Joueur],$B88,JournalActions[Action],$J$64,JournalActions[Mi-temps],J$65))</f>
        <v/>
      </c>
      <c r="K88" s="57" t="str">
        <f>IF(COUNTIFS(JournalActions[Joueur],$B88,JournalActions[Action],$J$64,JournalActions[Mi-temps],K$65)=0,"",COUNTIFS(JournalActions[Joueur],$B88,JournalActions[Action],$J$64,JournalActions[Mi-temps],K$65))</f>
        <v/>
      </c>
    </row>
    <row r="89" spans="2:11" s="25" customFormat="1">
      <c r="B89" s="55" t="s">
        <v>82</v>
      </c>
      <c r="C89" s="56" t="str">
        <f>IF(COUNTIFS(JournalActions[Joueur],$B89,JournalActions[Action],$C$64,JournalActions[Mi-temps],C$65)=0,"",COUNTIFS(JournalActions[Joueur],$B89,JournalActions[Action],$C$64,JournalActions[Mi-temps],C$65))</f>
        <v/>
      </c>
      <c r="D89" s="57" t="str">
        <f>IF(COUNTIFS(JournalActions[Joueur],$B89,JournalActions[Action],$C$64,JournalActions[Mi-temps],D$65)=0,"",COUNTIFS(JournalActions[Joueur],$B89,JournalActions[Action],$C$64,JournalActions[Mi-temps],D$65))</f>
        <v/>
      </c>
      <c r="E89" s="56" t="str">
        <f>IF(COUNTIFS(JournalActions[Joueur],$B89,JournalActions[Action],$E$64,JournalActions[Mi-temps],E$65)=0,"",COUNTIFS(JournalActions[Joueur],$B89,JournalActions[Action],$E$64,JournalActions[Mi-temps],E$65))</f>
        <v/>
      </c>
      <c r="F89" s="57" t="str">
        <f>IF(COUNTIFS(JournalActions[Joueur],$B89,JournalActions[Action],$E$64,JournalActions[Mi-temps],F$65)=0,"",COUNTIFS(JournalActions[Joueur],$B89,JournalActions[Action],$E$64,JournalActions[Mi-temps],F$65))</f>
        <v/>
      </c>
      <c r="H89" s="56" t="str">
        <f>IF(COUNTIFS(JournalActions[Joueur],$B89,JournalActions[Action],$H$64,JournalActions[Mi-temps],H$65)=0,"",COUNTIFS(JournalActions[Joueur],$B89,JournalActions[Action],$H$64,JournalActions[Mi-temps],H$65))</f>
        <v/>
      </c>
      <c r="I89" s="57" t="str">
        <f>IF(COUNTIFS(JournalActions[Joueur],$B89,JournalActions[Action],$H$64,JournalActions[Mi-temps],I$65)=0,"",COUNTIFS(JournalActions[Joueur],$B89,JournalActions[Action],$H$64,JournalActions[Mi-temps],I$65))</f>
        <v/>
      </c>
      <c r="J89" s="56" t="str">
        <f>IF(COUNTIFS(JournalActions[Joueur],$B89,JournalActions[Action],$J$64,JournalActions[Mi-temps],J$65)=0,"",COUNTIFS(JournalActions[Joueur],$B89,JournalActions[Action],$J$64,JournalActions[Mi-temps],J$65))</f>
        <v/>
      </c>
      <c r="K89" s="57" t="str">
        <f>IF(COUNTIFS(JournalActions[Joueur],$B89,JournalActions[Action],$J$64,JournalActions[Mi-temps],K$65)=0,"",COUNTIFS(JournalActions[Joueur],$B89,JournalActions[Action],$J$64,JournalActions[Mi-temps],K$65))</f>
        <v/>
      </c>
    </row>
    <row r="90" spans="2:11" s="25" customFormat="1" ht="14">
      <c r="B90" s="80" t="s">
        <v>230</v>
      </c>
      <c r="C90" s="81">
        <f>SUM(C66:C89)</f>
        <v>6</v>
      </c>
      <c r="D90" s="82">
        <f t="shared" ref="D90" si="10">SUM(D66:D89)</f>
        <v>2</v>
      </c>
      <c r="E90" s="81">
        <f>SUM(E66:E89)</f>
        <v>0</v>
      </c>
      <c r="F90" s="82">
        <f t="shared" ref="F90" si="11">SUM(F66:F89)</f>
        <v>1</v>
      </c>
      <c r="H90" s="102">
        <f>SUM(H66:H89)</f>
        <v>1</v>
      </c>
      <c r="I90" s="103">
        <f>SUM(I66:I89)</f>
        <v>0</v>
      </c>
      <c r="J90" s="102">
        <f>SUM(J66:J89)</f>
        <v>1</v>
      </c>
      <c r="K90" s="103">
        <f t="shared" ref="K90" si="12">SUM(K66:K89)</f>
        <v>0</v>
      </c>
    </row>
    <row r="91" spans="2:11" s="25" customFormat="1" ht="16">
      <c r="B91" s="83" t="s">
        <v>229</v>
      </c>
      <c r="C91" s="241">
        <f>C90+D90</f>
        <v>8</v>
      </c>
      <c r="D91" s="242"/>
      <c r="E91" s="241">
        <f>E90+F90</f>
        <v>1</v>
      </c>
      <c r="F91" s="242"/>
      <c r="H91" s="249">
        <f>H90+I90</f>
        <v>1</v>
      </c>
      <c r="I91" s="250"/>
      <c r="J91" s="249">
        <f>J90+K90</f>
        <v>1</v>
      </c>
      <c r="K91" s="250"/>
    </row>
    <row r="92" spans="2:11" s="25" customFormat="1"/>
    <row r="93" spans="2:11" s="25" customFormat="1" ht="14" thickBot="1"/>
    <row r="94" spans="2:11" s="25" customFormat="1" ht="17">
      <c r="B94" s="198" t="s">
        <v>446</v>
      </c>
      <c r="C94" s="199" t="s">
        <v>98</v>
      </c>
      <c r="D94" s="200" t="s">
        <v>164</v>
      </c>
      <c r="F94" s="269" t="s">
        <v>447</v>
      </c>
      <c r="G94" s="270"/>
      <c r="H94" s="199" t="s">
        <v>97</v>
      </c>
      <c r="I94" s="199" t="s">
        <v>94</v>
      </c>
      <c r="J94" s="206" t="s">
        <v>292</v>
      </c>
    </row>
    <row r="95" spans="2:11" s="25" customFormat="1" ht="16">
      <c r="B95" s="201" t="s">
        <v>293</v>
      </c>
      <c r="C95" s="110">
        <v>38</v>
      </c>
      <c r="D95" s="202">
        <v>39</v>
      </c>
      <c r="F95" s="267" t="s">
        <v>293</v>
      </c>
      <c r="G95" s="268"/>
      <c r="H95" s="110">
        <v>6</v>
      </c>
      <c r="I95" s="110">
        <v>10</v>
      </c>
      <c r="J95" s="207">
        <v>16</v>
      </c>
    </row>
    <row r="96" spans="2:11" s="25" customFormat="1" ht="16">
      <c r="B96" s="201" t="s">
        <v>294</v>
      </c>
      <c r="C96" s="110">
        <v>16</v>
      </c>
      <c r="D96" s="202">
        <v>13</v>
      </c>
      <c r="F96" s="267" t="s">
        <v>294</v>
      </c>
      <c r="G96" s="268"/>
      <c r="H96" s="110">
        <v>12</v>
      </c>
      <c r="I96" s="110">
        <v>7</v>
      </c>
      <c r="J96" s="207">
        <v>19</v>
      </c>
    </row>
    <row r="97" spans="2:10" s="25" customFormat="1" ht="16">
      <c r="B97" s="201" t="s">
        <v>295</v>
      </c>
      <c r="C97" s="110">
        <v>4</v>
      </c>
      <c r="D97" s="202">
        <v>6</v>
      </c>
      <c r="F97" s="267" t="s">
        <v>295</v>
      </c>
      <c r="G97" s="268"/>
      <c r="H97" s="110">
        <v>7</v>
      </c>
      <c r="I97" s="110">
        <v>5</v>
      </c>
      <c r="J97" s="207">
        <v>12</v>
      </c>
    </row>
    <row r="98" spans="2:10" s="25" customFormat="1" ht="16">
      <c r="B98" s="201" t="s">
        <v>296</v>
      </c>
      <c r="C98" s="110">
        <v>1</v>
      </c>
      <c r="D98" s="202">
        <v>4</v>
      </c>
      <c r="F98" s="267" t="s">
        <v>296</v>
      </c>
      <c r="G98" s="268"/>
      <c r="H98" s="110">
        <v>2</v>
      </c>
      <c r="I98" s="110">
        <v>2</v>
      </c>
      <c r="J98" s="207">
        <v>4</v>
      </c>
    </row>
    <row r="99" spans="2:10" s="25" customFormat="1" ht="17" thickBot="1">
      <c r="B99" s="203" t="s">
        <v>297</v>
      </c>
      <c r="C99" s="204">
        <v>2</v>
      </c>
      <c r="D99" s="205">
        <v>1</v>
      </c>
      <c r="F99" s="267" t="s">
        <v>448</v>
      </c>
      <c r="G99" s="268"/>
      <c r="H99" s="110">
        <v>0</v>
      </c>
      <c r="I99" s="110">
        <v>0</v>
      </c>
      <c r="J99" s="207">
        <v>0</v>
      </c>
    </row>
    <row r="100" spans="2:10" s="25" customFormat="1" ht="16">
      <c r="F100" s="267" t="s">
        <v>449</v>
      </c>
      <c r="G100" s="268"/>
      <c r="H100" s="110">
        <v>0</v>
      </c>
      <c r="I100" s="110">
        <v>0</v>
      </c>
      <c r="J100" s="207">
        <v>0</v>
      </c>
    </row>
    <row r="101" spans="2:10" s="25" customFormat="1" ht="16">
      <c r="F101" s="267" t="s">
        <v>450</v>
      </c>
      <c r="G101" s="268"/>
      <c r="H101" s="110">
        <v>0</v>
      </c>
      <c r="I101" s="110">
        <v>1</v>
      </c>
      <c r="J101" s="207">
        <v>1</v>
      </c>
    </row>
    <row r="102" spans="2:10" s="25" customFormat="1" ht="17" thickBot="1">
      <c r="F102" s="271" t="s">
        <v>451</v>
      </c>
      <c r="G102" s="272"/>
      <c r="H102" s="204">
        <v>0</v>
      </c>
      <c r="I102" s="204">
        <v>0</v>
      </c>
      <c r="J102" s="208">
        <v>0</v>
      </c>
    </row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8:G98"/>
    <mergeCell ref="F99:G99"/>
    <mergeCell ref="F100:G100"/>
    <mergeCell ref="F101:G101"/>
    <mergeCell ref="F102:G102"/>
    <mergeCell ref="F96:G96"/>
    <mergeCell ref="F97:G97"/>
    <mergeCell ref="C91:D91"/>
    <mergeCell ref="E91:F91"/>
    <mergeCell ref="H91:I91"/>
    <mergeCell ref="F94:G94"/>
    <mergeCell ref="F95:G95"/>
    <mergeCell ref="J91:K91"/>
    <mergeCell ref="J43:K43"/>
    <mergeCell ref="J44:K44"/>
    <mergeCell ref="J45:K45"/>
    <mergeCell ref="J46:K46"/>
    <mergeCell ref="J47:K47"/>
    <mergeCell ref="B60:K62"/>
    <mergeCell ref="B64:B65"/>
    <mergeCell ref="C64:D64"/>
    <mergeCell ref="E64:F64"/>
    <mergeCell ref="H64:I64"/>
    <mergeCell ref="J64:K64"/>
    <mergeCell ref="G44:H44"/>
    <mergeCell ref="B57:K58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42" priority="6" stopIfTrue="1">
      <formula>ISEVEN(ROW())</formula>
    </cfRule>
  </conditionalFormatting>
  <conditionalFormatting sqref="B66:B89">
    <cfRule type="expression" dxfId="41" priority="5" stopIfTrue="1">
      <formula>ISEVEN(ROW())</formula>
    </cfRule>
  </conditionalFormatting>
  <conditionalFormatting sqref="C66:D89">
    <cfRule type="expression" dxfId="40" priority="4" stopIfTrue="1">
      <formula>ISEVEN(ROW())</formula>
    </cfRule>
  </conditionalFormatting>
  <conditionalFormatting sqref="H66:I89">
    <cfRule type="expression" dxfId="39" priority="3" stopIfTrue="1">
      <formula>ISEVEN(ROW())</formula>
    </cfRule>
  </conditionalFormatting>
  <conditionalFormatting sqref="J66:K89">
    <cfRule type="expression" dxfId="38" priority="2" stopIfTrue="1">
      <formula>ISEVEN(ROW())</formula>
    </cfRule>
  </conditionalFormatting>
  <conditionalFormatting sqref="E66:F89">
    <cfRule type="expression" dxfId="37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83" t="s">
        <v>468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83" t="s">
        <v>469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83" t="s">
        <v>470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83" t="s">
        <v>471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83" t="s">
        <v>472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83" t="s">
        <v>473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83" t="s">
        <v>474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83" t="s">
        <v>475</v>
      </c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K10" s="183" t="s">
        <v>476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12"/>
      <c r="K11" s="183" t="s">
        <v>477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13"/>
      <c r="K12" s="183" t="s">
        <v>478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14"/>
      <c r="K13" s="183" t="s">
        <v>479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83" t="s">
        <v>480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83" t="s">
        <v>481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83" t="s">
        <v>482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83" t="s">
        <v>483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83" t="s">
        <v>484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83" t="s">
        <v>485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83" t="s">
        <v>486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83" t="s">
        <v>487</v>
      </c>
      <c r="Q21" s="45" t="s">
        <v>147</v>
      </c>
      <c r="R21" s="93" t="s">
        <v>105</v>
      </c>
    </row>
    <row r="22" spans="3:18" ht="30" customHeight="1">
      <c r="C22" s="44"/>
      <c r="D22" s="44"/>
      <c r="K22" s="183" t="s">
        <v>488</v>
      </c>
      <c r="Q22" s="45" t="s">
        <v>148</v>
      </c>
      <c r="R22" s="93" t="s">
        <v>100</v>
      </c>
    </row>
    <row r="23" spans="3:18" ht="30" customHeight="1">
      <c r="C23" s="44"/>
      <c r="D23" s="44"/>
      <c r="K23" s="183" t="s">
        <v>489</v>
      </c>
      <c r="Q23" s="45" t="s">
        <v>149</v>
      </c>
      <c r="R23" s="93" t="s">
        <v>101</v>
      </c>
    </row>
    <row r="24" spans="3:18" ht="30" customHeight="1">
      <c r="C24" s="44"/>
      <c r="D24" s="44"/>
      <c r="K24" s="183" t="s">
        <v>92</v>
      </c>
      <c r="Q24" s="45" t="s">
        <v>150</v>
      </c>
      <c r="R24" s="93" t="s">
        <v>87</v>
      </c>
    </row>
    <row r="25" spans="3:18" ht="30" customHeight="1">
      <c r="K25" s="183" t="s">
        <v>82</v>
      </c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K27" s="41" t="s">
        <v>465</v>
      </c>
      <c r="Q27" s="45" t="s">
        <v>185</v>
      </c>
      <c r="R27" s="93" t="s">
        <v>186</v>
      </c>
    </row>
    <row r="28" spans="3:18" ht="30" customHeight="1">
      <c r="K28" t="s">
        <v>466</v>
      </c>
      <c r="Q28" s="45" t="s">
        <v>187</v>
      </c>
      <c r="R28" s="93" t="s">
        <v>188</v>
      </c>
    </row>
    <row r="29" spans="3:18" ht="30" customHeight="1">
      <c r="K29" t="s">
        <v>467</v>
      </c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3" t="s">
        <v>127</v>
      </c>
      <c r="D5" s="273"/>
      <c r="E5" s="273"/>
      <c r="F5" s="273"/>
      <c r="G5" s="273"/>
    </row>
    <row r="6" spans="3:7" ht="14" thickBot="1"/>
    <row r="7" spans="3:7">
      <c r="C7" s="144"/>
      <c r="D7" s="145"/>
      <c r="E7" s="145"/>
      <c r="F7" s="145"/>
      <c r="G7" s="146"/>
    </row>
    <row r="8" spans="3:7">
      <c r="C8" s="147"/>
      <c r="G8" s="148"/>
    </row>
    <row r="9" spans="3:7">
      <c r="C9" s="149" t="s">
        <v>125</v>
      </c>
      <c r="D9" s="153"/>
      <c r="G9" s="148"/>
    </row>
    <row r="10" spans="3:7">
      <c r="C10" s="149"/>
      <c r="G10" s="148"/>
    </row>
    <row r="11" spans="3:7">
      <c r="C11" s="149" t="s">
        <v>126</v>
      </c>
      <c r="D11" s="153"/>
      <c r="G11" s="148"/>
    </row>
    <row r="12" spans="3:7">
      <c r="C12" s="147"/>
      <c r="G12" s="148"/>
    </row>
    <row r="13" spans="3:7" ht="14" thickBot="1">
      <c r="C13" s="150"/>
      <c r="D13" s="151"/>
      <c r="E13" s="151"/>
      <c r="F13" s="151"/>
      <c r="G13" s="152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2026-09-22T19:15:28Z</cp:lastPrinted>
  <dcterms:created xsi:type="dcterms:W3CDTF">2026-07-02T15:37:39Z</dcterms:created>
  <dcterms:modified xsi:type="dcterms:W3CDTF">2026-10-14T08:36:16Z</dcterms:modified>
</cp:coreProperties>
</file>