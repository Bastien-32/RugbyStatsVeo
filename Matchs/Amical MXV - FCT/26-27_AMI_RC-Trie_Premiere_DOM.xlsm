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4D0AE44D-2F5A-F441-8504-4CD579989EA0}" xr6:coauthVersionLast="47" xr6:coauthVersionMax="47" xr10:uidLastSave="{00000000-0000-0000-0000-000000000000}"/>
  <bookViews>
    <workbookView xWindow="7820" yWindow="660" windowWidth="26200" windowHeight="21680" activeTab="4" xr2:uid="{1D0DBC4E-ADA0-E147-BD9F-7080F76229B6}"/>
    <workbookView xWindow="10800" yWindow="13760" windowWidth="23760" windowHeight="8580" activeTab="3" xr2:uid="{5F0CDC84-7E09-284D-A88D-E03D83E4A362}"/>
  </bookViews>
  <sheets>
    <sheet name="Listes" sheetId="3" state="veryHidden" r:id="rId1"/>
    <sheet name="Compo" sheetId="7" state="veryHidden" r:id="rId2"/>
    <sheet name="Saisie vidéo" sheetId="2" state="veryHidden" r:id="rId3"/>
    <sheet name="Journal actions" sheetId="10" r:id="rId4"/>
    <sheet name="Stats match" sheetId="12" r:id="rId5"/>
    <sheet name="Paramètres" sheetId="6" state="veryHidden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match'!$H$53</definedName>
    <definedName name="STAT_TEMPS_EFFECTIF_MT2">'Stats match'!$H$54</definedName>
    <definedName name="STAT_TEMPS_EFFECTIF_TOTAL">'Stats match'!$H$55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9" i="12" l="1"/>
  <c r="O6" i="12"/>
  <c r="O37" i="12" s="1"/>
  <c r="B3" i="12"/>
  <c r="H50" i="12"/>
  <c r="H49" i="12"/>
  <c r="H46" i="12"/>
  <c r="H45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P37" i="12" l="1"/>
  <c r="P38" i="12"/>
  <c r="O39" i="12"/>
  <c r="O38" i="12"/>
  <c r="B70" i="12" a="1"/>
  <c r="B8" i="12" a="1"/>
  <c r="E58" i="12"/>
  <c r="D58" i="12"/>
  <c r="E57" i="12"/>
  <c r="D57" i="12"/>
  <c r="M55" i="12"/>
  <c r="L55" i="12"/>
  <c r="M54" i="12"/>
  <c r="L54" i="12"/>
  <c r="E54" i="12"/>
  <c r="D54" i="12"/>
  <c r="M53" i="12"/>
  <c r="L53" i="12"/>
  <c r="E53" i="12"/>
  <c r="D53" i="12"/>
  <c r="M52" i="12"/>
  <c r="L52" i="12"/>
  <c r="M51" i="12"/>
  <c r="L51" i="12"/>
  <c r="M50" i="12"/>
  <c r="L50" i="12"/>
  <c r="E50" i="12"/>
  <c r="D50" i="12"/>
  <c r="E49" i="12"/>
  <c r="D49" i="12"/>
  <c r="N47" i="12"/>
  <c r="M47" i="12"/>
  <c r="L47" i="12"/>
  <c r="K47" i="12"/>
  <c r="N46" i="12"/>
  <c r="M46" i="12"/>
  <c r="L46" i="12"/>
  <c r="K46" i="12"/>
  <c r="E46" i="12"/>
  <c r="D46" i="12"/>
  <c r="E45" i="12"/>
  <c r="D45" i="12"/>
  <c r="V39" i="12"/>
  <c r="U39" i="12"/>
  <c r="T39" i="12"/>
  <c r="S39" i="12"/>
  <c r="R39" i="12"/>
  <c r="V38" i="12"/>
  <c r="U38" i="12"/>
  <c r="T38" i="12"/>
  <c r="S38" i="12"/>
  <c r="R38" i="12"/>
  <c r="J68" i="12"/>
  <c r="H68" i="12"/>
  <c r="E68" i="12"/>
  <c r="C68" i="12"/>
  <c r="D100" i="12" s="1"/>
  <c r="V7" i="12"/>
  <c r="U7" i="12"/>
  <c r="T7" i="12"/>
  <c r="S7" i="12"/>
  <c r="R7" i="12"/>
  <c r="Q7" i="12"/>
  <c r="Q38" i="12" s="1"/>
  <c r="M6" i="12"/>
  <c r="N38" i="12" s="1"/>
  <c r="K6" i="12"/>
  <c r="I6" i="12"/>
  <c r="G6" i="12"/>
  <c r="E6" i="12"/>
  <c r="F38" i="12" s="1"/>
  <c r="C6" i="12"/>
  <c r="J24" i="1"/>
  <c r="I24" i="1"/>
  <c r="H24" i="1"/>
  <c r="G24" i="1"/>
  <c r="F24" i="1"/>
  <c r="D24" i="1"/>
  <c r="C24" i="1"/>
  <c r="B24" i="1"/>
  <c r="P17" i="12" l="1"/>
  <c r="P29" i="12"/>
  <c r="O20" i="12"/>
  <c r="O32" i="12"/>
  <c r="P18" i="12"/>
  <c r="P30" i="12"/>
  <c r="O9" i="12"/>
  <c r="O21" i="12"/>
  <c r="O33" i="12"/>
  <c r="P19" i="12"/>
  <c r="P31" i="12"/>
  <c r="O10" i="12"/>
  <c r="O22" i="12"/>
  <c r="O34" i="12"/>
  <c r="P20" i="12"/>
  <c r="P32" i="12"/>
  <c r="O11" i="12"/>
  <c r="O23" i="12"/>
  <c r="O35" i="12"/>
  <c r="P21" i="12"/>
  <c r="P33" i="12"/>
  <c r="O12" i="12"/>
  <c r="O24" i="12"/>
  <c r="O36" i="12"/>
  <c r="P10" i="12"/>
  <c r="P22" i="12"/>
  <c r="P34" i="12"/>
  <c r="O13" i="12"/>
  <c r="O25" i="12"/>
  <c r="P11" i="12"/>
  <c r="P23" i="12"/>
  <c r="P35" i="12"/>
  <c r="O26" i="12"/>
  <c r="P12" i="12"/>
  <c r="P24" i="12"/>
  <c r="P36" i="12"/>
  <c r="O15" i="12"/>
  <c r="O27" i="12"/>
  <c r="P25" i="12"/>
  <c r="O16" i="12"/>
  <c r="O18" i="12"/>
  <c r="O30" i="12"/>
  <c r="O14" i="12"/>
  <c r="P13" i="12"/>
  <c r="O28" i="12"/>
  <c r="P14" i="12"/>
  <c r="O29" i="12"/>
  <c r="P15" i="12"/>
  <c r="P27" i="12"/>
  <c r="P9" i="12"/>
  <c r="P26" i="12"/>
  <c r="O17" i="12"/>
  <c r="P16" i="12"/>
  <c r="P28" i="12"/>
  <c r="O19" i="12"/>
  <c r="O31" i="12"/>
  <c r="V36" i="12"/>
  <c r="H36" i="12"/>
  <c r="N35" i="12"/>
  <c r="V34" i="12"/>
  <c r="H34" i="12"/>
  <c r="N33" i="12"/>
  <c r="V32" i="12"/>
  <c r="H32" i="12"/>
  <c r="N31" i="12"/>
  <c r="V30" i="12"/>
  <c r="H30" i="12"/>
  <c r="N29" i="12"/>
  <c r="R32" i="12"/>
  <c r="J29" i="12"/>
  <c r="Q36" i="12"/>
  <c r="I33" i="12"/>
  <c r="N34" i="12"/>
  <c r="H31" i="12"/>
  <c r="M36" i="12"/>
  <c r="G33" i="12"/>
  <c r="G29" i="12"/>
  <c r="T33" i="12"/>
  <c r="L30" i="12"/>
  <c r="E35" i="12"/>
  <c r="K32" i="12"/>
  <c r="E29" i="12"/>
  <c r="J34" i="12"/>
  <c r="R31" i="12"/>
  <c r="I32" i="12"/>
  <c r="U36" i="12"/>
  <c r="G36" i="12"/>
  <c r="M35" i="12"/>
  <c r="U34" i="12"/>
  <c r="G34" i="12"/>
  <c r="M33" i="12"/>
  <c r="U32" i="12"/>
  <c r="G32" i="12"/>
  <c r="M31" i="12"/>
  <c r="U30" i="12"/>
  <c r="G30" i="12"/>
  <c r="M29" i="12"/>
  <c r="J35" i="12"/>
  <c r="J31" i="12"/>
  <c r="C34" i="12"/>
  <c r="Q30" i="12"/>
  <c r="H35" i="12"/>
  <c r="N30" i="12"/>
  <c r="G35" i="12"/>
  <c r="U31" i="12"/>
  <c r="F35" i="12"/>
  <c r="F31" i="12"/>
  <c r="K36" i="12"/>
  <c r="K30" i="12"/>
  <c r="R33" i="12"/>
  <c r="J30" i="12"/>
  <c r="C33" i="12"/>
  <c r="C29" i="12"/>
  <c r="T36" i="12"/>
  <c r="F36" i="12"/>
  <c r="L35" i="12"/>
  <c r="T34" i="12"/>
  <c r="F34" i="12"/>
  <c r="L33" i="12"/>
  <c r="T32" i="12"/>
  <c r="F32" i="12"/>
  <c r="L31" i="12"/>
  <c r="T30" i="12"/>
  <c r="F30" i="12"/>
  <c r="L29" i="12"/>
  <c r="K29" i="12"/>
  <c r="D34" i="12"/>
  <c r="D30" i="12"/>
  <c r="Q34" i="12"/>
  <c r="C32" i="12"/>
  <c r="C30" i="12"/>
  <c r="V35" i="12"/>
  <c r="N32" i="12"/>
  <c r="H29" i="12"/>
  <c r="U33" i="12"/>
  <c r="M30" i="12"/>
  <c r="L36" i="12"/>
  <c r="L32" i="12"/>
  <c r="F29" i="12"/>
  <c r="S33" i="12"/>
  <c r="E31" i="12"/>
  <c r="R35" i="12"/>
  <c r="J32" i="12"/>
  <c r="D29" i="12"/>
  <c r="C31" i="12"/>
  <c r="S36" i="12"/>
  <c r="E36" i="12"/>
  <c r="K35" i="12"/>
  <c r="S34" i="12"/>
  <c r="E34" i="12"/>
  <c r="K33" i="12"/>
  <c r="S32" i="12"/>
  <c r="E32" i="12"/>
  <c r="K31" i="12"/>
  <c r="S30" i="12"/>
  <c r="E30" i="12"/>
  <c r="J33" i="12"/>
  <c r="R30" i="12"/>
  <c r="I35" i="12"/>
  <c r="I31" i="12"/>
  <c r="N36" i="12"/>
  <c r="H33" i="12"/>
  <c r="V29" i="12"/>
  <c r="M34" i="12"/>
  <c r="G31" i="12"/>
  <c r="T35" i="12"/>
  <c r="F33" i="12"/>
  <c r="T29" i="12"/>
  <c r="K34" i="12"/>
  <c r="S31" i="12"/>
  <c r="J36" i="12"/>
  <c r="D31" i="12"/>
  <c r="I30" i="12"/>
  <c r="R36" i="12"/>
  <c r="D36" i="12"/>
  <c r="R34" i="12"/>
  <c r="D32" i="12"/>
  <c r="C36" i="12"/>
  <c r="Q32" i="12"/>
  <c r="I29" i="12"/>
  <c r="V33" i="12"/>
  <c r="V31" i="12"/>
  <c r="U35" i="12"/>
  <c r="M32" i="12"/>
  <c r="U29" i="12"/>
  <c r="L34" i="12"/>
  <c r="T31" i="12"/>
  <c r="S35" i="12"/>
  <c r="E33" i="12"/>
  <c r="S29" i="12"/>
  <c r="D35" i="12"/>
  <c r="D33" i="12"/>
  <c r="R29" i="12"/>
  <c r="Q31" i="12"/>
  <c r="I36" i="12"/>
  <c r="Q35" i="12"/>
  <c r="C35" i="12"/>
  <c r="I34" i="12"/>
  <c r="Q33" i="12"/>
  <c r="Q29" i="12"/>
  <c r="K98" i="12"/>
  <c r="F97" i="12"/>
  <c r="K95" i="12"/>
  <c r="F94" i="12"/>
  <c r="K92" i="12"/>
  <c r="F91" i="12"/>
  <c r="J96" i="12"/>
  <c r="I96" i="12"/>
  <c r="F96" i="12"/>
  <c r="E96" i="12"/>
  <c r="I97" i="12"/>
  <c r="H94" i="12"/>
  <c r="J98" i="12"/>
  <c r="E97" i="12"/>
  <c r="J95" i="12"/>
  <c r="E94" i="12"/>
  <c r="J92" i="12"/>
  <c r="E91" i="12"/>
  <c r="E98" i="12"/>
  <c r="E92" i="12"/>
  <c r="I93" i="12"/>
  <c r="H96" i="12"/>
  <c r="K91" i="12"/>
  <c r="E93" i="12"/>
  <c r="I98" i="12"/>
  <c r="I95" i="12"/>
  <c r="I92" i="12"/>
  <c r="D91" i="12"/>
  <c r="F92" i="12"/>
  <c r="E95" i="12"/>
  <c r="C98" i="12"/>
  <c r="K97" i="12"/>
  <c r="J94" i="12"/>
  <c r="I91" i="12"/>
  <c r="H91" i="12"/>
  <c r="H98" i="12"/>
  <c r="H95" i="12"/>
  <c r="H92" i="12"/>
  <c r="C91" i="12"/>
  <c r="K96" i="12"/>
  <c r="F95" i="12"/>
  <c r="K93" i="12"/>
  <c r="J93" i="12"/>
  <c r="D98" i="12"/>
  <c r="F93" i="12"/>
  <c r="J97" i="12"/>
  <c r="H97" i="12"/>
  <c r="F98" i="12"/>
  <c r="H93" i="12"/>
  <c r="K94" i="12"/>
  <c r="J91" i="12"/>
  <c r="I94" i="12"/>
  <c r="H88" i="12"/>
  <c r="G22" i="12"/>
  <c r="Q39" i="12"/>
  <c r="M39" i="12"/>
  <c r="H76" i="12"/>
  <c r="D84" i="12"/>
  <c r="C99" i="12"/>
  <c r="E39" i="12"/>
  <c r="I76" i="12"/>
  <c r="C85" i="12"/>
  <c r="D99" i="12"/>
  <c r="F39" i="12"/>
  <c r="H77" i="12"/>
  <c r="D85" i="12"/>
  <c r="C101" i="12"/>
  <c r="H71" i="12"/>
  <c r="C78" i="12"/>
  <c r="H85" i="12"/>
  <c r="D101" i="12"/>
  <c r="N39" i="12"/>
  <c r="C72" i="12"/>
  <c r="D78" i="12"/>
  <c r="I85" i="12"/>
  <c r="D72" i="12"/>
  <c r="C79" i="12"/>
  <c r="H86" i="12"/>
  <c r="C73" i="12"/>
  <c r="D79" i="12"/>
  <c r="C87" i="12"/>
  <c r="D73" i="12"/>
  <c r="C81" i="12"/>
  <c r="D87" i="12"/>
  <c r="M38" i="12"/>
  <c r="C75" i="12"/>
  <c r="D81" i="12"/>
  <c r="C88" i="12"/>
  <c r="D75" i="12"/>
  <c r="C82" i="12"/>
  <c r="D88" i="12"/>
  <c r="C76" i="12"/>
  <c r="D82" i="12"/>
  <c r="C90" i="12"/>
  <c r="D76" i="12"/>
  <c r="C84" i="12"/>
  <c r="D90" i="12"/>
  <c r="H80" i="12"/>
  <c r="H89" i="12"/>
  <c r="H10" i="12"/>
  <c r="S11" i="12"/>
  <c r="M13" i="12"/>
  <c r="C15" i="12"/>
  <c r="L16" i="12"/>
  <c r="H18" i="12"/>
  <c r="S19" i="12"/>
  <c r="M21" i="12"/>
  <c r="C23" i="12"/>
  <c r="L24" i="12"/>
  <c r="H26" i="12"/>
  <c r="S27" i="12"/>
  <c r="M37" i="12"/>
  <c r="I71" i="12"/>
  <c r="I80" i="12"/>
  <c r="I89" i="12"/>
  <c r="G10" i="12"/>
  <c r="F13" i="12"/>
  <c r="K16" i="12"/>
  <c r="Q19" i="12"/>
  <c r="F21" i="12"/>
  <c r="V22" i="12"/>
  <c r="K24" i="12"/>
  <c r="G26" i="12"/>
  <c r="F37" i="12"/>
  <c r="D38" i="12"/>
  <c r="C38" i="12"/>
  <c r="D39" i="12"/>
  <c r="T11" i="12"/>
  <c r="E15" i="12"/>
  <c r="T19" i="12"/>
  <c r="N37" i="12"/>
  <c r="G12" i="12"/>
  <c r="G20" i="12"/>
  <c r="F23" i="12"/>
  <c r="K26" i="12"/>
  <c r="G39" i="12"/>
  <c r="H39" i="12"/>
  <c r="L10" i="12"/>
  <c r="H20" i="12"/>
  <c r="K12" i="12"/>
  <c r="V18" i="12"/>
  <c r="Q23" i="12"/>
  <c r="V26" i="12"/>
  <c r="G38" i="12"/>
  <c r="H82" i="12"/>
  <c r="H99" i="12"/>
  <c r="K90" i="12"/>
  <c r="M9" i="12"/>
  <c r="C11" i="12"/>
  <c r="L12" i="12"/>
  <c r="H14" i="12"/>
  <c r="S15" i="12"/>
  <c r="M17" i="12"/>
  <c r="C19" i="12"/>
  <c r="L20" i="12"/>
  <c r="H22" i="12"/>
  <c r="S23" i="12"/>
  <c r="M25" i="12"/>
  <c r="C27" i="12"/>
  <c r="L28" i="12"/>
  <c r="H38" i="12"/>
  <c r="I73" i="12"/>
  <c r="I82" i="12"/>
  <c r="I99" i="12"/>
  <c r="Q13" i="12"/>
  <c r="G28" i="12"/>
  <c r="H12" i="12"/>
  <c r="I86" i="12"/>
  <c r="K101" i="12"/>
  <c r="J101" i="12"/>
  <c r="K100" i="12"/>
  <c r="J100" i="12"/>
  <c r="G14" i="12"/>
  <c r="H74" i="12"/>
  <c r="H83" i="12"/>
  <c r="H100" i="12"/>
  <c r="L37" i="12"/>
  <c r="T28" i="12"/>
  <c r="F28" i="12"/>
  <c r="L27" i="12"/>
  <c r="T26" i="12"/>
  <c r="F26" i="12"/>
  <c r="L25" i="12"/>
  <c r="T24" i="12"/>
  <c r="F24" i="12"/>
  <c r="L23" i="12"/>
  <c r="T22" i="12"/>
  <c r="F22" i="12"/>
  <c r="L21" i="12"/>
  <c r="T20" i="12"/>
  <c r="F20" i="12"/>
  <c r="L19" i="12"/>
  <c r="T18" i="12"/>
  <c r="F18" i="12"/>
  <c r="L17" i="12"/>
  <c r="T16" i="12"/>
  <c r="F16" i="12"/>
  <c r="L15" i="12"/>
  <c r="T14" i="12"/>
  <c r="F14" i="12"/>
  <c r="L13" i="12"/>
  <c r="T12" i="12"/>
  <c r="F12" i="12"/>
  <c r="L11" i="12"/>
  <c r="T10" i="12"/>
  <c r="F10" i="12"/>
  <c r="L9" i="12"/>
  <c r="K37" i="12"/>
  <c r="E28" i="12"/>
  <c r="K27" i="12"/>
  <c r="S26" i="12"/>
  <c r="E26" i="12"/>
  <c r="S24" i="12"/>
  <c r="E24" i="12"/>
  <c r="K23" i="12"/>
  <c r="E22" i="12"/>
  <c r="S20" i="12"/>
  <c r="K19" i="12"/>
  <c r="E18" i="12"/>
  <c r="S16" i="12"/>
  <c r="K15" i="12"/>
  <c r="E14" i="12"/>
  <c r="E12" i="12"/>
  <c r="E10" i="12"/>
  <c r="U37" i="12"/>
  <c r="G37" i="12"/>
  <c r="M28" i="12"/>
  <c r="G27" i="12"/>
  <c r="M26" i="12"/>
  <c r="G25" i="12"/>
  <c r="M24" i="12"/>
  <c r="G23" i="12"/>
  <c r="G21" i="12"/>
  <c r="M20" i="12"/>
  <c r="G19" i="12"/>
  <c r="U17" i="12"/>
  <c r="M14" i="12"/>
  <c r="U11" i="12"/>
  <c r="U9" i="12"/>
  <c r="G9" i="12"/>
  <c r="S28" i="12"/>
  <c r="K25" i="12"/>
  <c r="S22" i="12"/>
  <c r="K21" i="12"/>
  <c r="E20" i="12"/>
  <c r="S18" i="12"/>
  <c r="K17" i="12"/>
  <c r="E16" i="12"/>
  <c r="S14" i="12"/>
  <c r="K13" i="12"/>
  <c r="S12" i="12"/>
  <c r="K11" i="12"/>
  <c r="S10" i="12"/>
  <c r="K9" i="12"/>
  <c r="U27" i="12"/>
  <c r="M22" i="12"/>
  <c r="U19" i="12"/>
  <c r="G17" i="12"/>
  <c r="M10" i="12"/>
  <c r="J37" i="12"/>
  <c r="R28" i="12"/>
  <c r="D28" i="12"/>
  <c r="J27" i="12"/>
  <c r="R26" i="12"/>
  <c r="D26" i="12"/>
  <c r="J25" i="12"/>
  <c r="R24" i="12"/>
  <c r="D24" i="12"/>
  <c r="J23" i="12"/>
  <c r="R22" i="12"/>
  <c r="D22" i="12"/>
  <c r="J21" i="12"/>
  <c r="R20" i="12"/>
  <c r="D20" i="12"/>
  <c r="J19" i="12"/>
  <c r="R18" i="12"/>
  <c r="D18" i="12"/>
  <c r="J17" i="12"/>
  <c r="R16" i="12"/>
  <c r="D16" i="12"/>
  <c r="J15" i="12"/>
  <c r="R14" i="12"/>
  <c r="D14" i="12"/>
  <c r="J13" i="12"/>
  <c r="R12" i="12"/>
  <c r="D12" i="12"/>
  <c r="J11" i="12"/>
  <c r="R10" i="12"/>
  <c r="D10" i="12"/>
  <c r="J9" i="12"/>
  <c r="I37" i="12"/>
  <c r="Q28" i="12"/>
  <c r="C28" i="12"/>
  <c r="I27" i="12"/>
  <c r="Q26" i="12"/>
  <c r="C26" i="12"/>
  <c r="I25" i="12"/>
  <c r="Q24" i="12"/>
  <c r="C24" i="12"/>
  <c r="I23" i="12"/>
  <c r="Q22" i="12"/>
  <c r="C22" i="12"/>
  <c r="I21" i="12"/>
  <c r="Q20" i="12"/>
  <c r="C20" i="12"/>
  <c r="I19" i="12"/>
  <c r="Q18" i="12"/>
  <c r="C18" i="12"/>
  <c r="I17" i="12"/>
  <c r="Q16" i="12"/>
  <c r="C16" i="12"/>
  <c r="I15" i="12"/>
  <c r="Q14" i="12"/>
  <c r="C14" i="12"/>
  <c r="I13" i="12"/>
  <c r="Q12" i="12"/>
  <c r="C12" i="12"/>
  <c r="I11" i="12"/>
  <c r="Q10" i="12"/>
  <c r="C10" i="12"/>
  <c r="I9" i="12"/>
  <c r="U25" i="12"/>
  <c r="U23" i="12"/>
  <c r="U21" i="12"/>
  <c r="M18" i="12"/>
  <c r="M16" i="12"/>
  <c r="U15" i="12"/>
  <c r="G15" i="12"/>
  <c r="U13" i="12"/>
  <c r="G13" i="12"/>
  <c r="M12" i="12"/>
  <c r="G11" i="12"/>
  <c r="V37" i="12"/>
  <c r="H37" i="12"/>
  <c r="N28" i="12"/>
  <c r="V27" i="12"/>
  <c r="H27" i="12"/>
  <c r="N26" i="12"/>
  <c r="V25" i="12"/>
  <c r="H25" i="12"/>
  <c r="N24" i="12"/>
  <c r="V23" i="12"/>
  <c r="H23" i="12"/>
  <c r="N22" i="12"/>
  <c r="V21" i="12"/>
  <c r="H21" i="12"/>
  <c r="N20" i="12"/>
  <c r="V19" i="12"/>
  <c r="H19" i="12"/>
  <c r="N18" i="12"/>
  <c r="V17" i="12"/>
  <c r="H17" i="12"/>
  <c r="N16" i="12"/>
  <c r="V15" i="12"/>
  <c r="H15" i="12"/>
  <c r="N14" i="12"/>
  <c r="V13" i="12"/>
  <c r="H13" i="12"/>
  <c r="N12" i="12"/>
  <c r="V11" i="12"/>
  <c r="H11" i="12"/>
  <c r="N10" i="12"/>
  <c r="V9" i="12"/>
  <c r="H9" i="12"/>
  <c r="R37" i="12"/>
  <c r="D37" i="12"/>
  <c r="J28" i="12"/>
  <c r="R27" i="12"/>
  <c r="D27" i="12"/>
  <c r="J26" i="12"/>
  <c r="R25" i="12"/>
  <c r="D25" i="12"/>
  <c r="J24" i="12"/>
  <c r="R23" i="12"/>
  <c r="D23" i="12"/>
  <c r="J22" i="12"/>
  <c r="R21" i="12"/>
  <c r="D21" i="12"/>
  <c r="J20" i="12"/>
  <c r="R19" i="12"/>
  <c r="D19" i="12"/>
  <c r="J18" i="12"/>
  <c r="R17" i="12"/>
  <c r="D17" i="12"/>
  <c r="J16" i="12"/>
  <c r="R15" i="12"/>
  <c r="D15" i="12"/>
  <c r="J14" i="12"/>
  <c r="R13" i="12"/>
  <c r="D13" i="12"/>
  <c r="J12" i="12"/>
  <c r="R11" i="12"/>
  <c r="D11" i="12"/>
  <c r="J10" i="12"/>
  <c r="R9" i="12"/>
  <c r="D9" i="12"/>
  <c r="I10" i="12"/>
  <c r="N13" i="12"/>
  <c r="U16" i="12"/>
  <c r="I18" i="12"/>
  <c r="N21" i="12"/>
  <c r="E23" i="12"/>
  <c r="U24" i="12"/>
  <c r="I26" i="12"/>
  <c r="T27" i="12"/>
  <c r="V16" i="12"/>
  <c r="J39" i="12"/>
  <c r="I39" i="12"/>
  <c r="J38" i="12"/>
  <c r="E9" i="12"/>
  <c r="T13" i="12"/>
  <c r="U18" i="12"/>
  <c r="I20" i="12"/>
  <c r="T21" i="12"/>
  <c r="E25" i="12"/>
  <c r="U26" i="12"/>
  <c r="I28" i="12"/>
  <c r="T37" i="12"/>
  <c r="C39" i="12"/>
  <c r="I77" i="12"/>
  <c r="L39" i="12"/>
  <c r="K39" i="12"/>
  <c r="V10" i="12"/>
  <c r="Q15" i="12"/>
  <c r="K20" i="12"/>
  <c r="F25" i="12"/>
  <c r="K28" i="12"/>
  <c r="I74" i="12"/>
  <c r="I83" i="12"/>
  <c r="I100" i="12"/>
  <c r="Q11" i="12"/>
  <c r="V14" i="12"/>
  <c r="G18" i="12"/>
  <c r="Q27" i="12"/>
  <c r="C9" i="12"/>
  <c r="F9" i="12"/>
  <c r="F17" i="12"/>
  <c r="N9" i="12"/>
  <c r="U12" i="12"/>
  <c r="T15" i="12"/>
  <c r="N17" i="12"/>
  <c r="U20" i="12"/>
  <c r="I22" i="12"/>
  <c r="T23" i="12"/>
  <c r="N25" i="12"/>
  <c r="U28" i="12"/>
  <c r="I38" i="12"/>
  <c r="Q9" i="12"/>
  <c r="F11" i="12"/>
  <c r="V12" i="12"/>
  <c r="K14" i="12"/>
  <c r="G16" i="12"/>
  <c r="Q17" i="12"/>
  <c r="F19" i="12"/>
  <c r="V20" i="12"/>
  <c r="K22" i="12"/>
  <c r="G24" i="12"/>
  <c r="Q25" i="12"/>
  <c r="F27" i="12"/>
  <c r="V28" i="12"/>
  <c r="K38" i="12"/>
  <c r="H79" i="12"/>
  <c r="K10" i="12"/>
  <c r="F15" i="12"/>
  <c r="K18" i="12"/>
  <c r="Q21" i="12"/>
  <c r="V24" i="12"/>
  <c r="Q37" i="12"/>
  <c r="F100" i="12"/>
  <c r="E100" i="12"/>
  <c r="F101" i="12"/>
  <c r="E101" i="12"/>
  <c r="S13" i="12"/>
  <c r="M15" i="12"/>
  <c r="C17" i="12"/>
  <c r="L18" i="12"/>
  <c r="S21" i="12"/>
  <c r="M23" i="12"/>
  <c r="C25" i="12"/>
  <c r="L26" i="12"/>
  <c r="H28" i="12"/>
  <c r="S37" i="12"/>
  <c r="I101" i="12"/>
  <c r="H101" i="12"/>
  <c r="U10" i="12"/>
  <c r="I12" i="12"/>
  <c r="N15" i="12"/>
  <c r="E17" i="12"/>
  <c r="N23" i="12"/>
  <c r="H73" i="12"/>
  <c r="E11" i="12"/>
  <c r="I14" i="12"/>
  <c r="E19" i="12"/>
  <c r="E27" i="12"/>
  <c r="S9" i="12"/>
  <c r="M11" i="12"/>
  <c r="C13" i="12"/>
  <c r="L14" i="12"/>
  <c r="H16" i="12"/>
  <c r="S17" i="12"/>
  <c r="M19" i="12"/>
  <c r="C21" i="12"/>
  <c r="L22" i="12"/>
  <c r="H24" i="12"/>
  <c r="S25" i="12"/>
  <c r="M27" i="12"/>
  <c r="C37" i="12"/>
  <c r="L38" i="12"/>
  <c r="T9" i="12"/>
  <c r="N11" i="12"/>
  <c r="E13" i="12"/>
  <c r="U14" i="12"/>
  <c r="I16" i="12"/>
  <c r="T17" i="12"/>
  <c r="N19" i="12"/>
  <c r="E21" i="12"/>
  <c r="U22" i="12"/>
  <c r="I24" i="12"/>
  <c r="T25" i="12"/>
  <c r="N27" i="12"/>
  <c r="E37" i="12"/>
  <c r="I79" i="12"/>
  <c r="I88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J89" i="12"/>
  <c r="E99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K89" i="12"/>
  <c r="F99" i="12"/>
  <c r="E72" i="12"/>
  <c r="J73" i="12"/>
  <c r="J76" i="12"/>
  <c r="J79" i="12"/>
  <c r="E81" i="12"/>
  <c r="J82" i="12"/>
  <c r="E84" i="12"/>
  <c r="J85" i="12"/>
  <c r="E87" i="12"/>
  <c r="J88" i="12"/>
  <c r="E90" i="12"/>
  <c r="J99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F90" i="12"/>
  <c r="K99" i="12"/>
  <c r="E78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H90" i="12"/>
  <c r="C100" i="12"/>
  <c r="E75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D89" i="12"/>
  <c r="I90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89" i="12"/>
  <c r="J90" i="12"/>
  <c r="E38" i="12"/>
  <c r="F71" i="12"/>
  <c r="K72" i="12"/>
  <c r="F74" i="12"/>
  <c r="K75" i="12"/>
  <c r="F77" i="12"/>
  <c r="K78" i="12"/>
  <c r="F80" i="12"/>
  <c r="K81" i="12"/>
  <c r="F83" i="12"/>
  <c r="K84" i="12"/>
  <c r="F86" i="12"/>
  <c r="K87" i="12"/>
  <c r="F89" i="12"/>
  <c r="B70" i="12" l="1"/>
  <c r="B8" i="12"/>
  <c r="O8" i="12" l="1"/>
  <c r="O40" i="12" s="1"/>
  <c r="P8" i="12"/>
  <c r="P40" i="12" s="1"/>
  <c r="O41" i="12" s="1"/>
  <c r="T8" i="12"/>
  <c r="T40" i="12" s="1"/>
  <c r="G8" i="12"/>
  <c r="G40" i="12" s="1"/>
  <c r="F8" i="12"/>
  <c r="F40" i="12" s="1"/>
  <c r="H8" i="12"/>
  <c r="H40" i="12" s="1"/>
  <c r="L8" i="12"/>
  <c r="L40" i="12" s="1"/>
  <c r="R8" i="12"/>
  <c r="R40" i="12" s="1"/>
  <c r="U8" i="12"/>
  <c r="U40" i="12" s="1"/>
  <c r="S8" i="12"/>
  <c r="S40" i="12" s="1"/>
  <c r="E8" i="12"/>
  <c r="E40" i="12" s="1"/>
  <c r="V8" i="12"/>
  <c r="V40" i="12" s="1"/>
  <c r="D8" i="12"/>
  <c r="D40" i="12" s="1"/>
  <c r="M8" i="12"/>
  <c r="M40" i="12" s="1"/>
  <c r="Q8" i="12"/>
  <c r="Q40" i="12" s="1"/>
  <c r="C8" i="12"/>
  <c r="C40" i="12" s="1"/>
  <c r="N8" i="12"/>
  <c r="N40" i="12" s="1"/>
  <c r="J8" i="12"/>
  <c r="J40" i="12" s="1"/>
  <c r="K8" i="12"/>
  <c r="K40" i="12" s="1"/>
  <c r="I8" i="12"/>
  <c r="I40" i="12" s="1"/>
  <c r="D70" i="12"/>
  <c r="D102" i="12" s="1"/>
  <c r="C70" i="12"/>
  <c r="C102" i="12" s="1"/>
  <c r="J70" i="12"/>
  <c r="J102" i="12" s="1"/>
  <c r="K70" i="12"/>
  <c r="K102" i="12" s="1"/>
  <c r="F70" i="12"/>
  <c r="F102" i="12" s="1"/>
  <c r="E70" i="12"/>
  <c r="E102" i="12" s="1"/>
  <c r="I70" i="12"/>
  <c r="I102" i="12" s="1"/>
  <c r="H70" i="12"/>
  <c r="H102" i="12" s="1"/>
  <c r="I41" i="12" l="1"/>
  <c r="E103" i="12"/>
  <c r="M41" i="12"/>
  <c r="K41" i="12"/>
  <c r="C103" i="12"/>
  <c r="G41" i="12"/>
  <c r="E41" i="12"/>
  <c r="J103" i="12"/>
  <c r="H103" i="12"/>
  <c r="C41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<sst xmlns="http://schemas.openxmlformats.org/spreadsheetml/2006/main" count="6056" uniqueCount="509">
  <si>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</si>
  <si>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</si>
  <si>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</si>
  <si>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</si>
  <si>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</si>
  <si>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</si>
  <si>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</si>
  <si>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</si>
  <si>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</si>
  <si>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</si>
  <si>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</si>
  <si>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</si>
  <si>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</si>
  <si>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</si>
  <si>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</si>
  <si>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</si>
  <si>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</si>
  <si>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</si>
  <si>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</si>
  <si>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</si>
  <si>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</si>
  <si>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</si>
  <si>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</si>
  <si>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</si>
  <si>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</si>
  <si>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</si>
  <si>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</si>
  <si>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</si>
  <si>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</si>
  <si>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</si>
  <si>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</si>
  <si>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</si>
  <si>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</si>
  <si>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</si>
  <si>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</si>
  <si>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</si>
  <si>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</si>
  <si>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</si>
  <si>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</si>
  <si>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</si>
  <si>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</si>
  <si>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</si>
  <si>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</si>
  <si>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</si>
  <si>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</si>
  <si>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</si>
  <si>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</si>
  <si>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</si>
  <si>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</si>
  <si>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</si>
  <si>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</si>
  <si>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</si>
  <si>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</si>
  <si>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</si>
  <si>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</si>
  <si>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</si>
  <si>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</si>
  <si>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</si>
  <si>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</si>
  <si>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</si>
  <si>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</si>
  <si>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</si>
  <si>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</si>
  <si>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</si>
  <si>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</si>
  <si>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</si>
  <si>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</si>
  <si>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</si>
  <si>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</si>
  <si>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</si>
  <si>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</si>
  <si>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</si>
  <si>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</si>
  <si>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</si>
  <si>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</si>
  <si>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</si>
  <si>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</si>
  <si>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</si>
  <si>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</si>
  <si>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</si>
  <si>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</si>
  <si>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</si>
  <si>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</si>
  <si>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</si>
  <si>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</si>
  <si>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</si>
  <si>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</si>
  <si>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</si>
  <si>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</si>
  <si>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</si>
  <si>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</si>
  <si>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</si>
  <si>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</si>
  <si>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</si>
  <si>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</si>
  <si>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</si>
  <si>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</si>
  <si>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</si>
  <si>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</si>
  <si>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</si>
  <si>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</si>
  <si>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</si>
  <si>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</si>
  <si>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</si>
  <si>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</si>
  <si>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</si>
  <si>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</si>
  <si>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</si>
  <si>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</si>
  <si>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</si>
  <si>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</si>
  <si>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</si>
  <si>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</si>
  <si>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</si>
  <si>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</si>
  <si>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</si>
  <si>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</si>
  <si>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</si>
  <si>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</si>
  <si>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</si>
  <si>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</si>
  <si>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</si>
  <si>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</si>
  <si>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</si>
  <si>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</si>
  <si>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</si>
  <si>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</si>
  <si>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</si>
  <si>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</si>
  <si>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</si>
  <si>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</si>
  <si>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</si>
  <si>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</si>
  <si>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</si>
  <si>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</si>
  <si>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</si>
  <si>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</si>
  <si>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</si>
  <si>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</si>
  <si>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</si>
  <si>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</si>
  <si>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</si>
  <si>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</si>
  <si>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</si>
  <si>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</si>
  <si>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</si>
  <si>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</si>
  <si>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</si>
  <si>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</si>
  <si>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</si>
  <si>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</si>
  <si>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</si>
  <si>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</si>
  <si>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</si>
  <si>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</si>
  <si>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</si>
  <si>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</si>
  <si>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</si>
  <si>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</si>
  <si>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</si>
  <si>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</si>
  <si>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</si>
  <si>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</si>
  <si>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</si>
  <si>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</si>
  <si>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</si>
  <si>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</si>
  <si>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</si>
  <si>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</si>
  <si>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</si>
  <si>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</si>
  <si>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</si>
  <si>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</si>
  <si>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</si>
  <si>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</si>
  <si>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</si>
  <si>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</si>
  <si>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</si>
  <si>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</si>
  <si>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</si>
  <si>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</si>
  <si>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</si>
  <si>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</si>
  <si>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</si>
  <si>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</si>
  <si>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</si>
  <si>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</si>
  <si>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</si>
  <si>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</si>
  <si>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</si>
  <si>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</si>
  <si>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</si>
  <si>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</si>
  <si>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</si>
  <si>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</si>
  <si>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</si>
  <si>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</si>
  <si>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</si>
  <si>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</si>
  <si>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</si>
  <si>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</si>
  <si>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</si>
  <si>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</si>
  <si>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</si>
  <si>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</si>
  <si>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</si>
  <si>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</si>
  <si>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</si>
  <si>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</si>
  <si>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</si>
  <si>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</si>
  <si>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</si>
  <si>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</si>
  <si>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</si>
  <si>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</si>
  <si>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</si>
  <si>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</si>
  <si>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</si>
  <si>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</si>
  <si>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</si>
  <si>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</si>
  <si>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</si>
  <si>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</si>
  <si>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</si>
  <si>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</si>
  <si>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</si>
  <si>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</si>
  <si>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</si>
  <si>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</si>
  <si>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</si>
  <si>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</si>
  <si>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</si>
  <si>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</si>
  <si>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</si>
  <si>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</si>
  <si>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</si>
  <si>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</si>
  <si>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</si>
  <si>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</si>
  <si>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</si>
  <si>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</si>
  <si>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</si>
  <si>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</si>
  <si>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</si>
  <si>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</si>
  <si>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</si>
  <si>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</si>
  <si>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</si>
  <si>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</si>
  <si>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</si>
  <si>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</si>
  <si>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</si>
  <si>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</si>
  <si>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</si>
  <si>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</si>
  <si>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</si>
  <si>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</si>
  <si>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</si>
  <si>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</si>
  <si>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</si>
  <si>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</si>
  <si>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</si>
  <si>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</si>
  <si>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</si>
  <si>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</si>
  <si>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</si>
  <si>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</si>
  <si>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</si>
  <si>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</si>
  <si>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</si>
  <si>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</si>
  <si>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</si>
  <si>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</si>
  <si>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</si>
  <si>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</si>
  <si>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</si>
  <si>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</si>
  <si>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</si>
  <si>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</si>
  <si>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</si>
  <si>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</si>
  <si>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</si>
  <si>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</si>
  <si>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</si>
  <si>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</si>
  <si>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</si>
  <si>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</si>
  <si>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</si>
  <si>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</si>
  <si>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</si>
  <si>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</si>
  <si>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</si>
  <si>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</si>
  <si>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</si>
  <si>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</si>
  <si>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</si>
  <si>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</si>
  <si>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</si>
  <si>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</si>
  <si>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</si>
  <si>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</si>
  <si>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</si>
  <si>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</si>
  <si>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</si>
  <si>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</si>
  <si>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</si>
  <si>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</si>
  <si>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</si>
  <si>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</si>
  <si>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</si>
  <si>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</si>
  <si>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</si>
  <si>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</si>
  <si>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</si>
  <si>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</si>
  <si>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</si>
  <si>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</si>
  <si>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</si>
  <si>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</si>
  <si>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</si>
  <si>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</si>
  <si>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</si>
  <si>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</si>
  <si>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</si>
  <si>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</si>
  <si>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</si>
  <si>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</si>
  <si>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</si>
  <si>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</si>
  <si>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</si>
  <si>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</si>
  <si>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</si>
  <si>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</si>
  <si>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</si>
  <si>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</si>
  <si>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</si>
  <si>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</si>
  <si>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</si>
  <si>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</si>
  <si>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</si>
  <si>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</si>
  <si>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</si>
  <si>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</si>
  <si>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</si>
  <si>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</si>
  <si>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</si>
  <si>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</si>
  <si>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</si>
  <si>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</si>
  <si>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</si>
  <si>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</si>
  <si>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</si>
  <si>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</si>
  <si>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</si>
  <si>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</si>
  <si>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</si>
  <si>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</si>
  <si>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</si>
  <si>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</si>
  <si>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</si>
  <si>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</si>
  <si>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</si>
  <si>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</si>
  <si>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</si>
  <si>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</si>
  <si>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</si>
  <si>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</si>
  <si>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</si>
  <si>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</si>
  <si>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</si>
  <si>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</si>
  <si>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</si>
  <si>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</si>
  <si>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</si>
  <si>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</si>
  <si>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</si>
  <si>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</si>
  <si>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</si>
  <si>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</si>
  <si>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</si>
  <si>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</si>
  <si>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</si>
  <si>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</si>
  <si>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</si>
  <si>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</si>
  <si>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</si>
  <si>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</si>
  <si>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</si>
  <si>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</si>
  <si>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</si>
  <si>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</si>
  <si>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</si>
  <si>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</si>
  <si>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</si>
  <si>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</si>
  <si>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</si>
  <si>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</si>
  <si>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</si>
  <si>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</si>
  <si>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</si>
  <si>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</si>
  <si>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</si>
  <si>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</si>
  <si>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</si>
  <si>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</si>
  <si>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</si>
  <si>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</si>
  <si>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</si>
  <si>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</si>
  <si>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</si>
  <si>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</si>
  <si>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</si>
  <si>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</si>
  <si>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</si>
  <si>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</si>
  <si>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</si>
  <si>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</si>
  <si>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</si>
  <si>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</si>
  <si>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</si>
  <si>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</si>
  <si>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</si>
  <si>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</si>
  <si>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</si>
  <si>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</si>
  <si>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</si>
  <si>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</si>
  <si>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</si>
  <si>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</si>
  <si>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</si>
  <si>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</si>
  <si>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</si>
  <si>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</si>
  <si>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</si>
  <si>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</si>
  <si>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</si>
  <si>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</si>
  <si>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</si>
  <si>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</si>
  <si>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</si>
  <si>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</si>
  <si>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</si>
  <si>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</si>
  <si>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</si>
  <si>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</si>
  <si>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</si>
  <si>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RICHIARDONNE Gregory</t>
  </si>
  <si>
    <t>GALLINARO Pierrick</t>
  </si>
  <si>
    <t>POUYADOU Julien</t>
  </si>
  <si>
    <t>ROUSSEL Mathis</t>
  </si>
  <si>
    <t>BOISVIN Paul</t>
  </si>
  <si>
    <t>LOUREIRO LABAZUY Antonio</t>
  </si>
  <si>
    <t>FITAN Maël</t>
  </si>
  <si>
    <t>GABRELLE Neot</t>
  </si>
  <si>
    <t>LESPINASSE Lucas</t>
  </si>
  <si>
    <t>BALAGNA Rudy</t>
  </si>
  <si>
    <t>RECURT Louis</t>
  </si>
  <si>
    <t>SOUVILLE Quentin</t>
  </si>
  <si>
    <t>VANDEKERKOFF</t>
  </si>
  <si>
    <t>ABADIE Thomas</t>
  </si>
  <si>
    <t>BOUTELOUP Romain</t>
  </si>
  <si>
    <r>
      <t xml:space="preserve">2
</t>
    </r>
    <r>
      <rPr>
        <sz val="9"/>
        <color rgb="FF000000"/>
        <rFont val="Arial"/>
        <family val="2"/>
      </rPr>
      <t>GALLINARO</t>
    </r>
  </si>
  <si>
    <r>
      <t xml:space="preserve">3
</t>
    </r>
    <r>
      <rPr>
        <sz val="9"/>
        <color rgb="FF000000"/>
        <rFont val="Arial"/>
        <family val="2"/>
      </rPr>
      <t>BOUTELOUP</t>
    </r>
  </si>
  <si>
    <r>
      <t xml:space="preserve">5
</t>
    </r>
    <r>
      <rPr>
        <sz val="9"/>
        <color rgb="FF000000"/>
        <rFont val="Arial"/>
        <family val="2"/>
      </rPr>
      <t>BOISVIN</t>
    </r>
  </si>
  <si>
    <r>
      <t xml:space="preserve">6
</t>
    </r>
    <r>
      <rPr>
        <sz val="9"/>
        <color rgb="FF000000"/>
        <rFont val="Arial"/>
        <family val="2"/>
      </rPr>
      <t>LOUREIRO LABAZUY</t>
    </r>
  </si>
  <si>
    <r>
      <t xml:space="preserve">8
</t>
    </r>
    <r>
      <rPr>
        <sz val="9"/>
        <color rgb="FF000000"/>
        <rFont val="Arial"/>
        <family val="2"/>
      </rPr>
      <t>GABRELLE</t>
    </r>
  </si>
  <si>
    <r>
      <t xml:space="preserve">11
</t>
    </r>
    <r>
      <rPr>
        <sz val="9"/>
        <color rgb="FF000000"/>
        <rFont val="Arial"/>
        <family val="2"/>
      </rPr>
      <t>LESPINASSE</t>
    </r>
  </si>
  <si>
    <r>
      <t xml:space="preserve">12
</t>
    </r>
    <r>
      <rPr>
        <sz val="9"/>
        <color rgb="FF000000"/>
        <rFont val="Arial"/>
        <family val="2"/>
      </rPr>
      <t>BALAGNA</t>
    </r>
  </si>
  <si>
    <t>BARATGIN Julian</t>
  </si>
  <si>
    <t>VANDEKERKOFF Aymeric</t>
  </si>
  <si>
    <t>MOUDENS Alexis</t>
  </si>
  <si>
    <r>
      <t xml:space="preserve">9
</t>
    </r>
    <r>
      <rPr>
        <sz val="9"/>
        <color rgb="FF000000"/>
        <rFont val="Arial"/>
        <family val="2"/>
      </rPr>
      <t>MOUDENS</t>
    </r>
  </si>
  <si>
    <t>COURREGES Romain</t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</si>
  <si>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</si>
  <si>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
</t>
    </r>
    <r>
      <rPr>
        <sz val="9"/>
        <color rgb="FF000000"/>
        <rFont val="Arial"/>
        <family val="2"/>
      </rPr>
      <t>FITAN</t>
    </r>
  </si>
  <si>
    <t>ABADIE Emeric</t>
  </si>
  <si>
    <r>
      <t xml:space="preserve">4
</t>
    </r>
    <r>
      <rPr>
        <sz val="9"/>
        <color rgb="FF000000"/>
        <rFont val="Arial"/>
        <family val="2"/>
      </rPr>
      <t>ABADIE</t>
    </r>
  </si>
  <si>
    <r>
      <t xml:space="preserve">7
</t>
    </r>
    <r>
      <rPr>
        <sz val="9"/>
        <color rgb="FF000000"/>
        <rFont val="Arial"/>
        <family val="2"/>
      </rPr>
      <t>BARATGIN</t>
    </r>
  </si>
  <si>
    <r>
      <t xml:space="preserve">13
</t>
    </r>
    <r>
      <rPr>
        <sz val="9"/>
        <color rgb="FF000000"/>
        <rFont val="Arial"/>
        <family val="2"/>
      </rPr>
      <t>VANDEKERKOFF</t>
    </r>
  </si>
  <si>
    <r>
      <t xml:space="preserve">14
</t>
    </r>
    <r>
      <rPr>
        <sz val="9"/>
        <color rgb="FF000000"/>
        <rFont val="Arial"/>
        <family val="2"/>
      </rPr>
      <t>RECURT</t>
    </r>
  </si>
  <si>
    <r>
      <t xml:space="preserve">15
</t>
    </r>
    <r>
      <rPr>
        <sz val="9"/>
        <color rgb="FF000000"/>
        <rFont val="Arial"/>
        <family val="2"/>
      </rPr>
      <t>SOUVILLE</t>
    </r>
  </si>
  <si>
    <t xml:space="preserve">: </t>
  </si>
  <si>
    <r>
      <t xml:space="preserve">16
</t>
    </r>
    <r>
      <rPr>
        <sz val="9"/>
        <color rgb="FF000000"/>
        <rFont val="Arial"/>
        <family val="2"/>
      </rPr>
      <t>POUYADOU</t>
    </r>
  </si>
  <si>
    <r>
      <t xml:space="preserve">17
</t>
    </r>
    <r>
      <rPr>
        <sz val="9"/>
        <color rgb="FF000000"/>
        <rFont val="Arial"/>
        <family val="2"/>
      </rPr>
      <t>RICHIARDONNE</t>
    </r>
  </si>
  <si>
    <r>
      <t xml:space="preserve">18
</t>
    </r>
    <r>
      <rPr>
        <sz val="9"/>
        <color rgb="FF000000"/>
        <rFont val="Arial"/>
        <family val="2"/>
      </rPr>
      <t>ROUSSEL</t>
    </r>
  </si>
  <si>
    <r>
      <t xml:space="preserve">19
</t>
    </r>
    <r>
      <rPr>
        <sz val="9"/>
        <color rgb="FF000000"/>
        <rFont val="Arial"/>
        <family val="2"/>
      </rPr>
      <t>ABADIE</t>
    </r>
  </si>
  <si>
    <t>BARRAILH Francois</t>
  </si>
  <si>
    <r>
      <t xml:space="preserve">20
</t>
    </r>
    <r>
      <rPr>
        <sz val="9"/>
        <color rgb="FF000000"/>
        <rFont val="Arial"/>
        <family val="2"/>
      </rPr>
      <t>BARRAILH</t>
    </r>
  </si>
  <si>
    <t>HENNI Kevin</t>
  </si>
  <si>
    <r>
      <t xml:space="preserve">21
</t>
    </r>
    <r>
      <rPr>
        <sz val="9"/>
        <color rgb="FF000000"/>
        <rFont val="Arial"/>
        <family val="2"/>
      </rPr>
      <t>HENNI</t>
    </r>
  </si>
  <si>
    <t>BOURREC Anthony</t>
  </si>
  <si>
    <t>KAPFER Bastien</t>
  </si>
  <si>
    <t>ABADIE Quentin</t>
  </si>
  <si>
    <t>CESCA Sacha</t>
  </si>
  <si>
    <t>JOUNAUX Joris</t>
  </si>
  <si>
    <t>BAQUE Lucas</t>
  </si>
  <si>
    <t>Turn-over  - perte du ballon</t>
  </si>
  <si>
    <t>BAYLE Jean</t>
  </si>
  <si>
    <t>Passe à personne Sacha</t>
  </si>
  <si>
    <t>Quentin. lance alors que la touche n'est pas déclenchée</t>
  </si>
  <si>
    <t>Incompréhension sauter/lanceur</t>
  </si>
  <si>
    <t>vkk se fait aspirer</t>
  </si>
  <si>
    <t>SALLES Fabien</t>
  </si>
  <si>
    <t>Durées actions</t>
  </si>
  <si>
    <t>90-120 s</t>
  </si>
  <si>
    <t>120-150 s</t>
  </si>
  <si>
    <t>150-180 s</t>
  </si>
  <si>
    <t>&gt;180 s</t>
  </si>
  <si>
    <t>Durées de possesion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</si>
</sst>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1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9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8" fillId="30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3" xfId="0" applyFill="1" applyBorder="1" applyAlignment="1">
      <alignment horizontal="center" vertical="center" wrapText="1"/>
    </xf>
    <xf numFmtId="0" fontId="0" fillId="17" borderId="43" xfId="0" applyFill="1" applyBorder="1" applyAlignment="1">
      <alignment horizontal="center" vertical="center" wrapText="1"/>
    </xf>
    <xf numFmtId="0" fontId="0" fillId="32" borderId="43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8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0" fillId="17" borderId="72" xfId="0" applyFill="1" applyBorder="1"/>
    <xf numFmtId="0" fontId="0" fillId="17" borderId="79" xfId="0" applyFill="1" applyBorder="1"/>
    <xf numFmtId="0" fontId="0" fillId="17" borderId="63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85" xfId="0" applyFill="1" applyBorder="1"/>
    <xf numFmtId="0" fontId="0" fillId="17" borderId="86" xfId="0" applyFill="1" applyBorder="1"/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88" xfId="0" applyFill="1" applyBorder="1" applyAlignment="1">
      <alignment horizontal="right"/>
    </xf>
    <xf numFmtId="0" fontId="0" fillId="17" borderId="90" xfId="0" applyFill="1" applyBorder="1"/>
    <xf numFmtId="0" fontId="0" fillId="17" borderId="91" xfId="0" applyFill="1" applyBorder="1"/>
    <xf numFmtId="0" fontId="0" fillId="17" borderId="92" xfId="0" applyFill="1" applyBorder="1"/>
    <xf numFmtId="0" fontId="0" fillId="17" borderId="43" xfId="0" applyFill="1" applyBorder="1"/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0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51" xfId="0" applyBorder="1"/>
    <xf numFmtId="0" fontId="0" fillId="0" borderId="53" xfId="0" applyBorder="1"/>
    <xf numFmtId="0" fontId="0" fillId="0" borderId="63" xfId="0" applyBorder="1"/>
    <xf numFmtId="0" fontId="0" fillId="0" borderId="72" xfId="0" applyBorder="1"/>
    <xf numFmtId="0" fontId="0" fillId="0" borderId="70" xfId="0" applyBorder="1"/>
    <xf numFmtId="0" fontId="0" fillId="0" borderId="81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82" xfId="0" applyBorder="1"/>
    <xf numFmtId="0" fontId="0" fillId="0" borderId="83" xfId="0" applyBorder="1"/>
    <xf numFmtId="0" fontId="39" fillId="16" borderId="0" xfId="0" applyFont="1" applyFill="1" applyAlignment="1">
      <alignment horizontal="left" vertical="center"/>
    </xf>
    <xf numFmtId="0" fontId="0" fillId="0" borderId="84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22" fontId="0" fillId="17" borderId="0" xfId="0" applyNumberFormat="1" applyFill="1"/>
    <xf numFmtId="14" fontId="0" fillId="17" borderId="0" xfId="0" applyNumberFormat="1" applyFill="1"/>
    <xf numFmtId="165" fontId="0" fillId="17" borderId="0" xfId="0" applyNumberFormat="1" applyFill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2" fillId="23" borderId="77" xfId="0" applyFont="1" applyFill="1" applyBorder="1" applyAlignment="1">
      <alignment horizontal="center" vertical="center" wrapText="1"/>
    </xf>
    <xf numFmtId="0" fontId="2" fillId="23" borderId="93" xfId="0" applyFont="1" applyFill="1" applyBorder="1" applyAlignment="1">
      <alignment horizontal="center" vertical="center" wrapText="1"/>
    </xf>
    <xf numFmtId="0" fontId="2" fillId="23" borderId="78" xfId="0" applyFont="1" applyFill="1" applyBorder="1" applyAlignment="1">
      <alignment horizontal="center" vertical="center" wrapText="1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52" xfId="0" applyNumberFormat="1" applyFont="1" applyFill="1" applyBorder="1" applyAlignment="1">
      <alignment horizontal="center" vertical="center"/>
    </xf>
    <xf numFmtId="165" fontId="40" fillId="10" borderId="63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52" xfId="0" applyFont="1" applyFill="1" applyBorder="1" applyAlignment="1">
      <alignment horizontal="left" vertical="center" wrapText="1"/>
    </xf>
    <xf numFmtId="0" fontId="19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  <xf numFmtId="0" fontId="36" fillId="29" borderId="29" xfId="0" applyFont="1" applyFill="1" applyBorder="1" applyAlignment="1">
      <alignment horizontal="center" vertical="center"/>
    </xf>
    <xf numFmtId="0" fontId="36" fillId="29" borderId="95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98" xfId="0" applyFont="1" applyFill="1" applyBorder="1" applyAlignment="1">
      <alignment horizontal="center" vertical="center"/>
    </xf>
    <xf numFmtId="0" fontId="38" fillId="30" borderId="99" xfId="0" applyFont="1" applyFill="1" applyBorder="1" applyAlignment="1">
      <alignment horizontal="center" vertical="center"/>
    </xf>
    <xf numFmtId="0" fontId="36" fillId="29" borderId="101" xfId="0" applyFont="1" applyFill="1" applyBorder="1" applyAlignment="1">
      <alignment horizontal="center" vertical="center"/>
    </xf>
    <xf numFmtId="0" fontId="38" fillId="16" borderId="96" xfId="0" applyFont="1" applyFill="1" applyBorder="1" applyAlignment="1">
      <alignment horizontal="center" vertical="center"/>
    </xf>
    <xf numFmtId="0" fontId="36" fillId="29" borderId="102" xfId="0" applyFont="1" applyFill="1" applyBorder="1" applyAlignment="1">
      <alignment horizontal="center" vertical="center"/>
    </xf>
    <xf numFmtId="0" fontId="38" fillId="16" borderId="100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38" fillId="30" borderId="24" xfId="0" applyFont="1" applyFill="1" applyBorder="1" applyAlignment="1">
      <alignment horizontal="center" vertical="center"/>
    </xf>
    <xf numFmtId="0" fontId="38" fillId="16" borderId="104" xfId="0" applyFont="1" applyFill="1" applyBorder="1" applyAlignment="1">
      <alignment horizontal="center" vertical="center"/>
    </xf>
    <xf numFmtId="0" fontId="35" fillId="29" borderId="105" xfId="0" applyFont="1" applyFill="1" applyBorder="1" applyAlignment="1">
      <alignment horizontal="center" vertical="center"/>
    </xf>
    <xf numFmtId="0" fontId="37" fillId="30" borderId="106" xfId="0" applyFont="1" applyFill="1" applyBorder="1" applyAlignment="1">
      <alignment horizontal="center" vertical="center"/>
    </xf>
    <xf numFmtId="0" fontId="37" fillId="16" borderId="107" xfId="0" applyFont="1" applyFill="1" applyBorder="1" applyAlignment="1">
      <alignment horizontal="center" vertical="center"/>
    </xf>
    <xf numFmtId="0" fontId="36" fillId="29" borderId="108" xfId="0" applyFont="1" applyFill="1" applyBorder="1" applyAlignment="1">
      <alignment horizontal="center" vertical="center"/>
    </xf>
    <xf numFmtId="0" fontId="36" fillId="29" borderId="22" xfId="0" applyFont="1" applyFill="1" applyBorder="1" applyAlignment="1">
      <alignment horizontal="center" vertical="center"/>
    </xf>
    <xf numFmtId="0" fontId="35" fillId="29" borderId="109" xfId="0" applyFont="1" applyFill="1" applyBorder="1" applyAlignment="1">
      <alignment horizontal="center" vertical="center"/>
    </xf>
    <xf numFmtId="0" fontId="35" fillId="29" borderId="110" xfId="0" applyFont="1" applyFill="1" applyBorder="1" applyAlignment="1">
      <alignment horizontal="center" vertical="center"/>
    </xf>
    <xf numFmtId="0" fontId="37" fillId="17" borderId="106" xfId="0" applyFont="1" applyFill="1" applyBorder="1" applyAlignment="1">
      <alignment horizontal="center" vertical="center"/>
    </xf>
    <xf numFmtId="0" fontId="38" fillId="17" borderId="24" xfId="0" applyFont="1" applyFill="1" applyBorder="1" applyAlignment="1">
      <alignment horizontal="center" vertical="center"/>
    </xf>
    <xf numFmtId="0" fontId="38" fillId="17" borderId="43" xfId="0" applyFont="1" applyFill="1" applyBorder="1" applyAlignment="1">
      <alignment horizontal="center" vertical="center"/>
    </xf>
    <xf numFmtId="0" fontId="38" fillId="17" borderId="99" xfId="0" applyFont="1" applyFill="1" applyBorder="1" applyAlignment="1">
      <alignment horizontal="center" vertical="center"/>
    </xf>
    <xf numFmtId="0" fontId="35" fillId="29" borderId="94" xfId="0" applyFont="1" applyFill="1" applyBorder="1" applyAlignment="1">
      <alignment horizontal="center" vertical="center"/>
    </xf>
    <xf numFmtId="0" fontId="36" fillId="29" borderId="111" xfId="0" applyFont="1" applyFill="1" applyBorder="1" applyAlignment="1">
      <alignment horizontal="center" vertical="center"/>
    </xf>
    <xf numFmtId="0" fontId="36" fillId="29" borderId="112" xfId="0" applyFont="1" applyFill="1" applyBorder="1" applyAlignment="1">
      <alignment horizontal="center" vertical="center"/>
    </xf>
    <xf numFmtId="0" fontId="36" fillId="29" borderId="113" xfId="0" applyFont="1" applyFill="1" applyBorder="1" applyAlignment="1">
      <alignment horizontal="center" vertical="center"/>
    </xf>
    <xf numFmtId="0" fontId="32" fillId="27" borderId="0" xfId="0" applyFont="1" applyFill="1" applyBorder="1" applyAlignment="1">
      <alignment horizontal="center" vertical="center" wrapText="1"/>
    </xf>
    <xf numFmtId="0" fontId="26" fillId="17" borderId="0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RECURT Louis</c:v>
                </c:pt>
                <c:pt idx="1">
                  <c:v>RICHIARDONNE Gregory</c:v>
                </c:pt>
                <c:pt idx="2">
                  <c:v>ROUSSEL Mathis</c:v>
                </c:pt>
                <c:pt idx="3">
                  <c:v>SALLES Fabien</c:v>
                </c:pt>
                <c:pt idx="4">
                  <c:v>SOUVILLE Quentin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RECURT Louis</c:v>
                </c:pt>
                <c:pt idx="1">
                  <c:v>RICHIARDONNE Gregory</c:v>
                </c:pt>
                <c:pt idx="2">
                  <c:v>ROUSSEL Mathis</c:v>
                </c:pt>
                <c:pt idx="3">
                  <c:v>SALLES Fabien</c:v>
                </c:pt>
                <c:pt idx="4">
                  <c:v>SOUVILLE Quentin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106598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51048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59</xdr:row>
      <xdr:rowOff>25399</xdr:rowOff>
    </xdr:from>
    <xdr:to>
      <xdr:col>8</xdr:col>
      <xdr:colOff>482600</xdr:colOff>
      <xdr:row>62</xdr:row>
      <xdr:rowOff>55638</xdr:rowOff>
    </xdr:to>
    <xdr:sp macro="[0]!RecalculerStatsMatch" textlink="">
      <xdr:nvSpPr>
        <xdr:cNvPr id="2" name="Rectangle : coins arrondis 1" hidden="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125</xdr:row>
      <xdr:rowOff>0</xdr:rowOff>
    </xdr:from>
    <xdr:to>
      <xdr:col>8</xdr:col>
      <xdr:colOff>762000</xdr:colOff>
      <xdr:row>148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2" dataDxfId="51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0"/>
    <tableColumn id="2" xr3:uid="{0C1B8A30-A3B8-DA4D-B893-C4C99FF33E90}" name="nom" dataDxfId="49"/>
    <tableColumn id="3" xr3:uid="{8AE5AF32-0026-9B41-8B0B-16B9ED0F3727}" name="prenom" dataDxfId="48"/>
    <tableColumn id="4" xr3:uid="{4CE41A86-7158-6B42-B932-A5275F10AB48}" name="prenom NOM" dataDxfId="47">
      <calculatedColumnFormula>LstEffectif[[#This Row],[prenom]] &amp; " " &amp; LstEffectif[[#This Row],[nom]]</calculatedColumnFormula>
    </tableColumn>
    <tableColumn id="5" xr3:uid="{EB017694-E6D2-7440-91BF-61113926AB7D}" name="NOM Prénom" dataDxfId="46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5" dataDxfId="44">
  <autoFilter ref="I1:I11" xr:uid="{037D6424-D1EC-894D-B963-D36ABCA682C4}"/>
  <tableColumns count="1">
    <tableColumn id="1" xr3:uid="{63806632-B9ED-294D-800A-F2FDB2EC48D2}" name="EQUIPES_A_AFFRONTER" dataDxfId="4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36" totalsRowShown="0" tableBorderDxfId="42">
  <autoFilter ref="E6:H36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518" totalsRowShown="0">
  <autoFilter ref="A1:Q518" xr:uid="{274E98FB-BCE1-0347-AD79-C8025C407DEC}">
    <filterColumn colId="4">
      <filters>
        <filter val="Franchissement"/>
      </filters>
    </filterColumn>
  </autoFilter>
  <sortState xmlns:xlrd2="http://schemas.microsoft.com/office/spreadsheetml/2017/richdata2" ref="A2:Q259">
    <sortCondition descending="1" ref="A1:A259"/>
  </sortState>
  <tableColumns count="17">
    <tableColumn id="1" xr3:uid="{1C6F1113-17EB-A449-86BF-30B1CE9CAC0A}" name="temps video" dataDxfId="5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41" dataDxfId="39" headerRowBorderDxfId="40" tableBorderDxfId="38" totalsRowBorderDxfId="37">
  <autoFilter ref="Q1:R50" xr:uid="{6D1F5F0A-5FD5-AC4E-A195-33A78A5E0E58}"/>
  <tableColumns count="2">
    <tableColumn id="1" xr3:uid="{8A0D5429-5616-B849-BD27-167A576FE99E}" name="Nom de cellule à créer" dataDxfId="36"/>
    <tableColumn id="2" xr3:uid="{19545507-672A-9F40-8818-E4C9060AA52B}" name="Libellé" dataDxfId="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4" headerRowBorderDxfId="33" tableBorderDxfId="32" totalsRowBorderDxfId="31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0" headerRowBorderDxfId="29" tableBorderDxfId="28" totalsRowBorderDxfId="27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6" dataDxfId="25">
  <autoFilter ref="I14:I20" xr:uid="{CC940AF9-E81A-F746-8EAD-392809C3CFBE}"/>
  <tableColumns count="1">
    <tableColumn id="1" xr3:uid="{816CA1DF-3681-2948-A622-26353E2B9A97}" name="LISTE_LECTEUR_VIDEO" dataDxfId="2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23" dataDxfId="22">
  <autoFilter ref="C1:C4" xr:uid="{61FC7709-08E5-D048-A38B-441B18CF5D35}"/>
  <tableColumns count="1">
    <tableColumn id="1" xr3:uid="{C41B523D-40DA-AF48-A2C2-015B04960B0A}" name="LIEU_MATCH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0" dataDxfId="19">
  <autoFilter ref="C6:C10" xr:uid="{86EA01CF-5567-6445-9906-AD2B60CA0A8A}"/>
  <tableColumns count="1">
    <tableColumn id="1" xr3:uid="{B57F8324-6F25-7B40-9B20-1BFDF9708631}" name="PHASE" dataDxfId="1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7" dataDxfId="16">
  <autoFilter ref="C12:C15" xr:uid="{DAA9B017-78F0-D447-B788-CF8333AEAC38}"/>
  <tableColumns count="1">
    <tableColumn id="1" xr3:uid="{C5E86C3D-762A-054E-B864-5A67DBB9A8CA}" name="RESULTAT" dataDxfId="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14" dataDxfId="13">
  <autoFilter ref="C17:C21" xr:uid="{F661D9E2-619C-DA44-92C5-8A09E8E281AC}"/>
  <tableColumns count="1">
    <tableColumn id="1" xr3:uid="{ADD3AF05-089E-D149-9728-7C2A6F62FA22}" name="EQUIPE_NIV" dataDxfId="1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4" totalsRowShown="0" headerRowDxfId="11" dataDxfId="9" headerRowBorderDxfId="10" tableBorderDxfId="8" totalsRowBorderDxfId="7">
  <autoFilter ref="K1:K24" xr:uid="{391966D0-8F83-3948-82BB-835638F7D3FE}"/>
  <tableColumns count="1">
    <tableColumn id="1" xr3:uid="{F45BF991-6668-F741-B07C-7905B99AC752}" name="LISTE_JOUEURS_JOURNAL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62" workbookViewId="0">
      <selection activeCell="B67" sqref="B67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441</v>
      </c>
    </row>
    <row r="2" spans="1:9" ht="14">
      <c r="A2">
        <v>1</v>
      </c>
      <c r="B2" s="146" t="s">
        <v>324</v>
      </c>
      <c r="C2" s="146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432</v>
      </c>
    </row>
    <row r="3" spans="1:9" ht="14">
      <c r="A3">
        <v>2</v>
      </c>
      <c r="B3" s="146" t="s">
        <v>324</v>
      </c>
      <c r="C3" s="146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433</v>
      </c>
    </row>
    <row r="4" spans="1:9" ht="14">
      <c r="A4">
        <v>3</v>
      </c>
      <c r="B4" s="146" t="s">
        <v>324</v>
      </c>
      <c r="C4" s="146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434</v>
      </c>
    </row>
    <row r="5" spans="1:9" ht="14">
      <c r="A5">
        <v>4</v>
      </c>
      <c r="B5" s="146" t="s">
        <v>327</v>
      </c>
      <c r="C5" s="146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435</v>
      </c>
    </row>
    <row r="6" spans="1:9" ht="14">
      <c r="A6">
        <v>5</v>
      </c>
      <c r="B6" s="146" t="s">
        <v>329</v>
      </c>
      <c r="C6" s="146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436</v>
      </c>
    </row>
    <row r="7" spans="1:9" ht="14">
      <c r="A7">
        <v>6</v>
      </c>
      <c r="B7" s="146" t="s">
        <v>331</v>
      </c>
      <c r="C7" s="146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437</v>
      </c>
    </row>
    <row r="8" spans="1:9" ht="14">
      <c r="A8">
        <v>7</v>
      </c>
      <c r="B8" s="146" t="s">
        <v>333</v>
      </c>
      <c r="C8" s="146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438</v>
      </c>
    </row>
    <row r="9" spans="1:9" ht="14">
      <c r="A9">
        <v>8</v>
      </c>
      <c r="B9" s="146" t="s">
        <v>335</v>
      </c>
      <c r="C9" s="146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439</v>
      </c>
    </row>
    <row r="10" spans="1:9" ht="14">
      <c r="A10">
        <v>9</v>
      </c>
      <c r="B10" s="146" t="s">
        <v>337</v>
      </c>
      <c r="C10" s="146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440</v>
      </c>
    </row>
    <row r="11" spans="1:9" ht="14">
      <c r="A11">
        <v>10</v>
      </c>
      <c r="B11" s="146" t="s">
        <v>339</v>
      </c>
      <c r="C11" s="146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442</v>
      </c>
    </row>
    <row r="12" spans="1:9" ht="14">
      <c r="A12">
        <v>11</v>
      </c>
      <c r="B12" s="146" t="s">
        <v>341</v>
      </c>
      <c r="C12" s="146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46" t="s">
        <v>343</v>
      </c>
      <c r="C13" s="146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46" t="s">
        <v>345</v>
      </c>
      <c r="C14" s="146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46" t="s">
        <v>347</v>
      </c>
      <c r="C15" s="146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46" t="s">
        <v>349</v>
      </c>
      <c r="C16" s="146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46" t="s">
        <v>349</v>
      </c>
      <c r="C17" s="146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46" t="s">
        <v>352</v>
      </c>
      <c r="C18" s="146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46" t="s">
        <v>354</v>
      </c>
      <c r="C19" s="146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46" t="s">
        <v>356</v>
      </c>
      <c r="C20" s="146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46" t="s">
        <v>357</v>
      </c>
      <c r="C21" s="146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46" t="s">
        <v>359</v>
      </c>
      <c r="C22" s="146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46" t="s">
        <v>361</v>
      </c>
      <c r="C23" s="146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46" t="s">
        <v>361</v>
      </c>
      <c r="C24" s="146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46" t="s">
        <v>364</v>
      </c>
      <c r="C25" s="146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46" t="s">
        <v>366</v>
      </c>
      <c r="C26" s="146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46" t="s">
        <v>367</v>
      </c>
      <c r="C27" s="146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46" t="s">
        <v>369</v>
      </c>
      <c r="C28" s="146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46" t="s">
        <v>370</v>
      </c>
      <c r="C29" s="146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46" t="s">
        <v>372</v>
      </c>
      <c r="C30" s="146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46" t="s">
        <v>374</v>
      </c>
      <c r="C31" s="146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46" t="s">
        <v>376</v>
      </c>
      <c r="C32" s="146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46" t="s">
        <v>377</v>
      </c>
      <c r="C33" s="146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46" t="s">
        <v>378</v>
      </c>
      <c r="C34" s="146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46" t="s">
        <v>380</v>
      </c>
      <c r="C35" s="146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46" t="s">
        <v>380</v>
      </c>
      <c r="C36" s="146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46" t="s">
        <v>383</v>
      </c>
      <c r="C37" s="146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46" t="s">
        <v>384</v>
      </c>
      <c r="C38" s="146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46" t="s">
        <v>385</v>
      </c>
      <c r="C39" s="146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46" t="s">
        <v>387</v>
      </c>
      <c r="C40" s="146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46" t="s">
        <v>388</v>
      </c>
      <c r="C41" s="146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46" t="s">
        <v>390</v>
      </c>
      <c r="C42" s="146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46" t="s">
        <v>391</v>
      </c>
      <c r="C43" s="146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46" t="s">
        <v>393</v>
      </c>
      <c r="C44" s="146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46" t="s">
        <v>395</v>
      </c>
      <c r="C45" s="146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46" t="s">
        <v>397</v>
      </c>
      <c r="C46" s="146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46" t="s">
        <v>399</v>
      </c>
      <c r="C47" s="146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46" t="s">
        <v>399</v>
      </c>
      <c r="C48" s="146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46" t="s">
        <v>402</v>
      </c>
      <c r="C49" s="146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46" t="s">
        <v>404</v>
      </c>
      <c r="C50" s="146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46" t="s">
        <v>406</v>
      </c>
      <c r="C51" s="146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46" t="s">
        <v>407</v>
      </c>
      <c r="C52" s="146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46" t="s">
        <v>409</v>
      </c>
      <c r="C53" s="146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46" t="s">
        <v>410</v>
      </c>
      <c r="C54" s="146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46" t="s">
        <v>411</v>
      </c>
      <c r="C55" s="146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46" t="s">
        <v>413</v>
      </c>
      <c r="C56" s="146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46" t="s">
        <v>414</v>
      </c>
      <c r="C57" s="146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46" t="s">
        <v>416</v>
      </c>
      <c r="C58" s="146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46" t="s">
        <v>418</v>
      </c>
      <c r="C59" s="146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46" t="s">
        <v>418</v>
      </c>
      <c r="C60" s="146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46" t="s">
        <v>420</v>
      </c>
      <c r="C61" s="146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46" t="s">
        <v>422</v>
      </c>
      <c r="C62" s="146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46" t="s">
        <v>423</v>
      </c>
      <c r="C63" s="146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46" t="s">
        <v>425</v>
      </c>
      <c r="C64" s="146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46" t="s">
        <v>427</v>
      </c>
      <c r="C65" s="146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46" t="s">
        <v>458</v>
      </c>
      <c r="C66" s="146" t="s">
        <v>428</v>
      </c>
      <c r="D66" t="str">
        <f>LstEffectif[[#This Row],[prenom]] &amp; " " &amp; LstEffectif[[#This Row],[nom]]</f>
        <v>Aymeric VANDEKERKOFF</v>
      </c>
      <c r="E66" t="str">
        <f>LstEffectif[[#This Row],[nom]] &amp; " " &amp; LstEffectif[[#This Row],[prenom]]</f>
        <v>VANDEKERKOFF Aymeric</v>
      </c>
    </row>
    <row r="67" spans="1:5" s="25" customFormat="1" ht="14">
      <c r="A67">
        <v>66</v>
      </c>
      <c r="B67" s="146" t="s">
        <v>429</v>
      </c>
      <c r="C67" s="146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46" t="s">
        <v>430</v>
      </c>
      <c r="C68" s="146" t="s">
        <v>431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45"/>
  <sheetViews>
    <sheetView workbookViewId="0">
      <selection activeCell="F28" sqref="F28"/>
    </sheetView>
    <sheetView workbookViewId="1"/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199" t="s">
        <v>254</v>
      </c>
      <c r="C2" s="199"/>
      <c r="E2" s="200" t="s">
        <v>255</v>
      </c>
      <c r="F2" s="201"/>
      <c r="G2" s="201"/>
      <c r="H2" s="202"/>
    </row>
    <row r="3" spans="1:8" ht="19" customHeight="1">
      <c r="B3" s="199"/>
      <c r="C3" s="199"/>
      <c r="E3" s="203"/>
      <c r="F3" s="204"/>
      <c r="G3" s="204"/>
      <c r="H3" s="205"/>
    </row>
    <row r="4" spans="1:8" ht="19" customHeight="1" thickBot="1">
      <c r="B4" s="199"/>
      <c r="C4" s="199"/>
      <c r="E4" s="206"/>
      <c r="F4" s="207"/>
      <c r="G4" s="207"/>
      <c r="H4" s="208"/>
    </row>
    <row r="5" spans="1:8" s="25" customFormat="1">
      <c r="A5" s="91"/>
      <c r="D5" s="91"/>
    </row>
    <row r="6" spans="1:8">
      <c r="B6" s="70" t="s">
        <v>234</v>
      </c>
      <c r="C6" s="71" t="s">
        <v>443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F7" t="s">
        <v>452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F8" t="s">
        <v>447</v>
      </c>
      <c r="G8" t="s">
        <v>204</v>
      </c>
    </row>
    <row r="9" spans="1:8">
      <c r="B9" s="25"/>
      <c r="C9" s="25"/>
      <c r="E9">
        <v>3</v>
      </c>
      <c r="F9" t="s">
        <v>460</v>
      </c>
      <c r="G9" t="s">
        <v>204</v>
      </c>
    </row>
    <row r="10" spans="1:8">
      <c r="B10" s="70" t="s">
        <v>235</v>
      </c>
      <c r="C10" s="71" t="s">
        <v>442</v>
      </c>
      <c r="E10">
        <v>4</v>
      </c>
      <c r="F10" t="s">
        <v>475</v>
      </c>
      <c r="G10" t="s">
        <v>204</v>
      </c>
    </row>
    <row r="11" spans="1:8">
      <c r="B11" s="25"/>
      <c r="C11" s="25"/>
      <c r="E11">
        <v>5</v>
      </c>
      <c r="F11" t="s">
        <v>450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F12" t="s">
        <v>451</v>
      </c>
      <c r="G12" t="s">
        <v>204</v>
      </c>
    </row>
    <row r="13" spans="1:8">
      <c r="B13" s="25"/>
      <c r="C13" s="25"/>
      <c r="E13">
        <v>7</v>
      </c>
      <c r="F13" t="s">
        <v>468</v>
      </c>
      <c r="G13" t="s">
        <v>204</v>
      </c>
    </row>
    <row r="14" spans="1:8">
      <c r="B14" s="70" t="s">
        <v>236</v>
      </c>
      <c r="C14" s="71" t="s">
        <v>444</v>
      </c>
      <c r="E14">
        <v>8</v>
      </c>
      <c r="F14" t="s">
        <v>453</v>
      </c>
      <c r="G14" t="s">
        <v>204</v>
      </c>
    </row>
    <row r="15" spans="1:8">
      <c r="B15" s="25"/>
      <c r="C15" s="92"/>
      <c r="E15" s="63">
        <v>9</v>
      </c>
      <c r="F15" s="63" t="s">
        <v>470</v>
      </c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F16" t="s">
        <v>472</v>
      </c>
      <c r="G16" t="s">
        <v>222</v>
      </c>
    </row>
    <row r="17" spans="1:8">
      <c r="B17" s="25"/>
      <c r="C17" s="25"/>
      <c r="E17">
        <v>11</v>
      </c>
      <c r="F17" t="s">
        <v>454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F18" t="s">
        <v>455</v>
      </c>
      <c r="G18" t="s">
        <v>222</v>
      </c>
    </row>
    <row r="19" spans="1:8">
      <c r="B19" s="25"/>
      <c r="C19" s="92"/>
      <c r="E19">
        <v>13</v>
      </c>
      <c r="F19" t="s">
        <v>469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F20" t="s">
        <v>456</v>
      </c>
      <c r="G20" t="s">
        <v>222</v>
      </c>
    </row>
    <row r="21" spans="1:8">
      <c r="B21" s="25"/>
      <c r="C21" s="25"/>
      <c r="E21" s="58">
        <v>15</v>
      </c>
      <c r="F21" s="58" t="s">
        <v>457</v>
      </c>
      <c r="G21" s="58" t="s">
        <v>222</v>
      </c>
      <c r="H21" s="58"/>
    </row>
    <row r="22" spans="1:8">
      <c r="B22" s="25"/>
      <c r="C22" s="25"/>
      <c r="E22">
        <v>16</v>
      </c>
      <c r="F22" t="s">
        <v>448</v>
      </c>
      <c r="G22" t="s">
        <v>204</v>
      </c>
    </row>
    <row r="23" spans="1:8">
      <c r="B23" s="25"/>
      <c r="C23" s="25"/>
      <c r="E23">
        <v>17</v>
      </c>
      <c r="F23" t="s">
        <v>446</v>
      </c>
    </row>
    <row r="24" spans="1:8">
      <c r="B24" s="25"/>
      <c r="C24" s="25"/>
      <c r="E24">
        <v>18</v>
      </c>
      <c r="F24" t="s">
        <v>449</v>
      </c>
    </row>
    <row r="25" spans="1:8">
      <c r="B25" s="25"/>
      <c r="C25" s="25"/>
      <c r="E25">
        <v>19</v>
      </c>
      <c r="F25" t="s">
        <v>459</v>
      </c>
    </row>
    <row r="26" spans="1:8">
      <c r="B26" s="25"/>
      <c r="C26" s="25"/>
      <c r="E26">
        <v>20</v>
      </c>
      <c r="F26" t="s">
        <v>486</v>
      </c>
    </row>
    <row r="27" spans="1:8">
      <c r="B27" s="25"/>
      <c r="C27" s="25"/>
      <c r="E27">
        <v>21</v>
      </c>
      <c r="F27" t="s">
        <v>488</v>
      </c>
    </row>
    <row r="28" spans="1:8">
      <c r="B28" s="25"/>
      <c r="C28" s="25"/>
      <c r="E28">
        <v>22</v>
      </c>
    </row>
    <row r="29" spans="1:8" s="25" customFormat="1">
      <c r="A29" s="91"/>
      <c r="D29" s="91"/>
      <c r="E29">
        <v>1</v>
      </c>
      <c r="F29" t="s">
        <v>492</v>
      </c>
      <c r="G29" t="s">
        <v>204</v>
      </c>
      <c r="H29"/>
    </row>
    <row r="30" spans="1:8" s="25" customFormat="1">
      <c r="A30" s="91"/>
      <c r="D30" s="91"/>
      <c r="E30">
        <v>8</v>
      </c>
      <c r="F30" t="s">
        <v>497</v>
      </c>
      <c r="G30" t="s">
        <v>204</v>
      </c>
      <c r="H30"/>
    </row>
    <row r="31" spans="1:8" s="25" customFormat="1">
      <c r="A31" s="91"/>
      <c r="D31" s="91"/>
      <c r="E31">
        <v>10</v>
      </c>
      <c r="F31" t="s">
        <v>495</v>
      </c>
      <c r="G31" t="s">
        <v>222</v>
      </c>
      <c r="H31"/>
    </row>
    <row r="32" spans="1:8" s="25" customFormat="1">
      <c r="A32" s="91"/>
      <c r="D32" s="91"/>
      <c r="E32">
        <v>11</v>
      </c>
      <c r="F32" t="s">
        <v>490</v>
      </c>
      <c r="G32" t="s">
        <v>222</v>
      </c>
      <c r="H32"/>
    </row>
    <row r="33" spans="1:8" s="25" customFormat="1">
      <c r="A33" s="91"/>
      <c r="D33" s="91"/>
      <c r="E33">
        <v>13</v>
      </c>
      <c r="F33" t="s">
        <v>491</v>
      </c>
      <c r="G33" t="s">
        <v>222</v>
      </c>
      <c r="H33"/>
    </row>
    <row r="34" spans="1:8" s="25" customFormat="1">
      <c r="A34" s="91"/>
      <c r="D34" s="91"/>
      <c r="E34">
        <v>14</v>
      </c>
      <c r="F34" t="s">
        <v>494</v>
      </c>
      <c r="G34" t="s">
        <v>222</v>
      </c>
      <c r="H34"/>
    </row>
    <row r="35" spans="1:8" s="25" customFormat="1">
      <c r="A35" s="91"/>
      <c r="D35" s="91"/>
      <c r="E35">
        <v>15</v>
      </c>
      <c r="F35" t="s">
        <v>502</v>
      </c>
      <c r="G35" t="s">
        <v>222</v>
      </c>
      <c r="H35"/>
    </row>
    <row r="36" spans="1:8" s="25" customFormat="1">
      <c r="A36" s="91"/>
      <c r="D36" s="91"/>
      <c r="E36">
        <v>17</v>
      </c>
      <c r="F36" t="s">
        <v>493</v>
      </c>
      <c r="G36"/>
      <c r="H36"/>
    </row>
    <row r="37" spans="1:8" s="25" customFormat="1">
      <c r="A37" s="91"/>
      <c r="D37" s="91"/>
    </row>
    <row r="38" spans="1:8" s="25" customFormat="1">
      <c r="A38" s="91"/>
      <c r="D38" s="91"/>
    </row>
    <row r="39" spans="1:8" s="25" customFormat="1">
      <c r="A39" s="91"/>
      <c r="D39" s="91"/>
    </row>
    <row r="40" spans="1:8" s="25" customFormat="1">
      <c r="A40" s="91"/>
      <c r="D40" s="91"/>
    </row>
    <row r="41" spans="1:8" s="25" customFormat="1">
      <c r="A41" s="91"/>
      <c r="D41" s="91"/>
    </row>
    <row r="42" spans="1:8" s="25" customFormat="1">
      <c r="A42" s="91"/>
      <c r="D42" s="91"/>
    </row>
    <row r="43" spans="1:8" s="25" customFormat="1">
      <c r="A43" s="91"/>
      <c r="D43" s="91"/>
    </row>
    <row r="44" spans="1:8" s="25" customFormat="1">
      <c r="A44" s="91"/>
      <c r="D44" s="91"/>
    </row>
    <row r="45" spans="1:8" s="25" customFormat="1">
      <c r="A45" s="91"/>
      <c r="D45" s="91"/>
    </row>
    <row r="46" spans="1:8" s="25" customFormat="1">
      <c r="A46" s="91"/>
      <c r="D46" s="91"/>
    </row>
    <row r="47" spans="1:8" s="25" customFormat="1">
      <c r="A47" s="91"/>
      <c r="D47" s="91"/>
    </row>
    <row r="48" spans="1:8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445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8" s="25" customFormat="1">
      <c r="A129" s="91"/>
      <c r="D129" s="91"/>
    </row>
    <row r="130" spans="1:8" s="25" customFormat="1">
      <c r="A130" s="91"/>
      <c r="D130" s="91"/>
    </row>
    <row r="131" spans="1:8" s="25" customFormat="1">
      <c r="A131" s="91"/>
      <c r="D131" s="91"/>
    </row>
    <row r="132" spans="1:8" s="25" customFormat="1">
      <c r="A132" s="91"/>
      <c r="D132" s="91"/>
    </row>
    <row r="133" spans="1:8" s="25" customFormat="1">
      <c r="A133" s="91"/>
      <c r="D133" s="91"/>
    </row>
    <row r="134" spans="1:8" s="25" customFormat="1">
      <c r="A134" s="91"/>
      <c r="D134" s="91"/>
    </row>
    <row r="135" spans="1:8" s="25" customFormat="1">
      <c r="A135" s="91"/>
      <c r="D135" s="91"/>
    </row>
    <row r="136" spans="1:8" s="25" customFormat="1">
      <c r="A136" s="91"/>
      <c r="D136" s="91"/>
    </row>
    <row r="137" spans="1:8" s="25" customFormat="1">
      <c r="A137" s="91"/>
      <c r="D137" s="91"/>
    </row>
    <row r="138" spans="1:8">
      <c r="E138" s="25"/>
      <c r="F138" s="25"/>
      <c r="G138" s="25"/>
      <c r="H138" s="25"/>
    </row>
    <row r="139" spans="1:8">
      <c r="E139" s="25"/>
      <c r="F139" s="25"/>
      <c r="G139" s="25"/>
      <c r="H139" s="25"/>
    </row>
    <row r="140" spans="1:8">
      <c r="E140" s="25"/>
      <c r="F140" s="25"/>
      <c r="G140" s="25"/>
      <c r="H140" s="25"/>
    </row>
    <row r="141" spans="1:8">
      <c r="E141" s="25"/>
      <c r="F141" s="25"/>
      <c r="G141" s="25"/>
      <c r="H141" s="25"/>
    </row>
    <row r="142" spans="1:8">
      <c r="E142" s="25"/>
      <c r="F142" s="25"/>
      <c r="G142" s="25"/>
      <c r="H142" s="25"/>
    </row>
    <row r="143" spans="1:8">
      <c r="E143" s="25"/>
      <c r="F143" s="25"/>
      <c r="G143" s="25"/>
      <c r="H143" s="25"/>
    </row>
    <row r="144" spans="1:8">
      <c r="E144" s="25"/>
      <c r="F144" s="25"/>
      <c r="G144" s="25"/>
      <c r="H144" s="25"/>
    </row>
    <row r="145" spans="5:8">
      <c r="E145" s="25"/>
      <c r="F145" s="25"/>
      <c r="G145" s="25"/>
      <c r="H145" s="25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36" xr:uid="{7D95346C-CBAC-6743-84C7-A8CE22F7DA4F}">
      <formula1>LST_JOUEURS</formula1>
    </dataValidation>
    <dataValidation type="list" allowBlank="1" showInputMessage="1" showErrorMessage="1" sqref="G7:G36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  <sheetView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481</v>
      </c>
      <c r="C1" s="221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5"/>
      <c r="AZ1" s="159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16"/>
      <c r="E3" s="116"/>
      <c r="F3" s="115"/>
      <c r="G3" s="117"/>
      <c r="H3" s="115"/>
      <c r="I3" s="117"/>
      <c r="J3" s="117"/>
      <c r="K3" s="117"/>
      <c r="L3" s="115"/>
      <c r="M3" s="117"/>
      <c r="N3" s="115"/>
      <c r="O3" s="128"/>
      <c r="P3" s="140"/>
      <c r="Q3" s="160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4"/>
      <c r="AD3" s="180"/>
      <c r="AE3" s="170"/>
      <c r="AF3" s="170"/>
      <c r="AG3" s="170"/>
      <c r="AH3" s="170"/>
      <c r="AI3" s="179"/>
    </row>
    <row r="4" spans="1:52" ht="42" customHeight="1">
      <c r="A4" s="25"/>
      <c r="B4" s="25"/>
      <c r="C4" s="118"/>
      <c r="D4" s="222" t="s">
        <v>175</v>
      </c>
      <c r="E4" s="223"/>
      <c r="F4" s="35" t="s">
        <v>89</v>
      </c>
      <c r="G4" s="119"/>
      <c r="H4" s="35" t="s">
        <v>106</v>
      </c>
      <c r="I4" s="120"/>
      <c r="J4" s="121"/>
      <c r="K4" s="122"/>
      <c r="L4" s="28" t="s">
        <v>93</v>
      </c>
      <c r="M4" s="123"/>
      <c r="N4" s="28" t="s">
        <v>94</v>
      </c>
      <c r="O4" s="141"/>
      <c r="P4" s="140"/>
      <c r="Q4" s="165"/>
      <c r="R4" s="159" t="s">
        <v>88</v>
      </c>
      <c r="S4" s="180"/>
      <c r="T4" s="39" t="s">
        <v>79</v>
      </c>
      <c r="U4" s="180"/>
      <c r="V4" s="39" t="s">
        <v>102</v>
      </c>
      <c r="W4" s="180"/>
      <c r="X4" s="39" t="s">
        <v>192</v>
      </c>
      <c r="Y4" s="180"/>
      <c r="Z4" s="39" t="s">
        <v>80</v>
      </c>
      <c r="AA4" s="180"/>
      <c r="AB4" s="39" t="s">
        <v>81</v>
      </c>
      <c r="AC4" s="184"/>
      <c r="AD4" s="180"/>
      <c r="AE4" s="170"/>
      <c r="AF4" s="170"/>
      <c r="AG4" s="170"/>
      <c r="AH4" s="170"/>
      <c r="AI4" s="179"/>
    </row>
    <row r="5" spans="1:52" ht="10" customHeight="1" thickBot="1">
      <c r="A5" s="25"/>
      <c r="B5" s="25"/>
      <c r="C5" s="118"/>
      <c r="D5" s="124"/>
      <c r="E5" s="124"/>
      <c r="F5" s="125"/>
      <c r="G5" s="126"/>
      <c r="H5" s="125"/>
      <c r="I5" s="126"/>
      <c r="J5" s="126"/>
      <c r="K5" s="126"/>
      <c r="L5" s="125"/>
      <c r="M5" s="126"/>
      <c r="N5" s="127"/>
      <c r="O5" s="49"/>
      <c r="P5" s="140"/>
      <c r="Q5" s="177"/>
      <c r="R5" s="183"/>
      <c r="S5" s="178"/>
      <c r="T5" s="183"/>
      <c r="U5" s="178"/>
      <c r="V5" s="183"/>
      <c r="W5" s="178"/>
      <c r="X5" s="183"/>
      <c r="Y5" s="178"/>
      <c r="Z5" s="183"/>
      <c r="AA5" s="178"/>
      <c r="AB5" s="183"/>
      <c r="AC5" s="185"/>
      <c r="AD5" s="180"/>
      <c r="AE5" s="170"/>
      <c r="AF5" s="170"/>
      <c r="AG5" s="170"/>
      <c r="AH5" s="170"/>
      <c r="AI5" s="179"/>
    </row>
    <row r="6" spans="1:52" ht="10" customHeight="1" thickTop="1" thickBot="1">
      <c r="A6" s="25"/>
      <c r="B6" s="25"/>
      <c r="C6" s="128"/>
      <c r="D6" s="116"/>
      <c r="E6" s="116"/>
      <c r="F6" s="117"/>
      <c r="G6" s="117"/>
      <c r="H6" s="117"/>
      <c r="I6" s="117"/>
      <c r="J6" s="117"/>
      <c r="K6" s="117"/>
      <c r="L6" s="117"/>
      <c r="M6" s="117"/>
      <c r="N6" s="117"/>
      <c r="O6" s="128"/>
      <c r="P6" s="142"/>
      <c r="Q6" s="181"/>
      <c r="R6" s="181"/>
      <c r="S6" s="181"/>
      <c r="T6" s="181"/>
      <c r="U6" s="181"/>
      <c r="V6" s="181"/>
      <c r="W6" s="181"/>
      <c r="X6" s="181"/>
      <c r="Y6" s="181"/>
      <c r="Z6" s="181"/>
      <c r="AA6" s="181"/>
      <c r="AB6" s="181"/>
      <c r="AC6" s="181"/>
      <c r="AD6" s="170"/>
      <c r="AE6" s="170"/>
      <c r="AF6" s="170"/>
      <c r="AG6" s="170"/>
      <c r="AH6" s="170"/>
      <c r="AI6" s="179"/>
    </row>
    <row r="7" spans="1:52" ht="10" customHeight="1" thickTop="1">
      <c r="A7" s="25"/>
      <c r="B7" s="25"/>
      <c r="C7" s="51"/>
      <c r="D7" s="130"/>
      <c r="E7" s="131"/>
      <c r="F7" s="129"/>
      <c r="G7" s="131"/>
      <c r="H7" s="129"/>
      <c r="I7" s="131"/>
      <c r="J7" s="129"/>
      <c r="K7" s="131"/>
      <c r="L7" s="129"/>
      <c r="M7" s="131"/>
      <c r="N7" s="131"/>
      <c r="O7" s="131"/>
      <c r="P7" s="140"/>
      <c r="Q7" s="160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4"/>
      <c r="AD7" s="180"/>
      <c r="AE7" s="170"/>
      <c r="AF7" s="170"/>
      <c r="AG7" s="170"/>
      <c r="AH7" s="170"/>
      <c r="AI7" s="179"/>
    </row>
    <row r="8" spans="1:52" ht="26" customHeight="1">
      <c r="A8" s="25"/>
      <c r="B8" s="25"/>
      <c r="C8" s="132"/>
      <c r="D8" s="133" t="s">
        <v>298</v>
      </c>
      <c r="E8" s="134"/>
      <c r="F8" s="33"/>
      <c r="G8" s="135"/>
      <c r="H8" s="112"/>
      <c r="I8" s="135"/>
      <c r="J8" s="113"/>
      <c r="K8" s="135"/>
      <c r="L8" s="114"/>
      <c r="M8" s="120"/>
      <c r="N8" s="126"/>
      <c r="O8" s="139"/>
      <c r="P8" s="140"/>
      <c r="Q8" s="165"/>
      <c r="R8" s="159" t="s">
        <v>99</v>
      </c>
      <c r="S8" s="180"/>
      <c r="T8" s="31" t="s">
        <v>83</v>
      </c>
      <c r="U8" s="180"/>
      <c r="V8" s="31" t="s">
        <v>84</v>
      </c>
      <c r="W8" s="180"/>
      <c r="X8" s="31" t="s">
        <v>85</v>
      </c>
      <c r="Y8" s="180"/>
      <c r="Z8" s="31" t="s">
        <v>86</v>
      </c>
      <c r="AA8" s="180"/>
      <c r="AB8" s="24" t="s">
        <v>87</v>
      </c>
      <c r="AC8" s="184"/>
      <c r="AD8" s="180"/>
      <c r="AE8" s="170"/>
      <c r="AF8" s="170"/>
      <c r="AG8" s="170"/>
      <c r="AH8" s="170"/>
      <c r="AI8" s="179"/>
    </row>
    <row r="9" spans="1:52" ht="10" customHeight="1" thickBot="1">
      <c r="A9" s="25"/>
      <c r="B9" s="25"/>
      <c r="C9" s="118"/>
      <c r="D9" s="136"/>
      <c r="E9" s="124"/>
      <c r="F9" s="125"/>
      <c r="G9" s="126"/>
      <c r="H9" s="125"/>
      <c r="I9" s="126"/>
      <c r="J9" s="125"/>
      <c r="K9" s="126"/>
      <c r="L9" s="125"/>
      <c r="M9" s="126"/>
      <c r="N9" s="137"/>
      <c r="O9" s="49"/>
      <c r="P9" s="140"/>
      <c r="Q9" s="177"/>
      <c r="R9" s="183"/>
      <c r="S9" s="178"/>
      <c r="T9" s="183"/>
      <c r="U9" s="178"/>
      <c r="V9" s="183"/>
      <c r="W9" s="178"/>
      <c r="X9" s="183"/>
      <c r="Y9" s="178"/>
      <c r="Z9" s="183"/>
      <c r="AA9" s="178"/>
      <c r="AB9" s="183"/>
      <c r="AC9" s="185"/>
      <c r="AD9" s="180"/>
      <c r="AE9" s="170"/>
      <c r="AF9" s="170"/>
      <c r="AG9" s="170"/>
      <c r="AH9" s="170"/>
      <c r="AI9" s="179"/>
    </row>
    <row r="10" spans="1:52" ht="10" customHeight="1" thickTop="1" thickBot="1">
      <c r="A10" s="25"/>
      <c r="B10" s="25"/>
      <c r="C10" s="131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1"/>
      <c r="P10" s="142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70"/>
      <c r="AE10" s="170"/>
      <c r="AF10" s="170"/>
      <c r="AG10" s="170"/>
      <c r="AH10" s="170"/>
      <c r="AI10" s="179"/>
    </row>
    <row r="11" spans="1:52" ht="10" customHeight="1" thickTop="1">
      <c r="A11" s="25"/>
      <c r="B11" s="25" t="s">
        <v>95</v>
      </c>
      <c r="C11" s="160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2"/>
      <c r="O11" s="164"/>
      <c r="P11" s="143"/>
      <c r="Q11" s="160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3"/>
      <c r="AE11" s="163"/>
      <c r="AF11" s="163"/>
      <c r="AG11" s="163"/>
      <c r="AH11" s="163"/>
      <c r="AI11" s="164"/>
    </row>
    <row r="12" spans="1:52" ht="15" customHeight="1">
      <c r="A12" s="25"/>
      <c r="B12" s="25"/>
      <c r="C12" s="165"/>
      <c r="D12" s="224" t="s">
        <v>68</v>
      </c>
      <c r="E12" s="224"/>
      <c r="F12" s="224"/>
      <c r="G12" s="224"/>
      <c r="H12" s="224"/>
      <c r="I12" s="224"/>
      <c r="J12" s="224"/>
      <c r="K12" s="224"/>
      <c r="L12" s="224"/>
      <c r="M12" s="225"/>
      <c r="N12" s="226"/>
      <c r="O12" s="169"/>
      <c r="P12" s="143"/>
      <c r="Q12" s="165"/>
      <c r="R12" s="209" t="s">
        <v>69</v>
      </c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10"/>
      <c r="AH12" s="211"/>
      <c r="AI12" s="184"/>
    </row>
    <row r="13" spans="1:52">
      <c r="A13" s="25"/>
      <c r="B13" s="25"/>
      <c r="C13" s="165"/>
      <c r="D13" s="166"/>
      <c r="E13" s="170"/>
      <c r="F13" s="166"/>
      <c r="G13" s="170"/>
      <c r="H13" s="166"/>
      <c r="I13" s="170"/>
      <c r="J13" s="166"/>
      <c r="K13" s="170"/>
      <c r="L13" s="166"/>
      <c r="M13" s="170"/>
      <c r="N13" s="166"/>
      <c r="O13" s="169"/>
      <c r="P13" s="143"/>
      <c r="Q13" s="165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69"/>
    </row>
    <row r="14" spans="1:52" ht="42" customHeight="1">
      <c r="A14" s="25"/>
      <c r="B14" s="25"/>
      <c r="C14" s="172"/>
      <c r="D14" s="186" t="s">
        <v>474</v>
      </c>
      <c r="E14" s="174"/>
      <c r="F14" s="186" t="s">
        <v>461</v>
      </c>
      <c r="G14" s="174"/>
      <c r="H14" s="186" t="s">
        <v>462</v>
      </c>
      <c r="I14" s="174"/>
      <c r="J14" s="186" t="s">
        <v>476</v>
      </c>
      <c r="K14" s="174"/>
      <c r="L14" s="186" t="s">
        <v>463</v>
      </c>
      <c r="M14" s="174"/>
      <c r="N14" s="186" t="s">
        <v>464</v>
      </c>
      <c r="O14" s="175"/>
      <c r="P14" s="143"/>
      <c r="Q14" s="165"/>
      <c r="R14" s="159" t="s">
        <v>321</v>
      </c>
      <c r="S14" s="180"/>
      <c r="T14" s="29" t="s">
        <v>72</v>
      </c>
      <c r="U14" s="180"/>
      <c r="V14" s="29" t="s">
        <v>70</v>
      </c>
      <c r="W14" s="180"/>
      <c r="X14" s="29" t="s">
        <v>73</v>
      </c>
      <c r="Y14" s="180"/>
      <c r="Z14" s="29" t="s">
        <v>74</v>
      </c>
      <c r="AA14" s="180"/>
      <c r="AB14" s="29" t="s">
        <v>71</v>
      </c>
      <c r="AC14" s="180"/>
      <c r="AD14" s="170"/>
      <c r="AE14" s="170"/>
      <c r="AF14" s="212" t="s">
        <v>299</v>
      </c>
      <c r="AG14" s="213"/>
      <c r="AH14" s="214"/>
      <c r="AI14" s="184"/>
    </row>
    <row r="15" spans="1:52" ht="10" customHeight="1">
      <c r="A15" s="25"/>
      <c r="B15" s="25"/>
      <c r="C15" s="165"/>
      <c r="D15" s="173"/>
      <c r="E15" s="170"/>
      <c r="F15" s="173"/>
      <c r="G15" s="170"/>
      <c r="H15" s="173"/>
      <c r="I15" s="170"/>
      <c r="J15" s="173"/>
      <c r="K15" s="170"/>
      <c r="L15" s="173"/>
      <c r="M15" s="170"/>
      <c r="N15" s="173"/>
      <c r="O15" s="169"/>
      <c r="P15" s="143"/>
      <c r="Q15" s="165"/>
      <c r="R15" s="181"/>
      <c r="S15" s="170"/>
      <c r="T15" s="181"/>
      <c r="U15" s="170"/>
      <c r="V15" s="181"/>
      <c r="W15" s="170"/>
      <c r="X15" s="181"/>
      <c r="Y15" s="170"/>
      <c r="Z15" s="181"/>
      <c r="AA15" s="170"/>
      <c r="AB15" s="181"/>
      <c r="AC15" s="170"/>
      <c r="AD15" s="170"/>
      <c r="AE15" s="170"/>
      <c r="AF15" s="181"/>
      <c r="AG15" s="181"/>
      <c r="AH15" s="181"/>
      <c r="AI15" s="169"/>
    </row>
    <row r="16" spans="1:52" ht="42" customHeight="1">
      <c r="A16" s="25"/>
      <c r="B16" s="25"/>
      <c r="C16" s="172"/>
      <c r="D16" s="186" t="s">
        <v>477</v>
      </c>
      <c r="E16" s="174"/>
      <c r="F16" s="186" t="s">
        <v>465</v>
      </c>
      <c r="G16" s="174"/>
      <c r="H16" s="186" t="s">
        <v>471</v>
      </c>
      <c r="I16" s="174"/>
      <c r="J16" s="186" t="s">
        <v>473</v>
      </c>
      <c r="K16" s="174"/>
      <c r="L16" s="186" t="s">
        <v>466</v>
      </c>
      <c r="M16" s="174"/>
      <c r="N16" s="186" t="s">
        <v>467</v>
      </c>
      <c r="O16" s="175"/>
      <c r="P16" s="143"/>
      <c r="Q16" s="165"/>
      <c r="R16" s="159" t="s">
        <v>276</v>
      </c>
      <c r="S16" s="180"/>
      <c r="T16" s="29" t="s">
        <v>75</v>
      </c>
      <c r="U16" s="180"/>
      <c r="V16" s="29" t="s">
        <v>76</v>
      </c>
      <c r="W16" s="180"/>
      <c r="X16" s="29" t="s">
        <v>96</v>
      </c>
      <c r="Y16" s="180"/>
      <c r="Z16" s="170"/>
      <c r="AA16" s="170"/>
      <c r="AB16" s="170"/>
      <c r="AC16" s="170"/>
      <c r="AD16" s="159" t="s">
        <v>277</v>
      </c>
      <c r="AE16" s="180"/>
      <c r="AF16" s="29" t="s">
        <v>75</v>
      </c>
      <c r="AG16" s="180"/>
      <c r="AH16" s="29" t="s">
        <v>76</v>
      </c>
      <c r="AI16" s="184"/>
    </row>
    <row r="17" spans="1:35" ht="10" customHeight="1">
      <c r="A17" s="25"/>
      <c r="B17" s="25"/>
      <c r="C17" s="165"/>
      <c r="D17" s="173"/>
      <c r="E17" s="170"/>
      <c r="F17" s="173"/>
      <c r="G17" s="170"/>
      <c r="H17" s="173"/>
      <c r="I17" s="170"/>
      <c r="J17" s="173"/>
      <c r="K17" s="170"/>
      <c r="L17" s="173"/>
      <c r="M17" s="170"/>
      <c r="N17" s="173"/>
      <c r="O17" s="169"/>
      <c r="P17" s="143"/>
      <c r="Q17" s="165"/>
      <c r="R17" s="181"/>
      <c r="S17" s="170"/>
      <c r="T17" s="181"/>
      <c r="U17" s="170"/>
      <c r="V17" s="181"/>
      <c r="W17" s="170"/>
      <c r="X17" s="181"/>
      <c r="Y17" s="170"/>
      <c r="Z17" s="170"/>
      <c r="AA17" s="170"/>
      <c r="AB17" s="170"/>
      <c r="AC17" s="170"/>
      <c r="AD17" s="181"/>
      <c r="AE17" s="170"/>
      <c r="AF17" s="181"/>
      <c r="AG17" s="170"/>
      <c r="AH17" s="181"/>
      <c r="AI17" s="169"/>
    </row>
    <row r="18" spans="1:35" ht="42" customHeight="1">
      <c r="A18" s="25"/>
      <c r="B18" s="25"/>
      <c r="C18" s="172"/>
      <c r="D18" s="186" t="s">
        <v>478</v>
      </c>
      <c r="E18" s="174"/>
      <c r="F18" s="186" t="s">
        <v>479</v>
      </c>
      <c r="G18" s="174"/>
      <c r="H18" s="186" t="s">
        <v>480</v>
      </c>
      <c r="I18" s="174"/>
      <c r="J18" s="186" t="s">
        <v>482</v>
      </c>
      <c r="K18" s="174"/>
      <c r="L18" s="186" t="s">
        <v>483</v>
      </c>
      <c r="M18" s="174"/>
      <c r="N18" s="186" t="s">
        <v>484</v>
      </c>
      <c r="O18" s="175"/>
      <c r="P18" s="143"/>
      <c r="Q18" s="165"/>
      <c r="R18" s="159" t="s">
        <v>176</v>
      </c>
      <c r="S18" s="180"/>
      <c r="T18" s="29" t="s">
        <v>177</v>
      </c>
      <c r="U18" s="180"/>
      <c r="V18" s="29" t="s">
        <v>178</v>
      </c>
      <c r="W18" s="180"/>
      <c r="X18" s="29" t="s">
        <v>179</v>
      </c>
      <c r="Y18" s="180"/>
      <c r="Z18" s="29" t="s">
        <v>180</v>
      </c>
      <c r="AA18" s="180"/>
      <c r="AB18" s="29" t="s">
        <v>60</v>
      </c>
      <c r="AC18" s="180"/>
      <c r="AD18" s="29" t="s">
        <v>77</v>
      </c>
      <c r="AE18" s="180"/>
      <c r="AF18" s="29" t="s">
        <v>273</v>
      </c>
      <c r="AG18" s="180"/>
      <c r="AH18" s="170"/>
      <c r="AI18" s="169"/>
    </row>
    <row r="19" spans="1:35" s="25" customFormat="1" ht="10" customHeight="1">
      <c r="C19" s="165"/>
      <c r="D19" s="173"/>
      <c r="E19" s="170"/>
      <c r="F19" s="173"/>
      <c r="G19" s="170"/>
      <c r="H19" s="173"/>
      <c r="I19" s="170"/>
      <c r="J19" s="173"/>
      <c r="K19" s="170"/>
      <c r="L19" s="173"/>
      <c r="M19" s="170"/>
      <c r="N19" s="173"/>
      <c r="O19" s="169"/>
      <c r="P19" s="143"/>
      <c r="Q19" s="165"/>
      <c r="R19" s="181"/>
      <c r="S19" s="170"/>
      <c r="T19" s="181"/>
      <c r="U19" s="170"/>
      <c r="V19" s="181"/>
      <c r="W19" s="170"/>
      <c r="X19" s="181"/>
      <c r="Y19" s="170"/>
      <c r="Z19" s="181"/>
      <c r="AA19" s="170"/>
      <c r="AB19" s="181"/>
      <c r="AC19" s="170"/>
      <c r="AD19" s="181"/>
      <c r="AE19" s="170"/>
      <c r="AF19" s="181"/>
      <c r="AG19" s="170"/>
      <c r="AH19" s="170"/>
      <c r="AI19" s="169"/>
    </row>
    <row r="20" spans="1:35" ht="42" customHeight="1">
      <c r="A20" s="25"/>
      <c r="B20" s="25"/>
      <c r="C20" s="172"/>
      <c r="D20" s="186" t="s">
        <v>485</v>
      </c>
      <c r="E20" s="174"/>
      <c r="F20" s="186" t="s">
        <v>487</v>
      </c>
      <c r="G20" s="174"/>
      <c r="H20" s="186" t="s">
        <v>489</v>
      </c>
      <c r="I20" s="174"/>
      <c r="J20" s="186">
        <v>22</v>
      </c>
      <c r="K20" s="174"/>
      <c r="L20" s="187" t="s">
        <v>92</v>
      </c>
      <c r="M20" s="174"/>
      <c r="N20" s="187" t="s">
        <v>82</v>
      </c>
      <c r="O20" s="171"/>
      <c r="P20" s="143"/>
      <c r="Q20" s="165"/>
      <c r="R20" s="159" t="s">
        <v>116</v>
      </c>
      <c r="S20" s="180"/>
      <c r="T20" s="30" t="s">
        <v>210</v>
      </c>
      <c r="U20" s="180"/>
      <c r="V20" s="30" t="s">
        <v>211</v>
      </c>
      <c r="W20" s="180"/>
      <c r="X20" s="159" t="s">
        <v>205</v>
      </c>
      <c r="Y20" s="180"/>
      <c r="Z20" s="30" t="s">
        <v>206</v>
      </c>
      <c r="AA20" s="180"/>
      <c r="AB20" s="30" t="s">
        <v>207</v>
      </c>
      <c r="AC20" s="180"/>
      <c r="AD20" s="30" t="s">
        <v>208</v>
      </c>
      <c r="AE20" s="180"/>
      <c r="AF20" s="30" t="s">
        <v>209</v>
      </c>
      <c r="AG20" s="180"/>
      <c r="AH20" s="30" t="s">
        <v>135</v>
      </c>
      <c r="AI20" s="184"/>
    </row>
    <row r="21" spans="1:35" ht="10" customHeight="1" thickBot="1">
      <c r="A21" s="25"/>
      <c r="B21" s="25"/>
      <c r="C21" s="165"/>
      <c r="D21" s="176"/>
      <c r="E21" s="170"/>
      <c r="F21" s="176"/>
      <c r="G21" s="170"/>
      <c r="H21" s="176"/>
      <c r="I21" s="170"/>
      <c r="J21" s="176"/>
      <c r="K21" s="170"/>
      <c r="L21" s="176"/>
      <c r="M21" s="170"/>
      <c r="N21" s="188"/>
      <c r="O21" s="161"/>
      <c r="P21" s="144"/>
      <c r="Q21" s="177"/>
      <c r="R21" s="183"/>
      <c r="S21" s="178"/>
      <c r="T21" s="183"/>
      <c r="U21" s="178"/>
      <c r="V21" s="183"/>
      <c r="W21" s="178"/>
      <c r="X21" s="183"/>
      <c r="Y21" s="178"/>
      <c r="Z21" s="183"/>
      <c r="AA21" s="178"/>
      <c r="AB21" s="183"/>
      <c r="AC21" s="178"/>
      <c r="AD21" s="183"/>
      <c r="AE21" s="178"/>
      <c r="AF21" s="183"/>
      <c r="AG21" s="178"/>
      <c r="AH21" s="183"/>
      <c r="AI21" s="185"/>
    </row>
    <row r="22" spans="1:35" ht="10" customHeight="1" thickTop="1" thickBot="1">
      <c r="A22" s="25"/>
      <c r="B22" s="25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82"/>
      <c r="P22" s="25"/>
    </row>
    <row r="23" spans="1:35" ht="10" customHeight="1" thickTop="1">
      <c r="A23" s="25"/>
      <c r="B23" s="25"/>
      <c r="C23" s="160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2"/>
      <c r="O23" s="164"/>
      <c r="P23" s="25"/>
    </row>
    <row r="24" spans="1:35" ht="15" customHeight="1">
      <c r="A24" s="25"/>
      <c r="B24" s="25"/>
      <c r="C24" s="165"/>
      <c r="D24" s="215" t="s">
        <v>90</v>
      </c>
      <c r="E24" s="215"/>
      <c r="F24" s="215"/>
      <c r="G24" s="215"/>
      <c r="H24" s="215"/>
      <c r="I24" s="215"/>
      <c r="J24" s="215"/>
      <c r="K24" s="215"/>
      <c r="L24" s="215"/>
      <c r="M24" s="216"/>
      <c r="N24" s="217"/>
      <c r="O24" s="169"/>
      <c r="P24" s="25"/>
    </row>
    <row r="25" spans="1:35" s="25" customFormat="1" ht="10" customHeight="1">
      <c r="C25" s="165"/>
      <c r="D25" s="167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69"/>
    </row>
    <row r="26" spans="1:35" ht="15" customHeight="1">
      <c r="A26" s="25"/>
      <c r="B26" s="25"/>
      <c r="C26" s="189"/>
      <c r="D26" s="190" t="s">
        <v>91</v>
      </c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69"/>
      <c r="P26" s="25"/>
      <c r="T26" s="25" t="s">
        <v>117</v>
      </c>
    </row>
    <row r="27" spans="1:35" ht="10" customHeight="1">
      <c r="A27" s="25"/>
      <c r="B27" s="25"/>
      <c r="C27" s="165"/>
      <c r="D27" s="170"/>
      <c r="E27" s="170"/>
      <c r="F27" s="167"/>
      <c r="G27" s="170"/>
      <c r="H27" s="166"/>
      <c r="I27" s="170"/>
      <c r="J27" s="166"/>
      <c r="K27" s="170"/>
      <c r="L27" s="166"/>
      <c r="M27" s="170"/>
      <c r="N27" s="166"/>
      <c r="O27" s="169"/>
      <c r="P27" s="25"/>
    </row>
    <row r="28" spans="1:35" ht="42" customHeight="1">
      <c r="A28" s="25"/>
      <c r="B28" s="25"/>
      <c r="C28" s="165"/>
      <c r="D28" s="218">
        <v>3.0517144791666666E-2</v>
      </c>
      <c r="E28" s="219"/>
      <c r="F28" s="220"/>
      <c r="G28" s="191"/>
      <c r="H28" s="192" t="s">
        <v>62</v>
      </c>
      <c r="I28" s="174"/>
      <c r="J28" s="193" t="s">
        <v>61</v>
      </c>
      <c r="K28" s="174"/>
      <c r="L28" s="192" t="s">
        <v>169</v>
      </c>
      <c r="M28" s="174"/>
      <c r="N28" s="194" t="s">
        <v>63</v>
      </c>
      <c r="O28" s="171"/>
      <c r="P28" s="25"/>
      <c r="R28" s="25" t="s">
        <v>117</v>
      </c>
    </row>
    <row r="29" spans="1:35" ht="90" customHeight="1" thickBot="1">
      <c r="A29" s="25"/>
      <c r="B29" s="25"/>
      <c r="C29" s="165"/>
      <c r="D29" s="170"/>
      <c r="E29" s="170"/>
      <c r="F29" s="170"/>
      <c r="G29" s="170"/>
      <c r="H29" s="176"/>
      <c r="I29" s="170"/>
      <c r="J29" s="176"/>
      <c r="K29" s="170"/>
      <c r="L29" s="176"/>
      <c r="M29" s="170"/>
      <c r="N29" s="188"/>
      <c r="O29" s="161"/>
      <c r="P29" s="25"/>
    </row>
    <row r="30" spans="1:35" ht="106" customHeight="1" thickTop="1">
      <c r="A30" s="25"/>
      <c r="B30" s="25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82"/>
      <c r="P30" s="25"/>
    </row>
    <row r="31" spans="1:35" ht="10" customHeight="1">
      <c r="A31" s="25"/>
      <c r="B31" s="25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9"/>
      <c r="P31" s="25"/>
    </row>
    <row r="32" spans="1:35" ht="10" customHeight="1">
      <c r="A32" s="25"/>
      <c r="B32" s="25"/>
      <c r="C32" s="121"/>
      <c r="D32" s="124"/>
      <c r="E32" s="124"/>
      <c r="F32" s="126"/>
      <c r="G32" s="126"/>
      <c r="H32" s="126"/>
      <c r="I32" s="126"/>
      <c r="J32" s="126"/>
      <c r="K32" s="126"/>
      <c r="L32" s="126"/>
      <c r="M32" s="126"/>
      <c r="N32" s="126"/>
      <c r="O32" s="145"/>
      <c r="P32" s="25"/>
    </row>
    <row r="33" spans="1:21" ht="10" customHeight="1">
      <c r="A33" s="25"/>
      <c r="B33" s="25"/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M33" s="170"/>
      <c r="N33" s="170"/>
      <c r="O33" s="179"/>
      <c r="P33" s="25"/>
    </row>
    <row r="34" spans="1:21" ht="15" customHeight="1">
      <c r="A34" s="25"/>
      <c r="B34" s="25"/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79"/>
      <c r="P34" s="25"/>
    </row>
    <row r="35" spans="1:21" ht="13" customHeight="1">
      <c r="A35" s="25"/>
      <c r="B35" s="25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9"/>
      <c r="P35" s="25"/>
    </row>
    <row r="36" spans="1:21" ht="42" customHeight="1">
      <c r="A36" s="25"/>
      <c r="B36" s="25"/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79"/>
      <c r="P36" s="25"/>
    </row>
    <row r="37" spans="1:21" ht="10" customHeight="1">
      <c r="A37" s="25"/>
      <c r="B37" s="25"/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70"/>
      <c r="N37" s="170"/>
      <c r="O37" s="179"/>
      <c r="P37" s="25"/>
    </row>
    <row r="38" spans="1:21" ht="42" customHeight="1">
      <c r="A38" s="25"/>
      <c r="B38" s="25"/>
      <c r="C38" s="170"/>
      <c r="D38" s="170"/>
      <c r="E38" s="170"/>
      <c r="F38" s="170"/>
      <c r="G38" s="170"/>
      <c r="H38" s="170"/>
      <c r="I38" s="170"/>
      <c r="J38" s="170"/>
      <c r="K38" s="170"/>
      <c r="L38" s="170"/>
      <c r="M38" s="170"/>
      <c r="N38" s="170"/>
      <c r="O38" s="179"/>
      <c r="P38" s="25"/>
    </row>
    <row r="39" spans="1:21" ht="10" customHeight="1">
      <c r="A39" s="25"/>
      <c r="B39" s="25"/>
      <c r="C39" s="170"/>
      <c r="D39" s="170"/>
      <c r="E39" s="170"/>
      <c r="F39" s="170"/>
      <c r="G39" s="170"/>
      <c r="H39" s="170"/>
      <c r="I39" s="170"/>
      <c r="J39" s="170"/>
      <c r="K39" s="170"/>
      <c r="L39" s="170"/>
      <c r="M39" s="170"/>
      <c r="N39" s="170"/>
      <c r="O39" s="179"/>
      <c r="P39" s="25"/>
    </row>
    <row r="40" spans="1:21" ht="42" customHeight="1">
      <c r="A40" s="25"/>
      <c r="B40" s="25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9"/>
      <c r="P40" s="25"/>
      <c r="R40" s="26"/>
      <c r="S40" s="26"/>
    </row>
    <row r="41" spans="1:21" ht="10" customHeight="1">
      <c r="A41" s="25"/>
      <c r="B41" s="25"/>
      <c r="C41" s="170"/>
      <c r="D41" s="170"/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9"/>
      <c r="P41" s="25"/>
      <c r="R41" s="26"/>
      <c r="S41" s="26"/>
    </row>
    <row r="42" spans="1:21" ht="42" customHeight="1">
      <c r="A42" s="25"/>
      <c r="B42" s="25"/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M42" s="170"/>
      <c r="N42" s="170"/>
      <c r="O42" s="179"/>
      <c r="P42" s="25"/>
    </row>
    <row r="43" spans="1:21" s="25" customFormat="1" ht="10" customHeight="1">
      <c r="C43" s="170"/>
      <c r="D43" s="170"/>
      <c r="E43" s="170"/>
      <c r="F43" s="170"/>
      <c r="G43" s="170"/>
      <c r="H43" s="170"/>
      <c r="I43" s="170"/>
      <c r="J43" s="170"/>
      <c r="K43" s="170"/>
      <c r="L43" s="170"/>
      <c r="M43" s="170"/>
      <c r="N43" s="170"/>
      <c r="O43" s="179"/>
    </row>
    <row r="44" spans="1:21" ht="10" customHeight="1">
      <c r="A44" s="25"/>
      <c r="B44" s="25"/>
      <c r="C44" s="121"/>
      <c r="D44" s="124"/>
      <c r="E44" s="124"/>
      <c r="F44" s="126"/>
      <c r="G44" s="126"/>
      <c r="H44" s="126"/>
      <c r="I44" s="126"/>
      <c r="J44" s="126"/>
      <c r="K44" s="126"/>
      <c r="L44" s="126"/>
      <c r="M44" s="126"/>
      <c r="N44" s="126"/>
      <c r="O44" s="145"/>
      <c r="P44" s="25"/>
    </row>
    <row r="45" spans="1:21" ht="10" customHeight="1">
      <c r="A45" s="25"/>
      <c r="B45" s="25"/>
      <c r="C45" s="170"/>
      <c r="D45" s="170"/>
      <c r="E45" s="170"/>
      <c r="F45" s="170"/>
      <c r="G45" s="170"/>
      <c r="H45" s="170"/>
      <c r="I45" s="170"/>
      <c r="J45" s="170"/>
      <c r="K45" s="170"/>
      <c r="L45" s="170"/>
      <c r="M45" s="170"/>
      <c r="N45" s="170"/>
      <c r="O45" s="179"/>
      <c r="P45" s="25"/>
      <c r="Q45" s="27"/>
      <c r="T45" s="26"/>
      <c r="U45" s="26"/>
    </row>
    <row r="46" spans="1:21" ht="15" customHeight="1">
      <c r="A46" s="25"/>
      <c r="B46" s="25"/>
      <c r="C46" s="170"/>
      <c r="D46" s="170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9"/>
      <c r="P46" s="25"/>
      <c r="U46" s="26"/>
    </row>
    <row r="47" spans="1:21" ht="11" customHeight="1">
      <c r="A47" s="25"/>
      <c r="B47" s="25"/>
      <c r="C47" s="170"/>
      <c r="D47" s="170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9"/>
      <c r="P47" s="25"/>
      <c r="U47" s="26"/>
    </row>
    <row r="48" spans="1:21">
      <c r="A48" s="25"/>
      <c r="B48" s="25"/>
      <c r="C48" s="170"/>
      <c r="D48" s="170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9"/>
      <c r="P48" s="25"/>
      <c r="Q48" s="25" t="s">
        <v>117</v>
      </c>
      <c r="U48" s="26"/>
    </row>
    <row r="49" spans="1:18" ht="6" customHeight="1">
      <c r="A49" s="25"/>
      <c r="B49" s="25"/>
      <c r="C49" s="170"/>
      <c r="D49" s="170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9"/>
      <c r="P49" s="25"/>
    </row>
    <row r="50" spans="1:18" ht="42" customHeight="1">
      <c r="A50" s="25"/>
      <c r="B50" s="25"/>
      <c r="C50" s="170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9"/>
      <c r="P50" s="25"/>
    </row>
    <row r="51" spans="1:18" ht="93" customHeight="1">
      <c r="A51" s="25"/>
      <c r="B51" s="25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8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7"/>
  <sheetViews>
    <sheetView workbookViewId="0">
      <selection activeCell="E18" sqref="E18"/>
    </sheetView>
    <sheetView tabSelected="1" topLeftCell="A376" workbookViewId="1">
      <selection activeCell="A228" sqref="A228:XFD228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1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 hidden="1">
      <c r="A2" s="111">
        <v>3.2905503113425924E-2</v>
      </c>
      <c r="B2" t="s">
        <v>97</v>
      </c>
      <c r="C2"/>
      <c r="D2"/>
      <c r="E2" t="s">
        <v>87</v>
      </c>
      <c r="F2"/>
      <c r="G2" t="s">
        <v>98</v>
      </c>
      <c r="H2"/>
      <c r="I2" s="158">
        <v>46278.680983796294</v>
      </c>
      <c r="J2" t="s">
        <v>445</v>
      </c>
      <c r="K2" t="s">
        <v>443</v>
      </c>
      <c r="L2" s="157">
        <v>46277</v>
      </c>
      <c r="M2" t="s">
        <v>442</v>
      </c>
      <c r="N2" t="s">
        <v>231</v>
      </c>
      <c r="O2" t="s">
        <v>444</v>
      </c>
      <c r="P2" t="s">
        <v>97</v>
      </c>
      <c r="Q2" t="s">
        <v>247</v>
      </c>
    </row>
    <row r="3" spans="1:17" s="25" customFormat="1" hidden="1">
      <c r="A3" s="111">
        <v>3.2905503113425924E-2</v>
      </c>
      <c r="B3" t="s">
        <v>97</v>
      </c>
      <c r="C3"/>
      <c r="D3"/>
      <c r="E3" t="s">
        <v>213</v>
      </c>
      <c r="F3" t="s">
        <v>207</v>
      </c>
      <c r="G3" t="s">
        <v>98</v>
      </c>
      <c r="H3"/>
      <c r="I3" s="158">
        <v>46278.680983796294</v>
      </c>
      <c r="J3" t="s">
        <v>445</v>
      </c>
      <c r="K3" t="s">
        <v>443</v>
      </c>
      <c r="L3" s="157">
        <v>46277</v>
      </c>
      <c r="M3" t="s">
        <v>442</v>
      </c>
      <c r="N3" t="s">
        <v>231</v>
      </c>
      <c r="O3" t="s">
        <v>444</v>
      </c>
      <c r="P3" t="s">
        <v>97</v>
      </c>
      <c r="Q3" t="s">
        <v>247</v>
      </c>
    </row>
    <row r="4" spans="1:17" s="25" customFormat="1" hidden="1">
      <c r="A4" s="111">
        <v>3.2720363819444445E-2</v>
      </c>
      <c r="B4" t="s">
        <v>97</v>
      </c>
      <c r="C4" t="s">
        <v>455</v>
      </c>
      <c r="D4"/>
      <c r="E4" t="s">
        <v>58</v>
      </c>
      <c r="F4"/>
      <c r="G4" t="s">
        <v>164</v>
      </c>
      <c r="H4"/>
      <c r="I4" s="158">
        <v>46278.680648148147</v>
      </c>
      <c r="J4" t="s">
        <v>445</v>
      </c>
      <c r="K4" t="s">
        <v>443</v>
      </c>
      <c r="L4" s="157">
        <v>46277</v>
      </c>
      <c r="M4" t="s">
        <v>442</v>
      </c>
      <c r="N4" t="s">
        <v>231</v>
      </c>
      <c r="O4" t="s">
        <v>444</v>
      </c>
      <c r="P4" t="s">
        <v>97</v>
      </c>
      <c r="Q4" t="s">
        <v>247</v>
      </c>
    </row>
    <row r="5" spans="1:17" s="25" customFormat="1" hidden="1">
      <c r="A5" s="111">
        <v>3.2662037037037038E-2</v>
      </c>
      <c r="B5" t="s">
        <v>97</v>
      </c>
      <c r="C5"/>
      <c r="D5"/>
      <c r="E5" t="s">
        <v>285</v>
      </c>
      <c r="F5"/>
      <c r="G5" t="s">
        <v>164</v>
      </c>
      <c r="H5"/>
      <c r="I5" s="158">
        <v>46278.680381944447</v>
      </c>
      <c r="J5" t="s">
        <v>445</v>
      </c>
      <c r="K5" t="s">
        <v>443</v>
      </c>
      <c r="L5" s="157">
        <v>46277</v>
      </c>
      <c r="M5" t="s">
        <v>442</v>
      </c>
      <c r="N5" t="s">
        <v>231</v>
      </c>
      <c r="O5" t="s">
        <v>444</v>
      </c>
      <c r="P5" t="s">
        <v>97</v>
      </c>
      <c r="Q5" t="s">
        <v>247</v>
      </c>
    </row>
    <row r="6" spans="1:17" s="25" customFormat="1" hidden="1">
      <c r="A6" s="111">
        <v>3.258129070601852E-2</v>
      </c>
      <c r="B6" t="s">
        <v>97</v>
      </c>
      <c r="C6"/>
      <c r="D6"/>
      <c r="E6" t="s">
        <v>105</v>
      </c>
      <c r="F6"/>
      <c r="G6" t="s">
        <v>164</v>
      </c>
      <c r="H6"/>
      <c r="I6" s="158">
        <v>46278.680381944447</v>
      </c>
      <c r="J6" t="s">
        <v>445</v>
      </c>
      <c r="K6" t="s">
        <v>443</v>
      </c>
      <c r="L6" s="157">
        <v>46277</v>
      </c>
      <c r="M6" t="s">
        <v>442</v>
      </c>
      <c r="N6" t="s">
        <v>231</v>
      </c>
      <c r="O6" t="s">
        <v>444</v>
      </c>
      <c r="P6" t="s">
        <v>97</v>
      </c>
      <c r="Q6" t="s">
        <v>247</v>
      </c>
    </row>
    <row r="7" spans="1:17" s="25" customFormat="1" hidden="1">
      <c r="A7" s="111">
        <v>3.2058119780092591E-2</v>
      </c>
      <c r="B7" t="s">
        <v>97</v>
      </c>
      <c r="C7"/>
      <c r="D7"/>
      <c r="E7" t="s">
        <v>87</v>
      </c>
      <c r="F7"/>
      <c r="G7" t="s">
        <v>164</v>
      </c>
      <c r="H7"/>
      <c r="I7" s="158">
        <v>46278.679108796299</v>
      </c>
      <c r="J7" t="s">
        <v>445</v>
      </c>
      <c r="K7" t="s">
        <v>443</v>
      </c>
      <c r="L7" s="157">
        <v>46277</v>
      </c>
      <c r="M7" t="s">
        <v>442</v>
      </c>
      <c r="N7" t="s">
        <v>231</v>
      </c>
      <c r="O7" t="s">
        <v>444</v>
      </c>
      <c r="P7" t="s">
        <v>97</v>
      </c>
      <c r="Q7" t="s">
        <v>247</v>
      </c>
    </row>
    <row r="8" spans="1:17" s="25" customFormat="1" hidden="1">
      <c r="A8" s="111">
        <v>3.2058119780092591E-2</v>
      </c>
      <c r="B8" t="s">
        <v>97</v>
      </c>
      <c r="C8" t="s">
        <v>451</v>
      </c>
      <c r="D8" t="s">
        <v>204</v>
      </c>
      <c r="E8" t="s">
        <v>214</v>
      </c>
      <c r="F8" t="s">
        <v>207</v>
      </c>
      <c r="G8" t="s">
        <v>164</v>
      </c>
      <c r="H8"/>
      <c r="I8" s="158">
        <v>46278.679108796299</v>
      </c>
      <c r="J8" t="s">
        <v>445</v>
      </c>
      <c r="K8" t="s">
        <v>443</v>
      </c>
      <c r="L8" s="157">
        <v>46277</v>
      </c>
      <c r="M8" t="s">
        <v>442</v>
      </c>
      <c r="N8" t="s">
        <v>231</v>
      </c>
      <c r="O8" t="s">
        <v>444</v>
      </c>
      <c r="P8" t="s">
        <v>97</v>
      </c>
      <c r="Q8" t="s">
        <v>247</v>
      </c>
    </row>
    <row r="9" spans="1:17" s="25" customFormat="1" hidden="1">
      <c r="A9" s="111">
        <v>3.1994403217592587E-2</v>
      </c>
      <c r="B9" t="s">
        <v>97</v>
      </c>
      <c r="C9" t="s">
        <v>475</v>
      </c>
      <c r="D9"/>
      <c r="E9" t="s">
        <v>108</v>
      </c>
      <c r="F9"/>
      <c r="G9" t="s">
        <v>164</v>
      </c>
      <c r="H9"/>
      <c r="I9" s="158">
        <v>46278.678912037038</v>
      </c>
      <c r="J9" t="s">
        <v>445</v>
      </c>
      <c r="K9" t="s">
        <v>443</v>
      </c>
      <c r="L9" s="157">
        <v>46277</v>
      </c>
      <c r="M9" t="s">
        <v>442</v>
      </c>
      <c r="N9" t="s">
        <v>231</v>
      </c>
      <c r="O9" t="s">
        <v>444</v>
      </c>
      <c r="P9" t="s">
        <v>97</v>
      </c>
      <c r="Q9" t="s">
        <v>247</v>
      </c>
    </row>
    <row r="10" spans="1:17" s="25" customFormat="1" hidden="1">
      <c r="A10" s="111">
        <v>3.1861883634259264E-2</v>
      </c>
      <c r="B10" t="s">
        <v>97</v>
      </c>
      <c r="C10" t="s">
        <v>457</v>
      </c>
      <c r="D10"/>
      <c r="E10" t="s">
        <v>108</v>
      </c>
      <c r="F10"/>
      <c r="G10" t="s">
        <v>164</v>
      </c>
      <c r="H10"/>
      <c r="I10" s="158">
        <v>46278.678391203706</v>
      </c>
      <c r="J10" t="s">
        <v>445</v>
      </c>
      <c r="K10" t="s">
        <v>443</v>
      </c>
      <c r="L10" s="157">
        <v>46277</v>
      </c>
      <c r="M10" t="s">
        <v>442</v>
      </c>
      <c r="N10" t="s">
        <v>231</v>
      </c>
      <c r="O10" t="s">
        <v>444</v>
      </c>
      <c r="P10" t="s">
        <v>97</v>
      </c>
      <c r="Q10" t="s">
        <v>247</v>
      </c>
    </row>
    <row r="11" spans="1:17" s="25" customFormat="1" hidden="1">
      <c r="A11" s="111">
        <v>3.1827181087962959E-2</v>
      </c>
      <c r="B11" t="s">
        <v>97</v>
      </c>
      <c r="C11" t="s">
        <v>455</v>
      </c>
      <c r="D11"/>
      <c r="E11" t="s">
        <v>108</v>
      </c>
      <c r="F11"/>
      <c r="G11" t="s">
        <v>164</v>
      </c>
      <c r="H11"/>
      <c r="I11" s="158">
        <v>46278.678287037037</v>
      </c>
      <c r="J11" t="s">
        <v>445</v>
      </c>
      <c r="K11" t="s">
        <v>443</v>
      </c>
      <c r="L11" s="157">
        <v>46277</v>
      </c>
      <c r="M11" t="s">
        <v>442</v>
      </c>
      <c r="N11" t="s">
        <v>231</v>
      </c>
      <c r="O11" t="s">
        <v>444</v>
      </c>
      <c r="P11" t="s">
        <v>97</v>
      </c>
      <c r="Q11" t="s">
        <v>247</v>
      </c>
    </row>
    <row r="12" spans="1:17" s="25" customFormat="1" hidden="1">
      <c r="A12" s="111">
        <v>3.1815510486111115E-2</v>
      </c>
      <c r="B12" t="s">
        <v>97</v>
      </c>
      <c r="C12" t="s">
        <v>469</v>
      </c>
      <c r="D12"/>
      <c r="E12" t="s">
        <v>108</v>
      </c>
      <c r="F12"/>
      <c r="G12" t="s">
        <v>164</v>
      </c>
      <c r="H12"/>
      <c r="I12" s="158">
        <v>46278.678229166668</v>
      </c>
      <c r="J12" t="s">
        <v>445</v>
      </c>
      <c r="K12" t="s">
        <v>443</v>
      </c>
      <c r="L12" s="157">
        <v>46277</v>
      </c>
      <c r="M12" t="s">
        <v>442</v>
      </c>
      <c r="N12" t="s">
        <v>231</v>
      </c>
      <c r="O12" t="s">
        <v>444</v>
      </c>
      <c r="P12" t="s">
        <v>97</v>
      </c>
      <c r="Q12" t="s">
        <v>247</v>
      </c>
    </row>
    <row r="13" spans="1:17" s="25" customFormat="1" hidden="1">
      <c r="A13" s="111">
        <v>3.1722775625000005E-2</v>
      </c>
      <c r="B13" t="s">
        <v>97</v>
      </c>
      <c r="C13" t="s">
        <v>475</v>
      </c>
      <c r="D13"/>
      <c r="E13" t="s">
        <v>108</v>
      </c>
      <c r="F13"/>
      <c r="G13" t="s">
        <v>164</v>
      </c>
      <c r="H13"/>
      <c r="I13" s="158">
        <v>46278.678043981483</v>
      </c>
      <c r="J13" t="s">
        <v>445</v>
      </c>
      <c r="K13" t="s">
        <v>443</v>
      </c>
      <c r="L13" s="157">
        <v>46277</v>
      </c>
      <c r="M13" t="s">
        <v>442</v>
      </c>
      <c r="N13" t="s">
        <v>231</v>
      </c>
      <c r="O13" t="s">
        <v>444</v>
      </c>
      <c r="P13" t="s">
        <v>97</v>
      </c>
      <c r="Q13" t="s">
        <v>247</v>
      </c>
    </row>
    <row r="14" spans="1:17" s="25" customFormat="1" hidden="1">
      <c r="A14" s="111">
        <v>3.163586616898148E-2</v>
      </c>
      <c r="B14" t="s">
        <v>97</v>
      </c>
      <c r="C14"/>
      <c r="D14"/>
      <c r="E14" t="s">
        <v>60</v>
      </c>
      <c r="F14"/>
      <c r="G14" t="s">
        <v>98</v>
      </c>
      <c r="H14"/>
      <c r="I14" s="158">
        <v>46278.677893518521</v>
      </c>
      <c r="J14" t="s">
        <v>445</v>
      </c>
      <c r="K14" t="s">
        <v>443</v>
      </c>
      <c r="L14" s="157">
        <v>46277</v>
      </c>
      <c r="M14" t="s">
        <v>442</v>
      </c>
      <c r="N14" t="s">
        <v>231</v>
      </c>
      <c r="O14" t="s">
        <v>444</v>
      </c>
      <c r="P14" t="s">
        <v>97</v>
      </c>
      <c r="Q14" t="s">
        <v>247</v>
      </c>
    </row>
    <row r="15" spans="1:17" s="25" customFormat="1" hidden="1">
      <c r="A15" s="111">
        <v>3.154911760416667E-2</v>
      </c>
      <c r="B15" t="s">
        <v>97</v>
      </c>
      <c r="C15"/>
      <c r="D15"/>
      <c r="E15" t="s">
        <v>186</v>
      </c>
      <c r="F15"/>
      <c r="G15" t="s">
        <v>98</v>
      </c>
      <c r="H15"/>
      <c r="I15" s="158">
        <v>46278.677719907406</v>
      </c>
      <c r="J15" t="s">
        <v>445</v>
      </c>
      <c r="K15" t="s">
        <v>443</v>
      </c>
      <c r="L15" s="157">
        <v>46277</v>
      </c>
      <c r="M15" t="s">
        <v>442</v>
      </c>
      <c r="N15" t="s">
        <v>231</v>
      </c>
      <c r="O15" t="s">
        <v>444</v>
      </c>
      <c r="P15" t="s">
        <v>97</v>
      </c>
      <c r="Q15" t="s">
        <v>247</v>
      </c>
    </row>
    <row r="16" spans="1:17" s="25" customFormat="1" hidden="1">
      <c r="A16" s="111">
        <v>3.1478921585648148E-2</v>
      </c>
      <c r="B16" t="s">
        <v>97</v>
      </c>
      <c r="C16"/>
      <c r="D16"/>
      <c r="E16" t="s">
        <v>101</v>
      </c>
      <c r="F16"/>
      <c r="G16" t="s">
        <v>164</v>
      </c>
      <c r="H16"/>
      <c r="I16" s="158">
        <v>46278.677615740744</v>
      </c>
      <c r="J16" t="s">
        <v>445</v>
      </c>
      <c r="K16" t="s">
        <v>443</v>
      </c>
      <c r="L16" s="157">
        <v>46277</v>
      </c>
      <c r="M16" t="s">
        <v>442</v>
      </c>
      <c r="N16" t="s">
        <v>231</v>
      </c>
      <c r="O16" t="s">
        <v>444</v>
      </c>
      <c r="P16" t="s">
        <v>97</v>
      </c>
      <c r="Q16" t="s">
        <v>247</v>
      </c>
    </row>
    <row r="17" spans="1:17" s="25" customFormat="1" hidden="1">
      <c r="A17" s="111">
        <v>3.0515943518518517E-2</v>
      </c>
      <c r="B17" t="s">
        <v>97</v>
      </c>
      <c r="C17"/>
      <c r="D17"/>
      <c r="E17" t="s">
        <v>114</v>
      </c>
      <c r="F17"/>
      <c r="G17" t="s">
        <v>98</v>
      </c>
      <c r="H17"/>
      <c r="I17" s="158">
        <v>46278.675324074073</v>
      </c>
      <c r="J17" t="s">
        <v>445</v>
      </c>
      <c r="K17" t="s">
        <v>443</v>
      </c>
      <c r="L17" s="157">
        <v>46277</v>
      </c>
      <c r="M17" t="s">
        <v>442</v>
      </c>
      <c r="N17" t="s">
        <v>231</v>
      </c>
      <c r="O17" t="s">
        <v>444</v>
      </c>
      <c r="P17" t="s">
        <v>97</v>
      </c>
      <c r="Q17" t="s">
        <v>247</v>
      </c>
    </row>
    <row r="18" spans="1:17" s="25" customFormat="1" hidden="1">
      <c r="A18" s="111">
        <v>3.0515943518518517E-2</v>
      </c>
      <c r="B18" t="s">
        <v>97</v>
      </c>
      <c r="C18"/>
      <c r="D18"/>
      <c r="E18" t="s">
        <v>316</v>
      </c>
      <c r="F18"/>
      <c r="G18" t="s">
        <v>98</v>
      </c>
      <c r="H18"/>
      <c r="I18" s="158">
        <v>46278.675324074073</v>
      </c>
      <c r="J18" t="s">
        <v>445</v>
      </c>
      <c r="K18" t="s">
        <v>443</v>
      </c>
      <c r="L18" s="157">
        <v>46277</v>
      </c>
      <c r="M18" t="s">
        <v>442</v>
      </c>
      <c r="N18" t="s">
        <v>231</v>
      </c>
      <c r="O18" t="s">
        <v>444</v>
      </c>
      <c r="P18" t="s">
        <v>97</v>
      </c>
      <c r="Q18" t="s">
        <v>247</v>
      </c>
    </row>
    <row r="19" spans="1:17" s="25" customFormat="1" hidden="1">
      <c r="A19" s="111">
        <v>3.0515943518518517E-2</v>
      </c>
      <c r="B19" t="s">
        <v>97</v>
      </c>
      <c r="C19"/>
      <c r="D19"/>
      <c r="E19" t="s">
        <v>87</v>
      </c>
      <c r="F19"/>
      <c r="G19" t="s">
        <v>98</v>
      </c>
      <c r="H19"/>
      <c r="I19" s="158">
        <v>46278.675266203703</v>
      </c>
      <c r="J19" t="s">
        <v>445</v>
      </c>
      <c r="K19" t="s">
        <v>443</v>
      </c>
      <c r="L19" s="157">
        <v>46277</v>
      </c>
      <c r="M19" t="s">
        <v>442</v>
      </c>
      <c r="N19" t="s">
        <v>231</v>
      </c>
      <c r="O19" t="s">
        <v>444</v>
      </c>
      <c r="P19" t="s">
        <v>97</v>
      </c>
      <c r="Q19" t="s">
        <v>247</v>
      </c>
    </row>
    <row r="20" spans="1:17" s="25" customFormat="1" hidden="1">
      <c r="A20" s="111">
        <v>3.0515943518518517E-2</v>
      </c>
      <c r="B20" t="s">
        <v>97</v>
      </c>
      <c r="C20"/>
      <c r="D20"/>
      <c r="E20" t="s">
        <v>213</v>
      </c>
      <c r="F20" t="s">
        <v>135</v>
      </c>
      <c r="G20" t="s">
        <v>98</v>
      </c>
      <c r="H20"/>
      <c r="I20" s="158">
        <v>46278.675266203703</v>
      </c>
      <c r="J20" t="s">
        <v>445</v>
      </c>
      <c r="K20" t="s">
        <v>443</v>
      </c>
      <c r="L20" s="157">
        <v>46277</v>
      </c>
      <c r="M20" t="s">
        <v>442</v>
      </c>
      <c r="N20" t="s">
        <v>231</v>
      </c>
      <c r="O20" t="s">
        <v>444</v>
      </c>
      <c r="P20" t="s">
        <v>97</v>
      </c>
      <c r="Q20" t="s">
        <v>247</v>
      </c>
    </row>
    <row r="21" spans="1:17" s="25" customFormat="1" hidden="1">
      <c r="A21" s="111">
        <v>3.0515943518518517E-2</v>
      </c>
      <c r="B21" t="s">
        <v>97</v>
      </c>
      <c r="C21"/>
      <c r="D21"/>
      <c r="E21" t="s">
        <v>135</v>
      </c>
      <c r="F21"/>
      <c r="G21" t="s">
        <v>98</v>
      </c>
      <c r="H21"/>
      <c r="I21" s="158">
        <v>46278.675208333334</v>
      </c>
      <c r="J21" t="s">
        <v>445</v>
      </c>
      <c r="K21" t="s">
        <v>443</v>
      </c>
      <c r="L21" s="157">
        <v>46277</v>
      </c>
      <c r="M21" t="s">
        <v>442</v>
      </c>
      <c r="N21" t="s">
        <v>231</v>
      </c>
      <c r="O21" t="s">
        <v>444</v>
      </c>
      <c r="P21" t="s">
        <v>97</v>
      </c>
      <c r="Q21" t="s">
        <v>247</v>
      </c>
    </row>
    <row r="22" spans="1:17" s="25" customFormat="1" hidden="1">
      <c r="A22" s="111">
        <v>3.0499134849537035E-2</v>
      </c>
      <c r="B22" t="s">
        <v>97</v>
      </c>
      <c r="C22"/>
      <c r="D22"/>
      <c r="E22" t="s">
        <v>59</v>
      </c>
      <c r="F22"/>
      <c r="G22" t="s">
        <v>98</v>
      </c>
      <c r="H22"/>
      <c r="I22" s="158">
        <v>46278.661678240744</v>
      </c>
      <c r="J22" t="s">
        <v>445</v>
      </c>
      <c r="K22" t="s">
        <v>443</v>
      </c>
      <c r="L22" s="157">
        <v>46277</v>
      </c>
      <c r="M22" t="s">
        <v>442</v>
      </c>
      <c r="N22" t="s">
        <v>231</v>
      </c>
      <c r="O22" t="s">
        <v>444</v>
      </c>
      <c r="P22" t="s">
        <v>97</v>
      </c>
      <c r="Q22" t="s">
        <v>247</v>
      </c>
    </row>
    <row r="23" spans="1:17" s="25" customFormat="1" hidden="1">
      <c r="A23" s="111">
        <v>3.0471019398148152E-2</v>
      </c>
      <c r="B23" t="s">
        <v>97</v>
      </c>
      <c r="C23"/>
      <c r="D23"/>
      <c r="E23" t="s">
        <v>101</v>
      </c>
      <c r="F23"/>
      <c r="G23" t="s">
        <v>98</v>
      </c>
      <c r="H23"/>
      <c r="I23" s="158">
        <v>46278.661493055559</v>
      </c>
      <c r="J23" t="s">
        <v>445</v>
      </c>
      <c r="K23" t="s">
        <v>443</v>
      </c>
      <c r="L23" s="157">
        <v>46277</v>
      </c>
      <c r="M23" t="s">
        <v>442</v>
      </c>
      <c r="N23" t="s">
        <v>231</v>
      </c>
      <c r="O23" t="s">
        <v>444</v>
      </c>
      <c r="P23" t="s">
        <v>97</v>
      </c>
      <c r="Q23" t="s">
        <v>247</v>
      </c>
    </row>
    <row r="24" spans="1:17" s="25" customFormat="1" hidden="1">
      <c r="A24" s="111">
        <v>3.0471019398148152E-2</v>
      </c>
      <c r="B24" t="s">
        <v>97</v>
      </c>
      <c r="C24"/>
      <c r="D24"/>
      <c r="E24" t="s">
        <v>87</v>
      </c>
      <c r="F24"/>
      <c r="G24" t="s">
        <v>98</v>
      </c>
      <c r="H24"/>
      <c r="I24" s="158">
        <v>46278.661469907405</v>
      </c>
      <c r="J24" t="s">
        <v>445</v>
      </c>
      <c r="K24" t="s">
        <v>443</v>
      </c>
      <c r="L24" s="157">
        <v>46277</v>
      </c>
      <c r="M24" t="s">
        <v>442</v>
      </c>
      <c r="N24" t="s">
        <v>231</v>
      </c>
      <c r="O24" t="s">
        <v>444</v>
      </c>
      <c r="P24" t="s">
        <v>97</v>
      </c>
      <c r="Q24" t="s">
        <v>247</v>
      </c>
    </row>
    <row r="25" spans="1:17" s="25" customFormat="1" hidden="1">
      <c r="A25" s="111">
        <v>3.0471019398148152E-2</v>
      </c>
      <c r="B25" t="s">
        <v>97</v>
      </c>
      <c r="C25"/>
      <c r="D25"/>
      <c r="E25" t="s">
        <v>213</v>
      </c>
      <c r="F25" t="s">
        <v>208</v>
      </c>
      <c r="G25" t="s">
        <v>98</v>
      </c>
      <c r="H25"/>
      <c r="I25" s="158">
        <v>46278.661469907405</v>
      </c>
      <c r="J25" t="s">
        <v>445</v>
      </c>
      <c r="K25" t="s">
        <v>443</v>
      </c>
      <c r="L25" s="157">
        <v>46277</v>
      </c>
      <c r="M25" t="s">
        <v>442</v>
      </c>
      <c r="N25" t="s">
        <v>231</v>
      </c>
      <c r="O25" t="s">
        <v>444</v>
      </c>
      <c r="P25" t="s">
        <v>97</v>
      </c>
      <c r="Q25" t="s">
        <v>247</v>
      </c>
    </row>
    <row r="26" spans="1:17" s="25" customFormat="1" hidden="1">
      <c r="A26" s="111">
        <v>3.0404386689814815E-2</v>
      </c>
      <c r="B26" t="s">
        <v>97</v>
      </c>
      <c r="C26"/>
      <c r="D26"/>
      <c r="E26" t="s">
        <v>108</v>
      </c>
      <c r="F26"/>
      <c r="G26" t="s">
        <v>98</v>
      </c>
      <c r="H26"/>
      <c r="I26" s="158">
        <v>46278.660763888889</v>
      </c>
      <c r="J26" t="s">
        <v>445</v>
      </c>
      <c r="K26" t="s">
        <v>443</v>
      </c>
      <c r="L26" s="157">
        <v>46277</v>
      </c>
      <c r="M26" t="s">
        <v>442</v>
      </c>
      <c r="N26" t="s">
        <v>231</v>
      </c>
      <c r="O26" t="s">
        <v>444</v>
      </c>
      <c r="P26" t="s">
        <v>97</v>
      </c>
      <c r="Q26" t="s">
        <v>247</v>
      </c>
    </row>
    <row r="27" spans="1:17" s="25" customFormat="1" hidden="1">
      <c r="A27" s="111">
        <v>3.0208782800925926E-2</v>
      </c>
      <c r="B27" t="s">
        <v>97</v>
      </c>
      <c r="C27" t="s">
        <v>468</v>
      </c>
      <c r="D27"/>
      <c r="E27" t="s">
        <v>111</v>
      </c>
      <c r="F27"/>
      <c r="G27" t="s">
        <v>98</v>
      </c>
      <c r="H27"/>
      <c r="I27" s="158">
        <v>46278.660740740743</v>
      </c>
      <c r="J27" t="s">
        <v>445</v>
      </c>
      <c r="K27" t="s">
        <v>443</v>
      </c>
      <c r="L27" s="157">
        <v>46277</v>
      </c>
      <c r="M27" t="s">
        <v>442</v>
      </c>
      <c r="N27" t="s">
        <v>231</v>
      </c>
      <c r="O27" t="s">
        <v>444</v>
      </c>
      <c r="P27" t="s">
        <v>97</v>
      </c>
      <c r="Q27" t="s">
        <v>247</v>
      </c>
    </row>
    <row r="28" spans="1:17" s="25" customFormat="1" hidden="1">
      <c r="A28" s="111">
        <v>3.0058153680555554E-2</v>
      </c>
      <c r="B28" t="s">
        <v>97</v>
      </c>
      <c r="C28"/>
      <c r="D28"/>
      <c r="E28" t="s">
        <v>104</v>
      </c>
      <c r="F28"/>
      <c r="G28" t="s">
        <v>98</v>
      </c>
      <c r="H28"/>
      <c r="I28" s="158">
        <v>46278.660393518519</v>
      </c>
      <c r="J28" t="s">
        <v>445</v>
      </c>
      <c r="K28" t="s">
        <v>443</v>
      </c>
      <c r="L28" s="157">
        <v>46277</v>
      </c>
      <c r="M28" t="s">
        <v>442</v>
      </c>
      <c r="N28" t="s">
        <v>231</v>
      </c>
      <c r="O28" t="s">
        <v>444</v>
      </c>
      <c r="P28" t="s">
        <v>97</v>
      </c>
      <c r="Q28" t="s">
        <v>247</v>
      </c>
    </row>
    <row r="29" spans="1:17" s="25" customFormat="1" hidden="1">
      <c r="A29" s="111">
        <v>2.9769179224537035E-2</v>
      </c>
      <c r="B29" t="s">
        <v>97</v>
      </c>
      <c r="C29"/>
      <c r="D29"/>
      <c r="E29" t="s">
        <v>87</v>
      </c>
      <c r="F29"/>
      <c r="G29" t="s">
        <v>164</v>
      </c>
      <c r="H29"/>
      <c r="I29" s="158">
        <v>46278.660104166665</v>
      </c>
      <c r="J29" t="s">
        <v>445</v>
      </c>
      <c r="K29" t="s">
        <v>443</v>
      </c>
      <c r="L29" s="157">
        <v>46277</v>
      </c>
      <c r="M29" t="s">
        <v>442</v>
      </c>
      <c r="N29" t="s">
        <v>231</v>
      </c>
      <c r="O29" t="s">
        <v>444</v>
      </c>
      <c r="P29" t="s">
        <v>97</v>
      </c>
      <c r="Q29" t="s">
        <v>247</v>
      </c>
    </row>
    <row r="30" spans="1:17" s="25" customFormat="1" hidden="1">
      <c r="A30" s="111">
        <v>2.975180077546296E-2</v>
      </c>
      <c r="B30" t="s">
        <v>97</v>
      </c>
      <c r="C30" t="s">
        <v>451</v>
      </c>
      <c r="D30"/>
      <c r="E30" t="s">
        <v>108</v>
      </c>
      <c r="F30"/>
      <c r="G30" t="s">
        <v>164</v>
      </c>
      <c r="H30"/>
      <c r="I30" s="158">
        <v>46278.66002314815</v>
      </c>
      <c r="J30" t="s">
        <v>445</v>
      </c>
      <c r="K30" t="s">
        <v>443</v>
      </c>
      <c r="L30" s="157">
        <v>46277</v>
      </c>
      <c r="M30" t="s">
        <v>442</v>
      </c>
      <c r="N30" t="s">
        <v>231</v>
      </c>
      <c r="O30" t="s">
        <v>444</v>
      </c>
      <c r="P30" t="s">
        <v>97</v>
      </c>
      <c r="Q30" t="s">
        <v>247</v>
      </c>
    </row>
    <row r="31" spans="1:17" s="25" customFormat="1" hidden="1">
      <c r="A31" s="111">
        <v>2.9725395995370371E-2</v>
      </c>
      <c r="B31" t="s">
        <v>97</v>
      </c>
      <c r="C31"/>
      <c r="D31"/>
      <c r="E31" t="s">
        <v>188</v>
      </c>
      <c r="F31"/>
      <c r="G31" t="s">
        <v>164</v>
      </c>
      <c r="H31"/>
      <c r="I31" s="158">
        <v>46278.659953703704</v>
      </c>
      <c r="J31" t="s">
        <v>445</v>
      </c>
      <c r="K31" t="s">
        <v>443</v>
      </c>
      <c r="L31" s="157">
        <v>46277</v>
      </c>
      <c r="M31" t="s">
        <v>442</v>
      </c>
      <c r="N31" t="s">
        <v>231</v>
      </c>
      <c r="O31" t="s">
        <v>444</v>
      </c>
      <c r="P31" t="s">
        <v>97</v>
      </c>
      <c r="Q31" t="s">
        <v>247</v>
      </c>
    </row>
    <row r="32" spans="1:17" s="25" customFormat="1" hidden="1">
      <c r="A32" s="111">
        <v>2.9666197152777778E-2</v>
      </c>
      <c r="B32" t="s">
        <v>97</v>
      </c>
      <c r="C32"/>
      <c r="D32"/>
      <c r="E32" t="s">
        <v>100</v>
      </c>
      <c r="F32"/>
      <c r="G32" t="s">
        <v>98</v>
      </c>
      <c r="H32"/>
      <c r="I32" s="158">
        <v>46278.658912037034</v>
      </c>
      <c r="J32" t="s">
        <v>445</v>
      </c>
      <c r="K32" t="s">
        <v>443</v>
      </c>
      <c r="L32" s="157">
        <v>46277</v>
      </c>
      <c r="M32" t="s">
        <v>442</v>
      </c>
      <c r="N32" t="s">
        <v>231</v>
      </c>
      <c r="O32" t="s">
        <v>444</v>
      </c>
      <c r="P32" t="s">
        <v>97</v>
      </c>
      <c r="Q32" t="s">
        <v>247</v>
      </c>
    </row>
    <row r="33" spans="1:17" s="25" customFormat="1" hidden="1">
      <c r="A33" s="111">
        <v>2.9226736944444442E-2</v>
      </c>
      <c r="B33" t="s">
        <v>97</v>
      </c>
      <c r="C33"/>
      <c r="D33"/>
      <c r="E33" t="s">
        <v>115</v>
      </c>
      <c r="F33"/>
      <c r="G33" t="s">
        <v>164</v>
      </c>
      <c r="H33"/>
      <c r="I33" s="158">
        <v>46278.658645833333</v>
      </c>
      <c r="J33" t="s">
        <v>445</v>
      </c>
      <c r="K33" t="s">
        <v>443</v>
      </c>
      <c r="L33" s="157">
        <v>46277</v>
      </c>
      <c r="M33" t="s">
        <v>442</v>
      </c>
      <c r="N33" t="s">
        <v>231</v>
      </c>
      <c r="O33" t="s">
        <v>444</v>
      </c>
      <c r="P33" t="s">
        <v>97</v>
      </c>
      <c r="Q33" t="s">
        <v>247</v>
      </c>
    </row>
    <row r="34" spans="1:17" s="25" customFormat="1" hidden="1">
      <c r="A34" s="111">
        <v>2.8649120543981485E-2</v>
      </c>
      <c r="B34" t="s">
        <v>97</v>
      </c>
      <c r="C34"/>
      <c r="D34"/>
      <c r="E34" t="s">
        <v>87</v>
      </c>
      <c r="F34"/>
      <c r="G34" t="s">
        <v>164</v>
      </c>
      <c r="H34"/>
      <c r="I34" s="158">
        <v>46278.658148148148</v>
      </c>
      <c r="J34" t="s">
        <v>445</v>
      </c>
      <c r="K34" t="s">
        <v>443</v>
      </c>
      <c r="L34" s="157">
        <v>46277</v>
      </c>
      <c r="M34" t="s">
        <v>442</v>
      </c>
      <c r="N34" t="s">
        <v>231</v>
      </c>
      <c r="O34" t="s">
        <v>444</v>
      </c>
      <c r="P34" t="s">
        <v>97</v>
      </c>
      <c r="Q34" t="s">
        <v>247</v>
      </c>
    </row>
    <row r="35" spans="1:17" s="25" customFormat="1" hidden="1">
      <c r="A35" s="111">
        <v>2.8649120543981485E-2</v>
      </c>
      <c r="B35" t="s">
        <v>97</v>
      </c>
      <c r="C35"/>
      <c r="D35"/>
      <c r="E35" t="s">
        <v>103</v>
      </c>
      <c r="F35"/>
      <c r="G35" t="s">
        <v>164</v>
      </c>
      <c r="H35"/>
      <c r="I35" s="158">
        <v>46278.658148148148</v>
      </c>
      <c r="J35" t="s">
        <v>445</v>
      </c>
      <c r="K35" t="s">
        <v>443</v>
      </c>
      <c r="L35" s="157">
        <v>46277</v>
      </c>
      <c r="M35" t="s">
        <v>442</v>
      </c>
      <c r="N35" t="s">
        <v>231</v>
      </c>
      <c r="O35" t="s">
        <v>444</v>
      </c>
      <c r="P35" t="s">
        <v>97</v>
      </c>
      <c r="Q35" t="s">
        <v>247</v>
      </c>
    </row>
    <row r="36" spans="1:17" s="25" customFormat="1" hidden="1">
      <c r="A36" s="111">
        <v>2.8615361921296299E-2</v>
      </c>
      <c r="B36" t="s">
        <v>97</v>
      </c>
      <c r="C36" t="s">
        <v>454</v>
      </c>
      <c r="D36"/>
      <c r="E36" t="s">
        <v>108</v>
      </c>
      <c r="F36"/>
      <c r="G36" t="s">
        <v>164</v>
      </c>
      <c r="H36"/>
      <c r="I36" s="158">
        <v>46278.658067129632</v>
      </c>
      <c r="J36" t="s">
        <v>445</v>
      </c>
      <c r="K36" t="s">
        <v>443</v>
      </c>
      <c r="L36" s="157">
        <v>46277</v>
      </c>
      <c r="M36" t="s">
        <v>442</v>
      </c>
      <c r="N36" t="s">
        <v>231</v>
      </c>
      <c r="O36" t="s">
        <v>444</v>
      </c>
      <c r="P36" t="s">
        <v>97</v>
      </c>
      <c r="Q36" t="s">
        <v>247</v>
      </c>
    </row>
    <row r="37" spans="1:17" s="25" customFormat="1" hidden="1">
      <c r="A37" s="111">
        <v>2.8598627060185185E-2</v>
      </c>
      <c r="B37" t="s">
        <v>97</v>
      </c>
      <c r="C37" t="s">
        <v>455</v>
      </c>
      <c r="D37"/>
      <c r="E37" t="s">
        <v>59</v>
      </c>
      <c r="F37"/>
      <c r="G37" t="s">
        <v>164</v>
      </c>
      <c r="H37"/>
      <c r="I37" s="158">
        <v>46278.657650462963</v>
      </c>
      <c r="J37" t="s">
        <v>445</v>
      </c>
      <c r="K37" t="s">
        <v>443</v>
      </c>
      <c r="L37" s="157">
        <v>46277</v>
      </c>
      <c r="M37" t="s">
        <v>442</v>
      </c>
      <c r="N37" t="s">
        <v>231</v>
      </c>
      <c r="O37" t="s">
        <v>444</v>
      </c>
      <c r="P37" t="s">
        <v>97</v>
      </c>
      <c r="Q37" t="s">
        <v>247</v>
      </c>
    </row>
    <row r="38" spans="1:17" s="25" customFormat="1" hidden="1">
      <c r="A38" s="111">
        <v>2.8598627060185185E-2</v>
      </c>
      <c r="B38" t="s">
        <v>97</v>
      </c>
      <c r="C38"/>
      <c r="D38"/>
      <c r="E38" t="s">
        <v>285</v>
      </c>
      <c r="F38"/>
      <c r="G38" t="s">
        <v>164</v>
      </c>
      <c r="H38"/>
      <c r="I38" s="158">
        <v>46278.657592592594</v>
      </c>
      <c r="J38" t="s">
        <v>445</v>
      </c>
      <c r="K38" t="s">
        <v>443</v>
      </c>
      <c r="L38" s="157">
        <v>46277</v>
      </c>
      <c r="M38" t="s">
        <v>442</v>
      </c>
      <c r="N38" t="s">
        <v>231</v>
      </c>
      <c r="O38" t="s">
        <v>444</v>
      </c>
      <c r="P38" t="s">
        <v>97</v>
      </c>
      <c r="Q38" t="s">
        <v>247</v>
      </c>
    </row>
    <row r="39" spans="1:17" s="25" customFormat="1" hidden="1">
      <c r="A39" s="111">
        <v>2.8483796296296295E-2</v>
      </c>
      <c r="B39" t="s">
        <v>97</v>
      </c>
      <c r="C39"/>
      <c r="D39"/>
      <c r="E39" t="s">
        <v>105</v>
      </c>
      <c r="F39"/>
      <c r="G39" t="s">
        <v>164</v>
      </c>
      <c r="H39"/>
      <c r="I39" s="158">
        <v>46278.657592592594</v>
      </c>
      <c r="J39" t="s">
        <v>445</v>
      </c>
      <c r="K39" t="s">
        <v>443</v>
      </c>
      <c r="L39" s="157">
        <v>46277</v>
      </c>
      <c r="M39" t="s">
        <v>442</v>
      </c>
      <c r="N39" t="s">
        <v>231</v>
      </c>
      <c r="O39" t="s">
        <v>444</v>
      </c>
      <c r="P39" t="s">
        <v>97</v>
      </c>
      <c r="Q39" t="s">
        <v>247</v>
      </c>
    </row>
    <row r="40" spans="1:17" s="25" customFormat="1" hidden="1">
      <c r="A40" s="111">
        <v>2.817224173611111E-2</v>
      </c>
      <c r="B40" t="s">
        <v>97</v>
      </c>
      <c r="C40"/>
      <c r="D40"/>
      <c r="E40" t="s">
        <v>87</v>
      </c>
      <c r="F40"/>
      <c r="G40" t="s">
        <v>98</v>
      </c>
      <c r="H40"/>
      <c r="I40" s="158">
        <v>46278.656412037039</v>
      </c>
      <c r="J40" t="s">
        <v>445</v>
      </c>
      <c r="K40" t="s">
        <v>443</v>
      </c>
      <c r="L40" s="157">
        <v>46277</v>
      </c>
      <c r="M40" t="s">
        <v>442</v>
      </c>
      <c r="N40" t="s">
        <v>231</v>
      </c>
      <c r="O40" t="s">
        <v>444</v>
      </c>
      <c r="P40" t="s">
        <v>97</v>
      </c>
      <c r="Q40" t="s">
        <v>247</v>
      </c>
    </row>
    <row r="41" spans="1:17" s="25" customFormat="1" hidden="1">
      <c r="A41" s="111">
        <v>2.802752369212963E-2</v>
      </c>
      <c r="B41" t="s">
        <v>97</v>
      </c>
      <c r="C41"/>
      <c r="D41"/>
      <c r="E41" t="s">
        <v>108</v>
      </c>
      <c r="F41"/>
      <c r="G41" t="s">
        <v>98</v>
      </c>
      <c r="H41"/>
      <c r="I41" s="158">
        <v>46278.656261574077</v>
      </c>
      <c r="J41" t="s">
        <v>445</v>
      </c>
      <c r="K41" t="s">
        <v>443</v>
      </c>
      <c r="L41" s="157">
        <v>46277</v>
      </c>
      <c r="M41" t="s">
        <v>442</v>
      </c>
      <c r="N41" t="s">
        <v>231</v>
      </c>
      <c r="O41" t="s">
        <v>444</v>
      </c>
      <c r="P41" t="s">
        <v>97</v>
      </c>
      <c r="Q41" t="s">
        <v>247</v>
      </c>
    </row>
    <row r="42" spans="1:17" s="25" customFormat="1" hidden="1">
      <c r="A42" s="111">
        <v>2.8015896921296298E-2</v>
      </c>
      <c r="B42" t="s">
        <v>97</v>
      </c>
      <c r="C42"/>
      <c r="D42"/>
      <c r="E42" t="s">
        <v>183</v>
      </c>
      <c r="F42"/>
      <c r="G42" t="s">
        <v>164</v>
      </c>
      <c r="H42"/>
      <c r="I42" s="158">
        <v>46278.656215277777</v>
      </c>
      <c r="J42" t="s">
        <v>445</v>
      </c>
      <c r="K42" t="s">
        <v>443</v>
      </c>
      <c r="L42" s="157">
        <v>46277</v>
      </c>
      <c r="M42" t="s">
        <v>442</v>
      </c>
      <c r="N42" t="s">
        <v>231</v>
      </c>
      <c r="O42" t="s">
        <v>444</v>
      </c>
      <c r="P42" t="s">
        <v>97</v>
      </c>
      <c r="Q42" t="s">
        <v>247</v>
      </c>
    </row>
    <row r="43" spans="1:17" s="25" customFormat="1" hidden="1">
      <c r="A43" s="111">
        <v>2.7923341307870369E-2</v>
      </c>
      <c r="B43" t="s">
        <v>97</v>
      </c>
      <c r="C43" t="s">
        <v>468</v>
      </c>
      <c r="D43"/>
      <c r="E43" t="s">
        <v>108</v>
      </c>
      <c r="F43"/>
      <c r="G43" t="s">
        <v>164</v>
      </c>
      <c r="H43"/>
      <c r="I43" s="158">
        <v>46278.656064814815</v>
      </c>
      <c r="J43" t="s">
        <v>445</v>
      </c>
      <c r="K43" t="s">
        <v>443</v>
      </c>
      <c r="L43" s="157">
        <v>46277</v>
      </c>
      <c r="M43" t="s">
        <v>442</v>
      </c>
      <c r="N43" t="s">
        <v>231</v>
      </c>
      <c r="O43" t="s">
        <v>444</v>
      </c>
      <c r="P43" t="s">
        <v>97</v>
      </c>
      <c r="Q43" t="s">
        <v>247</v>
      </c>
    </row>
    <row r="44" spans="1:17" s="25" customFormat="1" hidden="1">
      <c r="A44" s="111">
        <v>2.7872920370370369E-2</v>
      </c>
      <c r="B44" t="s">
        <v>97</v>
      </c>
      <c r="C44"/>
      <c r="D44"/>
      <c r="E44" t="s">
        <v>101</v>
      </c>
      <c r="F44"/>
      <c r="G44" t="s">
        <v>164</v>
      </c>
      <c r="H44"/>
      <c r="I44" s="158">
        <v>46278.655844907407</v>
      </c>
      <c r="J44" t="s">
        <v>445</v>
      </c>
      <c r="K44" t="s">
        <v>443</v>
      </c>
      <c r="L44" s="157">
        <v>46277</v>
      </c>
      <c r="M44" t="s">
        <v>442</v>
      </c>
      <c r="N44" t="s">
        <v>231</v>
      </c>
      <c r="O44" t="s">
        <v>444</v>
      </c>
      <c r="P44" t="s">
        <v>97</v>
      </c>
      <c r="Q44" t="s">
        <v>247</v>
      </c>
    </row>
    <row r="45" spans="1:17" s="25" customFormat="1" hidden="1">
      <c r="A45" s="111">
        <v>2.7709690625000002E-2</v>
      </c>
      <c r="B45" t="s">
        <v>97</v>
      </c>
      <c r="C45"/>
      <c r="D45"/>
      <c r="E45" t="s">
        <v>87</v>
      </c>
      <c r="F45"/>
      <c r="G45" t="s">
        <v>164</v>
      </c>
      <c r="H45"/>
      <c r="I45" s="158">
        <v>46278.655636574076</v>
      </c>
      <c r="J45" t="s">
        <v>445</v>
      </c>
      <c r="K45" t="s">
        <v>443</v>
      </c>
      <c r="L45" s="157">
        <v>46277</v>
      </c>
      <c r="M45" t="s">
        <v>442</v>
      </c>
      <c r="N45" t="s">
        <v>231</v>
      </c>
      <c r="O45" t="s">
        <v>444</v>
      </c>
      <c r="P45" t="s">
        <v>97</v>
      </c>
      <c r="Q45" t="s">
        <v>247</v>
      </c>
    </row>
    <row r="46" spans="1:17" s="25" customFormat="1" hidden="1">
      <c r="A46" s="111">
        <v>2.7709690625000002E-2</v>
      </c>
      <c r="B46" t="s">
        <v>97</v>
      </c>
      <c r="C46" t="s">
        <v>92</v>
      </c>
      <c r="D46" t="s">
        <v>82</v>
      </c>
      <c r="E46" t="s">
        <v>214</v>
      </c>
      <c r="F46" t="s">
        <v>206</v>
      </c>
      <c r="G46" t="s">
        <v>164</v>
      </c>
      <c r="H46"/>
      <c r="I46" s="158">
        <v>46278.655636574076</v>
      </c>
      <c r="J46" t="s">
        <v>445</v>
      </c>
      <c r="K46" t="s">
        <v>443</v>
      </c>
      <c r="L46" s="157">
        <v>46277</v>
      </c>
      <c r="M46" t="s">
        <v>442</v>
      </c>
      <c r="N46" t="s">
        <v>231</v>
      </c>
      <c r="O46" t="s">
        <v>444</v>
      </c>
      <c r="P46" t="s">
        <v>97</v>
      </c>
      <c r="Q46" t="s">
        <v>247</v>
      </c>
    </row>
    <row r="47" spans="1:17" s="25" customFormat="1" hidden="1">
      <c r="A47" s="111">
        <v>2.7370371875000001E-2</v>
      </c>
      <c r="B47" t="s">
        <v>97</v>
      </c>
      <c r="C47"/>
      <c r="D47"/>
      <c r="E47" t="s">
        <v>104</v>
      </c>
      <c r="F47"/>
      <c r="G47" t="s">
        <v>164</v>
      </c>
      <c r="H47"/>
      <c r="I47" s="158">
        <v>46278.655219907407</v>
      </c>
      <c r="J47" t="s">
        <v>445</v>
      </c>
      <c r="K47" t="s">
        <v>443</v>
      </c>
      <c r="L47" s="157">
        <v>46277</v>
      </c>
      <c r="M47" t="s">
        <v>442</v>
      </c>
      <c r="N47" t="s">
        <v>231</v>
      </c>
      <c r="O47" t="s">
        <v>444</v>
      </c>
      <c r="P47" t="s">
        <v>97</v>
      </c>
      <c r="Q47" t="s">
        <v>247</v>
      </c>
    </row>
    <row r="48" spans="1:17" s="25" customFormat="1" hidden="1">
      <c r="A48" s="111">
        <v>2.6487179456018521E-2</v>
      </c>
      <c r="B48" t="s">
        <v>97</v>
      </c>
      <c r="C48" t="s">
        <v>453</v>
      </c>
      <c r="D48"/>
      <c r="E48" t="s">
        <v>315</v>
      </c>
      <c r="F48"/>
      <c r="G48" t="s">
        <v>164</v>
      </c>
      <c r="H48"/>
      <c r="I48" s="158">
        <v>46278.654502314814</v>
      </c>
      <c r="J48" t="s">
        <v>445</v>
      </c>
      <c r="K48" t="s">
        <v>443</v>
      </c>
      <c r="L48" s="157">
        <v>46277</v>
      </c>
      <c r="M48" t="s">
        <v>442</v>
      </c>
      <c r="N48" t="s">
        <v>231</v>
      </c>
      <c r="O48" t="s">
        <v>444</v>
      </c>
      <c r="P48" t="s">
        <v>97</v>
      </c>
      <c r="Q48" t="s">
        <v>247</v>
      </c>
    </row>
    <row r="49" spans="1:17" s="25" customFormat="1" hidden="1">
      <c r="A49" s="111">
        <v>2.6487179456018521E-2</v>
      </c>
      <c r="B49" t="s">
        <v>97</v>
      </c>
      <c r="C49"/>
      <c r="D49"/>
      <c r="E49" t="s">
        <v>87</v>
      </c>
      <c r="F49"/>
      <c r="G49" t="s">
        <v>164</v>
      </c>
      <c r="H49"/>
      <c r="I49" s="158">
        <v>46278.654432870368</v>
      </c>
      <c r="J49" t="s">
        <v>445</v>
      </c>
      <c r="K49" t="s">
        <v>443</v>
      </c>
      <c r="L49" s="157">
        <v>46277</v>
      </c>
      <c r="M49" t="s">
        <v>442</v>
      </c>
      <c r="N49" t="s">
        <v>231</v>
      </c>
      <c r="O49" t="s">
        <v>444</v>
      </c>
      <c r="P49" t="s">
        <v>97</v>
      </c>
      <c r="Q49" t="s">
        <v>247</v>
      </c>
    </row>
    <row r="50" spans="1:17" s="25" customFormat="1" hidden="1">
      <c r="A50" s="111">
        <v>2.6487179456018521E-2</v>
      </c>
      <c r="B50" t="s">
        <v>97</v>
      </c>
      <c r="C50" t="s">
        <v>453</v>
      </c>
      <c r="D50" t="s">
        <v>204</v>
      </c>
      <c r="E50" t="s">
        <v>214</v>
      </c>
      <c r="F50" t="s">
        <v>135</v>
      </c>
      <c r="G50" t="s">
        <v>164</v>
      </c>
      <c r="H50"/>
      <c r="I50" s="158">
        <v>46278.654432870368</v>
      </c>
      <c r="J50" t="s">
        <v>445</v>
      </c>
      <c r="K50" t="s">
        <v>443</v>
      </c>
      <c r="L50" s="157">
        <v>46277</v>
      </c>
      <c r="M50" t="s">
        <v>442</v>
      </c>
      <c r="N50" t="s">
        <v>231</v>
      </c>
      <c r="O50" t="s">
        <v>444</v>
      </c>
      <c r="P50" t="s">
        <v>97</v>
      </c>
      <c r="Q50" t="s">
        <v>247</v>
      </c>
    </row>
    <row r="51" spans="1:17" s="25" customFormat="1" hidden="1">
      <c r="A51" s="111">
        <v>2.6475482418981483E-2</v>
      </c>
      <c r="B51" t="s">
        <v>97</v>
      </c>
      <c r="C51" t="s">
        <v>453</v>
      </c>
      <c r="D51"/>
      <c r="E51" t="s">
        <v>58</v>
      </c>
      <c r="F51"/>
      <c r="G51" t="s">
        <v>164</v>
      </c>
      <c r="H51"/>
      <c r="I51" s="158">
        <v>46278.654282407406</v>
      </c>
      <c r="J51" t="s">
        <v>445</v>
      </c>
      <c r="K51" t="s">
        <v>443</v>
      </c>
      <c r="L51" s="157">
        <v>46277</v>
      </c>
      <c r="M51" t="s">
        <v>442</v>
      </c>
      <c r="N51" t="s">
        <v>231</v>
      </c>
      <c r="O51" t="s">
        <v>444</v>
      </c>
      <c r="P51" t="s">
        <v>97</v>
      </c>
      <c r="Q51" t="s">
        <v>247</v>
      </c>
    </row>
    <row r="52" spans="1:17" s="25" customFormat="1" hidden="1">
      <c r="A52" s="111">
        <v>2.643476542824074E-2</v>
      </c>
      <c r="B52" t="s">
        <v>97</v>
      </c>
      <c r="C52" t="s">
        <v>451</v>
      </c>
      <c r="D52"/>
      <c r="E52" t="s">
        <v>108</v>
      </c>
      <c r="F52"/>
      <c r="G52" t="s">
        <v>164</v>
      </c>
      <c r="H52"/>
      <c r="I52" s="158">
        <v>46278.654062499998</v>
      </c>
      <c r="J52" t="s">
        <v>445</v>
      </c>
      <c r="K52" t="s">
        <v>443</v>
      </c>
      <c r="L52" s="157">
        <v>46277</v>
      </c>
      <c r="M52" t="s">
        <v>442</v>
      </c>
      <c r="N52" t="s">
        <v>231</v>
      </c>
      <c r="O52" t="s">
        <v>444</v>
      </c>
      <c r="P52" t="s">
        <v>97</v>
      </c>
      <c r="Q52" t="s">
        <v>247</v>
      </c>
    </row>
    <row r="53" spans="1:17" s="25" customFormat="1" hidden="1">
      <c r="A53" s="111">
        <v>2.6400462962962962E-2</v>
      </c>
      <c r="B53" t="s">
        <v>97</v>
      </c>
      <c r="C53"/>
      <c r="D53"/>
      <c r="E53" t="s">
        <v>285</v>
      </c>
      <c r="F53"/>
      <c r="G53" t="s">
        <v>164</v>
      </c>
      <c r="H53"/>
      <c r="I53" s="158">
        <v>46278.653958333336</v>
      </c>
      <c r="J53" t="s">
        <v>445</v>
      </c>
      <c r="K53" t="s">
        <v>443</v>
      </c>
      <c r="L53" s="157">
        <v>46277</v>
      </c>
      <c r="M53" t="s">
        <v>442</v>
      </c>
      <c r="N53" t="s">
        <v>231</v>
      </c>
      <c r="O53" t="s">
        <v>444</v>
      </c>
      <c r="P53" t="s">
        <v>97</v>
      </c>
      <c r="Q53" t="s">
        <v>247</v>
      </c>
    </row>
    <row r="54" spans="1:17" s="25" customFormat="1" hidden="1">
      <c r="A54" s="111">
        <v>2.6395828067129631E-2</v>
      </c>
      <c r="B54" t="s">
        <v>97</v>
      </c>
      <c r="C54"/>
      <c r="D54"/>
      <c r="E54" t="s">
        <v>105</v>
      </c>
      <c r="F54"/>
      <c r="G54" t="s">
        <v>164</v>
      </c>
      <c r="H54"/>
      <c r="I54" s="158">
        <v>46278.653958333336</v>
      </c>
      <c r="J54" t="s">
        <v>445</v>
      </c>
      <c r="K54" t="s">
        <v>443</v>
      </c>
      <c r="L54" s="157">
        <v>46277</v>
      </c>
      <c r="M54" t="s">
        <v>442</v>
      </c>
      <c r="N54" t="s">
        <v>231</v>
      </c>
      <c r="O54" t="s">
        <v>444</v>
      </c>
      <c r="P54" t="s">
        <v>97</v>
      </c>
      <c r="Q54" t="s">
        <v>247</v>
      </c>
    </row>
    <row r="55" spans="1:17" s="25" customFormat="1" hidden="1">
      <c r="A55" s="111">
        <v>2.5941648483796296E-2</v>
      </c>
      <c r="B55" t="s">
        <v>97</v>
      </c>
      <c r="C55"/>
      <c r="D55"/>
      <c r="E55" t="s">
        <v>87</v>
      </c>
      <c r="F55"/>
      <c r="G55" t="s">
        <v>164</v>
      </c>
      <c r="H55"/>
      <c r="I55" s="158">
        <v>46278.653854166667</v>
      </c>
      <c r="J55" t="s">
        <v>445</v>
      </c>
      <c r="K55" t="s">
        <v>443</v>
      </c>
      <c r="L55" s="157">
        <v>46277</v>
      </c>
      <c r="M55" t="s">
        <v>442</v>
      </c>
      <c r="N55" t="s">
        <v>231</v>
      </c>
      <c r="O55" t="s">
        <v>444</v>
      </c>
      <c r="P55" t="s">
        <v>97</v>
      </c>
      <c r="Q55" t="s">
        <v>247</v>
      </c>
    </row>
    <row r="56" spans="1:17" s="25" customFormat="1" hidden="1">
      <c r="A56" s="111">
        <v>2.5769558495370371E-2</v>
      </c>
      <c r="B56" t="s">
        <v>97</v>
      </c>
      <c r="C56" t="s">
        <v>472</v>
      </c>
      <c r="D56"/>
      <c r="E56" t="s">
        <v>183</v>
      </c>
      <c r="F56"/>
      <c r="G56" t="s">
        <v>98</v>
      </c>
      <c r="H56"/>
      <c r="I56" s="158">
        <v>46278.653668981482</v>
      </c>
      <c r="J56" t="s">
        <v>445</v>
      </c>
      <c r="K56" t="s">
        <v>443</v>
      </c>
      <c r="L56" s="157">
        <v>46277</v>
      </c>
      <c r="M56" t="s">
        <v>442</v>
      </c>
      <c r="N56" t="s">
        <v>231</v>
      </c>
      <c r="O56" t="s">
        <v>444</v>
      </c>
      <c r="P56" t="s">
        <v>97</v>
      </c>
      <c r="Q56" t="s">
        <v>247</v>
      </c>
    </row>
    <row r="57" spans="1:17" s="25" customFormat="1" hidden="1">
      <c r="A57" s="111">
        <v>2.5758151516203705E-2</v>
      </c>
      <c r="B57" t="s">
        <v>97</v>
      </c>
      <c r="C57"/>
      <c r="D57"/>
      <c r="E57" t="s">
        <v>108</v>
      </c>
      <c r="F57"/>
      <c r="G57" t="s">
        <v>98</v>
      </c>
      <c r="H57"/>
      <c r="I57" s="158">
        <v>46278.653495370374</v>
      </c>
      <c r="J57" t="s">
        <v>445</v>
      </c>
      <c r="K57" t="s">
        <v>443</v>
      </c>
      <c r="L57" s="157">
        <v>46277</v>
      </c>
      <c r="M57" t="s">
        <v>442</v>
      </c>
      <c r="N57" t="s">
        <v>231</v>
      </c>
      <c r="O57" t="s">
        <v>444</v>
      </c>
      <c r="P57" t="s">
        <v>97</v>
      </c>
      <c r="Q57" t="s">
        <v>247</v>
      </c>
    </row>
    <row r="58" spans="1:17" s="25" customFormat="1" hidden="1">
      <c r="A58" s="111">
        <v>2.5728841354166667E-2</v>
      </c>
      <c r="B58" t="s">
        <v>97</v>
      </c>
      <c r="C58"/>
      <c r="D58"/>
      <c r="E58" t="s">
        <v>59</v>
      </c>
      <c r="F58"/>
      <c r="G58" t="s">
        <v>98</v>
      </c>
      <c r="H58"/>
      <c r="I58" s="158">
        <v>46278.653124999997</v>
      </c>
      <c r="J58" t="s">
        <v>445</v>
      </c>
      <c r="K58" t="s">
        <v>443</v>
      </c>
      <c r="L58" s="157">
        <v>46277</v>
      </c>
      <c r="M58" t="s">
        <v>442</v>
      </c>
      <c r="N58" t="s">
        <v>231</v>
      </c>
      <c r="O58" t="s">
        <v>444</v>
      </c>
      <c r="P58" t="s">
        <v>97</v>
      </c>
      <c r="Q58" t="s">
        <v>247</v>
      </c>
    </row>
    <row r="59" spans="1:17" s="25" customFormat="1" hidden="1">
      <c r="A59" s="111">
        <v>2.5728841354166667E-2</v>
      </c>
      <c r="B59" t="s">
        <v>97</v>
      </c>
      <c r="C59"/>
      <c r="D59"/>
      <c r="E59" t="s">
        <v>186</v>
      </c>
      <c r="F59"/>
      <c r="G59" t="s">
        <v>98</v>
      </c>
      <c r="H59"/>
      <c r="I59" s="158">
        <v>46278.653101851851</v>
      </c>
      <c r="J59" t="s">
        <v>445</v>
      </c>
      <c r="K59" t="s">
        <v>443</v>
      </c>
      <c r="L59" s="157">
        <v>46277</v>
      </c>
      <c r="M59" t="s">
        <v>442</v>
      </c>
      <c r="N59" t="s">
        <v>231</v>
      </c>
      <c r="O59" t="s">
        <v>444</v>
      </c>
      <c r="P59" t="s">
        <v>97</v>
      </c>
      <c r="Q59" t="s">
        <v>247</v>
      </c>
    </row>
    <row r="60" spans="1:17" s="25" customFormat="1" hidden="1">
      <c r="A60" s="111">
        <v>2.5716987071759258E-2</v>
      </c>
      <c r="B60" t="s">
        <v>97</v>
      </c>
      <c r="C60"/>
      <c r="D60"/>
      <c r="E60" t="s">
        <v>184</v>
      </c>
      <c r="F60"/>
      <c r="G60" t="s">
        <v>164</v>
      </c>
      <c r="H60"/>
      <c r="I60" s="158">
        <v>46278.653032407405</v>
      </c>
      <c r="J60" t="s">
        <v>445</v>
      </c>
      <c r="K60" t="s">
        <v>443</v>
      </c>
      <c r="L60" s="157">
        <v>46277</v>
      </c>
      <c r="M60" t="s">
        <v>442</v>
      </c>
      <c r="N60" t="s">
        <v>231</v>
      </c>
      <c r="O60" t="s">
        <v>444</v>
      </c>
      <c r="P60" t="s">
        <v>97</v>
      </c>
      <c r="Q60" t="s">
        <v>247</v>
      </c>
    </row>
    <row r="61" spans="1:17" s="25" customFormat="1" hidden="1">
      <c r="A61" s="111">
        <v>2.5636157592592593E-2</v>
      </c>
      <c r="B61" t="s">
        <v>97</v>
      </c>
      <c r="C61"/>
      <c r="D61"/>
      <c r="E61" t="s">
        <v>188</v>
      </c>
      <c r="F61"/>
      <c r="G61" t="s">
        <v>164</v>
      </c>
      <c r="H61"/>
      <c r="I61" s="158">
        <v>46278.652858796297</v>
      </c>
      <c r="J61" t="s">
        <v>445</v>
      </c>
      <c r="K61" t="s">
        <v>443</v>
      </c>
      <c r="L61" s="157">
        <v>46277</v>
      </c>
      <c r="M61" t="s">
        <v>442</v>
      </c>
      <c r="N61" t="s">
        <v>231</v>
      </c>
      <c r="O61" t="s">
        <v>444</v>
      </c>
      <c r="P61" t="s">
        <v>97</v>
      </c>
      <c r="Q61" t="s">
        <v>247</v>
      </c>
    </row>
    <row r="62" spans="1:17" s="25" customFormat="1" hidden="1">
      <c r="A62" s="111">
        <v>2.5612969791666669E-2</v>
      </c>
      <c r="B62" t="s">
        <v>97</v>
      </c>
      <c r="C62"/>
      <c r="D62"/>
      <c r="E62" t="s">
        <v>184</v>
      </c>
      <c r="F62"/>
      <c r="G62" t="s">
        <v>98</v>
      </c>
      <c r="H62"/>
      <c r="I62" s="158">
        <v>46278.652800925927</v>
      </c>
      <c r="J62" t="s">
        <v>445</v>
      </c>
      <c r="K62" t="s">
        <v>443</v>
      </c>
      <c r="L62" s="157">
        <v>46277</v>
      </c>
      <c r="M62" t="s">
        <v>442</v>
      </c>
      <c r="N62" t="s">
        <v>231</v>
      </c>
      <c r="O62" t="s">
        <v>444</v>
      </c>
      <c r="P62" t="s">
        <v>97</v>
      </c>
      <c r="Q62" t="s">
        <v>247</v>
      </c>
    </row>
    <row r="63" spans="1:17" s="25" customFormat="1" hidden="1">
      <c r="A63" s="111">
        <v>2.5578061307870371E-2</v>
      </c>
      <c r="B63" t="s">
        <v>97</v>
      </c>
      <c r="C63"/>
      <c r="D63"/>
      <c r="E63" t="s">
        <v>186</v>
      </c>
      <c r="F63"/>
      <c r="G63" t="s">
        <v>98</v>
      </c>
      <c r="H63"/>
      <c r="I63" s="158">
        <v>46278.652743055558</v>
      </c>
      <c r="J63" t="s">
        <v>445</v>
      </c>
      <c r="K63" t="s">
        <v>443</v>
      </c>
      <c r="L63" s="157">
        <v>46277</v>
      </c>
      <c r="M63" t="s">
        <v>442</v>
      </c>
      <c r="N63" t="s">
        <v>231</v>
      </c>
      <c r="O63" t="s">
        <v>444</v>
      </c>
      <c r="P63" t="s">
        <v>97</v>
      </c>
      <c r="Q63" t="s">
        <v>247</v>
      </c>
    </row>
    <row r="64" spans="1:17" s="25" customFormat="1" hidden="1">
      <c r="A64" s="111">
        <v>2.5531785567129629E-2</v>
      </c>
      <c r="B64" t="s">
        <v>97</v>
      </c>
      <c r="C64"/>
      <c r="D64"/>
      <c r="E64" t="s">
        <v>184</v>
      </c>
      <c r="F64"/>
      <c r="G64" t="s">
        <v>164</v>
      </c>
      <c r="H64"/>
      <c r="I64" s="158">
        <v>46278.652685185189</v>
      </c>
      <c r="J64" t="s">
        <v>445</v>
      </c>
      <c r="K64" t="s">
        <v>443</v>
      </c>
      <c r="L64" s="157">
        <v>46277</v>
      </c>
      <c r="M64" t="s">
        <v>442</v>
      </c>
      <c r="N64" t="s">
        <v>231</v>
      </c>
      <c r="O64" t="s">
        <v>444</v>
      </c>
      <c r="P64" t="s">
        <v>97</v>
      </c>
      <c r="Q64" t="s">
        <v>247</v>
      </c>
    </row>
    <row r="65" spans="1:17" s="25" customFormat="1" hidden="1">
      <c r="A65" s="111">
        <v>2.5485392523148149E-2</v>
      </c>
      <c r="B65" t="s">
        <v>97</v>
      </c>
      <c r="C65" t="s">
        <v>460</v>
      </c>
      <c r="D65"/>
      <c r="E65" t="s">
        <v>108</v>
      </c>
      <c r="F65"/>
      <c r="G65" t="s">
        <v>164</v>
      </c>
      <c r="H65"/>
      <c r="I65" s="158">
        <v>46278.65253472222</v>
      </c>
      <c r="J65" t="s">
        <v>445</v>
      </c>
      <c r="K65" t="s">
        <v>443</v>
      </c>
      <c r="L65" s="157">
        <v>46277</v>
      </c>
      <c r="M65" t="s">
        <v>442</v>
      </c>
      <c r="N65" t="s">
        <v>231</v>
      </c>
      <c r="O65" t="s">
        <v>444</v>
      </c>
      <c r="P65" t="s">
        <v>97</v>
      </c>
      <c r="Q65" t="s">
        <v>247</v>
      </c>
    </row>
    <row r="66" spans="1:17" s="25" customFormat="1" hidden="1">
      <c r="A66" s="111">
        <v>2.5465801898148149E-2</v>
      </c>
      <c r="B66" t="s">
        <v>97</v>
      </c>
      <c r="C66" t="s">
        <v>453</v>
      </c>
      <c r="D66"/>
      <c r="E66" t="s">
        <v>59</v>
      </c>
      <c r="F66"/>
      <c r="G66" t="s">
        <v>164</v>
      </c>
      <c r="H66"/>
      <c r="I66" s="158">
        <v>46278.652129629627</v>
      </c>
      <c r="J66" t="s">
        <v>445</v>
      </c>
      <c r="K66" t="s">
        <v>443</v>
      </c>
      <c r="L66" s="157">
        <v>46277</v>
      </c>
      <c r="M66" t="s">
        <v>442</v>
      </c>
      <c r="N66" t="s">
        <v>231</v>
      </c>
      <c r="O66" t="s">
        <v>444</v>
      </c>
      <c r="P66" t="s">
        <v>97</v>
      </c>
      <c r="Q66" t="s">
        <v>247</v>
      </c>
    </row>
    <row r="67" spans="1:17" s="25" customFormat="1" hidden="1">
      <c r="A67" s="111">
        <v>2.5414908148148146E-2</v>
      </c>
      <c r="B67" t="s">
        <v>97</v>
      </c>
      <c r="C67" t="s">
        <v>451</v>
      </c>
      <c r="D67"/>
      <c r="E67" t="s">
        <v>108</v>
      </c>
      <c r="F67"/>
      <c r="G67" t="s">
        <v>164</v>
      </c>
      <c r="H67"/>
      <c r="I67" s="158">
        <v>46278.651145833333</v>
      </c>
      <c r="J67" t="s">
        <v>445</v>
      </c>
      <c r="K67" t="s">
        <v>443</v>
      </c>
      <c r="L67" s="157">
        <v>46277</v>
      </c>
      <c r="M67" t="s">
        <v>442</v>
      </c>
      <c r="N67" t="s">
        <v>231</v>
      </c>
      <c r="O67" t="s">
        <v>444</v>
      </c>
      <c r="P67" t="s">
        <v>97</v>
      </c>
      <c r="Q67" t="s">
        <v>247</v>
      </c>
    </row>
    <row r="68" spans="1:17" s="25" customFormat="1" hidden="1">
      <c r="A68" s="111">
        <v>2.5354221886574071E-2</v>
      </c>
      <c r="B68" t="s">
        <v>97</v>
      </c>
      <c r="C68" t="s">
        <v>475</v>
      </c>
      <c r="D68"/>
      <c r="E68" t="s">
        <v>108</v>
      </c>
      <c r="F68"/>
      <c r="G68" t="s">
        <v>164</v>
      </c>
      <c r="H68"/>
      <c r="I68" s="158">
        <v>46278.650636574072</v>
      </c>
      <c r="J68" t="s">
        <v>445</v>
      </c>
      <c r="K68" t="s">
        <v>443</v>
      </c>
      <c r="L68" s="157">
        <v>46277</v>
      </c>
      <c r="M68" t="s">
        <v>442</v>
      </c>
      <c r="N68" t="s">
        <v>231</v>
      </c>
      <c r="O68" t="s">
        <v>444</v>
      </c>
      <c r="P68" t="s">
        <v>97</v>
      </c>
      <c r="Q68" t="s">
        <v>247</v>
      </c>
    </row>
    <row r="69" spans="1:17" s="25" customFormat="1" hidden="1">
      <c r="A69" s="111">
        <v>2.5274022060185187E-2</v>
      </c>
      <c r="B69" t="s">
        <v>97</v>
      </c>
      <c r="C69" t="s">
        <v>447</v>
      </c>
      <c r="D69"/>
      <c r="E69" t="s">
        <v>108</v>
      </c>
      <c r="F69"/>
      <c r="G69" t="s">
        <v>164</v>
      </c>
      <c r="H69"/>
      <c r="I69" s="158">
        <v>46278.650335648148</v>
      </c>
      <c r="J69" t="s">
        <v>445</v>
      </c>
      <c r="K69" t="s">
        <v>443</v>
      </c>
      <c r="L69" s="157">
        <v>46277</v>
      </c>
      <c r="M69" t="s">
        <v>442</v>
      </c>
      <c r="N69" t="s">
        <v>231</v>
      </c>
      <c r="O69" t="s">
        <v>444</v>
      </c>
      <c r="P69" t="s">
        <v>97</v>
      </c>
      <c r="Q69" t="s">
        <v>247</v>
      </c>
    </row>
    <row r="70" spans="1:17" s="25" customFormat="1" hidden="1">
      <c r="A70" s="111">
        <v>2.5175426689814814E-2</v>
      </c>
      <c r="B70" t="s">
        <v>97</v>
      </c>
      <c r="C70" t="s">
        <v>469</v>
      </c>
      <c r="D70"/>
      <c r="E70" t="s">
        <v>108</v>
      </c>
      <c r="F70"/>
      <c r="G70" t="s">
        <v>164</v>
      </c>
      <c r="H70"/>
      <c r="I70" s="158">
        <v>46278.650150462963</v>
      </c>
      <c r="J70" t="s">
        <v>445</v>
      </c>
      <c r="K70" t="s">
        <v>443</v>
      </c>
      <c r="L70" s="157">
        <v>46277</v>
      </c>
      <c r="M70" t="s">
        <v>442</v>
      </c>
      <c r="N70" t="s">
        <v>231</v>
      </c>
      <c r="O70" t="s">
        <v>444</v>
      </c>
      <c r="P70" t="s">
        <v>97</v>
      </c>
      <c r="Q70" t="s">
        <v>247</v>
      </c>
    </row>
    <row r="71" spans="1:17" s="25" customFormat="1" hidden="1">
      <c r="A71" s="111">
        <v>2.5154105486111113E-2</v>
      </c>
      <c r="B71" t="s">
        <v>97</v>
      </c>
      <c r="C71" t="s">
        <v>456</v>
      </c>
      <c r="D71"/>
      <c r="E71" t="s">
        <v>108</v>
      </c>
      <c r="F71"/>
      <c r="G71" t="s">
        <v>164</v>
      </c>
      <c r="H71"/>
      <c r="I71" s="158">
        <v>46278.649861111109</v>
      </c>
      <c r="J71" t="s">
        <v>445</v>
      </c>
      <c r="K71" t="s">
        <v>443</v>
      </c>
      <c r="L71" s="157">
        <v>46277</v>
      </c>
      <c r="M71" t="s">
        <v>442</v>
      </c>
      <c r="N71" t="s">
        <v>231</v>
      </c>
      <c r="O71" t="s">
        <v>444</v>
      </c>
      <c r="P71" t="s">
        <v>97</v>
      </c>
      <c r="Q71" t="s">
        <v>247</v>
      </c>
    </row>
    <row r="72" spans="1:17" s="25" customFormat="1" hidden="1">
      <c r="A72" s="111">
        <v>2.5119242696759258E-2</v>
      </c>
      <c r="B72" t="s">
        <v>97</v>
      </c>
      <c r="C72" t="s">
        <v>455</v>
      </c>
      <c r="D72"/>
      <c r="E72" t="s">
        <v>108</v>
      </c>
      <c r="F72"/>
      <c r="G72" t="s">
        <v>164</v>
      </c>
      <c r="H72"/>
      <c r="I72" s="158">
        <v>46278.649756944447</v>
      </c>
      <c r="J72" t="s">
        <v>445</v>
      </c>
      <c r="K72" t="s">
        <v>443</v>
      </c>
      <c r="L72" s="157">
        <v>46277</v>
      </c>
      <c r="M72" t="s">
        <v>442</v>
      </c>
      <c r="N72" t="s">
        <v>231</v>
      </c>
      <c r="O72" t="s">
        <v>444</v>
      </c>
      <c r="P72" t="s">
        <v>97</v>
      </c>
      <c r="Q72" t="s">
        <v>247</v>
      </c>
    </row>
    <row r="73" spans="1:17" s="25" customFormat="1" hidden="1">
      <c r="A73" s="111">
        <v>2.507677289351852E-2</v>
      </c>
      <c r="B73" t="s">
        <v>97</v>
      </c>
      <c r="C73"/>
      <c r="D73"/>
      <c r="E73" t="s">
        <v>113</v>
      </c>
      <c r="F73"/>
      <c r="G73" t="s">
        <v>164</v>
      </c>
      <c r="H73"/>
      <c r="I73" s="158">
        <v>46278.649733796294</v>
      </c>
      <c r="J73" t="s">
        <v>445</v>
      </c>
      <c r="K73" t="s">
        <v>443</v>
      </c>
      <c r="L73" s="157">
        <v>46277</v>
      </c>
      <c r="M73" t="s">
        <v>442</v>
      </c>
      <c r="N73" t="s">
        <v>231</v>
      </c>
      <c r="O73" t="s">
        <v>444</v>
      </c>
      <c r="P73" t="s">
        <v>97</v>
      </c>
      <c r="Q73" t="s">
        <v>247</v>
      </c>
    </row>
    <row r="74" spans="1:17" s="25" customFormat="1" hidden="1">
      <c r="A74" s="111">
        <v>2.4984640995370372E-2</v>
      </c>
      <c r="B74" t="s">
        <v>97</v>
      </c>
      <c r="C74"/>
      <c r="D74"/>
      <c r="E74" t="s">
        <v>104</v>
      </c>
      <c r="F74"/>
      <c r="G74" t="s">
        <v>98</v>
      </c>
      <c r="H74"/>
      <c r="I74" s="158">
        <v>46278.649444444447</v>
      </c>
      <c r="J74" t="s">
        <v>445</v>
      </c>
      <c r="K74" t="s">
        <v>443</v>
      </c>
      <c r="L74" s="157">
        <v>46277</v>
      </c>
      <c r="M74" t="s">
        <v>442</v>
      </c>
      <c r="N74" t="s">
        <v>231</v>
      </c>
      <c r="O74" t="s">
        <v>444</v>
      </c>
      <c r="P74" t="s">
        <v>97</v>
      </c>
      <c r="Q74" t="s">
        <v>247</v>
      </c>
    </row>
    <row r="75" spans="1:17" s="25" customFormat="1" hidden="1">
      <c r="A75" s="111">
        <v>2.4616293541666664E-2</v>
      </c>
      <c r="B75" t="s">
        <v>97</v>
      </c>
      <c r="C75"/>
      <c r="D75"/>
      <c r="E75" t="s">
        <v>87</v>
      </c>
      <c r="F75"/>
      <c r="G75" t="s">
        <v>98</v>
      </c>
      <c r="H75"/>
      <c r="I75" s="158">
        <v>46278.649305555555</v>
      </c>
      <c r="J75" t="s">
        <v>445</v>
      </c>
      <c r="K75" t="s">
        <v>443</v>
      </c>
      <c r="L75" s="157">
        <v>46277</v>
      </c>
      <c r="M75" t="s">
        <v>442</v>
      </c>
      <c r="N75" t="s">
        <v>231</v>
      </c>
      <c r="O75" t="s">
        <v>444</v>
      </c>
      <c r="P75" t="s">
        <v>97</v>
      </c>
      <c r="Q75" t="s">
        <v>247</v>
      </c>
    </row>
    <row r="76" spans="1:17" s="25" customFormat="1" hidden="1">
      <c r="A76" s="111">
        <v>2.4564054293981483E-2</v>
      </c>
      <c r="B76" t="s">
        <v>97</v>
      </c>
      <c r="C76"/>
      <c r="D76"/>
      <c r="E76" t="s">
        <v>184</v>
      </c>
      <c r="F76"/>
      <c r="G76" t="s">
        <v>98</v>
      </c>
      <c r="H76"/>
      <c r="I76" s="158">
        <v>46278.649259259262</v>
      </c>
      <c r="J76" t="s">
        <v>445</v>
      </c>
      <c r="K76" t="s">
        <v>443</v>
      </c>
      <c r="L76" s="157">
        <v>46277</v>
      </c>
      <c r="M76" t="s">
        <v>442</v>
      </c>
      <c r="N76" t="s">
        <v>231</v>
      </c>
      <c r="O76" t="s">
        <v>444</v>
      </c>
      <c r="P76" t="s">
        <v>97</v>
      </c>
      <c r="Q76" t="s">
        <v>247</v>
      </c>
    </row>
    <row r="77" spans="1:17" s="25" customFormat="1" hidden="1">
      <c r="A77" s="111">
        <v>2.4523518067129629E-2</v>
      </c>
      <c r="B77" t="s">
        <v>97</v>
      </c>
      <c r="C77"/>
      <c r="D77"/>
      <c r="E77" t="s">
        <v>186</v>
      </c>
      <c r="F77"/>
      <c r="G77" t="s">
        <v>98</v>
      </c>
      <c r="H77"/>
      <c r="I77" s="158">
        <v>46278.649178240739</v>
      </c>
      <c r="J77" t="s">
        <v>445</v>
      </c>
      <c r="K77" t="s">
        <v>443</v>
      </c>
      <c r="L77" s="157">
        <v>46277</v>
      </c>
      <c r="M77" t="s">
        <v>442</v>
      </c>
      <c r="N77" t="s">
        <v>231</v>
      </c>
      <c r="O77" t="s">
        <v>444</v>
      </c>
      <c r="P77" t="s">
        <v>97</v>
      </c>
      <c r="Q77" t="s">
        <v>247</v>
      </c>
    </row>
    <row r="78" spans="1:17" s="25" customFormat="1" hidden="1">
      <c r="A78" s="111">
        <v>2.4486652395833336E-2</v>
      </c>
      <c r="B78" t="s">
        <v>97</v>
      </c>
      <c r="C78"/>
      <c r="D78"/>
      <c r="E78" t="s">
        <v>100</v>
      </c>
      <c r="F78"/>
      <c r="G78" t="s">
        <v>98</v>
      </c>
      <c r="H78"/>
      <c r="I78" s="158">
        <v>46278.649143518516</v>
      </c>
      <c r="J78" t="s">
        <v>445</v>
      </c>
      <c r="K78" t="s">
        <v>443</v>
      </c>
      <c r="L78" s="157">
        <v>46277</v>
      </c>
      <c r="M78" t="s">
        <v>442</v>
      </c>
      <c r="N78" t="s">
        <v>231</v>
      </c>
      <c r="O78" t="s">
        <v>444</v>
      </c>
      <c r="P78" t="s">
        <v>97</v>
      </c>
      <c r="Q78" t="s">
        <v>247</v>
      </c>
    </row>
    <row r="79" spans="1:17" s="25" customFormat="1" hidden="1">
      <c r="A79" s="111">
        <v>2.4134965439814818E-2</v>
      </c>
      <c r="B79" t="s">
        <v>97</v>
      </c>
      <c r="C79" t="s">
        <v>472</v>
      </c>
      <c r="D79"/>
      <c r="E79" t="s">
        <v>115</v>
      </c>
      <c r="F79"/>
      <c r="G79" t="s">
        <v>98</v>
      </c>
      <c r="H79"/>
      <c r="I79" s="158">
        <v>46278.648935185185</v>
      </c>
      <c r="J79" t="s">
        <v>445</v>
      </c>
      <c r="K79" t="s">
        <v>443</v>
      </c>
      <c r="L79" s="157">
        <v>46277</v>
      </c>
      <c r="M79" t="s">
        <v>442</v>
      </c>
      <c r="N79" t="s">
        <v>231</v>
      </c>
      <c r="O79" t="s">
        <v>444</v>
      </c>
      <c r="P79" t="s">
        <v>97</v>
      </c>
      <c r="Q79" t="s">
        <v>247</v>
      </c>
    </row>
    <row r="80" spans="1:17" s="25" customFormat="1" hidden="1">
      <c r="A80" s="111">
        <v>2.3302530613425926E-2</v>
      </c>
      <c r="B80" t="s">
        <v>97</v>
      </c>
      <c r="C80"/>
      <c r="D80"/>
      <c r="E80" t="s">
        <v>87</v>
      </c>
      <c r="F80"/>
      <c r="G80" t="s">
        <v>98</v>
      </c>
      <c r="H80"/>
      <c r="I80" s="158">
        <v>46278.648564814815</v>
      </c>
      <c r="J80" t="s">
        <v>445</v>
      </c>
      <c r="K80" t="s">
        <v>443</v>
      </c>
      <c r="L80" s="157">
        <v>46277</v>
      </c>
      <c r="M80" t="s">
        <v>442</v>
      </c>
      <c r="N80" t="s">
        <v>231</v>
      </c>
      <c r="O80" t="s">
        <v>444</v>
      </c>
      <c r="P80" t="s">
        <v>97</v>
      </c>
      <c r="Q80" t="s">
        <v>247</v>
      </c>
    </row>
    <row r="81" spans="1:17" s="25" customFormat="1" hidden="1">
      <c r="A81" s="111">
        <v>2.3302530613425926E-2</v>
      </c>
      <c r="B81" t="s">
        <v>97</v>
      </c>
      <c r="C81" t="s">
        <v>475</v>
      </c>
      <c r="D81"/>
      <c r="E81" t="s">
        <v>103</v>
      </c>
      <c r="F81"/>
      <c r="G81" t="s">
        <v>98</v>
      </c>
      <c r="H81"/>
      <c r="I81" s="158">
        <v>46278.648564814815</v>
      </c>
      <c r="J81" t="s">
        <v>445</v>
      </c>
      <c r="K81" t="s">
        <v>443</v>
      </c>
      <c r="L81" s="157">
        <v>46277</v>
      </c>
      <c r="M81" t="s">
        <v>442</v>
      </c>
      <c r="N81" t="s">
        <v>231</v>
      </c>
      <c r="O81" t="s">
        <v>444</v>
      </c>
      <c r="P81" t="s">
        <v>97</v>
      </c>
      <c r="Q81" t="s">
        <v>247</v>
      </c>
    </row>
    <row r="82" spans="1:17" s="25" customFormat="1" hidden="1">
      <c r="A82" s="111">
        <v>2.3255990231481481E-2</v>
      </c>
      <c r="B82" t="s">
        <v>97</v>
      </c>
      <c r="C82"/>
      <c r="D82"/>
      <c r="E82" t="s">
        <v>59</v>
      </c>
      <c r="F82"/>
      <c r="G82" t="s">
        <v>98</v>
      </c>
      <c r="H82"/>
      <c r="I82" s="158">
        <v>46278.648252314815</v>
      </c>
      <c r="J82" t="s">
        <v>445</v>
      </c>
      <c r="K82" t="s">
        <v>443</v>
      </c>
      <c r="L82" s="157">
        <v>46277</v>
      </c>
      <c r="M82" t="s">
        <v>442</v>
      </c>
      <c r="N82" t="s">
        <v>231</v>
      </c>
      <c r="O82" t="s">
        <v>444</v>
      </c>
      <c r="P82" t="s">
        <v>97</v>
      </c>
      <c r="Q82" t="s">
        <v>247</v>
      </c>
    </row>
    <row r="83" spans="1:17" s="25" customFormat="1" hidden="1">
      <c r="A83" s="111">
        <v>2.3199748113425928E-2</v>
      </c>
      <c r="B83" t="s">
        <v>97</v>
      </c>
      <c r="C83"/>
      <c r="D83"/>
      <c r="E83" t="s">
        <v>108</v>
      </c>
      <c r="F83"/>
      <c r="G83" t="s">
        <v>98</v>
      </c>
      <c r="H83"/>
      <c r="I83" s="158">
        <v>46278.6481712963</v>
      </c>
      <c r="J83" t="s">
        <v>445</v>
      </c>
      <c r="K83" t="s">
        <v>443</v>
      </c>
      <c r="L83" s="157">
        <v>46277</v>
      </c>
      <c r="M83" t="s">
        <v>442</v>
      </c>
      <c r="N83" t="s">
        <v>231</v>
      </c>
      <c r="O83" t="s">
        <v>444</v>
      </c>
      <c r="P83" t="s">
        <v>97</v>
      </c>
      <c r="Q83" t="s">
        <v>247</v>
      </c>
    </row>
    <row r="84" spans="1:17" s="25" customFormat="1" hidden="1">
      <c r="A84" s="111">
        <v>2.2807243333333335E-2</v>
      </c>
      <c r="B84" t="s">
        <v>97</v>
      </c>
      <c r="C84" t="s">
        <v>475</v>
      </c>
      <c r="D84"/>
      <c r="E84" t="s">
        <v>111</v>
      </c>
      <c r="F84"/>
      <c r="G84" t="s">
        <v>98</v>
      </c>
      <c r="H84"/>
      <c r="I84" s="158">
        <v>46278.648159722223</v>
      </c>
      <c r="J84" t="s">
        <v>445</v>
      </c>
      <c r="K84" t="s">
        <v>443</v>
      </c>
      <c r="L84" s="157">
        <v>46277</v>
      </c>
      <c r="M84" t="s">
        <v>442</v>
      </c>
      <c r="N84" t="s">
        <v>231</v>
      </c>
      <c r="O84" t="s">
        <v>444</v>
      </c>
      <c r="P84" t="s">
        <v>97</v>
      </c>
      <c r="Q84" t="s">
        <v>247</v>
      </c>
    </row>
    <row r="85" spans="1:17" s="25" customFormat="1" hidden="1">
      <c r="A85" s="111">
        <v>2.2770241342592593E-2</v>
      </c>
      <c r="B85" t="s">
        <v>97</v>
      </c>
      <c r="C85"/>
      <c r="D85"/>
      <c r="E85" t="s">
        <v>104</v>
      </c>
      <c r="F85"/>
      <c r="G85" t="s">
        <v>164</v>
      </c>
      <c r="H85"/>
      <c r="I85" s="158">
        <v>46278.647511574076</v>
      </c>
      <c r="J85" t="s">
        <v>445</v>
      </c>
      <c r="K85" t="s">
        <v>443</v>
      </c>
      <c r="L85" s="157">
        <v>46277</v>
      </c>
      <c r="M85" t="s">
        <v>442</v>
      </c>
      <c r="N85" t="s">
        <v>231</v>
      </c>
      <c r="O85" t="s">
        <v>444</v>
      </c>
      <c r="P85" t="s">
        <v>97</v>
      </c>
      <c r="Q85" t="s">
        <v>247</v>
      </c>
    </row>
    <row r="86" spans="1:17" s="25" customFormat="1" hidden="1">
      <c r="A86" s="111">
        <v>2.2195846458333331E-2</v>
      </c>
      <c r="B86" t="s">
        <v>97</v>
      </c>
      <c r="C86"/>
      <c r="D86"/>
      <c r="E86" t="s">
        <v>87</v>
      </c>
      <c r="F86"/>
      <c r="G86" t="s">
        <v>164</v>
      </c>
      <c r="H86"/>
      <c r="I86" s="158">
        <v>46278.646782407406</v>
      </c>
      <c r="J86" t="s">
        <v>445</v>
      </c>
      <c r="K86" t="s">
        <v>443</v>
      </c>
      <c r="L86" s="157">
        <v>46277</v>
      </c>
      <c r="M86" t="s">
        <v>442</v>
      </c>
      <c r="N86" t="s">
        <v>231</v>
      </c>
      <c r="O86" t="s">
        <v>444</v>
      </c>
      <c r="P86" t="s">
        <v>97</v>
      </c>
      <c r="Q86" t="s">
        <v>247</v>
      </c>
    </row>
    <row r="87" spans="1:17" s="25" customFormat="1" hidden="1">
      <c r="A87" s="111">
        <v>2.2174803159722221E-2</v>
      </c>
      <c r="B87" t="s">
        <v>97</v>
      </c>
      <c r="C87" t="s">
        <v>82</v>
      </c>
      <c r="D87"/>
      <c r="E87" t="s">
        <v>214</v>
      </c>
      <c r="F87" t="s">
        <v>135</v>
      </c>
      <c r="G87" t="s">
        <v>98</v>
      </c>
      <c r="H87"/>
      <c r="I87" s="158">
        <v>46278.646770833337</v>
      </c>
      <c r="J87" t="s">
        <v>445</v>
      </c>
      <c r="K87" t="s">
        <v>443</v>
      </c>
      <c r="L87" s="157">
        <v>46277</v>
      </c>
      <c r="M87" t="s">
        <v>442</v>
      </c>
      <c r="N87" t="s">
        <v>231</v>
      </c>
      <c r="O87" t="s">
        <v>444</v>
      </c>
      <c r="P87" t="s">
        <v>97</v>
      </c>
      <c r="Q87" t="s">
        <v>247</v>
      </c>
    </row>
    <row r="88" spans="1:17" s="25" customFormat="1" hidden="1">
      <c r="A88" s="111">
        <v>2.2008378298611114E-2</v>
      </c>
      <c r="B88" t="s">
        <v>97</v>
      </c>
      <c r="C88"/>
      <c r="D88"/>
      <c r="E88" t="s">
        <v>108</v>
      </c>
      <c r="F88"/>
      <c r="G88" t="s">
        <v>98</v>
      </c>
      <c r="H88"/>
      <c r="I88" s="158">
        <v>46278.646597222221</v>
      </c>
      <c r="J88" t="s">
        <v>445</v>
      </c>
      <c r="K88" t="s">
        <v>443</v>
      </c>
      <c r="L88" s="157">
        <v>46277</v>
      </c>
      <c r="M88" t="s">
        <v>442</v>
      </c>
      <c r="N88" t="s">
        <v>231</v>
      </c>
      <c r="O88" t="s">
        <v>444</v>
      </c>
      <c r="P88" t="s">
        <v>97</v>
      </c>
      <c r="Q88" t="s">
        <v>247</v>
      </c>
    </row>
    <row r="89" spans="1:17" s="25" customFormat="1" hidden="1">
      <c r="A89" s="111">
        <v>2.1897690289351852E-2</v>
      </c>
      <c r="B89" t="s">
        <v>97</v>
      </c>
      <c r="C89"/>
      <c r="D89"/>
      <c r="E89" t="s">
        <v>108</v>
      </c>
      <c r="F89"/>
      <c r="G89" t="s">
        <v>98</v>
      </c>
      <c r="H89"/>
      <c r="I89" s="158">
        <v>46278.646481481483</v>
      </c>
      <c r="J89" t="s">
        <v>445</v>
      </c>
      <c r="K89" t="s">
        <v>443</v>
      </c>
      <c r="L89" s="157">
        <v>46277</v>
      </c>
      <c r="M89" t="s">
        <v>442</v>
      </c>
      <c r="N89" t="s">
        <v>231</v>
      </c>
      <c r="O89" t="s">
        <v>444</v>
      </c>
      <c r="P89" t="s">
        <v>97</v>
      </c>
      <c r="Q89" t="s">
        <v>247</v>
      </c>
    </row>
    <row r="90" spans="1:17" s="25" customFormat="1" hidden="1">
      <c r="A90" s="111">
        <v>2.1850780324074073E-2</v>
      </c>
      <c r="B90" t="s">
        <v>97</v>
      </c>
      <c r="C90"/>
      <c r="D90"/>
      <c r="E90" t="s">
        <v>108</v>
      </c>
      <c r="F90"/>
      <c r="G90" t="s">
        <v>98</v>
      </c>
      <c r="H90"/>
      <c r="I90" s="158">
        <v>46278.646435185183</v>
      </c>
      <c r="J90" t="s">
        <v>445</v>
      </c>
      <c r="K90" t="s">
        <v>443</v>
      </c>
      <c r="L90" s="157">
        <v>46277</v>
      </c>
      <c r="M90" t="s">
        <v>442</v>
      </c>
      <c r="N90" t="s">
        <v>231</v>
      </c>
      <c r="O90" t="s">
        <v>444</v>
      </c>
      <c r="P90" t="s">
        <v>97</v>
      </c>
      <c r="Q90" t="s">
        <v>247</v>
      </c>
    </row>
    <row r="91" spans="1:17" s="25" customFormat="1" hidden="1">
      <c r="A91" s="111">
        <v>2.1815858819444443E-2</v>
      </c>
      <c r="B91" t="s">
        <v>97</v>
      </c>
      <c r="C91"/>
      <c r="D91"/>
      <c r="E91" t="s">
        <v>59</v>
      </c>
      <c r="F91"/>
      <c r="G91" t="s">
        <v>98</v>
      </c>
      <c r="H91"/>
      <c r="I91" s="158">
        <v>46278.646192129629</v>
      </c>
      <c r="J91" t="s">
        <v>445</v>
      </c>
      <c r="K91" t="s">
        <v>443</v>
      </c>
      <c r="L91" s="157">
        <v>46277</v>
      </c>
      <c r="M91" t="s">
        <v>442</v>
      </c>
      <c r="N91" t="s">
        <v>231</v>
      </c>
      <c r="O91" t="s">
        <v>444</v>
      </c>
      <c r="P91" t="s">
        <v>97</v>
      </c>
      <c r="Q91" t="s">
        <v>247</v>
      </c>
    </row>
    <row r="92" spans="1:17" s="25" customFormat="1" hidden="1">
      <c r="A92" s="111">
        <v>2.1786884479166668E-2</v>
      </c>
      <c r="B92" t="s">
        <v>97</v>
      </c>
      <c r="C92"/>
      <c r="D92"/>
      <c r="E92" t="s">
        <v>108</v>
      </c>
      <c r="F92"/>
      <c r="G92" t="s">
        <v>98</v>
      </c>
      <c r="H92"/>
      <c r="I92" s="158">
        <v>46278.646122685182</v>
      </c>
      <c r="J92" t="s">
        <v>445</v>
      </c>
      <c r="K92" t="s">
        <v>443</v>
      </c>
      <c r="L92" s="157">
        <v>46277</v>
      </c>
      <c r="M92" t="s">
        <v>442</v>
      </c>
      <c r="N92" t="s">
        <v>231</v>
      </c>
      <c r="O92" t="s">
        <v>444</v>
      </c>
      <c r="P92" t="s">
        <v>97</v>
      </c>
      <c r="Q92" t="s">
        <v>247</v>
      </c>
    </row>
    <row r="93" spans="1:17" s="25" customFormat="1" hidden="1">
      <c r="A93" s="111">
        <v>2.1729784606481482E-2</v>
      </c>
      <c r="B93" t="s">
        <v>97</v>
      </c>
      <c r="C93"/>
      <c r="D93"/>
      <c r="E93" t="s">
        <v>186</v>
      </c>
      <c r="F93"/>
      <c r="G93" t="s">
        <v>98</v>
      </c>
      <c r="H93"/>
      <c r="I93" s="158">
        <v>46278.645949074074</v>
      </c>
      <c r="J93" t="s">
        <v>445</v>
      </c>
      <c r="K93" t="s">
        <v>443</v>
      </c>
      <c r="L93" s="157">
        <v>46277</v>
      </c>
      <c r="M93" t="s">
        <v>442</v>
      </c>
      <c r="N93" t="s">
        <v>231</v>
      </c>
      <c r="O93" t="s">
        <v>444</v>
      </c>
      <c r="P93" t="s">
        <v>97</v>
      </c>
      <c r="Q93" t="s">
        <v>247</v>
      </c>
    </row>
    <row r="94" spans="1:17" s="25" customFormat="1" hidden="1">
      <c r="A94" s="111">
        <v>2.167755127314815E-2</v>
      </c>
      <c r="B94" t="s">
        <v>97</v>
      </c>
      <c r="C94"/>
      <c r="D94"/>
      <c r="E94" t="s">
        <v>184</v>
      </c>
      <c r="F94"/>
      <c r="G94" t="s">
        <v>164</v>
      </c>
      <c r="H94"/>
      <c r="I94" s="158">
        <v>46278.645868055559</v>
      </c>
      <c r="J94" t="s">
        <v>445</v>
      </c>
      <c r="K94" t="s">
        <v>443</v>
      </c>
      <c r="L94" s="157">
        <v>46277</v>
      </c>
      <c r="M94" t="s">
        <v>442</v>
      </c>
      <c r="N94" t="s">
        <v>231</v>
      </c>
      <c r="O94" t="s">
        <v>444</v>
      </c>
      <c r="P94" t="s">
        <v>97</v>
      </c>
      <c r="Q94" t="s">
        <v>247</v>
      </c>
    </row>
    <row r="95" spans="1:17" s="25" customFormat="1" hidden="1">
      <c r="A95" s="111">
        <v>2.1597222222222223E-2</v>
      </c>
      <c r="B95" t="s">
        <v>97</v>
      </c>
      <c r="C95"/>
      <c r="D95"/>
      <c r="E95" t="s">
        <v>285</v>
      </c>
      <c r="F95"/>
      <c r="G95" t="s">
        <v>164</v>
      </c>
      <c r="H95"/>
      <c r="I95" s="158">
        <v>46278.645752314813</v>
      </c>
      <c r="J95" t="s">
        <v>445</v>
      </c>
      <c r="K95" t="s">
        <v>443</v>
      </c>
      <c r="L95" s="157">
        <v>46277</v>
      </c>
      <c r="M95" t="s">
        <v>442</v>
      </c>
      <c r="N95" t="s">
        <v>231</v>
      </c>
      <c r="O95" t="s">
        <v>444</v>
      </c>
      <c r="P95" t="s">
        <v>97</v>
      </c>
      <c r="Q95" t="s">
        <v>247</v>
      </c>
    </row>
    <row r="96" spans="1:17" s="25" customFormat="1" hidden="1">
      <c r="A96" s="111">
        <v>2.1479168425925926E-2</v>
      </c>
      <c r="B96" t="s">
        <v>97</v>
      </c>
      <c r="C96"/>
      <c r="D96"/>
      <c r="E96" t="s">
        <v>105</v>
      </c>
      <c r="F96"/>
      <c r="G96" t="s">
        <v>164</v>
      </c>
      <c r="H96"/>
      <c r="I96" s="158">
        <v>46278.645752314813</v>
      </c>
      <c r="J96" t="s">
        <v>445</v>
      </c>
      <c r="K96" t="s">
        <v>443</v>
      </c>
      <c r="L96" s="157">
        <v>46277</v>
      </c>
      <c r="M96" t="s">
        <v>442</v>
      </c>
      <c r="N96" t="s">
        <v>231</v>
      </c>
      <c r="O96" t="s">
        <v>444</v>
      </c>
      <c r="P96" t="s">
        <v>97</v>
      </c>
      <c r="Q96" t="s">
        <v>247</v>
      </c>
    </row>
    <row r="97" spans="1:17" s="25" customFormat="1" hidden="1">
      <c r="A97" s="111">
        <v>2.115051886574074E-2</v>
      </c>
      <c r="B97" t="s">
        <v>97</v>
      </c>
      <c r="C97"/>
      <c r="D97"/>
      <c r="E97" t="s">
        <v>87</v>
      </c>
      <c r="F97"/>
      <c r="G97" t="s">
        <v>164</v>
      </c>
      <c r="H97"/>
      <c r="I97" s="158">
        <v>46278.644837962966</v>
      </c>
      <c r="J97" t="s">
        <v>445</v>
      </c>
      <c r="K97" t="s">
        <v>443</v>
      </c>
      <c r="L97" s="157">
        <v>46277</v>
      </c>
      <c r="M97" t="s">
        <v>442</v>
      </c>
      <c r="N97" t="s">
        <v>231</v>
      </c>
      <c r="O97" t="s">
        <v>444</v>
      </c>
      <c r="P97" t="s">
        <v>97</v>
      </c>
      <c r="Q97" t="s">
        <v>247</v>
      </c>
    </row>
    <row r="98" spans="1:17" s="25" customFormat="1" hidden="1">
      <c r="A98" s="111">
        <v>2.1138845578703703E-2</v>
      </c>
      <c r="B98" t="s">
        <v>97</v>
      </c>
      <c r="C98" t="s">
        <v>457</v>
      </c>
      <c r="D98"/>
      <c r="E98" t="s">
        <v>183</v>
      </c>
      <c r="F98"/>
      <c r="G98" t="s">
        <v>98</v>
      </c>
      <c r="H98"/>
      <c r="I98" s="158">
        <v>46278.644826388889</v>
      </c>
      <c r="J98" t="s">
        <v>445</v>
      </c>
      <c r="K98" t="s">
        <v>443</v>
      </c>
      <c r="L98" s="157">
        <v>46277</v>
      </c>
      <c r="M98" t="s">
        <v>442</v>
      </c>
      <c r="N98" t="s">
        <v>231</v>
      </c>
      <c r="O98" t="s">
        <v>444</v>
      </c>
      <c r="P98" t="s">
        <v>97</v>
      </c>
      <c r="Q98" t="s">
        <v>247</v>
      </c>
    </row>
    <row r="99" spans="1:17" s="25" customFormat="1" hidden="1">
      <c r="A99" s="111">
        <v>2.1109694421296298E-2</v>
      </c>
      <c r="B99" t="s">
        <v>97</v>
      </c>
      <c r="C99"/>
      <c r="D99"/>
      <c r="E99" t="s">
        <v>108</v>
      </c>
      <c r="F99"/>
      <c r="G99" t="s">
        <v>98</v>
      </c>
      <c r="H99"/>
      <c r="I99" s="158">
        <v>46278.64472222222</v>
      </c>
      <c r="J99" t="s">
        <v>445</v>
      </c>
      <c r="K99" t="s">
        <v>443</v>
      </c>
      <c r="L99" s="157">
        <v>46277</v>
      </c>
      <c r="M99" t="s">
        <v>442</v>
      </c>
      <c r="N99" t="s">
        <v>231</v>
      </c>
      <c r="O99" t="s">
        <v>444</v>
      </c>
      <c r="P99" t="s">
        <v>97</v>
      </c>
      <c r="Q99" t="s">
        <v>247</v>
      </c>
    </row>
    <row r="100" spans="1:17" s="25" customFormat="1" hidden="1">
      <c r="A100" s="111">
        <v>2.1030092592592593E-2</v>
      </c>
      <c r="B100" t="s">
        <v>97</v>
      </c>
      <c r="C100"/>
      <c r="D100"/>
      <c r="E100" t="s">
        <v>279</v>
      </c>
      <c r="F100"/>
      <c r="G100" t="s">
        <v>98</v>
      </c>
      <c r="H100"/>
      <c r="I100" s="158">
        <v>46278.644618055558</v>
      </c>
      <c r="J100" t="s">
        <v>445</v>
      </c>
      <c r="K100" t="s">
        <v>443</v>
      </c>
      <c r="L100" s="157">
        <v>46277</v>
      </c>
      <c r="M100" t="s">
        <v>442</v>
      </c>
      <c r="N100" t="s">
        <v>231</v>
      </c>
      <c r="O100" t="s">
        <v>444</v>
      </c>
      <c r="P100" t="s">
        <v>97</v>
      </c>
      <c r="Q100" t="s">
        <v>247</v>
      </c>
    </row>
    <row r="101" spans="1:17" s="25" customFormat="1" hidden="1">
      <c r="A101" s="111">
        <v>2.0945316724537037E-2</v>
      </c>
      <c r="B101" t="s">
        <v>97</v>
      </c>
      <c r="C101"/>
      <c r="D101"/>
      <c r="E101" t="s">
        <v>105</v>
      </c>
      <c r="F101"/>
      <c r="G101" t="s">
        <v>98</v>
      </c>
      <c r="H101"/>
      <c r="I101" s="158">
        <v>46278.644618055558</v>
      </c>
      <c r="J101" t="s">
        <v>445</v>
      </c>
      <c r="K101" t="s">
        <v>443</v>
      </c>
      <c r="L101" s="157">
        <v>46277</v>
      </c>
      <c r="M101" t="s">
        <v>442</v>
      </c>
      <c r="N101" t="s">
        <v>231</v>
      </c>
      <c r="O101" t="s">
        <v>444</v>
      </c>
      <c r="P101" t="s">
        <v>97</v>
      </c>
      <c r="Q101" t="s">
        <v>247</v>
      </c>
    </row>
    <row r="102" spans="1:17" s="25" customFormat="1" hidden="1">
      <c r="A102" s="111">
        <v>2.0588645636574074E-2</v>
      </c>
      <c r="B102" t="s">
        <v>97</v>
      </c>
      <c r="C102"/>
      <c r="D102"/>
      <c r="E102" t="s">
        <v>87</v>
      </c>
      <c r="F102"/>
      <c r="G102" t="s">
        <v>98</v>
      </c>
      <c r="H102"/>
      <c r="I102" s="158">
        <v>46278.644467592596</v>
      </c>
      <c r="J102" t="s">
        <v>445</v>
      </c>
      <c r="K102" t="s">
        <v>443</v>
      </c>
      <c r="L102" s="157">
        <v>46277</v>
      </c>
      <c r="M102" t="s">
        <v>442</v>
      </c>
      <c r="N102" t="s">
        <v>231</v>
      </c>
      <c r="O102" t="s">
        <v>444</v>
      </c>
      <c r="P102" t="s">
        <v>97</v>
      </c>
      <c r="Q102" t="s">
        <v>247</v>
      </c>
    </row>
    <row r="103" spans="1:17" s="25" customFormat="1" hidden="1">
      <c r="A103" s="111">
        <v>2.0588645636574074E-2</v>
      </c>
      <c r="B103" t="s">
        <v>97</v>
      </c>
      <c r="C103"/>
      <c r="D103"/>
      <c r="E103" t="s">
        <v>183</v>
      </c>
      <c r="F103"/>
      <c r="G103" t="s">
        <v>164</v>
      </c>
      <c r="H103"/>
      <c r="I103" s="158">
        <v>46278.644456018519</v>
      </c>
      <c r="J103" t="s">
        <v>445</v>
      </c>
      <c r="K103" t="s">
        <v>443</v>
      </c>
      <c r="L103" s="157">
        <v>46277</v>
      </c>
      <c r="M103" t="s">
        <v>442</v>
      </c>
      <c r="N103" t="s">
        <v>231</v>
      </c>
      <c r="O103" t="s">
        <v>444</v>
      </c>
      <c r="P103" t="s">
        <v>97</v>
      </c>
      <c r="Q103" t="s">
        <v>247</v>
      </c>
    </row>
    <row r="104" spans="1:17" s="25" customFormat="1" hidden="1">
      <c r="A104" s="111">
        <v>2.0588645636574074E-2</v>
      </c>
      <c r="B104" t="s">
        <v>97</v>
      </c>
      <c r="C104" t="s">
        <v>475</v>
      </c>
      <c r="D104"/>
      <c r="E104" t="s">
        <v>108</v>
      </c>
      <c r="F104"/>
      <c r="G104" t="s">
        <v>164</v>
      </c>
      <c r="H104"/>
      <c r="I104" s="158">
        <v>46278.64439814815</v>
      </c>
      <c r="J104" t="s">
        <v>445</v>
      </c>
      <c r="K104" t="s">
        <v>443</v>
      </c>
      <c r="L104" s="157">
        <v>46277</v>
      </c>
      <c r="M104" t="s">
        <v>442</v>
      </c>
      <c r="N104" t="s">
        <v>231</v>
      </c>
      <c r="O104" t="s">
        <v>444</v>
      </c>
      <c r="P104" t="s">
        <v>97</v>
      </c>
      <c r="Q104" t="s">
        <v>247</v>
      </c>
    </row>
    <row r="105" spans="1:17" s="25" customFormat="1" hidden="1">
      <c r="A105" s="111">
        <v>2.0531468206018519E-2</v>
      </c>
      <c r="B105" t="s">
        <v>97</v>
      </c>
      <c r="C105" t="s">
        <v>457</v>
      </c>
      <c r="D105"/>
      <c r="E105" t="s">
        <v>59</v>
      </c>
      <c r="F105"/>
      <c r="G105" t="s">
        <v>164</v>
      </c>
      <c r="H105"/>
      <c r="I105" s="158">
        <v>46278.643969907411</v>
      </c>
      <c r="J105" t="s">
        <v>445</v>
      </c>
      <c r="K105" t="s">
        <v>443</v>
      </c>
      <c r="L105" s="157">
        <v>46277</v>
      </c>
      <c r="M105" t="s">
        <v>442</v>
      </c>
      <c r="N105" t="s">
        <v>231</v>
      </c>
      <c r="O105" t="s">
        <v>444</v>
      </c>
      <c r="P105" t="s">
        <v>97</v>
      </c>
      <c r="Q105" t="s">
        <v>247</v>
      </c>
    </row>
    <row r="106" spans="1:17" s="25" customFormat="1" hidden="1">
      <c r="A106" s="111">
        <v>2.0478192337962962E-2</v>
      </c>
      <c r="B106" t="s">
        <v>97</v>
      </c>
      <c r="C106"/>
      <c r="D106"/>
      <c r="E106" t="s">
        <v>188</v>
      </c>
      <c r="F106"/>
      <c r="G106" t="s">
        <v>164</v>
      </c>
      <c r="H106"/>
      <c r="I106" s="158">
        <v>46278.643449074072</v>
      </c>
      <c r="J106" t="s">
        <v>445</v>
      </c>
      <c r="K106" t="s">
        <v>443</v>
      </c>
      <c r="L106" s="157">
        <v>46277</v>
      </c>
      <c r="M106" t="s">
        <v>442</v>
      </c>
      <c r="N106" t="s">
        <v>231</v>
      </c>
      <c r="O106" t="s">
        <v>444</v>
      </c>
      <c r="P106" t="s">
        <v>97</v>
      </c>
      <c r="Q106" t="s">
        <v>247</v>
      </c>
    </row>
    <row r="107" spans="1:17" s="25" customFormat="1" hidden="1">
      <c r="A107" s="111">
        <v>2.0425874733796298E-2</v>
      </c>
      <c r="B107" t="s">
        <v>97</v>
      </c>
      <c r="C107"/>
      <c r="D107"/>
      <c r="E107" t="s">
        <v>184</v>
      </c>
      <c r="F107"/>
      <c r="G107" t="s">
        <v>98</v>
      </c>
      <c r="H107"/>
      <c r="I107" s="158">
        <v>46278.64335648148</v>
      </c>
      <c r="J107" t="s">
        <v>445</v>
      </c>
      <c r="K107" t="s">
        <v>443</v>
      </c>
      <c r="L107" s="157">
        <v>46277</v>
      </c>
      <c r="M107" t="s">
        <v>442</v>
      </c>
      <c r="N107" t="s">
        <v>231</v>
      </c>
      <c r="O107" t="s">
        <v>444</v>
      </c>
      <c r="P107" t="s">
        <v>97</v>
      </c>
      <c r="Q107" t="s">
        <v>247</v>
      </c>
    </row>
    <row r="108" spans="1:17" s="25" customFormat="1" hidden="1">
      <c r="A108" s="111">
        <v>2.0339034444444445E-2</v>
      </c>
      <c r="B108" t="s">
        <v>97</v>
      </c>
      <c r="C108"/>
      <c r="D108"/>
      <c r="E108" t="s">
        <v>108</v>
      </c>
      <c r="F108"/>
      <c r="G108" t="s">
        <v>98</v>
      </c>
      <c r="H108"/>
      <c r="I108" s="158">
        <v>46278.643125000002</v>
      </c>
      <c r="J108" t="s">
        <v>445</v>
      </c>
      <c r="K108" t="s">
        <v>443</v>
      </c>
      <c r="L108" s="157">
        <v>46277</v>
      </c>
      <c r="M108" t="s">
        <v>442</v>
      </c>
      <c r="N108" t="s">
        <v>231</v>
      </c>
      <c r="O108" t="s">
        <v>444</v>
      </c>
      <c r="P108" t="s">
        <v>97</v>
      </c>
      <c r="Q108" t="s">
        <v>247</v>
      </c>
    </row>
    <row r="109" spans="1:17" s="25" customFormat="1" hidden="1">
      <c r="A109" s="111">
        <v>2.0327416712962964E-2</v>
      </c>
      <c r="B109" t="s">
        <v>97</v>
      </c>
      <c r="C109"/>
      <c r="D109"/>
      <c r="E109" t="s">
        <v>59</v>
      </c>
      <c r="F109"/>
      <c r="G109" t="s">
        <v>98</v>
      </c>
      <c r="H109"/>
      <c r="I109" s="158">
        <v>46278.643067129633</v>
      </c>
      <c r="J109" t="s">
        <v>445</v>
      </c>
      <c r="K109" t="s">
        <v>443</v>
      </c>
      <c r="L109" s="157">
        <v>46277</v>
      </c>
      <c r="M109" t="s">
        <v>442</v>
      </c>
      <c r="N109" t="s">
        <v>231</v>
      </c>
      <c r="O109" t="s">
        <v>444</v>
      </c>
      <c r="P109" t="s">
        <v>97</v>
      </c>
      <c r="Q109" t="s">
        <v>247</v>
      </c>
    </row>
    <row r="110" spans="1:17" s="25" customFormat="1" hidden="1">
      <c r="A110" s="111">
        <v>2.0316714664351851E-2</v>
      </c>
      <c r="B110" t="s">
        <v>97</v>
      </c>
      <c r="C110"/>
      <c r="D110"/>
      <c r="E110" t="s">
        <v>59</v>
      </c>
      <c r="F110"/>
      <c r="G110" t="s">
        <v>98</v>
      </c>
      <c r="H110"/>
      <c r="I110" s="158">
        <v>46278.642870370371</v>
      </c>
      <c r="J110" t="s">
        <v>445</v>
      </c>
      <c r="K110" t="s">
        <v>443</v>
      </c>
      <c r="L110" s="157">
        <v>46277</v>
      </c>
      <c r="M110" t="s">
        <v>442</v>
      </c>
      <c r="N110" t="s">
        <v>231</v>
      </c>
      <c r="O110" t="s">
        <v>444</v>
      </c>
      <c r="P110" t="s">
        <v>97</v>
      </c>
      <c r="Q110" t="s">
        <v>247</v>
      </c>
    </row>
    <row r="111" spans="1:17" s="25" customFormat="1" hidden="1">
      <c r="A111" s="111">
        <v>2.0289819456018519E-2</v>
      </c>
      <c r="B111" t="s">
        <v>97</v>
      </c>
      <c r="C111"/>
      <c r="D111"/>
      <c r="E111" t="s">
        <v>186</v>
      </c>
      <c r="F111"/>
      <c r="G111" t="s">
        <v>98</v>
      </c>
      <c r="H111"/>
      <c r="I111" s="158">
        <v>46278.642627314817</v>
      </c>
      <c r="J111" t="s">
        <v>445</v>
      </c>
      <c r="K111" t="s">
        <v>443</v>
      </c>
      <c r="L111" s="157">
        <v>46277</v>
      </c>
      <c r="M111" t="s">
        <v>442</v>
      </c>
      <c r="N111" t="s">
        <v>231</v>
      </c>
      <c r="O111" t="s">
        <v>444</v>
      </c>
      <c r="P111" t="s">
        <v>97</v>
      </c>
      <c r="Q111" t="s">
        <v>247</v>
      </c>
    </row>
    <row r="112" spans="1:17" s="25" customFormat="1" hidden="1">
      <c r="A112" s="111">
        <v>2.025366929398148E-2</v>
      </c>
      <c r="B112" t="s">
        <v>97</v>
      </c>
      <c r="C112"/>
      <c r="D112"/>
      <c r="E112" t="s">
        <v>100</v>
      </c>
      <c r="F112"/>
      <c r="G112" t="s">
        <v>164</v>
      </c>
      <c r="H112"/>
      <c r="I112" s="158">
        <v>46278.642407407409</v>
      </c>
      <c r="J112" t="s">
        <v>445</v>
      </c>
      <c r="K112" t="s">
        <v>443</v>
      </c>
      <c r="L112" s="157">
        <v>46277</v>
      </c>
      <c r="M112" t="s">
        <v>442</v>
      </c>
      <c r="N112" t="s">
        <v>231</v>
      </c>
      <c r="O112" t="s">
        <v>444</v>
      </c>
      <c r="P112" t="s">
        <v>97</v>
      </c>
      <c r="Q112" t="s">
        <v>247</v>
      </c>
    </row>
    <row r="113" spans="1:17" s="25" customFormat="1" hidden="1">
      <c r="A113" s="111">
        <v>1.9947710092592594E-2</v>
      </c>
      <c r="B113" t="s">
        <v>97</v>
      </c>
      <c r="C113" t="s">
        <v>472</v>
      </c>
      <c r="D113"/>
      <c r="E113" t="s">
        <v>115</v>
      </c>
      <c r="F113"/>
      <c r="G113" t="s">
        <v>98</v>
      </c>
      <c r="H113"/>
      <c r="I113" s="158">
        <v>46278.642083333332</v>
      </c>
      <c r="J113" t="s">
        <v>445</v>
      </c>
      <c r="K113" t="s">
        <v>443</v>
      </c>
      <c r="L113" s="157">
        <v>46277</v>
      </c>
      <c r="M113" t="s">
        <v>442</v>
      </c>
      <c r="N113" t="s">
        <v>231</v>
      </c>
      <c r="O113" t="s">
        <v>444</v>
      </c>
      <c r="P113" t="s">
        <v>97</v>
      </c>
      <c r="Q113" t="s">
        <v>247</v>
      </c>
    </row>
    <row r="114" spans="1:17" s="25" customFormat="1" hidden="1">
      <c r="A114" s="111">
        <v>1.9085870104166666E-2</v>
      </c>
      <c r="B114" t="s">
        <v>97</v>
      </c>
      <c r="C114"/>
      <c r="D114"/>
      <c r="E114" t="s">
        <v>87</v>
      </c>
      <c r="F114"/>
      <c r="G114" t="s">
        <v>98</v>
      </c>
      <c r="H114"/>
      <c r="I114" s="158">
        <v>46278.641770833332</v>
      </c>
      <c r="J114" t="s">
        <v>445</v>
      </c>
      <c r="K114" t="s">
        <v>443</v>
      </c>
      <c r="L114" s="157">
        <v>46277</v>
      </c>
      <c r="M114" t="s">
        <v>442</v>
      </c>
      <c r="N114" t="s">
        <v>231</v>
      </c>
      <c r="O114" t="s">
        <v>444</v>
      </c>
      <c r="P114" t="s">
        <v>97</v>
      </c>
      <c r="Q114" t="s">
        <v>247</v>
      </c>
    </row>
    <row r="115" spans="1:17" s="25" customFormat="1" hidden="1">
      <c r="A115" s="111">
        <v>1.9085870104166666E-2</v>
      </c>
      <c r="B115" t="s">
        <v>97</v>
      </c>
      <c r="C115" t="s">
        <v>469</v>
      </c>
      <c r="D115"/>
      <c r="E115" t="s">
        <v>103</v>
      </c>
      <c r="F115"/>
      <c r="G115" t="s">
        <v>98</v>
      </c>
      <c r="H115"/>
      <c r="I115" s="158">
        <v>46278.641770833332</v>
      </c>
      <c r="J115" t="s">
        <v>445</v>
      </c>
      <c r="K115" t="s">
        <v>443</v>
      </c>
      <c r="L115" s="157">
        <v>46277</v>
      </c>
      <c r="M115" t="s">
        <v>442</v>
      </c>
      <c r="N115" t="s">
        <v>231</v>
      </c>
      <c r="O115" t="s">
        <v>444</v>
      </c>
      <c r="P115" t="s">
        <v>97</v>
      </c>
      <c r="Q115" t="s">
        <v>247</v>
      </c>
    </row>
    <row r="116" spans="1:17" s="25" customFormat="1">
      <c r="A116" s="111">
        <v>1.899326658564815E-2</v>
      </c>
      <c r="B116" t="s">
        <v>97</v>
      </c>
      <c r="C116" t="s">
        <v>472</v>
      </c>
      <c r="D116"/>
      <c r="E116" t="s">
        <v>304</v>
      </c>
      <c r="F116"/>
      <c r="G116" t="s">
        <v>98</v>
      </c>
      <c r="H116"/>
      <c r="I116" s="158">
        <v>46278.641400462962</v>
      </c>
      <c r="J116" t="s">
        <v>445</v>
      </c>
      <c r="K116" t="s">
        <v>443</v>
      </c>
      <c r="L116" s="157">
        <v>46277</v>
      </c>
      <c r="M116" t="s">
        <v>442</v>
      </c>
      <c r="N116" t="s">
        <v>231</v>
      </c>
      <c r="O116" t="s">
        <v>444</v>
      </c>
      <c r="P116" t="s">
        <v>97</v>
      </c>
      <c r="Q116" t="s">
        <v>247</v>
      </c>
    </row>
    <row r="117" spans="1:17" s="25" customFormat="1" hidden="1">
      <c r="A117" s="111">
        <v>1.899326658564815E-2</v>
      </c>
      <c r="B117" t="s">
        <v>97</v>
      </c>
      <c r="C117"/>
      <c r="D117"/>
      <c r="E117" t="s">
        <v>59</v>
      </c>
      <c r="F117"/>
      <c r="G117" t="s">
        <v>98</v>
      </c>
      <c r="H117"/>
      <c r="I117" s="158">
        <v>46278.641319444447</v>
      </c>
      <c r="J117" t="s">
        <v>445</v>
      </c>
      <c r="K117" t="s">
        <v>443</v>
      </c>
      <c r="L117" s="157">
        <v>46277</v>
      </c>
      <c r="M117" t="s">
        <v>442</v>
      </c>
      <c r="N117" t="s">
        <v>231</v>
      </c>
      <c r="O117" t="s">
        <v>444</v>
      </c>
      <c r="P117" t="s">
        <v>97</v>
      </c>
      <c r="Q117" t="s">
        <v>247</v>
      </c>
    </row>
    <row r="118" spans="1:17" s="25" customFormat="1" hidden="1">
      <c r="A118" s="111">
        <v>1.8952862523148147E-2</v>
      </c>
      <c r="B118" t="s">
        <v>97</v>
      </c>
      <c r="C118"/>
      <c r="D118"/>
      <c r="E118" t="s">
        <v>108</v>
      </c>
      <c r="F118"/>
      <c r="G118" t="s">
        <v>98</v>
      </c>
      <c r="H118"/>
      <c r="I118" s="158">
        <v>46278.641226851854</v>
      </c>
      <c r="J118" t="s">
        <v>445</v>
      </c>
      <c r="K118" t="s">
        <v>443</v>
      </c>
      <c r="L118" s="157">
        <v>46277</v>
      </c>
      <c r="M118" t="s">
        <v>442</v>
      </c>
      <c r="N118" t="s">
        <v>231</v>
      </c>
      <c r="O118" t="s">
        <v>444</v>
      </c>
      <c r="P118" t="s">
        <v>97</v>
      </c>
      <c r="Q118" t="s">
        <v>247</v>
      </c>
    </row>
    <row r="119" spans="1:17" s="25" customFormat="1" hidden="1">
      <c r="A119" s="111">
        <v>1.8952862523148147E-2</v>
      </c>
      <c r="B119" t="s">
        <v>97</v>
      </c>
      <c r="C119"/>
      <c r="D119"/>
      <c r="E119" t="s">
        <v>59</v>
      </c>
      <c r="F119"/>
      <c r="G119" t="s">
        <v>98</v>
      </c>
      <c r="H119"/>
      <c r="I119" s="158">
        <v>46278.641215277778</v>
      </c>
      <c r="J119" t="s">
        <v>445</v>
      </c>
      <c r="K119" t="s">
        <v>443</v>
      </c>
      <c r="L119" s="157">
        <v>46277</v>
      </c>
      <c r="M119" t="s">
        <v>442</v>
      </c>
      <c r="N119" t="s">
        <v>231</v>
      </c>
      <c r="O119" t="s">
        <v>444</v>
      </c>
      <c r="P119" t="s">
        <v>97</v>
      </c>
      <c r="Q119" t="s">
        <v>247</v>
      </c>
    </row>
    <row r="120" spans="1:17" s="25" customFormat="1" hidden="1">
      <c r="A120" s="111">
        <v>1.8889261203703704E-2</v>
      </c>
      <c r="B120" t="s">
        <v>97</v>
      </c>
      <c r="C120"/>
      <c r="D120"/>
      <c r="E120" t="s">
        <v>108</v>
      </c>
      <c r="F120"/>
      <c r="G120" t="s">
        <v>98</v>
      </c>
      <c r="H120"/>
      <c r="I120" s="158">
        <v>46278.641111111108</v>
      </c>
      <c r="J120" t="s">
        <v>445</v>
      </c>
      <c r="K120" t="s">
        <v>443</v>
      </c>
      <c r="L120" s="157">
        <v>46277</v>
      </c>
      <c r="M120" t="s">
        <v>442</v>
      </c>
      <c r="N120" t="s">
        <v>231</v>
      </c>
      <c r="O120" t="s">
        <v>444</v>
      </c>
      <c r="P120" t="s">
        <v>97</v>
      </c>
      <c r="Q120" t="s">
        <v>247</v>
      </c>
    </row>
    <row r="121" spans="1:17" s="25" customFormat="1" hidden="1">
      <c r="A121" s="111">
        <v>1.8820069895833333E-2</v>
      </c>
      <c r="B121" t="s">
        <v>97</v>
      </c>
      <c r="C121"/>
      <c r="D121"/>
      <c r="E121" t="s">
        <v>108</v>
      </c>
      <c r="F121"/>
      <c r="G121" t="s">
        <v>98</v>
      </c>
      <c r="H121"/>
      <c r="I121" s="158">
        <v>46278.641006944446</v>
      </c>
      <c r="J121" t="s">
        <v>445</v>
      </c>
      <c r="K121" t="s">
        <v>443</v>
      </c>
      <c r="L121" s="157">
        <v>46277</v>
      </c>
      <c r="M121" t="s">
        <v>442</v>
      </c>
      <c r="N121" t="s">
        <v>231</v>
      </c>
      <c r="O121" t="s">
        <v>444</v>
      </c>
      <c r="P121" t="s">
        <v>97</v>
      </c>
      <c r="Q121" t="s">
        <v>247</v>
      </c>
    </row>
    <row r="122" spans="1:17" s="25" customFormat="1" hidden="1">
      <c r="A122" s="111">
        <v>1.8688371527777779E-2</v>
      </c>
      <c r="B122" t="s">
        <v>97</v>
      </c>
      <c r="C122" t="s">
        <v>452</v>
      </c>
      <c r="D122"/>
      <c r="E122" t="s">
        <v>111</v>
      </c>
      <c r="F122"/>
      <c r="G122" t="s">
        <v>98</v>
      </c>
      <c r="H122"/>
      <c r="I122" s="158">
        <v>46278.640983796293</v>
      </c>
      <c r="J122" t="s">
        <v>445</v>
      </c>
      <c r="K122" t="s">
        <v>443</v>
      </c>
      <c r="L122" s="157">
        <v>46277</v>
      </c>
      <c r="M122" t="s">
        <v>442</v>
      </c>
      <c r="N122" t="s">
        <v>231</v>
      </c>
      <c r="O122" t="s">
        <v>444</v>
      </c>
      <c r="P122" t="s">
        <v>97</v>
      </c>
      <c r="Q122" t="s">
        <v>247</v>
      </c>
    </row>
    <row r="123" spans="1:17" s="25" customFormat="1" hidden="1">
      <c r="A123" s="111">
        <v>1.8479279212962961E-2</v>
      </c>
      <c r="B123" t="s">
        <v>97</v>
      </c>
      <c r="C123"/>
      <c r="D123"/>
      <c r="E123" t="s">
        <v>104</v>
      </c>
      <c r="F123"/>
      <c r="G123" t="s">
        <v>98</v>
      </c>
      <c r="H123"/>
      <c r="I123" s="158">
        <v>46278.640520833331</v>
      </c>
      <c r="J123" t="s">
        <v>445</v>
      </c>
      <c r="K123" t="s">
        <v>443</v>
      </c>
      <c r="L123" s="157">
        <v>46277</v>
      </c>
      <c r="M123" t="s">
        <v>442</v>
      </c>
      <c r="N123" t="s">
        <v>231</v>
      </c>
      <c r="O123" t="s">
        <v>444</v>
      </c>
      <c r="P123" t="s">
        <v>97</v>
      </c>
      <c r="Q123" t="s">
        <v>247</v>
      </c>
    </row>
    <row r="124" spans="1:17" s="25" customFormat="1" hidden="1">
      <c r="A124" s="111">
        <v>1.8192985810185185E-2</v>
      </c>
      <c r="B124" t="s">
        <v>97</v>
      </c>
      <c r="C124"/>
      <c r="D124"/>
      <c r="E124" t="s">
        <v>87</v>
      </c>
      <c r="F124"/>
      <c r="G124" t="s">
        <v>98</v>
      </c>
      <c r="H124"/>
      <c r="I124" s="158">
        <v>46278.64025462963</v>
      </c>
      <c r="J124" t="s">
        <v>445</v>
      </c>
      <c r="K124" t="s">
        <v>443</v>
      </c>
      <c r="L124" s="157">
        <v>46277</v>
      </c>
      <c r="M124" t="s">
        <v>442</v>
      </c>
      <c r="N124" t="s">
        <v>231</v>
      </c>
      <c r="O124" t="s">
        <v>444</v>
      </c>
      <c r="P124" t="s">
        <v>97</v>
      </c>
      <c r="Q124" t="s">
        <v>247</v>
      </c>
    </row>
    <row r="125" spans="1:17" s="25" customFormat="1" hidden="1">
      <c r="A125" s="111">
        <v>1.8123377986111112E-2</v>
      </c>
      <c r="B125" t="s">
        <v>97</v>
      </c>
      <c r="C125" t="s">
        <v>469</v>
      </c>
      <c r="D125"/>
      <c r="E125" t="s">
        <v>108</v>
      </c>
      <c r="F125"/>
      <c r="G125" t="s">
        <v>164</v>
      </c>
      <c r="H125"/>
      <c r="I125" s="158">
        <v>46278.639525462961</v>
      </c>
      <c r="J125" t="s">
        <v>445</v>
      </c>
      <c r="K125" t="s">
        <v>443</v>
      </c>
      <c r="L125" s="157">
        <v>46277</v>
      </c>
      <c r="M125" t="s">
        <v>442</v>
      </c>
      <c r="N125" t="s">
        <v>231</v>
      </c>
      <c r="O125" t="s">
        <v>444</v>
      </c>
      <c r="P125" t="s">
        <v>97</v>
      </c>
      <c r="Q125" t="s">
        <v>247</v>
      </c>
    </row>
    <row r="126" spans="1:17" s="25" customFormat="1" hidden="1">
      <c r="A126" s="111">
        <v>1.8027526342592592E-2</v>
      </c>
      <c r="B126" t="s">
        <v>97</v>
      </c>
      <c r="C126"/>
      <c r="D126"/>
      <c r="E126" t="s">
        <v>113</v>
      </c>
      <c r="F126"/>
      <c r="G126" t="s">
        <v>164</v>
      </c>
      <c r="H126"/>
      <c r="I126" s="158">
        <v>46278.639513888891</v>
      </c>
      <c r="J126" t="s">
        <v>445</v>
      </c>
      <c r="K126" t="s">
        <v>443</v>
      </c>
      <c r="L126" s="157">
        <v>46277</v>
      </c>
      <c r="M126" t="s">
        <v>442</v>
      </c>
      <c r="N126" t="s">
        <v>231</v>
      </c>
      <c r="O126" t="s">
        <v>444</v>
      </c>
      <c r="P126" t="s">
        <v>97</v>
      </c>
      <c r="Q126" t="s">
        <v>247</v>
      </c>
    </row>
    <row r="127" spans="1:17" s="25" customFormat="1" hidden="1">
      <c r="A127" s="111">
        <v>1.7984386388888888E-2</v>
      </c>
      <c r="B127" t="s">
        <v>97</v>
      </c>
      <c r="C127"/>
      <c r="D127"/>
      <c r="E127" t="s">
        <v>104</v>
      </c>
      <c r="F127"/>
      <c r="G127" t="s">
        <v>164</v>
      </c>
      <c r="H127"/>
      <c r="I127" s="158">
        <v>46278.638506944444</v>
      </c>
      <c r="J127" t="s">
        <v>445</v>
      </c>
      <c r="K127" t="s">
        <v>443</v>
      </c>
      <c r="L127" s="157">
        <v>46277</v>
      </c>
      <c r="M127" t="s">
        <v>442</v>
      </c>
      <c r="N127" t="s">
        <v>231</v>
      </c>
      <c r="O127" t="s">
        <v>444</v>
      </c>
      <c r="P127" t="s">
        <v>97</v>
      </c>
      <c r="Q127" t="s">
        <v>247</v>
      </c>
    </row>
    <row r="128" spans="1:17" s="25" customFormat="1" hidden="1">
      <c r="A128" s="111">
        <v>1.4779492303240742E-2</v>
      </c>
      <c r="B128" t="s">
        <v>97</v>
      </c>
      <c r="C128"/>
      <c r="D128"/>
      <c r="E128" t="s">
        <v>87</v>
      </c>
      <c r="F128"/>
      <c r="G128" t="s">
        <v>164</v>
      </c>
      <c r="H128"/>
      <c r="I128" s="158">
        <v>46278.629942129628</v>
      </c>
      <c r="J128" t="s">
        <v>445</v>
      </c>
      <c r="K128" t="s">
        <v>443</v>
      </c>
      <c r="L128" s="157">
        <v>46277</v>
      </c>
      <c r="M128" t="s">
        <v>442</v>
      </c>
      <c r="N128" t="s">
        <v>231</v>
      </c>
      <c r="O128" t="s">
        <v>444</v>
      </c>
      <c r="P128" t="s">
        <v>97</v>
      </c>
      <c r="Q128" t="s">
        <v>247</v>
      </c>
    </row>
    <row r="129" spans="1:17" s="25" customFormat="1" hidden="1">
      <c r="A129" s="111">
        <v>1.4779492303240742E-2</v>
      </c>
      <c r="B129" t="s">
        <v>97</v>
      </c>
      <c r="C129" t="s">
        <v>82</v>
      </c>
      <c r="D129" t="s">
        <v>82</v>
      </c>
      <c r="E129" t="s">
        <v>214</v>
      </c>
      <c r="F129" t="s">
        <v>207</v>
      </c>
      <c r="G129" t="s">
        <v>164</v>
      </c>
      <c r="H129"/>
      <c r="I129" s="158">
        <v>46278.629942129628</v>
      </c>
      <c r="J129" t="s">
        <v>445</v>
      </c>
      <c r="K129" t="s">
        <v>443</v>
      </c>
      <c r="L129" s="157">
        <v>46277</v>
      </c>
      <c r="M129" t="s">
        <v>442</v>
      </c>
      <c r="N129" t="s">
        <v>231</v>
      </c>
      <c r="O129" t="s">
        <v>444</v>
      </c>
      <c r="P129" t="s">
        <v>97</v>
      </c>
      <c r="Q129" t="s">
        <v>247</v>
      </c>
    </row>
    <row r="130" spans="1:17" s="25" customFormat="1" hidden="1">
      <c r="A130" s="111">
        <v>1.4618637222222222E-2</v>
      </c>
      <c r="B130" t="s">
        <v>97</v>
      </c>
      <c r="C130"/>
      <c r="D130"/>
      <c r="E130" t="s">
        <v>183</v>
      </c>
      <c r="F130"/>
      <c r="G130" t="s">
        <v>164</v>
      </c>
      <c r="H130"/>
      <c r="I130" s="158">
        <v>46278.628449074073</v>
      </c>
      <c r="J130" t="s">
        <v>445</v>
      </c>
      <c r="K130" t="s">
        <v>443</v>
      </c>
      <c r="L130" s="157">
        <v>46277</v>
      </c>
      <c r="M130" t="s">
        <v>442</v>
      </c>
      <c r="N130" t="s">
        <v>231</v>
      </c>
      <c r="O130" t="s">
        <v>444</v>
      </c>
      <c r="P130" t="s">
        <v>97</v>
      </c>
      <c r="Q130" t="s">
        <v>247</v>
      </c>
    </row>
    <row r="131" spans="1:17" s="25" customFormat="1" hidden="1">
      <c r="A131" s="111">
        <v>1.4618637222222222E-2</v>
      </c>
      <c r="B131" t="s">
        <v>97</v>
      </c>
      <c r="C131" t="s">
        <v>454</v>
      </c>
      <c r="D131"/>
      <c r="E131" t="s">
        <v>108</v>
      </c>
      <c r="F131"/>
      <c r="G131" t="s">
        <v>164</v>
      </c>
      <c r="H131"/>
      <c r="I131" s="158">
        <v>46278.628321759257</v>
      </c>
      <c r="J131" t="s">
        <v>445</v>
      </c>
      <c r="K131" t="s">
        <v>443</v>
      </c>
      <c r="L131" s="157">
        <v>46277</v>
      </c>
      <c r="M131" t="s">
        <v>442</v>
      </c>
      <c r="N131" t="s">
        <v>231</v>
      </c>
      <c r="O131" t="s">
        <v>444</v>
      </c>
      <c r="P131" t="s">
        <v>97</v>
      </c>
      <c r="Q131" t="s">
        <v>247</v>
      </c>
    </row>
    <row r="132" spans="1:17" s="25" customFormat="1" hidden="1">
      <c r="A132" s="111">
        <v>1.446879795138889E-2</v>
      </c>
      <c r="B132" t="s">
        <v>97</v>
      </c>
      <c r="C132" t="s">
        <v>456</v>
      </c>
      <c r="D132"/>
      <c r="E132" t="s">
        <v>108</v>
      </c>
      <c r="F132"/>
      <c r="G132" t="s">
        <v>164</v>
      </c>
      <c r="H132"/>
      <c r="I132" s="158">
        <v>46278.627881944441</v>
      </c>
      <c r="J132" t="s">
        <v>445</v>
      </c>
      <c r="K132" t="s">
        <v>443</v>
      </c>
      <c r="L132" s="157">
        <v>46277</v>
      </c>
      <c r="M132" t="s">
        <v>442</v>
      </c>
      <c r="N132" t="s">
        <v>231</v>
      </c>
      <c r="O132" t="s">
        <v>444</v>
      </c>
      <c r="P132" t="s">
        <v>97</v>
      </c>
      <c r="Q132" t="s">
        <v>247</v>
      </c>
    </row>
    <row r="133" spans="1:17" s="25" customFormat="1" hidden="1">
      <c r="A133" s="111">
        <v>1.4447897951388889E-2</v>
      </c>
      <c r="B133" t="s">
        <v>97</v>
      </c>
      <c r="C133"/>
      <c r="D133"/>
      <c r="E133" t="s">
        <v>188</v>
      </c>
      <c r="F133"/>
      <c r="G133" t="s">
        <v>164</v>
      </c>
      <c r="H133"/>
      <c r="I133" s="158">
        <v>46278.627800925926</v>
      </c>
      <c r="J133" t="s">
        <v>445</v>
      </c>
      <c r="K133" t="s">
        <v>443</v>
      </c>
      <c r="L133" s="157">
        <v>46277</v>
      </c>
      <c r="M133" t="s">
        <v>442</v>
      </c>
      <c r="N133" t="s">
        <v>231</v>
      </c>
      <c r="O133" t="s">
        <v>444</v>
      </c>
      <c r="P133" t="s">
        <v>97</v>
      </c>
      <c r="Q133" t="s">
        <v>247</v>
      </c>
    </row>
    <row r="134" spans="1:17" s="25" customFormat="1" hidden="1">
      <c r="A134" s="111">
        <v>1.4389016412037037E-2</v>
      </c>
      <c r="B134" t="s">
        <v>97</v>
      </c>
      <c r="C134"/>
      <c r="D134"/>
      <c r="E134" t="s">
        <v>184</v>
      </c>
      <c r="F134"/>
      <c r="G134" t="s">
        <v>98</v>
      </c>
      <c r="H134"/>
      <c r="I134" s="158">
        <v>46278.627627314818</v>
      </c>
      <c r="J134" t="s">
        <v>445</v>
      </c>
      <c r="K134" t="s">
        <v>443</v>
      </c>
      <c r="L134" s="157">
        <v>46277</v>
      </c>
      <c r="M134" t="s">
        <v>442</v>
      </c>
      <c r="N134" t="s">
        <v>231</v>
      </c>
      <c r="O134" t="s">
        <v>444</v>
      </c>
      <c r="P134" t="s">
        <v>97</v>
      </c>
      <c r="Q134" t="s">
        <v>247</v>
      </c>
    </row>
    <row r="135" spans="1:17" s="25" customFormat="1" hidden="1">
      <c r="A135" s="111">
        <v>1.4355728865740741E-2</v>
      </c>
      <c r="B135" t="s">
        <v>97</v>
      </c>
      <c r="C135" t="s">
        <v>449</v>
      </c>
      <c r="D135"/>
      <c r="E135" t="s">
        <v>111</v>
      </c>
      <c r="F135"/>
      <c r="G135" t="s">
        <v>98</v>
      </c>
      <c r="H135"/>
      <c r="I135" s="158">
        <v>46278.627615740741</v>
      </c>
      <c r="J135" t="s">
        <v>445</v>
      </c>
      <c r="K135" t="s">
        <v>443</v>
      </c>
      <c r="L135" s="157">
        <v>46277</v>
      </c>
      <c r="M135" t="s">
        <v>442</v>
      </c>
      <c r="N135" t="s">
        <v>231</v>
      </c>
      <c r="O135" t="s">
        <v>444</v>
      </c>
      <c r="P135" t="s">
        <v>97</v>
      </c>
      <c r="Q135" t="s">
        <v>247</v>
      </c>
    </row>
    <row r="136" spans="1:17" s="25" customFormat="1" hidden="1">
      <c r="A136" s="111">
        <v>1.4281900937500001E-2</v>
      </c>
      <c r="B136" t="s">
        <v>97</v>
      </c>
      <c r="C136"/>
      <c r="D136"/>
      <c r="E136" t="s">
        <v>104</v>
      </c>
      <c r="F136"/>
      <c r="G136" t="s">
        <v>98</v>
      </c>
      <c r="H136"/>
      <c r="I136" s="158">
        <v>46278.627384259256</v>
      </c>
      <c r="J136" t="s">
        <v>445</v>
      </c>
      <c r="K136" t="s">
        <v>443</v>
      </c>
      <c r="L136" s="157">
        <v>46277</v>
      </c>
      <c r="M136" t="s">
        <v>442</v>
      </c>
      <c r="N136" t="s">
        <v>231</v>
      </c>
      <c r="O136" t="s">
        <v>444</v>
      </c>
      <c r="P136" t="s">
        <v>97</v>
      </c>
      <c r="Q136" t="s">
        <v>247</v>
      </c>
    </row>
    <row r="137" spans="1:17" s="25" customFormat="1" hidden="1">
      <c r="A137" s="111">
        <v>1.3825767060185186E-2</v>
      </c>
      <c r="B137" t="s">
        <v>97</v>
      </c>
      <c r="C137"/>
      <c r="D137"/>
      <c r="E137" t="s">
        <v>87</v>
      </c>
      <c r="F137"/>
      <c r="G137" t="s">
        <v>98</v>
      </c>
      <c r="H137"/>
      <c r="I137" s="158">
        <v>46278.62699074074</v>
      </c>
      <c r="J137" t="s">
        <v>445</v>
      </c>
      <c r="K137" t="s">
        <v>443</v>
      </c>
      <c r="L137" s="157">
        <v>46277</v>
      </c>
      <c r="M137" t="s">
        <v>442</v>
      </c>
      <c r="N137" t="s">
        <v>231</v>
      </c>
      <c r="O137" t="s">
        <v>444</v>
      </c>
      <c r="P137" t="s">
        <v>97</v>
      </c>
      <c r="Q137" t="s">
        <v>247</v>
      </c>
    </row>
    <row r="138" spans="1:17" s="25" customFormat="1" hidden="1">
      <c r="A138" s="111">
        <v>1.3825767060185186E-2</v>
      </c>
      <c r="B138" t="s">
        <v>97</v>
      </c>
      <c r="C138"/>
      <c r="D138"/>
      <c r="E138" t="s">
        <v>213</v>
      </c>
      <c r="F138" t="s">
        <v>135</v>
      </c>
      <c r="G138" t="s">
        <v>98</v>
      </c>
      <c r="H138"/>
      <c r="I138" s="158">
        <v>46278.62699074074</v>
      </c>
      <c r="J138" t="s">
        <v>445</v>
      </c>
      <c r="K138" t="s">
        <v>443</v>
      </c>
      <c r="L138" s="157">
        <v>46277</v>
      </c>
      <c r="M138" t="s">
        <v>442</v>
      </c>
      <c r="N138" t="s">
        <v>231</v>
      </c>
      <c r="O138" t="s">
        <v>444</v>
      </c>
      <c r="P138" t="s">
        <v>97</v>
      </c>
      <c r="Q138" t="s">
        <v>247</v>
      </c>
    </row>
    <row r="139" spans="1:17" s="25" customFormat="1" hidden="1">
      <c r="A139" s="111">
        <v>1.3761816481481483E-2</v>
      </c>
      <c r="B139" t="s">
        <v>97</v>
      </c>
      <c r="C139"/>
      <c r="D139"/>
      <c r="E139" t="s">
        <v>135</v>
      </c>
      <c r="F139"/>
      <c r="G139" t="s">
        <v>98</v>
      </c>
      <c r="H139"/>
      <c r="I139" s="158">
        <v>46278.626782407409</v>
      </c>
      <c r="J139" t="s">
        <v>445</v>
      </c>
      <c r="K139" t="s">
        <v>443</v>
      </c>
      <c r="L139" s="157">
        <v>46277</v>
      </c>
      <c r="M139" t="s">
        <v>442</v>
      </c>
      <c r="N139" t="s">
        <v>231</v>
      </c>
      <c r="O139" t="s">
        <v>444</v>
      </c>
      <c r="P139" t="s">
        <v>97</v>
      </c>
      <c r="Q139" t="s">
        <v>247</v>
      </c>
    </row>
    <row r="140" spans="1:17" s="25" customFormat="1" hidden="1">
      <c r="A140" s="111">
        <v>1.3721102881944445E-2</v>
      </c>
      <c r="B140" t="s">
        <v>97</v>
      </c>
      <c r="C140"/>
      <c r="D140"/>
      <c r="E140" t="s">
        <v>59</v>
      </c>
      <c r="F140"/>
      <c r="G140" t="s">
        <v>98</v>
      </c>
      <c r="H140"/>
      <c r="I140" s="158">
        <v>46278.626493055555</v>
      </c>
      <c r="J140" t="s">
        <v>445</v>
      </c>
      <c r="K140" t="s">
        <v>443</v>
      </c>
      <c r="L140" s="157">
        <v>46277</v>
      </c>
      <c r="M140" t="s">
        <v>442</v>
      </c>
      <c r="N140" t="s">
        <v>231</v>
      </c>
      <c r="O140" t="s">
        <v>444</v>
      </c>
      <c r="P140" t="s">
        <v>97</v>
      </c>
      <c r="Q140" t="s">
        <v>247</v>
      </c>
    </row>
    <row r="141" spans="1:17" s="25" customFormat="1" hidden="1">
      <c r="A141" s="111">
        <v>1.3721102881944445E-2</v>
      </c>
      <c r="B141" t="s">
        <v>97</v>
      </c>
      <c r="C141"/>
      <c r="D141"/>
      <c r="E141" t="s">
        <v>183</v>
      </c>
      <c r="F141"/>
      <c r="G141" t="s">
        <v>164</v>
      </c>
      <c r="H141"/>
      <c r="I141" s="158">
        <v>46278.626435185186</v>
      </c>
      <c r="J141" t="s">
        <v>445</v>
      </c>
      <c r="K141" t="s">
        <v>443</v>
      </c>
      <c r="L141" s="157">
        <v>46277</v>
      </c>
      <c r="M141" t="s">
        <v>442</v>
      </c>
      <c r="N141" t="s">
        <v>231</v>
      </c>
      <c r="O141" t="s">
        <v>444</v>
      </c>
      <c r="P141" t="s">
        <v>97</v>
      </c>
      <c r="Q141" t="s">
        <v>247</v>
      </c>
    </row>
    <row r="142" spans="1:17" s="25" customFormat="1" hidden="1">
      <c r="A142" s="111">
        <v>1.3640091979166666E-2</v>
      </c>
      <c r="B142" t="s">
        <v>97</v>
      </c>
      <c r="C142"/>
      <c r="D142"/>
      <c r="E142" t="s">
        <v>113</v>
      </c>
      <c r="F142"/>
      <c r="G142" t="s">
        <v>164</v>
      </c>
      <c r="H142"/>
      <c r="I142" s="158">
        <v>46278.626273148147</v>
      </c>
      <c r="J142" t="s">
        <v>445</v>
      </c>
      <c r="K142" t="s">
        <v>443</v>
      </c>
      <c r="L142" s="157">
        <v>46277</v>
      </c>
      <c r="M142" t="s">
        <v>442</v>
      </c>
      <c r="N142" t="s">
        <v>231</v>
      </c>
      <c r="O142" t="s">
        <v>444</v>
      </c>
      <c r="P142" t="s">
        <v>97</v>
      </c>
      <c r="Q142" t="s">
        <v>247</v>
      </c>
    </row>
    <row r="143" spans="1:17" s="25" customFormat="1" hidden="1">
      <c r="A143" s="111">
        <v>1.3210661226851852E-2</v>
      </c>
      <c r="B143" t="s">
        <v>97</v>
      </c>
      <c r="C143"/>
      <c r="D143"/>
      <c r="E143" t="s">
        <v>104</v>
      </c>
      <c r="F143"/>
      <c r="G143" t="s">
        <v>98</v>
      </c>
      <c r="H143"/>
      <c r="I143" s="158">
        <v>46278.625949074078</v>
      </c>
      <c r="J143" t="s">
        <v>445</v>
      </c>
      <c r="K143" t="s">
        <v>443</v>
      </c>
      <c r="L143" s="157">
        <v>46277</v>
      </c>
      <c r="M143" t="s">
        <v>442</v>
      </c>
      <c r="N143" t="s">
        <v>231</v>
      </c>
      <c r="O143" t="s">
        <v>444</v>
      </c>
      <c r="P143" t="s">
        <v>97</v>
      </c>
      <c r="Q143" t="s">
        <v>247</v>
      </c>
    </row>
    <row r="144" spans="1:17" s="25" customFormat="1" hidden="1">
      <c r="A144" s="111">
        <v>1.286451130787037E-2</v>
      </c>
      <c r="B144" t="s">
        <v>97</v>
      </c>
      <c r="C144"/>
      <c r="D144"/>
      <c r="E144" t="s">
        <v>87</v>
      </c>
      <c r="F144"/>
      <c r="G144" t="s">
        <v>164</v>
      </c>
      <c r="H144"/>
      <c r="I144" s="158">
        <v>46278.625578703701</v>
      </c>
      <c r="J144" t="s">
        <v>445</v>
      </c>
      <c r="K144" t="s">
        <v>443</v>
      </c>
      <c r="L144" s="157">
        <v>46277</v>
      </c>
      <c r="M144" t="s">
        <v>442</v>
      </c>
      <c r="N144" t="s">
        <v>231</v>
      </c>
      <c r="O144" t="s">
        <v>444</v>
      </c>
      <c r="P144" t="s">
        <v>97</v>
      </c>
      <c r="Q144" t="s">
        <v>247</v>
      </c>
    </row>
    <row r="145" spans="1:17" s="25" customFormat="1" hidden="1">
      <c r="A145" s="111">
        <v>1.286451130787037E-2</v>
      </c>
      <c r="B145" t="s">
        <v>97</v>
      </c>
      <c r="C145" t="s">
        <v>82</v>
      </c>
      <c r="D145" t="s">
        <v>82</v>
      </c>
      <c r="E145" t="s">
        <v>214</v>
      </c>
      <c r="F145" t="s">
        <v>82</v>
      </c>
      <c r="G145" t="s">
        <v>164</v>
      </c>
      <c r="H145"/>
      <c r="I145" s="158">
        <v>46278.625578703701</v>
      </c>
      <c r="J145" t="s">
        <v>445</v>
      </c>
      <c r="K145" t="s">
        <v>443</v>
      </c>
      <c r="L145" s="157">
        <v>46277</v>
      </c>
      <c r="M145" t="s">
        <v>442</v>
      </c>
      <c r="N145" t="s">
        <v>231</v>
      </c>
      <c r="O145" t="s">
        <v>444</v>
      </c>
      <c r="P145" t="s">
        <v>97</v>
      </c>
      <c r="Q145" t="s">
        <v>247</v>
      </c>
    </row>
    <row r="146" spans="1:17" s="25" customFormat="1" hidden="1">
      <c r="A146" s="111">
        <v>1.2789020439814815E-2</v>
      </c>
      <c r="B146" t="s">
        <v>97</v>
      </c>
      <c r="C146" t="s">
        <v>447</v>
      </c>
      <c r="D146"/>
      <c r="E146" t="s">
        <v>108</v>
      </c>
      <c r="F146"/>
      <c r="G146" t="s">
        <v>164</v>
      </c>
      <c r="H146"/>
      <c r="I146" s="158">
        <v>46278.624780092592</v>
      </c>
      <c r="J146" t="s">
        <v>445</v>
      </c>
      <c r="K146" t="s">
        <v>443</v>
      </c>
      <c r="L146" s="157">
        <v>46277</v>
      </c>
      <c r="M146" t="s">
        <v>442</v>
      </c>
      <c r="N146" t="s">
        <v>231</v>
      </c>
      <c r="O146" t="s">
        <v>444</v>
      </c>
      <c r="P146" t="s">
        <v>97</v>
      </c>
      <c r="Q146" t="s">
        <v>247</v>
      </c>
    </row>
    <row r="147" spans="1:17" s="25" customFormat="1" hidden="1">
      <c r="A147" s="111">
        <v>1.2702217708333335E-2</v>
      </c>
      <c r="B147" t="s">
        <v>97</v>
      </c>
      <c r="C147" t="s">
        <v>451</v>
      </c>
      <c r="D147"/>
      <c r="E147" t="s">
        <v>59</v>
      </c>
      <c r="F147"/>
      <c r="G147" t="s">
        <v>164</v>
      </c>
      <c r="H147"/>
      <c r="I147" s="158">
        <v>46278.624618055554</v>
      </c>
      <c r="J147" t="s">
        <v>445</v>
      </c>
      <c r="K147" t="s">
        <v>443</v>
      </c>
      <c r="L147" s="157">
        <v>46277</v>
      </c>
      <c r="M147" t="s">
        <v>442</v>
      </c>
      <c r="N147" t="s">
        <v>231</v>
      </c>
      <c r="O147" t="s">
        <v>444</v>
      </c>
      <c r="P147" t="s">
        <v>97</v>
      </c>
      <c r="Q147" t="s">
        <v>247</v>
      </c>
    </row>
    <row r="148" spans="1:17" s="25" customFormat="1" hidden="1">
      <c r="A148" s="111">
        <v>1.2697212881944446E-2</v>
      </c>
      <c r="B148" t="s">
        <v>97</v>
      </c>
      <c r="C148" t="s">
        <v>447</v>
      </c>
      <c r="D148"/>
      <c r="E148" t="s">
        <v>59</v>
      </c>
      <c r="F148"/>
      <c r="G148" t="s">
        <v>164</v>
      </c>
      <c r="H148"/>
      <c r="I148" s="158">
        <v>46278.624374999999</v>
      </c>
      <c r="J148" t="s">
        <v>445</v>
      </c>
      <c r="K148" t="s">
        <v>443</v>
      </c>
      <c r="L148" s="157">
        <v>46277</v>
      </c>
      <c r="M148" t="s">
        <v>442</v>
      </c>
      <c r="N148" t="s">
        <v>231</v>
      </c>
      <c r="O148" t="s">
        <v>444</v>
      </c>
      <c r="P148" t="s">
        <v>97</v>
      </c>
      <c r="Q148" t="s">
        <v>247</v>
      </c>
    </row>
    <row r="149" spans="1:17" s="25" customFormat="1" hidden="1">
      <c r="A149" s="111">
        <v>1.2541775E-2</v>
      </c>
      <c r="B149" t="s">
        <v>97</v>
      </c>
      <c r="C149" t="s">
        <v>457</v>
      </c>
      <c r="D149"/>
      <c r="E149" t="s">
        <v>108</v>
      </c>
      <c r="F149"/>
      <c r="G149" t="s">
        <v>164</v>
      </c>
      <c r="H149"/>
      <c r="I149" s="158">
        <v>46278.623784722222</v>
      </c>
      <c r="J149" t="s">
        <v>445</v>
      </c>
      <c r="K149" t="s">
        <v>443</v>
      </c>
      <c r="L149" s="157">
        <v>46277</v>
      </c>
      <c r="M149" t="s">
        <v>442</v>
      </c>
      <c r="N149" t="s">
        <v>231</v>
      </c>
      <c r="O149" t="s">
        <v>444</v>
      </c>
      <c r="P149" t="s">
        <v>97</v>
      </c>
      <c r="Q149" t="s">
        <v>247</v>
      </c>
    </row>
    <row r="150" spans="1:17" s="25" customFormat="1" hidden="1">
      <c r="A150" s="111">
        <v>1.2391336921296296E-2</v>
      </c>
      <c r="B150" t="s">
        <v>97</v>
      </c>
      <c r="C150" t="s">
        <v>451</v>
      </c>
      <c r="D150"/>
      <c r="E150" t="s">
        <v>108</v>
      </c>
      <c r="F150"/>
      <c r="G150" t="s">
        <v>164</v>
      </c>
      <c r="H150"/>
      <c r="I150" s="158">
        <v>46278.623425925929</v>
      </c>
      <c r="J150" t="s">
        <v>445</v>
      </c>
      <c r="K150" t="s">
        <v>443</v>
      </c>
      <c r="L150" s="157">
        <v>46277</v>
      </c>
      <c r="M150" t="s">
        <v>442</v>
      </c>
      <c r="N150" t="s">
        <v>231</v>
      </c>
      <c r="O150" t="s">
        <v>444</v>
      </c>
      <c r="P150" t="s">
        <v>97</v>
      </c>
      <c r="Q150" t="s">
        <v>247</v>
      </c>
    </row>
    <row r="151" spans="1:17" s="25" customFormat="1" hidden="1">
      <c r="A151" s="111">
        <v>1.2312343148148148E-2</v>
      </c>
      <c r="B151" t="s">
        <v>97</v>
      </c>
      <c r="C151" t="s">
        <v>449</v>
      </c>
      <c r="D151"/>
      <c r="E151" t="s">
        <v>58</v>
      </c>
      <c r="F151"/>
      <c r="G151" t="s">
        <v>164</v>
      </c>
      <c r="H151"/>
      <c r="I151" s="158">
        <v>46278.622025462966</v>
      </c>
      <c r="J151" t="s">
        <v>445</v>
      </c>
      <c r="K151" t="s">
        <v>443</v>
      </c>
      <c r="L151" s="157">
        <v>46277</v>
      </c>
      <c r="M151" t="s">
        <v>442</v>
      </c>
      <c r="N151" t="s">
        <v>231</v>
      </c>
      <c r="O151" t="s">
        <v>444</v>
      </c>
      <c r="P151" t="s">
        <v>97</v>
      </c>
      <c r="Q151" t="s">
        <v>247</v>
      </c>
    </row>
    <row r="152" spans="1:17" s="25" customFormat="1" hidden="1">
      <c r="A152" s="111">
        <v>1.2237452337962964E-2</v>
      </c>
      <c r="B152" t="s">
        <v>97</v>
      </c>
      <c r="C152" t="s">
        <v>455</v>
      </c>
      <c r="D152"/>
      <c r="E152" t="s">
        <v>108</v>
      </c>
      <c r="F152"/>
      <c r="G152" t="s">
        <v>164</v>
      </c>
      <c r="H152"/>
      <c r="I152" s="158">
        <v>46278.621712962966</v>
      </c>
      <c r="J152" t="s">
        <v>445</v>
      </c>
      <c r="K152" t="s">
        <v>443</v>
      </c>
      <c r="L152" s="157">
        <v>46277</v>
      </c>
      <c r="M152" t="s">
        <v>442</v>
      </c>
      <c r="N152" t="s">
        <v>231</v>
      </c>
      <c r="O152" t="s">
        <v>444</v>
      </c>
      <c r="P152" t="s">
        <v>97</v>
      </c>
      <c r="Q152" t="s">
        <v>247</v>
      </c>
    </row>
    <row r="153" spans="1:17" s="25" customFormat="1" hidden="1">
      <c r="A153" s="111">
        <v>1.2115841967592592E-2</v>
      </c>
      <c r="B153" t="s">
        <v>97</v>
      </c>
      <c r="C153" t="s">
        <v>450</v>
      </c>
      <c r="D153"/>
      <c r="E153" t="s">
        <v>108</v>
      </c>
      <c r="F153"/>
      <c r="G153" t="s">
        <v>164</v>
      </c>
      <c r="H153"/>
      <c r="I153" s="158">
        <v>46278.621527777781</v>
      </c>
      <c r="J153" t="s">
        <v>445</v>
      </c>
      <c r="K153" t="s">
        <v>443</v>
      </c>
      <c r="L153" s="157">
        <v>46277</v>
      </c>
      <c r="M153" t="s">
        <v>442</v>
      </c>
      <c r="N153" t="s">
        <v>231</v>
      </c>
      <c r="O153" t="s">
        <v>444</v>
      </c>
      <c r="P153" t="s">
        <v>97</v>
      </c>
      <c r="Q153" t="s">
        <v>247</v>
      </c>
    </row>
    <row r="154" spans="1:17" s="25" customFormat="1" hidden="1">
      <c r="A154" s="111">
        <v>1.1974361956018519E-2</v>
      </c>
      <c r="B154" t="s">
        <v>97</v>
      </c>
      <c r="C154" t="s">
        <v>449</v>
      </c>
      <c r="D154"/>
      <c r="E154" t="s">
        <v>108</v>
      </c>
      <c r="F154"/>
      <c r="G154" t="s">
        <v>164</v>
      </c>
      <c r="H154"/>
      <c r="I154" s="158">
        <v>46278.621111111112</v>
      </c>
      <c r="J154" t="s">
        <v>445</v>
      </c>
      <c r="K154" t="s">
        <v>443</v>
      </c>
      <c r="L154" s="157">
        <v>46277</v>
      </c>
      <c r="M154" t="s">
        <v>442</v>
      </c>
      <c r="N154" t="s">
        <v>231</v>
      </c>
      <c r="O154" t="s">
        <v>444</v>
      </c>
      <c r="P154" t="s">
        <v>97</v>
      </c>
      <c r="Q154" t="s">
        <v>247</v>
      </c>
    </row>
    <row r="155" spans="1:17" s="25" customFormat="1" hidden="1">
      <c r="A155" s="111">
        <v>1.1970809895833334E-2</v>
      </c>
      <c r="B155" t="s">
        <v>97</v>
      </c>
      <c r="C155"/>
      <c r="D155"/>
      <c r="E155" t="s">
        <v>188</v>
      </c>
      <c r="F155"/>
      <c r="G155" t="s">
        <v>164</v>
      </c>
      <c r="H155"/>
      <c r="I155" s="158">
        <v>46278.620833333334</v>
      </c>
      <c r="J155" t="s">
        <v>445</v>
      </c>
      <c r="K155" t="s">
        <v>443</v>
      </c>
      <c r="L155" s="157">
        <v>46277</v>
      </c>
      <c r="M155" t="s">
        <v>442</v>
      </c>
      <c r="N155" t="s">
        <v>231</v>
      </c>
      <c r="O155" t="s">
        <v>444</v>
      </c>
      <c r="P155" t="s">
        <v>97</v>
      </c>
      <c r="Q155" t="s">
        <v>247</v>
      </c>
    </row>
    <row r="156" spans="1:17" s="25" customFormat="1" hidden="1">
      <c r="A156" s="111">
        <v>1.1946061817129629E-2</v>
      </c>
      <c r="B156" t="s">
        <v>97</v>
      </c>
      <c r="C156"/>
      <c r="D156"/>
      <c r="E156" t="s">
        <v>184</v>
      </c>
      <c r="F156"/>
      <c r="G156" t="s">
        <v>98</v>
      </c>
      <c r="H156"/>
      <c r="I156" s="158">
        <v>46278.620763888888</v>
      </c>
      <c r="J156" t="s">
        <v>445</v>
      </c>
      <c r="K156" t="s">
        <v>443</v>
      </c>
      <c r="L156" s="157">
        <v>46277</v>
      </c>
      <c r="M156" t="s">
        <v>442</v>
      </c>
      <c r="N156" t="s">
        <v>231</v>
      </c>
      <c r="O156" t="s">
        <v>444</v>
      </c>
      <c r="P156" t="s">
        <v>97</v>
      </c>
      <c r="Q156" t="s">
        <v>247</v>
      </c>
    </row>
    <row r="157" spans="1:17" s="25" customFormat="1" hidden="1">
      <c r="A157" s="111">
        <v>1.1917058668981481E-2</v>
      </c>
      <c r="B157" t="s">
        <v>97</v>
      </c>
      <c r="C157"/>
      <c r="D157"/>
      <c r="E157" t="s">
        <v>108</v>
      </c>
      <c r="F157"/>
      <c r="G157" t="s">
        <v>98</v>
      </c>
      <c r="H157"/>
      <c r="I157" s="158">
        <v>46278.620706018519</v>
      </c>
      <c r="J157" t="s">
        <v>445</v>
      </c>
      <c r="K157" t="s">
        <v>443</v>
      </c>
      <c r="L157" s="157">
        <v>46277</v>
      </c>
      <c r="M157" t="s">
        <v>442</v>
      </c>
      <c r="N157" t="s">
        <v>231</v>
      </c>
      <c r="O157" t="s">
        <v>444</v>
      </c>
      <c r="P157" t="s">
        <v>97</v>
      </c>
      <c r="Q157" t="s">
        <v>247</v>
      </c>
    </row>
    <row r="158" spans="1:17" s="25" customFormat="1" hidden="1">
      <c r="A158" s="111">
        <v>1.1876425740740741E-2</v>
      </c>
      <c r="B158" t="s">
        <v>97</v>
      </c>
      <c r="C158"/>
      <c r="D158"/>
      <c r="E158" t="s">
        <v>183</v>
      </c>
      <c r="F158"/>
      <c r="G158" t="s">
        <v>164</v>
      </c>
      <c r="H158"/>
      <c r="I158" s="158">
        <v>46278.620613425926</v>
      </c>
      <c r="J158" t="s">
        <v>445</v>
      </c>
      <c r="K158" t="s">
        <v>443</v>
      </c>
      <c r="L158" s="157">
        <v>46277</v>
      </c>
      <c r="M158" t="s">
        <v>442</v>
      </c>
      <c r="N158" t="s">
        <v>231</v>
      </c>
      <c r="O158" t="s">
        <v>444</v>
      </c>
      <c r="P158" t="s">
        <v>97</v>
      </c>
      <c r="Q158" t="s">
        <v>247</v>
      </c>
    </row>
    <row r="159" spans="1:17" s="25" customFormat="1" hidden="1">
      <c r="A159" s="111">
        <v>1.186651457175926E-2</v>
      </c>
      <c r="B159" t="s">
        <v>97</v>
      </c>
      <c r="C159" t="s">
        <v>454</v>
      </c>
      <c r="D159"/>
      <c r="E159" t="s">
        <v>108</v>
      </c>
      <c r="F159"/>
      <c r="G159" t="s">
        <v>164</v>
      </c>
      <c r="H159"/>
      <c r="I159" s="158">
        <v>46278.620370370372</v>
      </c>
      <c r="J159" t="s">
        <v>445</v>
      </c>
      <c r="K159" t="s">
        <v>443</v>
      </c>
      <c r="L159" s="157">
        <v>46277</v>
      </c>
      <c r="M159" t="s">
        <v>442</v>
      </c>
      <c r="N159" t="s">
        <v>231</v>
      </c>
      <c r="O159" t="s">
        <v>444</v>
      </c>
      <c r="P159" t="s">
        <v>97</v>
      </c>
      <c r="Q159" t="s">
        <v>247</v>
      </c>
    </row>
    <row r="160" spans="1:17" s="25" customFormat="1" hidden="1">
      <c r="A160" s="111">
        <v>1.1733411793981482E-2</v>
      </c>
      <c r="B160" t="s">
        <v>97</v>
      </c>
      <c r="C160" t="s">
        <v>448</v>
      </c>
      <c r="D160"/>
      <c r="E160" t="s">
        <v>108</v>
      </c>
      <c r="F160"/>
      <c r="G160" t="s">
        <v>164</v>
      </c>
      <c r="H160"/>
      <c r="I160" s="158">
        <v>46278.620150462964</v>
      </c>
      <c r="J160" t="s">
        <v>445</v>
      </c>
      <c r="K160" t="s">
        <v>443</v>
      </c>
      <c r="L160" s="157">
        <v>46277</v>
      </c>
      <c r="M160" t="s">
        <v>442</v>
      </c>
      <c r="N160" t="s">
        <v>231</v>
      </c>
      <c r="O160" t="s">
        <v>444</v>
      </c>
      <c r="P160" t="s">
        <v>97</v>
      </c>
      <c r="Q160" t="s">
        <v>247</v>
      </c>
    </row>
    <row r="161" spans="1:17" s="25" customFormat="1" hidden="1">
      <c r="A161" s="111">
        <v>1.1670832962962962E-2</v>
      </c>
      <c r="B161" t="s">
        <v>97</v>
      </c>
      <c r="C161" t="s">
        <v>446</v>
      </c>
      <c r="D161"/>
      <c r="E161" t="s">
        <v>58</v>
      </c>
      <c r="F161"/>
      <c r="G161" t="s">
        <v>164</v>
      </c>
      <c r="H161"/>
      <c r="I161" s="158">
        <v>46278.61991898148</v>
      </c>
      <c r="J161" t="s">
        <v>445</v>
      </c>
      <c r="K161" t="s">
        <v>443</v>
      </c>
      <c r="L161" s="157">
        <v>46277</v>
      </c>
      <c r="M161" t="s">
        <v>442</v>
      </c>
      <c r="N161" t="s">
        <v>231</v>
      </c>
      <c r="O161" t="s">
        <v>444</v>
      </c>
      <c r="P161" t="s">
        <v>97</v>
      </c>
      <c r="Q161" t="s">
        <v>247</v>
      </c>
    </row>
    <row r="162" spans="1:17" s="25" customFormat="1" hidden="1">
      <c r="A162" s="111">
        <v>1.1568041087962963E-2</v>
      </c>
      <c r="B162" t="s">
        <v>97</v>
      </c>
      <c r="C162" t="s">
        <v>453</v>
      </c>
      <c r="D162"/>
      <c r="E162" t="s">
        <v>108</v>
      </c>
      <c r="F162"/>
      <c r="G162" t="s">
        <v>164</v>
      </c>
      <c r="H162"/>
      <c r="I162" s="158">
        <v>46278.619074074071</v>
      </c>
      <c r="J162" t="s">
        <v>445</v>
      </c>
      <c r="K162" t="s">
        <v>443</v>
      </c>
      <c r="L162" s="157">
        <v>46277</v>
      </c>
      <c r="M162" t="s">
        <v>442</v>
      </c>
      <c r="N162" t="s">
        <v>231</v>
      </c>
      <c r="O162" t="s">
        <v>444</v>
      </c>
      <c r="P162" t="s">
        <v>97</v>
      </c>
      <c r="Q162" t="s">
        <v>247</v>
      </c>
    </row>
    <row r="163" spans="1:17" s="25" customFormat="1" hidden="1">
      <c r="A163" s="111">
        <v>1.1527325787037038E-2</v>
      </c>
      <c r="B163" t="s">
        <v>97</v>
      </c>
      <c r="C163" t="s">
        <v>457</v>
      </c>
      <c r="D163"/>
      <c r="E163" t="s">
        <v>108</v>
      </c>
      <c r="F163"/>
      <c r="G163" t="s">
        <v>164</v>
      </c>
      <c r="H163"/>
      <c r="I163" s="158">
        <v>46278.618935185186</v>
      </c>
      <c r="J163" t="s">
        <v>445</v>
      </c>
      <c r="K163" t="s">
        <v>443</v>
      </c>
      <c r="L163" s="157">
        <v>46277</v>
      </c>
      <c r="M163" t="s">
        <v>442</v>
      </c>
      <c r="N163" t="s">
        <v>231</v>
      </c>
      <c r="O163" t="s">
        <v>444</v>
      </c>
      <c r="P163" t="s">
        <v>97</v>
      </c>
      <c r="Q163" t="s">
        <v>247</v>
      </c>
    </row>
    <row r="164" spans="1:17" s="25" customFormat="1" hidden="1">
      <c r="A164" s="111">
        <v>1.1504943807870371E-2</v>
      </c>
      <c r="B164" t="s">
        <v>97</v>
      </c>
      <c r="C164"/>
      <c r="D164"/>
      <c r="E164" t="s">
        <v>188</v>
      </c>
      <c r="F164"/>
      <c r="G164" t="s">
        <v>164</v>
      </c>
      <c r="H164"/>
      <c r="I164" s="158">
        <v>46278.618541666663</v>
      </c>
      <c r="J164" t="s">
        <v>445</v>
      </c>
      <c r="K164" t="s">
        <v>443</v>
      </c>
      <c r="L164" s="157">
        <v>46277</v>
      </c>
      <c r="M164" t="s">
        <v>442</v>
      </c>
      <c r="N164" t="s">
        <v>231</v>
      </c>
      <c r="O164" t="s">
        <v>444</v>
      </c>
      <c r="P164" t="s">
        <v>97</v>
      </c>
      <c r="Q164" t="s">
        <v>247</v>
      </c>
    </row>
    <row r="165" spans="1:17" s="25" customFormat="1" hidden="1">
      <c r="A165" s="111">
        <v>1.1441079375000001E-2</v>
      </c>
      <c r="B165" t="s">
        <v>97</v>
      </c>
      <c r="C165"/>
      <c r="D165"/>
      <c r="E165" t="s">
        <v>184</v>
      </c>
      <c r="F165"/>
      <c r="G165" t="s">
        <v>98</v>
      </c>
      <c r="H165"/>
      <c r="I165" s="158">
        <v>46278.618437500001</v>
      </c>
      <c r="J165" t="s">
        <v>445</v>
      </c>
      <c r="K165" t="s">
        <v>443</v>
      </c>
      <c r="L165" s="157">
        <v>46277</v>
      </c>
      <c r="M165" t="s">
        <v>442</v>
      </c>
      <c r="N165" t="s">
        <v>231</v>
      </c>
      <c r="O165" t="s">
        <v>444</v>
      </c>
      <c r="P165" t="s">
        <v>97</v>
      </c>
      <c r="Q165" t="s">
        <v>247</v>
      </c>
    </row>
    <row r="166" spans="1:17" s="25" customFormat="1" hidden="1">
      <c r="A166" s="111">
        <v>1.1304091898148148E-2</v>
      </c>
      <c r="B166" t="s">
        <v>97</v>
      </c>
      <c r="C166"/>
      <c r="D166"/>
      <c r="E166" t="s">
        <v>186</v>
      </c>
      <c r="F166"/>
      <c r="G166" t="s">
        <v>98</v>
      </c>
      <c r="H166"/>
      <c r="I166" s="158">
        <v>46278.618136574078</v>
      </c>
      <c r="J166" t="s">
        <v>445</v>
      </c>
      <c r="K166" t="s">
        <v>443</v>
      </c>
      <c r="L166" s="157">
        <v>46277</v>
      </c>
      <c r="M166" t="s">
        <v>442</v>
      </c>
      <c r="N166" t="s">
        <v>231</v>
      </c>
      <c r="O166" t="s">
        <v>444</v>
      </c>
      <c r="P166" t="s">
        <v>97</v>
      </c>
      <c r="Q166" t="s">
        <v>247</v>
      </c>
    </row>
    <row r="167" spans="1:17" s="25" customFormat="1" hidden="1">
      <c r="A167" s="111">
        <v>1.1269777511574075E-2</v>
      </c>
      <c r="B167" t="s">
        <v>97</v>
      </c>
      <c r="C167"/>
      <c r="D167"/>
      <c r="E167" t="s">
        <v>100</v>
      </c>
      <c r="F167"/>
      <c r="G167" t="s">
        <v>98</v>
      </c>
      <c r="H167"/>
      <c r="I167" s="158">
        <v>46278.61577546296</v>
      </c>
      <c r="J167" t="s">
        <v>445</v>
      </c>
      <c r="K167" t="s">
        <v>443</v>
      </c>
      <c r="L167" s="157">
        <v>46277</v>
      </c>
      <c r="M167" t="s">
        <v>442</v>
      </c>
      <c r="N167" t="s">
        <v>231</v>
      </c>
      <c r="O167" t="s">
        <v>444</v>
      </c>
      <c r="P167" t="s">
        <v>97</v>
      </c>
      <c r="Q167" t="s">
        <v>247</v>
      </c>
    </row>
    <row r="168" spans="1:17" s="25" customFormat="1" hidden="1">
      <c r="A168" s="111">
        <v>1.0916322326388889E-2</v>
      </c>
      <c r="B168" t="s">
        <v>97</v>
      </c>
      <c r="C168" t="s">
        <v>82</v>
      </c>
      <c r="D168"/>
      <c r="E168" t="s">
        <v>115</v>
      </c>
      <c r="F168"/>
      <c r="G168" t="s">
        <v>98</v>
      </c>
      <c r="H168"/>
      <c r="I168" s="158">
        <v>46278.615763888891</v>
      </c>
      <c r="J168" t="s">
        <v>445</v>
      </c>
      <c r="K168" t="s">
        <v>443</v>
      </c>
      <c r="L168" s="157">
        <v>46277</v>
      </c>
      <c r="M168" t="s">
        <v>442</v>
      </c>
      <c r="N168" t="s">
        <v>231</v>
      </c>
      <c r="O168" t="s">
        <v>444</v>
      </c>
      <c r="P168" t="s">
        <v>97</v>
      </c>
      <c r="Q168" t="s">
        <v>247</v>
      </c>
    </row>
    <row r="169" spans="1:17" s="25" customFormat="1" hidden="1">
      <c r="A169" s="111">
        <v>1.0110267372685186E-2</v>
      </c>
      <c r="B169" t="s">
        <v>97</v>
      </c>
      <c r="C169"/>
      <c r="D169"/>
      <c r="E169" t="s">
        <v>108</v>
      </c>
      <c r="F169"/>
      <c r="G169" t="s">
        <v>98</v>
      </c>
      <c r="H169"/>
      <c r="I169" s="158">
        <v>46278.615219907406</v>
      </c>
      <c r="J169" t="s">
        <v>445</v>
      </c>
      <c r="K169" t="s">
        <v>443</v>
      </c>
      <c r="L169" s="157">
        <v>46277</v>
      </c>
      <c r="M169" t="s">
        <v>442</v>
      </c>
      <c r="N169" t="s">
        <v>231</v>
      </c>
      <c r="O169" t="s">
        <v>444</v>
      </c>
      <c r="P169" t="s">
        <v>97</v>
      </c>
      <c r="Q169" t="s">
        <v>247</v>
      </c>
    </row>
    <row r="170" spans="1:17" s="25" customFormat="1" hidden="1">
      <c r="A170" s="111">
        <v>1.0103750416666666E-2</v>
      </c>
      <c r="B170" t="s">
        <v>97</v>
      </c>
      <c r="C170"/>
      <c r="D170"/>
      <c r="E170" t="s">
        <v>87</v>
      </c>
      <c r="F170"/>
      <c r="G170" t="s">
        <v>98</v>
      </c>
      <c r="H170"/>
      <c r="I170" s="158">
        <v>46278.615358796298</v>
      </c>
      <c r="J170" t="s">
        <v>445</v>
      </c>
      <c r="K170" t="s">
        <v>443</v>
      </c>
      <c r="L170" s="157">
        <v>46277</v>
      </c>
      <c r="M170" t="s">
        <v>442</v>
      </c>
      <c r="N170" t="s">
        <v>231</v>
      </c>
      <c r="O170" t="s">
        <v>444</v>
      </c>
      <c r="P170" t="s">
        <v>97</v>
      </c>
      <c r="Q170" t="s">
        <v>247</v>
      </c>
    </row>
    <row r="171" spans="1:17" s="25" customFormat="1" hidden="1">
      <c r="A171" s="111">
        <v>1.0103750416666666E-2</v>
      </c>
      <c r="B171" t="s">
        <v>97</v>
      </c>
      <c r="C171" t="s">
        <v>457</v>
      </c>
      <c r="D171"/>
      <c r="E171" t="s">
        <v>103</v>
      </c>
      <c r="F171"/>
      <c r="G171" t="s">
        <v>98</v>
      </c>
      <c r="H171"/>
      <c r="I171" s="158">
        <v>46278.615358796298</v>
      </c>
      <c r="J171" t="s">
        <v>445</v>
      </c>
      <c r="K171" t="s">
        <v>443</v>
      </c>
      <c r="L171" s="157">
        <v>46277</v>
      </c>
      <c r="M171" t="s">
        <v>442</v>
      </c>
      <c r="N171" t="s">
        <v>231</v>
      </c>
      <c r="O171" t="s">
        <v>444</v>
      </c>
      <c r="P171" t="s">
        <v>97</v>
      </c>
      <c r="Q171" t="s">
        <v>247</v>
      </c>
    </row>
    <row r="172" spans="1:17" s="25" customFormat="1" hidden="1">
      <c r="A172" s="111">
        <v>1.0011574074074074E-2</v>
      </c>
      <c r="B172" t="s">
        <v>97</v>
      </c>
      <c r="C172"/>
      <c r="D172"/>
      <c r="E172" t="s">
        <v>279</v>
      </c>
      <c r="F172"/>
      <c r="G172" t="s">
        <v>98</v>
      </c>
      <c r="H172"/>
      <c r="I172" s="158">
        <v>46278.615011574075</v>
      </c>
      <c r="J172" t="s">
        <v>445</v>
      </c>
      <c r="K172" t="s">
        <v>443</v>
      </c>
      <c r="L172" s="157">
        <v>46277</v>
      </c>
      <c r="M172" t="s">
        <v>442</v>
      </c>
      <c r="N172" t="s">
        <v>231</v>
      </c>
      <c r="O172" t="s">
        <v>444</v>
      </c>
      <c r="P172" t="s">
        <v>97</v>
      </c>
      <c r="Q172" t="s">
        <v>247</v>
      </c>
    </row>
    <row r="173" spans="1:17" s="25" customFormat="1" hidden="1">
      <c r="A173" s="111">
        <v>9.9041633101851854E-3</v>
      </c>
      <c r="B173" t="s">
        <v>97</v>
      </c>
      <c r="C173"/>
      <c r="D173"/>
      <c r="E173" t="s">
        <v>105</v>
      </c>
      <c r="F173"/>
      <c r="G173" t="s">
        <v>98</v>
      </c>
      <c r="H173"/>
      <c r="I173" s="158">
        <v>46278.615011574075</v>
      </c>
      <c r="J173" t="s">
        <v>445</v>
      </c>
      <c r="K173" t="s">
        <v>443</v>
      </c>
      <c r="L173" s="157">
        <v>46277</v>
      </c>
      <c r="M173" t="s">
        <v>442</v>
      </c>
      <c r="N173" t="s">
        <v>231</v>
      </c>
      <c r="O173" t="s">
        <v>444</v>
      </c>
      <c r="P173" t="s">
        <v>97</v>
      </c>
      <c r="Q173" t="s">
        <v>247</v>
      </c>
    </row>
    <row r="174" spans="1:17" s="25" customFormat="1" hidden="1">
      <c r="A174" s="111">
        <v>9.3153232175925919E-3</v>
      </c>
      <c r="B174" t="s">
        <v>97</v>
      </c>
      <c r="C174"/>
      <c r="D174"/>
      <c r="E174" t="s">
        <v>87</v>
      </c>
      <c r="F174"/>
      <c r="G174" t="s">
        <v>98</v>
      </c>
      <c r="H174"/>
      <c r="I174" s="158">
        <v>46278.614710648151</v>
      </c>
      <c r="J174" t="s">
        <v>445</v>
      </c>
      <c r="K174" t="s">
        <v>443</v>
      </c>
      <c r="L174" s="157">
        <v>46277</v>
      </c>
      <c r="M174" t="s">
        <v>442</v>
      </c>
      <c r="N174" t="s">
        <v>231</v>
      </c>
      <c r="O174" t="s">
        <v>444</v>
      </c>
      <c r="P174" t="s">
        <v>97</v>
      </c>
      <c r="Q174" t="s">
        <v>247</v>
      </c>
    </row>
    <row r="175" spans="1:17" s="25" customFormat="1" hidden="1">
      <c r="A175" s="111">
        <v>9.3153232175925919E-3</v>
      </c>
      <c r="B175" t="s">
        <v>97</v>
      </c>
      <c r="C175"/>
      <c r="D175"/>
      <c r="E175" t="s">
        <v>213</v>
      </c>
      <c r="F175" t="s">
        <v>133</v>
      </c>
      <c r="G175" t="s">
        <v>98</v>
      </c>
      <c r="H175"/>
      <c r="I175" s="158">
        <v>46278.614710648151</v>
      </c>
      <c r="J175" t="s">
        <v>445</v>
      </c>
      <c r="K175" t="s">
        <v>443</v>
      </c>
      <c r="L175" s="157">
        <v>46277</v>
      </c>
      <c r="M175" t="s">
        <v>442</v>
      </c>
      <c r="N175" t="s">
        <v>231</v>
      </c>
      <c r="O175" t="s">
        <v>444</v>
      </c>
      <c r="P175" t="s">
        <v>97</v>
      </c>
      <c r="Q175" t="s">
        <v>247</v>
      </c>
    </row>
    <row r="176" spans="1:17" s="25" customFormat="1" hidden="1">
      <c r="A176" s="111">
        <v>9.290659016203703E-3</v>
      </c>
      <c r="B176" t="s">
        <v>97</v>
      </c>
      <c r="C176"/>
      <c r="D176"/>
      <c r="E176" t="s">
        <v>108</v>
      </c>
      <c r="F176"/>
      <c r="G176" t="s">
        <v>98</v>
      </c>
      <c r="H176"/>
      <c r="I176" s="158">
        <v>46278.614166666666</v>
      </c>
      <c r="J176" t="s">
        <v>445</v>
      </c>
      <c r="K176" t="s">
        <v>443</v>
      </c>
      <c r="L176" s="157">
        <v>46277</v>
      </c>
      <c r="M176" t="s">
        <v>442</v>
      </c>
      <c r="N176" t="s">
        <v>231</v>
      </c>
      <c r="O176" t="s">
        <v>444</v>
      </c>
      <c r="P176" t="s">
        <v>97</v>
      </c>
      <c r="Q176" t="s">
        <v>247</v>
      </c>
    </row>
    <row r="177" spans="1:17" s="25" customFormat="1" hidden="1">
      <c r="A177" s="111">
        <v>9.1977616782407401E-3</v>
      </c>
      <c r="B177" t="s">
        <v>97</v>
      </c>
      <c r="C177"/>
      <c r="D177"/>
      <c r="E177" t="s">
        <v>133</v>
      </c>
      <c r="F177"/>
      <c r="G177" t="s">
        <v>98</v>
      </c>
      <c r="H177"/>
      <c r="I177" s="158">
        <v>46278.613923611112</v>
      </c>
      <c r="J177" t="s">
        <v>445</v>
      </c>
      <c r="K177" t="s">
        <v>443</v>
      </c>
      <c r="L177" s="157">
        <v>46277</v>
      </c>
      <c r="M177" t="s">
        <v>442</v>
      </c>
      <c r="N177" t="s">
        <v>231</v>
      </c>
      <c r="O177" t="s">
        <v>444</v>
      </c>
      <c r="P177" t="s">
        <v>97</v>
      </c>
      <c r="Q177" t="s">
        <v>247</v>
      </c>
    </row>
    <row r="178" spans="1:17" s="25" customFormat="1" hidden="1">
      <c r="A178" s="111">
        <v>9.0990280324074069E-3</v>
      </c>
      <c r="B178" t="s">
        <v>97</v>
      </c>
      <c r="C178"/>
      <c r="D178"/>
      <c r="E178" t="s">
        <v>108</v>
      </c>
      <c r="F178"/>
      <c r="G178" t="s">
        <v>98</v>
      </c>
      <c r="H178"/>
      <c r="I178" s="158">
        <v>46278.61378472222</v>
      </c>
      <c r="J178" t="s">
        <v>445</v>
      </c>
      <c r="K178" t="s">
        <v>443</v>
      </c>
      <c r="L178" s="157">
        <v>46277</v>
      </c>
      <c r="M178" t="s">
        <v>442</v>
      </c>
      <c r="N178" t="s">
        <v>231</v>
      </c>
      <c r="O178" t="s">
        <v>444</v>
      </c>
      <c r="P178" t="s">
        <v>97</v>
      </c>
      <c r="Q178" t="s">
        <v>247</v>
      </c>
    </row>
    <row r="179" spans="1:17" s="25" customFormat="1" hidden="1">
      <c r="A179" s="111">
        <v>9.0295189583333331E-3</v>
      </c>
      <c r="B179" t="s">
        <v>97</v>
      </c>
      <c r="C179"/>
      <c r="D179"/>
      <c r="E179" t="s">
        <v>108</v>
      </c>
      <c r="F179"/>
      <c r="G179" t="s">
        <v>98</v>
      </c>
      <c r="H179"/>
      <c r="I179" s="158">
        <v>46278.613692129627</v>
      </c>
      <c r="J179" t="s">
        <v>445</v>
      </c>
      <c r="K179" t="s">
        <v>443</v>
      </c>
      <c r="L179" s="157">
        <v>46277</v>
      </c>
      <c r="M179" t="s">
        <v>442</v>
      </c>
      <c r="N179" t="s">
        <v>231</v>
      </c>
      <c r="O179" t="s">
        <v>444</v>
      </c>
      <c r="P179" t="s">
        <v>97</v>
      </c>
      <c r="Q179" t="s">
        <v>247</v>
      </c>
    </row>
    <row r="180" spans="1:17" s="25" customFormat="1" hidden="1">
      <c r="A180" s="111">
        <v>8.9364686458333342E-3</v>
      </c>
      <c r="B180" t="s">
        <v>97</v>
      </c>
      <c r="C180"/>
      <c r="D180"/>
      <c r="E180" t="s">
        <v>108</v>
      </c>
      <c r="F180"/>
      <c r="G180" t="s">
        <v>98</v>
      </c>
      <c r="H180"/>
      <c r="I180" s="158">
        <v>46278.613553240742</v>
      </c>
      <c r="J180" t="s">
        <v>445</v>
      </c>
      <c r="K180" t="s">
        <v>443</v>
      </c>
      <c r="L180" s="157">
        <v>46277</v>
      </c>
      <c r="M180" t="s">
        <v>442</v>
      </c>
      <c r="N180" t="s">
        <v>231</v>
      </c>
      <c r="O180" t="s">
        <v>444</v>
      </c>
      <c r="P180" t="s">
        <v>97</v>
      </c>
      <c r="Q180" t="s">
        <v>247</v>
      </c>
    </row>
    <row r="181" spans="1:17" s="25" customFormat="1" hidden="1">
      <c r="A181" s="111">
        <v>8.9073463425925932E-3</v>
      </c>
      <c r="B181" t="s">
        <v>97</v>
      </c>
      <c r="C181"/>
      <c r="D181"/>
      <c r="E181" t="s">
        <v>108</v>
      </c>
      <c r="F181"/>
      <c r="G181" t="s">
        <v>98</v>
      </c>
      <c r="H181"/>
      <c r="I181" s="158">
        <v>46278.613483796296</v>
      </c>
      <c r="J181" t="s">
        <v>445</v>
      </c>
      <c r="K181" t="s">
        <v>443</v>
      </c>
      <c r="L181" s="157">
        <v>46277</v>
      </c>
      <c r="M181" t="s">
        <v>442</v>
      </c>
      <c r="N181" t="s">
        <v>231</v>
      </c>
      <c r="O181" t="s">
        <v>444</v>
      </c>
      <c r="P181" t="s">
        <v>97</v>
      </c>
      <c r="Q181" t="s">
        <v>247</v>
      </c>
    </row>
    <row r="182" spans="1:17" s="25" customFormat="1" hidden="1">
      <c r="A182" s="111">
        <v>8.7016589583333338E-3</v>
      </c>
      <c r="B182" t="s">
        <v>97</v>
      </c>
      <c r="C182"/>
      <c r="D182"/>
      <c r="E182" t="s">
        <v>101</v>
      </c>
      <c r="F182"/>
      <c r="G182" t="s">
        <v>98</v>
      </c>
      <c r="H182"/>
      <c r="I182" s="158">
        <v>46278.613136574073</v>
      </c>
      <c r="J182" t="s">
        <v>445</v>
      </c>
      <c r="K182" t="s">
        <v>443</v>
      </c>
      <c r="L182" s="157">
        <v>46277</v>
      </c>
      <c r="M182" t="s">
        <v>442</v>
      </c>
      <c r="N182" t="s">
        <v>231</v>
      </c>
      <c r="O182" t="s">
        <v>444</v>
      </c>
      <c r="P182" t="s">
        <v>97</v>
      </c>
      <c r="Q182" t="s">
        <v>247</v>
      </c>
    </row>
    <row r="183" spans="1:17" s="25" customFormat="1" hidden="1">
      <c r="A183" s="111">
        <v>8.4219059490740749E-3</v>
      </c>
      <c r="B183" t="s">
        <v>97</v>
      </c>
      <c r="C183"/>
      <c r="D183"/>
      <c r="E183" t="s">
        <v>87</v>
      </c>
      <c r="F183"/>
      <c r="G183" t="s">
        <v>98</v>
      </c>
      <c r="H183"/>
      <c r="I183" s="158">
        <v>46278.612893518519</v>
      </c>
      <c r="J183" t="s">
        <v>445</v>
      </c>
      <c r="K183" t="s">
        <v>443</v>
      </c>
      <c r="L183" s="157">
        <v>46277</v>
      </c>
      <c r="M183" t="s">
        <v>442</v>
      </c>
      <c r="N183" t="s">
        <v>231</v>
      </c>
      <c r="O183" t="s">
        <v>444</v>
      </c>
      <c r="P183" t="s">
        <v>97</v>
      </c>
      <c r="Q183" t="s">
        <v>247</v>
      </c>
    </row>
    <row r="184" spans="1:17" s="25" customFormat="1" hidden="1">
      <c r="A184" s="111">
        <v>8.4219059490740749E-3</v>
      </c>
      <c r="B184" t="s">
        <v>97</v>
      </c>
      <c r="C184"/>
      <c r="D184"/>
      <c r="E184" t="s">
        <v>213</v>
      </c>
      <c r="F184" t="s">
        <v>206</v>
      </c>
      <c r="G184" t="s">
        <v>98</v>
      </c>
      <c r="H184"/>
      <c r="I184" s="158">
        <v>46278.612893518519</v>
      </c>
      <c r="J184" t="s">
        <v>445</v>
      </c>
      <c r="K184" t="s">
        <v>443</v>
      </c>
      <c r="L184" s="157">
        <v>46277</v>
      </c>
      <c r="M184" t="s">
        <v>442</v>
      </c>
      <c r="N184" t="s">
        <v>231</v>
      </c>
      <c r="O184" t="s">
        <v>444</v>
      </c>
      <c r="P184" t="s">
        <v>97</v>
      </c>
      <c r="Q184" t="s">
        <v>247</v>
      </c>
    </row>
    <row r="185" spans="1:17" s="25" customFormat="1" hidden="1">
      <c r="A185" s="111">
        <v>8.2111929166666653E-3</v>
      </c>
      <c r="B185" t="s">
        <v>97</v>
      </c>
      <c r="C185" t="s">
        <v>452</v>
      </c>
      <c r="D185"/>
      <c r="E185" t="s">
        <v>111</v>
      </c>
      <c r="F185"/>
      <c r="G185" t="s">
        <v>98</v>
      </c>
      <c r="H185"/>
      <c r="I185" s="158">
        <v>46278.612847222219</v>
      </c>
      <c r="J185" t="s">
        <v>445</v>
      </c>
      <c r="K185" t="s">
        <v>443</v>
      </c>
      <c r="L185" s="157">
        <v>46277</v>
      </c>
      <c r="M185" t="s">
        <v>442</v>
      </c>
      <c r="N185" t="s">
        <v>231</v>
      </c>
      <c r="O185" t="s">
        <v>444</v>
      </c>
      <c r="P185" t="s">
        <v>97</v>
      </c>
      <c r="Q185" t="s">
        <v>247</v>
      </c>
    </row>
    <row r="186" spans="1:17" s="25" customFormat="1" hidden="1">
      <c r="A186" s="111">
        <v>7.9300521527777782E-3</v>
      </c>
      <c r="B186" t="s">
        <v>97</v>
      </c>
      <c r="C186"/>
      <c r="D186"/>
      <c r="E186" t="s">
        <v>104</v>
      </c>
      <c r="F186"/>
      <c r="G186" t="s">
        <v>98</v>
      </c>
      <c r="H186"/>
      <c r="I186" s="158">
        <v>46278.612164351849</v>
      </c>
      <c r="J186" t="s">
        <v>445</v>
      </c>
      <c r="K186" t="s">
        <v>443</v>
      </c>
      <c r="L186" s="157">
        <v>46277</v>
      </c>
      <c r="M186" t="s">
        <v>442</v>
      </c>
      <c r="N186" t="s">
        <v>231</v>
      </c>
      <c r="O186" t="s">
        <v>444</v>
      </c>
      <c r="P186" t="s">
        <v>97</v>
      </c>
      <c r="Q186" t="s">
        <v>247</v>
      </c>
    </row>
    <row r="187" spans="1:17" s="25" customFormat="1" hidden="1">
      <c r="A187" s="111">
        <v>7.767041736111111E-3</v>
      </c>
      <c r="B187" t="s">
        <v>97</v>
      </c>
      <c r="C187"/>
      <c r="D187"/>
      <c r="E187" t="s">
        <v>87</v>
      </c>
      <c r="F187"/>
      <c r="G187" t="s">
        <v>98</v>
      </c>
      <c r="H187"/>
      <c r="I187" s="158">
        <v>46278.612141203703</v>
      </c>
      <c r="J187" t="s">
        <v>445</v>
      </c>
      <c r="K187" t="s">
        <v>443</v>
      </c>
      <c r="L187" s="157">
        <v>46277</v>
      </c>
      <c r="M187" t="s">
        <v>442</v>
      </c>
      <c r="N187" t="s">
        <v>231</v>
      </c>
      <c r="O187" t="s">
        <v>444</v>
      </c>
      <c r="P187" t="s">
        <v>97</v>
      </c>
      <c r="Q187" t="s">
        <v>247</v>
      </c>
    </row>
    <row r="188" spans="1:17" s="25" customFormat="1" hidden="1">
      <c r="A188" s="111">
        <v>7.767041736111111E-3</v>
      </c>
      <c r="B188" t="s">
        <v>97</v>
      </c>
      <c r="C188"/>
      <c r="D188"/>
      <c r="E188" t="s">
        <v>213</v>
      </c>
      <c r="F188" t="s">
        <v>82</v>
      </c>
      <c r="G188" t="s">
        <v>98</v>
      </c>
      <c r="H188"/>
      <c r="I188" s="158">
        <v>46278.612141203703</v>
      </c>
      <c r="J188" t="s">
        <v>445</v>
      </c>
      <c r="K188" t="s">
        <v>443</v>
      </c>
      <c r="L188" s="157">
        <v>46277</v>
      </c>
      <c r="M188" t="s">
        <v>442</v>
      </c>
      <c r="N188" t="s">
        <v>231</v>
      </c>
      <c r="O188" t="s">
        <v>444</v>
      </c>
      <c r="P188" t="s">
        <v>97</v>
      </c>
      <c r="Q188" t="s">
        <v>247</v>
      </c>
    </row>
    <row r="189" spans="1:17" s="25" customFormat="1" hidden="1">
      <c r="A189" s="111">
        <v>7.503018969907408E-3</v>
      </c>
      <c r="B189" t="s">
        <v>97</v>
      </c>
      <c r="C189"/>
      <c r="D189"/>
      <c r="E189" t="s">
        <v>87</v>
      </c>
      <c r="F189"/>
      <c r="G189" t="s">
        <v>98</v>
      </c>
      <c r="H189"/>
      <c r="I189" s="158">
        <v>46278.611516203702</v>
      </c>
      <c r="J189" t="s">
        <v>445</v>
      </c>
      <c r="K189" t="s">
        <v>443</v>
      </c>
      <c r="L189" s="157">
        <v>46277</v>
      </c>
      <c r="M189" t="s">
        <v>442</v>
      </c>
      <c r="N189" t="s">
        <v>231</v>
      </c>
      <c r="O189" t="s">
        <v>444</v>
      </c>
      <c r="P189" t="s">
        <v>97</v>
      </c>
      <c r="Q189" t="s">
        <v>247</v>
      </c>
    </row>
    <row r="190" spans="1:17" s="25" customFormat="1" hidden="1">
      <c r="A190" s="111">
        <v>7.4140054166666669E-3</v>
      </c>
      <c r="B190" t="s">
        <v>97</v>
      </c>
      <c r="C190"/>
      <c r="D190"/>
      <c r="E190" t="s">
        <v>184</v>
      </c>
      <c r="F190"/>
      <c r="G190" t="s">
        <v>98</v>
      </c>
      <c r="H190"/>
      <c r="I190" s="158">
        <v>46278.61141203704</v>
      </c>
      <c r="J190" t="s">
        <v>445</v>
      </c>
      <c r="K190" t="s">
        <v>443</v>
      </c>
      <c r="L190" s="157">
        <v>46277</v>
      </c>
      <c r="M190" t="s">
        <v>442</v>
      </c>
      <c r="N190" t="s">
        <v>231</v>
      </c>
      <c r="O190" t="s">
        <v>444</v>
      </c>
      <c r="P190" t="s">
        <v>97</v>
      </c>
      <c r="Q190" t="s">
        <v>247</v>
      </c>
    </row>
    <row r="191" spans="1:17" s="25" customFormat="1" hidden="1">
      <c r="A191" s="111">
        <v>7.3040432754629629E-3</v>
      </c>
      <c r="B191" t="s">
        <v>97</v>
      </c>
      <c r="C191"/>
      <c r="D191"/>
      <c r="E191" t="s">
        <v>108</v>
      </c>
      <c r="F191"/>
      <c r="G191" t="s">
        <v>98</v>
      </c>
      <c r="H191"/>
      <c r="I191" s="158">
        <v>46278.611250000002</v>
      </c>
      <c r="J191" t="s">
        <v>445</v>
      </c>
      <c r="K191" t="s">
        <v>443</v>
      </c>
      <c r="L191" s="157">
        <v>46277</v>
      </c>
      <c r="M191" t="s">
        <v>442</v>
      </c>
      <c r="N191" t="s">
        <v>231</v>
      </c>
      <c r="O191" t="s">
        <v>444</v>
      </c>
      <c r="P191" t="s">
        <v>97</v>
      </c>
      <c r="Q191" t="s">
        <v>247</v>
      </c>
    </row>
    <row r="192" spans="1:17" s="25" customFormat="1" hidden="1">
      <c r="A192" s="111">
        <v>7.2265313310185186E-3</v>
      </c>
      <c r="B192" t="s">
        <v>97</v>
      </c>
      <c r="C192"/>
      <c r="D192"/>
      <c r="E192" t="s">
        <v>108</v>
      </c>
      <c r="F192"/>
      <c r="G192" t="s">
        <v>98</v>
      </c>
      <c r="H192"/>
      <c r="I192" s="158">
        <v>46278.611134259256</v>
      </c>
      <c r="J192" t="s">
        <v>445</v>
      </c>
      <c r="K192" t="s">
        <v>443</v>
      </c>
      <c r="L192" s="157">
        <v>46277</v>
      </c>
      <c r="M192" t="s">
        <v>442</v>
      </c>
      <c r="N192" t="s">
        <v>231</v>
      </c>
      <c r="O192" t="s">
        <v>444</v>
      </c>
      <c r="P192" t="s">
        <v>97</v>
      </c>
      <c r="Q192" t="s">
        <v>247</v>
      </c>
    </row>
    <row r="193" spans="1:17" s="25" customFormat="1" hidden="1">
      <c r="A193" s="111">
        <v>7.2112585648148146E-3</v>
      </c>
      <c r="B193" t="s">
        <v>97</v>
      </c>
      <c r="C193"/>
      <c r="D193"/>
      <c r="E193" t="s">
        <v>108</v>
      </c>
      <c r="F193"/>
      <c r="G193" t="s">
        <v>98</v>
      </c>
      <c r="H193"/>
      <c r="I193" s="158">
        <v>46278.61109953704</v>
      </c>
      <c r="J193" t="s">
        <v>445</v>
      </c>
      <c r="K193" t="s">
        <v>443</v>
      </c>
      <c r="L193" s="157">
        <v>46277</v>
      </c>
      <c r="M193" t="s">
        <v>442</v>
      </c>
      <c r="N193" t="s">
        <v>231</v>
      </c>
      <c r="O193" t="s">
        <v>444</v>
      </c>
      <c r="P193" t="s">
        <v>97</v>
      </c>
      <c r="Q193" t="s">
        <v>247</v>
      </c>
    </row>
    <row r="194" spans="1:17" s="25" customFormat="1" hidden="1">
      <c r="A194" s="111">
        <v>7.1995526388888885E-3</v>
      </c>
      <c r="B194" t="s">
        <v>97</v>
      </c>
      <c r="C194"/>
      <c r="D194"/>
      <c r="E194" t="s">
        <v>108</v>
      </c>
      <c r="F194"/>
      <c r="G194" t="s">
        <v>98</v>
      </c>
      <c r="H194"/>
      <c r="I194" s="158">
        <v>46278.61105324074</v>
      </c>
      <c r="J194" t="s">
        <v>445</v>
      </c>
      <c r="K194" t="s">
        <v>443</v>
      </c>
      <c r="L194" s="157">
        <v>46277</v>
      </c>
      <c r="M194" t="s">
        <v>442</v>
      </c>
      <c r="N194" t="s">
        <v>231</v>
      </c>
      <c r="O194" t="s">
        <v>444</v>
      </c>
      <c r="P194" t="s">
        <v>97</v>
      </c>
      <c r="Q194" t="s">
        <v>247</v>
      </c>
    </row>
    <row r="195" spans="1:17" s="25" customFormat="1" hidden="1">
      <c r="A195" s="111">
        <v>7.0836234837962963E-3</v>
      </c>
      <c r="B195" t="s">
        <v>97</v>
      </c>
      <c r="C195"/>
      <c r="D195"/>
      <c r="E195" t="s">
        <v>108</v>
      </c>
      <c r="F195"/>
      <c r="G195" t="s">
        <v>98</v>
      </c>
      <c r="H195"/>
      <c r="I195" s="158">
        <v>46278.610879629632</v>
      </c>
      <c r="J195" t="s">
        <v>445</v>
      </c>
      <c r="K195" t="s">
        <v>443</v>
      </c>
      <c r="L195" s="157">
        <v>46277</v>
      </c>
      <c r="M195" t="s">
        <v>442</v>
      </c>
      <c r="N195" t="s">
        <v>231</v>
      </c>
      <c r="O195" t="s">
        <v>444</v>
      </c>
      <c r="P195" t="s">
        <v>97</v>
      </c>
      <c r="Q195" t="s">
        <v>247</v>
      </c>
    </row>
    <row r="196" spans="1:17" s="25" customFormat="1" hidden="1">
      <c r="A196" s="111">
        <v>7.0083878472222225E-3</v>
      </c>
      <c r="B196" t="s">
        <v>97</v>
      </c>
      <c r="C196"/>
      <c r="D196"/>
      <c r="E196" t="s">
        <v>133</v>
      </c>
      <c r="F196"/>
      <c r="G196" t="s">
        <v>98</v>
      </c>
      <c r="H196"/>
      <c r="I196" s="158">
        <v>46278.61074074074</v>
      </c>
      <c r="J196" t="s">
        <v>445</v>
      </c>
      <c r="K196" t="s">
        <v>443</v>
      </c>
      <c r="L196" s="157">
        <v>46277</v>
      </c>
      <c r="M196" t="s">
        <v>442</v>
      </c>
      <c r="N196" t="s">
        <v>231</v>
      </c>
      <c r="O196" t="s">
        <v>444</v>
      </c>
      <c r="P196" t="s">
        <v>97</v>
      </c>
      <c r="Q196" t="s">
        <v>247</v>
      </c>
    </row>
    <row r="197" spans="1:17" s="25" customFormat="1" hidden="1">
      <c r="A197" s="111">
        <v>6.990975717592593E-3</v>
      </c>
      <c r="B197" t="s">
        <v>97</v>
      </c>
      <c r="C197"/>
      <c r="D197"/>
      <c r="E197" t="s">
        <v>59</v>
      </c>
      <c r="F197"/>
      <c r="G197" t="s">
        <v>98</v>
      </c>
      <c r="H197"/>
      <c r="I197" s="158">
        <v>46278.610671296294</v>
      </c>
      <c r="J197" t="s">
        <v>445</v>
      </c>
      <c r="K197" t="s">
        <v>443</v>
      </c>
      <c r="L197" s="157">
        <v>46277</v>
      </c>
      <c r="M197" t="s">
        <v>442</v>
      </c>
      <c r="N197" t="s">
        <v>231</v>
      </c>
      <c r="O197" t="s">
        <v>444</v>
      </c>
      <c r="P197" t="s">
        <v>97</v>
      </c>
      <c r="Q197" t="s">
        <v>247</v>
      </c>
    </row>
    <row r="198" spans="1:17" s="25" customFormat="1" hidden="1">
      <c r="A198" s="111">
        <v>6.9792203125000002E-3</v>
      </c>
      <c r="B198" t="s">
        <v>97</v>
      </c>
      <c r="C198"/>
      <c r="D198"/>
      <c r="E198" t="s">
        <v>59</v>
      </c>
      <c r="F198"/>
      <c r="G198" t="s">
        <v>98</v>
      </c>
      <c r="H198"/>
      <c r="I198" s="158">
        <v>46278.610636574071</v>
      </c>
      <c r="J198" t="s">
        <v>445</v>
      </c>
      <c r="K198" t="s">
        <v>443</v>
      </c>
      <c r="L198" s="157">
        <v>46277</v>
      </c>
      <c r="M198" t="s">
        <v>442</v>
      </c>
      <c r="N198" t="s">
        <v>231</v>
      </c>
      <c r="O198" t="s">
        <v>444</v>
      </c>
      <c r="P198" t="s">
        <v>97</v>
      </c>
      <c r="Q198" t="s">
        <v>247</v>
      </c>
    </row>
    <row r="199" spans="1:17" s="25" customFormat="1" hidden="1">
      <c r="A199" s="111">
        <v>6.9749233449074074E-3</v>
      </c>
      <c r="B199" t="s">
        <v>97</v>
      </c>
      <c r="C199"/>
      <c r="D199"/>
      <c r="E199" t="s">
        <v>59</v>
      </c>
      <c r="F199"/>
      <c r="G199" t="s">
        <v>98</v>
      </c>
      <c r="H199"/>
      <c r="I199" s="158">
        <v>46278.610543981478</v>
      </c>
      <c r="J199" t="s">
        <v>445</v>
      </c>
      <c r="K199" t="s">
        <v>443</v>
      </c>
      <c r="L199" s="157">
        <v>46277</v>
      </c>
      <c r="M199" t="s">
        <v>442</v>
      </c>
      <c r="N199" t="s">
        <v>231</v>
      </c>
      <c r="O199" t="s">
        <v>444</v>
      </c>
      <c r="P199" t="s">
        <v>97</v>
      </c>
      <c r="Q199" t="s">
        <v>247</v>
      </c>
    </row>
    <row r="200" spans="1:17" s="25" customFormat="1" hidden="1">
      <c r="A200" s="111">
        <v>6.8653221643518517E-3</v>
      </c>
      <c r="B200" t="s">
        <v>97</v>
      </c>
      <c r="C200" t="s">
        <v>449</v>
      </c>
      <c r="D200"/>
      <c r="E200" t="s">
        <v>111</v>
      </c>
      <c r="F200"/>
      <c r="G200" t="s">
        <v>98</v>
      </c>
      <c r="H200"/>
      <c r="I200" s="158">
        <v>46278.610532407409</v>
      </c>
      <c r="J200" t="s">
        <v>445</v>
      </c>
      <c r="K200" t="s">
        <v>443</v>
      </c>
      <c r="L200" s="157">
        <v>46277</v>
      </c>
      <c r="M200" t="s">
        <v>442</v>
      </c>
      <c r="N200" t="s">
        <v>231</v>
      </c>
      <c r="O200" t="s">
        <v>444</v>
      </c>
      <c r="P200" t="s">
        <v>97</v>
      </c>
      <c r="Q200" t="s">
        <v>247</v>
      </c>
    </row>
    <row r="201" spans="1:17" s="25" customFormat="1" hidden="1">
      <c r="A201" s="111">
        <v>6.754448217592593E-3</v>
      </c>
      <c r="B201" t="s">
        <v>97</v>
      </c>
      <c r="C201"/>
      <c r="D201"/>
      <c r="E201" t="s">
        <v>104</v>
      </c>
      <c r="F201"/>
      <c r="G201" t="s">
        <v>98</v>
      </c>
      <c r="H201"/>
      <c r="I201" s="158">
        <v>46278.610185185185</v>
      </c>
      <c r="J201" t="s">
        <v>445</v>
      </c>
      <c r="K201" t="s">
        <v>443</v>
      </c>
      <c r="L201" s="157">
        <v>46277</v>
      </c>
      <c r="M201" t="s">
        <v>442</v>
      </c>
      <c r="N201" t="s">
        <v>231</v>
      </c>
      <c r="O201" t="s">
        <v>444</v>
      </c>
      <c r="P201" t="s">
        <v>97</v>
      </c>
      <c r="Q201" t="s">
        <v>247</v>
      </c>
    </row>
    <row r="202" spans="1:17" s="25" customFormat="1" hidden="1">
      <c r="A202" s="111">
        <v>6.4054742824074078E-3</v>
      </c>
      <c r="B202" t="s">
        <v>97</v>
      </c>
      <c r="C202"/>
      <c r="D202"/>
      <c r="E202" t="s">
        <v>87</v>
      </c>
      <c r="F202"/>
      <c r="G202" t="s">
        <v>164</v>
      </c>
      <c r="H202"/>
      <c r="I202" s="158">
        <v>46278.609965277778</v>
      </c>
      <c r="J202" t="s">
        <v>445</v>
      </c>
      <c r="K202" t="s">
        <v>443</v>
      </c>
      <c r="L202" s="157">
        <v>46277</v>
      </c>
      <c r="M202" t="s">
        <v>442</v>
      </c>
      <c r="N202" t="s">
        <v>231</v>
      </c>
      <c r="O202" t="s">
        <v>444</v>
      </c>
      <c r="P202" t="s">
        <v>97</v>
      </c>
      <c r="Q202" t="s">
        <v>247</v>
      </c>
    </row>
    <row r="203" spans="1:17" s="25" customFormat="1" hidden="1">
      <c r="A203" s="111">
        <v>6.366230347222222E-3</v>
      </c>
      <c r="B203" t="s">
        <v>97</v>
      </c>
      <c r="C203"/>
      <c r="D203"/>
      <c r="E203" t="s">
        <v>184</v>
      </c>
      <c r="F203"/>
      <c r="G203" t="s">
        <v>164</v>
      </c>
      <c r="H203"/>
      <c r="I203" s="158">
        <v>46278.609826388885</v>
      </c>
      <c r="J203" t="s">
        <v>445</v>
      </c>
      <c r="K203" t="s">
        <v>443</v>
      </c>
      <c r="L203" s="157">
        <v>46277</v>
      </c>
      <c r="M203" t="s">
        <v>442</v>
      </c>
      <c r="N203" t="s">
        <v>231</v>
      </c>
      <c r="O203" t="s">
        <v>444</v>
      </c>
      <c r="P203" t="s">
        <v>97</v>
      </c>
      <c r="Q203" t="s">
        <v>247</v>
      </c>
    </row>
    <row r="204" spans="1:17" s="25" customFormat="1" hidden="1">
      <c r="A204" s="111">
        <v>6.3418829050925921E-3</v>
      </c>
      <c r="B204" t="s">
        <v>97</v>
      </c>
      <c r="C204"/>
      <c r="D204"/>
      <c r="E204" t="s">
        <v>188</v>
      </c>
      <c r="F204"/>
      <c r="G204" t="s">
        <v>164</v>
      </c>
      <c r="H204"/>
      <c r="I204" s="158">
        <v>46278.609791666669</v>
      </c>
      <c r="J204" t="s">
        <v>445</v>
      </c>
      <c r="K204" t="s">
        <v>443</v>
      </c>
      <c r="L204" s="157">
        <v>46277</v>
      </c>
      <c r="M204" t="s">
        <v>442</v>
      </c>
      <c r="N204" t="s">
        <v>231</v>
      </c>
      <c r="O204" t="s">
        <v>444</v>
      </c>
      <c r="P204" t="s">
        <v>97</v>
      </c>
      <c r="Q204" t="s">
        <v>247</v>
      </c>
    </row>
    <row r="205" spans="1:17" s="25" customFormat="1" hidden="1">
      <c r="A205" s="111">
        <v>6.2952657060185192E-3</v>
      </c>
      <c r="B205" t="s">
        <v>97</v>
      </c>
      <c r="C205"/>
      <c r="D205"/>
      <c r="E205" t="s">
        <v>184</v>
      </c>
      <c r="F205"/>
      <c r="G205" t="s">
        <v>98</v>
      </c>
      <c r="H205"/>
      <c r="I205" s="158">
        <v>46278.609699074077</v>
      </c>
      <c r="J205" t="s">
        <v>445</v>
      </c>
      <c r="K205" t="s">
        <v>443</v>
      </c>
      <c r="L205" s="157">
        <v>46277</v>
      </c>
      <c r="M205" t="s">
        <v>442</v>
      </c>
      <c r="N205" t="s">
        <v>231</v>
      </c>
      <c r="O205" t="s">
        <v>444</v>
      </c>
      <c r="P205" t="s">
        <v>97</v>
      </c>
      <c r="Q205" t="s">
        <v>247</v>
      </c>
    </row>
    <row r="206" spans="1:17" s="25" customFormat="1" hidden="1">
      <c r="A206" s="111">
        <v>6.2381563194444448E-3</v>
      </c>
      <c r="B206" t="s">
        <v>97</v>
      </c>
      <c r="C206"/>
      <c r="D206"/>
      <c r="E206" t="s">
        <v>108</v>
      </c>
      <c r="F206"/>
      <c r="G206" t="s">
        <v>98</v>
      </c>
      <c r="H206"/>
      <c r="I206" s="158">
        <v>46278.609479166669</v>
      </c>
      <c r="J206" t="s">
        <v>445</v>
      </c>
      <c r="K206" t="s">
        <v>443</v>
      </c>
      <c r="L206" s="157">
        <v>46277</v>
      </c>
      <c r="M206" t="s">
        <v>442</v>
      </c>
      <c r="N206" t="s">
        <v>231</v>
      </c>
      <c r="O206" t="s">
        <v>444</v>
      </c>
      <c r="P206" t="s">
        <v>97</v>
      </c>
      <c r="Q206" t="s">
        <v>247</v>
      </c>
    </row>
    <row r="207" spans="1:17" s="25" customFormat="1" hidden="1">
      <c r="A207" s="111">
        <v>6.1568975231481487E-3</v>
      </c>
      <c r="B207" t="s">
        <v>97</v>
      </c>
      <c r="C207"/>
      <c r="D207"/>
      <c r="E207" t="s">
        <v>108</v>
      </c>
      <c r="F207"/>
      <c r="G207" t="s">
        <v>98</v>
      </c>
      <c r="H207"/>
      <c r="I207" s="158">
        <v>46278.609363425923</v>
      </c>
      <c r="J207" t="s">
        <v>445</v>
      </c>
      <c r="K207" t="s">
        <v>443</v>
      </c>
      <c r="L207" s="157">
        <v>46277</v>
      </c>
      <c r="M207" t="s">
        <v>442</v>
      </c>
      <c r="N207" t="s">
        <v>231</v>
      </c>
      <c r="O207" t="s">
        <v>444</v>
      </c>
      <c r="P207" t="s">
        <v>97</v>
      </c>
      <c r="Q207" t="s">
        <v>247</v>
      </c>
    </row>
    <row r="208" spans="1:17" s="25" customFormat="1" hidden="1">
      <c r="A208" s="111">
        <v>6.0470320138888891E-3</v>
      </c>
      <c r="B208" t="s">
        <v>97</v>
      </c>
      <c r="C208"/>
      <c r="D208"/>
      <c r="E208" t="s">
        <v>108</v>
      </c>
      <c r="F208"/>
      <c r="G208" t="s">
        <v>98</v>
      </c>
      <c r="H208"/>
      <c r="I208" s="158">
        <v>46278.609201388892</v>
      </c>
      <c r="J208" t="s">
        <v>445</v>
      </c>
      <c r="K208" t="s">
        <v>443</v>
      </c>
      <c r="L208" s="157">
        <v>46277</v>
      </c>
      <c r="M208" t="s">
        <v>442</v>
      </c>
      <c r="N208" t="s">
        <v>231</v>
      </c>
      <c r="O208" t="s">
        <v>444</v>
      </c>
      <c r="P208" t="s">
        <v>97</v>
      </c>
      <c r="Q208" t="s">
        <v>247</v>
      </c>
    </row>
    <row r="209" spans="1:17" s="25" customFormat="1" hidden="1">
      <c r="A209" s="111">
        <v>6.0296271412037042E-3</v>
      </c>
      <c r="B209" t="s">
        <v>97</v>
      </c>
      <c r="C209"/>
      <c r="D209"/>
      <c r="E209" t="s">
        <v>59</v>
      </c>
      <c r="F209"/>
      <c r="G209" t="s">
        <v>98</v>
      </c>
      <c r="H209"/>
      <c r="I209" s="158">
        <v>46278.609155092592</v>
      </c>
      <c r="J209" t="s">
        <v>445</v>
      </c>
      <c r="K209" t="s">
        <v>443</v>
      </c>
      <c r="L209" s="157">
        <v>46277</v>
      </c>
      <c r="M209" t="s">
        <v>442</v>
      </c>
      <c r="N209" t="s">
        <v>231</v>
      </c>
      <c r="O209" t="s">
        <v>444</v>
      </c>
      <c r="P209" t="s">
        <v>97</v>
      </c>
      <c r="Q209" t="s">
        <v>247</v>
      </c>
    </row>
    <row r="210" spans="1:17" s="25" customFormat="1" hidden="1">
      <c r="A210" s="111">
        <v>5.9663476041666667E-3</v>
      </c>
      <c r="B210" t="s">
        <v>97</v>
      </c>
      <c r="C210"/>
      <c r="D210"/>
      <c r="E210" t="s">
        <v>108</v>
      </c>
      <c r="F210"/>
      <c r="G210" t="s">
        <v>98</v>
      </c>
      <c r="H210"/>
      <c r="I210" s="158">
        <v>46278.608842592592</v>
      </c>
      <c r="J210" t="s">
        <v>445</v>
      </c>
      <c r="K210" t="s">
        <v>443</v>
      </c>
      <c r="L210" s="157">
        <v>46277</v>
      </c>
      <c r="M210" t="s">
        <v>442</v>
      </c>
      <c r="N210" t="s">
        <v>231</v>
      </c>
      <c r="O210" t="s">
        <v>444</v>
      </c>
      <c r="P210" t="s">
        <v>97</v>
      </c>
      <c r="Q210" t="s">
        <v>247</v>
      </c>
    </row>
    <row r="211" spans="1:17" s="25" customFormat="1" hidden="1">
      <c r="A211" s="111">
        <v>5.8650041319444441E-3</v>
      </c>
      <c r="B211" t="s">
        <v>97</v>
      </c>
      <c r="C211"/>
      <c r="D211"/>
      <c r="E211" t="s">
        <v>108</v>
      </c>
      <c r="F211"/>
      <c r="G211" t="s">
        <v>98</v>
      </c>
      <c r="H211"/>
      <c r="I211" s="158">
        <v>46278.608414351853</v>
      </c>
      <c r="J211" t="s">
        <v>445</v>
      </c>
      <c r="K211" t="s">
        <v>443</v>
      </c>
      <c r="L211" s="157">
        <v>46277</v>
      </c>
      <c r="M211" t="s">
        <v>442</v>
      </c>
      <c r="N211" t="s">
        <v>231</v>
      </c>
      <c r="O211" t="s">
        <v>444</v>
      </c>
      <c r="P211" t="s">
        <v>97</v>
      </c>
      <c r="Q211" t="s">
        <v>247</v>
      </c>
    </row>
    <row r="212" spans="1:17" s="25" customFormat="1" hidden="1">
      <c r="A212" s="111">
        <v>5.8217592592592592E-3</v>
      </c>
      <c r="B212" t="s">
        <v>97</v>
      </c>
      <c r="C212"/>
      <c r="D212"/>
      <c r="E212" t="s">
        <v>279</v>
      </c>
      <c r="F212"/>
      <c r="G212" t="s">
        <v>98</v>
      </c>
      <c r="H212"/>
      <c r="I212" s="158">
        <v>46278.608217592591</v>
      </c>
      <c r="J212" t="s">
        <v>445</v>
      </c>
      <c r="K212" t="s">
        <v>443</v>
      </c>
      <c r="L212" s="157">
        <v>46277</v>
      </c>
      <c r="M212" t="s">
        <v>442</v>
      </c>
      <c r="N212" t="s">
        <v>231</v>
      </c>
      <c r="O212" t="s">
        <v>444</v>
      </c>
      <c r="P212" t="s">
        <v>97</v>
      </c>
      <c r="Q212" t="s">
        <v>247</v>
      </c>
    </row>
    <row r="213" spans="1:17" s="25" customFormat="1" hidden="1">
      <c r="A213" s="111">
        <v>5.5793516898148153E-3</v>
      </c>
      <c r="B213" t="s">
        <v>97</v>
      </c>
      <c r="C213"/>
      <c r="D213"/>
      <c r="E213" t="s">
        <v>105</v>
      </c>
      <c r="F213"/>
      <c r="G213" t="s">
        <v>98</v>
      </c>
      <c r="H213"/>
      <c r="I213" s="158">
        <v>46278.608217592591</v>
      </c>
      <c r="J213" t="s">
        <v>445</v>
      </c>
      <c r="K213" t="s">
        <v>443</v>
      </c>
      <c r="L213" s="157">
        <v>46277</v>
      </c>
      <c r="M213" t="s">
        <v>442</v>
      </c>
      <c r="N213" t="s">
        <v>231</v>
      </c>
      <c r="O213" t="s">
        <v>444</v>
      </c>
      <c r="P213" t="s">
        <v>97</v>
      </c>
      <c r="Q213" t="s">
        <v>247</v>
      </c>
    </row>
    <row r="214" spans="1:17" s="25" customFormat="1" hidden="1">
      <c r="A214" s="111">
        <v>5.2836150115740744E-3</v>
      </c>
      <c r="B214" t="s">
        <v>97</v>
      </c>
      <c r="C214"/>
      <c r="D214"/>
      <c r="E214" t="s">
        <v>87</v>
      </c>
      <c r="F214"/>
      <c r="G214" t="s">
        <v>98</v>
      </c>
      <c r="H214"/>
      <c r="I214" s="158">
        <v>46278.607951388891</v>
      </c>
      <c r="J214" t="s">
        <v>445</v>
      </c>
      <c r="K214" t="s">
        <v>443</v>
      </c>
      <c r="L214" s="157">
        <v>46277</v>
      </c>
      <c r="M214" t="s">
        <v>442</v>
      </c>
      <c r="N214" t="s">
        <v>231</v>
      </c>
      <c r="O214" t="s">
        <v>444</v>
      </c>
      <c r="P214" t="s">
        <v>97</v>
      </c>
      <c r="Q214" t="s">
        <v>247</v>
      </c>
    </row>
    <row r="215" spans="1:17" s="25" customFormat="1" hidden="1">
      <c r="A215" s="111">
        <v>5.2836150115740744E-3</v>
      </c>
      <c r="B215" t="s">
        <v>97</v>
      </c>
      <c r="C215"/>
      <c r="D215"/>
      <c r="E215" t="s">
        <v>183</v>
      </c>
      <c r="F215"/>
      <c r="G215" t="s">
        <v>164</v>
      </c>
      <c r="H215"/>
      <c r="I215" s="158">
        <v>46278.607870370368</v>
      </c>
      <c r="J215" t="s">
        <v>445</v>
      </c>
      <c r="K215" t="s">
        <v>443</v>
      </c>
      <c r="L215" s="157">
        <v>46277</v>
      </c>
      <c r="M215" t="s">
        <v>442</v>
      </c>
      <c r="N215" t="s">
        <v>231</v>
      </c>
      <c r="O215" t="s">
        <v>444</v>
      </c>
      <c r="P215" t="s">
        <v>97</v>
      </c>
      <c r="Q215" t="s">
        <v>247</v>
      </c>
    </row>
    <row r="216" spans="1:17" s="25" customFormat="1" hidden="1">
      <c r="A216" s="111">
        <v>5.2836150115740744E-3</v>
      </c>
      <c r="B216" t="s">
        <v>97</v>
      </c>
      <c r="C216"/>
      <c r="D216"/>
      <c r="E216" t="s">
        <v>188</v>
      </c>
      <c r="F216"/>
      <c r="G216" t="s">
        <v>164</v>
      </c>
      <c r="H216"/>
      <c r="I216" s="158">
        <v>46278.607847222222</v>
      </c>
      <c r="J216" t="s">
        <v>445</v>
      </c>
      <c r="K216" t="s">
        <v>443</v>
      </c>
      <c r="L216" s="157">
        <v>46277</v>
      </c>
      <c r="M216" t="s">
        <v>442</v>
      </c>
      <c r="N216" t="s">
        <v>231</v>
      </c>
      <c r="O216" t="s">
        <v>444</v>
      </c>
      <c r="P216" t="s">
        <v>97</v>
      </c>
      <c r="Q216" t="s">
        <v>247</v>
      </c>
    </row>
    <row r="217" spans="1:17" s="25" customFormat="1" hidden="1">
      <c r="A217" s="111">
        <v>5.2141521759259263E-3</v>
      </c>
      <c r="B217" t="s">
        <v>97</v>
      </c>
      <c r="C217"/>
      <c r="D217"/>
      <c r="E217" t="s">
        <v>184</v>
      </c>
      <c r="F217"/>
      <c r="G217" t="s">
        <v>98</v>
      </c>
      <c r="H217"/>
      <c r="I217" s="158">
        <v>46278.607731481483</v>
      </c>
      <c r="J217" t="s">
        <v>445</v>
      </c>
      <c r="K217" t="s">
        <v>443</v>
      </c>
      <c r="L217" s="157">
        <v>46277</v>
      </c>
      <c r="M217" t="s">
        <v>442</v>
      </c>
      <c r="N217" t="s">
        <v>231</v>
      </c>
      <c r="O217" t="s">
        <v>444</v>
      </c>
      <c r="P217" t="s">
        <v>97</v>
      </c>
      <c r="Q217" t="s">
        <v>247</v>
      </c>
    </row>
    <row r="218" spans="1:17" s="25" customFormat="1" hidden="1">
      <c r="A218" s="111">
        <v>5.2004850231481487E-3</v>
      </c>
      <c r="B218" t="s">
        <v>97</v>
      </c>
      <c r="C218"/>
      <c r="D218"/>
      <c r="E218" t="s">
        <v>186</v>
      </c>
      <c r="F218"/>
      <c r="G218" t="s">
        <v>98</v>
      </c>
      <c r="H218"/>
      <c r="I218" s="158">
        <v>46278.607685185183</v>
      </c>
      <c r="J218" t="s">
        <v>445</v>
      </c>
      <c r="K218" t="s">
        <v>443</v>
      </c>
      <c r="L218" s="157">
        <v>46277</v>
      </c>
      <c r="M218" t="s">
        <v>442</v>
      </c>
      <c r="N218" t="s">
        <v>231</v>
      </c>
      <c r="O218" t="s">
        <v>444</v>
      </c>
      <c r="P218" t="s">
        <v>97</v>
      </c>
      <c r="Q218" t="s">
        <v>247</v>
      </c>
    </row>
    <row r="219" spans="1:17" s="25" customFormat="1" hidden="1">
      <c r="A219" s="111">
        <v>5.1512811111111114E-3</v>
      </c>
      <c r="B219" t="s">
        <v>97</v>
      </c>
      <c r="C219"/>
      <c r="D219"/>
      <c r="E219" t="s">
        <v>100</v>
      </c>
      <c r="F219"/>
      <c r="G219"/>
      <c r="H219"/>
      <c r="I219" s="158">
        <v>46278.607638888891</v>
      </c>
      <c r="J219" t="s">
        <v>445</v>
      </c>
      <c r="K219" t="s">
        <v>443</v>
      </c>
      <c r="L219" s="157">
        <v>46277</v>
      </c>
      <c r="M219" t="s">
        <v>442</v>
      </c>
      <c r="N219" t="s">
        <v>231</v>
      </c>
      <c r="O219" t="s">
        <v>444</v>
      </c>
      <c r="P219" t="s">
        <v>97</v>
      </c>
      <c r="Q219" t="s">
        <v>247</v>
      </c>
    </row>
    <row r="220" spans="1:17" s="25" customFormat="1" hidden="1">
      <c r="A220" s="111">
        <v>3.7245135069444448E-3</v>
      </c>
      <c r="B220" t="s">
        <v>97</v>
      </c>
      <c r="C220"/>
      <c r="D220"/>
      <c r="E220" t="s">
        <v>87</v>
      </c>
      <c r="F220"/>
      <c r="G220" t="s">
        <v>98</v>
      </c>
      <c r="H220"/>
      <c r="I220" s="158">
        <v>46278.592789351853</v>
      </c>
      <c r="J220" t="s">
        <v>445</v>
      </c>
      <c r="K220" t="s">
        <v>443</v>
      </c>
      <c r="L220" s="157">
        <v>46277</v>
      </c>
      <c r="M220" t="s">
        <v>442</v>
      </c>
      <c r="N220" t="s">
        <v>231</v>
      </c>
      <c r="O220" t="s">
        <v>444</v>
      </c>
      <c r="P220" t="s">
        <v>97</v>
      </c>
      <c r="Q220" t="s">
        <v>247</v>
      </c>
    </row>
    <row r="221" spans="1:17" s="25" customFormat="1" hidden="1">
      <c r="A221" s="111">
        <v>3.7245135069444448E-3</v>
      </c>
      <c r="B221" t="s">
        <v>97</v>
      </c>
      <c r="C221" t="s">
        <v>449</v>
      </c>
      <c r="D221"/>
      <c r="E221" t="s">
        <v>103</v>
      </c>
      <c r="F221"/>
      <c r="G221" t="s">
        <v>98</v>
      </c>
      <c r="H221"/>
      <c r="I221" s="158">
        <v>46278.592789351853</v>
      </c>
      <c r="J221" t="s">
        <v>445</v>
      </c>
      <c r="K221" t="s">
        <v>443</v>
      </c>
      <c r="L221" s="157">
        <v>46277</v>
      </c>
      <c r="M221" t="s">
        <v>442</v>
      </c>
      <c r="N221" t="s">
        <v>231</v>
      </c>
      <c r="O221" t="s">
        <v>444</v>
      </c>
      <c r="P221" t="s">
        <v>97</v>
      </c>
      <c r="Q221" t="s">
        <v>247</v>
      </c>
    </row>
    <row r="222" spans="1:17" s="25" customFormat="1" hidden="1">
      <c r="A222" s="111">
        <v>3.4498408564814817E-3</v>
      </c>
      <c r="B222" t="s">
        <v>97</v>
      </c>
      <c r="C222" t="s">
        <v>452</v>
      </c>
      <c r="D222"/>
      <c r="E222" t="s">
        <v>111</v>
      </c>
      <c r="F222"/>
      <c r="G222" t="s">
        <v>98</v>
      </c>
      <c r="H222"/>
      <c r="I222" s="158">
        <v>46278.592777777776</v>
      </c>
      <c r="J222" t="s">
        <v>445</v>
      </c>
      <c r="K222" t="s">
        <v>443</v>
      </c>
      <c r="L222" s="157">
        <v>46277</v>
      </c>
      <c r="M222" t="s">
        <v>442</v>
      </c>
      <c r="N222" t="s">
        <v>231</v>
      </c>
      <c r="O222" t="s">
        <v>444</v>
      </c>
      <c r="P222" t="s">
        <v>97</v>
      </c>
      <c r="Q222" t="s">
        <v>247</v>
      </c>
    </row>
    <row r="223" spans="1:17" s="25" customFormat="1" hidden="1">
      <c r="A223" s="111">
        <v>3.1055685300925926E-3</v>
      </c>
      <c r="B223" t="s">
        <v>97</v>
      </c>
      <c r="C223"/>
      <c r="D223"/>
      <c r="E223" t="s">
        <v>104</v>
      </c>
      <c r="F223"/>
      <c r="G223" t="s">
        <v>98</v>
      </c>
      <c r="H223"/>
      <c r="I223" s="158">
        <v>46278.591932870368</v>
      </c>
      <c r="J223" t="s">
        <v>445</v>
      </c>
      <c r="K223" t="s">
        <v>443</v>
      </c>
      <c r="L223" s="157">
        <v>46277</v>
      </c>
      <c r="M223" t="s">
        <v>442</v>
      </c>
      <c r="N223" t="s">
        <v>231</v>
      </c>
      <c r="O223" t="s">
        <v>444</v>
      </c>
      <c r="P223" t="s">
        <v>97</v>
      </c>
      <c r="Q223" t="s">
        <v>247</v>
      </c>
    </row>
    <row r="224" spans="1:17" s="25" customFormat="1" hidden="1">
      <c r="A224" s="111">
        <v>2.5975843981481481E-3</v>
      </c>
      <c r="B224" t="s">
        <v>97</v>
      </c>
      <c r="C224"/>
      <c r="D224"/>
      <c r="E224" t="s">
        <v>87</v>
      </c>
      <c r="F224"/>
      <c r="G224" t="s">
        <v>98</v>
      </c>
      <c r="H224"/>
      <c r="I224" s="158">
        <v>46278.591412037036</v>
      </c>
      <c r="J224" t="s">
        <v>445</v>
      </c>
      <c r="K224" t="s">
        <v>443</v>
      </c>
      <c r="L224" s="157">
        <v>46277</v>
      </c>
      <c r="M224" t="s">
        <v>442</v>
      </c>
      <c r="N224" t="s">
        <v>231</v>
      </c>
      <c r="O224" t="s">
        <v>444</v>
      </c>
      <c r="P224" t="s">
        <v>97</v>
      </c>
      <c r="Q224" t="s">
        <v>247</v>
      </c>
    </row>
    <row r="225" spans="1:17" s="25" customFormat="1" hidden="1">
      <c r="A225" s="111">
        <v>2.5884304166666665E-3</v>
      </c>
      <c r="B225" t="s">
        <v>97</v>
      </c>
      <c r="C225"/>
      <c r="D225"/>
      <c r="E225" t="s">
        <v>135</v>
      </c>
      <c r="F225"/>
      <c r="G225" t="s">
        <v>98</v>
      </c>
      <c r="H225"/>
      <c r="I225" s="158">
        <v>46278.591157407405</v>
      </c>
      <c r="J225" t="s">
        <v>445</v>
      </c>
      <c r="K225" t="s">
        <v>443</v>
      </c>
      <c r="L225" s="157">
        <v>46277</v>
      </c>
      <c r="M225" t="s">
        <v>442</v>
      </c>
      <c r="N225" t="s">
        <v>231</v>
      </c>
      <c r="O225" t="s">
        <v>444</v>
      </c>
      <c r="P225" t="s">
        <v>97</v>
      </c>
      <c r="Q225" t="s">
        <v>247</v>
      </c>
    </row>
    <row r="226" spans="1:17" s="25" customFormat="1" hidden="1">
      <c r="A226" s="111">
        <v>2.5545733912037036E-3</v>
      </c>
      <c r="B226" t="s">
        <v>97</v>
      </c>
      <c r="C226"/>
      <c r="D226"/>
      <c r="E226" t="s">
        <v>108</v>
      </c>
      <c r="F226"/>
      <c r="G226" t="s">
        <v>98</v>
      </c>
      <c r="H226"/>
      <c r="I226" s="158">
        <v>46278.590937499997</v>
      </c>
      <c r="J226" t="s">
        <v>445</v>
      </c>
      <c r="K226" t="s">
        <v>443</v>
      </c>
      <c r="L226" s="157">
        <v>46277</v>
      </c>
      <c r="M226" t="s">
        <v>442</v>
      </c>
      <c r="N226" t="s">
        <v>231</v>
      </c>
      <c r="O226" t="s">
        <v>444</v>
      </c>
      <c r="P226" t="s">
        <v>97</v>
      </c>
      <c r="Q226" t="s">
        <v>247</v>
      </c>
    </row>
    <row r="227" spans="1:17" s="25" customFormat="1" hidden="1">
      <c r="A227" s="111">
        <v>2.4744650231481482E-3</v>
      </c>
      <c r="B227" t="s">
        <v>97</v>
      </c>
      <c r="C227"/>
      <c r="D227"/>
      <c r="E227" t="s">
        <v>108</v>
      </c>
      <c r="F227"/>
      <c r="G227" t="s">
        <v>98</v>
      </c>
      <c r="H227"/>
      <c r="I227" s="158">
        <v>46278.590405092589</v>
      </c>
      <c r="J227" t="s">
        <v>445</v>
      </c>
      <c r="K227" t="s">
        <v>443</v>
      </c>
      <c r="L227" s="157">
        <v>46277</v>
      </c>
      <c r="M227" t="s">
        <v>442</v>
      </c>
      <c r="N227" t="s">
        <v>231</v>
      </c>
      <c r="O227" t="s">
        <v>444</v>
      </c>
      <c r="P227" t="s">
        <v>97</v>
      </c>
      <c r="Q227" t="s">
        <v>247</v>
      </c>
    </row>
    <row r="228" spans="1:17" s="25" customFormat="1" hidden="1">
      <c r="A228" s="111">
        <v>2.4165946527777778E-3</v>
      </c>
      <c r="B228" t="s">
        <v>97</v>
      </c>
      <c r="C228"/>
      <c r="D228"/>
      <c r="E228" t="s">
        <v>279</v>
      </c>
      <c r="F228"/>
      <c r="G228" t="s">
        <v>98</v>
      </c>
      <c r="H228"/>
      <c r="I228" s="158">
        <v>46278.590682870374</v>
      </c>
      <c r="J228" t="s">
        <v>445</v>
      </c>
      <c r="K228" t="s">
        <v>443</v>
      </c>
      <c r="L228" s="157">
        <v>46277</v>
      </c>
      <c r="M228" t="s">
        <v>442</v>
      </c>
      <c r="N228" t="s">
        <v>231</v>
      </c>
      <c r="O228" t="s">
        <v>444</v>
      </c>
      <c r="P228" t="s">
        <v>97</v>
      </c>
      <c r="Q228" t="s">
        <v>247</v>
      </c>
    </row>
    <row r="229" spans="1:17" s="25" customFormat="1" hidden="1">
      <c r="A229" s="111">
        <v>2.2280398148148148E-3</v>
      </c>
      <c r="B229" t="s">
        <v>97</v>
      </c>
      <c r="C229"/>
      <c r="D229"/>
      <c r="E229" t="s">
        <v>105</v>
      </c>
      <c r="F229"/>
      <c r="G229" t="s">
        <v>98</v>
      </c>
      <c r="H229"/>
      <c r="I229" s="158">
        <v>46278.588333333333</v>
      </c>
      <c r="J229" t="s">
        <v>445</v>
      </c>
      <c r="K229" t="s">
        <v>443</v>
      </c>
      <c r="L229" s="157">
        <v>46277</v>
      </c>
      <c r="M229" t="s">
        <v>442</v>
      </c>
      <c r="N229" t="s">
        <v>231</v>
      </c>
      <c r="O229" t="s">
        <v>444</v>
      </c>
      <c r="P229" t="s">
        <v>97</v>
      </c>
      <c r="Q229" t="s">
        <v>247</v>
      </c>
    </row>
    <row r="230" spans="1:17" s="25" customFormat="1" hidden="1">
      <c r="A230" s="111">
        <v>1.8980436226851852E-3</v>
      </c>
      <c r="B230" t="s">
        <v>97</v>
      </c>
      <c r="C230"/>
      <c r="D230"/>
      <c r="E230" t="s">
        <v>87</v>
      </c>
      <c r="F230"/>
      <c r="G230" t="s">
        <v>98</v>
      </c>
      <c r="H230"/>
      <c r="I230" s="158">
        <v>46278.588171296295</v>
      </c>
      <c r="J230" t="s">
        <v>445</v>
      </c>
      <c r="K230" t="s">
        <v>443</v>
      </c>
      <c r="L230" s="157">
        <v>46277</v>
      </c>
      <c r="M230" t="s">
        <v>442</v>
      </c>
      <c r="N230" t="s">
        <v>231</v>
      </c>
      <c r="O230" t="s">
        <v>444</v>
      </c>
      <c r="P230" t="s">
        <v>97</v>
      </c>
      <c r="Q230" t="s">
        <v>247</v>
      </c>
    </row>
    <row r="231" spans="1:17" s="25" customFormat="1" hidden="1">
      <c r="A231" s="111">
        <v>1.8762968402777777E-3</v>
      </c>
      <c r="B231" t="s">
        <v>97</v>
      </c>
      <c r="C231"/>
      <c r="D231"/>
      <c r="E231" t="s">
        <v>183</v>
      </c>
      <c r="F231"/>
      <c r="G231" t="s">
        <v>164</v>
      </c>
      <c r="H231"/>
      <c r="I231" s="158">
        <v>46278.588125000002</v>
      </c>
      <c r="J231" t="s">
        <v>445</v>
      </c>
      <c r="K231" t="s">
        <v>443</v>
      </c>
      <c r="L231" s="157">
        <v>46277</v>
      </c>
      <c r="M231" t="s">
        <v>442</v>
      </c>
      <c r="N231" t="s">
        <v>231</v>
      </c>
      <c r="O231" t="s">
        <v>444</v>
      </c>
      <c r="P231" t="s">
        <v>97</v>
      </c>
      <c r="Q231" t="s">
        <v>247</v>
      </c>
    </row>
    <row r="232" spans="1:17" s="25" customFormat="1" hidden="1">
      <c r="A232" s="111">
        <v>1.859243599537037E-3</v>
      </c>
      <c r="B232" t="s">
        <v>97</v>
      </c>
      <c r="C232" t="s">
        <v>82</v>
      </c>
      <c r="D232"/>
      <c r="E232" t="s">
        <v>108</v>
      </c>
      <c r="F232"/>
      <c r="G232" t="s">
        <v>164</v>
      </c>
      <c r="H232"/>
      <c r="I232" s="158">
        <v>46278.587199074071</v>
      </c>
      <c r="J232" t="s">
        <v>445</v>
      </c>
      <c r="K232" t="s">
        <v>443</v>
      </c>
      <c r="L232" s="157">
        <v>46277</v>
      </c>
      <c r="M232" t="s">
        <v>442</v>
      </c>
      <c r="N232" t="s">
        <v>231</v>
      </c>
      <c r="O232" t="s">
        <v>444</v>
      </c>
      <c r="P232" t="s">
        <v>97</v>
      </c>
      <c r="Q232" t="s">
        <v>247</v>
      </c>
    </row>
    <row r="233" spans="1:17" s="25" customFormat="1" hidden="1">
      <c r="A233" s="111">
        <v>1.7347701967592591E-3</v>
      </c>
      <c r="B233" t="s">
        <v>97</v>
      </c>
      <c r="C233" t="s">
        <v>446</v>
      </c>
      <c r="D233"/>
      <c r="E233" t="s">
        <v>59</v>
      </c>
      <c r="F233"/>
      <c r="G233" t="s">
        <v>164</v>
      </c>
      <c r="H233"/>
      <c r="I233" s="158">
        <v>46278.553969907407</v>
      </c>
      <c r="J233" t="s">
        <v>445</v>
      </c>
      <c r="K233" t="s">
        <v>443</v>
      </c>
      <c r="L233" s="157">
        <v>46277</v>
      </c>
      <c r="M233" t="s">
        <v>442</v>
      </c>
      <c r="N233" t="s">
        <v>231</v>
      </c>
      <c r="O233" t="s">
        <v>444</v>
      </c>
      <c r="P233" t="s">
        <v>97</v>
      </c>
      <c r="Q233" t="s">
        <v>247</v>
      </c>
    </row>
    <row r="234" spans="1:17" s="25" customFormat="1" hidden="1">
      <c r="A234" s="111">
        <v>1.7231565972222222E-3</v>
      </c>
      <c r="B234" t="s">
        <v>97</v>
      </c>
      <c r="C234" t="s">
        <v>449</v>
      </c>
      <c r="D234"/>
      <c r="E234" t="s">
        <v>59</v>
      </c>
      <c r="F234"/>
      <c r="G234" t="s">
        <v>164</v>
      </c>
      <c r="H234"/>
      <c r="I234" s="158">
        <v>46278.553773148145</v>
      </c>
      <c r="J234" t="s">
        <v>445</v>
      </c>
      <c r="K234" t="s">
        <v>443</v>
      </c>
      <c r="L234" s="157">
        <v>46277</v>
      </c>
      <c r="M234" t="s">
        <v>442</v>
      </c>
      <c r="N234" t="s">
        <v>231</v>
      </c>
      <c r="O234" t="s">
        <v>444</v>
      </c>
      <c r="P234" t="s">
        <v>97</v>
      </c>
      <c r="Q234" t="s">
        <v>247</v>
      </c>
    </row>
    <row r="235" spans="1:17" s="25" customFormat="1" hidden="1">
      <c r="A235" s="111">
        <v>1.7018712847222221E-3</v>
      </c>
      <c r="B235" t="s">
        <v>97</v>
      </c>
      <c r="C235"/>
      <c r="D235"/>
      <c r="E235" t="s">
        <v>188</v>
      </c>
      <c r="F235"/>
      <c r="G235" t="s">
        <v>164</v>
      </c>
      <c r="H235"/>
      <c r="I235" s="158">
        <v>46278.517002314817</v>
      </c>
      <c r="J235" t="s">
        <v>445</v>
      </c>
      <c r="K235" t="s">
        <v>443</v>
      </c>
      <c r="L235" s="157">
        <v>46277</v>
      </c>
      <c r="M235" t="s">
        <v>442</v>
      </c>
      <c r="N235" t="s">
        <v>231</v>
      </c>
      <c r="O235" t="s">
        <v>444</v>
      </c>
      <c r="P235" t="s">
        <v>97</v>
      </c>
      <c r="Q235" t="s">
        <v>247</v>
      </c>
    </row>
    <row r="236" spans="1:17" s="25" customFormat="1" hidden="1">
      <c r="A236" s="111">
        <v>1.7002125578703705E-3</v>
      </c>
      <c r="B236" t="s">
        <v>97</v>
      </c>
      <c r="C236" t="s">
        <v>457</v>
      </c>
      <c r="D236"/>
      <c r="E236" t="s">
        <v>59</v>
      </c>
      <c r="F236"/>
      <c r="G236" t="s">
        <v>164</v>
      </c>
      <c r="H236"/>
      <c r="I236" s="158">
        <v>46278.553587962961</v>
      </c>
      <c r="J236" t="s">
        <v>445</v>
      </c>
      <c r="K236" t="s">
        <v>443</v>
      </c>
      <c r="L236" s="157">
        <v>46277</v>
      </c>
      <c r="M236" t="s">
        <v>442</v>
      </c>
      <c r="N236" t="s">
        <v>231</v>
      </c>
      <c r="O236" t="s">
        <v>444</v>
      </c>
      <c r="P236" t="s">
        <v>97</v>
      </c>
      <c r="Q236" t="s">
        <v>247</v>
      </c>
    </row>
    <row r="237" spans="1:17" s="25" customFormat="1" hidden="1">
      <c r="A237" s="111">
        <v>1.6093897222222223E-3</v>
      </c>
      <c r="B237" t="s">
        <v>97</v>
      </c>
      <c r="C237"/>
      <c r="D237"/>
      <c r="E237" t="s">
        <v>184</v>
      </c>
      <c r="F237"/>
      <c r="G237" t="s">
        <v>98</v>
      </c>
      <c r="H237"/>
      <c r="I237" s="158">
        <v>46278.516898148147</v>
      </c>
      <c r="J237" t="s">
        <v>445</v>
      </c>
      <c r="K237" t="s">
        <v>443</v>
      </c>
      <c r="L237" s="157">
        <v>46277</v>
      </c>
      <c r="M237" t="s">
        <v>442</v>
      </c>
      <c r="N237" t="s">
        <v>231</v>
      </c>
      <c r="O237" t="s">
        <v>444</v>
      </c>
      <c r="P237" t="s">
        <v>97</v>
      </c>
      <c r="Q237" t="s">
        <v>247</v>
      </c>
    </row>
    <row r="238" spans="1:17" s="25" customFormat="1" hidden="1">
      <c r="A238" s="111">
        <v>1.4936130092592593E-3</v>
      </c>
      <c r="B238" t="s">
        <v>97</v>
      </c>
      <c r="C238"/>
      <c r="D238"/>
      <c r="E238" t="s">
        <v>279</v>
      </c>
      <c r="F238"/>
      <c r="G238" t="s">
        <v>98</v>
      </c>
      <c r="H238"/>
      <c r="I238" s="158">
        <v>46278.516724537039</v>
      </c>
      <c r="J238" t="s">
        <v>445</v>
      </c>
      <c r="K238" t="s">
        <v>443</v>
      </c>
      <c r="L238" s="157">
        <v>46277</v>
      </c>
      <c r="M238" t="s">
        <v>442</v>
      </c>
      <c r="N238" t="s">
        <v>231</v>
      </c>
      <c r="O238" t="s">
        <v>444</v>
      </c>
      <c r="P238" t="s">
        <v>97</v>
      </c>
      <c r="Q238" t="s">
        <v>247</v>
      </c>
    </row>
    <row r="239" spans="1:17" s="25" customFormat="1" hidden="1">
      <c r="A239" s="111">
        <v>1.4936130092592593E-3</v>
      </c>
      <c r="B239" t="s">
        <v>97</v>
      </c>
      <c r="C239"/>
      <c r="D239"/>
      <c r="E239" t="s">
        <v>105</v>
      </c>
      <c r="F239"/>
      <c r="G239" t="s">
        <v>98</v>
      </c>
      <c r="H239"/>
      <c r="I239" s="158">
        <v>46278.516724537039</v>
      </c>
      <c r="J239" t="s">
        <v>445</v>
      </c>
      <c r="K239" t="s">
        <v>443</v>
      </c>
      <c r="L239" s="157">
        <v>46277</v>
      </c>
      <c r="M239" t="s">
        <v>442</v>
      </c>
      <c r="N239" t="s">
        <v>231</v>
      </c>
      <c r="O239" t="s">
        <v>444</v>
      </c>
      <c r="P239" t="s">
        <v>97</v>
      </c>
      <c r="Q239" t="s">
        <v>247</v>
      </c>
    </row>
    <row r="240" spans="1:17" s="25" customFormat="1" hidden="1">
      <c r="A240" s="111">
        <v>1.059842789351852E-3</v>
      </c>
      <c r="B240" t="s">
        <v>97</v>
      </c>
      <c r="C240"/>
      <c r="D240"/>
      <c r="E240" t="s">
        <v>87</v>
      </c>
      <c r="F240"/>
      <c r="G240" t="s">
        <v>98</v>
      </c>
      <c r="H240"/>
      <c r="I240" s="158">
        <v>46278.516435185185</v>
      </c>
      <c r="J240" t="s">
        <v>445</v>
      </c>
      <c r="K240" t="s">
        <v>443</v>
      </c>
      <c r="L240" s="157">
        <v>46277</v>
      </c>
      <c r="M240" t="s">
        <v>442</v>
      </c>
      <c r="N240" t="s">
        <v>231</v>
      </c>
      <c r="O240" t="s">
        <v>444</v>
      </c>
      <c r="P240" t="s">
        <v>97</v>
      </c>
      <c r="Q240" t="s">
        <v>247</v>
      </c>
    </row>
    <row r="241" spans="1:17" s="25" customFormat="1" hidden="1">
      <c r="A241" s="111">
        <v>1.0574115162037038E-3</v>
      </c>
      <c r="B241" t="s">
        <v>97</v>
      </c>
      <c r="C241"/>
      <c r="D241"/>
      <c r="E241" t="s">
        <v>183</v>
      </c>
      <c r="F241"/>
      <c r="G241" t="s">
        <v>164</v>
      </c>
      <c r="H241"/>
      <c r="I241" s="158">
        <v>46278.516053240739</v>
      </c>
      <c r="J241" t="s">
        <v>445</v>
      </c>
      <c r="K241" t="s">
        <v>443</v>
      </c>
      <c r="L241" s="157">
        <v>46277</v>
      </c>
      <c r="M241" t="s">
        <v>442</v>
      </c>
      <c r="N241" t="s">
        <v>231</v>
      </c>
      <c r="O241" t="s">
        <v>444</v>
      </c>
      <c r="P241" t="s">
        <v>97</v>
      </c>
      <c r="Q241" t="s">
        <v>247</v>
      </c>
    </row>
    <row r="242" spans="1:17" s="25" customFormat="1" hidden="1">
      <c r="A242" s="111">
        <v>1.0286597337962962E-3</v>
      </c>
      <c r="B242" t="s">
        <v>97</v>
      </c>
      <c r="C242" t="s">
        <v>446</v>
      </c>
      <c r="D242"/>
      <c r="E242" t="s">
        <v>108</v>
      </c>
      <c r="F242"/>
      <c r="G242" t="s">
        <v>164</v>
      </c>
      <c r="H242"/>
      <c r="I242" s="158">
        <v>46278.497245370374</v>
      </c>
      <c r="J242" t="s">
        <v>445</v>
      </c>
      <c r="K242" t="s">
        <v>443</v>
      </c>
      <c r="L242" s="157">
        <v>46277</v>
      </c>
      <c r="M242" t="s">
        <v>442</v>
      </c>
      <c r="N242" t="s">
        <v>231</v>
      </c>
      <c r="O242" t="s">
        <v>444</v>
      </c>
      <c r="P242" t="s">
        <v>97</v>
      </c>
      <c r="Q242" t="s">
        <v>247</v>
      </c>
    </row>
    <row r="243" spans="1:17" s="25" customFormat="1" hidden="1">
      <c r="A243" s="111">
        <v>1.0113155324074075E-3</v>
      </c>
      <c r="B243" t="s">
        <v>97</v>
      </c>
      <c r="C243" t="s">
        <v>447</v>
      </c>
      <c r="D243"/>
      <c r="E243" t="s">
        <v>108</v>
      </c>
      <c r="F243"/>
      <c r="G243" t="s">
        <v>164</v>
      </c>
      <c r="H243"/>
      <c r="I243" s="158">
        <v>46278.497106481482</v>
      </c>
      <c r="J243" t="s">
        <v>445</v>
      </c>
      <c r="K243" t="s">
        <v>443</v>
      </c>
      <c r="L243" s="157">
        <v>46277</v>
      </c>
      <c r="M243" t="s">
        <v>442</v>
      </c>
      <c r="N243" t="s">
        <v>231</v>
      </c>
      <c r="O243" t="s">
        <v>444</v>
      </c>
      <c r="P243" t="s">
        <v>97</v>
      </c>
      <c r="Q243" t="s">
        <v>247</v>
      </c>
    </row>
    <row r="244" spans="1:17" s="25" customFormat="1" hidden="1">
      <c r="A244" s="111">
        <v>1.0053289004629629E-3</v>
      </c>
      <c r="B244" t="s">
        <v>97</v>
      </c>
      <c r="C244" t="s">
        <v>452</v>
      </c>
      <c r="D244"/>
      <c r="E244" t="s">
        <v>59</v>
      </c>
      <c r="F244"/>
      <c r="G244" t="s">
        <v>164</v>
      </c>
      <c r="H244"/>
      <c r="I244" s="158">
        <v>46278.496365740742</v>
      </c>
      <c r="J244" t="s">
        <v>445</v>
      </c>
      <c r="K244" t="s">
        <v>443</v>
      </c>
      <c r="L244" s="157">
        <v>46277</v>
      </c>
      <c r="M244" t="s">
        <v>442</v>
      </c>
      <c r="N244" t="s">
        <v>231</v>
      </c>
      <c r="O244" t="s">
        <v>444</v>
      </c>
      <c r="P244" t="s">
        <v>97</v>
      </c>
      <c r="Q244" t="s">
        <v>247</v>
      </c>
    </row>
    <row r="245" spans="1:17" s="25" customFormat="1" hidden="1">
      <c r="A245" s="111">
        <v>9.4770785879629623E-4</v>
      </c>
      <c r="B245" t="s">
        <v>97</v>
      </c>
      <c r="C245"/>
      <c r="D245"/>
      <c r="E245" t="s">
        <v>188</v>
      </c>
      <c r="F245"/>
      <c r="G245" t="s">
        <v>164</v>
      </c>
      <c r="H245"/>
      <c r="I245" s="158">
        <v>46278.49559027778</v>
      </c>
      <c r="J245" t="s">
        <v>445</v>
      </c>
      <c r="K245" t="s">
        <v>443</v>
      </c>
      <c r="L245" s="157">
        <v>46277</v>
      </c>
      <c r="M245" t="s">
        <v>442</v>
      </c>
      <c r="N245" t="s">
        <v>231</v>
      </c>
      <c r="O245" t="s">
        <v>444</v>
      </c>
      <c r="P245" t="s">
        <v>97</v>
      </c>
      <c r="Q245" t="s">
        <v>247</v>
      </c>
    </row>
    <row r="246" spans="1:17" s="25" customFormat="1" hidden="1">
      <c r="A246" s="111">
        <v>9.0116850694444436E-4</v>
      </c>
      <c r="B246" t="s">
        <v>97</v>
      </c>
      <c r="C246"/>
      <c r="D246"/>
      <c r="E246" t="s">
        <v>184</v>
      </c>
      <c r="F246"/>
      <c r="G246" t="s">
        <v>98</v>
      </c>
      <c r="H246"/>
      <c r="I246" s="158">
        <v>46278.495509259257</v>
      </c>
      <c r="J246" t="s">
        <v>445</v>
      </c>
      <c r="K246" t="s">
        <v>443</v>
      </c>
      <c r="L246" s="157">
        <v>46277</v>
      </c>
      <c r="M246" t="s">
        <v>442</v>
      </c>
      <c r="N246" t="s">
        <v>231</v>
      </c>
      <c r="O246" t="s">
        <v>444</v>
      </c>
      <c r="P246" t="s">
        <v>97</v>
      </c>
      <c r="Q246" t="s">
        <v>247</v>
      </c>
    </row>
    <row r="247" spans="1:17" s="25" customFormat="1" hidden="1">
      <c r="A247" s="111">
        <v>8.1418607638888887E-4</v>
      </c>
      <c r="B247" t="s">
        <v>97</v>
      </c>
      <c r="C247"/>
      <c r="D247"/>
      <c r="E247" t="s">
        <v>108</v>
      </c>
      <c r="F247"/>
      <c r="G247" t="s">
        <v>98</v>
      </c>
      <c r="H247"/>
      <c r="I247" s="158">
        <v>46278.495370370372</v>
      </c>
      <c r="J247" t="s">
        <v>445</v>
      </c>
      <c r="K247" t="s">
        <v>443</v>
      </c>
      <c r="L247" s="157">
        <v>46277</v>
      </c>
      <c r="M247" t="s">
        <v>442</v>
      </c>
      <c r="N247" t="s">
        <v>231</v>
      </c>
      <c r="O247" t="s">
        <v>444</v>
      </c>
      <c r="P247" t="s">
        <v>97</v>
      </c>
      <c r="Q247" t="s">
        <v>247</v>
      </c>
    </row>
    <row r="248" spans="1:17" s="25" customFormat="1" hidden="1">
      <c r="A248" s="111">
        <v>7.7945718750000001E-4</v>
      </c>
      <c r="B248" t="s">
        <v>97</v>
      </c>
      <c r="C248"/>
      <c r="D248"/>
      <c r="E248" t="s">
        <v>108</v>
      </c>
      <c r="F248"/>
      <c r="G248" t="s">
        <v>98</v>
      </c>
      <c r="H248"/>
      <c r="I248" s="158">
        <v>46278.49527777778</v>
      </c>
      <c r="J248" t="s">
        <v>445</v>
      </c>
      <c r="K248" t="s">
        <v>443</v>
      </c>
      <c r="L248" s="157">
        <v>46277</v>
      </c>
      <c r="M248" t="s">
        <v>442</v>
      </c>
      <c r="N248" t="s">
        <v>231</v>
      </c>
      <c r="O248" t="s">
        <v>444</v>
      </c>
      <c r="P248" t="s">
        <v>97</v>
      </c>
      <c r="Q248" t="s">
        <v>247</v>
      </c>
    </row>
    <row r="249" spans="1:17" s="25" customFormat="1" hidden="1">
      <c r="A249" s="111">
        <v>7.6280895833333339E-4</v>
      </c>
      <c r="B249" t="s">
        <v>97</v>
      </c>
      <c r="C249"/>
      <c r="D249"/>
      <c r="E249" t="s">
        <v>186</v>
      </c>
      <c r="F249"/>
      <c r="G249" t="s">
        <v>98</v>
      </c>
      <c r="H249"/>
      <c r="I249" s="158">
        <v>46278.495023148149</v>
      </c>
      <c r="J249" t="s">
        <v>445</v>
      </c>
      <c r="K249" t="s">
        <v>443</v>
      </c>
      <c r="L249" s="157">
        <v>46277</v>
      </c>
      <c r="M249" t="s">
        <v>442</v>
      </c>
      <c r="N249" t="s">
        <v>231</v>
      </c>
      <c r="O249" t="s">
        <v>444</v>
      </c>
      <c r="P249" t="s">
        <v>97</v>
      </c>
      <c r="Q249" t="s">
        <v>247</v>
      </c>
    </row>
    <row r="250" spans="1:17" s="25" customFormat="1" hidden="1">
      <c r="A250" s="111">
        <v>6.8182850694444442E-4</v>
      </c>
      <c r="B250" t="s">
        <v>97</v>
      </c>
      <c r="C250"/>
      <c r="D250"/>
      <c r="E250" t="s">
        <v>184</v>
      </c>
      <c r="F250"/>
      <c r="G250" t="s">
        <v>164</v>
      </c>
      <c r="H250"/>
      <c r="I250" s="158">
        <v>46278.494328703702</v>
      </c>
      <c r="J250" t="s">
        <v>445</v>
      </c>
      <c r="K250" t="s">
        <v>443</v>
      </c>
      <c r="L250" s="157">
        <v>46277</v>
      </c>
      <c r="M250" t="s">
        <v>442</v>
      </c>
      <c r="N250" t="s">
        <v>231</v>
      </c>
      <c r="O250" t="s">
        <v>444</v>
      </c>
      <c r="P250" t="s">
        <v>97</v>
      </c>
      <c r="Q250" t="s">
        <v>247</v>
      </c>
    </row>
    <row r="251" spans="1:17" s="25" customFormat="1" hidden="1">
      <c r="A251" s="111">
        <v>6.2413225694444446E-4</v>
      </c>
      <c r="B251" t="s">
        <v>97</v>
      </c>
      <c r="C251" t="s">
        <v>456</v>
      </c>
      <c r="D251"/>
      <c r="E251" t="s">
        <v>108</v>
      </c>
      <c r="F251"/>
      <c r="G251" t="s">
        <v>164</v>
      </c>
      <c r="H251"/>
      <c r="I251" s="158">
        <v>46278.494016203702</v>
      </c>
      <c r="J251" t="s">
        <v>445</v>
      </c>
      <c r="K251" t="s">
        <v>443</v>
      </c>
      <c r="L251" s="157">
        <v>46277</v>
      </c>
      <c r="M251" t="s">
        <v>442</v>
      </c>
      <c r="N251" t="s">
        <v>231</v>
      </c>
      <c r="O251" t="s">
        <v>444</v>
      </c>
      <c r="P251" t="s">
        <v>97</v>
      </c>
      <c r="Q251" t="s">
        <v>247</v>
      </c>
    </row>
    <row r="252" spans="1:17" s="25" customFormat="1" hidden="1">
      <c r="A252" s="111">
        <v>6.0687258101851851E-4</v>
      </c>
      <c r="B252" t="s">
        <v>97</v>
      </c>
      <c r="C252" t="s">
        <v>459</v>
      </c>
      <c r="D252"/>
      <c r="E252" t="s">
        <v>59</v>
      </c>
      <c r="F252"/>
      <c r="G252" t="s">
        <v>164</v>
      </c>
      <c r="H252"/>
      <c r="I252" s="158">
        <v>46278.493715277778</v>
      </c>
      <c r="J252" t="s">
        <v>445</v>
      </c>
      <c r="K252" t="s">
        <v>443</v>
      </c>
      <c r="L252" s="157">
        <v>46277</v>
      </c>
      <c r="M252" t="s">
        <v>442</v>
      </c>
      <c r="N252" t="s">
        <v>231</v>
      </c>
      <c r="O252" t="s">
        <v>444</v>
      </c>
      <c r="P252" t="s">
        <v>97</v>
      </c>
      <c r="Q252" t="s">
        <v>247</v>
      </c>
    </row>
    <row r="253" spans="1:17" s="25" customFormat="1" hidden="1">
      <c r="A253" s="111">
        <v>6.0402999999999997E-4</v>
      </c>
      <c r="B253" t="s">
        <v>97</v>
      </c>
      <c r="C253" t="s">
        <v>450</v>
      </c>
      <c r="D253"/>
      <c r="E253" t="s">
        <v>59</v>
      </c>
      <c r="F253"/>
      <c r="G253" t="s">
        <v>164</v>
      </c>
      <c r="H253"/>
      <c r="I253" s="158">
        <v>46278.491840277777</v>
      </c>
      <c r="J253" t="s">
        <v>445</v>
      </c>
      <c r="K253" t="s">
        <v>443</v>
      </c>
      <c r="L253" s="157">
        <v>46277</v>
      </c>
      <c r="M253" t="s">
        <v>442</v>
      </c>
      <c r="N253" t="s">
        <v>231</v>
      </c>
      <c r="O253" t="s">
        <v>444</v>
      </c>
      <c r="P253" t="s">
        <v>97</v>
      </c>
      <c r="Q253" t="s">
        <v>247</v>
      </c>
    </row>
    <row r="254" spans="1:17" s="25" customFormat="1" hidden="1">
      <c r="A254" s="111">
        <v>5.5593335648148148E-4</v>
      </c>
      <c r="B254" t="s">
        <v>97</v>
      </c>
      <c r="C254" t="s">
        <v>459</v>
      </c>
      <c r="D254"/>
      <c r="E254" t="s">
        <v>108</v>
      </c>
      <c r="F254"/>
      <c r="G254" t="s">
        <v>164</v>
      </c>
      <c r="H254"/>
      <c r="I254" s="158">
        <v>46278.490601851852</v>
      </c>
      <c r="J254" t="s">
        <v>445</v>
      </c>
      <c r="K254" t="s">
        <v>443</v>
      </c>
      <c r="L254" s="157">
        <v>46277</v>
      </c>
      <c r="M254" t="s">
        <v>442</v>
      </c>
      <c r="N254" t="s">
        <v>231</v>
      </c>
      <c r="O254" t="s">
        <v>444</v>
      </c>
      <c r="P254" t="s">
        <v>97</v>
      </c>
      <c r="Q254" t="s">
        <v>247</v>
      </c>
    </row>
    <row r="255" spans="1:17" s="25" customFormat="1" hidden="1">
      <c r="A255" s="111">
        <v>5.4274680555555551E-4</v>
      </c>
      <c r="B255" t="s">
        <v>97</v>
      </c>
      <c r="C255" t="s">
        <v>446</v>
      </c>
      <c r="D255"/>
      <c r="E255" t="s">
        <v>59</v>
      </c>
      <c r="F255"/>
      <c r="G255" t="s">
        <v>164</v>
      </c>
      <c r="H255"/>
      <c r="I255" s="158">
        <v>46278.489942129629</v>
      </c>
      <c r="J255" t="s">
        <v>445</v>
      </c>
      <c r="K255" t="s">
        <v>443</v>
      </c>
      <c r="L255" s="157">
        <v>46277</v>
      </c>
      <c r="M255" t="s">
        <v>442</v>
      </c>
      <c r="N255" t="s">
        <v>231</v>
      </c>
      <c r="O255" t="s">
        <v>444</v>
      </c>
      <c r="P255" t="s">
        <v>97</v>
      </c>
      <c r="Q255" t="s">
        <v>247</v>
      </c>
    </row>
    <row r="256" spans="1:17" s="25" customFormat="1" hidden="1">
      <c r="A256" s="111">
        <v>5.1610113425925924E-4</v>
      </c>
      <c r="B256" t="s">
        <v>97</v>
      </c>
      <c r="C256" t="s">
        <v>455</v>
      </c>
      <c r="D256"/>
      <c r="E256" t="s">
        <v>59</v>
      </c>
      <c r="F256"/>
      <c r="G256" t="s">
        <v>164</v>
      </c>
      <c r="H256"/>
      <c r="I256" s="158">
        <v>46278.489155092589</v>
      </c>
      <c r="J256" t="s">
        <v>445</v>
      </c>
      <c r="K256" t="s">
        <v>443</v>
      </c>
      <c r="L256" s="157">
        <v>46277</v>
      </c>
      <c r="M256" t="s">
        <v>442</v>
      </c>
      <c r="N256" t="s">
        <v>231</v>
      </c>
      <c r="O256" t="s">
        <v>444</v>
      </c>
      <c r="P256" t="s">
        <v>97</v>
      </c>
      <c r="Q256" t="s">
        <v>247</v>
      </c>
    </row>
    <row r="257" spans="1:17" s="25" customFormat="1" hidden="1">
      <c r="A257" s="111">
        <v>4.0658905092592592E-4</v>
      </c>
      <c r="B257" t="s">
        <v>97</v>
      </c>
      <c r="C257" t="s">
        <v>451</v>
      </c>
      <c r="D257"/>
      <c r="E257" t="s">
        <v>108</v>
      </c>
      <c r="F257"/>
      <c r="G257" t="s">
        <v>164</v>
      </c>
      <c r="H257"/>
      <c r="I257" s="158">
        <v>46278.487384259257</v>
      </c>
      <c r="J257" t="s">
        <v>445</v>
      </c>
      <c r="K257" t="s">
        <v>443</v>
      </c>
      <c r="L257" s="157">
        <v>46277</v>
      </c>
      <c r="M257" t="s">
        <v>442</v>
      </c>
      <c r="N257" t="s">
        <v>231</v>
      </c>
      <c r="O257" t="s">
        <v>444</v>
      </c>
      <c r="P257" t="s">
        <v>97</v>
      </c>
      <c r="Q257" t="s">
        <v>247</v>
      </c>
    </row>
    <row r="258" spans="1:17" s="25" customFormat="1" hidden="1">
      <c r="A258" s="111">
        <v>3.8603476851851851E-4</v>
      </c>
      <c r="B258" t="s">
        <v>97</v>
      </c>
      <c r="C258"/>
      <c r="D258"/>
      <c r="E258" t="s">
        <v>188</v>
      </c>
      <c r="F258"/>
      <c r="G258" t="s">
        <v>164</v>
      </c>
      <c r="H258"/>
      <c r="I258" s="158">
        <v>46278.486689814818</v>
      </c>
      <c r="J258" t="s">
        <v>445</v>
      </c>
      <c r="K258" t="s">
        <v>443</v>
      </c>
      <c r="L258" s="157">
        <v>46277</v>
      </c>
      <c r="M258" t="s">
        <v>442</v>
      </c>
      <c r="N258" t="s">
        <v>231</v>
      </c>
      <c r="O258" t="s">
        <v>444</v>
      </c>
      <c r="P258" t="s">
        <v>97</v>
      </c>
      <c r="Q258" t="s">
        <v>247</v>
      </c>
    </row>
    <row r="259" spans="1:17" s="25" customFormat="1" hidden="1">
      <c r="A259" s="111">
        <v>3.2276678240740741E-4</v>
      </c>
      <c r="B259" t="s">
        <v>97</v>
      </c>
      <c r="C259"/>
      <c r="D259"/>
      <c r="E259" t="s">
        <v>100</v>
      </c>
      <c r="F259"/>
      <c r="G259" t="s">
        <v>98</v>
      </c>
      <c r="H259"/>
      <c r="I259" s="158">
        <v>46278.485682870371</v>
      </c>
      <c r="J259" t="s">
        <v>445</v>
      </c>
      <c r="K259" t="s">
        <v>443</v>
      </c>
      <c r="L259" s="157">
        <v>46277</v>
      </c>
      <c r="M259" t="s">
        <v>442</v>
      </c>
      <c r="N259" t="s">
        <v>231</v>
      </c>
      <c r="O259" t="s">
        <v>444</v>
      </c>
      <c r="P259" t="s">
        <v>97</v>
      </c>
      <c r="Q259" t="s">
        <v>247</v>
      </c>
    </row>
    <row r="260" spans="1:17" s="25" customFormat="1" hidden="1">
      <c r="A260" s="198">
        <v>6.7811774050925935E-2</v>
      </c>
      <c r="B260" s="25" t="s">
        <v>94</v>
      </c>
      <c r="E260" s="25" t="s">
        <v>87</v>
      </c>
      <c r="G260" s="25" t="s">
        <v>164</v>
      </c>
      <c r="I260" s="196">
        <v>46279.479212962964</v>
      </c>
      <c r="J260" s="25" t="s">
        <v>445</v>
      </c>
      <c r="K260" s="25" t="s">
        <v>443</v>
      </c>
      <c r="L260" s="197">
        <v>46277</v>
      </c>
      <c r="M260" s="25" t="s">
        <v>442</v>
      </c>
      <c r="N260" s="25" t="s">
        <v>231</v>
      </c>
      <c r="O260" s="25" t="s">
        <v>444</v>
      </c>
      <c r="P260" s="25" t="s">
        <v>94</v>
      </c>
      <c r="Q260" s="25" t="s">
        <v>247</v>
      </c>
    </row>
    <row r="261" spans="1:17" s="25" customFormat="1" hidden="1">
      <c r="A261" s="198">
        <v>6.7811774050925935E-2</v>
      </c>
      <c r="B261" s="25" t="s">
        <v>94</v>
      </c>
      <c r="E261" s="25" t="s">
        <v>103</v>
      </c>
      <c r="G261" s="25" t="s">
        <v>164</v>
      </c>
      <c r="I261" s="196">
        <v>46279.479212962964</v>
      </c>
      <c r="J261" s="25" t="s">
        <v>445</v>
      </c>
      <c r="K261" s="25" t="s">
        <v>443</v>
      </c>
      <c r="L261" s="197">
        <v>46277</v>
      </c>
      <c r="M261" s="25" t="s">
        <v>442</v>
      </c>
      <c r="N261" s="25" t="s">
        <v>231</v>
      </c>
      <c r="O261" s="25" t="s">
        <v>444</v>
      </c>
      <c r="P261" s="25" t="s">
        <v>94</v>
      </c>
      <c r="Q261" s="25" t="s">
        <v>247</v>
      </c>
    </row>
    <row r="262" spans="1:17" s="25" customFormat="1" hidden="1">
      <c r="A262" s="198">
        <v>6.7788414537037031E-2</v>
      </c>
      <c r="B262" s="25" t="s">
        <v>94</v>
      </c>
      <c r="C262" s="25" t="s">
        <v>490</v>
      </c>
      <c r="E262" s="25" t="s">
        <v>108</v>
      </c>
      <c r="G262" s="25" t="s">
        <v>164</v>
      </c>
      <c r="I262" s="196">
        <v>46279.479131944441</v>
      </c>
      <c r="J262" s="25" t="s">
        <v>445</v>
      </c>
      <c r="K262" s="25" t="s">
        <v>443</v>
      </c>
      <c r="L262" s="197">
        <v>46277</v>
      </c>
      <c r="M262" s="25" t="s">
        <v>442</v>
      </c>
      <c r="N262" s="25" t="s">
        <v>231</v>
      </c>
      <c r="O262" s="25" t="s">
        <v>444</v>
      </c>
      <c r="P262" s="25" t="s">
        <v>94</v>
      </c>
      <c r="Q262" s="25" t="s">
        <v>247</v>
      </c>
    </row>
    <row r="263" spans="1:17" s="25" customFormat="1" hidden="1">
      <c r="A263" s="198">
        <v>6.7655316458333337E-2</v>
      </c>
      <c r="B263" s="25" t="s">
        <v>94</v>
      </c>
      <c r="C263" s="25" t="s">
        <v>491</v>
      </c>
      <c r="E263" s="25" t="s">
        <v>108</v>
      </c>
      <c r="G263" s="25" t="s">
        <v>164</v>
      </c>
      <c r="I263" s="196">
        <v>46279.478946759256</v>
      </c>
      <c r="J263" s="25" t="s">
        <v>445</v>
      </c>
      <c r="K263" s="25" t="s">
        <v>443</v>
      </c>
      <c r="L263" s="197">
        <v>46277</v>
      </c>
      <c r="M263" s="25" t="s">
        <v>442</v>
      </c>
      <c r="N263" s="25" t="s">
        <v>231</v>
      </c>
      <c r="O263" s="25" t="s">
        <v>444</v>
      </c>
      <c r="P263" s="25" t="s">
        <v>94</v>
      </c>
      <c r="Q263" s="25" t="s">
        <v>247</v>
      </c>
    </row>
    <row r="264" spans="1:17" s="25" customFormat="1" hidden="1">
      <c r="A264" s="198">
        <v>6.7579957268518523E-2</v>
      </c>
      <c r="B264" s="25" t="s">
        <v>94</v>
      </c>
      <c r="C264" s="25" t="s">
        <v>446</v>
      </c>
      <c r="E264" s="25" t="s">
        <v>108</v>
      </c>
      <c r="G264" s="25" t="s">
        <v>164</v>
      </c>
      <c r="I264" s="196">
        <v>46279.478807870371</v>
      </c>
      <c r="J264" s="25" t="s">
        <v>445</v>
      </c>
      <c r="K264" s="25" t="s">
        <v>443</v>
      </c>
      <c r="L264" s="197">
        <v>46277</v>
      </c>
      <c r="M264" s="25" t="s">
        <v>442</v>
      </c>
      <c r="N264" s="25" t="s">
        <v>231</v>
      </c>
      <c r="O264" s="25" t="s">
        <v>444</v>
      </c>
      <c r="P264" s="25" t="s">
        <v>94</v>
      </c>
      <c r="Q264" s="25" t="s">
        <v>247</v>
      </c>
    </row>
    <row r="265" spans="1:17" s="25" customFormat="1" hidden="1">
      <c r="A265" s="198">
        <v>6.757051729166666E-2</v>
      </c>
      <c r="B265" s="25" t="s">
        <v>94</v>
      </c>
      <c r="C265" s="25" t="s">
        <v>449</v>
      </c>
      <c r="E265" s="25" t="s">
        <v>59</v>
      </c>
      <c r="G265" s="25" t="s">
        <v>164</v>
      </c>
      <c r="I265" s="196">
        <v>46279.477754629632</v>
      </c>
      <c r="J265" s="25" t="s">
        <v>445</v>
      </c>
      <c r="K265" s="25" t="s">
        <v>443</v>
      </c>
      <c r="L265" s="197">
        <v>46277</v>
      </c>
      <c r="M265" s="25" t="s">
        <v>442</v>
      </c>
      <c r="N265" s="25" t="s">
        <v>231</v>
      </c>
      <c r="O265" s="25" t="s">
        <v>444</v>
      </c>
      <c r="P265" s="25" t="s">
        <v>94</v>
      </c>
      <c r="Q265" s="25" t="s">
        <v>247</v>
      </c>
    </row>
    <row r="266" spans="1:17" s="25" customFormat="1" hidden="1">
      <c r="A266" s="198">
        <v>6.7537614490740736E-2</v>
      </c>
      <c r="B266" s="25" t="s">
        <v>94</v>
      </c>
      <c r="E266" s="25" t="s">
        <v>101</v>
      </c>
      <c r="G266" s="25" t="s">
        <v>164</v>
      </c>
      <c r="I266" s="196">
        <v>46279.477442129632</v>
      </c>
      <c r="J266" s="25" t="s">
        <v>445</v>
      </c>
      <c r="K266" s="25" t="s">
        <v>443</v>
      </c>
      <c r="L266" s="197">
        <v>46277</v>
      </c>
      <c r="M266" s="25" t="s">
        <v>442</v>
      </c>
      <c r="N266" s="25" t="s">
        <v>231</v>
      </c>
      <c r="O266" s="25" t="s">
        <v>444</v>
      </c>
      <c r="P266" s="25" t="s">
        <v>94</v>
      </c>
      <c r="Q266" s="25" t="s">
        <v>247</v>
      </c>
    </row>
    <row r="267" spans="1:17" s="25" customFormat="1" hidden="1">
      <c r="A267" s="198">
        <v>6.7191784837962967E-2</v>
      </c>
      <c r="B267" s="25" t="s">
        <v>94</v>
      </c>
      <c r="E267" s="25" t="s">
        <v>87</v>
      </c>
      <c r="G267" s="25" t="s">
        <v>164</v>
      </c>
      <c r="I267" s="196">
        <v>46279.477233796293</v>
      </c>
      <c r="J267" s="25" t="s">
        <v>445</v>
      </c>
      <c r="K267" s="25" t="s">
        <v>443</v>
      </c>
      <c r="L267" s="197">
        <v>46277</v>
      </c>
      <c r="M267" s="25" t="s">
        <v>442</v>
      </c>
      <c r="N267" s="25" t="s">
        <v>231</v>
      </c>
      <c r="O267" s="25" t="s">
        <v>444</v>
      </c>
      <c r="P267" s="25" t="s">
        <v>94</v>
      </c>
      <c r="Q267" s="25" t="s">
        <v>247</v>
      </c>
    </row>
    <row r="268" spans="1:17" s="25" customFormat="1" hidden="1">
      <c r="A268" s="198">
        <v>6.7191784837962967E-2</v>
      </c>
      <c r="B268" s="25" t="s">
        <v>94</v>
      </c>
      <c r="C268" s="25" t="s">
        <v>492</v>
      </c>
      <c r="D268" s="25" t="s">
        <v>204</v>
      </c>
      <c r="E268" s="25" t="s">
        <v>214</v>
      </c>
      <c r="F268" s="25" t="s">
        <v>133</v>
      </c>
      <c r="G268" s="25" t="s">
        <v>164</v>
      </c>
      <c r="I268" s="196">
        <v>46279.477233796293</v>
      </c>
      <c r="J268" s="25" t="s">
        <v>445</v>
      </c>
      <c r="K268" s="25" t="s">
        <v>443</v>
      </c>
      <c r="L268" s="197">
        <v>46277</v>
      </c>
      <c r="M268" s="25" t="s">
        <v>442</v>
      </c>
      <c r="N268" s="25" t="s">
        <v>231</v>
      </c>
      <c r="O268" s="25" t="s">
        <v>444</v>
      </c>
      <c r="P268" s="25" t="s">
        <v>94</v>
      </c>
      <c r="Q268" s="25" t="s">
        <v>247</v>
      </c>
    </row>
    <row r="269" spans="1:17" s="25" customFormat="1" hidden="1">
      <c r="A269" s="198">
        <v>6.7133129178240741E-2</v>
      </c>
      <c r="B269" s="25" t="s">
        <v>94</v>
      </c>
      <c r="C269" s="25" t="s">
        <v>493</v>
      </c>
      <c r="E269" s="25" t="s">
        <v>108</v>
      </c>
      <c r="G269" s="25" t="s">
        <v>164</v>
      </c>
      <c r="I269" s="196">
        <v>46279.477013888885</v>
      </c>
      <c r="J269" s="25" t="s">
        <v>445</v>
      </c>
      <c r="K269" s="25" t="s">
        <v>443</v>
      </c>
      <c r="L269" s="197">
        <v>46277</v>
      </c>
      <c r="M269" s="25" t="s">
        <v>442</v>
      </c>
      <c r="N269" s="25" t="s">
        <v>231</v>
      </c>
      <c r="O269" s="25" t="s">
        <v>444</v>
      </c>
      <c r="P269" s="25" t="s">
        <v>94</v>
      </c>
      <c r="Q269" s="25" t="s">
        <v>247</v>
      </c>
    </row>
    <row r="270" spans="1:17" s="25" customFormat="1" hidden="1">
      <c r="A270" s="198">
        <v>6.7052076087962958E-2</v>
      </c>
      <c r="B270" s="25" t="s">
        <v>94</v>
      </c>
      <c r="C270" s="25" t="s">
        <v>468</v>
      </c>
      <c r="E270" s="25" t="s">
        <v>108</v>
      </c>
      <c r="G270" s="25" t="s">
        <v>164</v>
      </c>
      <c r="I270" s="196">
        <v>46279.476805555554</v>
      </c>
      <c r="J270" s="25" t="s">
        <v>445</v>
      </c>
      <c r="K270" s="25" t="s">
        <v>443</v>
      </c>
      <c r="L270" s="197">
        <v>46277</v>
      </c>
      <c r="M270" s="25" t="s">
        <v>442</v>
      </c>
      <c r="N270" s="25" t="s">
        <v>231</v>
      </c>
      <c r="O270" s="25" t="s">
        <v>444</v>
      </c>
      <c r="P270" s="25" t="s">
        <v>94</v>
      </c>
      <c r="Q270" s="25" t="s">
        <v>247</v>
      </c>
    </row>
    <row r="271" spans="1:17" s="25" customFormat="1" hidden="1">
      <c r="A271" s="198">
        <v>6.6966965451388888E-2</v>
      </c>
      <c r="B271" s="25" t="s">
        <v>94</v>
      </c>
      <c r="C271" s="25" t="s">
        <v>449</v>
      </c>
      <c r="E271" s="25" t="s">
        <v>108</v>
      </c>
      <c r="G271" s="25" t="s">
        <v>164</v>
      </c>
      <c r="I271" s="196">
        <v>46279.476527777777</v>
      </c>
      <c r="J271" s="25" t="s">
        <v>445</v>
      </c>
      <c r="K271" s="25" t="s">
        <v>443</v>
      </c>
      <c r="L271" s="197">
        <v>46277</v>
      </c>
      <c r="M271" s="25" t="s">
        <v>442</v>
      </c>
      <c r="N271" s="25" t="s">
        <v>231</v>
      </c>
      <c r="O271" s="25" t="s">
        <v>444</v>
      </c>
      <c r="P271" s="25" t="s">
        <v>94</v>
      </c>
      <c r="Q271" s="25" t="s">
        <v>247</v>
      </c>
    </row>
    <row r="272" spans="1:17" s="25" customFormat="1" hidden="1">
      <c r="A272" s="198">
        <v>6.6829160011574074E-2</v>
      </c>
      <c r="B272" s="25" t="s">
        <v>94</v>
      </c>
      <c r="C272" s="25" t="s">
        <v>492</v>
      </c>
      <c r="E272" s="25" t="s">
        <v>108</v>
      </c>
      <c r="G272" s="25" t="s">
        <v>164</v>
      </c>
      <c r="I272" s="196">
        <v>46279.476273148146</v>
      </c>
      <c r="J272" s="25" t="s">
        <v>445</v>
      </c>
      <c r="K272" s="25" t="s">
        <v>443</v>
      </c>
      <c r="L272" s="197">
        <v>46277</v>
      </c>
      <c r="M272" s="25" t="s">
        <v>442</v>
      </c>
      <c r="N272" s="25" t="s">
        <v>231</v>
      </c>
      <c r="O272" s="25" t="s">
        <v>444</v>
      </c>
      <c r="P272" s="25" t="s">
        <v>94</v>
      </c>
      <c r="Q272" s="25" t="s">
        <v>247</v>
      </c>
    </row>
    <row r="273" spans="1:17" s="25" customFormat="1" hidden="1">
      <c r="A273" s="198">
        <v>6.673053929398147E-2</v>
      </c>
      <c r="B273" s="25" t="s">
        <v>94</v>
      </c>
      <c r="C273" s="25" t="s">
        <v>82</v>
      </c>
      <c r="E273" s="25" t="s">
        <v>108</v>
      </c>
      <c r="G273" s="25" t="s">
        <v>164</v>
      </c>
      <c r="I273" s="196">
        <v>46279.476122685184</v>
      </c>
      <c r="J273" s="25" t="s">
        <v>445</v>
      </c>
      <c r="K273" s="25" t="s">
        <v>443</v>
      </c>
      <c r="L273" s="197">
        <v>46277</v>
      </c>
      <c r="M273" s="25" t="s">
        <v>442</v>
      </c>
      <c r="N273" s="25" t="s">
        <v>231</v>
      </c>
      <c r="O273" s="25" t="s">
        <v>444</v>
      </c>
      <c r="P273" s="25" t="s">
        <v>94</v>
      </c>
      <c r="Q273" s="25" t="s">
        <v>247</v>
      </c>
    </row>
    <row r="274" spans="1:17" s="25" customFormat="1" hidden="1">
      <c r="A274" s="198">
        <v>6.6672546944444439E-2</v>
      </c>
      <c r="B274" s="25" t="s">
        <v>94</v>
      </c>
      <c r="C274" s="25" t="s">
        <v>491</v>
      </c>
      <c r="E274" s="25" t="s">
        <v>108</v>
      </c>
      <c r="G274" s="25" t="s">
        <v>164</v>
      </c>
      <c r="I274" s="196">
        <v>46279.475972222222</v>
      </c>
      <c r="J274" s="25" t="s">
        <v>445</v>
      </c>
      <c r="K274" s="25" t="s">
        <v>443</v>
      </c>
      <c r="L274" s="197">
        <v>46277</v>
      </c>
      <c r="M274" s="25" t="s">
        <v>442</v>
      </c>
      <c r="N274" s="25" t="s">
        <v>231</v>
      </c>
      <c r="O274" s="25" t="s">
        <v>444</v>
      </c>
      <c r="P274" s="25" t="s">
        <v>94</v>
      </c>
      <c r="Q274" s="25" t="s">
        <v>247</v>
      </c>
    </row>
    <row r="275" spans="1:17" s="25" customFormat="1" hidden="1">
      <c r="A275" s="198">
        <v>6.6655241226851847E-2</v>
      </c>
      <c r="B275" s="25" t="s">
        <v>94</v>
      </c>
      <c r="C275" s="25" t="s">
        <v>494</v>
      </c>
      <c r="E275" s="25" t="s">
        <v>59</v>
      </c>
      <c r="G275" s="25" t="s">
        <v>164</v>
      </c>
      <c r="I275" s="196">
        <v>46279.475856481484</v>
      </c>
      <c r="J275" s="25" t="s">
        <v>445</v>
      </c>
      <c r="K275" s="25" t="s">
        <v>443</v>
      </c>
      <c r="L275" s="197">
        <v>46277</v>
      </c>
      <c r="M275" s="25" t="s">
        <v>442</v>
      </c>
      <c r="N275" s="25" t="s">
        <v>231</v>
      </c>
      <c r="O275" s="25" t="s">
        <v>444</v>
      </c>
      <c r="P275" s="25" t="s">
        <v>94</v>
      </c>
      <c r="Q275" s="25" t="s">
        <v>247</v>
      </c>
    </row>
    <row r="276" spans="1:17" s="25" customFormat="1" hidden="1">
      <c r="A276" s="198">
        <v>6.658582696759259E-2</v>
      </c>
      <c r="B276" s="25" t="s">
        <v>94</v>
      </c>
      <c r="C276" s="25" t="s">
        <v>475</v>
      </c>
      <c r="E276" s="25" t="s">
        <v>108</v>
      </c>
      <c r="G276" s="25" t="s">
        <v>164</v>
      </c>
      <c r="I276" s="196">
        <v>46279.475682870368</v>
      </c>
      <c r="J276" s="25" t="s">
        <v>445</v>
      </c>
      <c r="K276" s="25" t="s">
        <v>443</v>
      </c>
      <c r="L276" s="197">
        <v>46277</v>
      </c>
      <c r="M276" s="25" t="s">
        <v>442</v>
      </c>
      <c r="N276" s="25" t="s">
        <v>231</v>
      </c>
      <c r="O276" s="25" t="s">
        <v>444</v>
      </c>
      <c r="P276" s="25" t="s">
        <v>94</v>
      </c>
      <c r="Q276" s="25" t="s">
        <v>247</v>
      </c>
    </row>
    <row r="277" spans="1:17" s="25" customFormat="1" hidden="1">
      <c r="A277" s="198">
        <v>6.6532366192129627E-2</v>
      </c>
      <c r="B277" s="25" t="s">
        <v>94</v>
      </c>
      <c r="C277" s="25" t="s">
        <v>468</v>
      </c>
      <c r="E277" s="25" t="s">
        <v>133</v>
      </c>
      <c r="G277" s="25" t="s">
        <v>164</v>
      </c>
      <c r="I277" s="196">
        <v>46279.474861111114</v>
      </c>
      <c r="J277" s="25" t="s">
        <v>445</v>
      </c>
      <c r="K277" s="25" t="s">
        <v>443</v>
      </c>
      <c r="L277" s="197">
        <v>46277</v>
      </c>
      <c r="M277" s="25" t="s">
        <v>442</v>
      </c>
      <c r="N277" s="25" t="s">
        <v>231</v>
      </c>
      <c r="O277" s="25" t="s">
        <v>444</v>
      </c>
      <c r="P277" s="25" t="s">
        <v>94</v>
      </c>
      <c r="Q277" s="25" t="s">
        <v>247</v>
      </c>
    </row>
    <row r="278" spans="1:17" s="25" customFormat="1" hidden="1">
      <c r="A278" s="198">
        <v>6.6532366192129627E-2</v>
      </c>
      <c r="B278" s="25" t="s">
        <v>94</v>
      </c>
      <c r="C278" s="25" t="s">
        <v>492</v>
      </c>
      <c r="E278" s="25" t="s">
        <v>133</v>
      </c>
      <c r="G278" s="25" t="s">
        <v>164</v>
      </c>
      <c r="I278" s="196">
        <v>46279.474849537037</v>
      </c>
      <c r="J278" s="25" t="s">
        <v>445</v>
      </c>
      <c r="K278" s="25" t="s">
        <v>443</v>
      </c>
      <c r="L278" s="197">
        <v>46277</v>
      </c>
      <c r="M278" s="25" t="s">
        <v>442</v>
      </c>
      <c r="N278" s="25" t="s">
        <v>231</v>
      </c>
      <c r="O278" s="25" t="s">
        <v>444</v>
      </c>
      <c r="P278" s="25" t="s">
        <v>94</v>
      </c>
      <c r="Q278" s="25" t="s">
        <v>247</v>
      </c>
    </row>
    <row r="279" spans="1:17" s="25" customFormat="1" hidden="1">
      <c r="A279" s="198">
        <v>6.6404847835648151E-2</v>
      </c>
      <c r="B279" s="25" t="s">
        <v>94</v>
      </c>
      <c r="C279" s="25" t="s">
        <v>449</v>
      </c>
      <c r="E279" s="25" t="s">
        <v>108</v>
      </c>
      <c r="G279" s="25" t="s">
        <v>164</v>
      </c>
      <c r="I279" s="196">
        <v>46279.474629629629</v>
      </c>
      <c r="J279" s="25" t="s">
        <v>445</v>
      </c>
      <c r="K279" s="25" t="s">
        <v>443</v>
      </c>
      <c r="L279" s="197">
        <v>46277</v>
      </c>
      <c r="M279" s="25" t="s">
        <v>442</v>
      </c>
      <c r="N279" s="25" t="s">
        <v>231</v>
      </c>
      <c r="O279" s="25" t="s">
        <v>444</v>
      </c>
      <c r="P279" s="25" t="s">
        <v>94</v>
      </c>
      <c r="Q279" s="25" t="s">
        <v>247</v>
      </c>
    </row>
    <row r="280" spans="1:17" s="25" customFormat="1" hidden="1">
      <c r="A280" s="198">
        <v>6.639435538194445E-2</v>
      </c>
      <c r="B280" s="25" t="s">
        <v>94</v>
      </c>
      <c r="C280" s="25" t="s">
        <v>460</v>
      </c>
      <c r="E280" s="25" t="s">
        <v>59</v>
      </c>
      <c r="G280" s="25" t="s">
        <v>164</v>
      </c>
      <c r="I280" s="196">
        <v>46279.473530092589</v>
      </c>
      <c r="J280" s="25" t="s">
        <v>445</v>
      </c>
      <c r="K280" s="25" t="s">
        <v>443</v>
      </c>
      <c r="L280" s="197">
        <v>46277</v>
      </c>
      <c r="M280" s="25" t="s">
        <v>442</v>
      </c>
      <c r="N280" s="25" t="s">
        <v>231</v>
      </c>
      <c r="O280" s="25" t="s">
        <v>444</v>
      </c>
      <c r="P280" s="25" t="s">
        <v>94</v>
      </c>
      <c r="Q280" s="25" t="s">
        <v>247</v>
      </c>
    </row>
    <row r="281" spans="1:17" s="25" customFormat="1" hidden="1">
      <c r="A281" s="198">
        <v>6.6359786504629634E-2</v>
      </c>
      <c r="B281" s="25" t="s">
        <v>94</v>
      </c>
      <c r="C281" s="25" t="s">
        <v>490</v>
      </c>
      <c r="E281" s="25" t="s">
        <v>133</v>
      </c>
      <c r="G281" s="25" t="s">
        <v>164</v>
      </c>
      <c r="I281" s="196">
        <v>46279.473414351851</v>
      </c>
      <c r="J281" s="25" t="s">
        <v>445</v>
      </c>
      <c r="K281" s="25" t="s">
        <v>443</v>
      </c>
      <c r="L281" s="197">
        <v>46277</v>
      </c>
      <c r="M281" s="25" t="s">
        <v>442</v>
      </c>
      <c r="N281" s="25" t="s">
        <v>231</v>
      </c>
      <c r="O281" s="25" t="s">
        <v>444</v>
      </c>
      <c r="P281" s="25" t="s">
        <v>94</v>
      </c>
      <c r="Q281" s="25" t="s">
        <v>247</v>
      </c>
    </row>
    <row r="282" spans="1:17" s="25" customFormat="1" hidden="1">
      <c r="A282" s="198">
        <v>6.6226524699074071E-2</v>
      </c>
      <c r="B282" s="25" t="s">
        <v>94</v>
      </c>
      <c r="C282" s="25" t="s">
        <v>452</v>
      </c>
      <c r="E282" s="25" t="s">
        <v>133</v>
      </c>
      <c r="G282" s="25" t="s">
        <v>164</v>
      </c>
      <c r="I282" s="196">
        <v>46279.47320601852</v>
      </c>
      <c r="J282" s="25" t="s">
        <v>445</v>
      </c>
      <c r="K282" s="25" t="s">
        <v>443</v>
      </c>
      <c r="L282" s="197">
        <v>46277</v>
      </c>
      <c r="M282" s="25" t="s">
        <v>442</v>
      </c>
      <c r="N282" s="25" t="s">
        <v>231</v>
      </c>
      <c r="O282" s="25" t="s">
        <v>444</v>
      </c>
      <c r="P282" s="25" t="s">
        <v>94</v>
      </c>
      <c r="Q282" s="25" t="s">
        <v>247</v>
      </c>
    </row>
    <row r="283" spans="1:17" s="25" customFormat="1" hidden="1">
      <c r="A283" s="198">
        <v>6.6226524699074071E-2</v>
      </c>
      <c r="B283" s="25" t="s">
        <v>94</v>
      </c>
      <c r="C283" s="25" t="s">
        <v>492</v>
      </c>
      <c r="E283" s="25" t="s">
        <v>133</v>
      </c>
      <c r="G283" s="25" t="s">
        <v>164</v>
      </c>
      <c r="I283" s="196">
        <v>46279.473182870373</v>
      </c>
      <c r="J283" s="25" t="s">
        <v>445</v>
      </c>
      <c r="K283" s="25" t="s">
        <v>443</v>
      </c>
      <c r="L283" s="197">
        <v>46277</v>
      </c>
      <c r="M283" s="25" t="s">
        <v>442</v>
      </c>
      <c r="N283" s="25" t="s">
        <v>231</v>
      </c>
      <c r="O283" s="25" t="s">
        <v>444</v>
      </c>
      <c r="P283" s="25" t="s">
        <v>94</v>
      </c>
      <c r="Q283" s="25" t="s">
        <v>247</v>
      </c>
    </row>
    <row r="284" spans="1:17" s="25" customFormat="1" hidden="1">
      <c r="A284" s="198">
        <v>6.6153468969907411E-2</v>
      </c>
      <c r="B284" s="25" t="s">
        <v>94</v>
      </c>
      <c r="C284" s="25" t="s">
        <v>472</v>
      </c>
      <c r="E284" s="25" t="s">
        <v>108</v>
      </c>
      <c r="G284" s="25" t="s">
        <v>164</v>
      </c>
      <c r="I284" s="196">
        <v>46279.471516203703</v>
      </c>
      <c r="J284" s="25" t="s">
        <v>445</v>
      </c>
      <c r="K284" s="25" t="s">
        <v>443</v>
      </c>
      <c r="L284" s="197">
        <v>46277</v>
      </c>
      <c r="M284" s="25" t="s">
        <v>442</v>
      </c>
      <c r="N284" s="25" t="s">
        <v>231</v>
      </c>
      <c r="O284" s="25" t="s">
        <v>444</v>
      </c>
      <c r="P284" s="25" t="s">
        <v>94</v>
      </c>
      <c r="Q284" s="25" t="s">
        <v>247</v>
      </c>
    </row>
    <row r="285" spans="1:17" s="25" customFormat="1" hidden="1">
      <c r="A285" s="198">
        <v>6.6099709722222219E-2</v>
      </c>
      <c r="B285" s="25" t="s">
        <v>94</v>
      </c>
      <c r="C285" s="25" t="s">
        <v>493</v>
      </c>
      <c r="E285" s="25" t="s">
        <v>108</v>
      </c>
      <c r="G285" s="25" t="s">
        <v>164</v>
      </c>
      <c r="I285" s="196">
        <v>46279.471238425926</v>
      </c>
      <c r="J285" s="25" t="s">
        <v>445</v>
      </c>
      <c r="K285" s="25" t="s">
        <v>443</v>
      </c>
      <c r="L285" s="197">
        <v>46277</v>
      </c>
      <c r="M285" s="25" t="s">
        <v>442</v>
      </c>
      <c r="N285" s="25" t="s">
        <v>231</v>
      </c>
      <c r="O285" s="25" t="s">
        <v>444</v>
      </c>
      <c r="P285" s="25" t="s">
        <v>94</v>
      </c>
      <c r="Q285" s="25" t="s">
        <v>247</v>
      </c>
    </row>
    <row r="286" spans="1:17" s="25" customFormat="1" hidden="1">
      <c r="A286" s="198">
        <v>6.6031940370370371E-2</v>
      </c>
      <c r="B286" s="25" t="s">
        <v>94</v>
      </c>
      <c r="C286" s="25" t="s">
        <v>495</v>
      </c>
      <c r="E286" s="25" t="s">
        <v>108</v>
      </c>
      <c r="G286" s="25" t="s">
        <v>164</v>
      </c>
      <c r="I286" s="196">
        <v>46279.45107638889</v>
      </c>
      <c r="J286" s="25" t="s">
        <v>445</v>
      </c>
      <c r="K286" s="25" t="s">
        <v>443</v>
      </c>
      <c r="L286" s="197">
        <v>46277</v>
      </c>
      <c r="M286" s="25" t="s">
        <v>442</v>
      </c>
      <c r="N286" s="25" t="s">
        <v>231</v>
      </c>
      <c r="O286" s="25" t="s">
        <v>444</v>
      </c>
      <c r="P286" s="25" t="s">
        <v>94</v>
      </c>
      <c r="Q286" s="25" t="s">
        <v>247</v>
      </c>
    </row>
    <row r="287" spans="1:17" s="25" customFormat="1" hidden="1">
      <c r="A287" s="198">
        <v>6.5979401724537035E-2</v>
      </c>
      <c r="B287" s="25" t="s">
        <v>94</v>
      </c>
      <c r="E287" s="25" t="s">
        <v>285</v>
      </c>
      <c r="G287" s="25" t="s">
        <v>164</v>
      </c>
      <c r="I287" s="196">
        <v>46279.450706018521</v>
      </c>
      <c r="J287" s="25" t="s">
        <v>445</v>
      </c>
      <c r="K287" s="25" t="s">
        <v>443</v>
      </c>
      <c r="L287" s="197">
        <v>46277</v>
      </c>
      <c r="M287" s="25" t="s">
        <v>442</v>
      </c>
      <c r="N287" s="25" t="s">
        <v>231</v>
      </c>
      <c r="O287" s="25" t="s">
        <v>444</v>
      </c>
      <c r="P287" s="25" t="s">
        <v>94</v>
      </c>
      <c r="Q287" s="25" t="s">
        <v>247</v>
      </c>
    </row>
    <row r="288" spans="1:17" s="25" customFormat="1" hidden="1">
      <c r="A288" s="198">
        <v>6.5945605752314812E-2</v>
      </c>
      <c r="B288" s="25" t="s">
        <v>94</v>
      </c>
      <c r="E288" s="25" t="s">
        <v>105</v>
      </c>
      <c r="G288" s="25" t="s">
        <v>164</v>
      </c>
      <c r="I288" s="196">
        <v>46279.450671296298</v>
      </c>
      <c r="J288" s="25" t="s">
        <v>445</v>
      </c>
      <c r="K288" s="25" t="s">
        <v>443</v>
      </c>
      <c r="L288" s="197">
        <v>46277</v>
      </c>
      <c r="M288" s="25" t="s">
        <v>442</v>
      </c>
      <c r="N288" s="25" t="s">
        <v>231</v>
      </c>
      <c r="O288" s="25" t="s">
        <v>444</v>
      </c>
      <c r="P288" s="25" t="s">
        <v>94</v>
      </c>
      <c r="Q288" s="25" t="s">
        <v>247</v>
      </c>
    </row>
    <row r="289" spans="1:17" s="25" customFormat="1" hidden="1">
      <c r="A289" s="198">
        <v>6.5433643935185179E-2</v>
      </c>
      <c r="B289" s="25" t="s">
        <v>94</v>
      </c>
      <c r="E289" s="25" t="s">
        <v>87</v>
      </c>
      <c r="G289" s="25" t="s">
        <v>164</v>
      </c>
      <c r="I289" s="196">
        <v>46279.450289351851</v>
      </c>
      <c r="J289" s="25" t="s">
        <v>445</v>
      </c>
      <c r="K289" s="25" t="s">
        <v>443</v>
      </c>
      <c r="L289" s="197">
        <v>46277</v>
      </c>
      <c r="M289" s="25" t="s">
        <v>442</v>
      </c>
      <c r="N289" s="25" t="s">
        <v>231</v>
      </c>
      <c r="O289" s="25" t="s">
        <v>444</v>
      </c>
      <c r="P289" s="25" t="s">
        <v>94</v>
      </c>
      <c r="Q289" s="25" t="s">
        <v>247</v>
      </c>
    </row>
    <row r="290" spans="1:17" s="25" customFormat="1" hidden="1">
      <c r="A290" s="198">
        <v>6.5433643935185179E-2</v>
      </c>
      <c r="B290" s="25" t="s">
        <v>94</v>
      </c>
      <c r="C290" s="25" t="s">
        <v>493</v>
      </c>
      <c r="E290" s="25" t="s">
        <v>214</v>
      </c>
      <c r="F290" s="25" t="s">
        <v>133</v>
      </c>
      <c r="G290" s="25" t="s">
        <v>164</v>
      </c>
      <c r="I290" s="196">
        <v>46279.450289351851</v>
      </c>
      <c r="J290" s="25" t="s">
        <v>445</v>
      </c>
      <c r="K290" s="25" t="s">
        <v>443</v>
      </c>
      <c r="L290" s="197">
        <v>46277</v>
      </c>
      <c r="M290" s="25" t="s">
        <v>442</v>
      </c>
      <c r="N290" s="25" t="s">
        <v>231</v>
      </c>
      <c r="O290" s="25" t="s">
        <v>444</v>
      </c>
      <c r="P290" s="25" t="s">
        <v>94</v>
      </c>
      <c r="Q290" s="25" t="s">
        <v>247</v>
      </c>
    </row>
    <row r="291" spans="1:17" s="25" customFormat="1" hidden="1">
      <c r="A291" s="198">
        <v>6.5433643935185179E-2</v>
      </c>
      <c r="B291" s="25" t="s">
        <v>94</v>
      </c>
      <c r="C291" s="25" t="s">
        <v>493</v>
      </c>
      <c r="E291" s="25" t="s">
        <v>133</v>
      </c>
      <c r="G291" s="25" t="s">
        <v>164</v>
      </c>
      <c r="I291" s="196">
        <v>46279.450127314813</v>
      </c>
      <c r="J291" s="25" t="s">
        <v>445</v>
      </c>
      <c r="K291" s="25" t="s">
        <v>443</v>
      </c>
      <c r="L291" s="197">
        <v>46277</v>
      </c>
      <c r="M291" s="25" t="s">
        <v>442</v>
      </c>
      <c r="N291" s="25" t="s">
        <v>231</v>
      </c>
      <c r="O291" s="25" t="s">
        <v>444</v>
      </c>
      <c r="P291" s="25" t="s">
        <v>94</v>
      </c>
      <c r="Q291" s="25" t="s">
        <v>247</v>
      </c>
    </row>
    <row r="292" spans="1:17" s="25" customFormat="1" hidden="1">
      <c r="A292" s="198">
        <v>6.5433643935185179E-2</v>
      </c>
      <c r="B292" s="25" t="s">
        <v>94</v>
      </c>
      <c r="C292" s="25" t="s">
        <v>468</v>
      </c>
      <c r="E292" s="25" t="s">
        <v>133</v>
      </c>
      <c r="G292" s="25" t="s">
        <v>164</v>
      </c>
      <c r="I292" s="196">
        <v>46279.450115740743</v>
      </c>
      <c r="J292" s="25" t="s">
        <v>445</v>
      </c>
      <c r="K292" s="25" t="s">
        <v>443</v>
      </c>
      <c r="L292" s="197">
        <v>46277</v>
      </c>
      <c r="M292" s="25" t="s">
        <v>442</v>
      </c>
      <c r="N292" s="25" t="s">
        <v>231</v>
      </c>
      <c r="O292" s="25" t="s">
        <v>444</v>
      </c>
      <c r="P292" s="25" t="s">
        <v>94</v>
      </c>
      <c r="Q292" s="25" t="s">
        <v>247</v>
      </c>
    </row>
    <row r="293" spans="1:17" s="25" customFormat="1" hidden="1">
      <c r="A293" s="198">
        <v>6.5296243344907412E-2</v>
      </c>
      <c r="B293" s="25" t="s">
        <v>94</v>
      </c>
      <c r="C293" s="25" t="s">
        <v>472</v>
      </c>
      <c r="E293" s="25" t="s">
        <v>108</v>
      </c>
      <c r="G293" s="25" t="s">
        <v>164</v>
      </c>
      <c r="I293" s="196">
        <v>46279.449178240742</v>
      </c>
      <c r="J293" s="25" t="s">
        <v>445</v>
      </c>
      <c r="K293" s="25" t="s">
        <v>443</v>
      </c>
      <c r="L293" s="197">
        <v>46277</v>
      </c>
      <c r="M293" s="25" t="s">
        <v>442</v>
      </c>
      <c r="N293" s="25" t="s">
        <v>231</v>
      </c>
      <c r="O293" s="25" t="s">
        <v>444</v>
      </c>
      <c r="P293" s="25" t="s">
        <v>94</v>
      </c>
      <c r="Q293" s="25" t="s">
        <v>247</v>
      </c>
    </row>
    <row r="294" spans="1:17" s="25" customFormat="1" hidden="1">
      <c r="A294" s="198">
        <v>6.528078731481482E-2</v>
      </c>
      <c r="B294" s="25" t="s">
        <v>94</v>
      </c>
      <c r="C294" s="25" t="s">
        <v>449</v>
      </c>
      <c r="E294" s="25" t="s">
        <v>108</v>
      </c>
      <c r="G294" s="25" t="s">
        <v>164</v>
      </c>
      <c r="I294" s="196">
        <v>46279.448935185188</v>
      </c>
      <c r="J294" s="25" t="s">
        <v>445</v>
      </c>
      <c r="K294" s="25" t="s">
        <v>443</v>
      </c>
      <c r="L294" s="197">
        <v>46277</v>
      </c>
      <c r="M294" s="25" t="s">
        <v>442</v>
      </c>
      <c r="N294" s="25" t="s">
        <v>231</v>
      </c>
      <c r="O294" s="25" t="s">
        <v>444</v>
      </c>
      <c r="P294" s="25" t="s">
        <v>94</v>
      </c>
      <c r="Q294" s="25" t="s">
        <v>247</v>
      </c>
    </row>
    <row r="295" spans="1:17" s="25" customFormat="1" hidden="1">
      <c r="A295" s="198">
        <v>6.5190972581018511E-2</v>
      </c>
      <c r="B295" s="25" t="s">
        <v>94</v>
      </c>
      <c r="C295" s="25" t="s">
        <v>475</v>
      </c>
      <c r="E295" s="25" t="s">
        <v>108</v>
      </c>
      <c r="G295" s="25" t="s">
        <v>164</v>
      </c>
      <c r="I295" s="196">
        <v>46279.448460648149</v>
      </c>
      <c r="J295" s="25" t="s">
        <v>445</v>
      </c>
      <c r="K295" s="25" t="s">
        <v>443</v>
      </c>
      <c r="L295" s="197">
        <v>46277</v>
      </c>
      <c r="M295" s="25" t="s">
        <v>442</v>
      </c>
      <c r="N295" s="25" t="s">
        <v>231</v>
      </c>
      <c r="O295" s="25" t="s">
        <v>444</v>
      </c>
      <c r="P295" s="25" t="s">
        <v>94</v>
      </c>
      <c r="Q295" s="25" t="s">
        <v>247</v>
      </c>
    </row>
    <row r="296" spans="1:17" s="25" customFormat="1" hidden="1">
      <c r="A296" s="198">
        <v>6.5140506273148158E-2</v>
      </c>
      <c r="B296" s="25" t="s">
        <v>94</v>
      </c>
      <c r="C296" s="25" t="s">
        <v>494</v>
      </c>
      <c r="E296" s="25" t="s">
        <v>59</v>
      </c>
      <c r="G296" s="25" t="s">
        <v>164</v>
      </c>
      <c r="I296" s="196">
        <v>46279.447916666664</v>
      </c>
      <c r="J296" s="25" t="s">
        <v>445</v>
      </c>
      <c r="K296" s="25" t="s">
        <v>443</v>
      </c>
      <c r="L296" s="197">
        <v>46277</v>
      </c>
      <c r="M296" s="25" t="s">
        <v>442</v>
      </c>
      <c r="N296" s="25" t="s">
        <v>231</v>
      </c>
      <c r="O296" s="25" t="s">
        <v>444</v>
      </c>
      <c r="P296" s="25" t="s">
        <v>94</v>
      </c>
      <c r="Q296" s="25" t="s">
        <v>247</v>
      </c>
    </row>
    <row r="297" spans="1:17" s="25" customFormat="1" hidden="1">
      <c r="A297" s="198">
        <v>6.5104069872685189E-2</v>
      </c>
      <c r="B297" s="25" t="s">
        <v>94</v>
      </c>
      <c r="E297" s="25" t="s">
        <v>188</v>
      </c>
      <c r="G297" s="25" t="s">
        <v>164</v>
      </c>
      <c r="I297" s="196">
        <v>46279.447581018518</v>
      </c>
      <c r="J297" s="25" t="s">
        <v>445</v>
      </c>
      <c r="K297" s="25" t="s">
        <v>443</v>
      </c>
      <c r="L297" s="197">
        <v>46277</v>
      </c>
      <c r="M297" s="25" t="s">
        <v>442</v>
      </c>
      <c r="N297" s="25" t="s">
        <v>231</v>
      </c>
      <c r="O297" s="25" t="s">
        <v>444</v>
      </c>
      <c r="P297" s="25" t="s">
        <v>94</v>
      </c>
      <c r="Q297" s="25" t="s">
        <v>247</v>
      </c>
    </row>
    <row r="298" spans="1:17" s="25" customFormat="1" hidden="1">
      <c r="A298" s="198">
        <v>6.5046018599537042E-2</v>
      </c>
      <c r="B298" s="25" t="s">
        <v>94</v>
      </c>
      <c r="E298" s="25" t="s">
        <v>184</v>
      </c>
      <c r="G298" s="25" t="s">
        <v>98</v>
      </c>
      <c r="I298" s="196">
        <v>46279.44736111111</v>
      </c>
      <c r="J298" s="25" t="s">
        <v>445</v>
      </c>
      <c r="K298" s="25" t="s">
        <v>443</v>
      </c>
      <c r="L298" s="197">
        <v>46277</v>
      </c>
      <c r="M298" s="25" t="s">
        <v>442</v>
      </c>
      <c r="N298" s="25" t="s">
        <v>231</v>
      </c>
      <c r="O298" s="25" t="s">
        <v>444</v>
      </c>
      <c r="P298" s="25" t="s">
        <v>94</v>
      </c>
      <c r="Q298" s="25" t="s">
        <v>247</v>
      </c>
    </row>
    <row r="299" spans="1:17" s="25" customFormat="1" hidden="1">
      <c r="A299" s="198">
        <v>6.4993773333333338E-2</v>
      </c>
      <c r="B299" s="25" t="s">
        <v>94</v>
      </c>
      <c r="E299" s="25" t="s">
        <v>279</v>
      </c>
      <c r="G299" s="25" t="s">
        <v>98</v>
      </c>
      <c r="I299" s="196">
        <v>46279.447245370371</v>
      </c>
      <c r="J299" s="25" t="s">
        <v>445</v>
      </c>
      <c r="K299" s="25" t="s">
        <v>443</v>
      </c>
      <c r="L299" s="197">
        <v>46277</v>
      </c>
      <c r="M299" s="25" t="s">
        <v>442</v>
      </c>
      <c r="N299" s="25" t="s">
        <v>231</v>
      </c>
      <c r="O299" s="25" t="s">
        <v>444</v>
      </c>
      <c r="P299" s="25" t="s">
        <v>94</v>
      </c>
      <c r="Q299" s="25" t="s">
        <v>247</v>
      </c>
    </row>
    <row r="300" spans="1:17" s="25" customFormat="1" hidden="1">
      <c r="A300" s="198">
        <v>6.4993773333333338E-2</v>
      </c>
      <c r="B300" s="25" t="s">
        <v>94</v>
      </c>
      <c r="E300" s="25" t="s">
        <v>105</v>
      </c>
      <c r="G300" s="25" t="s">
        <v>164</v>
      </c>
      <c r="I300" s="196">
        <v>46279.447060185186</v>
      </c>
      <c r="J300" s="25" t="s">
        <v>445</v>
      </c>
      <c r="K300" s="25" t="s">
        <v>443</v>
      </c>
      <c r="L300" s="197">
        <v>46277</v>
      </c>
      <c r="M300" s="25" t="s">
        <v>442</v>
      </c>
      <c r="N300" s="25" t="s">
        <v>231</v>
      </c>
      <c r="O300" s="25" t="s">
        <v>444</v>
      </c>
      <c r="P300" s="25" t="s">
        <v>94</v>
      </c>
      <c r="Q300" s="25" t="s">
        <v>247</v>
      </c>
    </row>
    <row r="301" spans="1:17" s="25" customFormat="1" hidden="1">
      <c r="A301" s="198">
        <v>6.4674352442129629E-2</v>
      </c>
      <c r="B301" s="25" t="s">
        <v>94</v>
      </c>
      <c r="E301" s="25" t="s">
        <v>87</v>
      </c>
      <c r="G301" s="25" t="s">
        <v>164</v>
      </c>
      <c r="I301" s="196">
        <v>46279.446898148148</v>
      </c>
      <c r="J301" s="25" t="s">
        <v>445</v>
      </c>
      <c r="K301" s="25" t="s">
        <v>443</v>
      </c>
      <c r="L301" s="197">
        <v>46277</v>
      </c>
      <c r="M301" s="25" t="s">
        <v>442</v>
      </c>
      <c r="N301" s="25" t="s">
        <v>231</v>
      </c>
      <c r="O301" s="25" t="s">
        <v>444</v>
      </c>
      <c r="P301" s="25" t="s">
        <v>94</v>
      </c>
      <c r="Q301" s="25" t="s">
        <v>247</v>
      </c>
    </row>
    <row r="302" spans="1:17" s="25" customFormat="1" hidden="1">
      <c r="A302" s="198">
        <v>6.4674352442129629E-2</v>
      </c>
      <c r="B302" s="25" t="s">
        <v>94</v>
      </c>
      <c r="C302" s="25" t="s">
        <v>82</v>
      </c>
      <c r="E302" s="25" t="s">
        <v>183</v>
      </c>
      <c r="G302" s="25" t="s">
        <v>98</v>
      </c>
      <c r="I302" s="196">
        <v>46279.446875000001</v>
      </c>
      <c r="J302" s="25" t="s">
        <v>445</v>
      </c>
      <c r="K302" s="25" t="s">
        <v>443</v>
      </c>
      <c r="L302" s="197">
        <v>46277</v>
      </c>
      <c r="M302" s="25" t="s">
        <v>442</v>
      </c>
      <c r="N302" s="25" t="s">
        <v>231</v>
      </c>
      <c r="O302" s="25" t="s">
        <v>444</v>
      </c>
      <c r="P302" s="25" t="s">
        <v>94</v>
      </c>
      <c r="Q302" s="25" t="s">
        <v>247</v>
      </c>
    </row>
    <row r="303" spans="1:17" s="25" customFormat="1" hidden="1">
      <c r="A303" s="198">
        <v>6.4604829490740742E-2</v>
      </c>
      <c r="B303" s="25" t="s">
        <v>94</v>
      </c>
      <c r="C303" s="25" t="s">
        <v>468</v>
      </c>
      <c r="E303" s="25" t="s">
        <v>111</v>
      </c>
      <c r="G303" s="25" t="s">
        <v>98</v>
      </c>
      <c r="I303" s="196">
        <v>46279.44672453704</v>
      </c>
      <c r="J303" s="25" t="s">
        <v>445</v>
      </c>
      <c r="K303" s="25" t="s">
        <v>443</v>
      </c>
      <c r="L303" s="197">
        <v>46277</v>
      </c>
      <c r="M303" s="25" t="s">
        <v>442</v>
      </c>
      <c r="N303" s="25" t="s">
        <v>231</v>
      </c>
      <c r="O303" s="25" t="s">
        <v>444</v>
      </c>
      <c r="P303" s="25" t="s">
        <v>94</v>
      </c>
      <c r="Q303" s="25" t="s">
        <v>247</v>
      </c>
    </row>
    <row r="304" spans="1:17" s="25" customFormat="1" hidden="1">
      <c r="A304" s="198">
        <v>6.4455328252314814E-2</v>
      </c>
      <c r="B304" s="25" t="s">
        <v>94</v>
      </c>
      <c r="E304" s="25" t="s">
        <v>104</v>
      </c>
      <c r="G304" s="25" t="s">
        <v>164</v>
      </c>
      <c r="I304" s="196">
        <v>46279.446516203701</v>
      </c>
      <c r="J304" s="25" t="s">
        <v>445</v>
      </c>
      <c r="K304" s="25" t="s">
        <v>443</v>
      </c>
      <c r="L304" s="197">
        <v>46277</v>
      </c>
      <c r="M304" s="25" t="s">
        <v>442</v>
      </c>
      <c r="N304" s="25" t="s">
        <v>231</v>
      </c>
      <c r="O304" s="25" t="s">
        <v>444</v>
      </c>
      <c r="P304" s="25" t="s">
        <v>94</v>
      </c>
      <c r="Q304" s="25" t="s">
        <v>247</v>
      </c>
    </row>
    <row r="305" spans="1:17" s="25" customFormat="1" hidden="1">
      <c r="A305" s="198">
        <v>6.3987777847222219E-2</v>
      </c>
      <c r="B305" s="25" t="s">
        <v>94</v>
      </c>
      <c r="E305" s="25" t="s">
        <v>87</v>
      </c>
      <c r="G305" s="25" t="s">
        <v>164</v>
      </c>
      <c r="I305" s="196">
        <v>46279.446400462963</v>
      </c>
      <c r="J305" s="25" t="s">
        <v>445</v>
      </c>
      <c r="K305" s="25" t="s">
        <v>443</v>
      </c>
      <c r="L305" s="197">
        <v>46277</v>
      </c>
      <c r="M305" s="25" t="s">
        <v>442</v>
      </c>
      <c r="N305" s="25" t="s">
        <v>231</v>
      </c>
      <c r="O305" s="25" t="s">
        <v>444</v>
      </c>
      <c r="P305" s="25" t="s">
        <v>94</v>
      </c>
      <c r="Q305" s="25" t="s">
        <v>247</v>
      </c>
    </row>
    <row r="306" spans="1:17" s="25" customFormat="1" hidden="1">
      <c r="A306" s="198">
        <v>6.3923074305555563E-2</v>
      </c>
      <c r="B306" s="25" t="s">
        <v>94</v>
      </c>
      <c r="E306" s="25" t="s">
        <v>184</v>
      </c>
      <c r="G306" s="25" t="s">
        <v>164</v>
      </c>
      <c r="I306" s="196">
        <v>46279.44630787037</v>
      </c>
      <c r="J306" s="25" t="s">
        <v>445</v>
      </c>
      <c r="K306" s="25" t="s">
        <v>443</v>
      </c>
      <c r="L306" s="197">
        <v>46277</v>
      </c>
      <c r="M306" s="25" t="s">
        <v>442</v>
      </c>
      <c r="N306" s="25" t="s">
        <v>231</v>
      </c>
      <c r="O306" s="25" t="s">
        <v>444</v>
      </c>
      <c r="P306" s="25" t="s">
        <v>94</v>
      </c>
      <c r="Q306" s="25" t="s">
        <v>247</v>
      </c>
    </row>
    <row r="307" spans="1:17" s="25" customFormat="1" hidden="1">
      <c r="A307" s="198">
        <v>6.3882348888888885E-2</v>
      </c>
      <c r="B307" s="25" t="s">
        <v>94</v>
      </c>
      <c r="C307" s="25" t="s">
        <v>472</v>
      </c>
      <c r="E307" s="25" t="s">
        <v>108</v>
      </c>
      <c r="G307" s="25" t="s">
        <v>164</v>
      </c>
      <c r="I307" s="196">
        <v>46279.446192129632</v>
      </c>
      <c r="J307" s="25" t="s">
        <v>445</v>
      </c>
      <c r="K307" s="25" t="s">
        <v>443</v>
      </c>
      <c r="L307" s="197">
        <v>46277</v>
      </c>
      <c r="M307" s="25" t="s">
        <v>442</v>
      </c>
      <c r="N307" s="25" t="s">
        <v>231</v>
      </c>
      <c r="O307" s="25" t="s">
        <v>444</v>
      </c>
      <c r="P307" s="25" t="s">
        <v>94</v>
      </c>
      <c r="Q307" s="25" t="s">
        <v>247</v>
      </c>
    </row>
    <row r="308" spans="1:17" s="25" customFormat="1" hidden="1">
      <c r="A308" s="198">
        <v>6.3806963530092589E-2</v>
      </c>
      <c r="B308" s="25" t="s">
        <v>94</v>
      </c>
      <c r="C308" s="25" t="s">
        <v>493</v>
      </c>
      <c r="E308" s="25" t="s">
        <v>108</v>
      </c>
      <c r="G308" s="25" t="s">
        <v>164</v>
      </c>
      <c r="I308" s="196">
        <v>46279.445925925924</v>
      </c>
      <c r="J308" s="25" t="s">
        <v>445</v>
      </c>
      <c r="K308" s="25" t="s">
        <v>443</v>
      </c>
      <c r="L308" s="197">
        <v>46277</v>
      </c>
      <c r="M308" s="25" t="s">
        <v>442</v>
      </c>
      <c r="N308" s="25" t="s">
        <v>231</v>
      </c>
      <c r="O308" s="25" t="s">
        <v>444</v>
      </c>
      <c r="P308" s="25" t="s">
        <v>94</v>
      </c>
      <c r="Q308" s="25" t="s">
        <v>247</v>
      </c>
    </row>
    <row r="309" spans="1:17" s="25" customFormat="1" hidden="1">
      <c r="A309" s="198">
        <v>6.3805342233796289E-2</v>
      </c>
      <c r="B309" s="25" t="s">
        <v>94</v>
      </c>
      <c r="C309" s="25" t="s">
        <v>495</v>
      </c>
      <c r="E309" s="25" t="s">
        <v>496</v>
      </c>
      <c r="G309" s="25" t="s">
        <v>98</v>
      </c>
      <c r="I309" s="196">
        <v>46279.445590277777</v>
      </c>
      <c r="J309" s="25" t="s">
        <v>445</v>
      </c>
      <c r="K309" s="25" t="s">
        <v>443</v>
      </c>
      <c r="L309" s="197">
        <v>46277</v>
      </c>
      <c r="M309" s="25" t="s">
        <v>442</v>
      </c>
      <c r="N309" s="25" t="s">
        <v>231</v>
      </c>
      <c r="O309" s="25" t="s">
        <v>444</v>
      </c>
      <c r="P309" s="25" t="s">
        <v>94</v>
      </c>
      <c r="Q309" s="25" t="s">
        <v>247</v>
      </c>
    </row>
    <row r="310" spans="1:17" s="25" customFormat="1" hidden="1">
      <c r="A310" s="198">
        <v>6.3776688622685193E-2</v>
      </c>
      <c r="B310" s="25" t="s">
        <v>94</v>
      </c>
      <c r="E310" s="25" t="s">
        <v>108</v>
      </c>
      <c r="G310" s="25" t="s">
        <v>98</v>
      </c>
      <c r="I310" s="196">
        <v>46279.445462962962</v>
      </c>
      <c r="J310" s="25" t="s">
        <v>445</v>
      </c>
      <c r="K310" s="25" t="s">
        <v>443</v>
      </c>
      <c r="L310" s="197">
        <v>46277</v>
      </c>
      <c r="M310" s="25" t="s">
        <v>442</v>
      </c>
      <c r="N310" s="25" t="s">
        <v>231</v>
      </c>
      <c r="O310" s="25" t="s">
        <v>444</v>
      </c>
      <c r="P310" s="25" t="s">
        <v>94</v>
      </c>
      <c r="Q310" s="25" t="s">
        <v>247</v>
      </c>
    </row>
    <row r="311" spans="1:17" s="25" customFormat="1" hidden="1">
      <c r="A311" s="198">
        <v>6.3684034293981479E-2</v>
      </c>
      <c r="B311" s="25" t="s">
        <v>94</v>
      </c>
      <c r="E311" s="25" t="s">
        <v>108</v>
      </c>
      <c r="G311" s="25" t="s">
        <v>98</v>
      </c>
      <c r="I311" s="196">
        <v>46279.445335648146</v>
      </c>
      <c r="J311" s="25" t="s">
        <v>445</v>
      </c>
      <c r="K311" s="25" t="s">
        <v>443</v>
      </c>
      <c r="L311" s="197">
        <v>46277</v>
      </c>
      <c r="M311" s="25" t="s">
        <v>442</v>
      </c>
      <c r="N311" s="25" t="s">
        <v>231</v>
      </c>
      <c r="O311" s="25" t="s">
        <v>444</v>
      </c>
      <c r="P311" s="25" t="s">
        <v>94</v>
      </c>
      <c r="Q311" s="25" t="s">
        <v>247</v>
      </c>
    </row>
    <row r="312" spans="1:17" s="25" customFormat="1" hidden="1">
      <c r="A312" s="198">
        <v>6.3591217534722216E-2</v>
      </c>
      <c r="B312" s="25" t="s">
        <v>94</v>
      </c>
      <c r="E312" s="25" t="s">
        <v>108</v>
      </c>
      <c r="G312" s="25" t="s">
        <v>98</v>
      </c>
      <c r="I312" s="196">
        <v>46279.445219907408</v>
      </c>
      <c r="J312" s="25" t="s">
        <v>445</v>
      </c>
      <c r="K312" s="25" t="s">
        <v>443</v>
      </c>
      <c r="L312" s="197">
        <v>46277</v>
      </c>
      <c r="M312" s="25" t="s">
        <v>442</v>
      </c>
      <c r="N312" s="25" t="s">
        <v>231</v>
      </c>
      <c r="O312" s="25" t="s">
        <v>444</v>
      </c>
      <c r="P312" s="25" t="s">
        <v>94</v>
      </c>
      <c r="Q312" s="25" t="s">
        <v>247</v>
      </c>
    </row>
    <row r="313" spans="1:17" s="25" customFormat="1" hidden="1">
      <c r="A313" s="198">
        <v>6.3523690682870365E-2</v>
      </c>
      <c r="B313" s="25" t="s">
        <v>94</v>
      </c>
      <c r="E313" s="25" t="s">
        <v>279</v>
      </c>
      <c r="G313" s="25" t="s">
        <v>98</v>
      </c>
      <c r="I313" s="196">
        <v>46279.445196759261</v>
      </c>
      <c r="J313" s="25" t="s">
        <v>445</v>
      </c>
      <c r="K313" s="25" t="s">
        <v>443</v>
      </c>
      <c r="L313" s="197">
        <v>46277</v>
      </c>
      <c r="M313" s="25" t="s">
        <v>442</v>
      </c>
      <c r="N313" s="25" t="s">
        <v>231</v>
      </c>
      <c r="O313" s="25" t="s">
        <v>444</v>
      </c>
      <c r="P313" s="25" t="s">
        <v>94</v>
      </c>
      <c r="Q313" s="25" t="s">
        <v>247</v>
      </c>
    </row>
    <row r="314" spans="1:17" s="25" customFormat="1" hidden="1">
      <c r="A314" s="198">
        <v>6.3474536631944439E-2</v>
      </c>
      <c r="B314" s="25" t="s">
        <v>94</v>
      </c>
      <c r="E314" s="25" t="s">
        <v>105</v>
      </c>
      <c r="G314" s="25" t="s">
        <v>98</v>
      </c>
      <c r="I314" s="196">
        <v>46279.445023148146</v>
      </c>
      <c r="J314" s="25" t="s">
        <v>445</v>
      </c>
      <c r="K314" s="25" t="s">
        <v>443</v>
      </c>
      <c r="L314" s="197">
        <v>46277</v>
      </c>
      <c r="M314" s="25" t="s">
        <v>442</v>
      </c>
      <c r="N314" s="25" t="s">
        <v>231</v>
      </c>
      <c r="O314" s="25" t="s">
        <v>444</v>
      </c>
      <c r="P314" s="25" t="s">
        <v>94</v>
      </c>
      <c r="Q314" s="25" t="s">
        <v>247</v>
      </c>
    </row>
    <row r="315" spans="1:17" s="25" customFormat="1" hidden="1">
      <c r="A315" s="198">
        <v>6.2993371793981484E-2</v>
      </c>
      <c r="B315" s="25" t="s">
        <v>94</v>
      </c>
      <c r="E315" s="25" t="s">
        <v>87</v>
      </c>
      <c r="G315" s="25" t="s">
        <v>98</v>
      </c>
      <c r="I315" s="196">
        <v>46279.444386574076</v>
      </c>
      <c r="J315" s="25" t="s">
        <v>445</v>
      </c>
      <c r="K315" s="25" t="s">
        <v>443</v>
      </c>
      <c r="L315" s="197">
        <v>46277</v>
      </c>
      <c r="M315" s="25" t="s">
        <v>442</v>
      </c>
      <c r="N315" s="25" t="s">
        <v>231</v>
      </c>
      <c r="O315" s="25" t="s">
        <v>444</v>
      </c>
      <c r="P315" s="25" t="s">
        <v>94</v>
      </c>
      <c r="Q315" s="25" t="s">
        <v>247</v>
      </c>
    </row>
    <row r="316" spans="1:17" s="25" customFormat="1" hidden="1">
      <c r="A316" s="198">
        <v>6.2993371793981484E-2</v>
      </c>
      <c r="B316" s="25" t="s">
        <v>94</v>
      </c>
      <c r="E316" s="25" t="s">
        <v>183</v>
      </c>
      <c r="G316" s="25" t="s">
        <v>164</v>
      </c>
      <c r="I316" s="196">
        <v>46279.444363425922</v>
      </c>
      <c r="J316" s="25" t="s">
        <v>445</v>
      </c>
      <c r="K316" s="25" t="s">
        <v>443</v>
      </c>
      <c r="L316" s="197">
        <v>46277</v>
      </c>
      <c r="M316" s="25" t="s">
        <v>442</v>
      </c>
      <c r="N316" s="25" t="s">
        <v>231</v>
      </c>
      <c r="O316" s="25" t="s">
        <v>444</v>
      </c>
      <c r="P316" s="25" t="s">
        <v>94</v>
      </c>
      <c r="Q316" s="25" t="s">
        <v>247</v>
      </c>
    </row>
    <row r="317" spans="1:17" s="25" customFormat="1" hidden="1">
      <c r="A317" s="198">
        <v>6.2929502372685187E-2</v>
      </c>
      <c r="B317" s="25" t="s">
        <v>94</v>
      </c>
      <c r="C317" s="25" t="s">
        <v>490</v>
      </c>
      <c r="E317" s="25" t="s">
        <v>108</v>
      </c>
      <c r="G317" s="25" t="s">
        <v>164</v>
      </c>
      <c r="I317" s="196">
        <v>46279.444155092591</v>
      </c>
      <c r="J317" s="25" t="s">
        <v>445</v>
      </c>
      <c r="K317" s="25" t="s">
        <v>443</v>
      </c>
      <c r="L317" s="197">
        <v>46277</v>
      </c>
      <c r="M317" s="25" t="s">
        <v>442</v>
      </c>
      <c r="N317" s="25" t="s">
        <v>231</v>
      </c>
      <c r="O317" s="25" t="s">
        <v>444</v>
      </c>
      <c r="P317" s="25" t="s">
        <v>94</v>
      </c>
      <c r="Q317" s="25" t="s">
        <v>247</v>
      </c>
    </row>
    <row r="318" spans="1:17" s="25" customFormat="1" hidden="1">
      <c r="A318" s="198">
        <v>6.2923658379629627E-2</v>
      </c>
      <c r="B318" s="25" t="s">
        <v>94</v>
      </c>
      <c r="C318" s="25" t="s">
        <v>475</v>
      </c>
      <c r="E318" s="25" t="s">
        <v>59</v>
      </c>
      <c r="G318" s="25" t="s">
        <v>164</v>
      </c>
      <c r="I318" s="196">
        <v>46279.444085648145</v>
      </c>
      <c r="J318" s="25" t="s">
        <v>445</v>
      </c>
      <c r="K318" s="25" t="s">
        <v>443</v>
      </c>
      <c r="L318" s="197">
        <v>46277</v>
      </c>
      <c r="M318" s="25" t="s">
        <v>442</v>
      </c>
      <c r="N318" s="25" t="s">
        <v>231</v>
      </c>
      <c r="O318" s="25" t="s">
        <v>444</v>
      </c>
      <c r="P318" s="25" t="s">
        <v>94</v>
      </c>
      <c r="Q318" s="25" t="s">
        <v>247</v>
      </c>
    </row>
    <row r="319" spans="1:17" s="25" customFormat="1" hidden="1">
      <c r="A319" s="198">
        <v>6.2896984432870368E-2</v>
      </c>
      <c r="B319" s="25" t="s">
        <v>94</v>
      </c>
      <c r="C319" s="25" t="s">
        <v>491</v>
      </c>
      <c r="E319" s="25" t="s">
        <v>496</v>
      </c>
      <c r="G319" s="25" t="s">
        <v>98</v>
      </c>
      <c r="I319" s="196">
        <v>46279.435104166667</v>
      </c>
      <c r="J319" s="25" t="s">
        <v>445</v>
      </c>
      <c r="K319" s="25" t="s">
        <v>443</v>
      </c>
      <c r="L319" s="197">
        <v>46277</v>
      </c>
      <c r="M319" s="25" t="s">
        <v>442</v>
      </c>
      <c r="N319" s="25" t="s">
        <v>231</v>
      </c>
      <c r="O319" s="25" t="s">
        <v>444</v>
      </c>
      <c r="P319" s="25" t="s">
        <v>94</v>
      </c>
      <c r="Q319" s="25" t="s">
        <v>247</v>
      </c>
    </row>
    <row r="320" spans="1:17" s="25" customFormat="1" hidden="1">
      <c r="A320" s="198">
        <v>6.2892703391203703E-2</v>
      </c>
      <c r="B320" s="25" t="s">
        <v>94</v>
      </c>
      <c r="E320" s="25" t="s">
        <v>108</v>
      </c>
      <c r="G320" s="25" t="s">
        <v>98</v>
      </c>
      <c r="I320" s="196">
        <v>46279.410185185188</v>
      </c>
      <c r="J320" s="25" t="s">
        <v>445</v>
      </c>
      <c r="K320" s="25" t="s">
        <v>443</v>
      </c>
      <c r="L320" s="197">
        <v>46277</v>
      </c>
      <c r="M320" s="25" t="s">
        <v>442</v>
      </c>
      <c r="N320" s="25" t="s">
        <v>231</v>
      </c>
      <c r="O320" s="25" t="s">
        <v>444</v>
      </c>
      <c r="P320" s="25" t="s">
        <v>94</v>
      </c>
      <c r="Q320" s="25" t="s">
        <v>247</v>
      </c>
    </row>
    <row r="321" spans="1:17" s="25" customFormat="1" hidden="1">
      <c r="A321" s="198">
        <v>6.2892703391203703E-2</v>
      </c>
      <c r="B321" s="25" t="s">
        <v>94</v>
      </c>
      <c r="E321" s="25" t="s">
        <v>59</v>
      </c>
      <c r="G321" s="25" t="s">
        <v>98</v>
      </c>
      <c r="I321" s="196">
        <v>46279.410162037035</v>
      </c>
      <c r="J321" s="25" t="s">
        <v>445</v>
      </c>
      <c r="K321" s="25" t="s">
        <v>443</v>
      </c>
      <c r="L321" s="197">
        <v>46277</v>
      </c>
      <c r="M321" s="25" t="s">
        <v>442</v>
      </c>
      <c r="N321" s="25" t="s">
        <v>231</v>
      </c>
      <c r="O321" s="25" t="s">
        <v>444</v>
      </c>
      <c r="P321" s="25" t="s">
        <v>94</v>
      </c>
      <c r="Q321" s="25" t="s">
        <v>247</v>
      </c>
    </row>
    <row r="322" spans="1:17" s="25" customFormat="1" hidden="1">
      <c r="A322" s="198">
        <v>6.2852345416666663E-2</v>
      </c>
      <c r="B322" s="25" t="s">
        <v>94</v>
      </c>
      <c r="E322" s="25" t="s">
        <v>108</v>
      </c>
      <c r="G322" s="25" t="s">
        <v>98</v>
      </c>
      <c r="I322" s="196">
        <v>46279.410092592596</v>
      </c>
      <c r="J322" s="25" t="s">
        <v>445</v>
      </c>
      <c r="K322" s="25" t="s">
        <v>443</v>
      </c>
      <c r="L322" s="197">
        <v>46277</v>
      </c>
      <c r="M322" s="25" t="s">
        <v>442</v>
      </c>
      <c r="N322" s="25" t="s">
        <v>231</v>
      </c>
      <c r="O322" s="25" t="s">
        <v>444</v>
      </c>
      <c r="P322" s="25" t="s">
        <v>94</v>
      </c>
      <c r="Q322" s="25" t="s">
        <v>247</v>
      </c>
    </row>
    <row r="323" spans="1:17" s="25" customFormat="1" hidden="1">
      <c r="A323" s="198">
        <v>6.2788878148148139E-2</v>
      </c>
      <c r="B323" s="25" t="s">
        <v>94</v>
      </c>
      <c r="E323" s="25" t="s">
        <v>186</v>
      </c>
      <c r="G323" s="25" t="s">
        <v>98</v>
      </c>
      <c r="I323" s="196">
        <v>46279.409988425927</v>
      </c>
      <c r="J323" s="25" t="s">
        <v>445</v>
      </c>
      <c r="K323" s="25" t="s">
        <v>443</v>
      </c>
      <c r="L323" s="197">
        <v>46277</v>
      </c>
      <c r="M323" s="25" t="s">
        <v>442</v>
      </c>
      <c r="N323" s="25" t="s">
        <v>231</v>
      </c>
      <c r="O323" s="25" t="s">
        <v>444</v>
      </c>
      <c r="P323" s="25" t="s">
        <v>94</v>
      </c>
      <c r="Q323" s="25" t="s">
        <v>247</v>
      </c>
    </row>
    <row r="324" spans="1:17" s="25" customFormat="1" hidden="1">
      <c r="A324" s="198">
        <v>6.2748235185185186E-2</v>
      </c>
      <c r="B324" s="25" t="s">
        <v>94</v>
      </c>
      <c r="E324" s="25" t="s">
        <v>184</v>
      </c>
      <c r="G324" s="25" t="s">
        <v>164</v>
      </c>
      <c r="I324" s="196">
        <v>46279.409918981481</v>
      </c>
      <c r="J324" s="25" t="s">
        <v>445</v>
      </c>
      <c r="K324" s="25" t="s">
        <v>443</v>
      </c>
      <c r="L324" s="197">
        <v>46277</v>
      </c>
      <c r="M324" s="25" t="s">
        <v>442</v>
      </c>
      <c r="N324" s="25" t="s">
        <v>231</v>
      </c>
      <c r="O324" s="25" t="s">
        <v>444</v>
      </c>
      <c r="P324" s="25" t="s">
        <v>94</v>
      </c>
      <c r="Q324" s="25" t="s">
        <v>247</v>
      </c>
    </row>
    <row r="325" spans="1:17" s="25" customFormat="1" hidden="1">
      <c r="A325" s="198">
        <v>6.2505127268518521E-2</v>
      </c>
      <c r="B325" s="25" t="s">
        <v>94</v>
      </c>
      <c r="E325" s="25" t="s">
        <v>188</v>
      </c>
      <c r="G325" s="25" t="s">
        <v>164</v>
      </c>
      <c r="I325" s="196">
        <v>46279.409629629627</v>
      </c>
      <c r="J325" s="25" t="s">
        <v>445</v>
      </c>
      <c r="K325" s="25" t="s">
        <v>443</v>
      </c>
      <c r="L325" s="197">
        <v>46277</v>
      </c>
      <c r="M325" s="25" t="s">
        <v>442</v>
      </c>
      <c r="N325" s="25" t="s">
        <v>231</v>
      </c>
      <c r="O325" s="25" t="s">
        <v>444</v>
      </c>
      <c r="P325" s="25" t="s">
        <v>94</v>
      </c>
      <c r="Q325" s="25" t="s">
        <v>247</v>
      </c>
    </row>
    <row r="326" spans="1:17" s="25" customFormat="1" hidden="1">
      <c r="A326" s="198">
        <v>6.2464566423611111E-2</v>
      </c>
      <c r="B326" s="25" t="s">
        <v>94</v>
      </c>
      <c r="E326" s="25" t="s">
        <v>184</v>
      </c>
      <c r="G326" s="25" t="s">
        <v>98</v>
      </c>
      <c r="I326" s="196">
        <v>46279.409548611111</v>
      </c>
      <c r="J326" s="25" t="s">
        <v>445</v>
      </c>
      <c r="K326" s="25" t="s">
        <v>443</v>
      </c>
      <c r="L326" s="197">
        <v>46277</v>
      </c>
      <c r="M326" s="25" t="s">
        <v>442</v>
      </c>
      <c r="N326" s="25" t="s">
        <v>231</v>
      </c>
      <c r="O326" s="25" t="s">
        <v>444</v>
      </c>
      <c r="P326" s="25" t="s">
        <v>94</v>
      </c>
      <c r="Q326" s="25" t="s">
        <v>247</v>
      </c>
    </row>
    <row r="327" spans="1:17" s="25" customFormat="1" hidden="1">
      <c r="A327" s="198">
        <v>6.2435652013888884E-2</v>
      </c>
      <c r="B327" s="25" t="s">
        <v>94</v>
      </c>
      <c r="E327" s="25" t="s">
        <v>186</v>
      </c>
      <c r="G327" s="25" t="s">
        <v>98</v>
      </c>
      <c r="I327" s="196">
        <v>46279.409432870372</v>
      </c>
      <c r="J327" s="25" t="s">
        <v>445</v>
      </c>
      <c r="K327" s="25" t="s">
        <v>443</v>
      </c>
      <c r="L327" s="197">
        <v>46277</v>
      </c>
      <c r="M327" s="25" t="s">
        <v>442</v>
      </c>
      <c r="N327" s="25" t="s">
        <v>231</v>
      </c>
      <c r="O327" s="25" t="s">
        <v>444</v>
      </c>
      <c r="P327" s="25" t="s">
        <v>94</v>
      </c>
      <c r="Q327" s="25" t="s">
        <v>247</v>
      </c>
    </row>
    <row r="328" spans="1:17" s="25" customFormat="1" hidden="1">
      <c r="A328" s="198">
        <v>6.2420419120370364E-2</v>
      </c>
      <c r="B328" s="25" t="s">
        <v>94</v>
      </c>
      <c r="E328" s="25" t="s">
        <v>101</v>
      </c>
      <c r="G328" s="25" t="s">
        <v>164</v>
      </c>
      <c r="I328" s="196">
        <v>46279.409386574072</v>
      </c>
      <c r="J328" s="25" t="s">
        <v>445</v>
      </c>
      <c r="K328" s="25" t="s">
        <v>443</v>
      </c>
      <c r="L328" s="197">
        <v>46277</v>
      </c>
      <c r="M328" s="25" t="s">
        <v>442</v>
      </c>
      <c r="N328" s="25" t="s">
        <v>231</v>
      </c>
      <c r="O328" s="25" t="s">
        <v>444</v>
      </c>
      <c r="P328" s="25" t="s">
        <v>94</v>
      </c>
      <c r="Q328" s="25" t="s">
        <v>247</v>
      </c>
    </row>
    <row r="329" spans="1:17" s="25" customFormat="1" hidden="1">
      <c r="A329" s="198">
        <v>6.2153572094907412E-2</v>
      </c>
      <c r="B329" s="25" t="s">
        <v>94</v>
      </c>
      <c r="E329" s="25" t="s">
        <v>87</v>
      </c>
      <c r="G329" s="25" t="s">
        <v>164</v>
      </c>
      <c r="I329" s="196">
        <v>46279.408842592595</v>
      </c>
      <c r="J329" s="25" t="s">
        <v>445</v>
      </c>
      <c r="K329" s="25" t="s">
        <v>443</v>
      </c>
      <c r="L329" s="197">
        <v>46277</v>
      </c>
      <c r="M329" s="25" t="s">
        <v>442</v>
      </c>
      <c r="N329" s="25" t="s">
        <v>231</v>
      </c>
      <c r="O329" s="25" t="s">
        <v>444</v>
      </c>
      <c r="P329" s="25" t="s">
        <v>94</v>
      </c>
      <c r="Q329" s="25" t="s">
        <v>247</v>
      </c>
    </row>
    <row r="330" spans="1:17" s="25" customFormat="1" hidden="1">
      <c r="A330" s="198">
        <v>6.2153572094907412E-2</v>
      </c>
      <c r="B330" s="25" t="s">
        <v>94</v>
      </c>
      <c r="C330" s="25" t="s">
        <v>493</v>
      </c>
      <c r="E330" s="25" t="s">
        <v>214</v>
      </c>
      <c r="F330" s="25" t="s">
        <v>207</v>
      </c>
      <c r="G330" s="25" t="s">
        <v>164</v>
      </c>
      <c r="I330" s="196">
        <v>46279.408842592595</v>
      </c>
      <c r="J330" s="25" t="s">
        <v>445</v>
      </c>
      <c r="K330" s="25" t="s">
        <v>443</v>
      </c>
      <c r="L330" s="197">
        <v>46277</v>
      </c>
      <c r="M330" s="25" t="s">
        <v>442</v>
      </c>
      <c r="N330" s="25" t="s">
        <v>231</v>
      </c>
      <c r="O330" s="25" t="s">
        <v>444</v>
      </c>
      <c r="P330" s="25" t="s">
        <v>94</v>
      </c>
      <c r="Q330" s="25" t="s">
        <v>247</v>
      </c>
    </row>
    <row r="331" spans="1:17" s="25" customFormat="1" hidden="1">
      <c r="A331" s="198">
        <v>6.2078199756944445E-2</v>
      </c>
      <c r="B331" s="25" t="s">
        <v>94</v>
      </c>
      <c r="E331" s="25" t="s">
        <v>188</v>
      </c>
      <c r="G331" s="25" t="s">
        <v>164</v>
      </c>
      <c r="I331" s="196">
        <v>46279.408668981479</v>
      </c>
      <c r="J331" s="25" t="s">
        <v>445</v>
      </c>
      <c r="K331" s="25" t="s">
        <v>443</v>
      </c>
      <c r="L331" s="197">
        <v>46277</v>
      </c>
      <c r="M331" s="25" t="s">
        <v>442</v>
      </c>
      <c r="N331" s="25" t="s">
        <v>231</v>
      </c>
      <c r="O331" s="25" t="s">
        <v>444</v>
      </c>
      <c r="P331" s="25" t="s">
        <v>94</v>
      </c>
      <c r="Q331" s="25" t="s">
        <v>247</v>
      </c>
    </row>
    <row r="332" spans="1:17" s="25" customFormat="1" hidden="1">
      <c r="A332" s="198">
        <v>6.2037716469907404E-2</v>
      </c>
      <c r="B332" s="25" t="s">
        <v>94</v>
      </c>
      <c r="E332" s="25" t="s">
        <v>184</v>
      </c>
      <c r="G332" s="25" t="s">
        <v>98</v>
      </c>
      <c r="I332" s="196">
        <v>46279.408587962964</v>
      </c>
      <c r="J332" s="25" t="s">
        <v>445</v>
      </c>
      <c r="K332" s="25" t="s">
        <v>443</v>
      </c>
      <c r="L332" s="197">
        <v>46277</v>
      </c>
      <c r="M332" s="25" t="s">
        <v>442</v>
      </c>
      <c r="N332" s="25" t="s">
        <v>231</v>
      </c>
      <c r="O332" s="25" t="s">
        <v>444</v>
      </c>
      <c r="P332" s="25" t="s">
        <v>94</v>
      </c>
      <c r="Q332" s="25" t="s">
        <v>247</v>
      </c>
    </row>
    <row r="333" spans="1:17" s="25" customFormat="1" hidden="1">
      <c r="A333" s="198">
        <v>6.1974019594907413E-2</v>
      </c>
      <c r="B333" s="25" t="s">
        <v>94</v>
      </c>
      <c r="E333" s="25" t="s">
        <v>183</v>
      </c>
      <c r="G333" s="25" t="s">
        <v>164</v>
      </c>
      <c r="I333" s="196">
        <v>46279.408472222225</v>
      </c>
      <c r="J333" s="25" t="s">
        <v>445</v>
      </c>
      <c r="K333" s="25" t="s">
        <v>443</v>
      </c>
      <c r="L333" s="197">
        <v>46277</v>
      </c>
      <c r="M333" s="25" t="s">
        <v>442</v>
      </c>
      <c r="N333" s="25" t="s">
        <v>231</v>
      </c>
      <c r="O333" s="25" t="s">
        <v>444</v>
      </c>
      <c r="P333" s="25" t="s">
        <v>94</v>
      </c>
      <c r="Q333" s="25" t="s">
        <v>247</v>
      </c>
    </row>
    <row r="334" spans="1:17" s="25" customFormat="1" hidden="1">
      <c r="A334" s="198">
        <v>6.1921022546296299E-2</v>
      </c>
      <c r="B334" s="25" t="s">
        <v>94</v>
      </c>
      <c r="C334" s="25" t="s">
        <v>82</v>
      </c>
      <c r="E334" s="25" t="s">
        <v>113</v>
      </c>
      <c r="G334" s="25" t="s">
        <v>164</v>
      </c>
      <c r="I334" s="196">
        <v>46279.408460648148</v>
      </c>
      <c r="J334" s="25" t="s">
        <v>445</v>
      </c>
      <c r="K334" s="25" t="s">
        <v>443</v>
      </c>
      <c r="L334" s="197">
        <v>46277</v>
      </c>
      <c r="M334" s="25" t="s">
        <v>442</v>
      </c>
      <c r="N334" s="25" t="s">
        <v>231</v>
      </c>
      <c r="O334" s="25" t="s">
        <v>444</v>
      </c>
      <c r="P334" s="25" t="s">
        <v>94</v>
      </c>
      <c r="Q334" s="25" t="s">
        <v>247</v>
      </c>
    </row>
    <row r="335" spans="1:17" s="25" customFormat="1" hidden="1">
      <c r="A335" s="198">
        <v>6.1736613541666673E-2</v>
      </c>
      <c r="B335" s="25" t="s">
        <v>94</v>
      </c>
      <c r="E335" s="25" t="s">
        <v>104</v>
      </c>
      <c r="G335" s="25" t="s">
        <v>98</v>
      </c>
      <c r="I335" s="196">
        <v>46279.408101851855</v>
      </c>
      <c r="J335" s="25" t="s">
        <v>445</v>
      </c>
      <c r="K335" s="25" t="s">
        <v>443</v>
      </c>
      <c r="L335" s="197">
        <v>46277</v>
      </c>
      <c r="M335" s="25" t="s">
        <v>442</v>
      </c>
      <c r="N335" s="25" t="s">
        <v>231</v>
      </c>
      <c r="O335" s="25" t="s">
        <v>444</v>
      </c>
      <c r="P335" s="25" t="s">
        <v>94</v>
      </c>
      <c r="Q335" s="25" t="s">
        <v>247</v>
      </c>
    </row>
    <row r="336" spans="1:17" s="25" customFormat="1" hidden="1">
      <c r="A336" s="198">
        <v>6.1311658275462956E-2</v>
      </c>
      <c r="B336" s="25" t="s">
        <v>94</v>
      </c>
      <c r="E336" s="25" t="s">
        <v>87</v>
      </c>
      <c r="G336" s="25" t="s">
        <v>98</v>
      </c>
      <c r="I336" s="196">
        <v>46279.407824074071</v>
      </c>
      <c r="J336" s="25" t="s">
        <v>445</v>
      </c>
      <c r="K336" s="25" t="s">
        <v>443</v>
      </c>
      <c r="L336" s="197">
        <v>46277</v>
      </c>
      <c r="M336" s="25" t="s">
        <v>442</v>
      </c>
      <c r="N336" s="25" t="s">
        <v>231</v>
      </c>
      <c r="O336" s="25" t="s">
        <v>444</v>
      </c>
      <c r="P336" s="25" t="s">
        <v>94</v>
      </c>
      <c r="Q336" s="25" t="s">
        <v>247</v>
      </c>
    </row>
    <row r="337" spans="1:17" s="25" customFormat="1" hidden="1">
      <c r="A337" s="198">
        <v>6.1259517233796294E-2</v>
      </c>
      <c r="B337" s="25" t="s">
        <v>94</v>
      </c>
      <c r="E337" s="25" t="s">
        <v>108</v>
      </c>
      <c r="G337" s="25" t="s">
        <v>98</v>
      </c>
      <c r="I337" s="196">
        <v>46279.407708333332</v>
      </c>
      <c r="J337" s="25" t="s">
        <v>445</v>
      </c>
      <c r="K337" s="25" t="s">
        <v>443</v>
      </c>
      <c r="L337" s="197">
        <v>46277</v>
      </c>
      <c r="M337" s="25" t="s">
        <v>442</v>
      </c>
      <c r="N337" s="25" t="s">
        <v>231</v>
      </c>
      <c r="O337" s="25" t="s">
        <v>444</v>
      </c>
      <c r="P337" s="25" t="s">
        <v>94</v>
      </c>
      <c r="Q337" s="25" t="s">
        <v>247</v>
      </c>
    </row>
    <row r="338" spans="1:17" s="25" customFormat="1" hidden="1">
      <c r="A338" s="198">
        <v>6.1241998217592596E-2</v>
      </c>
      <c r="B338" s="25" t="s">
        <v>94</v>
      </c>
      <c r="E338" s="25" t="s">
        <v>108</v>
      </c>
      <c r="G338" s="25" t="s">
        <v>98</v>
      </c>
      <c r="I338" s="196">
        <v>46279.407650462963</v>
      </c>
      <c r="J338" s="25" t="s">
        <v>445</v>
      </c>
      <c r="K338" s="25" t="s">
        <v>443</v>
      </c>
      <c r="L338" s="197">
        <v>46277</v>
      </c>
      <c r="M338" s="25" t="s">
        <v>442</v>
      </c>
      <c r="N338" s="25" t="s">
        <v>231</v>
      </c>
      <c r="O338" s="25" t="s">
        <v>444</v>
      </c>
      <c r="P338" s="25" t="s">
        <v>94</v>
      </c>
      <c r="Q338" s="25" t="s">
        <v>247</v>
      </c>
    </row>
    <row r="339" spans="1:17" s="25" customFormat="1" hidden="1">
      <c r="A339" s="198">
        <v>6.1201571585648144E-2</v>
      </c>
      <c r="B339" s="25" t="s">
        <v>94</v>
      </c>
      <c r="E339" s="25" t="s">
        <v>58</v>
      </c>
      <c r="G339" s="25" t="s">
        <v>98</v>
      </c>
      <c r="I339" s="196">
        <v>46279.407569444447</v>
      </c>
      <c r="J339" s="25" t="s">
        <v>445</v>
      </c>
      <c r="K339" s="25" t="s">
        <v>443</v>
      </c>
      <c r="L339" s="197">
        <v>46277</v>
      </c>
      <c r="M339" s="25" t="s">
        <v>442</v>
      </c>
      <c r="N339" s="25" t="s">
        <v>231</v>
      </c>
      <c r="O339" s="25" t="s">
        <v>444</v>
      </c>
      <c r="P339" s="25" t="s">
        <v>94</v>
      </c>
      <c r="Q339" s="25" t="s">
        <v>247</v>
      </c>
    </row>
    <row r="340" spans="1:17" s="25" customFormat="1" hidden="1">
      <c r="A340" s="198">
        <v>6.1137576249999999E-2</v>
      </c>
      <c r="B340" s="25" t="s">
        <v>94</v>
      </c>
      <c r="E340" s="25" t="s">
        <v>108</v>
      </c>
      <c r="G340" s="25" t="s">
        <v>98</v>
      </c>
      <c r="I340" s="196">
        <v>46279.407465277778</v>
      </c>
      <c r="J340" s="25" t="s">
        <v>445</v>
      </c>
      <c r="K340" s="25" t="s">
        <v>443</v>
      </c>
      <c r="L340" s="197">
        <v>46277</v>
      </c>
      <c r="M340" s="25" t="s">
        <v>442</v>
      </c>
      <c r="N340" s="25" t="s">
        <v>231</v>
      </c>
      <c r="O340" s="25" t="s">
        <v>444</v>
      </c>
      <c r="P340" s="25" t="s">
        <v>94</v>
      </c>
      <c r="Q340" s="25" t="s">
        <v>247</v>
      </c>
    </row>
    <row r="341" spans="1:17" s="25" customFormat="1" hidden="1">
      <c r="A341" s="198">
        <v>6.1044795763888889E-2</v>
      </c>
      <c r="B341" s="25" t="s">
        <v>94</v>
      </c>
      <c r="E341" s="25" t="s">
        <v>108</v>
      </c>
      <c r="G341" s="25" t="s">
        <v>98</v>
      </c>
      <c r="I341" s="196">
        <v>46279.407337962963</v>
      </c>
      <c r="J341" s="25" t="s">
        <v>445</v>
      </c>
      <c r="K341" s="25" t="s">
        <v>443</v>
      </c>
      <c r="L341" s="197">
        <v>46277</v>
      </c>
      <c r="M341" s="25" t="s">
        <v>442</v>
      </c>
      <c r="N341" s="25" t="s">
        <v>231</v>
      </c>
      <c r="O341" s="25" t="s">
        <v>444</v>
      </c>
      <c r="P341" s="25" t="s">
        <v>94</v>
      </c>
      <c r="Q341" s="25" t="s">
        <v>247</v>
      </c>
    </row>
    <row r="342" spans="1:17" s="25" customFormat="1" hidden="1">
      <c r="A342" s="198">
        <v>6.0981086550925927E-2</v>
      </c>
      <c r="B342" s="25" t="s">
        <v>94</v>
      </c>
      <c r="E342" s="25" t="s">
        <v>108</v>
      </c>
      <c r="G342" s="25" t="s">
        <v>98</v>
      </c>
      <c r="I342" s="196">
        <v>46279.40724537037</v>
      </c>
      <c r="J342" s="25" t="s">
        <v>445</v>
      </c>
      <c r="K342" s="25" t="s">
        <v>443</v>
      </c>
      <c r="L342" s="197">
        <v>46277</v>
      </c>
      <c r="M342" s="25" t="s">
        <v>442</v>
      </c>
      <c r="N342" s="25" t="s">
        <v>231</v>
      </c>
      <c r="O342" s="25" t="s">
        <v>444</v>
      </c>
      <c r="P342" s="25" t="s">
        <v>94</v>
      </c>
      <c r="Q342" s="25" t="s">
        <v>247</v>
      </c>
    </row>
    <row r="343" spans="1:17" s="25" customFormat="1" hidden="1">
      <c r="A343" s="198">
        <v>6.0901653124999997E-2</v>
      </c>
      <c r="B343" s="25" t="s">
        <v>94</v>
      </c>
      <c r="E343" s="25" t="s">
        <v>279</v>
      </c>
      <c r="G343" s="25" t="s">
        <v>98</v>
      </c>
      <c r="I343" s="196">
        <v>46279.407118055555</v>
      </c>
      <c r="J343" s="25" t="s">
        <v>445</v>
      </c>
      <c r="K343" s="25" t="s">
        <v>443</v>
      </c>
      <c r="L343" s="197">
        <v>46277</v>
      </c>
      <c r="M343" s="25" t="s">
        <v>442</v>
      </c>
      <c r="N343" s="25" t="s">
        <v>231</v>
      </c>
      <c r="O343" s="25" t="s">
        <v>444</v>
      </c>
      <c r="P343" s="25" t="s">
        <v>94</v>
      </c>
      <c r="Q343" s="25" t="s">
        <v>247</v>
      </c>
    </row>
    <row r="344" spans="1:17" s="25" customFormat="1" hidden="1">
      <c r="A344" s="198">
        <v>6.0852504201388886E-2</v>
      </c>
      <c r="B344" s="25" t="s">
        <v>94</v>
      </c>
      <c r="E344" s="25" t="s">
        <v>105</v>
      </c>
      <c r="G344" s="25" t="s">
        <v>98</v>
      </c>
      <c r="I344" s="196">
        <v>46279.407071759262</v>
      </c>
      <c r="J344" s="25" t="s">
        <v>445</v>
      </c>
      <c r="K344" s="25" t="s">
        <v>443</v>
      </c>
      <c r="L344" s="197">
        <v>46277</v>
      </c>
      <c r="M344" s="25" t="s">
        <v>442</v>
      </c>
      <c r="N344" s="25" t="s">
        <v>231</v>
      </c>
      <c r="O344" s="25" t="s">
        <v>444</v>
      </c>
      <c r="P344" s="25" t="s">
        <v>94</v>
      </c>
      <c r="Q344" s="25" t="s">
        <v>247</v>
      </c>
    </row>
    <row r="345" spans="1:17" s="25" customFormat="1" hidden="1">
      <c r="A345" s="198">
        <v>6.0249110925925921E-2</v>
      </c>
      <c r="B345" s="25" t="s">
        <v>94</v>
      </c>
      <c r="E345" s="25" t="s">
        <v>87</v>
      </c>
      <c r="G345" s="25" t="s">
        <v>98</v>
      </c>
      <c r="I345" s="196">
        <v>46279.406886574077</v>
      </c>
      <c r="J345" s="25" t="s">
        <v>445</v>
      </c>
      <c r="K345" s="25" t="s">
        <v>443</v>
      </c>
      <c r="L345" s="197">
        <v>46277</v>
      </c>
      <c r="M345" s="25" t="s">
        <v>442</v>
      </c>
      <c r="N345" s="25" t="s">
        <v>231</v>
      </c>
      <c r="O345" s="25" t="s">
        <v>444</v>
      </c>
      <c r="P345" s="25" t="s">
        <v>94</v>
      </c>
      <c r="Q345" s="25" t="s">
        <v>247</v>
      </c>
    </row>
    <row r="346" spans="1:17" s="25" customFormat="1" hidden="1">
      <c r="A346" s="111">
        <v>6.0194785046296294E-2</v>
      </c>
      <c r="B346" t="s">
        <v>94</v>
      </c>
      <c r="C346"/>
      <c r="D346"/>
      <c r="E346" t="s">
        <v>275</v>
      </c>
      <c r="F346"/>
      <c r="G346" t="s">
        <v>164</v>
      </c>
      <c r="H346"/>
      <c r="I346" s="158">
        <v>46279.406157407408</v>
      </c>
      <c r="J346" t="s">
        <v>445</v>
      </c>
      <c r="K346" t="s">
        <v>443</v>
      </c>
      <c r="L346" s="157">
        <v>46277</v>
      </c>
      <c r="M346" t="s">
        <v>442</v>
      </c>
      <c r="N346" t="s">
        <v>231</v>
      </c>
      <c r="O346" t="s">
        <v>444</v>
      </c>
      <c r="P346" t="s">
        <v>94</v>
      </c>
      <c r="Q346" t="s">
        <v>247</v>
      </c>
    </row>
    <row r="347" spans="1:17" s="25" customFormat="1" hidden="1">
      <c r="A347" s="111">
        <v>6.013407635416667E-2</v>
      </c>
      <c r="B347" t="s">
        <v>94</v>
      </c>
      <c r="C347"/>
      <c r="D347"/>
      <c r="E347" t="s">
        <v>104</v>
      </c>
      <c r="F347"/>
      <c r="G347" t="s">
        <v>164</v>
      </c>
      <c r="H347"/>
      <c r="I347" s="158">
        <v>46279.406087962961</v>
      </c>
      <c r="J347" t="s">
        <v>445</v>
      </c>
      <c r="K347" t="s">
        <v>443</v>
      </c>
      <c r="L347" s="157">
        <v>46277</v>
      </c>
      <c r="M347" t="s">
        <v>442</v>
      </c>
      <c r="N347" t="s">
        <v>231</v>
      </c>
      <c r="O347" t="s">
        <v>444</v>
      </c>
      <c r="P347" t="s">
        <v>94</v>
      </c>
      <c r="Q347" t="s">
        <v>247</v>
      </c>
    </row>
    <row r="348" spans="1:17" s="25" customFormat="1" hidden="1">
      <c r="A348" s="111">
        <v>5.9297361909722221E-2</v>
      </c>
      <c r="B348" t="s">
        <v>94</v>
      </c>
      <c r="C348"/>
      <c r="D348"/>
      <c r="E348" t="s">
        <v>87</v>
      </c>
      <c r="F348"/>
      <c r="G348" t="s">
        <v>164</v>
      </c>
      <c r="H348"/>
      <c r="I348" s="158">
        <v>46279.405694444446</v>
      </c>
      <c r="J348" t="s">
        <v>445</v>
      </c>
      <c r="K348" t="s">
        <v>443</v>
      </c>
      <c r="L348" s="157">
        <v>46277</v>
      </c>
      <c r="M348" t="s">
        <v>442</v>
      </c>
      <c r="N348" t="s">
        <v>231</v>
      </c>
      <c r="O348" t="s">
        <v>444</v>
      </c>
      <c r="P348" t="s">
        <v>94</v>
      </c>
      <c r="Q348" t="s">
        <v>247</v>
      </c>
    </row>
    <row r="349" spans="1:17" s="25" customFormat="1" hidden="1">
      <c r="A349" s="111">
        <v>5.9297361909722221E-2</v>
      </c>
      <c r="B349" t="s">
        <v>94</v>
      </c>
      <c r="C349" t="s">
        <v>497</v>
      </c>
      <c r="D349" t="s">
        <v>204</v>
      </c>
      <c r="E349" t="s">
        <v>214</v>
      </c>
      <c r="F349" t="s">
        <v>133</v>
      </c>
      <c r="G349" t="s">
        <v>164</v>
      </c>
      <c r="H349"/>
      <c r="I349" s="158">
        <v>46279.405694444446</v>
      </c>
      <c r="J349" t="s">
        <v>445</v>
      </c>
      <c r="K349" t="s">
        <v>443</v>
      </c>
      <c r="L349" s="157">
        <v>46277</v>
      </c>
      <c r="M349" t="s">
        <v>442</v>
      </c>
      <c r="N349" t="s">
        <v>231</v>
      </c>
      <c r="O349" t="s">
        <v>444</v>
      </c>
      <c r="P349" t="s">
        <v>94</v>
      </c>
      <c r="Q349" t="s">
        <v>247</v>
      </c>
    </row>
    <row r="350" spans="1:17" s="25" customFormat="1" hidden="1">
      <c r="A350" s="111">
        <v>5.9269334432870371E-2</v>
      </c>
      <c r="B350" t="s">
        <v>94</v>
      </c>
      <c r="C350" t="s">
        <v>490</v>
      </c>
      <c r="D350"/>
      <c r="E350" t="s">
        <v>108</v>
      </c>
      <c r="F350"/>
      <c r="G350" t="s">
        <v>164</v>
      </c>
      <c r="H350"/>
      <c r="I350" s="158">
        <v>46279.405428240738</v>
      </c>
      <c r="J350" t="s">
        <v>445</v>
      </c>
      <c r="K350" t="s">
        <v>443</v>
      </c>
      <c r="L350" s="157">
        <v>46277</v>
      </c>
      <c r="M350" t="s">
        <v>442</v>
      </c>
      <c r="N350" t="s">
        <v>231</v>
      </c>
      <c r="O350" t="s">
        <v>444</v>
      </c>
      <c r="P350" t="s">
        <v>94</v>
      </c>
      <c r="Q350" t="s">
        <v>247</v>
      </c>
    </row>
    <row r="351" spans="1:17" s="25" customFormat="1" hidden="1">
      <c r="A351" s="111">
        <v>5.9147926261574071E-2</v>
      </c>
      <c r="B351" t="s">
        <v>94</v>
      </c>
      <c r="C351" t="s">
        <v>497</v>
      </c>
      <c r="D351"/>
      <c r="E351" t="s">
        <v>133</v>
      </c>
      <c r="F351"/>
      <c r="G351" t="s">
        <v>164</v>
      </c>
      <c r="H351"/>
      <c r="I351" s="158">
        <v>46279.405127314814</v>
      </c>
      <c r="J351" t="s">
        <v>445</v>
      </c>
      <c r="K351" t="s">
        <v>443</v>
      </c>
      <c r="L351" s="157">
        <v>46277</v>
      </c>
      <c r="M351" t="s">
        <v>442</v>
      </c>
      <c r="N351" t="s">
        <v>231</v>
      </c>
      <c r="O351" t="s">
        <v>444</v>
      </c>
      <c r="P351" t="s">
        <v>94</v>
      </c>
      <c r="Q351" t="s">
        <v>247</v>
      </c>
    </row>
    <row r="352" spans="1:17" s="25" customFormat="1" hidden="1">
      <c r="A352" s="111">
        <v>5.9147926261574071E-2</v>
      </c>
      <c r="B352" t="s">
        <v>94</v>
      </c>
      <c r="C352" t="s">
        <v>449</v>
      </c>
      <c r="D352"/>
      <c r="E352" t="s">
        <v>133</v>
      </c>
      <c r="F352"/>
      <c r="G352" t="s">
        <v>164</v>
      </c>
      <c r="H352"/>
      <c r="I352" s="158">
        <v>46279.405115740738</v>
      </c>
      <c r="J352" t="s">
        <v>445</v>
      </c>
      <c r="K352" t="s">
        <v>443</v>
      </c>
      <c r="L352" s="157">
        <v>46277</v>
      </c>
      <c r="M352" t="s">
        <v>442</v>
      </c>
      <c r="N352" t="s">
        <v>231</v>
      </c>
      <c r="O352" t="s">
        <v>444</v>
      </c>
      <c r="P352" t="s">
        <v>94</v>
      </c>
      <c r="Q352" t="s">
        <v>247</v>
      </c>
    </row>
    <row r="353" spans="1:17" s="25" customFormat="1" hidden="1">
      <c r="A353" s="111">
        <v>5.9128758587962967E-2</v>
      </c>
      <c r="B353" t="s">
        <v>94</v>
      </c>
      <c r="C353" t="s">
        <v>451</v>
      </c>
      <c r="D353"/>
      <c r="E353" t="s">
        <v>59</v>
      </c>
      <c r="F353"/>
      <c r="G353" t="s">
        <v>164</v>
      </c>
      <c r="H353"/>
      <c r="I353" s="158">
        <v>46279.404629629629</v>
      </c>
      <c r="J353" t="s">
        <v>445</v>
      </c>
      <c r="K353" t="s">
        <v>443</v>
      </c>
      <c r="L353" s="157">
        <v>46277</v>
      </c>
      <c r="M353" t="s">
        <v>442</v>
      </c>
      <c r="N353" t="s">
        <v>231</v>
      </c>
      <c r="O353" t="s">
        <v>444</v>
      </c>
      <c r="P353" t="s">
        <v>94</v>
      </c>
      <c r="Q353" t="s">
        <v>247</v>
      </c>
    </row>
    <row r="354" spans="1:17" s="25" customFormat="1" hidden="1">
      <c r="A354" s="111">
        <v>5.909544193287037E-2</v>
      </c>
      <c r="B354" t="s">
        <v>94</v>
      </c>
      <c r="C354"/>
      <c r="D354"/>
      <c r="E354" t="s">
        <v>188</v>
      </c>
      <c r="F354"/>
      <c r="G354" t="s">
        <v>164</v>
      </c>
      <c r="H354"/>
      <c r="I354" s="158">
        <v>46279.403958333336</v>
      </c>
      <c r="J354" t="s">
        <v>445</v>
      </c>
      <c r="K354" t="s">
        <v>443</v>
      </c>
      <c r="L354" s="157">
        <v>46277</v>
      </c>
      <c r="M354" t="s">
        <v>442</v>
      </c>
      <c r="N354" t="s">
        <v>231</v>
      </c>
      <c r="O354" t="s">
        <v>444</v>
      </c>
      <c r="P354" t="s">
        <v>94</v>
      </c>
      <c r="Q354" t="s">
        <v>247</v>
      </c>
    </row>
    <row r="355" spans="1:17" s="25" customFormat="1" hidden="1">
      <c r="A355" s="111">
        <v>5.9057496550925931E-2</v>
      </c>
      <c r="B355" t="s">
        <v>94</v>
      </c>
      <c r="C355"/>
      <c r="D355"/>
      <c r="E355" t="s">
        <v>100</v>
      </c>
      <c r="F355"/>
      <c r="G355" t="s">
        <v>98</v>
      </c>
      <c r="H355"/>
      <c r="I355" s="158">
        <v>46279.403877314813</v>
      </c>
      <c r="J355" t="s">
        <v>445</v>
      </c>
      <c r="K355" t="s">
        <v>443</v>
      </c>
      <c r="L355" s="157">
        <v>46277</v>
      </c>
      <c r="M355" t="s">
        <v>442</v>
      </c>
      <c r="N355" t="s">
        <v>231</v>
      </c>
      <c r="O355" t="s">
        <v>444</v>
      </c>
      <c r="P355" t="s">
        <v>94</v>
      </c>
      <c r="Q355" t="s">
        <v>247</v>
      </c>
    </row>
    <row r="356" spans="1:17" s="25" customFormat="1" hidden="1">
      <c r="A356" s="111">
        <v>5.8625262812500002E-2</v>
      </c>
      <c r="B356" t="s">
        <v>94</v>
      </c>
      <c r="C356"/>
      <c r="D356"/>
      <c r="E356" t="s">
        <v>115</v>
      </c>
      <c r="F356"/>
      <c r="G356" t="s">
        <v>164</v>
      </c>
      <c r="H356"/>
      <c r="I356" s="158">
        <v>46279.40247685185</v>
      </c>
      <c r="J356" t="s">
        <v>445</v>
      </c>
      <c r="K356" t="s">
        <v>443</v>
      </c>
      <c r="L356" s="157">
        <v>46277</v>
      </c>
      <c r="M356" t="s">
        <v>442</v>
      </c>
      <c r="N356" t="s">
        <v>231</v>
      </c>
      <c r="O356" t="s">
        <v>444</v>
      </c>
      <c r="P356" t="s">
        <v>94</v>
      </c>
      <c r="Q356" t="s">
        <v>247</v>
      </c>
    </row>
    <row r="357" spans="1:17" s="25" customFormat="1" hidden="1">
      <c r="A357" s="111">
        <v>5.7966999282407401E-2</v>
      </c>
      <c r="B357" t="s">
        <v>94</v>
      </c>
      <c r="C357"/>
      <c r="D357"/>
      <c r="E357" t="s">
        <v>87</v>
      </c>
      <c r="F357"/>
      <c r="G357" t="s">
        <v>164</v>
      </c>
      <c r="H357"/>
      <c r="I357" s="158">
        <v>46279.39099537037</v>
      </c>
      <c r="J357" t="s">
        <v>445</v>
      </c>
      <c r="K357" t="s">
        <v>443</v>
      </c>
      <c r="L357" s="157">
        <v>46277</v>
      </c>
      <c r="M357" t="s">
        <v>442</v>
      </c>
      <c r="N357" t="s">
        <v>231</v>
      </c>
      <c r="O357" t="s">
        <v>444</v>
      </c>
      <c r="P357" t="s">
        <v>94</v>
      </c>
      <c r="Q357" t="s">
        <v>247</v>
      </c>
    </row>
    <row r="358" spans="1:17" s="25" customFormat="1" hidden="1">
      <c r="A358" s="111">
        <v>5.7966999282407401E-2</v>
      </c>
      <c r="B358" t="s">
        <v>94</v>
      </c>
      <c r="C358"/>
      <c r="D358"/>
      <c r="E358" t="s">
        <v>103</v>
      </c>
      <c r="F358"/>
      <c r="G358" t="s">
        <v>164</v>
      </c>
      <c r="H358"/>
      <c r="I358" s="158">
        <v>46279.39099537037</v>
      </c>
      <c r="J358" t="s">
        <v>445</v>
      </c>
      <c r="K358" t="s">
        <v>443</v>
      </c>
      <c r="L358" s="157">
        <v>46277</v>
      </c>
      <c r="M358" t="s">
        <v>442</v>
      </c>
      <c r="N358" t="s">
        <v>231</v>
      </c>
      <c r="O358" t="s">
        <v>444</v>
      </c>
      <c r="P358" t="s">
        <v>94</v>
      </c>
      <c r="Q358" t="s">
        <v>247</v>
      </c>
    </row>
    <row r="359" spans="1:17" s="25" customFormat="1" hidden="1">
      <c r="A359" s="111">
        <v>5.7657073055555549E-2</v>
      </c>
      <c r="B359" t="s">
        <v>94</v>
      </c>
      <c r="C359"/>
      <c r="D359"/>
      <c r="E359" t="s">
        <v>113</v>
      </c>
      <c r="F359"/>
      <c r="G359" t="s">
        <v>164</v>
      </c>
      <c r="H359"/>
      <c r="I359" s="158">
        <v>46279.388865740744</v>
      </c>
      <c r="J359" t="s">
        <v>445</v>
      </c>
      <c r="K359" t="s">
        <v>443</v>
      </c>
      <c r="L359" s="157">
        <v>46277</v>
      </c>
      <c r="M359" t="s">
        <v>442</v>
      </c>
      <c r="N359" t="s">
        <v>231</v>
      </c>
      <c r="O359" t="s">
        <v>444</v>
      </c>
      <c r="P359" t="s">
        <v>94</v>
      </c>
      <c r="Q359" t="s">
        <v>247</v>
      </c>
    </row>
    <row r="360" spans="1:17" s="25" customFormat="1" hidden="1">
      <c r="A360" s="111">
        <v>5.7502305636574068E-2</v>
      </c>
      <c r="B360" t="s">
        <v>94</v>
      </c>
      <c r="C360"/>
      <c r="D360"/>
      <c r="E360" t="s">
        <v>104</v>
      </c>
      <c r="F360"/>
      <c r="G360" t="s">
        <v>164</v>
      </c>
      <c r="H360"/>
      <c r="I360" s="158">
        <v>46279.388715277775</v>
      </c>
      <c r="J360" t="s">
        <v>445</v>
      </c>
      <c r="K360" t="s">
        <v>443</v>
      </c>
      <c r="L360" s="157">
        <v>46277</v>
      </c>
      <c r="M360" t="s">
        <v>442</v>
      </c>
      <c r="N360" t="s">
        <v>231</v>
      </c>
      <c r="O360" t="s">
        <v>444</v>
      </c>
      <c r="P360" t="s">
        <v>94</v>
      </c>
      <c r="Q360" t="s">
        <v>247</v>
      </c>
    </row>
    <row r="361" spans="1:17" s="25" customFormat="1" hidden="1">
      <c r="A361" s="111">
        <v>5.643573253472222E-2</v>
      </c>
      <c r="B361" t="s">
        <v>94</v>
      </c>
      <c r="C361"/>
      <c r="D361"/>
      <c r="E361" t="s">
        <v>87</v>
      </c>
      <c r="F361"/>
      <c r="G361" t="s">
        <v>164</v>
      </c>
      <c r="H361"/>
      <c r="I361" s="158">
        <v>46279.388460648152</v>
      </c>
      <c r="J361" t="s">
        <v>445</v>
      </c>
      <c r="K361" t="s">
        <v>443</v>
      </c>
      <c r="L361" s="157">
        <v>46277</v>
      </c>
      <c r="M361" t="s">
        <v>442</v>
      </c>
      <c r="N361" t="s">
        <v>231</v>
      </c>
      <c r="O361" t="s">
        <v>444</v>
      </c>
      <c r="P361" t="s">
        <v>94</v>
      </c>
      <c r="Q361" t="s">
        <v>247</v>
      </c>
    </row>
    <row r="362" spans="1:17" s="25" customFormat="1" hidden="1">
      <c r="A362" s="111">
        <v>5.643573253472222E-2</v>
      </c>
      <c r="B362" t="s">
        <v>94</v>
      </c>
      <c r="C362" t="s">
        <v>92</v>
      </c>
      <c r="D362" t="s">
        <v>82</v>
      </c>
      <c r="E362" t="s">
        <v>214</v>
      </c>
      <c r="F362" t="s">
        <v>206</v>
      </c>
      <c r="G362" t="s">
        <v>164</v>
      </c>
      <c r="H362"/>
      <c r="I362" s="158">
        <v>46279.388449074075</v>
      </c>
      <c r="J362" t="s">
        <v>445</v>
      </c>
      <c r="K362" t="s">
        <v>443</v>
      </c>
      <c r="L362" s="157">
        <v>46277</v>
      </c>
      <c r="M362" t="s">
        <v>442</v>
      </c>
      <c r="N362" t="s">
        <v>231</v>
      </c>
      <c r="O362" t="s">
        <v>444</v>
      </c>
      <c r="P362" t="s">
        <v>94</v>
      </c>
      <c r="Q362" t="s">
        <v>247</v>
      </c>
    </row>
    <row r="363" spans="1:17" s="25" customFormat="1" hidden="1">
      <c r="A363" s="111">
        <v>5.604872311342593E-2</v>
      </c>
      <c r="B363" t="s">
        <v>94</v>
      </c>
      <c r="C363"/>
      <c r="D363"/>
      <c r="E363" t="s">
        <v>113</v>
      </c>
      <c r="F363"/>
      <c r="G363" t="s">
        <v>164</v>
      </c>
      <c r="H363"/>
      <c r="I363" s="158">
        <v>46279.388414351852</v>
      </c>
      <c r="J363" t="s">
        <v>445</v>
      </c>
      <c r="K363" t="s">
        <v>443</v>
      </c>
      <c r="L363" s="157">
        <v>46277</v>
      </c>
      <c r="M363" t="s">
        <v>442</v>
      </c>
      <c r="N363" t="s">
        <v>231</v>
      </c>
      <c r="O363" t="s">
        <v>444</v>
      </c>
      <c r="P363" t="s">
        <v>94</v>
      </c>
      <c r="Q363" t="s">
        <v>247</v>
      </c>
    </row>
    <row r="364" spans="1:17" s="25" customFormat="1" hidden="1">
      <c r="A364" s="111">
        <v>5.5961657407407404E-2</v>
      </c>
      <c r="B364" t="s">
        <v>94</v>
      </c>
      <c r="C364"/>
      <c r="D364"/>
      <c r="E364" t="s">
        <v>104</v>
      </c>
      <c r="F364"/>
      <c r="G364" t="s">
        <v>98</v>
      </c>
      <c r="H364"/>
      <c r="I364" s="158">
        <v>46279.387835648151</v>
      </c>
      <c r="J364" t="s">
        <v>445</v>
      </c>
      <c r="K364" t="s">
        <v>443</v>
      </c>
      <c r="L364" s="157">
        <v>46277</v>
      </c>
      <c r="M364" t="s">
        <v>442</v>
      </c>
      <c r="N364" t="s">
        <v>231</v>
      </c>
      <c r="O364" t="s">
        <v>444</v>
      </c>
      <c r="P364" t="s">
        <v>94</v>
      </c>
      <c r="Q364" t="s">
        <v>247</v>
      </c>
    </row>
    <row r="365" spans="1:17" s="25" customFormat="1" hidden="1">
      <c r="A365" s="111">
        <v>5.5498664907407409E-2</v>
      </c>
      <c r="B365" t="s">
        <v>94</v>
      </c>
      <c r="C365"/>
      <c r="D365"/>
      <c r="E365" t="s">
        <v>87</v>
      </c>
      <c r="F365"/>
      <c r="G365" t="s">
        <v>98</v>
      </c>
      <c r="H365" t="s">
        <v>498</v>
      </c>
      <c r="I365" s="158">
        <v>46279.387141203704</v>
      </c>
      <c r="J365" t="s">
        <v>445</v>
      </c>
      <c r="K365" t="s">
        <v>443</v>
      </c>
      <c r="L365" s="157">
        <v>46277</v>
      </c>
      <c r="M365" t="s">
        <v>442</v>
      </c>
      <c r="N365" t="s">
        <v>231</v>
      </c>
      <c r="O365" t="s">
        <v>444</v>
      </c>
      <c r="P365" t="s">
        <v>94</v>
      </c>
      <c r="Q365" t="s">
        <v>247</v>
      </c>
    </row>
    <row r="366" spans="1:17" s="25" customFormat="1" hidden="1">
      <c r="A366" s="111">
        <v>5.5382729791666668E-2</v>
      </c>
      <c r="B366" t="s">
        <v>94</v>
      </c>
      <c r="C366" t="s">
        <v>494</v>
      </c>
      <c r="D366"/>
      <c r="E366" t="s">
        <v>60</v>
      </c>
      <c r="F366"/>
      <c r="G366" t="s">
        <v>164</v>
      </c>
      <c r="H366"/>
      <c r="I366" s="158">
        <v>46279.386805555558</v>
      </c>
      <c r="J366" t="s">
        <v>445</v>
      </c>
      <c r="K366" t="s">
        <v>443</v>
      </c>
      <c r="L366" s="157">
        <v>46277</v>
      </c>
      <c r="M366" t="s">
        <v>442</v>
      </c>
      <c r="N366" t="s">
        <v>231</v>
      </c>
      <c r="O366" t="s">
        <v>444</v>
      </c>
      <c r="P366" t="s">
        <v>94</v>
      </c>
      <c r="Q366" t="s">
        <v>247</v>
      </c>
    </row>
    <row r="367" spans="1:17" s="25" customFormat="1" hidden="1">
      <c r="A367" s="111">
        <v>5.5366550428240742E-2</v>
      </c>
      <c r="B367" t="s">
        <v>94</v>
      </c>
      <c r="C367" t="s">
        <v>495</v>
      </c>
      <c r="D367"/>
      <c r="E367" t="s">
        <v>108</v>
      </c>
      <c r="F367"/>
      <c r="G367" t="s">
        <v>164</v>
      </c>
      <c r="H367"/>
      <c r="I367" s="158">
        <v>46279.385405092595</v>
      </c>
      <c r="J367" t="s">
        <v>445</v>
      </c>
      <c r="K367" t="s">
        <v>443</v>
      </c>
      <c r="L367" s="157">
        <v>46277</v>
      </c>
      <c r="M367" t="s">
        <v>442</v>
      </c>
      <c r="N367" t="s">
        <v>231</v>
      </c>
      <c r="O367" t="s">
        <v>444</v>
      </c>
      <c r="P367" t="s">
        <v>94</v>
      </c>
      <c r="Q367" t="s">
        <v>247</v>
      </c>
    </row>
    <row r="368" spans="1:17" s="25" customFormat="1" hidden="1">
      <c r="A368" s="111">
        <v>5.5344827731481479E-2</v>
      </c>
      <c r="B368" t="s">
        <v>94</v>
      </c>
      <c r="C368" t="s">
        <v>475</v>
      </c>
      <c r="D368"/>
      <c r="E368" t="s">
        <v>108</v>
      </c>
      <c r="F368"/>
      <c r="G368" t="s">
        <v>164</v>
      </c>
      <c r="H368"/>
      <c r="I368" s="158">
        <v>46279.385069444441</v>
      </c>
      <c r="J368" t="s">
        <v>445</v>
      </c>
      <c r="K368" t="s">
        <v>443</v>
      </c>
      <c r="L368" s="157">
        <v>46277</v>
      </c>
      <c r="M368" t="s">
        <v>442</v>
      </c>
      <c r="N368" t="s">
        <v>231</v>
      </c>
      <c r="O368" t="s">
        <v>444</v>
      </c>
      <c r="P368" t="s">
        <v>94</v>
      </c>
      <c r="Q368" t="s">
        <v>247</v>
      </c>
    </row>
    <row r="369" spans="1:17" s="25" customFormat="1" hidden="1">
      <c r="A369" s="111">
        <v>5.5328058680555549E-2</v>
      </c>
      <c r="B369" t="s">
        <v>94</v>
      </c>
      <c r="C369" t="s">
        <v>468</v>
      </c>
      <c r="D369"/>
      <c r="E369" t="s">
        <v>59</v>
      </c>
      <c r="F369"/>
      <c r="G369" t="s">
        <v>164</v>
      </c>
      <c r="H369"/>
      <c r="I369" s="158">
        <v>46279.384525462963</v>
      </c>
      <c r="J369" t="s">
        <v>445</v>
      </c>
      <c r="K369" t="s">
        <v>443</v>
      </c>
      <c r="L369" s="157">
        <v>46277</v>
      </c>
      <c r="M369" t="s">
        <v>442</v>
      </c>
      <c r="N369" t="s">
        <v>231</v>
      </c>
      <c r="O369" t="s">
        <v>444</v>
      </c>
      <c r="P369" t="s">
        <v>94</v>
      </c>
      <c r="Q369" t="s">
        <v>247</v>
      </c>
    </row>
    <row r="370" spans="1:17" s="25" customFormat="1" hidden="1">
      <c r="A370" s="111">
        <v>5.5224459826388891E-2</v>
      </c>
      <c r="B370" t="s">
        <v>94</v>
      </c>
      <c r="C370" t="s">
        <v>451</v>
      </c>
      <c r="D370"/>
      <c r="E370" t="s">
        <v>108</v>
      </c>
      <c r="F370"/>
      <c r="G370" t="s">
        <v>164</v>
      </c>
      <c r="H370"/>
      <c r="I370" s="158">
        <v>46279.384131944447</v>
      </c>
      <c r="J370" t="s">
        <v>445</v>
      </c>
      <c r="K370" t="s">
        <v>443</v>
      </c>
      <c r="L370" s="157">
        <v>46277</v>
      </c>
      <c r="M370" t="s">
        <v>442</v>
      </c>
      <c r="N370" t="s">
        <v>231</v>
      </c>
      <c r="O370" t="s">
        <v>444</v>
      </c>
      <c r="P370" t="s">
        <v>94</v>
      </c>
      <c r="Q370" t="s">
        <v>247</v>
      </c>
    </row>
    <row r="371" spans="1:17" s="25" customFormat="1" hidden="1">
      <c r="A371" s="111">
        <v>5.5177647743055551E-2</v>
      </c>
      <c r="B371" t="s">
        <v>94</v>
      </c>
      <c r="C371" t="s">
        <v>451</v>
      </c>
      <c r="D371"/>
      <c r="E371" t="s">
        <v>108</v>
      </c>
      <c r="F371"/>
      <c r="G371" t="s">
        <v>164</v>
      </c>
      <c r="H371"/>
      <c r="I371" s="158">
        <v>46279.383969907409</v>
      </c>
      <c r="J371" t="s">
        <v>445</v>
      </c>
      <c r="K371" t="s">
        <v>443</v>
      </c>
      <c r="L371" s="157">
        <v>46277</v>
      </c>
      <c r="M371" t="s">
        <v>442</v>
      </c>
      <c r="N371" t="s">
        <v>231</v>
      </c>
      <c r="O371" t="s">
        <v>444</v>
      </c>
      <c r="P371" t="s">
        <v>94</v>
      </c>
      <c r="Q371" t="s">
        <v>247</v>
      </c>
    </row>
    <row r="372" spans="1:17" s="25" customFormat="1" hidden="1">
      <c r="A372" s="111">
        <v>5.5155430648148145E-2</v>
      </c>
      <c r="B372" t="s">
        <v>94</v>
      </c>
      <c r="C372" t="s">
        <v>491</v>
      </c>
      <c r="D372"/>
      <c r="E372" t="s">
        <v>108</v>
      </c>
      <c r="F372"/>
      <c r="G372" t="s">
        <v>164</v>
      </c>
      <c r="H372"/>
      <c r="I372" s="158">
        <v>46279.383738425924</v>
      </c>
      <c r="J372" t="s">
        <v>445</v>
      </c>
      <c r="K372" t="s">
        <v>443</v>
      </c>
      <c r="L372" s="157">
        <v>46277</v>
      </c>
      <c r="M372" t="s">
        <v>442</v>
      </c>
      <c r="N372" t="s">
        <v>231</v>
      </c>
      <c r="O372" t="s">
        <v>444</v>
      </c>
      <c r="P372" t="s">
        <v>94</v>
      </c>
      <c r="Q372" t="s">
        <v>247</v>
      </c>
    </row>
    <row r="373" spans="1:17" s="25" customFormat="1" hidden="1">
      <c r="A373" s="111">
        <v>5.5027859224537033E-2</v>
      </c>
      <c r="B373" t="s">
        <v>94</v>
      </c>
      <c r="C373" t="s">
        <v>497</v>
      </c>
      <c r="D373"/>
      <c r="E373" t="s">
        <v>108</v>
      </c>
      <c r="F373"/>
      <c r="G373" t="s">
        <v>164</v>
      </c>
      <c r="H373"/>
      <c r="I373" s="158">
        <v>46279.383483796293</v>
      </c>
      <c r="J373" t="s">
        <v>445</v>
      </c>
      <c r="K373" t="s">
        <v>443</v>
      </c>
      <c r="L373" s="157">
        <v>46277</v>
      </c>
      <c r="M373" t="s">
        <v>442</v>
      </c>
      <c r="N373" t="s">
        <v>231</v>
      </c>
      <c r="O373" t="s">
        <v>444</v>
      </c>
      <c r="P373" t="s">
        <v>94</v>
      </c>
      <c r="Q373" t="s">
        <v>247</v>
      </c>
    </row>
    <row r="374" spans="1:17" s="25" customFormat="1" hidden="1">
      <c r="A374" s="111">
        <v>5.5000438692129637E-2</v>
      </c>
      <c r="B374" t="s">
        <v>94</v>
      </c>
      <c r="C374" t="s">
        <v>468</v>
      </c>
      <c r="D374"/>
      <c r="E374" t="s">
        <v>108</v>
      </c>
      <c r="F374"/>
      <c r="G374" t="s">
        <v>164</v>
      </c>
      <c r="H374"/>
      <c r="I374" s="158">
        <v>46279.382511574076</v>
      </c>
      <c r="J374" t="s">
        <v>445</v>
      </c>
      <c r="K374" t="s">
        <v>443</v>
      </c>
      <c r="L374" s="157">
        <v>46277</v>
      </c>
      <c r="M374" t="s">
        <v>442</v>
      </c>
      <c r="N374" t="s">
        <v>231</v>
      </c>
      <c r="O374" t="s">
        <v>444</v>
      </c>
      <c r="P374" t="s">
        <v>94</v>
      </c>
      <c r="Q374" t="s">
        <v>247</v>
      </c>
    </row>
    <row r="375" spans="1:17" s="25" customFormat="1" hidden="1">
      <c r="A375" s="111">
        <v>5.4979419479166666E-2</v>
      </c>
      <c r="B375" t="s">
        <v>94</v>
      </c>
      <c r="C375" t="s">
        <v>494</v>
      </c>
      <c r="D375"/>
      <c r="E375" t="s">
        <v>108</v>
      </c>
      <c r="F375"/>
      <c r="G375" t="s">
        <v>164</v>
      </c>
      <c r="H375"/>
      <c r="I375" s="158">
        <v>46279.382291666669</v>
      </c>
      <c r="J375" t="s">
        <v>445</v>
      </c>
      <c r="K375" t="s">
        <v>443</v>
      </c>
      <c r="L375" s="157">
        <v>46277</v>
      </c>
      <c r="M375" t="s">
        <v>442</v>
      </c>
      <c r="N375" t="s">
        <v>231</v>
      </c>
      <c r="O375" t="s">
        <v>444</v>
      </c>
      <c r="P375" t="s">
        <v>94</v>
      </c>
      <c r="Q375" t="s">
        <v>247</v>
      </c>
    </row>
    <row r="376" spans="1:17" s="25" customFormat="1">
      <c r="A376" s="111">
        <v>5.4951090219907406E-2</v>
      </c>
      <c r="B376" t="s">
        <v>94</v>
      </c>
      <c r="C376"/>
      <c r="D376"/>
      <c r="E376" t="s">
        <v>304</v>
      </c>
      <c r="F376"/>
      <c r="G376" t="s">
        <v>164</v>
      </c>
      <c r="H376"/>
      <c r="I376" s="158">
        <v>46279.381643518522</v>
      </c>
      <c r="J376" t="s">
        <v>445</v>
      </c>
      <c r="K376" t="s">
        <v>443</v>
      </c>
      <c r="L376" s="157">
        <v>46277</v>
      </c>
      <c r="M376" t="s">
        <v>442</v>
      </c>
      <c r="N376" t="s">
        <v>231</v>
      </c>
      <c r="O376" t="s">
        <v>444</v>
      </c>
      <c r="P376" t="s">
        <v>94</v>
      </c>
      <c r="Q376" t="s">
        <v>247</v>
      </c>
    </row>
    <row r="377" spans="1:17" s="25" customFormat="1" hidden="1">
      <c r="A377" s="111">
        <v>5.4951090219907406E-2</v>
      </c>
      <c r="B377" t="s">
        <v>94</v>
      </c>
      <c r="C377" t="s">
        <v>495</v>
      </c>
      <c r="D377"/>
      <c r="E377" t="s">
        <v>59</v>
      </c>
      <c r="F377"/>
      <c r="G377" t="s">
        <v>164</v>
      </c>
      <c r="H377"/>
      <c r="I377" s="158">
        <v>46279.381608796299</v>
      </c>
      <c r="J377" t="s">
        <v>445</v>
      </c>
      <c r="K377" t="s">
        <v>443</v>
      </c>
      <c r="L377" s="157">
        <v>46277</v>
      </c>
      <c r="M377" t="s">
        <v>442</v>
      </c>
      <c r="N377" t="s">
        <v>231</v>
      </c>
      <c r="O377" t="s">
        <v>444</v>
      </c>
      <c r="P377" t="s">
        <v>94</v>
      </c>
      <c r="Q377" t="s">
        <v>247</v>
      </c>
    </row>
    <row r="378" spans="1:17" s="25" customFormat="1" hidden="1">
      <c r="A378" s="111">
        <v>5.4884316782407405E-2</v>
      </c>
      <c r="B378" t="s">
        <v>94</v>
      </c>
      <c r="C378" t="s">
        <v>451</v>
      </c>
      <c r="D378"/>
      <c r="E378" t="s">
        <v>108</v>
      </c>
      <c r="F378"/>
      <c r="G378" t="s">
        <v>164</v>
      </c>
      <c r="H378"/>
      <c r="I378" s="158">
        <v>46279.380682870367</v>
      </c>
      <c r="J378" t="s">
        <v>445</v>
      </c>
      <c r="K378" t="s">
        <v>443</v>
      </c>
      <c r="L378" s="157">
        <v>46277</v>
      </c>
      <c r="M378" t="s">
        <v>442</v>
      </c>
      <c r="N378" t="s">
        <v>231</v>
      </c>
      <c r="O378" t="s">
        <v>444</v>
      </c>
      <c r="P378" t="s">
        <v>94</v>
      </c>
      <c r="Q378" t="s">
        <v>247</v>
      </c>
    </row>
    <row r="379" spans="1:17" s="25" customFormat="1" hidden="1">
      <c r="A379" s="111">
        <v>5.4762871701388896E-2</v>
      </c>
      <c r="B379" t="s">
        <v>94</v>
      </c>
      <c r="C379" t="s">
        <v>490</v>
      </c>
      <c r="D379"/>
      <c r="E379" t="s">
        <v>108</v>
      </c>
      <c r="F379"/>
      <c r="G379" t="s">
        <v>164</v>
      </c>
      <c r="H379"/>
      <c r="I379" s="158">
        <v>46279.380497685182</v>
      </c>
      <c r="J379" t="s">
        <v>445</v>
      </c>
      <c r="K379" t="s">
        <v>443</v>
      </c>
      <c r="L379" s="157">
        <v>46277</v>
      </c>
      <c r="M379" t="s">
        <v>442</v>
      </c>
      <c r="N379" t="s">
        <v>231</v>
      </c>
      <c r="O379" t="s">
        <v>444</v>
      </c>
      <c r="P379" t="s">
        <v>94</v>
      </c>
      <c r="Q379" t="s">
        <v>247</v>
      </c>
    </row>
    <row r="380" spans="1:17" s="25" customFormat="1" hidden="1">
      <c r="A380" s="111">
        <v>5.4727581388888884E-2</v>
      </c>
      <c r="B380" t="s">
        <v>94</v>
      </c>
      <c r="C380" t="s">
        <v>490</v>
      </c>
      <c r="D380"/>
      <c r="E380" t="s">
        <v>108</v>
      </c>
      <c r="F380"/>
      <c r="G380" t="s">
        <v>164</v>
      </c>
      <c r="H380"/>
      <c r="I380" s="158">
        <v>46279.380358796298</v>
      </c>
      <c r="J380" t="s">
        <v>445</v>
      </c>
      <c r="K380" t="s">
        <v>443</v>
      </c>
      <c r="L380" s="157">
        <v>46277</v>
      </c>
      <c r="M380" t="s">
        <v>442</v>
      </c>
      <c r="N380" t="s">
        <v>231</v>
      </c>
      <c r="O380" t="s">
        <v>444</v>
      </c>
      <c r="P380" t="s">
        <v>94</v>
      </c>
      <c r="Q380" t="s">
        <v>247</v>
      </c>
    </row>
    <row r="381" spans="1:17" s="25" customFormat="1" hidden="1">
      <c r="A381" s="111">
        <v>5.4521178506944448E-2</v>
      </c>
      <c r="B381" t="s">
        <v>94</v>
      </c>
      <c r="C381" t="s">
        <v>492</v>
      </c>
      <c r="D381"/>
      <c r="E381" t="s">
        <v>109</v>
      </c>
      <c r="F381"/>
      <c r="G381" t="s">
        <v>98</v>
      </c>
      <c r="H381" t="s">
        <v>499</v>
      </c>
      <c r="I381" s="158">
        <v>46279.38</v>
      </c>
      <c r="J381" t="s">
        <v>445</v>
      </c>
      <c r="K381" t="s">
        <v>443</v>
      </c>
      <c r="L381" s="157">
        <v>46277</v>
      </c>
      <c r="M381" t="s">
        <v>442</v>
      </c>
      <c r="N381" t="s">
        <v>231</v>
      </c>
      <c r="O381" t="s">
        <v>444</v>
      </c>
      <c r="P381" t="s">
        <v>94</v>
      </c>
      <c r="Q381" t="s">
        <v>247</v>
      </c>
    </row>
    <row r="382" spans="1:17" s="25" customFormat="1" hidden="1">
      <c r="A382" s="111">
        <v>5.4317469826388888E-2</v>
      </c>
      <c r="B382" t="s">
        <v>94</v>
      </c>
      <c r="C382"/>
      <c r="D382"/>
      <c r="E382" t="s">
        <v>104</v>
      </c>
      <c r="F382"/>
      <c r="G382" t="s">
        <v>98</v>
      </c>
      <c r="H382"/>
      <c r="I382" s="158">
        <v>46279.379629629628</v>
      </c>
      <c r="J382" t="s">
        <v>445</v>
      </c>
      <c r="K382" t="s">
        <v>443</v>
      </c>
      <c r="L382" s="157">
        <v>46277</v>
      </c>
      <c r="M382" t="s">
        <v>442</v>
      </c>
      <c r="N382" t="s">
        <v>231</v>
      </c>
      <c r="O382" t="s">
        <v>444</v>
      </c>
      <c r="P382" t="s">
        <v>94</v>
      </c>
      <c r="Q382" t="s">
        <v>247</v>
      </c>
    </row>
    <row r="383" spans="1:17" s="25" customFormat="1" hidden="1">
      <c r="A383" s="111">
        <v>5.3892296226851849E-2</v>
      </c>
      <c r="B383" t="s">
        <v>94</v>
      </c>
      <c r="C383"/>
      <c r="D383"/>
      <c r="E383" t="s">
        <v>87</v>
      </c>
      <c r="F383"/>
      <c r="G383" t="s">
        <v>164</v>
      </c>
      <c r="H383"/>
      <c r="I383" s="158">
        <v>46279.379340277781</v>
      </c>
      <c r="J383" t="s">
        <v>445</v>
      </c>
      <c r="K383" t="s">
        <v>443</v>
      </c>
      <c r="L383" s="157">
        <v>46277</v>
      </c>
      <c r="M383" t="s">
        <v>442</v>
      </c>
      <c r="N383" t="s">
        <v>231</v>
      </c>
      <c r="O383" t="s">
        <v>444</v>
      </c>
      <c r="P383" t="s">
        <v>94</v>
      </c>
      <c r="Q383" t="s">
        <v>247</v>
      </c>
    </row>
    <row r="384" spans="1:17" s="25" customFormat="1" hidden="1">
      <c r="A384" s="111">
        <v>5.3851570648148148E-2</v>
      </c>
      <c r="B384" t="s">
        <v>94</v>
      </c>
      <c r="C384"/>
      <c r="D384"/>
      <c r="E384" t="s">
        <v>184</v>
      </c>
      <c r="F384"/>
      <c r="G384" t="s">
        <v>164</v>
      </c>
      <c r="H384"/>
      <c r="I384" s="158">
        <v>46279.379166666666</v>
      </c>
      <c r="J384" t="s">
        <v>445</v>
      </c>
      <c r="K384" t="s">
        <v>443</v>
      </c>
      <c r="L384" s="157">
        <v>46277</v>
      </c>
      <c r="M384" t="s">
        <v>442</v>
      </c>
      <c r="N384" t="s">
        <v>231</v>
      </c>
      <c r="O384" t="s">
        <v>444</v>
      </c>
      <c r="P384" t="s">
        <v>94</v>
      </c>
      <c r="Q384" t="s">
        <v>247</v>
      </c>
    </row>
    <row r="385" spans="1:17" s="25" customFormat="1" hidden="1">
      <c r="A385" s="111">
        <v>5.3782035428240747E-2</v>
      </c>
      <c r="B385" t="s">
        <v>94</v>
      </c>
      <c r="C385" t="s">
        <v>495</v>
      </c>
      <c r="D385"/>
      <c r="E385" t="s">
        <v>108</v>
      </c>
      <c r="F385"/>
      <c r="G385" t="s">
        <v>164</v>
      </c>
      <c r="H385"/>
      <c r="I385" s="158">
        <v>46279.37903935185</v>
      </c>
      <c r="J385" t="s">
        <v>445</v>
      </c>
      <c r="K385" t="s">
        <v>443</v>
      </c>
      <c r="L385" s="157">
        <v>46277</v>
      </c>
      <c r="M385" t="s">
        <v>442</v>
      </c>
      <c r="N385" t="s">
        <v>231</v>
      </c>
      <c r="O385" t="s">
        <v>444</v>
      </c>
      <c r="P385" t="s">
        <v>94</v>
      </c>
      <c r="Q385" t="s">
        <v>247</v>
      </c>
    </row>
    <row r="386" spans="1:17" s="25" customFormat="1" hidden="1">
      <c r="A386" s="111">
        <v>5.3751032013888887E-2</v>
      </c>
      <c r="B386" t="s">
        <v>94</v>
      </c>
      <c r="C386" t="s">
        <v>475</v>
      </c>
      <c r="D386"/>
      <c r="E386" t="s">
        <v>108</v>
      </c>
      <c r="F386"/>
      <c r="G386" t="s">
        <v>164</v>
      </c>
      <c r="H386"/>
      <c r="I386" s="158">
        <v>46279.37877314815</v>
      </c>
      <c r="J386" t="s">
        <v>445</v>
      </c>
      <c r="K386" t="s">
        <v>443</v>
      </c>
      <c r="L386" s="157">
        <v>46277</v>
      </c>
      <c r="M386" t="s">
        <v>442</v>
      </c>
      <c r="N386" t="s">
        <v>231</v>
      </c>
      <c r="O386" t="s">
        <v>444</v>
      </c>
      <c r="P386" t="s">
        <v>94</v>
      </c>
      <c r="Q386" t="s">
        <v>247</v>
      </c>
    </row>
    <row r="387" spans="1:17" s="25" customFormat="1" hidden="1">
      <c r="A387" s="111">
        <v>5.3677222418981478E-2</v>
      </c>
      <c r="B387" t="s">
        <v>94</v>
      </c>
      <c r="C387" t="s">
        <v>497</v>
      </c>
      <c r="D387"/>
      <c r="E387" t="s">
        <v>108</v>
      </c>
      <c r="F387"/>
      <c r="G387" t="s">
        <v>164</v>
      </c>
      <c r="H387"/>
      <c r="I387" s="158">
        <v>46279.378495370373</v>
      </c>
      <c r="J387" t="s">
        <v>445</v>
      </c>
      <c r="K387" t="s">
        <v>443</v>
      </c>
      <c r="L387" s="157">
        <v>46277</v>
      </c>
      <c r="M387" t="s">
        <v>442</v>
      </c>
      <c r="N387" t="s">
        <v>231</v>
      </c>
      <c r="O387" t="s">
        <v>444</v>
      </c>
      <c r="P387" t="s">
        <v>94</v>
      </c>
      <c r="Q387" t="s">
        <v>247</v>
      </c>
    </row>
    <row r="388" spans="1:17" s="25" customFormat="1" hidden="1">
      <c r="A388" s="111">
        <v>5.3668979629629632E-2</v>
      </c>
      <c r="B388" t="s">
        <v>94</v>
      </c>
      <c r="C388"/>
      <c r="D388"/>
      <c r="E388" t="s">
        <v>285</v>
      </c>
      <c r="F388"/>
      <c r="G388" t="s">
        <v>164</v>
      </c>
      <c r="H388"/>
      <c r="I388" s="158">
        <v>46279.378194444442</v>
      </c>
      <c r="J388" t="s">
        <v>445</v>
      </c>
      <c r="K388" t="s">
        <v>443</v>
      </c>
      <c r="L388" s="157">
        <v>46277</v>
      </c>
      <c r="M388" t="s">
        <v>442</v>
      </c>
      <c r="N388" t="s">
        <v>231</v>
      </c>
      <c r="O388" t="s">
        <v>444</v>
      </c>
      <c r="P388" t="s">
        <v>94</v>
      </c>
      <c r="Q388" t="s">
        <v>247</v>
      </c>
    </row>
    <row r="389" spans="1:17" s="25" customFormat="1" hidden="1">
      <c r="A389" s="111">
        <v>5.3619838888888882E-2</v>
      </c>
      <c r="B389" t="s">
        <v>94</v>
      </c>
      <c r="C389"/>
      <c r="D389"/>
      <c r="E389" t="s">
        <v>105</v>
      </c>
      <c r="F389"/>
      <c r="G389" t="s">
        <v>98</v>
      </c>
      <c r="H389"/>
      <c r="I389" s="158">
        <v>46279.378148148149</v>
      </c>
      <c r="J389" t="s">
        <v>445</v>
      </c>
      <c r="K389" t="s">
        <v>443</v>
      </c>
      <c r="L389" s="157">
        <v>46277</v>
      </c>
      <c r="M389" t="s">
        <v>442</v>
      </c>
      <c r="N389" t="s">
        <v>231</v>
      </c>
      <c r="O389" t="s">
        <v>444</v>
      </c>
      <c r="P389" t="s">
        <v>94</v>
      </c>
      <c r="Q389" t="s">
        <v>247</v>
      </c>
    </row>
    <row r="390" spans="1:17" s="25" customFormat="1" hidden="1">
      <c r="A390" s="111">
        <v>5.3589089895833338E-2</v>
      </c>
      <c r="B390" t="s">
        <v>94</v>
      </c>
      <c r="C390"/>
      <c r="D390"/>
      <c r="E390" t="s">
        <v>87</v>
      </c>
      <c r="F390"/>
      <c r="G390" t="s">
        <v>98</v>
      </c>
      <c r="H390"/>
      <c r="I390" s="158">
        <v>46279.378055555557</v>
      </c>
      <c r="J390" t="s">
        <v>445</v>
      </c>
      <c r="K390" t="s">
        <v>443</v>
      </c>
      <c r="L390" s="157">
        <v>46277</v>
      </c>
      <c r="M390" t="s">
        <v>442</v>
      </c>
      <c r="N390" t="s">
        <v>231</v>
      </c>
      <c r="O390" t="s">
        <v>444</v>
      </c>
      <c r="P390" t="s">
        <v>94</v>
      </c>
      <c r="Q390" t="s">
        <v>247</v>
      </c>
    </row>
    <row r="391" spans="1:17" s="25" customFormat="1" hidden="1">
      <c r="A391" s="111">
        <v>5.3589089895833338E-2</v>
      </c>
      <c r="B391" t="s">
        <v>94</v>
      </c>
      <c r="C391"/>
      <c r="D391"/>
      <c r="E391" t="s">
        <v>183</v>
      </c>
      <c r="F391"/>
      <c r="G391" t="s">
        <v>98</v>
      </c>
      <c r="H391"/>
      <c r="I391" s="158">
        <v>46279.377939814818</v>
      </c>
      <c r="J391" t="s">
        <v>445</v>
      </c>
      <c r="K391" t="s">
        <v>443</v>
      </c>
      <c r="L391" s="157">
        <v>46277</v>
      </c>
      <c r="M391" t="s">
        <v>442</v>
      </c>
      <c r="N391" t="s">
        <v>231</v>
      </c>
      <c r="O391" t="s">
        <v>444</v>
      </c>
      <c r="P391" t="s">
        <v>94</v>
      </c>
      <c r="Q391" t="s">
        <v>247</v>
      </c>
    </row>
    <row r="392" spans="1:17" s="25" customFormat="1" hidden="1">
      <c r="A392" s="111">
        <v>5.3247149374999997E-2</v>
      </c>
      <c r="B392" t="s">
        <v>94</v>
      </c>
      <c r="C392" t="s">
        <v>92</v>
      </c>
      <c r="D392"/>
      <c r="E392" t="s">
        <v>109</v>
      </c>
      <c r="F392"/>
      <c r="G392" t="s">
        <v>98</v>
      </c>
      <c r="H392" t="s">
        <v>500</v>
      </c>
      <c r="I392" s="158">
        <v>46279.376666666663</v>
      </c>
      <c r="J392" t="s">
        <v>445</v>
      </c>
      <c r="K392" t="s">
        <v>443</v>
      </c>
      <c r="L392" s="157">
        <v>46277</v>
      </c>
      <c r="M392" t="s">
        <v>442</v>
      </c>
      <c r="N392" t="s">
        <v>231</v>
      </c>
      <c r="O392" t="s">
        <v>444</v>
      </c>
      <c r="P392" t="s">
        <v>94</v>
      </c>
      <c r="Q392" t="s">
        <v>247</v>
      </c>
    </row>
    <row r="393" spans="1:17" s="25" customFormat="1" hidden="1">
      <c r="A393" s="111">
        <v>5.3131758993055556E-2</v>
      </c>
      <c r="B393" t="s">
        <v>94</v>
      </c>
      <c r="C393"/>
      <c r="D393"/>
      <c r="E393" t="s">
        <v>104</v>
      </c>
      <c r="F393"/>
      <c r="G393" t="s">
        <v>98</v>
      </c>
      <c r="H393"/>
      <c r="I393" s="158">
        <v>46279.37641203704</v>
      </c>
      <c r="J393" t="s">
        <v>445</v>
      </c>
      <c r="K393" t="s">
        <v>443</v>
      </c>
      <c r="L393" s="157">
        <v>46277</v>
      </c>
      <c r="M393" t="s">
        <v>442</v>
      </c>
      <c r="N393" t="s">
        <v>231</v>
      </c>
      <c r="O393" t="s">
        <v>444</v>
      </c>
      <c r="P393" t="s">
        <v>94</v>
      </c>
      <c r="Q393" t="s">
        <v>247</v>
      </c>
    </row>
    <row r="394" spans="1:17" s="25" customFormat="1" hidden="1">
      <c r="A394" s="111">
        <v>5.2879553333333336E-2</v>
      </c>
      <c r="B394" t="s">
        <v>94</v>
      </c>
      <c r="C394"/>
      <c r="D394"/>
      <c r="E394" t="s">
        <v>184</v>
      </c>
      <c r="F394"/>
      <c r="G394" t="s">
        <v>164</v>
      </c>
      <c r="H394"/>
      <c r="I394" s="158">
        <v>46279.376273148147</v>
      </c>
      <c r="J394" t="s">
        <v>445</v>
      </c>
      <c r="K394" t="s">
        <v>443</v>
      </c>
      <c r="L394" s="157">
        <v>46277</v>
      </c>
      <c r="M394" t="s">
        <v>442</v>
      </c>
      <c r="N394" t="s">
        <v>231</v>
      </c>
      <c r="O394" t="s">
        <v>444</v>
      </c>
      <c r="P394" t="s">
        <v>94</v>
      </c>
      <c r="Q394" t="s">
        <v>247</v>
      </c>
    </row>
    <row r="395" spans="1:17" s="25" customFormat="1" hidden="1">
      <c r="A395" s="111">
        <v>5.2734038668981478E-2</v>
      </c>
      <c r="B395" t="s">
        <v>94</v>
      </c>
      <c r="C395"/>
      <c r="D395"/>
      <c r="E395" t="s">
        <v>113</v>
      </c>
      <c r="F395"/>
      <c r="G395" t="s">
        <v>164</v>
      </c>
      <c r="H395"/>
      <c r="I395" s="158">
        <v>46279.376064814816</v>
      </c>
      <c r="J395" t="s">
        <v>445</v>
      </c>
      <c r="K395" t="s">
        <v>443</v>
      </c>
      <c r="L395" s="157">
        <v>46277</v>
      </c>
      <c r="M395" t="s">
        <v>442</v>
      </c>
      <c r="N395" t="s">
        <v>231</v>
      </c>
      <c r="O395" t="s">
        <v>444</v>
      </c>
      <c r="P395" t="s">
        <v>94</v>
      </c>
      <c r="Q395" t="s">
        <v>247</v>
      </c>
    </row>
    <row r="396" spans="1:17" s="25" customFormat="1" hidden="1">
      <c r="A396" s="111">
        <v>5.2693363692129631E-2</v>
      </c>
      <c r="B396" t="s">
        <v>94</v>
      </c>
      <c r="C396"/>
      <c r="D396"/>
      <c r="E396" t="s">
        <v>104</v>
      </c>
      <c r="F396"/>
      <c r="G396" t="s">
        <v>164</v>
      </c>
      <c r="H396"/>
      <c r="I396" s="158">
        <v>46279.375868055555</v>
      </c>
      <c r="J396" t="s">
        <v>445</v>
      </c>
      <c r="K396" t="s">
        <v>443</v>
      </c>
      <c r="L396" s="157">
        <v>46277</v>
      </c>
      <c r="M396" t="s">
        <v>442</v>
      </c>
      <c r="N396" t="s">
        <v>231</v>
      </c>
      <c r="O396" t="s">
        <v>444</v>
      </c>
      <c r="P396" t="s">
        <v>94</v>
      </c>
      <c r="Q396" t="s">
        <v>247</v>
      </c>
    </row>
    <row r="397" spans="1:17" s="25" customFormat="1" hidden="1">
      <c r="A397" s="111">
        <v>4.9582313611111109E-2</v>
      </c>
      <c r="B397" t="s">
        <v>94</v>
      </c>
      <c r="C397"/>
      <c r="D397"/>
      <c r="E397" t="s">
        <v>87</v>
      </c>
      <c r="F397"/>
      <c r="G397" t="s">
        <v>98</v>
      </c>
      <c r="H397"/>
      <c r="I397" s="158">
        <v>46279.372731481482</v>
      </c>
      <c r="J397" t="s">
        <v>445</v>
      </c>
      <c r="K397" t="s">
        <v>443</v>
      </c>
      <c r="L397" s="157">
        <v>46277</v>
      </c>
      <c r="M397" t="s">
        <v>442</v>
      </c>
      <c r="N397" t="s">
        <v>231</v>
      </c>
      <c r="O397" t="s">
        <v>444</v>
      </c>
      <c r="P397" t="s">
        <v>94</v>
      </c>
      <c r="Q397" t="s">
        <v>247</v>
      </c>
    </row>
    <row r="398" spans="1:17" s="25" customFormat="1" hidden="1">
      <c r="A398" s="111">
        <v>4.9530003460648148E-2</v>
      </c>
      <c r="B398" t="s">
        <v>94</v>
      </c>
      <c r="C398"/>
      <c r="D398"/>
      <c r="E398" t="s">
        <v>108</v>
      </c>
      <c r="F398"/>
      <c r="G398" t="s">
        <v>98</v>
      </c>
      <c r="H398"/>
      <c r="I398" s="158">
        <v>46279.372534722221</v>
      </c>
      <c r="J398" t="s">
        <v>445</v>
      </c>
      <c r="K398" t="s">
        <v>443</v>
      </c>
      <c r="L398" s="157">
        <v>46277</v>
      </c>
      <c r="M398" t="s">
        <v>442</v>
      </c>
      <c r="N398" t="s">
        <v>231</v>
      </c>
      <c r="O398" t="s">
        <v>444</v>
      </c>
      <c r="P398" t="s">
        <v>94</v>
      </c>
      <c r="Q398" t="s">
        <v>247</v>
      </c>
    </row>
    <row r="399" spans="1:17" s="25" customFormat="1" hidden="1">
      <c r="A399" s="111">
        <v>4.9518461111111113E-2</v>
      </c>
      <c r="B399" t="s">
        <v>94</v>
      </c>
      <c r="C399"/>
      <c r="D399"/>
      <c r="E399" t="s">
        <v>59</v>
      </c>
      <c r="F399"/>
      <c r="G399" t="s">
        <v>98</v>
      </c>
      <c r="H399"/>
      <c r="I399" s="158">
        <v>46279.372488425928</v>
      </c>
      <c r="J399" t="s">
        <v>445</v>
      </c>
      <c r="K399" t="s">
        <v>443</v>
      </c>
      <c r="L399" s="157">
        <v>46277</v>
      </c>
      <c r="M399" t="s">
        <v>442</v>
      </c>
      <c r="N399" t="s">
        <v>231</v>
      </c>
      <c r="O399" t="s">
        <v>444</v>
      </c>
      <c r="P399" t="s">
        <v>94</v>
      </c>
      <c r="Q399" t="s">
        <v>247</v>
      </c>
    </row>
    <row r="400" spans="1:17" s="25" customFormat="1" hidden="1">
      <c r="A400" s="111">
        <v>4.9495286226851849E-2</v>
      </c>
      <c r="B400" t="s">
        <v>94</v>
      </c>
      <c r="C400"/>
      <c r="D400"/>
      <c r="E400" t="s">
        <v>59</v>
      </c>
      <c r="F400"/>
      <c r="G400" t="s">
        <v>98</v>
      </c>
      <c r="H400"/>
      <c r="I400" s="158">
        <v>46279.372442129628</v>
      </c>
      <c r="J400" t="s">
        <v>445</v>
      </c>
      <c r="K400" t="s">
        <v>443</v>
      </c>
      <c r="L400" s="157">
        <v>46277</v>
      </c>
      <c r="M400" t="s">
        <v>442</v>
      </c>
      <c r="N400" t="s">
        <v>231</v>
      </c>
      <c r="O400" t="s">
        <v>444</v>
      </c>
      <c r="P400" t="s">
        <v>94</v>
      </c>
      <c r="Q400" t="s">
        <v>247</v>
      </c>
    </row>
    <row r="401" spans="1:17" s="25" customFormat="1" hidden="1">
      <c r="A401" s="111">
        <v>4.9441101354166662E-2</v>
      </c>
      <c r="B401" t="s">
        <v>94</v>
      </c>
      <c r="C401"/>
      <c r="D401"/>
      <c r="E401" t="s">
        <v>108</v>
      </c>
      <c r="F401"/>
      <c r="G401" t="s">
        <v>98</v>
      </c>
      <c r="H401"/>
      <c r="I401" s="158">
        <v>46279.37228009259</v>
      </c>
      <c r="J401" t="s">
        <v>445</v>
      </c>
      <c r="K401" t="s">
        <v>443</v>
      </c>
      <c r="L401" s="157">
        <v>46277</v>
      </c>
      <c r="M401" t="s">
        <v>442</v>
      </c>
      <c r="N401" t="s">
        <v>231</v>
      </c>
      <c r="O401" t="s">
        <v>444</v>
      </c>
      <c r="P401" t="s">
        <v>94</v>
      </c>
      <c r="Q401" t="s">
        <v>247</v>
      </c>
    </row>
    <row r="402" spans="1:17" s="25" customFormat="1" hidden="1">
      <c r="A402" s="111">
        <v>4.9367362893518521E-2</v>
      </c>
      <c r="B402" t="s">
        <v>94</v>
      </c>
      <c r="C402"/>
      <c r="D402"/>
      <c r="E402" t="s">
        <v>108</v>
      </c>
      <c r="F402"/>
      <c r="G402" t="s">
        <v>98</v>
      </c>
      <c r="H402"/>
      <c r="I402" s="158">
        <v>46279.372199074074</v>
      </c>
      <c r="J402" t="s">
        <v>445</v>
      </c>
      <c r="K402" t="s">
        <v>443</v>
      </c>
      <c r="L402" s="157">
        <v>46277</v>
      </c>
      <c r="M402" t="s">
        <v>442</v>
      </c>
      <c r="N402" t="s">
        <v>231</v>
      </c>
      <c r="O402" t="s">
        <v>444</v>
      </c>
      <c r="P402" t="s">
        <v>94</v>
      </c>
      <c r="Q402" t="s">
        <v>247</v>
      </c>
    </row>
    <row r="403" spans="1:17" s="25" customFormat="1" hidden="1">
      <c r="A403" s="111">
        <v>4.9293451296296295E-2</v>
      </c>
      <c r="B403" t="s">
        <v>94</v>
      </c>
      <c r="C403"/>
      <c r="D403"/>
      <c r="E403" t="s">
        <v>108</v>
      </c>
      <c r="F403"/>
      <c r="G403" t="s">
        <v>98</v>
      </c>
      <c r="H403"/>
      <c r="I403" s="158">
        <v>46279.372106481482</v>
      </c>
      <c r="J403" t="s">
        <v>445</v>
      </c>
      <c r="K403" t="s">
        <v>443</v>
      </c>
      <c r="L403" s="157">
        <v>46277</v>
      </c>
      <c r="M403" t="s">
        <v>442</v>
      </c>
      <c r="N403" t="s">
        <v>231</v>
      </c>
      <c r="O403" t="s">
        <v>444</v>
      </c>
      <c r="P403" t="s">
        <v>94</v>
      </c>
      <c r="Q403" t="s">
        <v>247</v>
      </c>
    </row>
    <row r="404" spans="1:17" s="25" customFormat="1" hidden="1">
      <c r="A404" s="111">
        <v>4.9224042280092591E-2</v>
      </c>
      <c r="B404" t="s">
        <v>94</v>
      </c>
      <c r="C404"/>
      <c r="D404"/>
      <c r="E404" t="s">
        <v>59</v>
      </c>
      <c r="F404"/>
      <c r="G404" t="s">
        <v>98</v>
      </c>
      <c r="H404"/>
      <c r="I404" s="158">
        <v>46279.37190972222</v>
      </c>
      <c r="J404" t="s">
        <v>445</v>
      </c>
      <c r="K404" t="s">
        <v>443</v>
      </c>
      <c r="L404" s="157">
        <v>46277</v>
      </c>
      <c r="M404" t="s">
        <v>442</v>
      </c>
      <c r="N404" t="s">
        <v>231</v>
      </c>
      <c r="O404" t="s">
        <v>444</v>
      </c>
      <c r="P404" t="s">
        <v>94</v>
      </c>
      <c r="Q404" t="s">
        <v>247</v>
      </c>
    </row>
    <row r="405" spans="1:17" s="25" customFormat="1" hidden="1">
      <c r="A405" s="111">
        <v>4.9224042280092591E-2</v>
      </c>
      <c r="B405" t="s">
        <v>94</v>
      </c>
      <c r="C405"/>
      <c r="D405"/>
      <c r="E405" t="s">
        <v>59</v>
      </c>
      <c r="F405"/>
      <c r="G405" t="s">
        <v>98</v>
      </c>
      <c r="H405"/>
      <c r="I405" s="158">
        <v>46279.371886574074</v>
      </c>
      <c r="J405" t="s">
        <v>445</v>
      </c>
      <c r="K405" t="s">
        <v>443</v>
      </c>
      <c r="L405" s="157">
        <v>46277</v>
      </c>
      <c r="M405" t="s">
        <v>442</v>
      </c>
      <c r="N405" t="s">
        <v>231</v>
      </c>
      <c r="O405" t="s">
        <v>444</v>
      </c>
      <c r="P405" t="s">
        <v>94</v>
      </c>
      <c r="Q405" t="s">
        <v>247</v>
      </c>
    </row>
    <row r="406" spans="1:17" s="25" customFormat="1" hidden="1">
      <c r="A406" s="111">
        <v>4.9154485416666671E-2</v>
      </c>
      <c r="B406" t="s">
        <v>94</v>
      </c>
      <c r="C406"/>
      <c r="D406"/>
      <c r="E406" t="s">
        <v>108</v>
      </c>
      <c r="F406"/>
      <c r="G406" t="s">
        <v>98</v>
      </c>
      <c r="H406"/>
      <c r="I406" s="158">
        <v>46279.371770833335</v>
      </c>
      <c r="J406" t="s">
        <v>445</v>
      </c>
      <c r="K406" t="s">
        <v>443</v>
      </c>
      <c r="L406" s="157">
        <v>46277</v>
      </c>
      <c r="M406" t="s">
        <v>442</v>
      </c>
      <c r="N406" t="s">
        <v>231</v>
      </c>
      <c r="O406" t="s">
        <v>444</v>
      </c>
      <c r="P406" t="s">
        <v>94</v>
      </c>
      <c r="Q406" t="s">
        <v>247</v>
      </c>
    </row>
    <row r="407" spans="1:17" s="25" customFormat="1" hidden="1">
      <c r="A407" s="111">
        <v>4.9084961909722225E-2</v>
      </c>
      <c r="B407" t="s">
        <v>94</v>
      </c>
      <c r="C407"/>
      <c r="D407"/>
      <c r="E407" t="s">
        <v>133</v>
      </c>
      <c r="F407"/>
      <c r="G407" t="s">
        <v>98</v>
      </c>
      <c r="H407"/>
      <c r="I407" s="158">
        <v>46279.37164351852</v>
      </c>
      <c r="J407" t="s">
        <v>445</v>
      </c>
      <c r="K407" t="s">
        <v>443</v>
      </c>
      <c r="L407" s="157">
        <v>46277</v>
      </c>
      <c r="M407" t="s">
        <v>442</v>
      </c>
      <c r="N407" t="s">
        <v>231</v>
      </c>
      <c r="O407" t="s">
        <v>444</v>
      </c>
      <c r="P407" t="s">
        <v>94</v>
      </c>
      <c r="Q407" t="s">
        <v>247</v>
      </c>
    </row>
    <row r="408" spans="1:17" s="25" customFormat="1" hidden="1">
      <c r="A408" s="111">
        <v>4.9004029340277776E-2</v>
      </c>
      <c r="B408" t="s">
        <v>94</v>
      </c>
      <c r="C408"/>
      <c r="D408"/>
      <c r="E408" t="s">
        <v>108</v>
      </c>
      <c r="F408"/>
      <c r="G408" t="s">
        <v>98</v>
      </c>
      <c r="H408"/>
      <c r="I408" s="158">
        <v>46279.371527777781</v>
      </c>
      <c r="J408" t="s">
        <v>445</v>
      </c>
      <c r="K408" t="s">
        <v>443</v>
      </c>
      <c r="L408" s="157">
        <v>46277</v>
      </c>
      <c r="M408" t="s">
        <v>442</v>
      </c>
      <c r="N408" t="s">
        <v>231</v>
      </c>
      <c r="O408" t="s">
        <v>444</v>
      </c>
      <c r="P408" t="s">
        <v>94</v>
      </c>
      <c r="Q408" t="s">
        <v>247</v>
      </c>
    </row>
    <row r="409" spans="1:17" s="25" customFormat="1" hidden="1">
      <c r="A409" s="111">
        <v>4.8928754456018519E-2</v>
      </c>
      <c r="B409" t="s">
        <v>94</v>
      </c>
      <c r="C409"/>
      <c r="D409"/>
      <c r="E409" t="s">
        <v>108</v>
      </c>
      <c r="F409"/>
      <c r="G409" t="s">
        <v>98</v>
      </c>
      <c r="H409"/>
      <c r="I409" s="158">
        <v>46279.371388888889</v>
      </c>
      <c r="J409" t="s">
        <v>445</v>
      </c>
      <c r="K409" t="s">
        <v>443</v>
      </c>
      <c r="L409" s="157">
        <v>46277</v>
      </c>
      <c r="M409" t="s">
        <v>442</v>
      </c>
      <c r="N409" t="s">
        <v>231</v>
      </c>
      <c r="O409" t="s">
        <v>444</v>
      </c>
      <c r="P409" t="s">
        <v>94</v>
      </c>
      <c r="Q409" t="s">
        <v>247</v>
      </c>
    </row>
    <row r="410" spans="1:17" s="25" customFormat="1" hidden="1">
      <c r="A410" s="111">
        <v>4.8881999884259252E-2</v>
      </c>
      <c r="B410" t="s">
        <v>94</v>
      </c>
      <c r="C410"/>
      <c r="D410"/>
      <c r="E410" t="s">
        <v>108</v>
      </c>
      <c r="F410"/>
      <c r="G410" t="s">
        <v>98</v>
      </c>
      <c r="H410"/>
      <c r="I410" s="158">
        <v>46279.371319444443</v>
      </c>
      <c r="J410" t="s">
        <v>445</v>
      </c>
      <c r="K410" t="s">
        <v>443</v>
      </c>
      <c r="L410" s="157">
        <v>46277</v>
      </c>
      <c r="M410" t="s">
        <v>442</v>
      </c>
      <c r="N410" t="s">
        <v>231</v>
      </c>
      <c r="O410" t="s">
        <v>444</v>
      </c>
      <c r="P410" t="s">
        <v>94</v>
      </c>
      <c r="Q410" t="s">
        <v>247</v>
      </c>
    </row>
    <row r="411" spans="1:17" s="25" customFormat="1" hidden="1">
      <c r="A411" s="111">
        <v>4.8801942893518524E-2</v>
      </c>
      <c r="B411" t="s">
        <v>94</v>
      </c>
      <c r="C411" t="s">
        <v>468</v>
      </c>
      <c r="D411"/>
      <c r="E411" t="s">
        <v>111</v>
      </c>
      <c r="F411"/>
      <c r="G411" t="s">
        <v>98</v>
      </c>
      <c r="H411"/>
      <c r="I411" s="158">
        <v>46279.371168981481</v>
      </c>
      <c r="J411" t="s">
        <v>445</v>
      </c>
      <c r="K411" t="s">
        <v>443</v>
      </c>
      <c r="L411" s="157">
        <v>46277</v>
      </c>
      <c r="M411" t="s">
        <v>442</v>
      </c>
      <c r="N411" t="s">
        <v>231</v>
      </c>
      <c r="O411" t="s">
        <v>444</v>
      </c>
      <c r="P411" t="s">
        <v>94</v>
      </c>
      <c r="Q411" t="s">
        <v>247</v>
      </c>
    </row>
    <row r="412" spans="1:17" s="25" customFormat="1" hidden="1">
      <c r="A412" s="111">
        <v>4.874052103009259E-2</v>
      </c>
      <c r="B412" t="s">
        <v>94</v>
      </c>
      <c r="C412"/>
      <c r="D412"/>
      <c r="E412" t="s">
        <v>104</v>
      </c>
      <c r="F412"/>
      <c r="G412" t="s">
        <v>98</v>
      </c>
      <c r="H412"/>
      <c r="I412" s="158">
        <v>46279.371064814812</v>
      </c>
      <c r="J412" t="s">
        <v>445</v>
      </c>
      <c r="K412" t="s">
        <v>443</v>
      </c>
      <c r="L412" s="157">
        <v>46277</v>
      </c>
      <c r="M412" t="s">
        <v>442</v>
      </c>
      <c r="N412" t="s">
        <v>231</v>
      </c>
      <c r="O412" t="s">
        <v>444</v>
      </c>
      <c r="P412" t="s">
        <v>94</v>
      </c>
      <c r="Q412" t="s">
        <v>247</v>
      </c>
    </row>
    <row r="413" spans="1:17" s="25" customFormat="1" hidden="1">
      <c r="A413" s="111">
        <v>4.8183437870370369E-2</v>
      </c>
      <c r="B413" t="s">
        <v>94</v>
      </c>
      <c r="C413"/>
      <c r="D413"/>
      <c r="E413" t="s">
        <v>87</v>
      </c>
      <c r="F413"/>
      <c r="G413" t="s">
        <v>98</v>
      </c>
      <c r="H413"/>
      <c r="I413" s="158">
        <v>46279.370821759258</v>
      </c>
      <c r="J413" t="s">
        <v>445</v>
      </c>
      <c r="K413" t="s">
        <v>443</v>
      </c>
      <c r="L413" s="157">
        <v>46277</v>
      </c>
      <c r="M413" t="s">
        <v>442</v>
      </c>
      <c r="N413" t="s">
        <v>231</v>
      </c>
      <c r="O413" t="s">
        <v>444</v>
      </c>
      <c r="P413" t="s">
        <v>94</v>
      </c>
      <c r="Q413" t="s">
        <v>247</v>
      </c>
    </row>
    <row r="414" spans="1:17" s="25" customFormat="1" hidden="1">
      <c r="A414" s="111">
        <v>4.8183437870370369E-2</v>
      </c>
      <c r="B414" t="s">
        <v>94</v>
      </c>
      <c r="C414"/>
      <c r="D414"/>
      <c r="E414" t="s">
        <v>213</v>
      </c>
      <c r="F414" t="s">
        <v>207</v>
      </c>
      <c r="G414" t="s">
        <v>98</v>
      </c>
      <c r="H414"/>
      <c r="I414" s="158">
        <v>46279.370821759258</v>
      </c>
      <c r="J414" t="s">
        <v>445</v>
      </c>
      <c r="K414" t="s">
        <v>443</v>
      </c>
      <c r="L414" s="157">
        <v>46277</v>
      </c>
      <c r="M414" t="s">
        <v>442</v>
      </c>
      <c r="N414" t="s">
        <v>231</v>
      </c>
      <c r="O414" t="s">
        <v>444</v>
      </c>
      <c r="P414" t="s">
        <v>94</v>
      </c>
      <c r="Q414" t="s">
        <v>247</v>
      </c>
    </row>
    <row r="415" spans="1:17" s="25" customFormat="1" hidden="1">
      <c r="A415" s="111">
        <v>4.8113814340277783E-2</v>
      </c>
      <c r="B415" t="s">
        <v>94</v>
      </c>
      <c r="C415"/>
      <c r="D415"/>
      <c r="E415" t="s">
        <v>108</v>
      </c>
      <c r="F415"/>
      <c r="G415" t="s">
        <v>98</v>
      </c>
      <c r="H415"/>
      <c r="I415" s="158">
        <v>46279.370682870373</v>
      </c>
      <c r="J415" t="s">
        <v>445</v>
      </c>
      <c r="K415" t="s">
        <v>443</v>
      </c>
      <c r="L415" s="157">
        <v>46277</v>
      </c>
      <c r="M415" t="s">
        <v>442</v>
      </c>
      <c r="N415" t="s">
        <v>231</v>
      </c>
      <c r="O415" t="s">
        <v>444</v>
      </c>
      <c r="P415" t="s">
        <v>94</v>
      </c>
      <c r="Q415" t="s">
        <v>247</v>
      </c>
    </row>
    <row r="416" spans="1:17" s="25" customFormat="1" hidden="1">
      <c r="A416" s="111">
        <v>4.8113814340277783E-2</v>
      </c>
      <c r="B416" t="s">
        <v>94</v>
      </c>
      <c r="C416"/>
      <c r="D416"/>
      <c r="E416" t="s">
        <v>59</v>
      </c>
      <c r="F416"/>
      <c r="G416" t="s">
        <v>98</v>
      </c>
      <c r="H416"/>
      <c r="I416" s="158">
        <v>46279.370659722219</v>
      </c>
      <c r="J416" t="s">
        <v>445</v>
      </c>
      <c r="K416" t="s">
        <v>443</v>
      </c>
      <c r="L416" s="157">
        <v>46277</v>
      </c>
      <c r="M416" t="s">
        <v>442</v>
      </c>
      <c r="N416" t="s">
        <v>231</v>
      </c>
      <c r="O416" t="s">
        <v>444</v>
      </c>
      <c r="P416" t="s">
        <v>94</v>
      </c>
      <c r="Q416" t="s">
        <v>247</v>
      </c>
    </row>
    <row r="417" spans="1:17" s="25" customFormat="1" hidden="1">
      <c r="A417" s="111">
        <v>4.8009673171296299E-2</v>
      </c>
      <c r="B417" t="s">
        <v>94</v>
      </c>
      <c r="C417"/>
      <c r="D417"/>
      <c r="E417" t="s">
        <v>58</v>
      </c>
      <c r="F417"/>
      <c r="G417" t="s">
        <v>98</v>
      </c>
      <c r="H417"/>
      <c r="I417" s="158">
        <v>46279.370497685188</v>
      </c>
      <c r="J417" t="s">
        <v>445</v>
      </c>
      <c r="K417" t="s">
        <v>443</v>
      </c>
      <c r="L417" s="157">
        <v>46277</v>
      </c>
      <c r="M417" t="s">
        <v>442</v>
      </c>
      <c r="N417" t="s">
        <v>231</v>
      </c>
      <c r="O417" t="s">
        <v>444</v>
      </c>
      <c r="P417" t="s">
        <v>94</v>
      </c>
      <c r="Q417" t="s">
        <v>247</v>
      </c>
    </row>
    <row r="418" spans="1:17" s="25" customFormat="1" hidden="1">
      <c r="A418" s="111">
        <v>4.7883117847222219E-2</v>
      </c>
      <c r="B418" t="s">
        <v>94</v>
      </c>
      <c r="C418"/>
      <c r="D418"/>
      <c r="E418" t="s">
        <v>279</v>
      </c>
      <c r="F418"/>
      <c r="G418" t="s">
        <v>98</v>
      </c>
      <c r="H418"/>
      <c r="I418" s="158">
        <v>46279.370289351849</v>
      </c>
      <c r="J418" t="s">
        <v>445</v>
      </c>
      <c r="K418" t="s">
        <v>443</v>
      </c>
      <c r="L418" s="157">
        <v>46277</v>
      </c>
      <c r="M418" t="s">
        <v>442</v>
      </c>
      <c r="N418" t="s">
        <v>231</v>
      </c>
      <c r="O418" t="s">
        <v>444</v>
      </c>
      <c r="P418" t="s">
        <v>94</v>
      </c>
      <c r="Q418" t="s">
        <v>247</v>
      </c>
    </row>
    <row r="419" spans="1:17" s="25" customFormat="1" hidden="1">
      <c r="A419" s="111">
        <v>4.7800968831018517E-2</v>
      </c>
      <c r="B419" t="s">
        <v>94</v>
      </c>
      <c r="C419"/>
      <c r="D419"/>
      <c r="E419" t="s">
        <v>105</v>
      </c>
      <c r="F419"/>
      <c r="G419" t="s">
        <v>98</v>
      </c>
      <c r="H419"/>
      <c r="I419" s="158">
        <v>46279.370208333334</v>
      </c>
      <c r="J419" t="s">
        <v>445</v>
      </c>
      <c r="K419" t="s">
        <v>443</v>
      </c>
      <c r="L419" s="157">
        <v>46277</v>
      </c>
      <c r="M419" t="s">
        <v>442</v>
      </c>
      <c r="N419" t="s">
        <v>231</v>
      </c>
      <c r="O419" t="s">
        <v>444</v>
      </c>
      <c r="P419" t="s">
        <v>94</v>
      </c>
      <c r="Q419" t="s">
        <v>247</v>
      </c>
    </row>
    <row r="420" spans="1:17" s="25" customFormat="1" hidden="1">
      <c r="A420" s="111">
        <v>4.7384971805555558E-2</v>
      </c>
      <c r="B420" t="s">
        <v>94</v>
      </c>
      <c r="C420"/>
      <c r="D420"/>
      <c r="E420" t="s">
        <v>87</v>
      </c>
      <c r="F420"/>
      <c r="G420" t="s">
        <v>98</v>
      </c>
      <c r="H420"/>
      <c r="I420" s="158">
        <v>46279.370081018518</v>
      </c>
      <c r="J420" t="s">
        <v>445</v>
      </c>
      <c r="K420" t="s">
        <v>443</v>
      </c>
      <c r="L420" s="157">
        <v>46277</v>
      </c>
      <c r="M420" t="s">
        <v>442</v>
      </c>
      <c r="N420" t="s">
        <v>231</v>
      </c>
      <c r="O420" t="s">
        <v>444</v>
      </c>
      <c r="P420" t="s">
        <v>94</v>
      </c>
      <c r="Q420" t="s">
        <v>247</v>
      </c>
    </row>
    <row r="421" spans="1:17" s="25" customFormat="1" hidden="1">
      <c r="A421" s="111">
        <v>4.7384971805555558E-2</v>
      </c>
      <c r="B421" t="s">
        <v>94</v>
      </c>
      <c r="C421"/>
      <c r="D421"/>
      <c r="E421" t="s">
        <v>183</v>
      </c>
      <c r="F421"/>
      <c r="G421" t="s">
        <v>164</v>
      </c>
      <c r="H421"/>
      <c r="I421" s="158">
        <v>46279.370069444441</v>
      </c>
      <c r="J421" t="s">
        <v>445</v>
      </c>
      <c r="K421" t="s">
        <v>443</v>
      </c>
      <c r="L421" s="157">
        <v>46277</v>
      </c>
      <c r="M421" t="s">
        <v>442</v>
      </c>
      <c r="N421" t="s">
        <v>231</v>
      </c>
      <c r="O421" t="s">
        <v>444</v>
      </c>
      <c r="P421" t="s">
        <v>94</v>
      </c>
      <c r="Q421" t="s">
        <v>247</v>
      </c>
    </row>
    <row r="422" spans="1:17" s="25" customFormat="1" hidden="1">
      <c r="A422" s="111">
        <v>4.7309545798611109E-2</v>
      </c>
      <c r="B422" t="s">
        <v>94</v>
      </c>
      <c r="C422" t="s">
        <v>494</v>
      </c>
      <c r="D422"/>
      <c r="E422" t="s">
        <v>108</v>
      </c>
      <c r="F422"/>
      <c r="G422" t="s">
        <v>164</v>
      </c>
      <c r="H422"/>
      <c r="I422" s="158">
        <v>46279.368935185186</v>
      </c>
      <c r="J422" t="s">
        <v>445</v>
      </c>
      <c r="K422" t="s">
        <v>443</v>
      </c>
      <c r="L422" s="157">
        <v>46277</v>
      </c>
      <c r="M422" t="s">
        <v>442</v>
      </c>
      <c r="N422" t="s">
        <v>231</v>
      </c>
      <c r="O422" t="s">
        <v>444</v>
      </c>
      <c r="P422" t="s">
        <v>94</v>
      </c>
      <c r="Q422" t="s">
        <v>247</v>
      </c>
    </row>
    <row r="423" spans="1:17" s="25" customFormat="1">
      <c r="A423" s="111">
        <v>4.729382631944444E-2</v>
      </c>
      <c r="B423" t="s">
        <v>94</v>
      </c>
      <c r="C423"/>
      <c r="D423"/>
      <c r="E423" t="s">
        <v>304</v>
      </c>
      <c r="F423"/>
      <c r="G423" t="s">
        <v>164</v>
      </c>
      <c r="H423" t="s">
        <v>501</v>
      </c>
      <c r="I423" s="158">
        <v>46279.368055555555</v>
      </c>
      <c r="J423" t="s">
        <v>445</v>
      </c>
      <c r="K423" t="s">
        <v>443</v>
      </c>
      <c r="L423" s="157">
        <v>46277</v>
      </c>
      <c r="M423" t="s">
        <v>442</v>
      </c>
      <c r="N423" t="s">
        <v>231</v>
      </c>
      <c r="O423" t="s">
        <v>444</v>
      </c>
      <c r="P423" t="s">
        <v>94</v>
      </c>
      <c r="Q423" t="s">
        <v>247</v>
      </c>
    </row>
    <row r="424" spans="1:17" s="25" customFormat="1" hidden="1">
      <c r="A424" s="111">
        <v>4.7175066261574077E-2</v>
      </c>
      <c r="B424" t="s">
        <v>94</v>
      </c>
      <c r="C424"/>
      <c r="D424"/>
      <c r="E424" t="s">
        <v>105</v>
      </c>
      <c r="F424"/>
      <c r="G424"/>
      <c r="H424"/>
      <c r="I424" s="158">
        <v>46279.367673611108</v>
      </c>
      <c r="J424" t="s">
        <v>445</v>
      </c>
      <c r="K424" t="s">
        <v>443</v>
      </c>
      <c r="L424" s="157">
        <v>46277</v>
      </c>
      <c r="M424" t="s">
        <v>442</v>
      </c>
      <c r="N424" t="s">
        <v>231</v>
      </c>
      <c r="O424" t="s">
        <v>444</v>
      </c>
      <c r="P424" t="s">
        <v>94</v>
      </c>
      <c r="Q424" t="s">
        <v>247</v>
      </c>
    </row>
    <row r="425" spans="1:17" s="25" customFormat="1" hidden="1">
      <c r="A425" s="111">
        <v>4.6580695486111115E-2</v>
      </c>
      <c r="B425" t="s">
        <v>94</v>
      </c>
      <c r="C425"/>
      <c r="D425"/>
      <c r="E425" t="s">
        <v>87</v>
      </c>
      <c r="F425"/>
      <c r="G425" t="s">
        <v>164</v>
      </c>
      <c r="H425"/>
      <c r="I425" s="158">
        <v>46279.366875</v>
      </c>
      <c r="J425" t="s">
        <v>445</v>
      </c>
      <c r="K425" t="s">
        <v>443</v>
      </c>
      <c r="L425" s="157">
        <v>46277</v>
      </c>
      <c r="M425" t="s">
        <v>442</v>
      </c>
      <c r="N425" t="s">
        <v>231</v>
      </c>
      <c r="O425" t="s">
        <v>444</v>
      </c>
      <c r="P425" t="s">
        <v>94</v>
      </c>
      <c r="Q425" t="s">
        <v>247</v>
      </c>
    </row>
    <row r="426" spans="1:17" s="25" customFormat="1" hidden="1">
      <c r="A426" s="111">
        <v>4.6537373553240745E-2</v>
      </c>
      <c r="B426" t="s">
        <v>94</v>
      </c>
      <c r="C426" t="s">
        <v>82</v>
      </c>
      <c r="D426"/>
      <c r="E426" t="s">
        <v>183</v>
      </c>
      <c r="F426"/>
      <c r="G426" t="s">
        <v>98</v>
      </c>
      <c r="H426"/>
      <c r="I426" s="158">
        <v>46279.366863425923</v>
      </c>
      <c r="J426" t="s">
        <v>445</v>
      </c>
      <c r="K426" t="s">
        <v>443</v>
      </c>
      <c r="L426" s="157">
        <v>46277</v>
      </c>
      <c r="M426" t="s">
        <v>442</v>
      </c>
      <c r="N426" t="s">
        <v>231</v>
      </c>
      <c r="O426" t="s">
        <v>444</v>
      </c>
      <c r="P426" t="s">
        <v>94</v>
      </c>
      <c r="Q426" t="s">
        <v>247</v>
      </c>
    </row>
    <row r="427" spans="1:17" s="25" customFormat="1" hidden="1">
      <c r="A427" s="111">
        <v>4.6342309166666665E-2</v>
      </c>
      <c r="B427" t="s">
        <v>94</v>
      </c>
      <c r="C427" t="s">
        <v>468</v>
      </c>
      <c r="D427"/>
      <c r="E427" t="s">
        <v>111</v>
      </c>
      <c r="F427"/>
      <c r="G427" t="s">
        <v>98</v>
      </c>
      <c r="H427"/>
      <c r="I427" s="158">
        <v>46279.366805555554</v>
      </c>
      <c r="J427" t="s">
        <v>445</v>
      </c>
      <c r="K427" t="s">
        <v>443</v>
      </c>
      <c r="L427" s="157">
        <v>46277</v>
      </c>
      <c r="M427" t="s">
        <v>442</v>
      </c>
      <c r="N427" t="s">
        <v>231</v>
      </c>
      <c r="O427" t="s">
        <v>444</v>
      </c>
      <c r="P427" t="s">
        <v>94</v>
      </c>
      <c r="Q427" t="s">
        <v>247</v>
      </c>
    </row>
    <row r="428" spans="1:17" s="25" customFormat="1" hidden="1">
      <c r="A428" s="111">
        <v>4.6299311030092591E-2</v>
      </c>
      <c r="B428" t="s">
        <v>94</v>
      </c>
      <c r="C428"/>
      <c r="D428"/>
      <c r="E428" t="s">
        <v>104</v>
      </c>
      <c r="F428"/>
      <c r="G428" t="s">
        <v>98</v>
      </c>
      <c r="H428"/>
      <c r="I428" s="158">
        <v>46279.366550925923</v>
      </c>
      <c r="J428" t="s">
        <v>445</v>
      </c>
      <c r="K428" t="s">
        <v>443</v>
      </c>
      <c r="L428" s="157">
        <v>46277</v>
      </c>
      <c r="M428" t="s">
        <v>442</v>
      </c>
      <c r="N428" t="s">
        <v>231</v>
      </c>
      <c r="O428" t="s">
        <v>444</v>
      </c>
      <c r="P428" t="s">
        <v>94</v>
      </c>
      <c r="Q428" t="s">
        <v>247</v>
      </c>
    </row>
    <row r="429" spans="1:17" s="25" customFormat="1" hidden="1">
      <c r="A429" s="111">
        <v>4.5828559560185188E-2</v>
      </c>
      <c r="B429" t="s">
        <v>94</v>
      </c>
      <c r="C429"/>
      <c r="D429"/>
      <c r="E429" t="s">
        <v>87</v>
      </c>
      <c r="F429"/>
      <c r="G429" t="s">
        <v>164</v>
      </c>
      <c r="H429"/>
      <c r="I429" s="158">
        <v>46279.366203703707</v>
      </c>
      <c r="J429" t="s">
        <v>445</v>
      </c>
      <c r="K429" t="s">
        <v>443</v>
      </c>
      <c r="L429" s="157">
        <v>46277</v>
      </c>
      <c r="M429" t="s">
        <v>442</v>
      </c>
      <c r="N429" t="s">
        <v>231</v>
      </c>
      <c r="O429" t="s">
        <v>444</v>
      </c>
      <c r="P429" t="s">
        <v>94</v>
      </c>
      <c r="Q429" t="s">
        <v>247</v>
      </c>
    </row>
    <row r="430" spans="1:17" s="25" customFormat="1" hidden="1">
      <c r="A430" s="111">
        <v>4.5776092534722222E-2</v>
      </c>
      <c r="B430" t="s">
        <v>94</v>
      </c>
      <c r="C430"/>
      <c r="D430"/>
      <c r="E430" t="s">
        <v>184</v>
      </c>
      <c r="F430"/>
      <c r="G430" t="s">
        <v>164</v>
      </c>
      <c r="H430"/>
      <c r="I430" s="158">
        <v>46279.365995370368</v>
      </c>
      <c r="J430" t="s">
        <v>445</v>
      </c>
      <c r="K430" t="s">
        <v>443</v>
      </c>
      <c r="L430" s="157">
        <v>46277</v>
      </c>
      <c r="M430" t="s">
        <v>442</v>
      </c>
      <c r="N430" t="s">
        <v>231</v>
      </c>
      <c r="O430" t="s">
        <v>444</v>
      </c>
      <c r="P430" t="s">
        <v>94</v>
      </c>
      <c r="Q430" t="s">
        <v>247</v>
      </c>
    </row>
    <row r="431" spans="1:17" s="25" customFormat="1" hidden="1">
      <c r="A431" s="111">
        <v>4.569965570601852E-2</v>
      </c>
      <c r="B431" t="s">
        <v>94</v>
      </c>
      <c r="C431"/>
      <c r="D431"/>
      <c r="E431" t="s">
        <v>285</v>
      </c>
      <c r="F431"/>
      <c r="G431" t="s">
        <v>164</v>
      </c>
      <c r="H431"/>
      <c r="I431" s="158">
        <v>46279.365902777776</v>
      </c>
      <c r="J431" t="s">
        <v>445</v>
      </c>
      <c r="K431" t="s">
        <v>443</v>
      </c>
      <c r="L431" s="157">
        <v>46277</v>
      </c>
      <c r="M431" t="s">
        <v>442</v>
      </c>
      <c r="N431" t="s">
        <v>231</v>
      </c>
      <c r="O431" t="s">
        <v>444</v>
      </c>
      <c r="P431" t="s">
        <v>94</v>
      </c>
      <c r="Q431" t="s">
        <v>247</v>
      </c>
    </row>
    <row r="432" spans="1:17" s="25" customFormat="1" hidden="1">
      <c r="A432" s="111">
        <v>4.5659720601851854E-2</v>
      </c>
      <c r="B432" t="s">
        <v>94</v>
      </c>
      <c r="C432"/>
      <c r="D432"/>
      <c r="E432" t="s">
        <v>105</v>
      </c>
      <c r="F432"/>
      <c r="G432" t="s">
        <v>164</v>
      </c>
      <c r="H432"/>
      <c r="I432" s="158">
        <v>46279.365856481483</v>
      </c>
      <c r="J432" t="s">
        <v>445</v>
      </c>
      <c r="K432" t="s">
        <v>443</v>
      </c>
      <c r="L432" s="157">
        <v>46277</v>
      </c>
      <c r="M432" t="s">
        <v>442</v>
      </c>
      <c r="N432" t="s">
        <v>231</v>
      </c>
      <c r="O432" t="s">
        <v>444</v>
      </c>
      <c r="P432" t="s">
        <v>94</v>
      </c>
      <c r="Q432" t="s">
        <v>247</v>
      </c>
    </row>
    <row r="433" spans="1:17" s="25" customFormat="1" hidden="1">
      <c r="A433" s="111">
        <v>4.5302696307870365E-2</v>
      </c>
      <c r="B433" t="s">
        <v>94</v>
      </c>
      <c r="C433"/>
      <c r="D433"/>
      <c r="E433" t="s">
        <v>87</v>
      </c>
      <c r="F433"/>
      <c r="G433" t="s">
        <v>164</v>
      </c>
      <c r="H433"/>
      <c r="I433" s="158">
        <v>46279.365532407406</v>
      </c>
      <c r="J433" t="s">
        <v>445</v>
      </c>
      <c r="K433" t="s">
        <v>443</v>
      </c>
      <c r="L433" s="157">
        <v>46277</v>
      </c>
      <c r="M433" t="s">
        <v>442</v>
      </c>
      <c r="N433" t="s">
        <v>231</v>
      </c>
      <c r="O433" t="s">
        <v>444</v>
      </c>
      <c r="P433" t="s">
        <v>94</v>
      </c>
      <c r="Q433" t="s">
        <v>247</v>
      </c>
    </row>
    <row r="434" spans="1:17" s="25" customFormat="1" hidden="1">
      <c r="A434" s="111">
        <v>4.5302696307870365E-2</v>
      </c>
      <c r="B434" t="s">
        <v>94</v>
      </c>
      <c r="C434" t="s">
        <v>82</v>
      </c>
      <c r="D434"/>
      <c r="E434" t="s">
        <v>183</v>
      </c>
      <c r="F434"/>
      <c r="G434" t="s">
        <v>98</v>
      </c>
      <c r="H434"/>
      <c r="I434" s="158">
        <v>46279.365520833337</v>
      </c>
      <c r="J434" t="s">
        <v>445</v>
      </c>
      <c r="K434" t="s">
        <v>443</v>
      </c>
      <c r="L434" s="157">
        <v>46277</v>
      </c>
      <c r="M434" t="s">
        <v>442</v>
      </c>
      <c r="N434" t="s">
        <v>231</v>
      </c>
      <c r="O434" t="s">
        <v>444</v>
      </c>
      <c r="P434" t="s">
        <v>94</v>
      </c>
      <c r="Q434" t="s">
        <v>247</v>
      </c>
    </row>
    <row r="435" spans="1:17" s="25" customFormat="1" hidden="1">
      <c r="A435" s="111">
        <v>4.5256147418981478E-2</v>
      </c>
      <c r="B435" t="s">
        <v>94</v>
      </c>
      <c r="C435"/>
      <c r="D435"/>
      <c r="E435" t="s">
        <v>108</v>
      </c>
      <c r="F435"/>
      <c r="G435" t="s">
        <v>98</v>
      </c>
      <c r="H435"/>
      <c r="I435" s="158">
        <v>46279.365393518521</v>
      </c>
      <c r="J435" t="s">
        <v>445</v>
      </c>
      <c r="K435" t="s">
        <v>443</v>
      </c>
      <c r="L435" s="157">
        <v>46277</v>
      </c>
      <c r="M435" t="s">
        <v>442</v>
      </c>
      <c r="N435" t="s">
        <v>231</v>
      </c>
      <c r="O435" t="s">
        <v>444</v>
      </c>
      <c r="P435" t="s">
        <v>94</v>
      </c>
      <c r="Q435" t="s">
        <v>247</v>
      </c>
    </row>
    <row r="436" spans="1:17" s="25" customFormat="1" hidden="1">
      <c r="A436" s="111">
        <v>4.5204900601851852E-2</v>
      </c>
      <c r="B436" t="s">
        <v>94</v>
      </c>
      <c r="C436" t="s">
        <v>475</v>
      </c>
      <c r="D436"/>
      <c r="E436" t="s">
        <v>111</v>
      </c>
      <c r="F436"/>
      <c r="G436" t="s">
        <v>98</v>
      </c>
      <c r="H436"/>
      <c r="I436" s="158">
        <v>46279.365277777775</v>
      </c>
      <c r="J436" t="s">
        <v>445</v>
      </c>
      <c r="K436" t="s">
        <v>443</v>
      </c>
      <c r="L436" s="157">
        <v>46277</v>
      </c>
      <c r="M436" t="s">
        <v>442</v>
      </c>
      <c r="N436" t="s">
        <v>231</v>
      </c>
      <c r="O436" t="s">
        <v>444</v>
      </c>
      <c r="P436" t="s">
        <v>94</v>
      </c>
      <c r="Q436" t="s">
        <v>247</v>
      </c>
    </row>
    <row r="437" spans="1:17" s="25" customFormat="1" hidden="1">
      <c r="A437" s="111">
        <v>4.5165808449074078E-2</v>
      </c>
      <c r="B437" t="s">
        <v>94</v>
      </c>
      <c r="C437"/>
      <c r="D437"/>
      <c r="E437" t="s">
        <v>104</v>
      </c>
      <c r="F437"/>
      <c r="G437" t="s">
        <v>98</v>
      </c>
      <c r="H437"/>
      <c r="I437" s="158">
        <v>46279.365034722221</v>
      </c>
      <c r="J437" t="s">
        <v>445</v>
      </c>
      <c r="K437" t="s">
        <v>443</v>
      </c>
      <c r="L437" s="157">
        <v>46277</v>
      </c>
      <c r="M437" t="s">
        <v>442</v>
      </c>
      <c r="N437" t="s">
        <v>231</v>
      </c>
      <c r="O437" t="s">
        <v>444</v>
      </c>
      <c r="P437" t="s">
        <v>94</v>
      </c>
      <c r="Q437" t="s">
        <v>247</v>
      </c>
    </row>
    <row r="438" spans="1:17" s="25" customFormat="1" hidden="1">
      <c r="A438" s="111">
        <v>4.4962512094907411E-2</v>
      </c>
      <c r="B438" t="s">
        <v>94</v>
      </c>
      <c r="C438" t="s">
        <v>468</v>
      </c>
      <c r="D438"/>
      <c r="E438" t="s">
        <v>111</v>
      </c>
      <c r="F438"/>
      <c r="G438" t="s">
        <v>98</v>
      </c>
      <c r="H438"/>
      <c r="I438" s="158">
        <v>46279.365023148152</v>
      </c>
      <c r="J438" t="s">
        <v>445</v>
      </c>
      <c r="K438" t="s">
        <v>443</v>
      </c>
      <c r="L438" s="157">
        <v>46277</v>
      </c>
      <c r="M438" t="s">
        <v>442</v>
      </c>
      <c r="N438" t="s">
        <v>231</v>
      </c>
      <c r="O438" t="s">
        <v>444</v>
      </c>
      <c r="P438" t="s">
        <v>94</v>
      </c>
      <c r="Q438" t="s">
        <v>247</v>
      </c>
    </row>
    <row r="439" spans="1:17" s="25" customFormat="1" hidden="1">
      <c r="A439" s="111">
        <v>4.4398587326388891E-2</v>
      </c>
      <c r="B439" t="s">
        <v>94</v>
      </c>
      <c r="C439"/>
      <c r="D439"/>
      <c r="E439" t="s">
        <v>87</v>
      </c>
      <c r="F439"/>
      <c r="G439" t="s">
        <v>98</v>
      </c>
      <c r="H439"/>
      <c r="I439" s="158">
        <v>46279.364340277774</v>
      </c>
      <c r="J439" t="s">
        <v>445</v>
      </c>
      <c r="K439" t="s">
        <v>443</v>
      </c>
      <c r="L439" s="157">
        <v>46277</v>
      </c>
      <c r="M439" t="s">
        <v>442</v>
      </c>
      <c r="N439" t="s">
        <v>231</v>
      </c>
      <c r="O439" t="s">
        <v>444</v>
      </c>
      <c r="P439" t="s">
        <v>94</v>
      </c>
      <c r="Q439" t="s">
        <v>247</v>
      </c>
    </row>
    <row r="440" spans="1:17" s="25" customFormat="1" hidden="1">
      <c r="A440" s="111">
        <v>4.4398587326388891E-2</v>
      </c>
      <c r="B440" t="s">
        <v>94</v>
      </c>
      <c r="C440"/>
      <c r="D440"/>
      <c r="E440" t="s">
        <v>213</v>
      </c>
      <c r="F440" t="s">
        <v>208</v>
      </c>
      <c r="G440" t="s">
        <v>98</v>
      </c>
      <c r="H440"/>
      <c r="I440" s="158">
        <v>46279.364340277774</v>
      </c>
      <c r="J440" t="s">
        <v>445</v>
      </c>
      <c r="K440" t="s">
        <v>443</v>
      </c>
      <c r="L440" s="157">
        <v>46277</v>
      </c>
      <c r="M440" t="s">
        <v>442</v>
      </c>
      <c r="N440" t="s">
        <v>231</v>
      </c>
      <c r="O440" t="s">
        <v>444</v>
      </c>
      <c r="P440" t="s">
        <v>94</v>
      </c>
      <c r="Q440" t="s">
        <v>247</v>
      </c>
    </row>
    <row r="441" spans="1:17" s="25" customFormat="1" hidden="1">
      <c r="A441" s="111">
        <v>4.4346341932870369E-2</v>
      </c>
      <c r="B441" t="s">
        <v>94</v>
      </c>
      <c r="C441"/>
      <c r="D441"/>
      <c r="E441" t="s">
        <v>108</v>
      </c>
      <c r="F441"/>
      <c r="G441" t="s">
        <v>98</v>
      </c>
      <c r="H441"/>
      <c r="I441" s="158">
        <v>46279.364224537036</v>
      </c>
      <c r="J441" t="s">
        <v>445</v>
      </c>
      <c r="K441" t="s">
        <v>443</v>
      </c>
      <c r="L441" s="157">
        <v>46277</v>
      </c>
      <c r="M441" t="s">
        <v>442</v>
      </c>
      <c r="N441" t="s">
        <v>231</v>
      </c>
      <c r="O441" t="s">
        <v>444</v>
      </c>
      <c r="P441" t="s">
        <v>94</v>
      </c>
      <c r="Q441" t="s">
        <v>247</v>
      </c>
    </row>
    <row r="442" spans="1:17" s="25" customFormat="1" hidden="1">
      <c r="A442" s="111">
        <v>4.4317158541666665E-2</v>
      </c>
      <c r="B442" t="s">
        <v>94</v>
      </c>
      <c r="C442"/>
      <c r="D442"/>
      <c r="E442" t="s">
        <v>59</v>
      </c>
      <c r="F442"/>
      <c r="G442" t="s">
        <v>98</v>
      </c>
      <c r="H442"/>
      <c r="I442" s="158">
        <v>46279.364178240743</v>
      </c>
      <c r="J442" t="s">
        <v>445</v>
      </c>
      <c r="K442" t="s">
        <v>443</v>
      </c>
      <c r="L442" s="157">
        <v>46277</v>
      </c>
      <c r="M442" t="s">
        <v>442</v>
      </c>
      <c r="N442" t="s">
        <v>231</v>
      </c>
      <c r="O442" t="s">
        <v>444</v>
      </c>
      <c r="P442" t="s">
        <v>94</v>
      </c>
      <c r="Q442" t="s">
        <v>247</v>
      </c>
    </row>
    <row r="443" spans="1:17" s="25" customFormat="1" hidden="1">
      <c r="A443" s="111">
        <v>4.4271564999999999E-2</v>
      </c>
      <c r="B443" t="s">
        <v>94</v>
      </c>
      <c r="C443"/>
      <c r="D443"/>
      <c r="E443" t="s">
        <v>108</v>
      </c>
      <c r="F443"/>
      <c r="G443" t="s">
        <v>98</v>
      </c>
      <c r="H443"/>
      <c r="I443" s="158">
        <v>46279.363981481481</v>
      </c>
      <c r="J443" t="s">
        <v>445</v>
      </c>
      <c r="K443" t="s">
        <v>443</v>
      </c>
      <c r="L443" s="157">
        <v>46277</v>
      </c>
      <c r="M443" t="s">
        <v>442</v>
      </c>
      <c r="N443" t="s">
        <v>231</v>
      </c>
      <c r="O443" t="s">
        <v>444</v>
      </c>
      <c r="P443" t="s">
        <v>94</v>
      </c>
      <c r="Q443" t="s">
        <v>247</v>
      </c>
    </row>
    <row r="444" spans="1:17" s="25" customFormat="1" hidden="1">
      <c r="A444" s="111">
        <v>4.4196236377314811E-2</v>
      </c>
      <c r="B444" t="s">
        <v>94</v>
      </c>
      <c r="C444"/>
      <c r="D444"/>
      <c r="E444" t="s">
        <v>108</v>
      </c>
      <c r="F444"/>
      <c r="G444" t="s">
        <v>98</v>
      </c>
      <c r="H444"/>
      <c r="I444" s="158">
        <v>46279.363865740743</v>
      </c>
      <c r="J444" t="s">
        <v>445</v>
      </c>
      <c r="K444" t="s">
        <v>443</v>
      </c>
      <c r="L444" s="157">
        <v>46277</v>
      </c>
      <c r="M444" t="s">
        <v>442</v>
      </c>
      <c r="N444" t="s">
        <v>231</v>
      </c>
      <c r="O444" t="s">
        <v>444</v>
      </c>
      <c r="P444" t="s">
        <v>94</v>
      </c>
      <c r="Q444" t="s">
        <v>247</v>
      </c>
    </row>
    <row r="445" spans="1:17" s="25" customFormat="1" hidden="1">
      <c r="A445" s="111">
        <v>4.4132579942129629E-2</v>
      </c>
      <c r="B445" t="s">
        <v>94</v>
      </c>
      <c r="C445"/>
      <c r="D445"/>
      <c r="E445" t="s">
        <v>186</v>
      </c>
      <c r="F445"/>
      <c r="G445" t="s">
        <v>98</v>
      </c>
      <c r="H445"/>
      <c r="I445" s="158">
        <v>46279.363761574074</v>
      </c>
      <c r="J445" t="s">
        <v>445</v>
      </c>
      <c r="K445" t="s">
        <v>443</v>
      </c>
      <c r="L445" s="157">
        <v>46277</v>
      </c>
      <c r="M445" t="s">
        <v>442</v>
      </c>
      <c r="N445" t="s">
        <v>231</v>
      </c>
      <c r="O445" t="s">
        <v>444</v>
      </c>
      <c r="P445" t="s">
        <v>94</v>
      </c>
      <c r="Q445" t="s">
        <v>247</v>
      </c>
    </row>
    <row r="446" spans="1:17" s="25" customFormat="1" hidden="1">
      <c r="A446" s="111">
        <v>4.4092234189814818E-2</v>
      </c>
      <c r="B446" t="s">
        <v>94</v>
      </c>
      <c r="C446"/>
      <c r="D446"/>
      <c r="E446" t="s">
        <v>184</v>
      </c>
      <c r="F446"/>
      <c r="G446" t="s">
        <v>164</v>
      </c>
      <c r="H446"/>
      <c r="I446" s="158">
        <v>46279.363680555558</v>
      </c>
      <c r="J446" t="s">
        <v>445</v>
      </c>
      <c r="K446" t="s">
        <v>443</v>
      </c>
      <c r="L446" s="157">
        <v>46277</v>
      </c>
      <c r="M446" t="s">
        <v>442</v>
      </c>
      <c r="N446" t="s">
        <v>231</v>
      </c>
      <c r="O446" t="s">
        <v>444</v>
      </c>
      <c r="P446" t="s">
        <v>94</v>
      </c>
      <c r="Q446" t="s">
        <v>247</v>
      </c>
    </row>
    <row r="447" spans="1:17" s="25" customFormat="1" hidden="1">
      <c r="A447" s="111">
        <v>4.3982017372685187E-2</v>
      </c>
      <c r="B447" t="s">
        <v>94</v>
      </c>
      <c r="C447"/>
      <c r="D447"/>
      <c r="E447" t="s">
        <v>113</v>
      </c>
      <c r="F447"/>
      <c r="G447" t="s">
        <v>164</v>
      </c>
      <c r="H447"/>
      <c r="I447" s="158">
        <v>46279.363530092596</v>
      </c>
      <c r="J447" t="s">
        <v>445</v>
      </c>
      <c r="K447" t="s">
        <v>443</v>
      </c>
      <c r="L447" s="157">
        <v>46277</v>
      </c>
      <c r="M447" t="s">
        <v>442</v>
      </c>
      <c r="N447" t="s">
        <v>231</v>
      </c>
      <c r="O447" t="s">
        <v>444</v>
      </c>
      <c r="P447" t="s">
        <v>94</v>
      </c>
      <c r="Q447" t="s">
        <v>247</v>
      </c>
    </row>
    <row r="448" spans="1:17" s="25" customFormat="1" hidden="1">
      <c r="A448" s="111">
        <v>4.3964620231481483E-2</v>
      </c>
      <c r="B448" t="s">
        <v>94</v>
      </c>
      <c r="C448"/>
      <c r="D448"/>
      <c r="E448" t="s">
        <v>104</v>
      </c>
      <c r="F448"/>
      <c r="G448" t="s">
        <v>164</v>
      </c>
      <c r="H448"/>
      <c r="I448" s="158">
        <v>46279.36347222222</v>
      </c>
      <c r="J448" t="s">
        <v>445</v>
      </c>
      <c r="K448" t="s">
        <v>443</v>
      </c>
      <c r="L448" s="157">
        <v>46277</v>
      </c>
      <c r="M448" t="s">
        <v>442</v>
      </c>
      <c r="N448" t="s">
        <v>231</v>
      </c>
      <c r="O448" t="s">
        <v>444</v>
      </c>
      <c r="P448" t="s">
        <v>94</v>
      </c>
      <c r="Q448" t="s">
        <v>247</v>
      </c>
    </row>
    <row r="449" spans="1:17" s="25" customFormat="1" hidden="1">
      <c r="A449" s="111">
        <v>4.3541562245370369E-2</v>
      </c>
      <c r="B449" t="s">
        <v>94</v>
      </c>
      <c r="C449"/>
      <c r="D449"/>
      <c r="E449" t="s">
        <v>87</v>
      </c>
      <c r="F449"/>
      <c r="G449" t="s">
        <v>164</v>
      </c>
      <c r="H449"/>
      <c r="I449" s="158">
        <v>46279.362812500003</v>
      </c>
      <c r="J449" t="s">
        <v>445</v>
      </c>
      <c r="K449" t="s">
        <v>443</v>
      </c>
      <c r="L449" s="157">
        <v>46277</v>
      </c>
      <c r="M449" t="s">
        <v>442</v>
      </c>
      <c r="N449" t="s">
        <v>231</v>
      </c>
      <c r="O449" t="s">
        <v>444</v>
      </c>
      <c r="P449" t="s">
        <v>94</v>
      </c>
      <c r="Q449" t="s">
        <v>247</v>
      </c>
    </row>
    <row r="450" spans="1:17" s="25" customFormat="1" hidden="1">
      <c r="A450" s="111">
        <v>4.3541562245370369E-2</v>
      </c>
      <c r="B450" t="s">
        <v>94</v>
      </c>
      <c r="C450" t="s">
        <v>82</v>
      </c>
      <c r="D450"/>
      <c r="E450" t="s">
        <v>183</v>
      </c>
      <c r="F450"/>
      <c r="G450" t="s">
        <v>98</v>
      </c>
      <c r="H450"/>
      <c r="I450" s="158">
        <v>46279.362800925926</v>
      </c>
      <c r="J450" t="s">
        <v>445</v>
      </c>
      <c r="K450" t="s">
        <v>443</v>
      </c>
      <c r="L450" s="157">
        <v>46277</v>
      </c>
      <c r="M450" t="s">
        <v>442</v>
      </c>
      <c r="N450" t="s">
        <v>231</v>
      </c>
      <c r="O450" t="s">
        <v>444</v>
      </c>
      <c r="P450" t="s">
        <v>94</v>
      </c>
      <c r="Q450" t="s">
        <v>247</v>
      </c>
    </row>
    <row r="451" spans="1:17" s="25" customFormat="1" hidden="1">
      <c r="A451" s="111">
        <v>4.3501098449074072E-2</v>
      </c>
      <c r="B451" t="s">
        <v>94</v>
      </c>
      <c r="C451"/>
      <c r="D451"/>
      <c r="E451" t="s">
        <v>108</v>
      </c>
      <c r="F451"/>
      <c r="G451" t="s">
        <v>98</v>
      </c>
      <c r="H451"/>
      <c r="I451" s="158">
        <v>46279.362708333334</v>
      </c>
      <c r="J451" t="s">
        <v>445</v>
      </c>
      <c r="K451" t="s">
        <v>443</v>
      </c>
      <c r="L451" s="157">
        <v>46277</v>
      </c>
      <c r="M451" t="s">
        <v>442</v>
      </c>
      <c r="N451" t="s">
        <v>231</v>
      </c>
      <c r="O451" t="s">
        <v>444</v>
      </c>
      <c r="P451" t="s">
        <v>94</v>
      </c>
      <c r="Q451" t="s">
        <v>247</v>
      </c>
    </row>
    <row r="452" spans="1:17" s="25" customFormat="1">
      <c r="A452" s="111">
        <v>4.3443268599537038E-2</v>
      </c>
      <c r="B452" t="s">
        <v>94</v>
      </c>
      <c r="C452" t="s">
        <v>469</v>
      </c>
      <c r="D452"/>
      <c r="E452" t="s">
        <v>304</v>
      </c>
      <c r="F452"/>
      <c r="G452" t="s">
        <v>98</v>
      </c>
      <c r="H452"/>
      <c r="I452" s="158">
        <v>46279.362361111111</v>
      </c>
      <c r="J452" t="s">
        <v>445</v>
      </c>
      <c r="K452" t="s">
        <v>443</v>
      </c>
      <c r="L452" s="157">
        <v>46277</v>
      </c>
      <c r="M452" t="s">
        <v>442</v>
      </c>
      <c r="N452" t="s">
        <v>231</v>
      </c>
      <c r="O452" t="s">
        <v>444</v>
      </c>
      <c r="P452" t="s">
        <v>94</v>
      </c>
      <c r="Q452" t="s">
        <v>247</v>
      </c>
    </row>
    <row r="453" spans="1:17" s="25" customFormat="1" hidden="1">
      <c r="A453" s="111">
        <v>4.3414421238425926E-2</v>
      </c>
      <c r="B453" t="s">
        <v>94</v>
      </c>
      <c r="C453"/>
      <c r="D453"/>
      <c r="E453" t="s">
        <v>108</v>
      </c>
      <c r="F453"/>
      <c r="G453" t="s">
        <v>98</v>
      </c>
      <c r="H453"/>
      <c r="I453" s="158">
        <v>46279.36209490741</v>
      </c>
      <c r="J453" t="s">
        <v>445</v>
      </c>
      <c r="K453" t="s">
        <v>443</v>
      </c>
      <c r="L453" s="157">
        <v>46277</v>
      </c>
      <c r="M453" t="s">
        <v>442</v>
      </c>
      <c r="N453" t="s">
        <v>231</v>
      </c>
      <c r="O453" t="s">
        <v>444</v>
      </c>
      <c r="P453" t="s">
        <v>94</v>
      </c>
      <c r="Q453" t="s">
        <v>247</v>
      </c>
    </row>
    <row r="454" spans="1:17" s="25" customFormat="1" hidden="1">
      <c r="A454" s="111">
        <v>4.3350607141203701E-2</v>
      </c>
      <c r="B454" t="s">
        <v>94</v>
      </c>
      <c r="C454"/>
      <c r="D454"/>
      <c r="E454" t="s">
        <v>108</v>
      </c>
      <c r="F454"/>
      <c r="G454" t="s">
        <v>98</v>
      </c>
      <c r="H454"/>
      <c r="I454" s="158">
        <v>46279.361967592595</v>
      </c>
      <c r="J454" t="s">
        <v>445</v>
      </c>
      <c r="K454" t="s">
        <v>443</v>
      </c>
      <c r="L454" s="157">
        <v>46277</v>
      </c>
      <c r="M454" t="s">
        <v>442</v>
      </c>
      <c r="N454" t="s">
        <v>231</v>
      </c>
      <c r="O454" t="s">
        <v>444</v>
      </c>
      <c r="P454" t="s">
        <v>94</v>
      </c>
      <c r="Q454" t="s">
        <v>247</v>
      </c>
    </row>
    <row r="455" spans="1:17" s="25" customFormat="1" hidden="1">
      <c r="A455" s="111">
        <v>4.3345648912037037E-2</v>
      </c>
      <c r="B455" t="s">
        <v>94</v>
      </c>
      <c r="C455"/>
      <c r="D455"/>
      <c r="E455" t="s">
        <v>183</v>
      </c>
      <c r="F455"/>
      <c r="G455" t="s">
        <v>164</v>
      </c>
      <c r="H455"/>
      <c r="I455" s="158">
        <v>46279.361701388887</v>
      </c>
      <c r="J455" t="s">
        <v>445</v>
      </c>
      <c r="K455" t="s">
        <v>443</v>
      </c>
      <c r="L455" s="157">
        <v>46277</v>
      </c>
      <c r="M455" t="s">
        <v>442</v>
      </c>
      <c r="N455" t="s">
        <v>231</v>
      </c>
      <c r="O455" t="s">
        <v>444</v>
      </c>
      <c r="P455" t="s">
        <v>94</v>
      </c>
      <c r="Q455" t="s">
        <v>247</v>
      </c>
    </row>
    <row r="456" spans="1:17" s="25" customFormat="1" hidden="1">
      <c r="A456" s="111">
        <v>4.3311711550925926E-2</v>
      </c>
      <c r="B456" t="s">
        <v>94</v>
      </c>
      <c r="C456" t="s">
        <v>491</v>
      </c>
      <c r="D456"/>
      <c r="E456" t="s">
        <v>108</v>
      </c>
      <c r="F456"/>
      <c r="G456" t="s">
        <v>164</v>
      </c>
      <c r="H456"/>
      <c r="I456" s="158">
        <v>46279.361493055556</v>
      </c>
      <c r="J456" t="s">
        <v>445</v>
      </c>
      <c r="K456" t="s">
        <v>443</v>
      </c>
      <c r="L456" s="157">
        <v>46277</v>
      </c>
      <c r="M456" t="s">
        <v>442</v>
      </c>
      <c r="N456" t="s">
        <v>231</v>
      </c>
      <c r="O456" t="s">
        <v>444</v>
      </c>
      <c r="P456" t="s">
        <v>94</v>
      </c>
      <c r="Q456" t="s">
        <v>247</v>
      </c>
    </row>
    <row r="457" spans="1:17" s="25" customFormat="1" hidden="1">
      <c r="A457" s="111">
        <v>4.3243111342592594E-2</v>
      </c>
      <c r="B457" t="s">
        <v>94</v>
      </c>
      <c r="C457"/>
      <c r="D457"/>
      <c r="E457" t="s">
        <v>188</v>
      </c>
      <c r="F457"/>
      <c r="G457" t="s">
        <v>164</v>
      </c>
      <c r="H457"/>
      <c r="I457" s="158">
        <v>46279.361180555556</v>
      </c>
      <c r="J457" t="s">
        <v>445</v>
      </c>
      <c r="K457" t="s">
        <v>443</v>
      </c>
      <c r="L457" s="157">
        <v>46277</v>
      </c>
      <c r="M457" t="s">
        <v>442</v>
      </c>
      <c r="N457" t="s">
        <v>231</v>
      </c>
      <c r="O457" t="s">
        <v>444</v>
      </c>
      <c r="P457" t="s">
        <v>94</v>
      </c>
      <c r="Q457" t="s">
        <v>247</v>
      </c>
    </row>
    <row r="458" spans="1:17" s="25" customFormat="1" hidden="1">
      <c r="A458" s="111">
        <v>4.3173380451388889E-2</v>
      </c>
      <c r="B458" t="s">
        <v>94</v>
      </c>
      <c r="C458"/>
      <c r="D458"/>
      <c r="E458" t="s">
        <v>184</v>
      </c>
      <c r="F458"/>
      <c r="G458" t="s">
        <v>98</v>
      </c>
      <c r="H458"/>
      <c r="I458" s="158">
        <v>46279.361076388886</v>
      </c>
      <c r="J458" t="s">
        <v>445</v>
      </c>
      <c r="K458" t="s">
        <v>443</v>
      </c>
      <c r="L458" s="157">
        <v>46277</v>
      </c>
      <c r="M458" t="s">
        <v>442</v>
      </c>
      <c r="N458" t="s">
        <v>231</v>
      </c>
      <c r="O458" t="s">
        <v>444</v>
      </c>
      <c r="P458" t="s">
        <v>94</v>
      </c>
      <c r="Q458" t="s">
        <v>247</v>
      </c>
    </row>
    <row r="459" spans="1:17" s="25" customFormat="1" hidden="1">
      <c r="A459" s="111">
        <v>4.3080714652777775E-2</v>
      </c>
      <c r="B459" t="s">
        <v>94</v>
      </c>
      <c r="C459"/>
      <c r="D459"/>
      <c r="E459" t="s">
        <v>183</v>
      </c>
      <c r="F459"/>
      <c r="G459" t="s">
        <v>164</v>
      </c>
      <c r="H459"/>
      <c r="I459" s="158">
        <v>46279.360891203702</v>
      </c>
      <c r="J459" t="s">
        <v>445</v>
      </c>
      <c r="K459" t="s">
        <v>443</v>
      </c>
      <c r="L459" s="157">
        <v>46277</v>
      </c>
      <c r="M459" t="s">
        <v>442</v>
      </c>
      <c r="N459" t="s">
        <v>231</v>
      </c>
      <c r="O459" t="s">
        <v>444</v>
      </c>
      <c r="P459" t="s">
        <v>94</v>
      </c>
      <c r="Q459" t="s">
        <v>247</v>
      </c>
    </row>
    <row r="460" spans="1:17" s="25" customFormat="1" hidden="1">
      <c r="A460" s="111">
        <v>4.3033975428240737E-2</v>
      </c>
      <c r="B460" t="s">
        <v>94</v>
      </c>
      <c r="C460" t="s">
        <v>490</v>
      </c>
      <c r="D460"/>
      <c r="E460" t="s">
        <v>108</v>
      </c>
      <c r="F460"/>
      <c r="G460" t="s">
        <v>164</v>
      </c>
      <c r="H460"/>
      <c r="I460" s="158">
        <v>46279.360775462963</v>
      </c>
      <c r="J460" t="s">
        <v>445</v>
      </c>
      <c r="K460" t="s">
        <v>443</v>
      </c>
      <c r="L460" s="157">
        <v>46277</v>
      </c>
      <c r="M460" t="s">
        <v>442</v>
      </c>
      <c r="N460" t="s">
        <v>231</v>
      </c>
      <c r="O460" t="s">
        <v>444</v>
      </c>
      <c r="P460" t="s">
        <v>94</v>
      </c>
      <c r="Q460" t="s">
        <v>247</v>
      </c>
    </row>
    <row r="461" spans="1:17" s="25" customFormat="1" hidden="1">
      <c r="A461" s="111">
        <v>4.2929646134259258E-2</v>
      </c>
      <c r="B461" t="s">
        <v>94</v>
      </c>
      <c r="C461"/>
      <c r="D461"/>
      <c r="E461" t="s">
        <v>113</v>
      </c>
      <c r="F461"/>
      <c r="G461" t="s">
        <v>164</v>
      </c>
      <c r="H461"/>
      <c r="I461" s="158">
        <v>46279.360486111109</v>
      </c>
      <c r="J461" t="s">
        <v>445</v>
      </c>
      <c r="K461" t="s">
        <v>443</v>
      </c>
      <c r="L461" s="157">
        <v>46277</v>
      </c>
      <c r="M461" t="s">
        <v>442</v>
      </c>
      <c r="N461" t="s">
        <v>231</v>
      </c>
      <c r="O461" t="s">
        <v>444</v>
      </c>
      <c r="P461" t="s">
        <v>94</v>
      </c>
      <c r="Q461" t="s">
        <v>247</v>
      </c>
    </row>
    <row r="462" spans="1:17" s="25" customFormat="1" hidden="1">
      <c r="A462" s="111">
        <v>4.2836996655092593E-2</v>
      </c>
      <c r="B462" t="s">
        <v>94</v>
      </c>
      <c r="C462"/>
      <c r="D462"/>
      <c r="E462" t="s">
        <v>104</v>
      </c>
      <c r="F462"/>
      <c r="G462" t="s">
        <v>98</v>
      </c>
      <c r="H462"/>
      <c r="I462" s="158">
        <v>46279.359942129631</v>
      </c>
      <c r="J462" t="s">
        <v>445</v>
      </c>
      <c r="K462" t="s">
        <v>443</v>
      </c>
      <c r="L462" s="157">
        <v>46277</v>
      </c>
      <c r="M462" t="s">
        <v>442</v>
      </c>
      <c r="N462" t="s">
        <v>231</v>
      </c>
      <c r="O462" t="s">
        <v>444</v>
      </c>
      <c r="P462" t="s">
        <v>94</v>
      </c>
      <c r="Q462" t="s">
        <v>247</v>
      </c>
    </row>
    <row r="463" spans="1:17" s="25" customFormat="1" hidden="1">
      <c r="A463" s="111">
        <v>4.2372357314814819E-2</v>
      </c>
      <c r="B463" t="s">
        <v>94</v>
      </c>
      <c r="C463"/>
      <c r="D463"/>
      <c r="E463" t="s">
        <v>87</v>
      </c>
      <c r="F463"/>
      <c r="G463" t="s">
        <v>98</v>
      </c>
      <c r="H463"/>
      <c r="I463" s="158">
        <v>46279.359826388885</v>
      </c>
      <c r="J463" t="s">
        <v>445</v>
      </c>
      <c r="K463" t="s">
        <v>443</v>
      </c>
      <c r="L463" s="157">
        <v>46277</v>
      </c>
      <c r="M463" t="s">
        <v>442</v>
      </c>
      <c r="N463" t="s">
        <v>231</v>
      </c>
      <c r="O463" t="s">
        <v>444</v>
      </c>
      <c r="P463" t="s">
        <v>94</v>
      </c>
      <c r="Q463" t="s">
        <v>247</v>
      </c>
    </row>
    <row r="464" spans="1:17" s="25" customFormat="1" hidden="1">
      <c r="A464" s="111">
        <v>4.231075912037037E-2</v>
      </c>
      <c r="B464" t="s">
        <v>94</v>
      </c>
      <c r="C464"/>
      <c r="D464"/>
      <c r="E464" t="s">
        <v>184</v>
      </c>
      <c r="F464"/>
      <c r="G464" t="s">
        <v>98</v>
      </c>
      <c r="H464"/>
      <c r="I464" s="158">
        <v>46279.35974537037</v>
      </c>
      <c r="J464" t="s">
        <v>445</v>
      </c>
      <c r="K464" t="s">
        <v>443</v>
      </c>
      <c r="L464" s="157">
        <v>46277</v>
      </c>
      <c r="M464" t="s">
        <v>442</v>
      </c>
      <c r="N464" t="s">
        <v>231</v>
      </c>
      <c r="O464" t="s">
        <v>444</v>
      </c>
      <c r="P464" t="s">
        <v>94</v>
      </c>
      <c r="Q464" t="s">
        <v>247</v>
      </c>
    </row>
    <row r="465" spans="1:17" s="25" customFormat="1" hidden="1">
      <c r="A465" s="111">
        <v>4.2187159687500003E-2</v>
      </c>
      <c r="B465" t="s">
        <v>94</v>
      </c>
      <c r="C465"/>
      <c r="D465"/>
      <c r="E465" t="s">
        <v>110</v>
      </c>
      <c r="F465"/>
      <c r="G465" t="s">
        <v>98</v>
      </c>
      <c r="H465"/>
      <c r="I465" s="158">
        <v>46279.359340277777</v>
      </c>
      <c r="J465" t="s">
        <v>445</v>
      </c>
      <c r="K465" t="s">
        <v>443</v>
      </c>
      <c r="L465" s="157">
        <v>46277</v>
      </c>
      <c r="M465" t="s">
        <v>442</v>
      </c>
      <c r="N465" t="s">
        <v>231</v>
      </c>
      <c r="O465" t="s">
        <v>444</v>
      </c>
      <c r="P465" t="s">
        <v>94</v>
      </c>
      <c r="Q465" t="s">
        <v>247</v>
      </c>
    </row>
    <row r="466" spans="1:17" s="25" customFormat="1" hidden="1">
      <c r="A466" s="111">
        <v>4.2107190219907407E-2</v>
      </c>
      <c r="B466" t="s">
        <v>94</v>
      </c>
      <c r="C466"/>
      <c r="D466"/>
      <c r="E466" t="s">
        <v>104</v>
      </c>
      <c r="F466"/>
      <c r="G466" t="s">
        <v>164</v>
      </c>
      <c r="H466"/>
      <c r="I466" s="158">
        <v>46279.359259259261</v>
      </c>
      <c r="J466" t="s">
        <v>445</v>
      </c>
      <c r="K466" t="s">
        <v>443</v>
      </c>
      <c r="L466" s="157">
        <v>46277</v>
      </c>
      <c r="M466" t="s">
        <v>442</v>
      </c>
      <c r="N466" t="s">
        <v>231</v>
      </c>
      <c r="O466" t="s">
        <v>444</v>
      </c>
      <c r="P466" t="s">
        <v>94</v>
      </c>
      <c r="Q466" t="s">
        <v>247</v>
      </c>
    </row>
    <row r="467" spans="1:17" s="25" customFormat="1" hidden="1">
      <c r="A467" s="111">
        <v>4.1717872951388887E-2</v>
      </c>
      <c r="B467" t="s">
        <v>94</v>
      </c>
      <c r="C467"/>
      <c r="D467"/>
      <c r="E467" t="s">
        <v>87</v>
      </c>
      <c r="F467"/>
      <c r="G467" t="s">
        <v>164</v>
      </c>
      <c r="H467"/>
      <c r="I467" s="158">
        <v>46279.358935185184</v>
      </c>
      <c r="J467" t="s">
        <v>445</v>
      </c>
      <c r="K467" t="s">
        <v>443</v>
      </c>
      <c r="L467" s="157">
        <v>46277</v>
      </c>
      <c r="M467" t="s">
        <v>442</v>
      </c>
      <c r="N467" t="s">
        <v>231</v>
      </c>
      <c r="O467" t="s">
        <v>444</v>
      </c>
      <c r="P467" t="s">
        <v>94</v>
      </c>
      <c r="Q467" t="s">
        <v>247</v>
      </c>
    </row>
    <row r="468" spans="1:17" s="25" customFormat="1" hidden="1">
      <c r="A468" s="111">
        <v>4.1717872951388887E-2</v>
      </c>
      <c r="B468" t="s">
        <v>94</v>
      </c>
      <c r="C468" t="s">
        <v>82</v>
      </c>
      <c r="D468" t="s">
        <v>82</v>
      </c>
      <c r="E468" t="s">
        <v>214</v>
      </c>
      <c r="F468" t="s">
        <v>208</v>
      </c>
      <c r="G468" t="s">
        <v>164</v>
      </c>
      <c r="H468"/>
      <c r="I468" s="158">
        <v>46279.358935185184</v>
      </c>
      <c r="J468" t="s">
        <v>445</v>
      </c>
      <c r="K468" t="s">
        <v>443</v>
      </c>
      <c r="L468" s="157">
        <v>46277</v>
      </c>
      <c r="M468" t="s">
        <v>442</v>
      </c>
      <c r="N468" t="s">
        <v>231</v>
      </c>
      <c r="O468" t="s">
        <v>444</v>
      </c>
      <c r="P468" t="s">
        <v>94</v>
      </c>
      <c r="Q468" t="s">
        <v>247</v>
      </c>
    </row>
    <row r="469" spans="1:17" s="25" customFormat="1" hidden="1">
      <c r="A469" s="111">
        <v>4.1625208090277775E-2</v>
      </c>
      <c r="B469" t="s">
        <v>94</v>
      </c>
      <c r="C469" t="s">
        <v>449</v>
      </c>
      <c r="D469"/>
      <c r="E469" t="s">
        <v>108</v>
      </c>
      <c r="F469"/>
      <c r="G469" t="s">
        <v>164</v>
      </c>
      <c r="H469"/>
      <c r="I469" s="158">
        <v>46279.358738425923</v>
      </c>
      <c r="J469" t="s">
        <v>445</v>
      </c>
      <c r="K469" t="s">
        <v>443</v>
      </c>
      <c r="L469" s="157">
        <v>46277</v>
      </c>
      <c r="M469" t="s">
        <v>442</v>
      </c>
      <c r="N469" t="s">
        <v>231</v>
      </c>
      <c r="O469" t="s">
        <v>444</v>
      </c>
      <c r="P469" t="s">
        <v>94</v>
      </c>
      <c r="Q469" t="s">
        <v>247</v>
      </c>
    </row>
    <row r="470" spans="1:17" s="25" customFormat="1" hidden="1">
      <c r="A470" s="111">
        <v>4.1504278263888889E-2</v>
      </c>
      <c r="B470" t="s">
        <v>94</v>
      </c>
      <c r="C470" t="s">
        <v>468</v>
      </c>
      <c r="D470"/>
      <c r="E470" t="s">
        <v>108</v>
      </c>
      <c r="F470"/>
      <c r="G470" t="s">
        <v>164</v>
      </c>
      <c r="H470"/>
      <c r="I470" s="158">
        <v>46279.35832175926</v>
      </c>
      <c r="J470" t="s">
        <v>445</v>
      </c>
      <c r="K470" t="s">
        <v>443</v>
      </c>
      <c r="L470" s="157">
        <v>46277</v>
      </c>
      <c r="M470" t="s">
        <v>442</v>
      </c>
      <c r="N470" t="s">
        <v>231</v>
      </c>
      <c r="O470" t="s">
        <v>444</v>
      </c>
      <c r="P470" t="s">
        <v>94</v>
      </c>
      <c r="Q470" t="s">
        <v>247</v>
      </c>
    </row>
    <row r="471" spans="1:17" s="25" customFormat="1" hidden="1">
      <c r="A471" s="111">
        <v>4.1492798518518517E-2</v>
      </c>
      <c r="B471" t="s">
        <v>94</v>
      </c>
      <c r="C471" t="s">
        <v>449</v>
      </c>
      <c r="D471"/>
      <c r="E471" t="s">
        <v>108</v>
      </c>
      <c r="F471"/>
      <c r="G471" t="s">
        <v>164</v>
      </c>
      <c r="H471"/>
      <c r="I471" s="158">
        <v>46279.358275462961</v>
      </c>
      <c r="J471" t="s">
        <v>445</v>
      </c>
      <c r="K471" t="s">
        <v>443</v>
      </c>
      <c r="L471" s="157">
        <v>46277</v>
      </c>
      <c r="M471" t="s">
        <v>442</v>
      </c>
      <c r="N471" t="s">
        <v>231</v>
      </c>
      <c r="O471" t="s">
        <v>444</v>
      </c>
      <c r="P471" t="s">
        <v>94</v>
      </c>
      <c r="Q471" t="s">
        <v>247</v>
      </c>
    </row>
    <row r="472" spans="1:17" s="25" customFormat="1" hidden="1">
      <c r="A472" s="111">
        <v>4.1418588564814819E-2</v>
      </c>
      <c r="B472" t="s">
        <v>94</v>
      </c>
      <c r="C472" t="s">
        <v>502</v>
      </c>
      <c r="D472"/>
      <c r="E472" t="s">
        <v>108</v>
      </c>
      <c r="F472"/>
      <c r="G472" t="s">
        <v>164</v>
      </c>
      <c r="H472"/>
      <c r="I472" s="158">
        <v>46279.35670138889</v>
      </c>
      <c r="J472" t="s">
        <v>445</v>
      </c>
      <c r="K472" t="s">
        <v>443</v>
      </c>
      <c r="L472" s="157">
        <v>46277</v>
      </c>
      <c r="M472" t="s">
        <v>442</v>
      </c>
      <c r="N472" t="s">
        <v>231</v>
      </c>
      <c r="O472" t="s">
        <v>444</v>
      </c>
      <c r="P472" t="s">
        <v>94</v>
      </c>
      <c r="Q472" t="s">
        <v>247</v>
      </c>
    </row>
    <row r="473" spans="1:17" s="25" customFormat="1" hidden="1">
      <c r="A473" s="111">
        <v>4.137118025462963E-2</v>
      </c>
      <c r="B473" t="s">
        <v>94</v>
      </c>
      <c r="C473"/>
      <c r="D473"/>
      <c r="E473" t="s">
        <v>285</v>
      </c>
      <c r="F473"/>
      <c r="G473" t="s">
        <v>164</v>
      </c>
      <c r="H473"/>
      <c r="I473" s="158">
        <v>46279.35633101852</v>
      </c>
      <c r="J473" t="s">
        <v>445</v>
      </c>
      <c r="K473" t="s">
        <v>443</v>
      </c>
      <c r="L473" s="157">
        <v>46277</v>
      </c>
      <c r="M473" t="s">
        <v>442</v>
      </c>
      <c r="N473" t="s">
        <v>231</v>
      </c>
      <c r="O473" t="s">
        <v>444</v>
      </c>
      <c r="P473" t="s">
        <v>94</v>
      </c>
      <c r="Q473" t="s">
        <v>247</v>
      </c>
    </row>
    <row r="474" spans="1:17" s="25" customFormat="1" hidden="1">
      <c r="A474" s="111">
        <v>4.1315892048611108E-2</v>
      </c>
      <c r="B474" t="s">
        <v>94</v>
      </c>
      <c r="C474"/>
      <c r="D474"/>
      <c r="E474" t="s">
        <v>105</v>
      </c>
      <c r="F474"/>
      <c r="G474" t="s">
        <v>164</v>
      </c>
      <c r="H474"/>
      <c r="I474" s="158">
        <v>46279.356273148151</v>
      </c>
      <c r="J474" t="s">
        <v>445</v>
      </c>
      <c r="K474" t="s">
        <v>443</v>
      </c>
      <c r="L474" s="157">
        <v>46277</v>
      </c>
      <c r="M474" t="s">
        <v>442</v>
      </c>
      <c r="N474" t="s">
        <v>231</v>
      </c>
      <c r="O474" t="s">
        <v>444</v>
      </c>
      <c r="P474" t="s">
        <v>94</v>
      </c>
      <c r="Q474" t="s">
        <v>247</v>
      </c>
    </row>
    <row r="475" spans="1:17" s="25" customFormat="1" hidden="1">
      <c r="A475" s="111">
        <v>4.0897871932870367E-2</v>
      </c>
      <c r="B475" t="s">
        <v>94</v>
      </c>
      <c r="C475"/>
      <c r="D475"/>
      <c r="E475" t="s">
        <v>87</v>
      </c>
      <c r="F475"/>
      <c r="G475" t="s">
        <v>164</v>
      </c>
      <c r="H475"/>
      <c r="I475" s="158">
        <v>46279.356087962966</v>
      </c>
      <c r="J475" t="s">
        <v>445</v>
      </c>
      <c r="K475" t="s">
        <v>443</v>
      </c>
      <c r="L475" s="157">
        <v>46277</v>
      </c>
      <c r="M475" t="s">
        <v>442</v>
      </c>
      <c r="N475" t="s">
        <v>231</v>
      </c>
      <c r="O475" t="s">
        <v>444</v>
      </c>
      <c r="P475" t="s">
        <v>94</v>
      </c>
      <c r="Q475" t="s">
        <v>247</v>
      </c>
    </row>
    <row r="476" spans="1:17" s="25" customFormat="1" hidden="1">
      <c r="A476" s="111">
        <v>4.0897871932870367E-2</v>
      </c>
      <c r="B476" t="s">
        <v>94</v>
      </c>
      <c r="C476" t="s">
        <v>470</v>
      </c>
      <c r="D476" t="s">
        <v>222</v>
      </c>
      <c r="E476" t="s">
        <v>214</v>
      </c>
      <c r="F476" t="s">
        <v>208</v>
      </c>
      <c r="G476" t="s">
        <v>164</v>
      </c>
      <c r="H476"/>
      <c r="I476" s="158">
        <v>46279.356087962966</v>
      </c>
      <c r="J476" t="s">
        <v>445</v>
      </c>
      <c r="K476" t="s">
        <v>443</v>
      </c>
      <c r="L476" s="157">
        <v>46277</v>
      </c>
      <c r="M476" t="s">
        <v>442</v>
      </c>
      <c r="N476" t="s">
        <v>231</v>
      </c>
      <c r="O476" t="s">
        <v>444</v>
      </c>
      <c r="P476" t="s">
        <v>94</v>
      </c>
      <c r="Q476" t="s">
        <v>247</v>
      </c>
    </row>
    <row r="477" spans="1:17" s="25" customFormat="1" hidden="1">
      <c r="A477" s="111">
        <v>4.0794160023148146E-2</v>
      </c>
      <c r="B477" t="s">
        <v>94</v>
      </c>
      <c r="C477" t="s">
        <v>491</v>
      </c>
      <c r="D477"/>
      <c r="E477" t="s">
        <v>108</v>
      </c>
      <c r="F477"/>
      <c r="G477" t="s">
        <v>164</v>
      </c>
      <c r="H477"/>
      <c r="I477" s="158">
        <v>46279.355462962965</v>
      </c>
      <c r="J477" t="s">
        <v>445</v>
      </c>
      <c r="K477" t="s">
        <v>443</v>
      </c>
      <c r="L477" s="157">
        <v>46277</v>
      </c>
      <c r="M477" t="s">
        <v>442</v>
      </c>
      <c r="N477" t="s">
        <v>231</v>
      </c>
      <c r="O477" t="s">
        <v>444</v>
      </c>
      <c r="P477" t="s">
        <v>94</v>
      </c>
      <c r="Q477" t="s">
        <v>247</v>
      </c>
    </row>
    <row r="478" spans="1:17" s="25" customFormat="1" hidden="1">
      <c r="A478" s="111">
        <v>4.0709782534722218E-2</v>
      </c>
      <c r="B478" t="s">
        <v>94</v>
      </c>
      <c r="C478" t="s">
        <v>468</v>
      </c>
      <c r="D478"/>
      <c r="E478" t="s">
        <v>108</v>
      </c>
      <c r="F478"/>
      <c r="G478" t="s">
        <v>164</v>
      </c>
      <c r="H478"/>
      <c r="I478" s="158">
        <v>46279.354421296295</v>
      </c>
      <c r="J478" t="s">
        <v>445</v>
      </c>
      <c r="K478" t="s">
        <v>443</v>
      </c>
      <c r="L478" s="157">
        <v>46277</v>
      </c>
      <c r="M478" t="s">
        <v>442</v>
      </c>
      <c r="N478" t="s">
        <v>231</v>
      </c>
      <c r="O478" t="s">
        <v>444</v>
      </c>
      <c r="P478" t="s">
        <v>94</v>
      </c>
      <c r="Q478" t="s">
        <v>247</v>
      </c>
    </row>
    <row r="479" spans="1:17" s="25" customFormat="1" hidden="1">
      <c r="A479" s="111">
        <v>4.062825875E-2</v>
      </c>
      <c r="B479" t="s">
        <v>94</v>
      </c>
      <c r="C479" t="s">
        <v>449</v>
      </c>
      <c r="D479"/>
      <c r="E479" t="s">
        <v>108</v>
      </c>
      <c r="F479"/>
      <c r="G479" t="s">
        <v>164</v>
      </c>
      <c r="H479"/>
      <c r="I479" s="158">
        <v>46279.354097222225</v>
      </c>
      <c r="J479" t="s">
        <v>445</v>
      </c>
      <c r="K479" t="s">
        <v>443</v>
      </c>
      <c r="L479" s="157">
        <v>46277</v>
      </c>
      <c r="M479" t="s">
        <v>442</v>
      </c>
      <c r="N479" t="s">
        <v>231</v>
      </c>
      <c r="O479" t="s">
        <v>444</v>
      </c>
      <c r="P479" t="s">
        <v>94</v>
      </c>
      <c r="Q479" t="s">
        <v>247</v>
      </c>
    </row>
    <row r="480" spans="1:17" s="25" customFormat="1" hidden="1">
      <c r="A480" s="111">
        <v>4.0626286388888891E-2</v>
      </c>
      <c r="B480" t="s">
        <v>94</v>
      </c>
      <c r="C480" t="s">
        <v>468</v>
      </c>
      <c r="D480"/>
      <c r="E480" t="s">
        <v>59</v>
      </c>
      <c r="F480"/>
      <c r="G480" t="s">
        <v>164</v>
      </c>
      <c r="H480"/>
      <c r="I480" s="158">
        <v>46279.347442129627</v>
      </c>
      <c r="J480" t="s">
        <v>445</v>
      </c>
      <c r="K480" t="s">
        <v>443</v>
      </c>
      <c r="L480" s="157">
        <v>46277</v>
      </c>
      <c r="M480" t="s">
        <v>442</v>
      </c>
      <c r="N480" t="s">
        <v>231</v>
      </c>
      <c r="O480" t="s">
        <v>444</v>
      </c>
      <c r="P480" t="s">
        <v>94</v>
      </c>
      <c r="Q480" t="s">
        <v>247</v>
      </c>
    </row>
    <row r="481" spans="1:17" s="25" customFormat="1" hidden="1">
      <c r="A481" s="111">
        <v>4.0569063240740742E-2</v>
      </c>
      <c r="B481" t="s">
        <v>94</v>
      </c>
      <c r="C481"/>
      <c r="D481"/>
      <c r="E481" t="s">
        <v>113</v>
      </c>
      <c r="F481"/>
      <c r="G481" t="s">
        <v>164</v>
      </c>
      <c r="H481"/>
      <c r="I481" s="158">
        <v>46279.347187500003</v>
      </c>
      <c r="J481" t="s">
        <v>445</v>
      </c>
      <c r="K481" t="s">
        <v>443</v>
      </c>
      <c r="L481" s="157">
        <v>46277</v>
      </c>
      <c r="M481" t="s">
        <v>442</v>
      </c>
      <c r="N481" t="s">
        <v>231</v>
      </c>
      <c r="O481" t="s">
        <v>444</v>
      </c>
      <c r="P481" t="s">
        <v>94</v>
      </c>
      <c r="Q481" t="s">
        <v>247</v>
      </c>
    </row>
    <row r="482" spans="1:17" s="25" customFormat="1" hidden="1">
      <c r="A482" s="111">
        <v>4.0533825451388887E-2</v>
      </c>
      <c r="B482" t="s">
        <v>94</v>
      </c>
      <c r="C482"/>
      <c r="D482"/>
      <c r="E482" t="s">
        <v>104</v>
      </c>
      <c r="F482"/>
      <c r="G482" t="s">
        <v>164</v>
      </c>
      <c r="H482"/>
      <c r="I482" s="158">
        <v>46279.346979166665</v>
      </c>
      <c r="J482" t="s">
        <v>445</v>
      </c>
      <c r="K482" t="s">
        <v>443</v>
      </c>
      <c r="L482" s="157">
        <v>46277</v>
      </c>
      <c r="M482" t="s">
        <v>442</v>
      </c>
      <c r="N482" t="s">
        <v>231</v>
      </c>
      <c r="O482" t="s">
        <v>444</v>
      </c>
      <c r="P482" t="s">
        <v>94</v>
      </c>
      <c r="Q482" t="s">
        <v>247</v>
      </c>
    </row>
    <row r="483" spans="1:17" s="25" customFormat="1" hidden="1">
      <c r="A483" s="111">
        <v>3.9977110810185186E-2</v>
      </c>
      <c r="B483" t="s">
        <v>94</v>
      </c>
      <c r="C483"/>
      <c r="D483"/>
      <c r="E483" t="s">
        <v>87</v>
      </c>
      <c r="F483"/>
      <c r="G483" t="s">
        <v>164</v>
      </c>
      <c r="H483"/>
      <c r="I483" s="158">
        <v>46278.704664351855</v>
      </c>
      <c r="J483" t="s">
        <v>445</v>
      </c>
      <c r="K483" t="s">
        <v>443</v>
      </c>
      <c r="L483" s="157">
        <v>46277</v>
      </c>
      <c r="M483" t="s">
        <v>442</v>
      </c>
      <c r="N483" t="s">
        <v>231</v>
      </c>
      <c r="O483" t="s">
        <v>444</v>
      </c>
      <c r="P483" t="s">
        <v>94</v>
      </c>
      <c r="Q483" t="s">
        <v>247</v>
      </c>
    </row>
    <row r="484" spans="1:17" s="25" customFormat="1" hidden="1">
      <c r="A484" s="111">
        <v>3.9977110810185186E-2</v>
      </c>
      <c r="B484" t="s">
        <v>94</v>
      </c>
      <c r="C484" t="s">
        <v>475</v>
      </c>
      <c r="D484" t="s">
        <v>204</v>
      </c>
      <c r="E484" t="s">
        <v>214</v>
      </c>
      <c r="F484" t="s">
        <v>207</v>
      </c>
      <c r="G484" t="s">
        <v>164</v>
      </c>
      <c r="H484"/>
      <c r="I484" s="158">
        <v>46278.704664351855</v>
      </c>
      <c r="J484" t="s">
        <v>445</v>
      </c>
      <c r="K484" t="s">
        <v>443</v>
      </c>
      <c r="L484" s="157">
        <v>46277</v>
      </c>
      <c r="M484" t="s">
        <v>442</v>
      </c>
      <c r="N484" t="s">
        <v>231</v>
      </c>
      <c r="O484" t="s">
        <v>444</v>
      </c>
      <c r="P484" t="s">
        <v>94</v>
      </c>
      <c r="Q484" t="s">
        <v>247</v>
      </c>
    </row>
    <row r="485" spans="1:17" s="25" customFormat="1" hidden="1">
      <c r="A485" s="111">
        <v>3.9890284456018513E-2</v>
      </c>
      <c r="B485" t="s">
        <v>94</v>
      </c>
      <c r="C485" t="s">
        <v>490</v>
      </c>
      <c r="D485"/>
      <c r="E485" t="s">
        <v>108</v>
      </c>
      <c r="F485"/>
      <c r="G485" t="s">
        <v>164</v>
      </c>
      <c r="H485"/>
      <c r="I485" s="158">
        <v>46278.703715277778</v>
      </c>
      <c r="J485" t="s">
        <v>445</v>
      </c>
      <c r="K485" t="s">
        <v>443</v>
      </c>
      <c r="L485" s="157">
        <v>46277</v>
      </c>
      <c r="M485" t="s">
        <v>442</v>
      </c>
      <c r="N485" t="s">
        <v>231</v>
      </c>
      <c r="O485" t="s">
        <v>444</v>
      </c>
      <c r="P485" t="s">
        <v>94</v>
      </c>
      <c r="Q485" t="s">
        <v>247</v>
      </c>
    </row>
    <row r="486" spans="1:17" s="25" customFormat="1" hidden="1">
      <c r="A486" s="111">
        <v>3.9826561319444446E-2</v>
      </c>
      <c r="B486" t="s">
        <v>94</v>
      </c>
      <c r="C486" t="s">
        <v>446</v>
      </c>
      <c r="D486"/>
      <c r="E486" t="s">
        <v>108</v>
      </c>
      <c r="F486"/>
      <c r="G486" t="s">
        <v>164</v>
      </c>
      <c r="H486"/>
      <c r="I486" s="158">
        <v>46278.703553240739</v>
      </c>
      <c r="J486" t="s">
        <v>445</v>
      </c>
      <c r="K486" t="s">
        <v>443</v>
      </c>
      <c r="L486" s="157">
        <v>46277</v>
      </c>
      <c r="M486" t="s">
        <v>442</v>
      </c>
      <c r="N486" t="s">
        <v>231</v>
      </c>
      <c r="O486" t="s">
        <v>444</v>
      </c>
      <c r="P486" t="s">
        <v>94</v>
      </c>
      <c r="Q486" t="s">
        <v>247</v>
      </c>
    </row>
    <row r="487" spans="1:17" s="25" customFormat="1" hidden="1">
      <c r="A487" s="111">
        <v>3.9803164467592592E-2</v>
      </c>
      <c r="B487" t="s">
        <v>94</v>
      </c>
      <c r="C487" t="s">
        <v>494</v>
      </c>
      <c r="D487"/>
      <c r="E487" t="s">
        <v>108</v>
      </c>
      <c r="F487"/>
      <c r="G487" t="s">
        <v>164</v>
      </c>
      <c r="H487"/>
      <c r="I487" s="158">
        <v>46278.703449074077</v>
      </c>
      <c r="J487" t="s">
        <v>445</v>
      </c>
      <c r="K487" t="s">
        <v>443</v>
      </c>
      <c r="L487" s="157">
        <v>46277</v>
      </c>
      <c r="M487" t="s">
        <v>442</v>
      </c>
      <c r="N487" t="s">
        <v>231</v>
      </c>
      <c r="O487" t="s">
        <v>444</v>
      </c>
      <c r="P487" t="s">
        <v>94</v>
      </c>
      <c r="Q487" t="s">
        <v>247</v>
      </c>
    </row>
    <row r="488" spans="1:17" s="25" customFormat="1" hidden="1">
      <c r="A488" s="111">
        <v>3.9695427453703705E-2</v>
      </c>
      <c r="B488" t="s">
        <v>94</v>
      </c>
      <c r="C488" t="s">
        <v>495</v>
      </c>
      <c r="D488"/>
      <c r="E488" t="s">
        <v>108</v>
      </c>
      <c r="F488"/>
      <c r="G488" t="s">
        <v>164</v>
      </c>
      <c r="H488"/>
      <c r="I488" s="158">
        <v>46278.701956018522</v>
      </c>
      <c r="J488" t="s">
        <v>445</v>
      </c>
      <c r="K488" t="s">
        <v>443</v>
      </c>
      <c r="L488" s="157">
        <v>46277</v>
      </c>
      <c r="M488" t="s">
        <v>442</v>
      </c>
      <c r="N488" t="s">
        <v>231</v>
      </c>
      <c r="O488" t="s">
        <v>444</v>
      </c>
      <c r="P488" t="s">
        <v>94</v>
      </c>
      <c r="Q488" t="s">
        <v>247</v>
      </c>
    </row>
    <row r="489" spans="1:17" s="25" customFormat="1" hidden="1">
      <c r="A489" s="111">
        <v>3.9654819525462959E-2</v>
      </c>
      <c r="B489" t="s">
        <v>94</v>
      </c>
      <c r="C489"/>
      <c r="D489"/>
      <c r="E489" t="s">
        <v>188</v>
      </c>
      <c r="F489"/>
      <c r="G489" t="s">
        <v>164</v>
      </c>
      <c r="H489"/>
      <c r="I489" s="158">
        <v>46278.701805555553</v>
      </c>
      <c r="J489" t="s">
        <v>445</v>
      </c>
      <c r="K489" t="s">
        <v>443</v>
      </c>
      <c r="L489" s="157">
        <v>46277</v>
      </c>
      <c r="M489" t="s">
        <v>442</v>
      </c>
      <c r="N489" t="s">
        <v>231</v>
      </c>
      <c r="O489" t="s">
        <v>444</v>
      </c>
      <c r="P489" t="s">
        <v>94</v>
      </c>
      <c r="Q489" t="s">
        <v>247</v>
      </c>
    </row>
    <row r="490" spans="1:17" s="25" customFormat="1" hidden="1">
      <c r="A490" s="111">
        <v>3.9591223460648153E-2</v>
      </c>
      <c r="B490" t="s">
        <v>94</v>
      </c>
      <c r="C490"/>
      <c r="D490"/>
      <c r="E490" t="s">
        <v>184</v>
      </c>
      <c r="F490"/>
      <c r="G490" t="s">
        <v>98</v>
      </c>
      <c r="H490"/>
      <c r="I490" s="158">
        <v>46278.701701388891</v>
      </c>
      <c r="J490" t="s">
        <v>445</v>
      </c>
      <c r="K490" t="s">
        <v>443</v>
      </c>
      <c r="L490" s="157">
        <v>46277</v>
      </c>
      <c r="M490" t="s">
        <v>442</v>
      </c>
      <c r="N490" t="s">
        <v>231</v>
      </c>
      <c r="O490" t="s">
        <v>444</v>
      </c>
      <c r="P490" t="s">
        <v>94</v>
      </c>
      <c r="Q490" t="s">
        <v>247</v>
      </c>
    </row>
    <row r="491" spans="1:17" s="25" customFormat="1" hidden="1">
      <c r="A491" s="111">
        <v>3.9531516122685184E-2</v>
      </c>
      <c r="B491" t="s">
        <v>94</v>
      </c>
      <c r="C491"/>
      <c r="D491"/>
      <c r="E491" t="s">
        <v>108</v>
      </c>
      <c r="F491"/>
      <c r="G491" t="s">
        <v>98</v>
      </c>
      <c r="H491"/>
      <c r="I491" s="158">
        <v>46278.701620370368</v>
      </c>
      <c r="J491" t="s">
        <v>445</v>
      </c>
      <c r="K491" t="s">
        <v>443</v>
      </c>
      <c r="L491" s="157">
        <v>46277</v>
      </c>
      <c r="M491" t="s">
        <v>442</v>
      </c>
      <c r="N491" t="s">
        <v>231</v>
      </c>
      <c r="O491" t="s">
        <v>444</v>
      </c>
      <c r="P491" t="s">
        <v>94</v>
      </c>
      <c r="Q491" t="s">
        <v>247</v>
      </c>
    </row>
    <row r="492" spans="1:17" s="25" customFormat="1" hidden="1">
      <c r="A492" s="111">
        <v>3.9365649606481479E-2</v>
      </c>
      <c r="B492" t="s">
        <v>94</v>
      </c>
      <c r="C492"/>
      <c r="D492"/>
      <c r="E492" t="s">
        <v>108</v>
      </c>
      <c r="F492"/>
      <c r="G492" t="s">
        <v>98</v>
      </c>
      <c r="H492"/>
      <c r="I492" s="158">
        <v>46278.701435185183</v>
      </c>
      <c r="J492" t="s">
        <v>445</v>
      </c>
      <c r="K492" t="s">
        <v>443</v>
      </c>
      <c r="L492" s="157">
        <v>46277</v>
      </c>
      <c r="M492" t="s">
        <v>442</v>
      </c>
      <c r="N492" t="s">
        <v>231</v>
      </c>
      <c r="O492" t="s">
        <v>444</v>
      </c>
      <c r="P492" t="s">
        <v>94</v>
      </c>
      <c r="Q492" t="s">
        <v>247</v>
      </c>
    </row>
    <row r="493" spans="1:17" s="25" customFormat="1" hidden="1">
      <c r="A493" s="111">
        <v>3.926707644675926E-2</v>
      </c>
      <c r="B493" t="s">
        <v>94</v>
      </c>
      <c r="C493"/>
      <c r="D493"/>
      <c r="E493" t="s">
        <v>183</v>
      </c>
      <c r="F493"/>
      <c r="G493" t="s">
        <v>164</v>
      </c>
      <c r="H493"/>
      <c r="I493" s="158">
        <v>46278.701273148145</v>
      </c>
      <c r="J493" t="s">
        <v>445</v>
      </c>
      <c r="K493" t="s">
        <v>443</v>
      </c>
      <c r="L493" s="157">
        <v>46277</v>
      </c>
      <c r="M493" t="s">
        <v>442</v>
      </c>
      <c r="N493" t="s">
        <v>231</v>
      </c>
      <c r="O493" t="s">
        <v>444</v>
      </c>
      <c r="P493" t="s">
        <v>94</v>
      </c>
      <c r="Q493" t="s">
        <v>247</v>
      </c>
    </row>
    <row r="494" spans="1:17" s="25" customFormat="1" hidden="1">
      <c r="A494" s="111">
        <v>3.926707644675926E-2</v>
      </c>
      <c r="B494" t="s">
        <v>94</v>
      </c>
      <c r="C494" t="s">
        <v>492</v>
      </c>
      <c r="D494"/>
      <c r="E494" t="s">
        <v>108</v>
      </c>
      <c r="F494"/>
      <c r="G494" t="s">
        <v>164</v>
      </c>
      <c r="H494"/>
      <c r="I494" s="158">
        <v>46278.701215277775</v>
      </c>
      <c r="J494" t="s">
        <v>445</v>
      </c>
      <c r="K494" t="s">
        <v>443</v>
      </c>
      <c r="L494" s="157">
        <v>46277</v>
      </c>
      <c r="M494" t="s">
        <v>442</v>
      </c>
      <c r="N494" t="s">
        <v>231</v>
      </c>
      <c r="O494" t="s">
        <v>444</v>
      </c>
      <c r="P494" t="s">
        <v>94</v>
      </c>
      <c r="Q494" t="s">
        <v>247</v>
      </c>
    </row>
    <row r="495" spans="1:17" s="25" customFormat="1" hidden="1">
      <c r="A495" s="111">
        <v>3.920995789351852E-2</v>
      </c>
      <c r="B495" t="s">
        <v>94</v>
      </c>
      <c r="C495" t="s">
        <v>492</v>
      </c>
      <c r="D495"/>
      <c r="E495" t="s">
        <v>133</v>
      </c>
      <c r="F495"/>
      <c r="G495" t="s">
        <v>164</v>
      </c>
      <c r="H495"/>
      <c r="I495" s="158">
        <v>46278.700868055559</v>
      </c>
      <c r="J495" t="s">
        <v>445</v>
      </c>
      <c r="K495" t="s">
        <v>443</v>
      </c>
      <c r="L495" s="157">
        <v>46277</v>
      </c>
      <c r="M495" t="s">
        <v>442</v>
      </c>
      <c r="N495" t="s">
        <v>231</v>
      </c>
      <c r="O495" t="s">
        <v>444</v>
      </c>
      <c r="P495" t="s">
        <v>94</v>
      </c>
      <c r="Q495" t="s">
        <v>247</v>
      </c>
    </row>
    <row r="496" spans="1:17" s="25" customFormat="1" hidden="1">
      <c r="A496" s="111">
        <v>3.9212411076388891E-2</v>
      </c>
      <c r="B496" t="s">
        <v>94</v>
      </c>
      <c r="C496" t="s">
        <v>497</v>
      </c>
      <c r="D496"/>
      <c r="E496" t="s">
        <v>133</v>
      </c>
      <c r="F496"/>
      <c r="G496" t="s">
        <v>164</v>
      </c>
      <c r="H496"/>
      <c r="I496" s="158">
        <v>46278.699918981481</v>
      </c>
      <c r="J496" t="s">
        <v>445</v>
      </c>
      <c r="K496" t="s">
        <v>443</v>
      </c>
      <c r="L496" s="157">
        <v>46277</v>
      </c>
      <c r="M496" t="s">
        <v>442</v>
      </c>
      <c r="N496" t="s">
        <v>231</v>
      </c>
      <c r="O496" t="s">
        <v>444</v>
      </c>
      <c r="P496" t="s">
        <v>94</v>
      </c>
      <c r="Q496" t="s">
        <v>247</v>
      </c>
    </row>
    <row r="497" spans="1:17" s="25" customFormat="1" hidden="1">
      <c r="A497" s="111">
        <v>3.9110017465277779E-2</v>
      </c>
      <c r="B497" t="s">
        <v>94</v>
      </c>
      <c r="C497" t="s">
        <v>475</v>
      </c>
      <c r="D497"/>
      <c r="E497" t="s">
        <v>108</v>
      </c>
      <c r="F497"/>
      <c r="G497" t="s">
        <v>164</v>
      </c>
      <c r="H497"/>
      <c r="I497" s="158">
        <v>46278.699421296296</v>
      </c>
      <c r="J497" t="s">
        <v>445</v>
      </c>
      <c r="K497" t="s">
        <v>443</v>
      </c>
      <c r="L497" s="157">
        <v>46277</v>
      </c>
      <c r="M497" t="s">
        <v>442</v>
      </c>
      <c r="N497" t="s">
        <v>231</v>
      </c>
      <c r="O497" t="s">
        <v>444</v>
      </c>
      <c r="P497" t="s">
        <v>94</v>
      </c>
      <c r="Q497" t="s">
        <v>247</v>
      </c>
    </row>
    <row r="498" spans="1:17" s="25" customFormat="1" hidden="1">
      <c r="A498" s="111">
        <v>3.9067469942129632E-2</v>
      </c>
      <c r="B498" t="s">
        <v>94</v>
      </c>
      <c r="C498"/>
      <c r="D498"/>
      <c r="E498" t="s">
        <v>113</v>
      </c>
      <c r="F498"/>
      <c r="G498" t="s">
        <v>164</v>
      </c>
      <c r="H498"/>
      <c r="I498" s="158">
        <v>46278.699050925927</v>
      </c>
      <c r="J498" t="s">
        <v>445</v>
      </c>
      <c r="K498" t="s">
        <v>443</v>
      </c>
      <c r="L498" s="157">
        <v>46277</v>
      </c>
      <c r="M498" t="s">
        <v>442</v>
      </c>
      <c r="N498" t="s">
        <v>231</v>
      </c>
      <c r="O498" t="s">
        <v>444</v>
      </c>
      <c r="P498" t="s">
        <v>94</v>
      </c>
      <c r="Q498" t="s">
        <v>247</v>
      </c>
    </row>
    <row r="499" spans="1:17" s="25" customFormat="1" hidden="1">
      <c r="A499" s="111">
        <v>3.8986715879629631E-2</v>
      </c>
      <c r="B499" t="s">
        <v>94</v>
      </c>
      <c r="C499"/>
      <c r="D499"/>
      <c r="E499" t="s">
        <v>104</v>
      </c>
      <c r="F499"/>
      <c r="G499" t="s">
        <v>164</v>
      </c>
      <c r="H499"/>
      <c r="I499" s="158">
        <v>46278.698935185188</v>
      </c>
      <c r="J499" t="s">
        <v>445</v>
      </c>
      <c r="K499" t="s">
        <v>443</v>
      </c>
      <c r="L499" s="157">
        <v>46277</v>
      </c>
      <c r="M499" t="s">
        <v>442</v>
      </c>
      <c r="N499" t="s">
        <v>231</v>
      </c>
      <c r="O499" t="s">
        <v>444</v>
      </c>
      <c r="P499" t="s">
        <v>94</v>
      </c>
      <c r="Q499" t="s">
        <v>247</v>
      </c>
    </row>
    <row r="500" spans="1:17" s="25" customFormat="1" hidden="1">
      <c r="A500" s="111">
        <v>3.8652479189814813E-2</v>
      </c>
      <c r="B500" t="s">
        <v>94</v>
      </c>
      <c r="C500"/>
      <c r="D500"/>
      <c r="E500" t="s">
        <v>87</v>
      </c>
      <c r="F500"/>
      <c r="G500" t="s">
        <v>98</v>
      </c>
      <c r="H500"/>
      <c r="I500" s="158">
        <v>46278.698622685188</v>
      </c>
      <c r="J500" t="s">
        <v>445</v>
      </c>
      <c r="K500" t="s">
        <v>443</v>
      </c>
      <c r="L500" s="157">
        <v>46277</v>
      </c>
      <c r="M500" t="s">
        <v>442</v>
      </c>
      <c r="N500" t="s">
        <v>231</v>
      </c>
      <c r="O500" t="s">
        <v>444</v>
      </c>
      <c r="P500" t="s">
        <v>94</v>
      </c>
      <c r="Q500" t="s">
        <v>247</v>
      </c>
    </row>
    <row r="501" spans="1:17" s="25" customFormat="1" hidden="1">
      <c r="A501" s="111">
        <v>3.8617637777777776E-2</v>
      </c>
      <c r="B501" t="s">
        <v>94</v>
      </c>
      <c r="C501"/>
      <c r="D501"/>
      <c r="E501" t="s">
        <v>184</v>
      </c>
      <c r="F501"/>
      <c r="G501" t="s">
        <v>98</v>
      </c>
      <c r="H501"/>
      <c r="I501" s="158">
        <v>46278.698472222219</v>
      </c>
      <c r="J501" t="s">
        <v>445</v>
      </c>
      <c r="K501" t="s">
        <v>443</v>
      </c>
      <c r="L501" s="157">
        <v>46277</v>
      </c>
      <c r="M501" t="s">
        <v>442</v>
      </c>
      <c r="N501" t="s">
        <v>231</v>
      </c>
      <c r="O501" t="s">
        <v>444</v>
      </c>
      <c r="P501" t="s">
        <v>94</v>
      </c>
      <c r="Q501" t="s">
        <v>247</v>
      </c>
    </row>
    <row r="502" spans="1:17" s="25" customFormat="1" hidden="1">
      <c r="A502" s="111">
        <v>3.8571269143518522E-2</v>
      </c>
      <c r="B502" t="s">
        <v>94</v>
      </c>
      <c r="C502"/>
      <c r="D502"/>
      <c r="E502" t="s">
        <v>279</v>
      </c>
      <c r="F502"/>
      <c r="G502" t="s">
        <v>98</v>
      </c>
      <c r="H502"/>
      <c r="I502" s="158">
        <v>46278.698379629626</v>
      </c>
      <c r="J502" t="s">
        <v>445</v>
      </c>
      <c r="K502" t="s">
        <v>443</v>
      </c>
      <c r="L502" s="157">
        <v>46277</v>
      </c>
      <c r="M502" t="s">
        <v>442</v>
      </c>
      <c r="N502" t="s">
        <v>231</v>
      </c>
      <c r="O502" t="s">
        <v>444</v>
      </c>
      <c r="P502" t="s">
        <v>94</v>
      </c>
      <c r="Q502" t="s">
        <v>247</v>
      </c>
    </row>
    <row r="503" spans="1:17" s="25" customFormat="1" hidden="1">
      <c r="A503" s="111">
        <v>3.8524910370370369E-2</v>
      </c>
      <c r="B503" t="s">
        <v>94</v>
      </c>
      <c r="C503"/>
      <c r="D503"/>
      <c r="E503" t="s">
        <v>105</v>
      </c>
      <c r="F503"/>
      <c r="G503" t="s">
        <v>98</v>
      </c>
      <c r="H503"/>
      <c r="I503" s="158">
        <v>46278.698344907411</v>
      </c>
      <c r="J503" t="s">
        <v>445</v>
      </c>
      <c r="K503" t="s">
        <v>443</v>
      </c>
      <c r="L503" s="157">
        <v>46277</v>
      </c>
      <c r="M503" t="s">
        <v>442</v>
      </c>
      <c r="N503" t="s">
        <v>231</v>
      </c>
      <c r="O503" t="s">
        <v>444</v>
      </c>
      <c r="P503" t="s">
        <v>94</v>
      </c>
      <c r="Q503" t="s">
        <v>247</v>
      </c>
    </row>
    <row r="504" spans="1:17" s="25" customFormat="1" hidden="1">
      <c r="A504" s="111">
        <v>3.8221576898148146E-2</v>
      </c>
      <c r="B504" t="s">
        <v>94</v>
      </c>
      <c r="C504"/>
      <c r="D504"/>
      <c r="E504" t="s">
        <v>87</v>
      </c>
      <c r="F504"/>
      <c r="G504" t="s">
        <v>98</v>
      </c>
      <c r="H504"/>
      <c r="I504" s="158">
        <v>46278.698182870372</v>
      </c>
      <c r="J504" t="s">
        <v>445</v>
      </c>
      <c r="K504" t="s">
        <v>443</v>
      </c>
      <c r="L504" s="157">
        <v>46277</v>
      </c>
      <c r="M504" t="s">
        <v>442</v>
      </c>
      <c r="N504" t="s">
        <v>231</v>
      </c>
      <c r="O504" t="s">
        <v>444</v>
      </c>
      <c r="P504" t="s">
        <v>94</v>
      </c>
      <c r="Q504" t="s">
        <v>247</v>
      </c>
    </row>
    <row r="505" spans="1:17" s="25" customFormat="1" hidden="1">
      <c r="A505" s="111">
        <v>3.8192714074074076E-2</v>
      </c>
      <c r="B505" t="s">
        <v>94</v>
      </c>
      <c r="C505"/>
      <c r="D505"/>
      <c r="E505" t="s">
        <v>183</v>
      </c>
      <c r="F505"/>
      <c r="G505" t="s">
        <v>164</v>
      </c>
      <c r="H505"/>
      <c r="I505" s="158">
        <v>46278.698113425926</v>
      </c>
      <c r="J505" t="s">
        <v>445</v>
      </c>
      <c r="K505" t="s">
        <v>443</v>
      </c>
      <c r="L505" s="157">
        <v>46277</v>
      </c>
      <c r="M505" t="s">
        <v>442</v>
      </c>
      <c r="N505" t="s">
        <v>231</v>
      </c>
      <c r="O505" t="s">
        <v>444</v>
      </c>
      <c r="P505" t="s">
        <v>94</v>
      </c>
      <c r="Q505" t="s">
        <v>247</v>
      </c>
    </row>
    <row r="506" spans="1:17" s="25" customFormat="1" hidden="1">
      <c r="A506" s="111">
        <v>3.8169302627314813E-2</v>
      </c>
      <c r="B506" t="s">
        <v>94</v>
      </c>
      <c r="C506"/>
      <c r="D506"/>
      <c r="E506" t="s">
        <v>285</v>
      </c>
      <c r="F506"/>
      <c r="G506" t="s">
        <v>164</v>
      </c>
      <c r="H506"/>
      <c r="I506" s="158">
        <v>46278.69798611111</v>
      </c>
      <c r="J506" t="s">
        <v>445</v>
      </c>
      <c r="K506" t="s">
        <v>443</v>
      </c>
      <c r="L506" s="157">
        <v>46277</v>
      </c>
      <c r="M506" t="s">
        <v>442</v>
      </c>
      <c r="N506" t="s">
        <v>231</v>
      </c>
      <c r="O506" t="s">
        <v>444</v>
      </c>
      <c r="P506" t="s">
        <v>94</v>
      </c>
      <c r="Q506" t="s">
        <v>247</v>
      </c>
    </row>
    <row r="507" spans="1:17" s="25" customFormat="1" hidden="1">
      <c r="A507" s="111">
        <v>3.8157609143518519E-2</v>
      </c>
      <c r="B507" t="s">
        <v>94</v>
      </c>
      <c r="C507"/>
      <c r="D507"/>
      <c r="E507" t="s">
        <v>105</v>
      </c>
      <c r="F507"/>
      <c r="G507" t="s">
        <v>164</v>
      </c>
      <c r="H507"/>
      <c r="I507" s="158">
        <v>46278.697951388887</v>
      </c>
      <c r="J507" t="s">
        <v>445</v>
      </c>
      <c r="K507" t="s">
        <v>443</v>
      </c>
      <c r="L507" s="157">
        <v>46277</v>
      </c>
      <c r="M507" t="s">
        <v>442</v>
      </c>
      <c r="N507" t="s">
        <v>231</v>
      </c>
      <c r="O507" t="s">
        <v>444</v>
      </c>
      <c r="P507" t="s">
        <v>94</v>
      </c>
      <c r="Q507" t="s">
        <v>247</v>
      </c>
    </row>
    <row r="508" spans="1:17" s="25" customFormat="1" hidden="1">
      <c r="A508" s="111">
        <v>3.7430117604166667E-2</v>
      </c>
      <c r="B508" t="s">
        <v>94</v>
      </c>
      <c r="C508"/>
      <c r="D508"/>
      <c r="E508" t="s">
        <v>87</v>
      </c>
      <c r="F508"/>
      <c r="G508" t="s">
        <v>164</v>
      </c>
      <c r="H508"/>
      <c r="I508" s="158">
        <v>46278.697777777779</v>
      </c>
      <c r="J508" t="s">
        <v>445</v>
      </c>
      <c r="K508" t="s">
        <v>443</v>
      </c>
      <c r="L508" s="157">
        <v>46277</v>
      </c>
      <c r="M508" t="s">
        <v>442</v>
      </c>
      <c r="N508" t="s">
        <v>231</v>
      </c>
      <c r="O508" t="s">
        <v>444</v>
      </c>
      <c r="P508" t="s">
        <v>94</v>
      </c>
      <c r="Q508" t="s">
        <v>247</v>
      </c>
    </row>
    <row r="509" spans="1:17" s="25" customFormat="1" hidden="1">
      <c r="A509" s="111">
        <v>3.7385732060185188E-2</v>
      </c>
      <c r="B509" t="s">
        <v>94</v>
      </c>
      <c r="C509" t="s">
        <v>468</v>
      </c>
      <c r="D509"/>
      <c r="E509" t="s">
        <v>108</v>
      </c>
      <c r="F509"/>
      <c r="G509" t="s">
        <v>164</v>
      </c>
      <c r="H509"/>
      <c r="I509" s="158">
        <v>46278.696921296294</v>
      </c>
      <c r="J509" t="s">
        <v>445</v>
      </c>
      <c r="K509" t="s">
        <v>443</v>
      </c>
      <c r="L509" s="157">
        <v>46277</v>
      </c>
      <c r="M509" t="s">
        <v>442</v>
      </c>
      <c r="N509" t="s">
        <v>231</v>
      </c>
      <c r="O509" t="s">
        <v>444</v>
      </c>
      <c r="P509" t="s">
        <v>94</v>
      </c>
      <c r="Q509" t="s">
        <v>247</v>
      </c>
    </row>
    <row r="510" spans="1:17" s="25" customFormat="1" hidden="1">
      <c r="A510" s="111">
        <v>3.7345832986111112E-2</v>
      </c>
      <c r="B510" t="s">
        <v>94</v>
      </c>
      <c r="C510" t="s">
        <v>469</v>
      </c>
      <c r="D510"/>
      <c r="E510" t="s">
        <v>108</v>
      </c>
      <c r="F510"/>
      <c r="G510" t="s">
        <v>164</v>
      </c>
      <c r="H510"/>
      <c r="I510" s="158">
        <v>46278.69667824074</v>
      </c>
      <c r="J510" t="s">
        <v>445</v>
      </c>
      <c r="K510" t="s">
        <v>443</v>
      </c>
      <c r="L510" s="157">
        <v>46277</v>
      </c>
      <c r="M510" t="s">
        <v>442</v>
      </c>
      <c r="N510" t="s">
        <v>231</v>
      </c>
      <c r="O510" t="s">
        <v>444</v>
      </c>
      <c r="P510" t="s">
        <v>94</v>
      </c>
      <c r="Q510" t="s">
        <v>247</v>
      </c>
    </row>
    <row r="511" spans="1:17" s="25" customFormat="1" hidden="1">
      <c r="A511" s="111">
        <v>3.7202740289351853E-2</v>
      </c>
      <c r="B511" t="s">
        <v>94</v>
      </c>
      <c r="C511" t="s">
        <v>470</v>
      </c>
      <c r="D511"/>
      <c r="E511" t="s">
        <v>108</v>
      </c>
      <c r="F511"/>
      <c r="G511" t="s">
        <v>164</v>
      </c>
      <c r="H511"/>
      <c r="I511" s="158">
        <v>46278.695208333331</v>
      </c>
      <c r="J511" t="s">
        <v>445</v>
      </c>
      <c r="K511" t="s">
        <v>443</v>
      </c>
      <c r="L511" s="157">
        <v>46277</v>
      </c>
      <c r="M511" t="s">
        <v>442</v>
      </c>
      <c r="N511" t="s">
        <v>231</v>
      </c>
      <c r="O511" t="s">
        <v>444</v>
      </c>
      <c r="P511" t="s">
        <v>94</v>
      </c>
      <c r="Q511" t="s">
        <v>247</v>
      </c>
    </row>
    <row r="512" spans="1:17" s="25" customFormat="1" hidden="1">
      <c r="A512" s="111">
        <v>3.6974457500000002E-2</v>
      </c>
      <c r="B512" t="s">
        <v>94</v>
      </c>
      <c r="C512"/>
      <c r="D512"/>
      <c r="E512" t="s">
        <v>113</v>
      </c>
      <c r="F512"/>
      <c r="G512" t="s">
        <v>164</v>
      </c>
      <c r="H512"/>
      <c r="I512" s="158">
        <v>46278.694236111114</v>
      </c>
      <c r="J512" t="s">
        <v>445</v>
      </c>
      <c r="K512" t="s">
        <v>443</v>
      </c>
      <c r="L512" s="157">
        <v>46277</v>
      </c>
      <c r="M512" t="s">
        <v>442</v>
      </c>
      <c r="N512" t="s">
        <v>231</v>
      </c>
      <c r="O512" t="s">
        <v>444</v>
      </c>
      <c r="P512" t="s">
        <v>94</v>
      </c>
      <c r="Q512" t="s">
        <v>247</v>
      </c>
    </row>
    <row r="513" spans="1:17" s="25" customFormat="1" hidden="1">
      <c r="A513" s="111">
        <v>3.6722360613425924E-2</v>
      </c>
      <c r="B513" t="s">
        <v>94</v>
      </c>
      <c r="C513"/>
      <c r="D513"/>
      <c r="E513" t="s">
        <v>104</v>
      </c>
      <c r="F513"/>
      <c r="G513" t="s">
        <v>164</v>
      </c>
      <c r="H513"/>
      <c r="I513" s="158">
        <v>46278.693981481483</v>
      </c>
      <c r="J513" t="s">
        <v>445</v>
      </c>
      <c r="K513" t="s">
        <v>443</v>
      </c>
      <c r="L513" s="157">
        <v>46277</v>
      </c>
      <c r="M513" t="s">
        <v>442</v>
      </c>
      <c r="N513" t="s">
        <v>231</v>
      </c>
      <c r="O513" t="s">
        <v>444</v>
      </c>
      <c r="P513" t="s">
        <v>94</v>
      </c>
      <c r="Q513" t="s">
        <v>247</v>
      </c>
    </row>
    <row r="514" spans="1:17" s="25" customFormat="1" hidden="1">
      <c r="A514" s="111">
        <v>3.644803613425926E-2</v>
      </c>
      <c r="B514" t="s">
        <v>94</v>
      </c>
      <c r="C514"/>
      <c r="D514"/>
      <c r="E514" t="s">
        <v>87</v>
      </c>
      <c r="F514"/>
      <c r="G514" t="s">
        <v>98</v>
      </c>
      <c r="H514"/>
      <c r="I514" s="158">
        <v>46278.693819444445</v>
      </c>
      <c r="J514" t="s">
        <v>445</v>
      </c>
      <c r="K514" t="s">
        <v>443</v>
      </c>
      <c r="L514" s="157">
        <v>46277</v>
      </c>
      <c r="M514" t="s">
        <v>442</v>
      </c>
      <c r="N514" t="s">
        <v>231</v>
      </c>
      <c r="O514" t="s">
        <v>444</v>
      </c>
      <c r="P514" t="s">
        <v>94</v>
      </c>
      <c r="Q514" t="s">
        <v>247</v>
      </c>
    </row>
    <row r="515" spans="1:17" s="25" customFormat="1" hidden="1">
      <c r="A515" s="111">
        <v>3.6407666944444445E-2</v>
      </c>
      <c r="B515" t="s">
        <v>94</v>
      </c>
      <c r="C515"/>
      <c r="D515"/>
      <c r="E515" t="s">
        <v>184</v>
      </c>
      <c r="F515"/>
      <c r="G515" t="s">
        <v>98</v>
      </c>
      <c r="H515"/>
      <c r="I515" s="158">
        <v>46278.693761574075</v>
      </c>
      <c r="J515" t="s">
        <v>445</v>
      </c>
      <c r="K515" t="s">
        <v>443</v>
      </c>
      <c r="L515" s="157">
        <v>46277</v>
      </c>
      <c r="M515" t="s">
        <v>442</v>
      </c>
      <c r="N515" t="s">
        <v>231</v>
      </c>
      <c r="O515" t="s">
        <v>444</v>
      </c>
      <c r="P515" t="s">
        <v>94</v>
      </c>
      <c r="Q515" t="s">
        <v>247</v>
      </c>
    </row>
    <row r="516" spans="1:17" s="25" customFormat="1" hidden="1">
      <c r="A516" s="111">
        <v>3.6338300636574075E-2</v>
      </c>
      <c r="B516" t="s">
        <v>94</v>
      </c>
      <c r="C516"/>
      <c r="D516"/>
      <c r="E516" t="s">
        <v>108</v>
      </c>
      <c r="F516"/>
      <c r="G516" t="s">
        <v>98</v>
      </c>
      <c r="H516"/>
      <c r="I516" s="158">
        <v>46278.693599537037</v>
      </c>
      <c r="J516" t="s">
        <v>445</v>
      </c>
      <c r="K516" t="s">
        <v>443</v>
      </c>
      <c r="L516" s="157">
        <v>46277</v>
      </c>
      <c r="M516" t="s">
        <v>442</v>
      </c>
      <c r="N516" t="s">
        <v>231</v>
      </c>
      <c r="O516" t="s">
        <v>444</v>
      </c>
      <c r="P516" t="s">
        <v>94</v>
      </c>
      <c r="Q516" t="s">
        <v>247</v>
      </c>
    </row>
    <row r="517" spans="1:17" s="25" customFormat="1" hidden="1">
      <c r="A517" s="111">
        <v>3.6309123483796293E-2</v>
      </c>
      <c r="B517" t="s">
        <v>94</v>
      </c>
      <c r="C517"/>
      <c r="D517"/>
      <c r="E517" t="s">
        <v>186</v>
      </c>
      <c r="F517"/>
      <c r="G517" t="s">
        <v>98</v>
      </c>
      <c r="H517"/>
      <c r="I517" s="158">
        <v>46278.693541666667</v>
      </c>
      <c r="J517" t="s">
        <v>445</v>
      </c>
      <c r="K517" t="s">
        <v>443</v>
      </c>
      <c r="L517" s="157">
        <v>46277</v>
      </c>
      <c r="M517" t="s">
        <v>442</v>
      </c>
      <c r="N517" t="s">
        <v>231</v>
      </c>
      <c r="O517" t="s">
        <v>444</v>
      </c>
      <c r="P517" t="s">
        <v>94</v>
      </c>
      <c r="Q517" t="s">
        <v>247</v>
      </c>
    </row>
    <row r="518" spans="1:17" s="25" customFormat="1" hidden="1">
      <c r="A518" s="111">
        <v>3.6262738807870371E-2</v>
      </c>
      <c r="B518" t="s">
        <v>94</v>
      </c>
      <c r="C518"/>
      <c r="D518"/>
      <c r="E518" t="s">
        <v>100</v>
      </c>
      <c r="F518"/>
      <c r="G518" t="s">
        <v>164</v>
      </c>
      <c r="H518"/>
      <c r="I518" s="158">
        <v>46278.69326388889</v>
      </c>
      <c r="J518" t="s">
        <v>445</v>
      </c>
      <c r="K518" t="s">
        <v>443</v>
      </c>
      <c r="L518" s="157">
        <v>46277</v>
      </c>
      <c r="M518" t="s">
        <v>442</v>
      </c>
      <c r="N518" t="s">
        <v>231</v>
      </c>
      <c r="O518" t="s">
        <v>444</v>
      </c>
      <c r="P518" t="s">
        <v>94</v>
      </c>
      <c r="Q518" t="s">
        <v>247</v>
      </c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</sheetData>
  <phoneticPr fontId="20" type="noConversion"/>
  <dataValidations count="6">
    <dataValidation type="list" allowBlank="1" showErrorMessage="1" sqref="B2:B518" xr:uid="{A980C638-D7BA-AC49-B2F3-16B20C414D4F}">
      <formula1>LISTE_MT_JOURNAL</formula1>
    </dataValidation>
    <dataValidation type="list" allowBlank="1" showErrorMessage="1" sqref="C2:C518" xr:uid="{37986974-EF77-CA4A-8EFA-5457838C5E7D}">
      <formula1>LISTE_JOUEURS_JOURNAL</formula1>
    </dataValidation>
    <dataValidation type="list" allowBlank="1" showErrorMessage="1" sqref="E2:E518" xr:uid="{43C7DB6C-5B98-5949-8A91-8FDE93949208}">
      <formula1>LISTE_ACTIONS_JOURNAL</formula1>
    </dataValidation>
    <dataValidation type="list" allowBlank="1" showErrorMessage="1" sqref="G2:G518" xr:uid="{DCD36B08-114D-A94B-A148-49277E1A06A6}">
      <formula1>LISTE_EQUIPES_JOURNAL</formula1>
    </dataValidation>
    <dataValidation type="list" allowBlank="1" showErrorMessage="1" sqref="F2:F518" xr:uid="{EA1772CC-05C7-2342-8455-C37470891C6B}">
      <formula1>LISTE_MOTIFS_PENALITE</formula1>
    </dataValidation>
    <dataValidation type="list" allowBlank="1" showInputMessage="1" showErrorMessage="1" sqref="D2:D518" xr:uid="{EACE573C-BE71-034E-97F4-7AC7A7772AA6}">
      <formula1>LISTE_GROUPES_FAUTIFS</formula1>
    </dataValidation>
  </dataValidations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>
    <pageSetUpPr fitToPage="1"/>
  </sheetPr>
  <dimension ref="A1:AG1069"/>
  <sheetViews>
    <sheetView tabSelected="1" topLeftCell="A5" workbookViewId="0">
      <selection activeCell="X38" sqref="X38"/>
    </sheetView>
    <sheetView workbookViewId="1"/>
  </sheetViews>
  <sheetFormatPr baseColWidth="10" defaultRowHeight="13"/>
  <cols>
    <col min="1" max="1" width="4" style="25" customWidth="1"/>
    <col min="2" max="2" width="25.1640625" bestFit="1" customWidth="1"/>
    <col min="3" max="3" width="14" bestFit="1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7" max="18" width="10.83203125" style="25" hidden="1" customWidth="1"/>
    <col min="19" max="19" width="12.33203125" style="25" hidden="1" customWidth="1"/>
    <col min="20" max="20" width="13.83203125" style="25" hidden="1" customWidth="1"/>
    <col min="21" max="22" width="10.83203125" style="25" hidden="1" customWidth="1"/>
    <col min="23" max="23" width="4.33203125" style="25" customWidth="1"/>
    <col min="24" max="26" width="10.83203125" style="25"/>
    <col min="27" max="27" width="15.6640625" style="25" customWidth="1"/>
    <col min="28" max="29" width="10.83203125" style="25"/>
  </cols>
  <sheetData>
    <row r="1" spans="2:33" s="25" customFormat="1"/>
    <row r="2" spans="2:33" s="25" customFormat="1"/>
    <row r="3" spans="2:33" s="25" customFormat="1" ht="20" customHeight="1">
      <c r="B3" s="287" t="str">
        <f>"Stats par joueur - Match "&amp;IF('Compo'!C14="Aller","A",IF('Compo'!C14="Retour","R",IF('Compo'!C14="Amical","AMICAL","PF")))&amp;IF('Compo'!C12="Extérieur"," : "&amp;'Compo'!C10&amp;" / MXV"," : MXV / "&amp;'Compo'!C10)&amp;" "&amp;'Compo'!C20</f>
        <v>Stats par joueur - Match AMICAL : MXV / RC Trie Première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</row>
    <row r="4" spans="2:33" s="25" customFormat="1" ht="20" customHeight="1"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7"/>
    </row>
    <row r="5" spans="2:33" s="25" customFormat="1"/>
    <row r="6" spans="2:33" ht="14" customHeight="1">
      <c r="B6" s="227" t="s">
        <v>64</v>
      </c>
      <c r="C6" s="229" t="str">
        <f>ACT_PL_NORMAL</f>
        <v>Plaquage normal</v>
      </c>
      <c r="D6" s="230"/>
      <c r="E6" s="229" t="str">
        <f>ACT_PL_OFF</f>
        <v>Plaquage offensif</v>
      </c>
      <c r="F6" s="230"/>
      <c r="G6" s="229" t="str">
        <f>ACT_PL_RATE</f>
        <v>Plaquage raté</v>
      </c>
      <c r="H6" s="230"/>
      <c r="I6" s="229" t="str">
        <f>ACT_PL_A2</f>
        <v>Plaquage à 2</v>
      </c>
      <c r="J6" s="231"/>
      <c r="K6" s="231" t="str">
        <f>ACT_PL_HAUT</f>
        <v>Plaquage haut</v>
      </c>
      <c r="L6" s="230"/>
      <c r="M6" s="231" t="str">
        <f>ACT_GRATTAGE</f>
        <v>Grattage</v>
      </c>
      <c r="N6" s="230"/>
      <c r="O6" s="229" t="str">
        <f>ACT_FRANCHISSEMENT</f>
        <v>Franchissement</v>
      </c>
      <c r="P6" s="230"/>
      <c r="Q6" s="232" t="s">
        <v>286</v>
      </c>
      <c r="R6" s="233"/>
      <c r="S6" s="233"/>
      <c r="T6" s="233"/>
      <c r="U6" s="233"/>
      <c r="V6" s="234"/>
      <c r="AB6"/>
      <c r="AC6"/>
    </row>
    <row r="7" spans="2:33" ht="13" customHeight="1">
      <c r="B7" s="228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95" t="str">
        <f>ACT_PEN_MAUL</f>
        <v>Maul</v>
      </c>
      <c r="R7" s="95" t="str">
        <f>ACT_PEN_HORS_JEU</f>
        <v>Hors-jeu</v>
      </c>
      <c r="S7" s="95" t="str">
        <f>ACT_PEN_PL_A_2</f>
        <v>Plaquage à 2</v>
      </c>
      <c r="T7" s="95" t="str">
        <f>ACT_PEN_PL_HAUT</f>
        <v>Plaquage haut</v>
      </c>
      <c r="U7" s="95" t="str">
        <f>ACT_PEN_RUCK</f>
        <v>Ruck</v>
      </c>
      <c r="V7" s="95" t="str">
        <f>ACT_PEN_UNKNOWN</f>
        <v>?</v>
      </c>
      <c r="AB7"/>
      <c r="AC7"/>
    </row>
    <row r="8" spans="2:33">
      <c r="B8" s="56" t="str" cm="1">
        <f t="array" ref="B8:B36">_xlfn._xlws.SORT(_xlfn._xlws.FILTER(COMPO[Nom du joueur],(COMPO[Nom du joueur]&lt;&gt;"")*(COMPO[Nom du joueur]&lt;&gt;"Collectif")*(COMPO[Nom du joueur]&lt;&gt;"?")))</f>
        <v>ABADIE Emeric</v>
      </c>
      <c r="C8" s="61">
        <f>IF(COUNTIFS(JournalActions[Joueur],$B8,JournalActions[Action],$C$6,JournalActions[Mi-temps],C$7)=0,"",COUNTIFS(JournalActions[Joueur],$B8,JournalActions[Action],$C$6,JournalActions[Mi-temps],C$7))</f>
        <v>4</v>
      </c>
      <c r="D8" s="62">
        <f>IF(COUNTIFS(JournalActions[Joueur],$B8,JournalActions[Action],$C$6,JournalActions[Mi-temps],D$7)=0,"",COUNTIFS(JournalActions[Joueur],$B8,JournalActions[Action],$C$6,JournalActions[Mi-temps],D$7))</f>
        <v>5</v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>
        <f>IF(COUNTIFS(JournalActions[Joueur],$B8,JournalActions[Action],$G$6,JournalActions[Mi-temps],H$7)=0,"",COUNTIFS(JournalActions[Joueur],$B8,JournalActions[Action],$G$6,JournalActions[Mi-temps],H$7))</f>
        <v>1</v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89" t="str">
        <f>IF(COUNTIFS(JournalActions[Joueur],$B8,JournalActions[Action],ACT_PEN_CONTRE_NOUS,JournalActions[Motif penalite],Q$7)=0,"",COUNTIFS(JournalActions[Joueur],$B8,JournalActions[Action],ACT_PEN_CONTRE_NOUS,JournalActions[Motif penalite],Q$7))</f>
        <v/>
      </c>
      <c r="R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S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T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U8" s="89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>1</v>
      </c>
      <c r="V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B8"/>
      <c r="AC8"/>
    </row>
    <row r="9" spans="2:33">
      <c r="B9" s="56" t="str">
        <v>ABADIE Quentin</v>
      </c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>
        <f>IF(COUNTIFS(JournalActions[Joueur],$B9,JournalActions[Action],$C$6,JournalActions[Mi-temps],D$7)=0,"",COUNTIFS(JournalActions[Joueur],$B9,JournalActions[Action],$C$6,JournalActions[Mi-temps],D$7))</f>
        <v>2</v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>
        <f>IF(COUNTIFS(JournalActions[Joueur],$B9,JournalActions[Action],$I$6,JournalActions[Mi-temps],J$7)=0,"",COUNTIFS(JournalActions[Joueur],$B9,JournalActions[Action],$I$6,JournalActions[Mi-temps],J$7))</f>
        <v>3</v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96" t="str">
        <f>IF(COUNTIFS(JournalActions[Joueur],$B9,JournalActions[Action],ACT_PEN_CONTRE_NOUS,JournalActions[Motif penalite],Q$7)=0,"",COUNTIFS(JournalActions[Joueur],$B9,JournalActions[Action],ACT_PEN_CONTRE_NOUS,JournalActions[Motif penalite],Q$7))</f>
        <v/>
      </c>
      <c r="R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S9" s="96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>1</v>
      </c>
      <c r="T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U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V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B9"/>
      <c r="AC9"/>
    </row>
    <row r="10" spans="2:33">
      <c r="B10" s="56" t="str">
        <v>ABADIE Thomas</v>
      </c>
      <c r="C10" s="56">
        <f>IF(COUNTIFS(JournalActions[Joueur],$B10,JournalActions[Action],$C$6,JournalActions[Mi-temps],C$7)=0,"",COUNTIFS(JournalActions[Joueur],$B10,JournalActions[Action],$C$6,JournalActions[Mi-temps],C$7))</f>
        <v>1</v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>
        <f>IF(COUNTIFS(JournalActions[Joueur],$B10,JournalActions[Action],$G$6,JournalActions[Mi-temps],G$7)=0,"",COUNTIFS(JournalActions[Joueur],$B10,JournalActions[Action],$G$6,JournalActions[Mi-temps],G$7))</f>
        <v>1</v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96" t="str">
        <f>IF(COUNTIFS(JournalActions[Joueur],$B10,JournalActions[Action],ACT_PEN_CONTRE_NOUS,JournalActions[Motif penalite],Q$7)=0,"",COUNTIFS(JournalActions[Joueur],$B10,JournalActions[Action],ACT_PEN_CONTRE_NOUS,JournalActions[Motif penalite],Q$7))</f>
        <v/>
      </c>
      <c r="R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S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T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U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V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B10"/>
      <c r="AC10"/>
    </row>
    <row r="11" spans="2:33">
      <c r="B11" s="56" t="str">
        <v>BALAGNA Rudy</v>
      </c>
      <c r="C11" s="56">
        <f>IF(COUNTIFS(JournalActions[Joueur],$B11,JournalActions[Action],$C$6,JournalActions[Mi-temps],C$7)=0,"",COUNTIFS(JournalActions[Joueur],$B11,JournalActions[Action],$C$6,JournalActions[Mi-temps],C$7))</f>
        <v>3</v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>
        <f>IF(COUNTIFS(JournalActions[Joueur],$B11,JournalActions[Action],$E$6,JournalActions[Mi-temps],E$7)=0,"",COUNTIFS(JournalActions[Joueur],$B11,JournalActions[Action],$E$6,JournalActions[Mi-temps],E$7))</f>
        <v>1</v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>
        <f>IF(COUNTIFS(JournalActions[Joueur],$B11,JournalActions[Action],$G$6,JournalActions[Mi-temps],G$7)=0,"",COUNTIFS(JournalActions[Joueur],$B11,JournalActions[Action],$G$6,JournalActions[Mi-temps],G$7))</f>
        <v>2</v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96" t="str">
        <f>IF(COUNTIFS(JournalActions[Joueur],$B11,JournalActions[Action],ACT_PEN_CONTRE_NOUS,JournalActions[Motif penalite],Q$7)=0,"",COUNTIFS(JournalActions[Joueur],$B11,JournalActions[Action],ACT_PEN_CONTRE_NOUS,JournalActions[Motif penalite],Q$7))</f>
        <v/>
      </c>
      <c r="R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S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T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U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V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B11"/>
      <c r="AC11"/>
    </row>
    <row r="12" spans="2:33">
      <c r="B12" s="56" t="str">
        <v>BAQUE Lucas</v>
      </c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>
        <f>IF(COUNTIFS(JournalActions[Joueur],$B12,JournalActions[Action],$C$6,JournalActions[Mi-temps],D$7)=0,"",COUNTIFS(JournalActions[Joueur],$B12,JournalActions[Action],$C$6,JournalActions[Mi-temps],D$7))</f>
        <v>4</v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>
        <f>IF(COUNTIFS(JournalActions[Joueur],$B12,JournalActions[Action],$G$6,JournalActions[Mi-temps],H$7)=0,"",COUNTIFS(JournalActions[Joueur],$B12,JournalActions[Action],$G$6,JournalActions[Mi-temps],H$7))</f>
        <v>1</v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96" t="str">
        <f>IF(COUNTIFS(JournalActions[Joueur],$B12,JournalActions[Action],ACT_PEN_CONTRE_NOUS,JournalActions[Motif penalite],Q$7)=0,"",COUNTIFS(JournalActions[Joueur],$B12,JournalActions[Action],ACT_PEN_CONTRE_NOUS,JournalActions[Motif penalite],Q$7))</f>
        <v/>
      </c>
      <c r="R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S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T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U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V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B12"/>
      <c r="AC12"/>
    </row>
    <row r="13" spans="2:33">
      <c r="B13" s="56" t="str">
        <v>BARATGIN Julian</v>
      </c>
      <c r="C13" s="56">
        <f>IF(COUNTIFS(JournalActions[Joueur],$B13,JournalActions[Action],$C$6,JournalActions[Mi-temps],C$7)=0,"",COUNTIFS(JournalActions[Joueur],$B13,JournalActions[Action],$C$6,JournalActions[Mi-temps],C$7))</f>
        <v>1</v>
      </c>
      <c r="D13" s="57">
        <f>IF(COUNTIFS(JournalActions[Joueur],$B13,JournalActions[Action],$C$6,JournalActions[Mi-temps],D$7)=0,"",COUNTIFS(JournalActions[Joueur],$B13,JournalActions[Action],$C$6,JournalActions[Mi-temps],D$7))</f>
        <v>5</v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>
        <f>IF(COUNTIFS(JournalActions[Joueur],$B13,JournalActions[Action],$G$6,JournalActions[Mi-temps],H$7)=0,"",COUNTIFS(JournalActions[Joueur],$B13,JournalActions[Action],$G$6,JournalActions[Mi-temps],H$7))</f>
        <v>2</v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>
        <f>IF(COUNTIFS(JournalActions[Joueur],$B13,JournalActions[Action],$I$6,JournalActions[Mi-temps],J$7)=0,"",COUNTIFS(JournalActions[Joueur],$B13,JournalActions[Action],$I$6,JournalActions[Mi-temps],J$7))</f>
        <v>2</v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96" t="str">
        <f>IF(COUNTIFS(JournalActions[Joueur],$B13,JournalActions[Action],ACT_PEN_CONTRE_NOUS,JournalActions[Motif penalite],Q$7)=0,"",COUNTIFS(JournalActions[Joueur],$B13,JournalActions[Action],ACT_PEN_CONTRE_NOUS,JournalActions[Motif penalite],Q$7))</f>
        <v/>
      </c>
      <c r="R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S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T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U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V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D13" s="25"/>
      <c r="AE13" s="25"/>
      <c r="AF13" s="25"/>
      <c r="AG13" s="25"/>
    </row>
    <row r="14" spans="2:33">
      <c r="B14" s="56" t="str">
        <v>BARRAILH Francois</v>
      </c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96" t="str">
        <f>IF(COUNTIFS(JournalActions[Joueur],$B14,JournalActions[Action],ACT_PEN_CONTRE_NOUS,JournalActions[Motif penalite],Q$7)=0,"",COUNTIFS(JournalActions[Joueur],$B14,JournalActions[Action],ACT_PEN_CONTRE_NOUS,JournalActions[Motif penalite],Q$7))</f>
        <v/>
      </c>
      <c r="R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S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T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U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V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D14" s="25"/>
      <c r="AE14" s="25"/>
      <c r="AF14" s="25"/>
      <c r="AG14" s="25"/>
    </row>
    <row r="15" spans="2:33">
      <c r="B15" s="56" t="str">
        <v>BAYLE Jean</v>
      </c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>
        <f>IF(COUNTIFS(JournalActions[Joueur],$B15,JournalActions[Action],$C$6,JournalActions[Mi-temps],D$7)=0,"",COUNTIFS(JournalActions[Joueur],$B15,JournalActions[Action],$C$6,JournalActions[Mi-temps],D$7))</f>
        <v>2</v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>
        <f>IF(COUNTIFS(JournalActions[Joueur],$B15,JournalActions[Action],$I$6,JournalActions[Mi-temps],J$7)=0,"",COUNTIFS(JournalActions[Joueur],$B15,JournalActions[Action],$I$6,JournalActions[Mi-temps],J$7))</f>
        <v>2</v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96" t="str">
        <f>IF(COUNTIFS(JournalActions[Joueur],$B15,JournalActions[Action],ACT_PEN_CONTRE_NOUS,JournalActions[Motif penalite],Q$7)=0,"",COUNTIFS(JournalActions[Joueur],$B15,JournalActions[Action],ACT_PEN_CONTRE_NOUS,JournalActions[Motif penalite],Q$7))</f>
        <v/>
      </c>
      <c r="R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S15" s="96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>1</v>
      </c>
      <c r="T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U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V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D15" s="25"/>
      <c r="AE15" s="25"/>
      <c r="AF15" s="25"/>
      <c r="AG15" s="25"/>
    </row>
    <row r="16" spans="2:33">
      <c r="B16" s="56" t="str">
        <v>BOISVIN Paul</v>
      </c>
      <c r="C16" s="56">
        <f>IF(COUNTIFS(JournalActions[Joueur],$B16,JournalActions[Action],$C$6,JournalActions[Mi-temps],C$7)=0,"",COUNTIFS(JournalActions[Joueur],$B16,JournalActions[Action],$C$6,JournalActions[Mi-temps],C$7))</f>
        <v>1</v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>
        <f>IF(COUNTIFS(JournalActions[Joueur],$B16,JournalActions[Action],$G$6,JournalActions[Mi-temps],G$7)=0,"",COUNTIFS(JournalActions[Joueur],$B16,JournalActions[Action],$G$6,JournalActions[Mi-temps],G$7))</f>
        <v>1</v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96" t="str">
        <f>IF(COUNTIFS(JournalActions[Joueur],$B16,JournalActions[Action],ACT_PEN_CONTRE_NOUS,JournalActions[Motif penalite],Q$7)=0,"",COUNTIFS(JournalActions[Joueur],$B16,JournalActions[Action],ACT_PEN_CONTRE_NOUS,JournalActions[Motif penalite],Q$7))</f>
        <v/>
      </c>
      <c r="R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S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T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U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V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D16" s="25"/>
      <c r="AE16" s="25"/>
      <c r="AF16" s="25"/>
      <c r="AG16" s="25"/>
    </row>
    <row r="17" spans="2:33">
      <c r="B17" s="56" t="str">
        <v>BOURREC Anthony</v>
      </c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>
        <f>IF(COUNTIFS(JournalActions[Joueur],$B17,JournalActions[Action],$C$6,JournalActions[Mi-temps],D$7)=0,"",COUNTIFS(JournalActions[Joueur],$B17,JournalActions[Action],$C$6,JournalActions[Mi-temps],D$7))</f>
        <v>7</v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96" t="str">
        <f>IF(COUNTIFS(JournalActions[Joueur],$B17,JournalActions[Action],ACT_PEN_CONTRE_NOUS,JournalActions[Motif penalite],Q$7)=0,"",COUNTIFS(JournalActions[Joueur],$B17,JournalActions[Action],ACT_PEN_CONTRE_NOUS,JournalActions[Motif penalite],Q$7))</f>
        <v/>
      </c>
      <c r="R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S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T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U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V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D17" s="25"/>
      <c r="AE17" s="25"/>
      <c r="AF17" s="25"/>
      <c r="AG17" s="25"/>
    </row>
    <row r="18" spans="2:33">
      <c r="B18" s="56" t="str">
        <v>BOUTELOUP Romain</v>
      </c>
      <c r="C18" s="56">
        <f>IF(COUNTIFS(JournalActions[Joueur],$B18,JournalActions[Action],$C$6,JournalActions[Mi-temps],C$7)=0,"",COUNTIFS(JournalActions[Joueur],$B18,JournalActions[Action],$C$6,JournalActions[Mi-temps],C$7))</f>
        <v>1</v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>
        <f>IF(COUNTIFS(JournalActions[Joueur],$B18,JournalActions[Action],$G$6,JournalActions[Mi-temps],H$7)=0,"",COUNTIFS(JournalActions[Joueur],$B18,JournalActions[Action],$G$6,JournalActions[Mi-temps],H$7))</f>
        <v>1</v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96" t="str">
        <f>IF(COUNTIFS(JournalActions[Joueur],$B18,JournalActions[Action],ACT_PEN_CONTRE_NOUS,JournalActions[Motif penalite],Q$7)=0,"",COUNTIFS(JournalActions[Joueur],$B18,JournalActions[Action],ACT_PEN_CONTRE_NOUS,JournalActions[Motif penalite],Q$7))</f>
        <v/>
      </c>
      <c r="R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S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T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U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V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D18" s="25"/>
      <c r="AE18" s="25"/>
      <c r="AF18" s="25"/>
      <c r="AG18" s="25"/>
    </row>
    <row r="19" spans="2:33">
      <c r="B19" s="56" t="str">
        <v>CESCA Sacha</v>
      </c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>
        <f>IF(COUNTIFS(JournalActions[Joueur],$B19,JournalActions[Action],$C$6,JournalActions[Mi-temps],D$7)=0,"",COUNTIFS(JournalActions[Joueur],$B19,JournalActions[Action],$C$6,JournalActions[Mi-temps],D$7))</f>
        <v>3</v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96" t="str">
        <f>IF(COUNTIFS(JournalActions[Joueur],$B19,JournalActions[Action],ACT_PEN_CONTRE_NOUS,JournalActions[Motif penalite],Q$7)=0,"",COUNTIFS(JournalActions[Joueur],$B19,JournalActions[Action],ACT_PEN_CONTRE_NOUS,JournalActions[Motif penalite],Q$7))</f>
        <v/>
      </c>
      <c r="R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S19" s="96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>1</v>
      </c>
      <c r="T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U19" s="96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>1</v>
      </c>
      <c r="V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D19" s="25"/>
      <c r="AE19" s="25"/>
      <c r="AF19" s="25"/>
      <c r="AG19" s="25"/>
    </row>
    <row r="20" spans="2:33">
      <c r="B20" s="56" t="str">
        <v>COURREGES Romain</v>
      </c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>
        <f>IF(COUNTIFS(JournalActions[Joueur],$B20,JournalActions[Action],$C$6,JournalActions[Mi-temps],D$7)=0,"",COUNTIFS(JournalActions[Joueur],$B20,JournalActions[Action],$C$6,JournalActions[Mi-temps],D$7))</f>
        <v>3</v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>
        <f>IF(COUNTIFS(JournalActions[Joueur],$B20,JournalActions[Action],$O$6,JournalActions[Mi-temps],O$7)=0,"",COUNTIFS(JournalActions[Joueur],$B20,JournalActions[Action],$O$6,JournalActions[Mi-temps],O$7))</f>
        <v>1</v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96" t="str">
        <f>IF(COUNTIFS(JournalActions[Joueur],$B20,JournalActions[Action],ACT_PEN_CONTRE_NOUS,JournalActions[Motif penalite],Q$7)=0,"",COUNTIFS(JournalActions[Joueur],$B20,JournalActions[Action],ACT_PEN_CONTRE_NOUS,JournalActions[Motif penalite],Q$7))</f>
        <v/>
      </c>
      <c r="R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S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T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U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V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3">
      <c r="B21" s="56" t="str">
        <v>FITAN Maël</v>
      </c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>
        <f>IF(COUNTIFS(JournalActions[Joueur],$B21,JournalActions[Action],$G$6,JournalActions[Mi-temps],G$7)=0,"",COUNTIFS(JournalActions[Joueur],$B21,JournalActions[Action],$G$6,JournalActions[Mi-temps],G$7))</f>
        <v>1</v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>
        <f>IF(COUNTIFS(JournalActions[Joueur],$B21,JournalActions[Action],$I$6,JournalActions[Mi-temps],J$7)=0,"",COUNTIFS(JournalActions[Joueur],$B21,JournalActions[Action],$I$6,JournalActions[Mi-temps],J$7))</f>
        <v>1</v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96" t="str">
        <f>IF(COUNTIFS(JournalActions[Joueur],$B21,JournalActions[Action],ACT_PEN_CONTRE_NOUS,JournalActions[Motif penalite],Q$7)=0,"",COUNTIFS(JournalActions[Joueur],$B21,JournalActions[Action],ACT_PEN_CONTRE_NOUS,JournalActions[Motif penalite],Q$7))</f>
        <v/>
      </c>
      <c r="R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S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T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U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V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3">
      <c r="B22" s="56" t="str">
        <v>GABRELLE Neot</v>
      </c>
      <c r="C22" s="56">
        <f>IF(COUNTIFS(JournalActions[Joueur],$B22,JournalActions[Action],$C$6,JournalActions[Mi-temps],C$7)=0,"",COUNTIFS(JournalActions[Joueur],$B22,JournalActions[Action],$C$6,JournalActions[Mi-temps],C$7))</f>
        <v>1</v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>
        <f>IF(COUNTIFS(JournalActions[Joueur],$B22,JournalActions[Action],$E$6,JournalActions[Mi-temps],E$7)=0,"",COUNTIFS(JournalActions[Joueur],$B22,JournalActions[Action],$E$6,JournalActions[Mi-temps],E$7))</f>
        <v>1</v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>
        <f>IF(COUNTIFS(JournalActions[Joueur],$B22,JournalActions[Action],$G$6,JournalActions[Mi-temps],G$7)=0,"",COUNTIFS(JournalActions[Joueur],$B22,JournalActions[Action],$G$6,JournalActions[Mi-temps],G$7))</f>
        <v>1</v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96" t="str">
        <f>IF(COUNTIFS(JournalActions[Joueur],$B22,JournalActions[Action],ACT_PEN_CONTRE_NOUS,JournalActions[Motif penalite],Q$7)=0,"",COUNTIFS(JournalActions[Joueur],$B22,JournalActions[Action],ACT_PEN_CONTRE_NOUS,JournalActions[Motif penalite],Q$7))</f>
        <v/>
      </c>
      <c r="R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S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T22" s="96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>1</v>
      </c>
      <c r="U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V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3">
      <c r="B23" s="56" t="str">
        <v>GALLINARO Pierrick</v>
      </c>
      <c r="C23" s="56">
        <f>IF(COUNTIFS(JournalActions[Joueur],$B23,JournalActions[Action],$C$6,JournalActions[Mi-temps],C$7)=0,"",COUNTIFS(JournalActions[Joueur],$B23,JournalActions[Action],$C$6,JournalActions[Mi-temps],C$7))</f>
        <v>3</v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>
        <f>IF(COUNTIFS(JournalActions[Joueur],$B23,JournalActions[Action],$G$6,JournalActions[Mi-temps],G$7)=0,"",COUNTIFS(JournalActions[Joueur],$B23,JournalActions[Action],$G$6,JournalActions[Mi-temps],G$7))</f>
        <v>1</v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96" t="str">
        <f>IF(COUNTIFS(JournalActions[Joueur],$B23,JournalActions[Action],ACT_PEN_CONTRE_NOUS,JournalActions[Motif penalite],Q$7)=0,"",COUNTIFS(JournalActions[Joueur],$B23,JournalActions[Action],ACT_PEN_CONTRE_NOUS,JournalActions[Motif penalite],Q$7))</f>
        <v/>
      </c>
      <c r="R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S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T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U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V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3">
      <c r="B24" s="56" t="str">
        <v>HENNI Kevin</v>
      </c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96" t="str">
        <f>IF(COUNTIFS(JournalActions[Joueur],$B24,JournalActions[Action],ACT_PEN_CONTRE_NOUS,JournalActions[Motif penalite],Q$7)=0,"",COUNTIFS(JournalActions[Joueur],$B24,JournalActions[Action],ACT_PEN_CONTRE_NOUS,JournalActions[Motif penalite],Q$7))</f>
        <v/>
      </c>
      <c r="R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S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T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U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V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3">
      <c r="B25" s="56" t="str">
        <v>JOUNAUX Joris</v>
      </c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>
        <f>IF(COUNTIFS(JournalActions[Joueur],$B25,JournalActions[Action],$C$6,JournalActions[Mi-temps],D$7)=0,"",COUNTIFS(JournalActions[Joueur],$B25,JournalActions[Action],$C$6,JournalActions[Mi-temps],D$7))</f>
        <v>3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>
        <f>IF(COUNTIFS(JournalActions[Joueur],$B25,JournalActions[Action],$G$6,JournalActions[Mi-temps],H$7)=0,"",COUNTIFS(JournalActions[Joueur],$B25,JournalActions[Action],$G$6,JournalActions[Mi-temps],H$7))</f>
        <v>2</v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>
        <f>IF(COUNTIFS(JournalActions[Joueur],$B25,JournalActions[Action],$M$6,JournalActions[Mi-temps],N$7)=0,"",COUNTIFS(JournalActions[Joueur],$B25,JournalActions[Action],$M$6,JournalActions[Mi-temps],N$7))</f>
        <v>1</v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96" t="str">
        <f>IF(COUNTIFS(JournalActions[Joueur],$B25,JournalActions[Action],ACT_PEN_CONTRE_NOUS,JournalActions[Motif penalite],Q$7)=0,"",COUNTIFS(JournalActions[Joueur],$B25,JournalActions[Action],ACT_PEN_CONTRE_NOUS,JournalActions[Motif penalite],Q$7))</f>
        <v/>
      </c>
      <c r="R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S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T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U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V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3">
      <c r="B26" s="56" t="str">
        <v>KAPFER Bastien</v>
      </c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>
        <f>IF(COUNTIFS(JournalActions[Joueur],$B26,JournalActions[Action],$C$6,JournalActions[Mi-temps],D$7)=0,"",COUNTIFS(JournalActions[Joueur],$B26,JournalActions[Action],$C$6,JournalActions[Mi-temps],D$7))</f>
        <v>5</v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96" t="str">
        <f>IF(COUNTIFS(JournalActions[Joueur],$B26,JournalActions[Action],ACT_PEN_CONTRE_NOUS,JournalActions[Motif penalite],Q$7)=0,"",COUNTIFS(JournalActions[Joueur],$B26,JournalActions[Action],ACT_PEN_CONTRE_NOUS,JournalActions[Motif penalite],Q$7))</f>
        <v/>
      </c>
      <c r="R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S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T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U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V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3">
      <c r="B27" s="56" t="str">
        <v>LESPINASSE Lucas</v>
      </c>
      <c r="C27" s="56">
        <f>IF(COUNTIFS(JournalActions[Joueur],$B27,JournalActions[Action],$C$6,JournalActions[Mi-temps],C$7)=0,"",COUNTIFS(JournalActions[Joueur],$B27,JournalActions[Action],$C$6,JournalActions[Mi-temps],C$7))</f>
        <v>3</v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96" t="str">
        <f>IF(COUNTIFS(JournalActions[Joueur],$B27,JournalActions[Action],ACT_PEN_CONTRE_NOUS,JournalActions[Motif penalite],Q$7)=0,"",COUNTIFS(JournalActions[Joueur],$B27,JournalActions[Action],ACT_PEN_CONTRE_NOUS,JournalActions[Motif penalite],Q$7))</f>
        <v/>
      </c>
      <c r="R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S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T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U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V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3">
      <c r="B28" s="56" t="str">
        <v>LOUREIRO LABAZUY Antonio</v>
      </c>
      <c r="C28" s="56">
        <f>IF(COUNTIFS(JournalActions[Joueur],$B28,JournalActions[Action],$C$6,JournalActions[Mi-temps],C$7)=0,"",COUNTIFS(JournalActions[Joueur],$B28,JournalActions[Action],$C$6,JournalActions[Mi-temps],C$7))</f>
        <v>5</v>
      </c>
      <c r="D28" s="57">
        <f>IF(COUNTIFS(JournalActions[Joueur],$B28,JournalActions[Action],$C$6,JournalActions[Mi-temps],D$7)=0,"",COUNTIFS(JournalActions[Joueur],$B28,JournalActions[Action],$C$6,JournalActions[Mi-temps],D$7))</f>
        <v>3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>
        <f>IF(COUNTIFS(JournalActions[Joueur],$B28,JournalActions[Action],$G$6,JournalActions[Mi-temps],G$7)=0,"",COUNTIFS(JournalActions[Joueur],$B28,JournalActions[Action],$G$6,JournalActions[Mi-temps],G$7))</f>
        <v>1</v>
      </c>
      <c r="H28" s="57">
        <f>IF(COUNTIFS(JournalActions[Joueur],$B28,JournalActions[Action],$G$6,JournalActions[Mi-temps],H$7)=0,"",COUNTIFS(JournalActions[Joueur],$B28,JournalActions[Action],$G$6,JournalActions[Mi-temps],H$7))</f>
        <v>1</v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96" t="str">
        <f>IF(COUNTIFS(JournalActions[Joueur],$B28,JournalActions[Action],ACT_PEN_CONTRE_NOUS,JournalActions[Motif penalite],Q$7)=0,"",COUNTIFS(JournalActions[Joueur],$B28,JournalActions[Action],ACT_PEN_CONTRE_NOUS,JournalActions[Motif penalite],Q$7))</f>
        <v/>
      </c>
      <c r="R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S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T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U28" s="96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>1</v>
      </c>
      <c r="V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3">
      <c r="B29" s="56" t="str">
        <v>MOUDENS Alexis</v>
      </c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>
        <f>IF(COUNTIFS(JournalActions[Joueur],$B29,JournalActions[Action],$C$6,JournalActions[Mi-temps],D$7)=0,"",COUNTIFS(JournalActions[Joueur],$B29,JournalActions[Action],$C$6,JournalActions[Mi-temps],D$7))</f>
        <v>1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96" t="str">
        <f>IF(COUNTIFS(JournalActions[Joueur],$B29,JournalActions[Action],ACT_PEN_CONTRE_NOUS,JournalActions[Motif penalite],Q$7)=0,"",COUNTIFS(JournalActions[Joueur],$B29,JournalActions[Action],ACT_PEN_CONTRE_NOUS,JournalActions[Motif penalite],Q$7))</f>
        <v/>
      </c>
      <c r="R29" s="96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>1</v>
      </c>
      <c r="S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T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U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V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3">
      <c r="B30" s="56" t="str">
        <v>POUYADOU Julien</v>
      </c>
      <c r="C30" s="56">
        <f>IF(COUNTIFS(JournalActions[Joueur],$B30,JournalActions[Action],$C$6,JournalActions[Mi-temps],C$7)=0,"",COUNTIFS(JournalActions[Joueur],$B30,JournalActions[Action],$C$6,JournalActions[Mi-temps],C$7))</f>
        <v>1</v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96" t="str">
        <f>IF(COUNTIFS(JournalActions[Joueur],$B30,JournalActions[Action],ACT_PEN_CONTRE_NOUS,JournalActions[Motif penalite],Q$7)=0,"",COUNTIFS(JournalActions[Joueur],$B30,JournalActions[Action],ACT_PEN_CONTRE_NOUS,JournalActions[Motif penalite],Q$7))</f>
        <v/>
      </c>
      <c r="R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S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T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U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V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3">
      <c r="B31" s="56" t="str">
        <v>RECURT Louis</v>
      </c>
      <c r="C31" s="56">
        <f>IF(COUNTIFS(JournalActions[Joueur],$B31,JournalActions[Action],$C$6,JournalActions[Mi-temps],C$7)=0,"",COUNTIFS(JournalActions[Joueur],$B31,JournalActions[Action],$C$6,JournalActions[Mi-temps],C$7))</f>
        <v>3</v>
      </c>
      <c r="D31" s="57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56" t="str">
        <f>IF(COUNTIFS(JournalActions[Joueur],$B31,JournalActions[Action],$G$6,JournalActions[Mi-temps],G$7)=0,"",COUNTIFS(JournalActions[Joueur],$B31,JournalActions[Action],$G$6,JournalActions[Mi-temps],G$7))</f>
        <v/>
      </c>
      <c r="H31" s="57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56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56" t="str">
        <f>IF(COUNTIFS(JournalActions[Joueur],$B31,JournalActions[Action],$M$6,JournalActions[Mi-temps],M$7)=0,"",COUNTIFS(JournalActions[Joueur],$B31,JournalActions[Action],$M$6,JournalActions[Mi-temps],M$7))</f>
        <v/>
      </c>
      <c r="N31" s="57" t="str">
        <f>IF(COUNTIFS(JournalActions[Joueur],$B31,JournalActions[Action],$M$6,JournalActions[Mi-temps],N$7)=0,"",COUNTIFS(JournalActions[Joueur],$B31,JournalActions[Action],$M$6,JournalActions[Mi-temps],N$7))</f>
        <v/>
      </c>
      <c r="O31" s="56" t="str">
        <f>IF(COUNTIFS(JournalActions[Joueur],$B31,JournalActions[Action],$O$6,JournalActions[Mi-temps],O$7)=0,"",COUNTIFS(JournalActions[Joueur],$B31,JournalActions[Action],$O$6,JournalActions[Mi-temps],O$7))</f>
        <v/>
      </c>
      <c r="P31" s="57" t="str">
        <f>IF(COUNTIFS(JournalActions[Joueur],$B31,JournalActions[Action],$O$6,JournalActions[Mi-temps],P$7)=0,"",COUNTIFS(JournalActions[Joueur],$B31,JournalActions[Action],$O$6,JournalActions[Mi-temps],P$7))</f>
        <v/>
      </c>
      <c r="Q31" s="96" t="str">
        <f>IF(COUNTIFS(JournalActions[Joueur],$B31,JournalActions[Action],ACT_PEN_CONTRE_NOUS,JournalActions[Motif penalite],Q$7)=0,"",COUNTIFS(JournalActions[Joueur],$B31,JournalActions[Action],ACT_PEN_CONTRE_NOUS,JournalActions[Motif penalite],Q$7))</f>
        <v/>
      </c>
      <c r="R31" s="96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S31" s="96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T31" s="96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U31" s="96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V31" s="96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3">
      <c r="B32" s="56" t="str">
        <v>RICHIARDONNE Gregory</v>
      </c>
      <c r="C32" s="56">
        <f>IF(COUNTIFS(JournalActions[Joueur],$B32,JournalActions[Action],$C$6,JournalActions[Mi-temps],C$7)=0,"",COUNTIFS(JournalActions[Joueur],$B32,JournalActions[Action],$C$6,JournalActions[Mi-temps],C$7))</f>
        <v>1</v>
      </c>
      <c r="D32" s="57">
        <f>IF(COUNTIFS(JournalActions[Joueur],$B32,JournalActions[Action],$C$6,JournalActions[Mi-temps],D$7)=0,"",COUNTIFS(JournalActions[Joueur],$B32,JournalActions[Action],$C$6,JournalActions[Mi-temps],D$7))</f>
        <v>2</v>
      </c>
      <c r="E32">
        <f>IF(COUNTIFS(JournalActions[Joueur],$B32,JournalActions[Action],$E$6,JournalActions[Mi-temps],E$7)=0,"",COUNTIFS(JournalActions[Joueur],$B32,JournalActions[Action],$E$6,JournalActions[Mi-temps],E$7))</f>
        <v>1</v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56">
        <f>IF(COUNTIFS(JournalActions[Joueur],$B32,JournalActions[Action],$G$6,JournalActions[Mi-temps],G$7)=0,"",COUNTIFS(JournalActions[Joueur],$B32,JournalActions[Action],$G$6,JournalActions[Mi-temps],G$7))</f>
        <v>2</v>
      </c>
      <c r="H32" s="57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56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56" t="str">
        <f>IF(COUNTIFS(JournalActions[Joueur],$B32,JournalActions[Action],$M$6,JournalActions[Mi-temps],M$7)=0,"",COUNTIFS(JournalActions[Joueur],$B32,JournalActions[Action],$M$6,JournalActions[Mi-temps],M$7))</f>
        <v/>
      </c>
      <c r="N32" s="57" t="str">
        <f>IF(COUNTIFS(JournalActions[Joueur],$B32,JournalActions[Action],$M$6,JournalActions[Mi-temps],N$7)=0,"",COUNTIFS(JournalActions[Joueur],$B32,JournalActions[Action],$M$6,JournalActions[Mi-temps],N$7))</f>
        <v/>
      </c>
      <c r="O32" s="56" t="str">
        <f>IF(COUNTIFS(JournalActions[Joueur],$B32,JournalActions[Action],$O$6,JournalActions[Mi-temps],O$7)=0,"",COUNTIFS(JournalActions[Joueur],$B32,JournalActions[Action],$O$6,JournalActions[Mi-temps],O$7))</f>
        <v/>
      </c>
      <c r="P32" s="57" t="str">
        <f>IF(COUNTIFS(JournalActions[Joueur],$B32,JournalActions[Action],$O$6,JournalActions[Mi-temps],P$7)=0,"",COUNTIFS(JournalActions[Joueur],$B32,JournalActions[Action],$O$6,JournalActions[Mi-temps],P$7))</f>
        <v/>
      </c>
      <c r="Q32" s="96" t="str">
        <f>IF(COUNTIFS(JournalActions[Joueur],$B32,JournalActions[Action],ACT_PEN_CONTRE_NOUS,JournalActions[Motif penalite],Q$7)=0,"",COUNTIFS(JournalActions[Joueur],$B32,JournalActions[Action],ACT_PEN_CONTRE_NOUS,JournalActions[Motif penalite],Q$7))</f>
        <v/>
      </c>
      <c r="R32" s="96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S32" s="96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T32" s="96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U32" s="96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V32" s="96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22">
      <c r="B33" s="56" t="str">
        <v>ROUSSEL Mathis</v>
      </c>
      <c r="C33" s="56">
        <f>IF(COUNTIFS(JournalActions[Joueur],$B33,JournalActions[Action],$C$6,JournalActions[Mi-temps],C$7)=0,"",COUNTIFS(JournalActions[Joueur],$B33,JournalActions[Action],$C$6,JournalActions[Mi-temps],C$7))</f>
        <v>1</v>
      </c>
      <c r="D33" s="57">
        <f>IF(COUNTIFS(JournalActions[Joueur],$B33,JournalActions[Action],$C$6,JournalActions[Mi-temps],D$7)=0,"",COUNTIFS(JournalActions[Joueur],$B33,JournalActions[Action],$C$6,JournalActions[Mi-temps],D$7))</f>
        <v>6</v>
      </c>
      <c r="E33">
        <f>IF(COUNTIFS(JournalActions[Joueur],$B33,JournalActions[Action],$E$6,JournalActions[Mi-temps],E$7)=0,"",COUNTIFS(JournalActions[Joueur],$B33,JournalActions[Action],$E$6,JournalActions[Mi-temps],E$7))</f>
        <v>1</v>
      </c>
      <c r="F33" t="str">
        <f>IF(COUNTIFS(JournalActions[Joueur],$B33,JournalActions[Action],$E$6,JournalActions[Mi-temps],F$7)=0,"",COUNTIFS(JournalActions[Joueur],$B33,JournalActions[Action],$E$6,JournalActions[Mi-temps],F$7))</f>
        <v/>
      </c>
      <c r="G33" s="56">
        <f>IF(COUNTIFS(JournalActions[Joueur],$B33,JournalActions[Action],$G$6,JournalActions[Mi-temps],G$7)=0,"",COUNTIFS(JournalActions[Joueur],$B33,JournalActions[Action],$G$6,JournalActions[Mi-temps],G$7))</f>
        <v>1</v>
      </c>
      <c r="H33" s="57">
        <f>IF(COUNTIFS(JournalActions[Joueur],$B33,JournalActions[Action],$G$6,JournalActions[Mi-temps],H$7)=0,"",COUNTIFS(JournalActions[Joueur],$B33,JournalActions[Action],$G$6,JournalActions[Mi-temps],H$7))</f>
        <v>1</v>
      </c>
      <c r="I33" t="str">
        <f>IF(COUNTIFS(JournalActions[Joueur],$B33,JournalActions[Action],$I$6,JournalActions[Mi-temps],I$7)=0,"",COUNTIFS(JournalActions[Joueur],$B33,JournalActions[Action],$I$6,JournalActions[Mi-temps],I$7))</f>
        <v/>
      </c>
      <c r="J33">
        <f>IF(COUNTIFS(JournalActions[Joueur],$B33,JournalActions[Action],$I$6,JournalActions[Mi-temps],J$7)=0,"",COUNTIFS(JournalActions[Joueur],$B33,JournalActions[Action],$I$6,JournalActions[Mi-temps],J$7))</f>
        <v>1</v>
      </c>
      <c r="K33" s="56" t="str">
        <f>IF(COUNTIFS(JournalActions[Joueur],$B33,JournalActions[Action],$K$6,JournalActions[Mi-temps],K$7)=0,"",COUNTIFS(JournalActions[Joueur],$B33,JournalActions[Action],$K$6,JournalActions[Mi-temps],K$7))</f>
        <v/>
      </c>
      <c r="L33" t="str">
        <f>IF(COUNTIFS(JournalActions[Joueur],$B33,JournalActions[Action],$K$6,JournalActions[Mi-temps],L$7)=0,"",COUNTIFS(JournalActions[Joueur],$B33,JournalActions[Action],$K$6,JournalActions[Mi-temps],L$7))</f>
        <v/>
      </c>
      <c r="M33" s="56" t="str">
        <f>IF(COUNTIFS(JournalActions[Joueur],$B33,JournalActions[Action],$M$6,JournalActions[Mi-temps],M$7)=0,"",COUNTIFS(JournalActions[Joueur],$B33,JournalActions[Action],$M$6,JournalActions[Mi-temps],M$7))</f>
        <v/>
      </c>
      <c r="N33" s="57" t="str">
        <f>IF(COUNTIFS(JournalActions[Joueur],$B33,JournalActions[Action],$M$6,JournalActions[Mi-temps],N$7)=0,"",COUNTIFS(JournalActions[Joueur],$B33,JournalActions[Action],$M$6,JournalActions[Mi-temps],N$7))</f>
        <v/>
      </c>
      <c r="O33" s="56" t="str">
        <f>IF(COUNTIFS(JournalActions[Joueur],$B33,JournalActions[Action],$O$6,JournalActions[Mi-temps],O$7)=0,"",COUNTIFS(JournalActions[Joueur],$B33,JournalActions[Action],$O$6,JournalActions[Mi-temps],O$7))</f>
        <v/>
      </c>
      <c r="P33" s="57" t="str">
        <f>IF(COUNTIFS(JournalActions[Joueur],$B33,JournalActions[Action],$O$6,JournalActions[Mi-temps],P$7)=0,"",COUNTIFS(JournalActions[Joueur],$B33,JournalActions[Action],$O$6,JournalActions[Mi-temps],P$7))</f>
        <v/>
      </c>
      <c r="Q33" s="96" t="str">
        <f>IF(COUNTIFS(JournalActions[Joueur],$B33,JournalActions[Action],ACT_PEN_CONTRE_NOUS,JournalActions[Motif penalite],Q$7)=0,"",COUNTIFS(JournalActions[Joueur],$B33,JournalActions[Action],ACT_PEN_CONTRE_NOUS,JournalActions[Motif penalite],Q$7))</f>
        <v/>
      </c>
      <c r="R33" s="96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S33" s="96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T33" s="96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U33" s="96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V33" s="96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22">
      <c r="B34" s="56" t="str">
        <v>SALLES Fabien</v>
      </c>
      <c r="C34" s="56" t="str">
        <f>IF(COUNTIFS(JournalActions[Joueur],$B34,JournalActions[Action],$C$6,JournalActions[Mi-temps],C$7)=0,"",COUNTIFS(JournalActions[Joueur],$B34,JournalActions[Action],$C$6,JournalActions[Mi-temps],C$7))</f>
        <v/>
      </c>
      <c r="D34" s="57">
        <f>IF(COUNTIFS(JournalActions[Joueur],$B34,JournalActions[Action],$C$6,JournalActions[Mi-temps],D$7)=0,"",COUNTIFS(JournalActions[Joueur],$B34,JournalActions[Action],$C$6,JournalActions[Mi-temps],D$7))</f>
        <v>1</v>
      </c>
      <c r="E34" t="str">
        <f>IF(COUNTIFS(JournalActions[Joueur],$B34,JournalActions[Action],$E$6,JournalActions[Mi-temps],E$7)=0,"",COUNTIFS(JournalActions[Joueur],$B34,JournalActions[Action],$E$6,JournalActions[Mi-temps],E$7))</f>
        <v/>
      </c>
      <c r="F34" t="str">
        <f>IF(COUNTIFS(JournalActions[Joueur],$B34,JournalActions[Action],$E$6,JournalActions[Mi-temps],F$7)=0,"",COUNTIFS(JournalActions[Joueur],$B34,JournalActions[Action],$E$6,JournalActions[Mi-temps],F$7))</f>
        <v/>
      </c>
      <c r="G34" s="56" t="str">
        <f>IF(COUNTIFS(JournalActions[Joueur],$B34,JournalActions[Action],$G$6,JournalActions[Mi-temps],G$7)=0,"",COUNTIFS(JournalActions[Joueur],$B34,JournalActions[Action],$G$6,JournalActions[Mi-temps],G$7))</f>
        <v/>
      </c>
      <c r="H34" s="57" t="str">
        <f>IF(COUNTIFS(JournalActions[Joueur],$B34,JournalActions[Action],$G$6,JournalActions[Mi-temps],H$7)=0,"",COUNTIFS(JournalActions[Joueur],$B34,JournalActions[Action],$G$6,JournalActions[Mi-temps],H$7))</f>
        <v/>
      </c>
      <c r="I34" t="str">
        <f>IF(COUNTIFS(JournalActions[Joueur],$B34,JournalActions[Action],$I$6,JournalActions[Mi-temps],I$7)=0,"",COUNTIFS(JournalActions[Joueur],$B34,JournalActions[Action],$I$6,JournalActions[Mi-temps],I$7))</f>
        <v/>
      </c>
      <c r="J34" t="str">
        <f>IF(COUNTIFS(JournalActions[Joueur],$B34,JournalActions[Action],$I$6,JournalActions[Mi-temps],J$7)=0,"",COUNTIFS(JournalActions[Joueur],$B34,JournalActions[Action],$I$6,JournalActions[Mi-temps],J$7))</f>
        <v/>
      </c>
      <c r="K34" s="56" t="str">
        <f>IF(COUNTIFS(JournalActions[Joueur],$B34,JournalActions[Action],$K$6,JournalActions[Mi-temps],K$7)=0,"",COUNTIFS(JournalActions[Joueur],$B34,JournalActions[Action],$K$6,JournalActions[Mi-temps],K$7))</f>
        <v/>
      </c>
      <c r="L34" t="str">
        <f>IF(COUNTIFS(JournalActions[Joueur],$B34,JournalActions[Action],$K$6,JournalActions[Mi-temps],L$7)=0,"",COUNTIFS(JournalActions[Joueur],$B34,JournalActions[Action],$K$6,JournalActions[Mi-temps],L$7))</f>
        <v/>
      </c>
      <c r="M34" s="56" t="str">
        <f>IF(COUNTIFS(JournalActions[Joueur],$B34,JournalActions[Action],$M$6,JournalActions[Mi-temps],M$7)=0,"",COUNTIFS(JournalActions[Joueur],$B34,JournalActions[Action],$M$6,JournalActions[Mi-temps],M$7))</f>
        <v/>
      </c>
      <c r="N34" s="57" t="str">
        <f>IF(COUNTIFS(JournalActions[Joueur],$B34,JournalActions[Action],$M$6,JournalActions[Mi-temps],N$7)=0,"",COUNTIFS(JournalActions[Joueur],$B34,JournalActions[Action],$M$6,JournalActions[Mi-temps],N$7))</f>
        <v/>
      </c>
      <c r="O34" s="56" t="str">
        <f>IF(COUNTIFS(JournalActions[Joueur],$B34,JournalActions[Action],$O$6,JournalActions[Mi-temps],O$7)=0,"",COUNTIFS(JournalActions[Joueur],$B34,JournalActions[Action],$O$6,JournalActions[Mi-temps],O$7))</f>
        <v/>
      </c>
      <c r="P34" s="57" t="str">
        <f>IF(COUNTIFS(JournalActions[Joueur],$B34,JournalActions[Action],$O$6,JournalActions[Mi-temps],P$7)=0,"",COUNTIFS(JournalActions[Joueur],$B34,JournalActions[Action],$O$6,JournalActions[Mi-temps],P$7))</f>
        <v/>
      </c>
      <c r="Q34" s="96" t="str">
        <f>IF(COUNTIFS(JournalActions[Joueur],$B34,JournalActions[Action],ACT_PEN_CONTRE_NOUS,JournalActions[Motif penalite],Q$7)=0,"",COUNTIFS(JournalActions[Joueur],$B34,JournalActions[Action],ACT_PEN_CONTRE_NOUS,JournalActions[Motif penalite],Q$7))</f>
        <v/>
      </c>
      <c r="R34" s="96" t="str">
        <f>IF(COUNTIFS(JournalActions[[Joueur]:[Joueur]],$B34,JournalActions[[Action]:[Action]],ACT_PEN_CONTRE_NOUS,JournalActions[[Motif penalite]:[Motif penalite]],ACT_PEN_HORS_JEU)=0,"",COUNTIFS(JournalActions[[Joueur]:[Joueur]],$B34,JournalActions[[Action]:[Action]],ACT_PEN_CONTRE_NOUS,JournalActions[[Motif penalite]:[Motif penalite]],ACT_PEN_HORS_JEU))</f>
        <v/>
      </c>
      <c r="S34" s="96" t="str">
        <f>IF(COUNTIFS(JournalActions[[Joueur]:[Joueur]],$B34,JournalActions[[Action]:[Action]],ACT_PEN_CONTRE_NOUS,JournalActions[[Motif penalite]:[Motif penalite]],ACT_PEN_PL_A_2)=0,"",COUNTIFS(JournalActions[[Joueur]:[Joueur]],$B34,JournalActions[[Action]:[Action]],ACT_PEN_CONTRE_NOUS,JournalActions[[Motif penalite]:[Motif penalite]],ACT_PEN_PL_A_2))</f>
        <v/>
      </c>
      <c r="T34" s="96" t="str">
        <f>IF(COUNTIFS(JournalActions[[Joueur]:[Joueur]],$B34,JournalActions[[Action]:[Action]],ACT_PEN_CONTRE_NOUS,JournalActions[[Motif penalite]:[Motif penalite]],ACT_PEN_PL_HAUT)=0,"",COUNTIFS(JournalActions[[Joueur]:[Joueur]],$B34,JournalActions[[Action]:[Action]],ACT_PEN_CONTRE_NOUS,JournalActions[[Motif penalite]:[Motif penalite]],ACT_PEN_PL_HAUT))</f>
        <v/>
      </c>
      <c r="U34" s="96" t="str">
        <f>IF(COUNTIFS(JournalActions[[Joueur]:[Joueur]],$B34,JournalActions[[Action]:[Action]],ACT_PEN_CONTRE_NOUS,JournalActions[[Motif penalite]:[Motif penalite]],ACT_PEN_RUCK)=0,"",COUNTIFS(JournalActions[[Joueur]:[Joueur]],$B34,JournalActions[[Action]:[Action]],ACT_PEN_CONTRE_NOUS,JournalActions[[Motif penalite]:[Motif penalite]],ACT_PEN_RUCK))</f>
        <v/>
      </c>
      <c r="V34" s="96" t="str">
        <f>IF(COUNTIFS(JournalActions[[Joueur]:[Joueur]],$B34,JournalActions[[Action]:[Action]],ACT_PEN_CONTRE_NOUS,JournalActions[[Motif penalite]:[Motif penalite]],"?")=0,"",COUNTIFS(JournalActions[[Joueur]:[Joueur]],$B34,JournalActions[[Action]:[Action]],ACT_PEN_CONTRE_NOUS,JournalActions[[Motif penalite]:[Motif penalite]],"?"))</f>
        <v/>
      </c>
    </row>
    <row r="35" spans="2:22">
      <c r="B35" s="56" t="str">
        <v>SOUVILLE Quentin</v>
      </c>
      <c r="C35" s="56">
        <f>IF(COUNTIFS(JournalActions[Joueur],$B35,JournalActions[Action],$C$6,JournalActions[Mi-temps],C$7)=0,"",COUNTIFS(JournalActions[Joueur],$B35,JournalActions[Action],$C$6,JournalActions[Mi-temps],C$7))</f>
        <v>3</v>
      </c>
      <c r="D35" s="57" t="str">
        <f>IF(COUNTIFS(JournalActions[Joueur],$B35,JournalActions[Action],$C$6,JournalActions[Mi-temps],D$7)=0,"",COUNTIFS(JournalActions[Joueur],$B35,JournalActions[Action],$C$6,JournalActions[Mi-temps],D$7))</f>
        <v/>
      </c>
      <c r="E35" t="str">
        <f>IF(COUNTIFS(JournalActions[Joueur],$B35,JournalActions[Action],$E$6,JournalActions[Mi-temps],E$7)=0,"",COUNTIFS(JournalActions[Joueur],$B35,JournalActions[Action],$E$6,JournalActions[Mi-temps],E$7))</f>
        <v/>
      </c>
      <c r="F35" t="str">
        <f>IF(COUNTIFS(JournalActions[Joueur],$B35,JournalActions[Action],$E$6,JournalActions[Mi-temps],F$7)=0,"",COUNTIFS(JournalActions[Joueur],$B35,JournalActions[Action],$E$6,JournalActions[Mi-temps],F$7))</f>
        <v/>
      </c>
      <c r="G35" s="56">
        <f>IF(COUNTIFS(JournalActions[Joueur],$B35,JournalActions[Action],$G$6,JournalActions[Mi-temps],G$7)=0,"",COUNTIFS(JournalActions[Joueur],$B35,JournalActions[Action],$G$6,JournalActions[Mi-temps],G$7))</f>
        <v>2</v>
      </c>
      <c r="H35" s="57" t="str">
        <f>IF(COUNTIFS(JournalActions[Joueur],$B35,JournalActions[Action],$G$6,JournalActions[Mi-temps],H$7)=0,"",COUNTIFS(JournalActions[Joueur],$B35,JournalActions[Action],$G$6,JournalActions[Mi-temps],H$7))</f>
        <v/>
      </c>
      <c r="I35" t="str">
        <f>IF(COUNTIFS(JournalActions[Joueur],$B35,JournalActions[Action],$I$6,JournalActions[Mi-temps],I$7)=0,"",COUNTIFS(JournalActions[Joueur],$B35,JournalActions[Action],$I$6,JournalActions[Mi-temps],I$7))</f>
        <v/>
      </c>
      <c r="J35" t="str">
        <f>IF(COUNTIFS(JournalActions[Joueur],$B35,JournalActions[Action],$I$6,JournalActions[Mi-temps],J$7)=0,"",COUNTIFS(JournalActions[Joueur],$B35,JournalActions[Action],$I$6,JournalActions[Mi-temps],J$7))</f>
        <v/>
      </c>
      <c r="K35" s="56" t="str">
        <f>IF(COUNTIFS(JournalActions[Joueur],$B35,JournalActions[Action],$K$6,JournalActions[Mi-temps],K$7)=0,"",COUNTIFS(JournalActions[Joueur],$B35,JournalActions[Action],$K$6,JournalActions[Mi-temps],K$7))</f>
        <v/>
      </c>
      <c r="L35" t="str">
        <f>IF(COUNTIFS(JournalActions[Joueur],$B35,JournalActions[Action],$K$6,JournalActions[Mi-temps],L$7)=0,"",COUNTIFS(JournalActions[Joueur],$B35,JournalActions[Action],$K$6,JournalActions[Mi-temps],L$7))</f>
        <v/>
      </c>
      <c r="M35" s="56" t="str">
        <f>IF(COUNTIFS(JournalActions[Joueur],$B35,JournalActions[Action],$M$6,JournalActions[Mi-temps],M$7)=0,"",COUNTIFS(JournalActions[Joueur],$B35,JournalActions[Action],$M$6,JournalActions[Mi-temps],M$7))</f>
        <v/>
      </c>
      <c r="N35" s="57" t="str">
        <f>IF(COUNTIFS(JournalActions[Joueur],$B35,JournalActions[Action],$M$6,JournalActions[Mi-temps],N$7)=0,"",COUNTIFS(JournalActions[Joueur],$B35,JournalActions[Action],$M$6,JournalActions[Mi-temps],N$7))</f>
        <v/>
      </c>
      <c r="O35" s="56" t="str">
        <f>IF(COUNTIFS(JournalActions[Joueur],$B35,JournalActions[Action],$O$6,JournalActions[Mi-temps],O$7)=0,"",COUNTIFS(JournalActions[Joueur],$B35,JournalActions[Action],$O$6,JournalActions[Mi-temps],O$7))</f>
        <v/>
      </c>
      <c r="P35" s="57" t="str">
        <f>IF(COUNTIFS(JournalActions[Joueur],$B35,JournalActions[Action],$O$6,JournalActions[Mi-temps],P$7)=0,"",COUNTIFS(JournalActions[Joueur],$B35,JournalActions[Action],$O$6,JournalActions[Mi-temps],P$7))</f>
        <v/>
      </c>
      <c r="Q35" s="96" t="str">
        <f>IF(COUNTIFS(JournalActions[Joueur],$B35,JournalActions[Action],ACT_PEN_CONTRE_NOUS,JournalActions[Motif penalite],Q$7)=0,"",COUNTIFS(JournalActions[Joueur],$B35,JournalActions[Action],ACT_PEN_CONTRE_NOUS,JournalActions[Motif penalite],Q$7))</f>
        <v/>
      </c>
      <c r="R35" s="96" t="str">
        <f>IF(COUNTIFS(JournalActions[[Joueur]:[Joueur]],$B35,JournalActions[[Action]:[Action]],ACT_PEN_CONTRE_NOUS,JournalActions[[Motif penalite]:[Motif penalite]],ACT_PEN_HORS_JEU)=0,"",COUNTIFS(JournalActions[[Joueur]:[Joueur]],$B35,JournalActions[[Action]:[Action]],ACT_PEN_CONTRE_NOUS,JournalActions[[Motif penalite]:[Motif penalite]],ACT_PEN_HORS_JEU))</f>
        <v/>
      </c>
      <c r="S35" s="96" t="str">
        <f>IF(COUNTIFS(JournalActions[[Joueur]:[Joueur]],$B35,JournalActions[[Action]:[Action]],ACT_PEN_CONTRE_NOUS,JournalActions[[Motif penalite]:[Motif penalite]],ACT_PEN_PL_A_2)=0,"",COUNTIFS(JournalActions[[Joueur]:[Joueur]],$B35,JournalActions[[Action]:[Action]],ACT_PEN_CONTRE_NOUS,JournalActions[[Motif penalite]:[Motif penalite]],ACT_PEN_PL_A_2))</f>
        <v/>
      </c>
      <c r="T35" s="96" t="str">
        <f>IF(COUNTIFS(JournalActions[[Joueur]:[Joueur]],$B35,JournalActions[[Action]:[Action]],ACT_PEN_CONTRE_NOUS,JournalActions[[Motif penalite]:[Motif penalite]],ACT_PEN_PL_HAUT)=0,"",COUNTIFS(JournalActions[[Joueur]:[Joueur]],$B35,JournalActions[[Action]:[Action]],ACT_PEN_CONTRE_NOUS,JournalActions[[Motif penalite]:[Motif penalite]],ACT_PEN_PL_HAUT))</f>
        <v/>
      </c>
      <c r="U35" s="96" t="str">
        <f>IF(COUNTIFS(JournalActions[[Joueur]:[Joueur]],$B35,JournalActions[[Action]:[Action]],ACT_PEN_CONTRE_NOUS,JournalActions[[Motif penalite]:[Motif penalite]],ACT_PEN_RUCK)=0,"",COUNTIFS(JournalActions[[Joueur]:[Joueur]],$B35,JournalActions[[Action]:[Action]],ACT_PEN_CONTRE_NOUS,JournalActions[[Motif penalite]:[Motif penalite]],ACT_PEN_RUCK))</f>
        <v/>
      </c>
      <c r="V35" s="96" t="str">
        <f>IF(COUNTIFS(JournalActions[[Joueur]:[Joueur]],$B35,JournalActions[[Action]:[Action]],ACT_PEN_CONTRE_NOUS,JournalActions[[Motif penalite]:[Motif penalite]],"?")=0,"",COUNTIFS(JournalActions[[Joueur]:[Joueur]],$B35,JournalActions[[Action]:[Action]],ACT_PEN_CONTRE_NOUS,JournalActions[[Motif penalite]:[Motif penalite]],"?"))</f>
        <v/>
      </c>
    </row>
    <row r="36" spans="2:22">
      <c r="B36" s="56" t="str">
        <v>VANDEKERKOFF Aymeric</v>
      </c>
      <c r="C36" s="56">
        <f>IF(COUNTIFS(JournalActions[Joueur],$B36,JournalActions[Action],$C$6,JournalActions[Mi-temps],C$7)=0,"",COUNTIFS(JournalActions[Joueur],$B36,JournalActions[Action],$C$6,JournalActions[Mi-temps],C$7))</f>
        <v>3</v>
      </c>
      <c r="D36" s="57">
        <f>IF(COUNTIFS(JournalActions[Joueur],$B36,JournalActions[Action],$C$6,JournalActions[Mi-temps],D$7)=0,"",COUNTIFS(JournalActions[Joueur],$B36,JournalActions[Action],$C$6,JournalActions[Mi-temps],D$7))</f>
        <v>1</v>
      </c>
      <c r="E36" t="str">
        <f>IF(COUNTIFS(JournalActions[Joueur],$B36,JournalActions[Action],$E$6,JournalActions[Mi-temps],E$7)=0,"",COUNTIFS(JournalActions[Joueur],$B36,JournalActions[Action],$E$6,JournalActions[Mi-temps],E$7))</f>
        <v/>
      </c>
      <c r="F36" t="str">
        <f>IF(COUNTIFS(JournalActions[Joueur],$B36,JournalActions[Action],$E$6,JournalActions[Mi-temps],F$7)=0,"",COUNTIFS(JournalActions[Joueur],$B36,JournalActions[Action],$E$6,JournalActions[Mi-temps],F$7))</f>
        <v/>
      </c>
      <c r="G36" s="56" t="str">
        <f>IF(COUNTIFS(JournalActions[Joueur],$B36,JournalActions[Action],$G$6,JournalActions[Mi-temps],G$7)=0,"",COUNTIFS(JournalActions[Joueur],$B36,JournalActions[Action],$G$6,JournalActions[Mi-temps],G$7))</f>
        <v/>
      </c>
      <c r="H36" s="57" t="str">
        <f>IF(COUNTIFS(JournalActions[Joueur],$B36,JournalActions[Action],$G$6,JournalActions[Mi-temps],H$7)=0,"",COUNTIFS(JournalActions[Joueur],$B36,JournalActions[Action],$G$6,JournalActions[Mi-temps],H$7))</f>
        <v/>
      </c>
      <c r="I36" t="str">
        <f>IF(COUNTIFS(JournalActions[Joueur],$B36,JournalActions[Action],$I$6,JournalActions[Mi-temps],I$7)=0,"",COUNTIFS(JournalActions[Joueur],$B36,JournalActions[Action],$I$6,JournalActions[Mi-temps],I$7))</f>
        <v/>
      </c>
      <c r="J36" t="str">
        <f>IF(COUNTIFS(JournalActions[Joueur],$B36,JournalActions[Action],$I$6,JournalActions[Mi-temps],J$7)=0,"",COUNTIFS(JournalActions[Joueur],$B36,JournalActions[Action],$I$6,JournalActions[Mi-temps],J$7))</f>
        <v/>
      </c>
      <c r="K36" s="56" t="str">
        <f>IF(COUNTIFS(JournalActions[Joueur],$B36,JournalActions[Action],$K$6,JournalActions[Mi-temps],K$7)=0,"",COUNTIFS(JournalActions[Joueur],$B36,JournalActions[Action],$K$6,JournalActions[Mi-temps],K$7))</f>
        <v/>
      </c>
      <c r="L36" t="str">
        <f>IF(COUNTIFS(JournalActions[Joueur],$B36,JournalActions[Action],$K$6,JournalActions[Mi-temps],L$7)=0,"",COUNTIFS(JournalActions[Joueur],$B36,JournalActions[Action],$K$6,JournalActions[Mi-temps],L$7))</f>
        <v/>
      </c>
      <c r="M36" s="56" t="str">
        <f>IF(COUNTIFS(JournalActions[Joueur],$B36,JournalActions[Action],$M$6,JournalActions[Mi-temps],M$7)=0,"",COUNTIFS(JournalActions[Joueur],$B36,JournalActions[Action],$M$6,JournalActions[Mi-temps],M$7))</f>
        <v/>
      </c>
      <c r="N36" s="57" t="str">
        <f>IF(COUNTIFS(JournalActions[Joueur],$B36,JournalActions[Action],$M$6,JournalActions[Mi-temps],N$7)=0,"",COUNTIFS(JournalActions[Joueur],$B36,JournalActions[Action],$M$6,JournalActions[Mi-temps],N$7))</f>
        <v/>
      </c>
      <c r="O36" s="56" t="str">
        <f>IF(COUNTIFS(JournalActions[Joueur],$B36,JournalActions[Action],$O$6,JournalActions[Mi-temps],O$7)=0,"",COUNTIFS(JournalActions[Joueur],$B36,JournalActions[Action],$O$6,JournalActions[Mi-temps],O$7))</f>
        <v/>
      </c>
      <c r="P36" s="57">
        <f>IF(COUNTIFS(JournalActions[Joueur],$B36,JournalActions[Action],$O$6,JournalActions[Mi-temps],P$7)=0,"",COUNTIFS(JournalActions[Joueur],$B36,JournalActions[Action],$O$6,JournalActions[Mi-temps],P$7))</f>
        <v>1</v>
      </c>
      <c r="Q36" s="96" t="str">
        <f>IF(COUNTIFS(JournalActions[Joueur],$B36,JournalActions[Action],ACT_PEN_CONTRE_NOUS,JournalActions[Motif penalite],Q$7)=0,"",COUNTIFS(JournalActions[Joueur],$B36,JournalActions[Action],ACT_PEN_CONTRE_NOUS,JournalActions[Motif penalite],Q$7))</f>
        <v/>
      </c>
      <c r="R36" s="96" t="str">
        <f>IF(COUNTIFS(JournalActions[[Joueur]:[Joueur]],$B36,JournalActions[[Action]:[Action]],ACT_PEN_CONTRE_NOUS,JournalActions[[Motif penalite]:[Motif penalite]],ACT_PEN_HORS_JEU)=0,"",COUNTIFS(JournalActions[[Joueur]:[Joueur]],$B36,JournalActions[[Action]:[Action]],ACT_PEN_CONTRE_NOUS,JournalActions[[Motif penalite]:[Motif penalite]],ACT_PEN_HORS_JEU))</f>
        <v/>
      </c>
      <c r="S36" s="96" t="str">
        <f>IF(COUNTIFS(JournalActions[[Joueur]:[Joueur]],$B36,JournalActions[[Action]:[Action]],ACT_PEN_CONTRE_NOUS,JournalActions[[Motif penalite]:[Motif penalite]],ACT_PEN_PL_A_2)=0,"",COUNTIFS(JournalActions[[Joueur]:[Joueur]],$B36,JournalActions[[Action]:[Action]],ACT_PEN_CONTRE_NOUS,JournalActions[[Motif penalite]:[Motif penalite]],ACT_PEN_PL_A_2))</f>
        <v/>
      </c>
      <c r="T36" s="96" t="str">
        <f>IF(COUNTIFS(JournalActions[[Joueur]:[Joueur]],$B36,JournalActions[[Action]:[Action]],ACT_PEN_CONTRE_NOUS,JournalActions[[Motif penalite]:[Motif penalite]],ACT_PEN_PL_HAUT)=0,"",COUNTIFS(JournalActions[[Joueur]:[Joueur]],$B36,JournalActions[[Action]:[Action]],ACT_PEN_CONTRE_NOUS,JournalActions[[Motif penalite]:[Motif penalite]],ACT_PEN_PL_HAUT))</f>
        <v/>
      </c>
      <c r="U36" s="96" t="str">
        <f>IF(COUNTIFS(JournalActions[[Joueur]:[Joueur]],$B36,JournalActions[[Action]:[Action]],ACT_PEN_CONTRE_NOUS,JournalActions[[Motif penalite]:[Motif penalite]],ACT_PEN_RUCK)=0,"",COUNTIFS(JournalActions[[Joueur]:[Joueur]],$B36,JournalActions[[Action]:[Action]],ACT_PEN_CONTRE_NOUS,JournalActions[[Motif penalite]:[Motif penalite]],ACT_PEN_RUCK))</f>
        <v/>
      </c>
      <c r="V36" s="96" t="str">
        <f>IF(COUNTIFS(JournalActions[[Joueur]:[Joueur]],$B36,JournalActions[[Action]:[Action]],ACT_PEN_CONTRE_NOUS,JournalActions[[Motif penalite]:[Motif penalite]],"?")=0,"",COUNTIFS(JournalActions[[Joueur]:[Joueur]],$B36,JournalActions[[Action]:[Action]],ACT_PEN_CONTRE_NOUS,JournalActions[[Motif penalite]:[Motif penalite]],"?"))</f>
        <v/>
      </c>
    </row>
    <row r="37" spans="2:22">
      <c r="B37" s="56"/>
      <c r="C37" s="56" t="str">
        <f>IF(COUNTIFS(JournalActions[Joueur],$B37,JournalActions[Action],$C$6,JournalActions[Mi-temps],C$7)=0,"",COUNTIFS(JournalActions[Joueur],$B37,JournalActions[Action],$C$6,JournalActions[Mi-temps],C$7))</f>
        <v/>
      </c>
      <c r="D37" s="57" t="str">
        <f>IF(COUNTIFS(JournalActions[Joueur],$B37,JournalActions[Action],$C$6,JournalActions[Mi-temps],D$7)=0,"",COUNTIFS(JournalActions[Joueur],$B37,JournalActions[Action],$C$6,JournalActions[Mi-temps],D$7))</f>
        <v/>
      </c>
      <c r="E37" t="str">
        <f>IF(COUNTIFS(JournalActions[Joueur],$B37,JournalActions[Action],$E$6,JournalActions[Mi-temps],E$7)=0,"",COUNTIFS(JournalActions[Joueur],$B37,JournalActions[Action],$E$6,JournalActions[Mi-temps],E$7))</f>
        <v/>
      </c>
      <c r="F37" t="str">
        <f>IF(COUNTIFS(JournalActions[Joueur],$B37,JournalActions[Action],$E$6,JournalActions[Mi-temps],F$7)=0,"",COUNTIFS(JournalActions[Joueur],$B37,JournalActions[Action],$E$6,JournalActions[Mi-temps],F$7))</f>
        <v/>
      </c>
      <c r="G37" s="56" t="str">
        <f>IF(COUNTIFS(JournalActions[Joueur],$B37,JournalActions[Action],$G$6,JournalActions[Mi-temps],G$7)=0,"",COUNTIFS(JournalActions[Joueur],$B37,JournalActions[Action],$G$6,JournalActions[Mi-temps],G$7))</f>
        <v/>
      </c>
      <c r="H37" s="57" t="str">
        <f>IF(COUNTIFS(JournalActions[Joueur],$B37,JournalActions[Action],$G$6,JournalActions[Mi-temps],H$7)=0,"",COUNTIFS(JournalActions[Joueur],$B37,JournalActions[Action],$G$6,JournalActions[Mi-temps],H$7))</f>
        <v/>
      </c>
      <c r="I37" t="str">
        <f>IF(COUNTIFS(JournalActions[Joueur],$B37,JournalActions[Action],$I$6,JournalActions[Mi-temps],I$7)=0,"",COUNTIFS(JournalActions[Joueur],$B37,JournalActions[Action],$I$6,JournalActions[Mi-temps],I$7))</f>
        <v/>
      </c>
      <c r="J37" t="str">
        <f>IF(COUNTIFS(JournalActions[Joueur],$B37,JournalActions[Action],$I$6,JournalActions[Mi-temps],J$7)=0,"",COUNTIFS(JournalActions[Joueur],$B37,JournalActions[Action],$I$6,JournalActions[Mi-temps],J$7))</f>
        <v/>
      </c>
      <c r="K37" s="56" t="str">
        <f>IF(COUNTIFS(JournalActions[Joueur],$B37,JournalActions[Action],$K$6,JournalActions[Mi-temps],K$7)=0,"",COUNTIFS(JournalActions[Joueur],$B37,JournalActions[Action],$K$6,JournalActions[Mi-temps],K$7))</f>
        <v/>
      </c>
      <c r="L37" t="str">
        <f>IF(COUNTIFS(JournalActions[Joueur],$B37,JournalActions[Action],$K$6,JournalActions[Mi-temps],L$7)=0,"",COUNTIFS(JournalActions[Joueur],$B37,JournalActions[Action],$K$6,JournalActions[Mi-temps],L$7))</f>
        <v/>
      </c>
      <c r="M37" s="56" t="str">
        <f>IF(COUNTIFS(JournalActions[Joueur],$B37,JournalActions[Action],$M$6,JournalActions[Mi-temps],M$7)=0,"",COUNTIFS(JournalActions[Joueur],$B37,JournalActions[Action],$M$6,JournalActions[Mi-temps],M$7))</f>
        <v/>
      </c>
      <c r="N37" s="57" t="str">
        <f>IF(COUNTIFS(JournalActions[Joueur],$B37,JournalActions[Action],$M$6,JournalActions[Mi-temps],N$7)=0,"",COUNTIFS(JournalActions[Joueur],$B37,JournalActions[Action],$M$6,JournalActions[Mi-temps],N$7))</f>
        <v/>
      </c>
      <c r="O37" s="56" t="str">
        <f>IF(COUNTIFS(JournalActions[Joueur],$B37,JournalActions[Action],$O$6,JournalActions[Mi-temps],O$7)=0,"",COUNTIFS(JournalActions[Joueur],$B37,JournalActions[Action],$O$6,JournalActions[Mi-temps],O$7))</f>
        <v/>
      </c>
      <c r="P37" s="57" t="str">
        <f>IF(COUNTIFS(JournalActions[Joueur],$B37,JournalActions[Action],$O$6,JournalActions[Mi-temps],P$7)=0,"",COUNTIFS(JournalActions[Joueur],$B37,JournalActions[Action],$O$6,JournalActions[Mi-temps],P$7))</f>
        <v/>
      </c>
      <c r="Q37" s="96" t="str">
        <f>IF(COUNTIFS(JournalActions[Joueur],$B37,JournalActions[Action],ACT_PEN_CONTRE_NOUS,JournalActions[Motif penalite],Q$7)=0,"",COUNTIFS(JournalActions[Joueur],$B37,JournalActions[Action],ACT_PEN_CONTRE_NOUS,JournalActions[Motif penalite],Q$7))</f>
        <v/>
      </c>
      <c r="R37" s="96" t="str">
        <f>IF(COUNTIFS(JournalActions[[Joueur]:[Joueur]],$B37,JournalActions[[Action]:[Action]],ACT_PEN_CONTRE_NOUS,JournalActions[[Motif penalite]:[Motif penalite]],ACT_PEN_HORS_JEU)=0,"",COUNTIFS(JournalActions[[Joueur]:[Joueur]],$B37,JournalActions[[Action]:[Action]],ACT_PEN_CONTRE_NOUS,JournalActions[[Motif penalite]:[Motif penalite]],ACT_PEN_HORS_JEU))</f>
        <v/>
      </c>
      <c r="S37" s="96" t="str">
        <f>IF(COUNTIFS(JournalActions[[Joueur]:[Joueur]],$B37,JournalActions[[Action]:[Action]],ACT_PEN_CONTRE_NOUS,JournalActions[[Motif penalite]:[Motif penalite]],ACT_PEN_PL_A_2)=0,"",COUNTIFS(JournalActions[[Joueur]:[Joueur]],$B37,JournalActions[[Action]:[Action]],ACT_PEN_CONTRE_NOUS,JournalActions[[Motif penalite]:[Motif penalite]],ACT_PEN_PL_A_2))</f>
        <v/>
      </c>
      <c r="T37" s="96" t="str">
        <f>IF(COUNTIFS(JournalActions[[Joueur]:[Joueur]],$B37,JournalActions[[Action]:[Action]],ACT_PEN_CONTRE_NOUS,JournalActions[[Motif penalite]:[Motif penalite]],ACT_PEN_PL_HAUT)=0,"",COUNTIFS(JournalActions[[Joueur]:[Joueur]],$B37,JournalActions[[Action]:[Action]],ACT_PEN_CONTRE_NOUS,JournalActions[[Motif penalite]:[Motif penalite]],ACT_PEN_PL_HAUT))</f>
        <v/>
      </c>
      <c r="U37" s="96" t="str">
        <f>IF(COUNTIFS(JournalActions[[Joueur]:[Joueur]],$B37,JournalActions[[Action]:[Action]],ACT_PEN_CONTRE_NOUS,JournalActions[[Motif penalite]:[Motif penalite]],ACT_PEN_RUCK)=0,"",COUNTIFS(JournalActions[[Joueur]:[Joueur]],$B37,JournalActions[[Action]:[Action]],ACT_PEN_CONTRE_NOUS,JournalActions[[Motif penalite]:[Motif penalite]],ACT_PEN_RUCK))</f>
        <v/>
      </c>
      <c r="V37" s="96" t="str">
        <f>IF(COUNTIFS(JournalActions[[Joueur]:[Joueur]],$B37,JournalActions[[Action]:[Action]],ACT_PEN_CONTRE_NOUS,JournalActions[[Motif penalite]:[Motif penalite]],"?")=0,"",COUNTIFS(JournalActions[[Joueur]:[Joueur]],$B37,JournalActions[[Action]:[Action]],ACT_PEN_CONTRE_NOUS,JournalActions[[Motif penalite]:[Motif penalite]],"?"))</f>
        <v/>
      </c>
    </row>
    <row r="38" spans="2:22">
      <c r="B38" s="54" t="s">
        <v>92</v>
      </c>
      <c r="C38" s="56" t="str">
        <f>IF(COUNTIFS(JournalActions[Joueur],$B38,JournalActions[Action],$C$6,JournalActions[Mi-temps],C$7)=0,"",COUNTIFS(JournalActions[Joueur],$B38,JournalActions[Action],$C$6,JournalActions[Mi-temps],C$7))</f>
        <v/>
      </c>
      <c r="D38" s="57" t="str">
        <f>IF(COUNTIFS(JournalActions[Joueur],$B38,JournalActions[Action],$C$6,JournalActions[Mi-temps],D$7)=0,"",COUNTIFS(JournalActions[Joueur],$B38,JournalActions[Action],$C$6,JournalActions[Mi-temps],D$7))</f>
        <v/>
      </c>
      <c r="E38" t="str">
        <f>IF(COUNTIFS(JournalActions[Joueur],$B38,JournalActions[Action],$E$6,JournalActions[Mi-temps],E$7)=0,"",COUNTIFS(JournalActions[Joueur],$B38,JournalActions[Action],$E$6,JournalActions[Mi-temps],E$7))</f>
        <v/>
      </c>
      <c r="F38" t="str">
        <f>IF(COUNTIFS(JournalActions[Joueur],$B38,JournalActions[Action],$E$6,JournalActions[Mi-temps],F$7)=0,"",COUNTIFS(JournalActions[Joueur],$B38,JournalActions[Action],$E$6,JournalActions[Mi-temps],F$7))</f>
        <v/>
      </c>
      <c r="G38" s="56" t="str">
        <f>IF(COUNTIFS(JournalActions[Joueur],$B38,JournalActions[Action],$G$6,JournalActions[Mi-temps],G$7)=0,"",COUNTIFS(JournalActions[Joueur],$B38,JournalActions[Action],$G$6,JournalActions[Mi-temps],G$7))</f>
        <v/>
      </c>
      <c r="H38" s="57" t="str">
        <f>IF(COUNTIFS(JournalActions[Joueur],$B38,JournalActions[Action],$G$6,JournalActions[Mi-temps],H$7)=0,"",COUNTIFS(JournalActions[Joueur],$B38,JournalActions[Action],$G$6,JournalActions[Mi-temps],H$7))</f>
        <v/>
      </c>
      <c r="I38" t="str">
        <f>IF(COUNTIFS(JournalActions[Joueur],$B38,JournalActions[Action],$I$6,JournalActions[Mi-temps],I$7)=0,"",COUNTIFS(JournalActions[Joueur],$B38,JournalActions[Action],$I$6,JournalActions[Mi-temps],I$7))</f>
        <v/>
      </c>
      <c r="J38" t="str">
        <f>IF(COUNTIFS(JournalActions[Joueur],$B38,JournalActions[Action],$I$6,JournalActions[Mi-temps],J$7)=0,"",COUNTIFS(JournalActions[Joueur],$B38,JournalActions[Action],$I$6,JournalActions[Mi-temps],J$7))</f>
        <v/>
      </c>
      <c r="K38" s="56" t="str">
        <f>IF(COUNTIFS(JournalActions[Joueur],$B38,JournalActions[Action],$K$6,JournalActions[Mi-temps],K$7)=0,"",COUNTIFS(JournalActions[Joueur],$B38,JournalActions[Action],$K$6,JournalActions[Mi-temps],K$7))</f>
        <v/>
      </c>
      <c r="L38" t="str">
        <f>IF(COUNTIFS(JournalActions[Joueur],$B38,JournalActions[Action],$K$6,JournalActions[Mi-temps],L$7)=0,"",COUNTIFS(JournalActions[Joueur],$B38,JournalActions[Action],$K$6,JournalActions[Mi-temps],L$7))</f>
        <v/>
      </c>
      <c r="M38" s="56" t="str">
        <f>IF(COUNTIFS(JournalActions[Joueur],$B38,JournalActions[Action],$M$6,JournalActions[Mi-temps],M$7)=0,"",COUNTIFS(JournalActions[Joueur],$B38,JournalActions[Action],$M$6,JournalActions[Mi-temps],M$7))</f>
        <v/>
      </c>
      <c r="N38" s="57" t="str">
        <f>IF(COUNTIFS(JournalActions[Joueur],$B38,JournalActions[Action],$M$6,JournalActions[Mi-temps],N$7)=0,"",COUNTIFS(JournalActions[Joueur],$B38,JournalActions[Action],$M$6,JournalActions[Mi-temps],N$7))</f>
        <v/>
      </c>
      <c r="O38" s="56" t="str">
        <f>IF(COUNTIFS(JournalActions[Joueur],$B38,JournalActions[Action],$O$6,JournalActions[Mi-temps],O$7)=0,"",COUNTIFS(JournalActions[Joueur],$B38,JournalActions[Action],$O$6,JournalActions[Mi-temps],O$7))</f>
        <v/>
      </c>
      <c r="P38" s="57" t="str">
        <f>IF(COUNTIFS(JournalActions[Joueur],$B38,JournalActions[Action],$O$6,JournalActions[Mi-temps],P$7)=0,"",COUNTIFS(JournalActions[Joueur],$B38,JournalActions[Action],$O$6,JournalActions[Mi-temps],P$7))</f>
        <v/>
      </c>
      <c r="Q38" s="96">
        <f>IF(COUNTIFS(JournalActions[Joueur],$B38,JournalActions[Action],ACT_PEN_CONTRE_NOUS,JournalActions[Motif penalite],Q$7)=0,"",COUNTIFS(JournalActions[Joueur],$B38,JournalActions[Action],ACT_PEN_CONTRE_NOUS,JournalActions[Motif penalite],Q$7))</f>
        <v>2</v>
      </c>
      <c r="R38" s="96" t="str">
        <f>IF(COUNTIFS(JournalActions[[Joueur]:[Joueur]],$B38,JournalActions[[Action]:[Action]],ACT_PEN_CONTRE_NOUS,JournalActions[[Motif penalite]:[Motif penalite]],ACT_PEN_HORS_JEU)=0,"",COUNTIFS(JournalActions[[Joueur]:[Joueur]],$B38,JournalActions[[Action]:[Action]],ACT_PEN_CONTRE_NOUS,JournalActions[[Motif penalite]:[Motif penalite]],ACT_PEN_HORS_JEU))</f>
        <v/>
      </c>
      <c r="S38" s="96" t="str">
        <f>IF(COUNTIFS(JournalActions[[Joueur]:[Joueur]],$B38,JournalActions[[Action]:[Action]],ACT_PEN_CONTRE_NOUS,JournalActions[[Motif penalite]:[Motif penalite]],ACT_PEN_PL_A_2)=0,"",COUNTIFS(JournalActions[[Joueur]:[Joueur]],$B38,JournalActions[[Action]:[Action]],ACT_PEN_CONTRE_NOUS,JournalActions[[Motif penalite]:[Motif penalite]],ACT_PEN_PL_A_2))</f>
        <v/>
      </c>
      <c r="T38" s="96" t="str">
        <f>IF(COUNTIFS(JournalActions[[Joueur]:[Joueur]],$B38,JournalActions[[Action]:[Action]],ACT_PEN_CONTRE_NOUS,JournalActions[[Motif penalite]:[Motif penalite]],ACT_PEN_PL_HAUT)=0,"",COUNTIFS(JournalActions[[Joueur]:[Joueur]],$B38,JournalActions[[Action]:[Action]],ACT_PEN_CONTRE_NOUS,JournalActions[[Motif penalite]:[Motif penalite]],ACT_PEN_PL_HAUT))</f>
        <v/>
      </c>
      <c r="U38" s="96" t="str">
        <f>IF(COUNTIFS(JournalActions[[Joueur]:[Joueur]],$B38,JournalActions[[Action]:[Action]],ACT_PEN_CONTRE_NOUS,JournalActions[[Motif penalite]:[Motif penalite]],ACT_PEN_RUCK)=0,"",COUNTIFS(JournalActions[[Joueur]:[Joueur]],$B38,JournalActions[[Action]:[Action]],ACT_PEN_CONTRE_NOUS,JournalActions[[Motif penalite]:[Motif penalite]],ACT_PEN_RUCK))</f>
        <v/>
      </c>
      <c r="V38" s="96" t="str">
        <f>IF(COUNTIFS(JournalActions[[Joueur]:[Joueur]],$B38,JournalActions[[Action]:[Action]],ACT_PEN_CONTRE_NOUS,JournalActions[[Motif penalite]:[Motif penalite]],"?")=0,"",COUNTIFS(JournalActions[[Joueur]:[Joueur]],$B38,JournalActions[[Action]:[Action]],ACT_PEN_CONTRE_NOUS,JournalActions[[Motif penalite]:[Motif penalite]],"?"))</f>
        <v/>
      </c>
    </row>
    <row r="39" spans="2:22">
      <c r="B39" s="55" t="s">
        <v>82</v>
      </c>
      <c r="C39" s="60">
        <f>IF(COUNTIFS(JournalActions[Joueur],$B39,JournalActions[Action],$C$6,JournalActions[Mi-temps],C$7)=0,"",COUNTIFS(JournalActions[Joueur],$B39,JournalActions[Action],$C$6,JournalActions[Mi-temps],C$7))</f>
        <v>1</v>
      </c>
      <c r="D39" s="59">
        <f>IF(COUNTIFS(JournalActions[Joueur],$B39,JournalActions[Action],$C$6,JournalActions[Mi-temps],D$7)=0,"",COUNTIFS(JournalActions[Joueur],$B39,JournalActions[Action],$C$6,JournalActions[Mi-temps],D$7))</f>
        <v>1</v>
      </c>
      <c r="E39" s="58" t="str">
        <f>IF(COUNTIFS(JournalActions[Joueur],$B39,JournalActions[Action],$E$6,JournalActions[Mi-temps],E$7)=0,"",COUNTIFS(JournalActions[Joueur],$B39,JournalActions[Action],$E$6,JournalActions[Mi-temps],E$7))</f>
        <v/>
      </c>
      <c r="F39" s="58" t="str">
        <f>IF(COUNTIFS(JournalActions[Joueur],$B39,JournalActions[Action],$E$6,JournalActions[Mi-temps],F$7)=0,"",COUNTIFS(JournalActions[Joueur],$B39,JournalActions[Action],$E$6,JournalActions[Mi-temps],F$7))</f>
        <v/>
      </c>
      <c r="G39" s="60" t="str">
        <f>IF(COUNTIFS(JournalActions[Joueur],$B39,JournalActions[Action],$G$6,JournalActions[Mi-temps],G$7)=0,"",COUNTIFS(JournalActions[Joueur],$B39,JournalActions[Action],$G$6,JournalActions[Mi-temps],G$7))</f>
        <v/>
      </c>
      <c r="H39" s="59" t="str">
        <f>IF(COUNTIFS(JournalActions[Joueur],$B39,JournalActions[Action],$G$6,JournalActions[Mi-temps],H$7)=0,"",COUNTIFS(JournalActions[Joueur],$B39,JournalActions[Action],$G$6,JournalActions[Mi-temps],H$7))</f>
        <v/>
      </c>
      <c r="I39" s="58" t="str">
        <f>IF(COUNTIFS(JournalActions[Joueur],$B39,JournalActions[Action],$I$6,JournalActions[Mi-temps],I$7)=0,"",COUNTIFS(JournalActions[Joueur],$B39,JournalActions[Action],$I$6,JournalActions[Mi-temps],I$7))</f>
        <v/>
      </c>
      <c r="J39" s="58" t="str">
        <f>IF(COUNTIFS(JournalActions[Joueur],$B39,JournalActions[Action],$I$6,JournalActions[Mi-temps],J$7)=0,"",COUNTIFS(JournalActions[Joueur],$B39,JournalActions[Action],$I$6,JournalActions[Mi-temps],J$7))</f>
        <v/>
      </c>
      <c r="K39" s="60" t="str">
        <f>IF(COUNTIFS(JournalActions[Joueur],$B39,JournalActions[Action],$K$6,JournalActions[Mi-temps],K$7)=0,"",COUNTIFS(JournalActions[Joueur],$B39,JournalActions[Action],$K$6,JournalActions[Mi-temps],K$7))</f>
        <v/>
      </c>
      <c r="L39" s="58" t="str">
        <f>IF(COUNTIFS(JournalActions[Joueur],$B39,JournalActions[Action],$K$6,JournalActions[Mi-temps],L$7)=0,"",COUNTIFS(JournalActions[Joueur],$B39,JournalActions[Action],$K$6,JournalActions[Mi-temps],L$7))</f>
        <v/>
      </c>
      <c r="M39" s="60" t="str">
        <f>IF(COUNTIFS(JournalActions[Joueur],$B39,JournalActions[Action],$M$6,JournalActions[Mi-temps],M$7)=0,"",COUNTIFS(JournalActions[Joueur],$B39,JournalActions[Action],$M$6,JournalActions[Mi-temps],M$7))</f>
        <v/>
      </c>
      <c r="N39" s="59" t="str">
        <f>IF(COUNTIFS(JournalActions[Joueur],$B39,JournalActions[Action],$M$6,JournalActions[Mi-temps],N$7)=0,"",COUNTIFS(JournalActions[Joueur],$B39,JournalActions[Action],$M$6,JournalActions[Mi-temps],N$7))</f>
        <v/>
      </c>
      <c r="O39" s="60" t="str">
        <f>IF(COUNTIFS(JournalActions[Joueur],$B39,JournalActions[Action],$O$6,JournalActions[Mi-temps],O$7)=0,"",COUNTIFS(JournalActions[Joueur],$B39,JournalActions[Action],$O$6,JournalActions[Mi-temps],O$7))</f>
        <v/>
      </c>
      <c r="P39" s="59" t="str">
        <f>IF(COUNTIFS(JournalActions[Joueur],$B39,JournalActions[Action],$O$6,JournalActions[Mi-temps],P$7)=0,"",COUNTIFS(JournalActions[Joueur],$B39,JournalActions[Action],$O$6,JournalActions[Mi-temps],P$7))</f>
        <v/>
      </c>
      <c r="Q39" s="97" t="str">
        <f>IF(COUNTIFS(JournalActions[Joueur],$B39,JournalActions[Action],ACT_PEN_CONTRE_NOUS,JournalActions[Motif penalite],Q$7)=0,"",COUNTIFS(JournalActions[Joueur],$B39,JournalActions[Action],ACT_PEN_CONTRE_NOUS,JournalActions[Motif penalite],Q$7))</f>
        <v/>
      </c>
      <c r="R39" s="97">
        <f>IF(COUNTIFS(JournalActions[[Joueur]:[Joueur]],$B39,JournalActions[[Action]:[Action]],ACT_PEN_CONTRE_NOUS,JournalActions[[Motif penalite]:[Motif penalite]],ACT_PEN_HORS_JEU)=0,"",COUNTIFS(JournalActions[[Joueur]:[Joueur]],$B39,JournalActions[[Action]:[Action]],ACT_PEN_CONTRE_NOUS,JournalActions[[Motif penalite]:[Motif penalite]],ACT_PEN_HORS_JEU))</f>
        <v>1</v>
      </c>
      <c r="S39" s="97" t="str">
        <f>IF(COUNTIFS(JournalActions[[Joueur]:[Joueur]],$B39,JournalActions[[Action]:[Action]],ACT_PEN_CONTRE_NOUS,JournalActions[[Motif penalite]:[Motif penalite]],ACT_PEN_PL_A_2)=0,"",COUNTIFS(JournalActions[[Joueur]:[Joueur]],$B39,JournalActions[[Action]:[Action]],ACT_PEN_CONTRE_NOUS,JournalActions[[Motif penalite]:[Motif penalite]],ACT_PEN_PL_A_2))</f>
        <v/>
      </c>
      <c r="T39" s="97">
        <f>IF(COUNTIFS(JournalActions[[Joueur]:[Joueur]],$B39,JournalActions[[Action]:[Action]],ACT_PEN_CONTRE_NOUS,JournalActions[[Motif penalite]:[Motif penalite]],ACT_PEN_PL_HAUT)=0,"",COUNTIFS(JournalActions[[Joueur]:[Joueur]],$B39,JournalActions[[Action]:[Action]],ACT_PEN_CONTRE_NOUS,JournalActions[[Motif penalite]:[Motif penalite]],ACT_PEN_PL_HAUT))</f>
        <v>1</v>
      </c>
      <c r="U39" s="97">
        <f>IF(COUNTIFS(JournalActions[[Joueur]:[Joueur]],$B39,JournalActions[[Action]:[Action]],ACT_PEN_CONTRE_NOUS,JournalActions[[Motif penalite]:[Motif penalite]],ACT_PEN_RUCK)=0,"",COUNTIFS(JournalActions[[Joueur]:[Joueur]],$B39,JournalActions[[Action]:[Action]],ACT_PEN_CONTRE_NOUS,JournalActions[[Motif penalite]:[Motif penalite]],ACT_PEN_RUCK))</f>
        <v>1</v>
      </c>
      <c r="V39" s="97">
        <f>IF(COUNTIFS(JournalActions[[Joueur]:[Joueur]],$B39,JournalActions[[Action]:[Action]],ACT_PEN_CONTRE_NOUS,JournalActions[[Motif penalite]:[Motif penalite]],"?")=0,"",COUNTIFS(JournalActions[[Joueur]:[Joueur]],$B39,JournalActions[[Action]:[Action]],ACT_PEN_CONTRE_NOUS,JournalActions[[Motif penalite]:[Motif penalite]],"?"))</f>
        <v>1</v>
      </c>
    </row>
    <row r="40" spans="2:22" s="25" customFormat="1" ht="22" customHeight="1">
      <c r="B40" s="80" t="s">
        <v>230</v>
      </c>
      <c r="C40" s="81">
        <f>SUM(C8:C39)</f>
        <v>36</v>
      </c>
      <c r="D40" s="82">
        <f t="shared" ref="D40:V40" si="0">SUM(D8:D39)</f>
        <v>54</v>
      </c>
      <c r="E40" s="81">
        <f t="shared" si="0"/>
        <v>4</v>
      </c>
      <c r="F40" s="82">
        <f t="shared" si="0"/>
        <v>0</v>
      </c>
      <c r="G40" s="81">
        <f t="shared" si="0"/>
        <v>13</v>
      </c>
      <c r="H40" s="82">
        <f t="shared" si="0"/>
        <v>9</v>
      </c>
      <c r="I40" s="81">
        <f t="shared" si="0"/>
        <v>0</v>
      </c>
      <c r="J40" s="82">
        <f t="shared" si="0"/>
        <v>11</v>
      </c>
      <c r="K40" s="81">
        <f t="shared" si="0"/>
        <v>0</v>
      </c>
      <c r="L40" s="82">
        <f t="shared" si="0"/>
        <v>0</v>
      </c>
      <c r="M40" s="81">
        <f>SUM(M8:M39)</f>
        <v>0</v>
      </c>
      <c r="N40" s="82">
        <f t="shared" si="0"/>
        <v>1</v>
      </c>
      <c r="O40" s="81">
        <f>SUM(O8:O39)</f>
        <v>1</v>
      </c>
      <c r="P40" s="82">
        <f>SUM(P8:P39)</f>
        <v>1</v>
      </c>
      <c r="Q40" s="235">
        <f t="shared" si="0"/>
        <v>2</v>
      </c>
      <c r="R40" s="235">
        <f t="shared" si="0"/>
        <v>2</v>
      </c>
      <c r="S40" s="235">
        <f t="shared" si="0"/>
        <v>3</v>
      </c>
      <c r="T40" s="235">
        <f t="shared" si="0"/>
        <v>2</v>
      </c>
      <c r="U40" s="235">
        <f t="shared" si="0"/>
        <v>4</v>
      </c>
      <c r="V40" s="235">
        <f t="shared" si="0"/>
        <v>1</v>
      </c>
    </row>
    <row r="41" spans="2:22" s="69" customFormat="1" ht="25" customHeight="1">
      <c r="B41" s="83" t="s">
        <v>229</v>
      </c>
      <c r="C41" s="239">
        <f>C40+D40</f>
        <v>90</v>
      </c>
      <c r="D41" s="240"/>
      <c r="E41" s="241">
        <f t="shared" ref="E41" si="1">E40+F40</f>
        <v>4</v>
      </c>
      <c r="F41" s="241"/>
      <c r="G41" s="239">
        <f t="shared" ref="G41" si="2">G40+H40</f>
        <v>22</v>
      </c>
      <c r="H41" s="240"/>
      <c r="I41" s="239">
        <f>I40+J40</f>
        <v>11</v>
      </c>
      <c r="J41" s="240"/>
      <c r="K41" s="239">
        <f t="shared" ref="K41" si="3">K40+L40</f>
        <v>0</v>
      </c>
      <c r="L41" s="240"/>
      <c r="M41" s="241">
        <f t="shared" ref="M41" si="4">M40+N40</f>
        <v>1</v>
      </c>
      <c r="N41" s="240"/>
      <c r="O41" s="241">
        <f>P40+O40</f>
        <v>2</v>
      </c>
      <c r="P41" s="240"/>
      <c r="Q41" s="236"/>
      <c r="R41" s="236"/>
      <c r="S41" s="236"/>
      <c r="T41" s="236"/>
      <c r="U41" s="236"/>
      <c r="V41" s="236"/>
    </row>
    <row r="42" spans="2:22" s="25" customFormat="1"/>
    <row r="43" spans="2:22" s="25" customFormat="1"/>
    <row r="44" spans="2:22" ht="14">
      <c r="B44" s="25"/>
      <c r="C44" s="84" t="s">
        <v>196</v>
      </c>
      <c r="D44" s="84" t="s">
        <v>265</v>
      </c>
      <c r="E44" s="85" t="s">
        <v>195</v>
      </c>
      <c r="F44" s="25"/>
      <c r="G44" s="229" t="s">
        <v>224</v>
      </c>
      <c r="H44" s="230"/>
      <c r="J44" s="229" t="s">
        <v>78</v>
      </c>
      <c r="K44" s="229" t="s">
        <v>198</v>
      </c>
      <c r="L44" s="231"/>
      <c r="M44" s="230"/>
      <c r="N44" s="230" t="s">
        <v>225</v>
      </c>
      <c r="O44" s="288"/>
      <c r="P44" s="288"/>
    </row>
    <row r="45" spans="2:22" ht="14">
      <c r="B45" s="25"/>
      <c r="C45" s="64" t="s">
        <v>193</v>
      </c>
      <c r="D45" s="64">
        <f>COUNTIFS(JournalActions[Action],ACT_TO_NS_G,JournalActions[Mi-temps],"MT1")</f>
        <v>7</v>
      </c>
      <c r="E45" s="65">
        <f>COUNTIFS(JournalActions[Action],ACT_TO_NS_P,JournalActions[Mi-temps],"MT1")
+COUNTIFS(JournalActions[Action],ACT_TO_NS_PAS_DROIT,JournalActions[Mi-temps],"MT1")</f>
        <v>0</v>
      </c>
      <c r="F45" s="25"/>
      <c r="G45" s="64" t="s">
        <v>198</v>
      </c>
      <c r="H45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33</v>
      </c>
      <c r="I45" s="25"/>
      <c r="J45" s="242"/>
      <c r="K45" s="98" t="s">
        <v>204</v>
      </c>
      <c r="L45" s="94" t="s">
        <v>223</v>
      </c>
      <c r="M45" s="99" t="s">
        <v>82</v>
      </c>
      <c r="N45" s="243"/>
      <c r="O45" s="25"/>
      <c r="P45" s="25"/>
    </row>
    <row r="46" spans="2:22">
      <c r="B46" s="25"/>
      <c r="C46" s="36" t="s">
        <v>226</v>
      </c>
      <c r="D46" s="36">
        <f>COUNTIFS(JournalActions[Action],ACT_TO_ADV_PERDUE,JournalActions[Mi-temps],"MT1")</f>
        <v>3</v>
      </c>
      <c r="E46" s="37">
        <f>COUNTIFS(JournalActions[Action],ACT_TO_ADV_VOLEE,JournalActions[Mi-temps],"MT1")
+COUNTIFS(JournalActions[Action],ACT_TO_ADV_PAS_DROIT,JournalActions[Mi-temps],"MT1")</f>
        <v>0</v>
      </c>
      <c r="F46" s="25"/>
      <c r="G46" s="36" t="s">
        <v>199</v>
      </c>
      <c r="H46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7</v>
      </c>
      <c r="I46" s="25"/>
      <c r="J46" s="61" t="s">
        <v>97</v>
      </c>
      <c r="K46" s="96">
        <f>COUNTIFS(JournalActions[Action],ACT_PEN_CONTRE_NOUS,JournalActions[Mi-temps],"MT1",JournalActions[Groupe fautif],"Avant*")</f>
        <v>2</v>
      </c>
      <c r="L46" s="57">
        <f>COUNTIFS(JournalActions[Action],ACT_PEN_CONTRE_NOUS,JournalActions[Mi-temps],"MT1",JournalActions[Groupe fautif],"Trois-quarts*")</f>
        <v>0</v>
      </c>
      <c r="M46" s="57">
        <f>COUNTIFS(JournalActions[Action],ACT_PEN_CONTRE_NOUS,JournalActions[Mi-temps],"MT1",JournalActions[Groupe fautif],"")
+COUNTIFS(JournalActions[Action],ACT_PEN_CONTRE_NOUS,JournalActions[Mi-temps],"MT1",JournalActions[Groupe fautif],"?")</f>
        <v>4</v>
      </c>
      <c r="N46" s="62">
        <f>COUNTIFS(JournalActions[Action],ACT_PEN_CONTRE_ADV,JournalActions[Mi-temps],"MT1")</f>
        <v>7</v>
      </c>
      <c r="O46" s="25"/>
      <c r="P46" s="25"/>
    </row>
    <row r="47" spans="2:22">
      <c r="B47" s="25"/>
      <c r="C47" s="25"/>
      <c r="D47" s="25"/>
      <c r="E47" s="25"/>
      <c r="F47" s="25"/>
      <c r="G47" s="25"/>
      <c r="H47" s="25"/>
      <c r="I47" s="25"/>
      <c r="J47" s="36" t="s">
        <v>94</v>
      </c>
      <c r="K47" s="90">
        <f>COUNTIFS(JournalActions[Action],ACT_PEN_CONTRE_NOUS,JournalActions[Mi-temps],"MT2",JournalActions[Groupe fautif],"Avant")</f>
        <v>3</v>
      </c>
      <c r="L47" s="37">
        <f>COUNTIFS(JournalActions[Action],ACT_PEN_CONTRE_NOUS,JournalActions[Mi-temps],"MT2",JournalActions[Groupe fautif],"Trois-quarts*")</f>
        <v>1</v>
      </c>
      <c r="M47" s="37">
        <f>COUNTIFS(JournalActions[Action],ACT_PEN_CONTRE_NOUS,JournalActions[Mi-temps],"MT2",JournalActions[Groupe fautif],"")
+COUNTIFS(JournalActions[Action],ACT_PEN_CONTRE_NOUS,JournalActions[Mi-temps],"MT2",JournalActions[Groupe fautif],"?")</f>
        <v>4</v>
      </c>
      <c r="N47" s="37">
        <f>COUNTIFS(JournalActions[Action],ACT_PEN_CONTRE_ADV,JournalActions[Mi-temps],"MT2")</f>
        <v>2</v>
      </c>
      <c r="O47" s="25"/>
      <c r="P47" s="25"/>
    </row>
    <row r="48" spans="2:22" ht="14">
      <c r="B48" s="25"/>
      <c r="C48" s="84" t="s">
        <v>197</v>
      </c>
      <c r="D48" s="84" t="s">
        <v>265</v>
      </c>
      <c r="E48" s="85" t="s">
        <v>195</v>
      </c>
      <c r="F48" s="25"/>
      <c r="G48" s="229" t="s">
        <v>200</v>
      </c>
      <c r="H48" s="230"/>
      <c r="I48" s="25"/>
      <c r="J48" s="25"/>
      <c r="K48" s="25"/>
      <c r="L48" s="25"/>
      <c r="M48" s="25"/>
      <c r="N48" s="25"/>
      <c r="O48" s="25"/>
      <c r="P48" s="25"/>
    </row>
    <row r="49" spans="2:16" ht="14">
      <c r="B49" s="25"/>
      <c r="C49" s="64" t="s">
        <v>193</v>
      </c>
      <c r="D49" s="64">
        <f>COUNTIFS(JournalActions[Action],ACT_TO_NS_G,JournalActions[Mi-temps],"MT2")</f>
        <v>5</v>
      </c>
      <c r="E49" s="65">
        <f>COUNTIFS(JournalActions[Action],ACT_TO_NS_P,JournalActions[Mi-temps],"MT2")
+COUNTIFS(JournalActions[Action],ACT_TO_NS_PAS_DROIT,JournalActions[Mi-temps],"MT2")</f>
        <v>2</v>
      </c>
      <c r="F49" s="25"/>
      <c r="G49" s="64" t="s">
        <v>198</v>
      </c>
      <c r="H49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33</v>
      </c>
      <c r="I49" s="25"/>
      <c r="J49" s="86" t="s">
        <v>29</v>
      </c>
      <c r="K49" s="87"/>
      <c r="L49" s="88" t="s">
        <v>198</v>
      </c>
      <c r="M49" s="76" t="s">
        <v>225</v>
      </c>
      <c r="N49" s="25"/>
      <c r="O49" s="25"/>
      <c r="P49" s="25"/>
    </row>
    <row r="50" spans="2:16">
      <c r="B50" s="25"/>
      <c r="C50" s="36" t="s">
        <v>226</v>
      </c>
      <c r="D50" s="36">
        <f>COUNTIFS(JournalActions[Action],ACT_TO_ADV_PERDUE,JournalActions[Mi-temps],"MT2")</f>
        <v>9</v>
      </c>
      <c r="E50" s="37">
        <f>COUNTIFS(JournalActions[Action],ACT_TO_ADV_VOLEE,JournalActions[Mi-temps],"MT2")
+COUNTIFS(JournalActions[Action],ACT_TO_ADV_PAS_DROIT,JournalActions[Mi-temps],"MT2")</f>
        <v>2</v>
      </c>
      <c r="F50" s="25"/>
      <c r="G50" s="36" t="s">
        <v>199</v>
      </c>
      <c r="H50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19</v>
      </c>
      <c r="I50" s="25"/>
      <c r="J50" s="237" t="s">
        <v>31</v>
      </c>
      <c r="K50" s="238"/>
      <c r="L50" s="66">
        <f>COUNTIFS(JournalActions[Action],ACT_PEN_CONTRE_NOUS,JournalActions[Motif penalite],ACT_PEN_MAUL)</f>
        <v>2</v>
      </c>
      <c r="M50" s="66">
        <f>COUNTIFS(JournalActions[Action],ACT_PEN_CONTRE_ADV,JournalActions[Motif penalite],ACT_PEN_MAUL)</f>
        <v>1</v>
      </c>
      <c r="N50" s="25"/>
      <c r="O50" s="25"/>
      <c r="P50" s="25"/>
    </row>
    <row r="51" spans="2:16">
      <c r="B51" s="25"/>
      <c r="C51" s="25"/>
      <c r="D51" s="25"/>
      <c r="E51" s="25"/>
      <c r="F51" s="25"/>
      <c r="G51" s="25"/>
      <c r="H51" s="25"/>
      <c r="I51" s="25"/>
      <c r="J51" s="246" t="s">
        <v>33</v>
      </c>
      <c r="K51" s="247"/>
      <c r="L51" s="38">
        <f>COUNTIFS(JournalActions[Action],ACT_PEN_CONTRE_NOUS,JournalActions[Motif penalite],ACT_PEN_RUCK)</f>
        <v>4</v>
      </c>
      <c r="M51" s="38">
        <f>COUNTIFS(JournalActions[Action],ACT_PEN_CONTRE_ADV,JournalActions[Motif penalite],ACT_PEN_RUCK)</f>
        <v>2</v>
      </c>
      <c r="N51" s="25"/>
      <c r="O51" s="25"/>
      <c r="P51" s="25"/>
    </row>
    <row r="52" spans="2:16" ht="14">
      <c r="B52" s="25"/>
      <c r="C52" s="84" t="s">
        <v>287</v>
      </c>
      <c r="D52" s="84" t="s">
        <v>265</v>
      </c>
      <c r="E52" s="85" t="s">
        <v>195</v>
      </c>
      <c r="F52" s="25"/>
      <c r="G52" s="229" t="s">
        <v>291</v>
      </c>
      <c r="H52" s="230"/>
      <c r="I52" s="25"/>
      <c r="J52" s="237" t="s">
        <v>35</v>
      </c>
      <c r="K52" s="238"/>
      <c r="L52" s="66">
        <f>COUNTIFS(JournalActions[Action],ACT_PEN_CONTRE_NOUS,JournalActions[Motif penalite],ACT_PEN_HORS_JEU)</f>
        <v>2</v>
      </c>
      <c r="M52" s="66">
        <f>COUNTIFS(JournalActions[Action],ACT_PEN_CONTRE_ADV,JournalActions[Motif penalite],ACT_PEN_HORS_JEU)</f>
        <v>2</v>
      </c>
      <c r="N52" s="25"/>
      <c r="O52" s="25"/>
      <c r="P52" s="25"/>
    </row>
    <row r="53" spans="2:16">
      <c r="B53" s="25"/>
      <c r="C53" s="64" t="s">
        <v>193</v>
      </c>
      <c r="D53" s="64">
        <f>COUNTIFS(JournalActions[Action],ACT_ME_NS_G,JournalActions[Mi-temps],"MT1")</f>
        <v>5</v>
      </c>
      <c r="E53" s="65">
        <f>COUNTIFS(JournalActions[Action],ACT_ME_NS_P,JournalActions[Mi-temps],"MT1")</f>
        <v>0</v>
      </c>
      <c r="F53" s="25"/>
      <c r="G53" s="64" t="s">
        <v>97</v>
      </c>
      <c r="H53" s="105">
        <v>1.3900042581018499E-2</v>
      </c>
      <c r="I53" s="25"/>
      <c r="J53" s="246" t="s">
        <v>37</v>
      </c>
      <c r="K53" s="247"/>
      <c r="L53" s="38">
        <f>COUNTIFS(JournalActions[Action],ACT_PEN_CONTRE_NOUS,JournalActions[Motif penalite],ACT_PEN_PL_A_2)</f>
        <v>3</v>
      </c>
      <c r="M53" s="38">
        <f>COUNTIFS(JournalActions[Action],ACT_PEN_CONTRE_ADV,JournalActions[Motif penalite],ACT_PEN_PL_A_2)</f>
        <v>1</v>
      </c>
      <c r="N53" s="25"/>
      <c r="O53" s="25"/>
      <c r="P53" s="25"/>
    </row>
    <row r="54" spans="2:16">
      <c r="B54" s="25"/>
      <c r="C54" s="36" t="s">
        <v>226</v>
      </c>
      <c r="D54" s="36">
        <f>COUNTIFS(JournalActions[Action],ACT_ME_ADV_P,JournalActions[Mi-temps],"MT1")</f>
        <v>4</v>
      </c>
      <c r="E54" s="37">
        <f>COUNTIFS(JournalActions[Action],ACT_ME_ADV_G,JournalActions[Mi-temps],"MT1")</f>
        <v>0</v>
      </c>
      <c r="F54" s="25"/>
      <c r="G54" s="36" t="s">
        <v>94</v>
      </c>
      <c r="H54" s="106">
        <v>1.4050578703703714E-2</v>
      </c>
      <c r="I54" s="25"/>
      <c r="J54" s="237" t="s">
        <v>39</v>
      </c>
      <c r="K54" s="238"/>
      <c r="L54" s="66">
        <f>COUNTIFS(JournalActions[Action],ACT_PEN_CONTRE_NOUS,JournalActions[Motif penalite],ACT_PEN_PL_HAUT)</f>
        <v>2</v>
      </c>
      <c r="M54" s="66">
        <f>COUNTIFS(JournalActions[Action],ACT_PEN_CONTRE_ADV,JournalActions[Motif penalite],ACT_PEN_PL_HAUT)</f>
        <v>2</v>
      </c>
      <c r="N54" s="25"/>
      <c r="O54" s="25"/>
      <c r="P54" s="25"/>
    </row>
    <row r="55" spans="2:16">
      <c r="B55" s="25"/>
      <c r="C55" s="25"/>
      <c r="D55" s="25"/>
      <c r="E55" s="25"/>
      <c r="F55" s="25"/>
      <c r="G55" s="107" t="s">
        <v>292</v>
      </c>
      <c r="H55" s="108">
        <v>2.7950621284722213E-2</v>
      </c>
      <c r="I55" s="25"/>
      <c r="J55" s="246" t="s">
        <v>220</v>
      </c>
      <c r="K55" s="247"/>
      <c r="L55" s="38">
        <f>COUNTIFS(JournalActions[Action],ACT_PEN_CONTRE_NOUS,JournalActions[Motif penalite],"~?")</f>
        <v>1</v>
      </c>
      <c r="M55" s="38">
        <f>COUNTIFS(JournalActions[Action],ACT_PEN_CONTRE_ADV,JournalActions[Motif penalite],"~?")</f>
        <v>1</v>
      </c>
      <c r="N55" s="25"/>
      <c r="O55" s="25"/>
      <c r="P55" s="25"/>
    </row>
    <row r="56" spans="2:16" ht="14">
      <c r="B56" s="25"/>
      <c r="C56" s="84" t="s">
        <v>288</v>
      </c>
      <c r="D56" s="84" t="s">
        <v>265</v>
      </c>
      <c r="E56" s="85" t="s">
        <v>195</v>
      </c>
      <c r="F56" s="25"/>
      <c r="G56" s="25"/>
      <c r="H56" s="25"/>
      <c r="I56" s="25"/>
      <c r="J56" s="68" t="s">
        <v>45</v>
      </c>
      <c r="K56" s="25"/>
      <c r="L56" s="25"/>
      <c r="M56" s="25"/>
      <c r="N56" s="25"/>
      <c r="O56" s="25"/>
      <c r="P56" s="25"/>
    </row>
    <row r="57" spans="2:16">
      <c r="B57" s="25"/>
      <c r="C57" s="64" t="s">
        <v>193</v>
      </c>
      <c r="D57" s="64">
        <f>COUNTIFS(JournalActions[Action],ACT_ME_NS_G,JournalActions[Mi-temps],"MT2")</f>
        <v>5</v>
      </c>
      <c r="E57" s="65">
        <f>COUNTIFS(JournalActions[Action],ACT_ME_NS_P,JournalActions[Mi-temps],"MT2")</f>
        <v>0</v>
      </c>
      <c r="F57" s="25"/>
      <c r="G57" s="25"/>
      <c r="H57" s="25"/>
      <c r="I57" s="25"/>
      <c r="K57" s="67"/>
      <c r="L57" s="25"/>
      <c r="M57" s="25"/>
      <c r="N57" s="25"/>
      <c r="O57" s="25"/>
      <c r="P57" s="25"/>
    </row>
    <row r="58" spans="2:16">
      <c r="B58" s="25"/>
      <c r="C58" s="36" t="s">
        <v>226</v>
      </c>
      <c r="D58" s="36">
        <f>COUNTIFS(JournalActions[Action],ACT_ME_ADV_P,JournalActions[Mi-temps],"MT2")</f>
        <v>5</v>
      </c>
      <c r="E58" s="37">
        <f>COUNTIFS(JournalActions[Action],ACT_ME_ADV_G,JournalActions[Mi-temps],"MT2")</f>
        <v>0</v>
      </c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</row>
    <row r="59" spans="2:16"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</row>
    <row r="60" spans="2:16" s="25" customFormat="1"/>
    <row r="61" spans="2:16" s="25" customFormat="1"/>
    <row r="62" spans="2:16" s="25" customFormat="1"/>
    <row r="63" spans="2:16" s="25" customFormat="1" ht="14" thickBot="1"/>
    <row r="64" spans="2:16" s="25" customFormat="1">
      <c r="B64" s="248" t="s">
        <v>289</v>
      </c>
      <c r="C64" s="249"/>
      <c r="D64" s="249"/>
      <c r="E64" s="249"/>
      <c r="F64" s="249"/>
      <c r="G64" s="249"/>
      <c r="H64" s="249"/>
      <c r="I64" s="249"/>
      <c r="J64" s="249"/>
      <c r="K64" s="250"/>
    </row>
    <row r="65" spans="2:11" s="25" customFormat="1">
      <c r="B65" s="251"/>
      <c r="C65" s="252"/>
      <c r="D65" s="252"/>
      <c r="E65" s="252"/>
      <c r="F65" s="252"/>
      <c r="G65" s="252"/>
      <c r="H65" s="252"/>
      <c r="I65" s="252"/>
      <c r="J65" s="252"/>
      <c r="K65" s="253"/>
    </row>
    <row r="66" spans="2:11" s="25" customFormat="1" ht="14" thickBot="1">
      <c r="B66" s="254"/>
      <c r="C66" s="255"/>
      <c r="D66" s="255"/>
      <c r="E66" s="255"/>
      <c r="F66" s="255"/>
      <c r="G66" s="255"/>
      <c r="H66" s="255"/>
      <c r="I66" s="255"/>
      <c r="J66" s="255"/>
      <c r="K66" s="256"/>
    </row>
    <row r="67" spans="2:11" s="25" customFormat="1"/>
    <row r="68" spans="2:11" s="25" customFormat="1" ht="14">
      <c r="B68" s="227" t="s">
        <v>64</v>
      </c>
      <c r="C68" s="229" t="str">
        <f>ACT_TO_NS_G</f>
        <v>Touche à nous conservée</v>
      </c>
      <c r="D68" s="230"/>
      <c r="E68" s="229" t="str">
        <f>ACT_TO_ADV_VOLEE</f>
        <v>Touche à eux volée</v>
      </c>
      <c r="F68" s="230"/>
      <c r="H68" s="257" t="str">
        <f>ACT_TO_NS_P</f>
        <v>Touche à nous perdue</v>
      </c>
      <c r="I68" s="258"/>
      <c r="J68" s="257" t="str">
        <f>ACT_TO_NS_PAS_DROIT</f>
        <v>Touche à nous pas droite</v>
      </c>
      <c r="K68" s="258"/>
    </row>
    <row r="69" spans="2:11" s="25" customFormat="1" ht="14">
      <c r="B69" s="228"/>
      <c r="C69" s="98" t="s">
        <v>97</v>
      </c>
      <c r="D69" s="99" t="s">
        <v>94</v>
      </c>
      <c r="E69" s="98" t="s">
        <v>97</v>
      </c>
      <c r="F69" s="99" t="s">
        <v>94</v>
      </c>
      <c r="H69" s="100" t="s">
        <v>97</v>
      </c>
      <c r="I69" s="101" t="s">
        <v>94</v>
      </c>
      <c r="J69" s="100" t="s">
        <v>97</v>
      </c>
      <c r="K69" s="101" t="s">
        <v>94</v>
      </c>
    </row>
    <row r="70" spans="2:11" s="25" customFormat="1">
      <c r="B70" s="56" t="str" cm="1">
        <f t="array" ref="B70:B98">_xlfn._xlws.SORT(_xlfn._xlws.FILTER(COMPO[Nom du joueur],(COMPO[Nom du joueur]&lt;&gt;"")*(COMPO[Nom du joueur]&lt;&gt;"Collectif")*(COMPO[Nom du joueur]&lt;&gt;"?")))</f>
        <v>ABADIE Emeric</v>
      </c>
      <c r="C70" s="56">
        <f>IF(COUNTIFS(JournalActions[Joueur],$B70,JournalActions[Action],$C$68,JournalActions[Mi-temps],C$69)=0,"",COUNTIFS(JournalActions[Joueur],$B70,JournalActions[Action],$C$68,JournalActions[Mi-temps],C$69))</f>
        <v>1</v>
      </c>
      <c r="D70" s="57">
        <f>IF(COUNTIFS(JournalActions[Joueur],$B70,JournalActions[Action],$C$68,JournalActions[Mi-temps],D$69)=0,"",COUNTIFS(JournalActions[Joueur],$B70,JournalActions[Action],$C$68,JournalActions[Mi-temps],D$69))</f>
        <v>1</v>
      </c>
      <c r="E70" s="56" t="str">
        <f>IF(COUNTIFS(JournalActions[Joueur],$B70,JournalActions[Action],$E$68,JournalActions[Mi-temps],E$69)=0,"",COUNTIFS(JournalActions[Joueur],$B70,JournalActions[Action],$E$68,JournalActions[Mi-temps],E$69))</f>
        <v/>
      </c>
      <c r="F70" s="57" t="str">
        <f>IF(COUNTIFS(JournalActions[Joueur],$B70,JournalActions[Action],$E$68,JournalActions[Mi-temps],F$69)=0,"",COUNTIFS(JournalActions[Joueur],$B70,JournalActions[Action],$E$68,JournalActions[Mi-temps],F$69))</f>
        <v/>
      </c>
      <c r="H70" s="56" t="str">
        <f>IF(COUNTIFS(JournalActions[Joueur],$B70,JournalActions[Action],$H$68,JournalActions[Mi-temps],H$69)=0,"",COUNTIFS(JournalActions[Joueur],$B70,JournalActions[Action],$H$68,JournalActions[Mi-temps],H$69))</f>
        <v/>
      </c>
      <c r="I70" s="57" t="str">
        <f>IF(COUNTIFS(JournalActions[Joueur],$B70,JournalActions[Action],$H$68,JournalActions[Mi-temps],I$69)=0,"",COUNTIFS(JournalActions[Joueur],$B70,JournalActions[Action],$H$68,JournalActions[Mi-temps],I$69))</f>
        <v/>
      </c>
      <c r="J70" s="56" t="str">
        <f>IF(COUNTIFS(JournalActions[Joueur],$B70,JournalActions[Action],$J$68,JournalActions[Mi-temps],J$69)=0,"",COUNTIFS(JournalActions[Joueur],$B70,JournalActions[Action],$J$68,JournalActions[Mi-temps],J$69))</f>
        <v/>
      </c>
      <c r="K70" s="57" t="str">
        <f>IF(COUNTIFS(JournalActions[Joueur],$B70,JournalActions[Action],$J$68,JournalActions[Mi-temps],K$69)=0,"",COUNTIFS(JournalActions[Joueur],$B70,JournalActions[Action],$J$68,JournalActions[Mi-temps],K$69))</f>
        <v/>
      </c>
    </row>
    <row r="71" spans="2:11" s="25" customFormat="1">
      <c r="B71" s="56" t="str">
        <v>ABADIE Quentin</v>
      </c>
      <c r="C71" s="56" t="str">
        <f>IF(COUNTIFS(JournalActions[Joueur],$B71,JournalActions[Action],$C$68,JournalActions[Mi-temps],C$69)=0,"",COUNTIFS(JournalActions[Joueur],$B71,JournalActions[Action],$C$68,JournalActions[Mi-temps],C$69))</f>
        <v/>
      </c>
      <c r="D71" s="57" t="str">
        <f>IF(COUNTIFS(JournalActions[Joueur],$B71,JournalActions[Action],$C$68,JournalActions[Mi-temps],D$69)=0,"",COUNTIFS(JournalActions[Joueur],$B71,JournalActions[Action],$C$68,JournalActions[Mi-temps],D$69))</f>
        <v/>
      </c>
      <c r="E71" s="56" t="str">
        <f>IF(COUNTIFS(JournalActions[Joueur],$B71,JournalActions[Action],$E$68,JournalActions[Mi-temps],E$69)=0,"",COUNTIFS(JournalActions[Joueur],$B71,JournalActions[Action],$E$68,JournalActions[Mi-temps],E$69))</f>
        <v/>
      </c>
      <c r="F71" s="57" t="str">
        <f>IF(COUNTIFS(JournalActions[Joueur],$B71,JournalActions[Action],$E$68,JournalActions[Mi-temps],F$69)=0,"",COUNTIFS(JournalActions[Joueur],$B71,JournalActions[Action],$E$68,JournalActions[Mi-temps],F$69))</f>
        <v/>
      </c>
      <c r="H71" s="56" t="str">
        <f>IF(COUNTIFS(JournalActions[Joueur],$B71,JournalActions[Action],$H$68,JournalActions[Mi-temps],H$69)=0,"",COUNTIFS(JournalActions[Joueur],$B71,JournalActions[Action],$H$68,JournalActions[Mi-temps],H$69))</f>
        <v/>
      </c>
      <c r="I71" s="57">
        <f>IF(COUNTIFS(JournalActions[Joueur],$B71,JournalActions[Action],$H$68,JournalActions[Mi-temps],I$69)=0,"",COUNTIFS(JournalActions[Joueur],$B71,JournalActions[Action],$H$68,JournalActions[Mi-temps],I$69))</f>
        <v>1</v>
      </c>
      <c r="J71" s="56" t="str">
        <f>IF(COUNTIFS(JournalActions[Joueur],$B71,JournalActions[Action],$J$68,JournalActions[Mi-temps],J$69)=0,"",COUNTIFS(JournalActions[Joueur],$B71,JournalActions[Action],$J$68,JournalActions[Mi-temps],J$69))</f>
        <v/>
      </c>
      <c r="K71" s="57" t="str">
        <f>IF(COUNTIFS(JournalActions[Joueur],$B71,JournalActions[Action],$J$68,JournalActions[Mi-temps],K$69)=0,"",COUNTIFS(JournalActions[Joueur],$B71,JournalActions[Action],$J$68,JournalActions[Mi-temps],K$69))</f>
        <v/>
      </c>
    </row>
    <row r="72" spans="2:11" s="25" customFormat="1">
      <c r="B72" s="56" t="str">
        <v>ABADIE Thomas</v>
      </c>
      <c r="C72" s="56" t="str">
        <f>IF(COUNTIFS(JournalActions[Joueur],$B72,JournalActions[Action],$C$68,JournalActions[Mi-temps],C$69)=0,"",COUNTIFS(JournalActions[Joueur],$B72,JournalActions[Action],$C$68,JournalActions[Mi-temps],C$69))</f>
        <v/>
      </c>
      <c r="D72" s="57" t="str">
        <f>IF(COUNTIFS(JournalActions[Joueur],$B72,JournalActions[Action],$C$68,JournalActions[Mi-temps],D$69)=0,"",COUNTIFS(JournalActions[Joueur],$B72,JournalActions[Action],$C$68,JournalActions[Mi-temps],D$69))</f>
        <v/>
      </c>
      <c r="E72" s="56" t="str">
        <f>IF(COUNTIFS(JournalActions[Joueur],$B72,JournalActions[Action],$E$68,JournalActions[Mi-temps],E$69)=0,"",COUNTIFS(JournalActions[Joueur],$B72,JournalActions[Action],$E$68,JournalActions[Mi-temps],E$69))</f>
        <v/>
      </c>
      <c r="F72" s="57" t="str">
        <f>IF(COUNTIFS(JournalActions[Joueur],$B72,JournalActions[Action],$E$68,JournalActions[Mi-temps],F$69)=0,"",COUNTIFS(JournalActions[Joueur],$B72,JournalActions[Action],$E$68,JournalActions[Mi-temps],F$69))</f>
        <v/>
      </c>
      <c r="H72" s="56" t="str">
        <f>IF(COUNTIFS(JournalActions[Joueur],$B72,JournalActions[Action],$H$68,JournalActions[Mi-temps],H$69)=0,"",COUNTIFS(JournalActions[Joueur],$B72,JournalActions[Action],$H$68,JournalActions[Mi-temps],H$69))</f>
        <v/>
      </c>
      <c r="I72" s="57" t="str">
        <f>IF(COUNTIFS(JournalActions[Joueur],$B72,JournalActions[Action],$H$68,JournalActions[Mi-temps],I$69)=0,"",COUNTIFS(JournalActions[Joueur],$B72,JournalActions[Action],$H$68,JournalActions[Mi-temps],I$69))</f>
        <v/>
      </c>
      <c r="J72" s="56" t="str">
        <f>IF(COUNTIFS(JournalActions[Joueur],$B72,JournalActions[Action],$J$68,JournalActions[Mi-temps],J$69)=0,"",COUNTIFS(JournalActions[Joueur],$B72,JournalActions[Action],$J$68,JournalActions[Mi-temps],J$69))</f>
        <v/>
      </c>
      <c r="K72" s="57" t="str">
        <f>IF(COUNTIFS(JournalActions[Joueur],$B72,JournalActions[Action],$J$68,JournalActions[Mi-temps],K$69)=0,"",COUNTIFS(JournalActions[Joueur],$B72,JournalActions[Action],$J$68,JournalActions[Mi-temps],K$69))</f>
        <v/>
      </c>
    </row>
    <row r="73" spans="2:11" s="25" customFormat="1">
      <c r="B73" s="56" t="str">
        <v>BALAGNA Rudy</v>
      </c>
      <c r="C73" s="56" t="str">
        <f>IF(COUNTIFS(JournalActions[Joueur],$B73,JournalActions[Action],$C$68,JournalActions[Mi-temps],C$69)=0,"",COUNTIFS(JournalActions[Joueur],$B73,JournalActions[Action],$C$68,JournalActions[Mi-temps],C$69))</f>
        <v/>
      </c>
      <c r="D73" s="57" t="str">
        <f>IF(COUNTIFS(JournalActions[Joueur],$B73,JournalActions[Action],$C$68,JournalActions[Mi-temps],D$69)=0,"",COUNTIFS(JournalActions[Joueur],$B73,JournalActions[Action],$C$68,JournalActions[Mi-temps],D$69))</f>
        <v/>
      </c>
      <c r="E73" s="56" t="str">
        <f>IF(COUNTIFS(JournalActions[Joueur],$B73,JournalActions[Action],$E$68,JournalActions[Mi-temps],E$69)=0,"",COUNTIFS(JournalActions[Joueur],$B73,JournalActions[Action],$E$68,JournalActions[Mi-temps],E$69))</f>
        <v/>
      </c>
      <c r="F73" s="57" t="str">
        <f>IF(COUNTIFS(JournalActions[Joueur],$B73,JournalActions[Action],$E$68,JournalActions[Mi-temps],F$69)=0,"",COUNTIFS(JournalActions[Joueur],$B73,JournalActions[Action],$E$68,JournalActions[Mi-temps],F$69))</f>
        <v/>
      </c>
      <c r="H73" s="56" t="str">
        <f>IF(COUNTIFS(JournalActions[Joueur],$B73,JournalActions[Action],$H$68,JournalActions[Mi-temps],H$69)=0,"",COUNTIFS(JournalActions[Joueur],$B73,JournalActions[Action],$H$68,JournalActions[Mi-temps],H$69))</f>
        <v/>
      </c>
      <c r="I73" s="57" t="str">
        <f>IF(COUNTIFS(JournalActions[Joueur],$B73,JournalActions[Action],$H$68,JournalActions[Mi-temps],I$69)=0,"",COUNTIFS(JournalActions[Joueur],$B73,JournalActions[Action],$H$68,JournalActions[Mi-temps],I$69))</f>
        <v/>
      </c>
      <c r="J73" s="56" t="str">
        <f>IF(COUNTIFS(JournalActions[Joueur],$B73,JournalActions[Action],$J$68,JournalActions[Mi-temps],J$69)=0,"",COUNTIFS(JournalActions[Joueur],$B73,JournalActions[Action],$J$68,JournalActions[Mi-temps],J$69))</f>
        <v/>
      </c>
      <c r="K73" s="57" t="str">
        <f>IF(COUNTIFS(JournalActions[Joueur],$B73,JournalActions[Action],$J$68,JournalActions[Mi-temps],K$69)=0,"",COUNTIFS(JournalActions[Joueur],$B73,JournalActions[Action],$J$68,JournalActions[Mi-temps],K$69))</f>
        <v/>
      </c>
    </row>
    <row r="74" spans="2:11" s="25" customFormat="1">
      <c r="B74" s="56" t="str">
        <v>BAQUE Lucas</v>
      </c>
      <c r="C74" s="56" t="str">
        <f>IF(COUNTIFS(JournalActions[Joueur],$B74,JournalActions[Action],$C$68,JournalActions[Mi-temps],C$69)=0,"",COUNTIFS(JournalActions[Joueur],$B74,JournalActions[Action],$C$68,JournalActions[Mi-temps],C$69))</f>
        <v/>
      </c>
      <c r="D74" s="57" t="str">
        <f>IF(COUNTIFS(JournalActions[Joueur],$B74,JournalActions[Action],$C$68,JournalActions[Mi-temps],D$69)=0,"",COUNTIFS(JournalActions[Joueur],$B74,JournalActions[Action],$C$68,JournalActions[Mi-temps],D$69))</f>
        <v/>
      </c>
      <c r="E74" s="56" t="str">
        <f>IF(COUNTIFS(JournalActions[Joueur],$B74,JournalActions[Action],$E$68,JournalActions[Mi-temps],E$69)=0,"",COUNTIFS(JournalActions[Joueur],$B74,JournalActions[Action],$E$68,JournalActions[Mi-temps],E$69))</f>
        <v/>
      </c>
      <c r="F74" s="57" t="str">
        <f>IF(COUNTIFS(JournalActions[Joueur],$B74,JournalActions[Action],$E$68,JournalActions[Mi-temps],F$69)=0,"",COUNTIFS(JournalActions[Joueur],$B74,JournalActions[Action],$E$68,JournalActions[Mi-temps],F$69))</f>
        <v/>
      </c>
      <c r="H74" s="56" t="str">
        <f>IF(COUNTIFS(JournalActions[Joueur],$B74,JournalActions[Action],$H$68,JournalActions[Mi-temps],H$69)=0,"",COUNTIFS(JournalActions[Joueur],$B74,JournalActions[Action],$H$68,JournalActions[Mi-temps],H$69))</f>
        <v/>
      </c>
      <c r="I74" s="57" t="str">
        <f>IF(COUNTIFS(JournalActions[Joueur],$B74,JournalActions[Action],$H$68,JournalActions[Mi-temps],I$69)=0,"",COUNTIFS(JournalActions[Joueur],$B74,JournalActions[Action],$H$68,JournalActions[Mi-temps],I$69))</f>
        <v/>
      </c>
      <c r="J74" s="56" t="str">
        <f>IF(COUNTIFS(JournalActions[Joueur],$B74,JournalActions[Action],$J$68,JournalActions[Mi-temps],J$69)=0,"",COUNTIFS(JournalActions[Joueur],$B74,JournalActions[Action],$J$68,JournalActions[Mi-temps],J$69))</f>
        <v/>
      </c>
      <c r="K74" s="57" t="str">
        <f>IF(COUNTIFS(JournalActions[Joueur],$B74,JournalActions[Action],$J$68,JournalActions[Mi-temps],K$69)=0,"",COUNTIFS(JournalActions[Joueur],$B74,JournalActions[Action],$J$68,JournalActions[Mi-temps],K$69))</f>
        <v/>
      </c>
    </row>
    <row r="75" spans="2:11" s="25" customFormat="1">
      <c r="B75" s="56" t="str">
        <v>BARATGIN Julian</v>
      </c>
      <c r="C75" s="56">
        <f>IF(COUNTIFS(JournalActions[Joueur],$B75,JournalActions[Action],$C$68,JournalActions[Mi-temps],C$69)=0,"",COUNTIFS(JournalActions[Joueur],$B75,JournalActions[Action],$C$68,JournalActions[Mi-temps],C$69))</f>
        <v>1</v>
      </c>
      <c r="D75" s="57">
        <f>IF(COUNTIFS(JournalActions[Joueur],$B75,JournalActions[Action],$C$68,JournalActions[Mi-temps],D$69)=0,"",COUNTIFS(JournalActions[Joueur],$B75,JournalActions[Action],$C$68,JournalActions[Mi-temps],D$69))</f>
        <v>4</v>
      </c>
      <c r="E75" s="56" t="str">
        <f>IF(COUNTIFS(JournalActions[Joueur],$B75,JournalActions[Action],$E$68,JournalActions[Mi-temps],E$69)=0,"",COUNTIFS(JournalActions[Joueur],$B75,JournalActions[Action],$E$68,JournalActions[Mi-temps],E$69))</f>
        <v/>
      </c>
      <c r="F75" s="57" t="str">
        <f>IF(COUNTIFS(JournalActions[Joueur],$B75,JournalActions[Action],$E$68,JournalActions[Mi-temps],F$69)=0,"",COUNTIFS(JournalActions[Joueur],$B75,JournalActions[Action],$E$68,JournalActions[Mi-temps],F$69))</f>
        <v/>
      </c>
      <c r="H75" s="56" t="str">
        <f>IF(COUNTIFS(JournalActions[Joueur],$B75,JournalActions[Action],$H$68,JournalActions[Mi-temps],H$69)=0,"",COUNTIFS(JournalActions[Joueur],$B75,JournalActions[Action],$H$68,JournalActions[Mi-temps],H$69))</f>
        <v/>
      </c>
      <c r="I75" s="57" t="str">
        <f>IF(COUNTIFS(JournalActions[Joueur],$B75,JournalActions[Action],$H$68,JournalActions[Mi-temps],I$69)=0,"",COUNTIFS(JournalActions[Joueur],$B75,JournalActions[Action],$H$68,JournalActions[Mi-temps],I$69))</f>
        <v/>
      </c>
      <c r="J75" s="56" t="str">
        <f>IF(COUNTIFS(JournalActions[Joueur],$B75,JournalActions[Action],$J$68,JournalActions[Mi-temps],J$69)=0,"",COUNTIFS(JournalActions[Joueur],$B75,JournalActions[Action],$J$68,JournalActions[Mi-temps],J$69))</f>
        <v/>
      </c>
      <c r="K75" s="57" t="str">
        <f>IF(COUNTIFS(JournalActions[Joueur],$B75,JournalActions[Action],$J$68,JournalActions[Mi-temps],K$69)=0,"",COUNTIFS(JournalActions[Joueur],$B75,JournalActions[Action],$J$68,JournalActions[Mi-temps],K$69))</f>
        <v/>
      </c>
    </row>
    <row r="76" spans="2:11" s="25" customFormat="1">
      <c r="B76" s="56" t="str">
        <v>BARRAILH Francois</v>
      </c>
      <c r="C76" s="56" t="str">
        <f>IF(COUNTIFS(JournalActions[Joueur],$B76,JournalActions[Action],$C$68,JournalActions[Mi-temps],C$69)=0,"",COUNTIFS(JournalActions[Joueur],$B76,JournalActions[Action],$C$68,JournalActions[Mi-temps],C$69))</f>
        <v/>
      </c>
      <c r="D76" s="57" t="str">
        <f>IF(COUNTIFS(JournalActions[Joueur],$B76,JournalActions[Action],$C$68,JournalActions[Mi-temps],D$69)=0,"",COUNTIFS(JournalActions[Joueur],$B76,JournalActions[Action],$C$68,JournalActions[Mi-temps],D$69))</f>
        <v/>
      </c>
      <c r="E76" s="56" t="str">
        <f>IF(COUNTIFS(JournalActions[Joueur],$B76,JournalActions[Action],$E$68,JournalActions[Mi-temps],E$69)=0,"",COUNTIFS(JournalActions[Joueur],$B76,JournalActions[Action],$E$68,JournalActions[Mi-temps],E$69))</f>
        <v/>
      </c>
      <c r="F76" s="57" t="str">
        <f>IF(COUNTIFS(JournalActions[Joueur],$B76,JournalActions[Action],$E$68,JournalActions[Mi-temps],F$69)=0,"",COUNTIFS(JournalActions[Joueur],$B76,JournalActions[Action],$E$68,JournalActions[Mi-temps],F$69))</f>
        <v/>
      </c>
      <c r="H76" s="56" t="str">
        <f>IF(COUNTIFS(JournalActions[Joueur],$B76,JournalActions[Action],$H$68,JournalActions[Mi-temps],H$69)=0,"",COUNTIFS(JournalActions[Joueur],$B76,JournalActions[Action],$H$68,JournalActions[Mi-temps],H$69))</f>
        <v/>
      </c>
      <c r="I76" s="57" t="str">
        <f>IF(COUNTIFS(JournalActions[Joueur],$B76,JournalActions[Action],$H$68,JournalActions[Mi-temps],I$69)=0,"",COUNTIFS(JournalActions[Joueur],$B76,JournalActions[Action],$H$68,JournalActions[Mi-temps],I$69))</f>
        <v/>
      </c>
      <c r="J76" s="56" t="str">
        <f>IF(COUNTIFS(JournalActions[Joueur],$B76,JournalActions[Action],$J$68,JournalActions[Mi-temps],J$69)=0,"",COUNTIFS(JournalActions[Joueur],$B76,JournalActions[Action],$J$68,JournalActions[Mi-temps],J$69))</f>
        <v/>
      </c>
      <c r="K76" s="57" t="str">
        <f>IF(COUNTIFS(JournalActions[Joueur],$B76,JournalActions[Action],$J$68,JournalActions[Mi-temps],K$69)=0,"",COUNTIFS(JournalActions[Joueur],$B76,JournalActions[Action],$J$68,JournalActions[Mi-temps],K$69))</f>
        <v/>
      </c>
    </row>
    <row r="77" spans="2:11" s="25" customFormat="1">
      <c r="B77" s="56" t="str">
        <v>BAYLE Jean</v>
      </c>
      <c r="C77" s="56" t="str">
        <f>IF(COUNTIFS(JournalActions[Joueur],$B77,JournalActions[Action],$C$68,JournalActions[Mi-temps],C$69)=0,"",COUNTIFS(JournalActions[Joueur],$B77,JournalActions[Action],$C$68,JournalActions[Mi-temps],C$69))</f>
        <v/>
      </c>
      <c r="D77" s="57" t="str">
        <f>IF(COUNTIFS(JournalActions[Joueur],$B77,JournalActions[Action],$C$68,JournalActions[Mi-temps],D$69)=0,"",COUNTIFS(JournalActions[Joueur],$B77,JournalActions[Action],$C$68,JournalActions[Mi-temps],D$69))</f>
        <v/>
      </c>
      <c r="E77" s="56" t="str">
        <f>IF(COUNTIFS(JournalActions[Joueur],$B77,JournalActions[Action],$E$68,JournalActions[Mi-temps],E$69)=0,"",COUNTIFS(JournalActions[Joueur],$B77,JournalActions[Action],$E$68,JournalActions[Mi-temps],E$69))</f>
        <v/>
      </c>
      <c r="F77" s="57" t="str">
        <f>IF(COUNTIFS(JournalActions[Joueur],$B77,JournalActions[Action],$E$68,JournalActions[Mi-temps],F$69)=0,"",COUNTIFS(JournalActions[Joueur],$B77,JournalActions[Action],$E$68,JournalActions[Mi-temps],F$69))</f>
        <v/>
      </c>
      <c r="H77" s="56" t="str">
        <f>IF(COUNTIFS(JournalActions[Joueur],$B77,JournalActions[Action],$H$68,JournalActions[Mi-temps],H$69)=0,"",COUNTIFS(JournalActions[Joueur],$B77,JournalActions[Action],$H$68,JournalActions[Mi-temps],H$69))</f>
        <v/>
      </c>
      <c r="I77" s="57" t="str">
        <f>IF(COUNTIFS(JournalActions[Joueur],$B77,JournalActions[Action],$H$68,JournalActions[Mi-temps],I$69)=0,"",COUNTIFS(JournalActions[Joueur],$B77,JournalActions[Action],$H$68,JournalActions[Mi-temps],I$69))</f>
        <v/>
      </c>
      <c r="J77" s="56" t="str">
        <f>IF(COUNTIFS(JournalActions[Joueur],$B77,JournalActions[Action],$J$68,JournalActions[Mi-temps],J$69)=0,"",COUNTIFS(JournalActions[Joueur],$B77,JournalActions[Action],$J$68,JournalActions[Mi-temps],J$69))</f>
        <v/>
      </c>
      <c r="K77" s="57" t="str">
        <f>IF(COUNTIFS(JournalActions[Joueur],$B77,JournalActions[Action],$J$68,JournalActions[Mi-temps],K$69)=0,"",COUNTIFS(JournalActions[Joueur],$B77,JournalActions[Action],$J$68,JournalActions[Mi-temps],K$69))</f>
        <v/>
      </c>
    </row>
    <row r="78" spans="2:11" s="25" customFormat="1">
      <c r="B78" s="56" t="str">
        <v>BOISVIN Paul</v>
      </c>
      <c r="C78" s="56" t="str">
        <f>IF(COUNTIFS(JournalActions[Joueur],$B78,JournalActions[Action],$C$68,JournalActions[Mi-temps],C$69)=0,"",COUNTIFS(JournalActions[Joueur],$B78,JournalActions[Action],$C$68,JournalActions[Mi-temps],C$69))</f>
        <v/>
      </c>
      <c r="D78" s="57" t="str">
        <f>IF(COUNTIFS(JournalActions[Joueur],$B78,JournalActions[Action],$C$68,JournalActions[Mi-temps],D$69)=0,"",COUNTIFS(JournalActions[Joueur],$B78,JournalActions[Action],$C$68,JournalActions[Mi-temps],D$69))</f>
        <v/>
      </c>
      <c r="E78" s="56" t="str">
        <f>IF(COUNTIFS(JournalActions[Joueur],$B78,JournalActions[Action],$E$68,JournalActions[Mi-temps],E$69)=0,"",COUNTIFS(JournalActions[Joueur],$B78,JournalActions[Action],$E$68,JournalActions[Mi-temps],E$69))</f>
        <v/>
      </c>
      <c r="F78" s="57" t="str">
        <f>IF(COUNTIFS(JournalActions[Joueur],$B78,JournalActions[Action],$E$68,JournalActions[Mi-temps],F$69)=0,"",COUNTIFS(JournalActions[Joueur],$B78,JournalActions[Action],$E$68,JournalActions[Mi-temps],F$69))</f>
        <v/>
      </c>
      <c r="H78" s="56" t="str">
        <f>IF(COUNTIFS(JournalActions[Joueur],$B78,JournalActions[Action],$H$68,JournalActions[Mi-temps],H$69)=0,"",COUNTIFS(JournalActions[Joueur],$B78,JournalActions[Action],$H$68,JournalActions[Mi-temps],H$69))</f>
        <v/>
      </c>
      <c r="I78" s="57" t="str">
        <f>IF(COUNTIFS(JournalActions[Joueur],$B78,JournalActions[Action],$H$68,JournalActions[Mi-temps],I$69)=0,"",COUNTIFS(JournalActions[Joueur],$B78,JournalActions[Action],$H$68,JournalActions[Mi-temps],I$69))</f>
        <v/>
      </c>
      <c r="J78" s="56" t="str">
        <f>IF(COUNTIFS(JournalActions[Joueur],$B78,JournalActions[Action],$J$68,JournalActions[Mi-temps],J$69)=0,"",COUNTIFS(JournalActions[Joueur],$B78,JournalActions[Action],$J$68,JournalActions[Mi-temps],J$69))</f>
        <v/>
      </c>
      <c r="K78" s="57" t="str">
        <f>IF(COUNTIFS(JournalActions[Joueur],$B78,JournalActions[Action],$J$68,JournalActions[Mi-temps],K$69)=0,"",COUNTIFS(JournalActions[Joueur],$B78,JournalActions[Action],$J$68,JournalActions[Mi-temps],K$69))</f>
        <v/>
      </c>
    </row>
    <row r="79" spans="2:11" s="25" customFormat="1">
      <c r="B79" s="56" t="str">
        <v>BOURREC Anthony</v>
      </c>
      <c r="C79" s="56" t="str">
        <f>IF(COUNTIFS(JournalActions[Joueur],$B79,JournalActions[Action],$C$68,JournalActions[Mi-temps],C$69)=0,"",COUNTIFS(JournalActions[Joueur],$B79,JournalActions[Action],$C$68,JournalActions[Mi-temps],C$69))</f>
        <v/>
      </c>
      <c r="D79" s="57" t="str">
        <f>IF(COUNTIFS(JournalActions[Joueur],$B79,JournalActions[Action],$C$68,JournalActions[Mi-temps],D$69)=0,"",COUNTIFS(JournalActions[Joueur],$B79,JournalActions[Action],$C$68,JournalActions[Mi-temps],D$69))</f>
        <v/>
      </c>
      <c r="E79" s="56" t="str">
        <f>IF(COUNTIFS(JournalActions[Joueur],$B79,JournalActions[Action],$E$68,JournalActions[Mi-temps],E$69)=0,"",COUNTIFS(JournalActions[Joueur],$B79,JournalActions[Action],$E$68,JournalActions[Mi-temps],E$69))</f>
        <v/>
      </c>
      <c r="F79" s="57" t="str">
        <f>IF(COUNTIFS(JournalActions[Joueur],$B79,JournalActions[Action],$E$68,JournalActions[Mi-temps],F$69)=0,"",COUNTIFS(JournalActions[Joueur],$B79,JournalActions[Action],$E$68,JournalActions[Mi-temps],F$69))</f>
        <v/>
      </c>
      <c r="H79" s="56" t="str">
        <f>IF(COUNTIFS(JournalActions[Joueur],$B79,JournalActions[Action],$H$68,JournalActions[Mi-temps],H$69)=0,"",COUNTIFS(JournalActions[Joueur],$B79,JournalActions[Action],$H$68,JournalActions[Mi-temps],H$69))</f>
        <v/>
      </c>
      <c r="I79" s="57" t="str">
        <f>IF(COUNTIFS(JournalActions[Joueur],$B79,JournalActions[Action],$H$68,JournalActions[Mi-temps],I$69)=0,"",COUNTIFS(JournalActions[Joueur],$B79,JournalActions[Action],$H$68,JournalActions[Mi-temps],I$69))</f>
        <v/>
      </c>
      <c r="J79" s="56" t="str">
        <f>IF(COUNTIFS(JournalActions[Joueur],$B79,JournalActions[Action],$J$68,JournalActions[Mi-temps],J$69)=0,"",COUNTIFS(JournalActions[Joueur],$B79,JournalActions[Action],$J$68,JournalActions[Mi-temps],J$69))</f>
        <v/>
      </c>
      <c r="K79" s="57" t="str">
        <f>IF(COUNTIFS(JournalActions[Joueur],$B79,JournalActions[Action],$J$68,JournalActions[Mi-temps],K$69)=0,"",COUNTIFS(JournalActions[Joueur],$B79,JournalActions[Action],$J$68,JournalActions[Mi-temps],K$69))</f>
        <v/>
      </c>
    </row>
    <row r="80" spans="2:11" s="25" customFormat="1">
      <c r="B80" s="56" t="str">
        <v>BOUTELOUP Romain</v>
      </c>
      <c r="C80" s="56" t="str">
        <f>IF(COUNTIFS(JournalActions[Joueur],$B80,JournalActions[Action],$C$68,JournalActions[Mi-temps],C$69)=0,"",COUNTIFS(JournalActions[Joueur],$B80,JournalActions[Action],$C$68,JournalActions[Mi-temps],C$69))</f>
        <v/>
      </c>
      <c r="D80" s="57" t="str">
        <f>IF(COUNTIFS(JournalActions[Joueur],$B80,JournalActions[Action],$C$68,JournalActions[Mi-temps],D$69)=0,"",COUNTIFS(JournalActions[Joueur],$B80,JournalActions[Action],$C$68,JournalActions[Mi-temps],D$69))</f>
        <v/>
      </c>
      <c r="E80" s="56" t="str">
        <f>IF(COUNTIFS(JournalActions[Joueur],$B80,JournalActions[Action],$E$68,JournalActions[Mi-temps],E$69)=0,"",COUNTIFS(JournalActions[Joueur],$B80,JournalActions[Action],$E$68,JournalActions[Mi-temps],E$69))</f>
        <v/>
      </c>
      <c r="F80" s="57" t="str">
        <f>IF(COUNTIFS(JournalActions[Joueur],$B80,JournalActions[Action],$E$68,JournalActions[Mi-temps],F$69)=0,"",COUNTIFS(JournalActions[Joueur],$B80,JournalActions[Action],$E$68,JournalActions[Mi-temps],F$69))</f>
        <v/>
      </c>
      <c r="H80" s="56" t="str">
        <f>IF(COUNTIFS(JournalActions[Joueur],$B80,JournalActions[Action],$H$68,JournalActions[Mi-temps],H$69)=0,"",COUNTIFS(JournalActions[Joueur],$B80,JournalActions[Action],$H$68,JournalActions[Mi-temps],H$69))</f>
        <v/>
      </c>
      <c r="I80" s="57" t="str">
        <f>IF(COUNTIFS(JournalActions[Joueur],$B80,JournalActions[Action],$H$68,JournalActions[Mi-temps],I$69)=0,"",COUNTIFS(JournalActions[Joueur],$B80,JournalActions[Action],$H$68,JournalActions[Mi-temps],I$69))</f>
        <v/>
      </c>
      <c r="J80" s="56" t="str">
        <f>IF(COUNTIFS(JournalActions[Joueur],$B80,JournalActions[Action],$J$68,JournalActions[Mi-temps],J$69)=0,"",COUNTIFS(JournalActions[Joueur],$B80,JournalActions[Action],$J$68,JournalActions[Mi-temps],J$69))</f>
        <v/>
      </c>
      <c r="K80" s="57" t="str">
        <f>IF(COUNTIFS(JournalActions[Joueur],$B80,JournalActions[Action],$J$68,JournalActions[Mi-temps],K$69)=0,"",COUNTIFS(JournalActions[Joueur],$B80,JournalActions[Action],$J$68,JournalActions[Mi-temps],K$69))</f>
        <v/>
      </c>
    </row>
    <row r="81" spans="2:11" s="25" customFormat="1">
      <c r="B81" s="56" t="str">
        <v>CESCA Sacha</v>
      </c>
      <c r="C81" s="56" t="str">
        <f>IF(COUNTIFS(JournalActions[Joueur],$B81,JournalActions[Action],$C$68,JournalActions[Mi-temps],C$69)=0,"",COUNTIFS(JournalActions[Joueur],$B81,JournalActions[Action],$C$68,JournalActions[Mi-temps],C$69))</f>
        <v/>
      </c>
      <c r="D81" s="57" t="str">
        <f>IF(COUNTIFS(JournalActions[Joueur],$B81,JournalActions[Action],$C$68,JournalActions[Mi-temps],D$69)=0,"",COUNTIFS(JournalActions[Joueur],$B81,JournalActions[Action],$C$68,JournalActions[Mi-temps],D$69))</f>
        <v/>
      </c>
      <c r="E81" s="56" t="str">
        <f>IF(COUNTIFS(JournalActions[Joueur],$B81,JournalActions[Action],$E$68,JournalActions[Mi-temps],E$69)=0,"",COUNTIFS(JournalActions[Joueur],$B81,JournalActions[Action],$E$68,JournalActions[Mi-temps],E$69))</f>
        <v/>
      </c>
      <c r="F81" s="57" t="str">
        <f>IF(COUNTIFS(JournalActions[Joueur],$B81,JournalActions[Action],$E$68,JournalActions[Mi-temps],F$69)=0,"",COUNTIFS(JournalActions[Joueur],$B81,JournalActions[Action],$E$68,JournalActions[Mi-temps],F$69))</f>
        <v/>
      </c>
      <c r="H81" s="56" t="str">
        <f>IF(COUNTIFS(JournalActions[Joueur],$B81,JournalActions[Action],$H$68,JournalActions[Mi-temps],H$69)=0,"",COUNTIFS(JournalActions[Joueur],$B81,JournalActions[Action],$H$68,JournalActions[Mi-temps],H$69))</f>
        <v/>
      </c>
      <c r="I81" s="57" t="str">
        <f>IF(COUNTIFS(JournalActions[Joueur],$B81,JournalActions[Action],$H$68,JournalActions[Mi-temps],I$69)=0,"",COUNTIFS(JournalActions[Joueur],$B81,JournalActions[Action],$H$68,JournalActions[Mi-temps],I$69))</f>
        <v/>
      </c>
      <c r="J81" s="56" t="str">
        <f>IF(COUNTIFS(JournalActions[Joueur],$B81,JournalActions[Action],$J$68,JournalActions[Mi-temps],J$69)=0,"",COUNTIFS(JournalActions[Joueur],$B81,JournalActions[Action],$J$68,JournalActions[Mi-temps],J$69))</f>
        <v/>
      </c>
      <c r="K81" s="57" t="str">
        <f>IF(COUNTIFS(JournalActions[Joueur],$B81,JournalActions[Action],$J$68,JournalActions[Mi-temps],K$69)=0,"",COUNTIFS(JournalActions[Joueur],$B81,JournalActions[Action],$J$68,JournalActions[Mi-temps],K$69))</f>
        <v/>
      </c>
    </row>
    <row r="82" spans="2:11" s="25" customFormat="1">
      <c r="B82" s="56" t="str">
        <v>COURREGES Romain</v>
      </c>
      <c r="C82" s="56" t="str">
        <f>IF(COUNTIFS(JournalActions[Joueur],$B82,JournalActions[Action],$C$68,JournalActions[Mi-temps],C$69)=0,"",COUNTIFS(JournalActions[Joueur],$B82,JournalActions[Action],$C$68,JournalActions[Mi-temps],C$69))</f>
        <v/>
      </c>
      <c r="D82" s="57" t="str">
        <f>IF(COUNTIFS(JournalActions[Joueur],$B82,JournalActions[Action],$C$68,JournalActions[Mi-temps],D$69)=0,"",COUNTIFS(JournalActions[Joueur],$B82,JournalActions[Action],$C$68,JournalActions[Mi-temps],D$69))</f>
        <v/>
      </c>
      <c r="E82" s="56" t="str">
        <f>IF(COUNTIFS(JournalActions[Joueur],$B82,JournalActions[Action],$E$68,JournalActions[Mi-temps],E$69)=0,"",COUNTIFS(JournalActions[Joueur],$B82,JournalActions[Action],$E$68,JournalActions[Mi-temps],E$69))</f>
        <v/>
      </c>
      <c r="F82" s="57" t="str">
        <f>IF(COUNTIFS(JournalActions[Joueur],$B82,JournalActions[Action],$E$68,JournalActions[Mi-temps],F$69)=0,"",COUNTIFS(JournalActions[Joueur],$B82,JournalActions[Action],$E$68,JournalActions[Mi-temps],F$69))</f>
        <v/>
      </c>
      <c r="H82" s="56" t="str">
        <f>IF(COUNTIFS(JournalActions[Joueur],$B82,JournalActions[Action],$H$68,JournalActions[Mi-temps],H$69)=0,"",COUNTIFS(JournalActions[Joueur],$B82,JournalActions[Action],$H$68,JournalActions[Mi-temps],H$69))</f>
        <v/>
      </c>
      <c r="I82" s="57" t="str">
        <f>IF(COUNTIFS(JournalActions[Joueur],$B82,JournalActions[Action],$H$68,JournalActions[Mi-temps],I$69)=0,"",COUNTIFS(JournalActions[Joueur],$B82,JournalActions[Action],$H$68,JournalActions[Mi-temps],I$69))</f>
        <v/>
      </c>
      <c r="J82" s="56" t="str">
        <f>IF(COUNTIFS(JournalActions[Joueur],$B82,JournalActions[Action],$J$68,JournalActions[Mi-temps],J$69)=0,"",COUNTIFS(JournalActions[Joueur],$B82,JournalActions[Action],$J$68,JournalActions[Mi-temps],J$69))</f>
        <v/>
      </c>
      <c r="K82" s="57" t="str">
        <f>IF(COUNTIFS(JournalActions[Joueur],$B82,JournalActions[Action],$J$68,JournalActions[Mi-temps],K$69)=0,"",COUNTIFS(JournalActions[Joueur],$B82,JournalActions[Action],$J$68,JournalActions[Mi-temps],K$69))</f>
        <v/>
      </c>
    </row>
    <row r="83" spans="2:11" s="25" customFormat="1">
      <c r="B83" s="56" t="str">
        <v>FITAN Maël</v>
      </c>
      <c r="C83" s="56">
        <f>IF(COUNTIFS(JournalActions[Joueur],$B83,JournalActions[Action],$C$68,JournalActions[Mi-temps],C$69)=0,"",COUNTIFS(JournalActions[Joueur],$B83,JournalActions[Action],$C$68,JournalActions[Mi-temps],C$69))</f>
        <v>3</v>
      </c>
      <c r="D83" s="57" t="str">
        <f>IF(COUNTIFS(JournalActions[Joueur],$B83,JournalActions[Action],$C$68,JournalActions[Mi-temps],D$69)=0,"",COUNTIFS(JournalActions[Joueur],$B83,JournalActions[Action],$C$68,JournalActions[Mi-temps],D$69))</f>
        <v/>
      </c>
      <c r="E83" s="56" t="str">
        <f>IF(COUNTIFS(JournalActions[Joueur],$B83,JournalActions[Action],$E$68,JournalActions[Mi-temps],E$69)=0,"",COUNTIFS(JournalActions[Joueur],$B83,JournalActions[Action],$E$68,JournalActions[Mi-temps],E$69))</f>
        <v/>
      </c>
      <c r="F83" s="57" t="str">
        <f>IF(COUNTIFS(JournalActions[Joueur],$B83,JournalActions[Action],$E$68,JournalActions[Mi-temps],F$69)=0,"",COUNTIFS(JournalActions[Joueur],$B83,JournalActions[Action],$E$68,JournalActions[Mi-temps],F$69))</f>
        <v/>
      </c>
      <c r="H83" s="56" t="str">
        <f>IF(COUNTIFS(JournalActions[Joueur],$B83,JournalActions[Action],$H$68,JournalActions[Mi-temps],H$69)=0,"",COUNTIFS(JournalActions[Joueur],$B83,JournalActions[Action],$H$68,JournalActions[Mi-temps],H$69))</f>
        <v/>
      </c>
      <c r="I83" s="57" t="str">
        <f>IF(COUNTIFS(JournalActions[Joueur],$B83,JournalActions[Action],$H$68,JournalActions[Mi-temps],I$69)=0,"",COUNTIFS(JournalActions[Joueur],$B83,JournalActions[Action],$H$68,JournalActions[Mi-temps],I$69))</f>
        <v/>
      </c>
      <c r="J83" s="56" t="str">
        <f>IF(COUNTIFS(JournalActions[Joueur],$B83,JournalActions[Action],$J$68,JournalActions[Mi-temps],J$69)=0,"",COUNTIFS(JournalActions[Joueur],$B83,JournalActions[Action],$J$68,JournalActions[Mi-temps],J$69))</f>
        <v/>
      </c>
      <c r="K83" s="57" t="str">
        <f>IF(COUNTIFS(JournalActions[Joueur],$B83,JournalActions[Action],$J$68,JournalActions[Mi-temps],K$69)=0,"",COUNTIFS(JournalActions[Joueur],$B83,JournalActions[Action],$J$68,JournalActions[Mi-temps],K$69))</f>
        <v/>
      </c>
    </row>
    <row r="84" spans="2:11" s="25" customFormat="1">
      <c r="B84" s="56" t="str">
        <v>GABRELLE Neot</v>
      </c>
      <c r="C84" s="56" t="str">
        <f>IF(COUNTIFS(JournalActions[Joueur],$B84,JournalActions[Action],$C$68,JournalActions[Mi-temps],C$69)=0,"",COUNTIFS(JournalActions[Joueur],$B84,JournalActions[Action],$C$68,JournalActions[Mi-temps],C$69))</f>
        <v/>
      </c>
      <c r="D84" s="57" t="str">
        <f>IF(COUNTIFS(JournalActions[Joueur],$B84,JournalActions[Action],$C$68,JournalActions[Mi-temps],D$69)=0,"",COUNTIFS(JournalActions[Joueur],$B84,JournalActions[Action],$C$68,JournalActions[Mi-temps],D$69))</f>
        <v/>
      </c>
      <c r="E84" s="56" t="str">
        <f>IF(COUNTIFS(JournalActions[Joueur],$B84,JournalActions[Action],$E$68,JournalActions[Mi-temps],E$69)=0,"",COUNTIFS(JournalActions[Joueur],$B84,JournalActions[Action],$E$68,JournalActions[Mi-temps],E$69))</f>
        <v/>
      </c>
      <c r="F84" s="57" t="str">
        <f>IF(COUNTIFS(JournalActions[Joueur],$B84,JournalActions[Action],$E$68,JournalActions[Mi-temps],F$69)=0,"",COUNTIFS(JournalActions[Joueur],$B84,JournalActions[Action],$E$68,JournalActions[Mi-temps],F$69))</f>
        <v/>
      </c>
      <c r="H84" s="56" t="str">
        <f>IF(COUNTIFS(JournalActions[Joueur],$B84,JournalActions[Action],$H$68,JournalActions[Mi-temps],H$69)=0,"",COUNTIFS(JournalActions[Joueur],$B84,JournalActions[Action],$H$68,JournalActions[Mi-temps],H$69))</f>
        <v/>
      </c>
      <c r="I84" s="57" t="str">
        <f>IF(COUNTIFS(JournalActions[Joueur],$B84,JournalActions[Action],$H$68,JournalActions[Mi-temps],I$69)=0,"",COUNTIFS(JournalActions[Joueur],$B84,JournalActions[Action],$H$68,JournalActions[Mi-temps],I$69))</f>
        <v/>
      </c>
      <c r="J84" s="56" t="str">
        <f>IF(COUNTIFS(JournalActions[Joueur],$B84,JournalActions[Action],$J$68,JournalActions[Mi-temps],J$69)=0,"",COUNTIFS(JournalActions[Joueur],$B84,JournalActions[Action],$J$68,JournalActions[Mi-temps],J$69))</f>
        <v/>
      </c>
      <c r="K84" s="57" t="str">
        <f>IF(COUNTIFS(JournalActions[Joueur],$B84,JournalActions[Action],$J$68,JournalActions[Mi-temps],K$69)=0,"",COUNTIFS(JournalActions[Joueur],$B84,JournalActions[Action],$J$68,JournalActions[Mi-temps],K$69))</f>
        <v/>
      </c>
    </row>
    <row r="85" spans="2:11" s="25" customFormat="1">
      <c r="B85" s="56" t="str">
        <v>GALLINARO Pierrick</v>
      </c>
      <c r="C85" s="56" t="str">
        <f>IF(COUNTIFS(JournalActions[Joueur],$B85,JournalActions[Action],$C$68,JournalActions[Mi-temps],C$69)=0,"",COUNTIFS(JournalActions[Joueur],$B85,JournalActions[Action],$C$68,JournalActions[Mi-temps],C$69))</f>
        <v/>
      </c>
      <c r="D85" s="57" t="str">
        <f>IF(COUNTIFS(JournalActions[Joueur],$B85,JournalActions[Action],$C$68,JournalActions[Mi-temps],D$69)=0,"",COUNTIFS(JournalActions[Joueur],$B85,JournalActions[Action],$C$68,JournalActions[Mi-temps],D$69))</f>
        <v/>
      </c>
      <c r="E85" s="56" t="str">
        <f>IF(COUNTIFS(JournalActions[Joueur],$B85,JournalActions[Action],$E$68,JournalActions[Mi-temps],E$69)=0,"",COUNTIFS(JournalActions[Joueur],$B85,JournalActions[Action],$E$68,JournalActions[Mi-temps],E$69))</f>
        <v/>
      </c>
      <c r="F85" s="57" t="str">
        <f>IF(COUNTIFS(JournalActions[Joueur],$B85,JournalActions[Action],$E$68,JournalActions[Mi-temps],F$69)=0,"",COUNTIFS(JournalActions[Joueur],$B85,JournalActions[Action],$E$68,JournalActions[Mi-temps],F$69))</f>
        <v/>
      </c>
      <c r="H85" s="56" t="str">
        <f>IF(COUNTIFS(JournalActions[Joueur],$B85,JournalActions[Action],$H$68,JournalActions[Mi-temps],H$69)=0,"",COUNTIFS(JournalActions[Joueur],$B85,JournalActions[Action],$H$68,JournalActions[Mi-temps],H$69))</f>
        <v/>
      </c>
      <c r="I85" s="57" t="str">
        <f>IF(COUNTIFS(JournalActions[Joueur],$B85,JournalActions[Action],$H$68,JournalActions[Mi-temps],I$69)=0,"",COUNTIFS(JournalActions[Joueur],$B85,JournalActions[Action],$H$68,JournalActions[Mi-temps],I$69))</f>
        <v/>
      </c>
      <c r="J85" s="56" t="str">
        <f>IF(COUNTIFS(JournalActions[Joueur],$B85,JournalActions[Action],$J$68,JournalActions[Mi-temps],J$69)=0,"",COUNTIFS(JournalActions[Joueur],$B85,JournalActions[Action],$J$68,JournalActions[Mi-temps],J$69))</f>
        <v/>
      </c>
      <c r="K85" s="57" t="str">
        <f>IF(COUNTIFS(JournalActions[Joueur],$B85,JournalActions[Action],$J$68,JournalActions[Mi-temps],K$69)=0,"",COUNTIFS(JournalActions[Joueur],$B85,JournalActions[Action],$J$68,JournalActions[Mi-temps],K$69))</f>
        <v/>
      </c>
    </row>
    <row r="86" spans="2:11" s="25" customFormat="1">
      <c r="B86" s="56" t="str">
        <v>HENNI Kevin</v>
      </c>
      <c r="C86" s="56" t="str">
        <f>IF(COUNTIFS(JournalActions[Joueur],$B86,JournalActions[Action],$C$68,JournalActions[Mi-temps],C$69)=0,"",COUNTIFS(JournalActions[Joueur],$B86,JournalActions[Action],$C$68,JournalActions[Mi-temps],C$69))</f>
        <v/>
      </c>
      <c r="D86" s="57" t="str">
        <f>IF(COUNTIFS(JournalActions[Joueur],$B86,JournalActions[Action],$C$68,JournalActions[Mi-temps],D$69)=0,"",COUNTIFS(JournalActions[Joueur],$B86,JournalActions[Action],$C$68,JournalActions[Mi-temps],D$69))</f>
        <v/>
      </c>
      <c r="E86" s="56" t="str">
        <f>IF(COUNTIFS(JournalActions[Joueur],$B86,JournalActions[Action],$E$68,JournalActions[Mi-temps],E$69)=0,"",COUNTIFS(JournalActions[Joueur],$B86,JournalActions[Action],$E$68,JournalActions[Mi-temps],E$69))</f>
        <v/>
      </c>
      <c r="F86" s="57" t="str">
        <f>IF(COUNTIFS(JournalActions[Joueur],$B86,JournalActions[Action],$E$68,JournalActions[Mi-temps],F$69)=0,"",COUNTIFS(JournalActions[Joueur],$B86,JournalActions[Action],$E$68,JournalActions[Mi-temps],F$69))</f>
        <v/>
      </c>
      <c r="H86" s="56" t="str">
        <f>IF(COUNTIFS(JournalActions[Joueur],$B86,JournalActions[Action],$H$68,JournalActions[Mi-temps],H$69)=0,"",COUNTIFS(JournalActions[Joueur],$B86,JournalActions[Action],$H$68,JournalActions[Mi-temps],H$69))</f>
        <v/>
      </c>
      <c r="I86" s="57" t="str">
        <f>IF(COUNTIFS(JournalActions[Joueur],$B86,JournalActions[Action],$H$68,JournalActions[Mi-temps],I$69)=0,"",COUNTIFS(JournalActions[Joueur],$B86,JournalActions[Action],$H$68,JournalActions[Mi-temps],I$69))</f>
        <v/>
      </c>
      <c r="J86" s="56" t="str">
        <f>IF(COUNTIFS(JournalActions[Joueur],$B86,JournalActions[Action],$J$68,JournalActions[Mi-temps],J$69)=0,"",COUNTIFS(JournalActions[Joueur],$B86,JournalActions[Action],$J$68,JournalActions[Mi-temps],J$69))</f>
        <v/>
      </c>
      <c r="K86" s="57" t="str">
        <f>IF(COUNTIFS(JournalActions[Joueur],$B86,JournalActions[Action],$J$68,JournalActions[Mi-temps],K$69)=0,"",COUNTIFS(JournalActions[Joueur],$B86,JournalActions[Action],$J$68,JournalActions[Mi-temps],K$69))</f>
        <v/>
      </c>
    </row>
    <row r="87" spans="2:11" s="25" customFormat="1">
      <c r="B87" s="56" t="str">
        <v>JOUNAUX Joris</v>
      </c>
      <c r="C87" s="56" t="str">
        <f>IF(COUNTIFS(JournalActions[Joueur],$B87,JournalActions[Action],$C$68,JournalActions[Mi-temps],C$69)=0,"",COUNTIFS(JournalActions[Joueur],$B87,JournalActions[Action],$C$68,JournalActions[Mi-temps],C$69))</f>
        <v/>
      </c>
      <c r="D87" s="57" t="str">
        <f>IF(COUNTIFS(JournalActions[Joueur],$B87,JournalActions[Action],$C$68,JournalActions[Mi-temps],D$69)=0,"",COUNTIFS(JournalActions[Joueur],$B87,JournalActions[Action],$C$68,JournalActions[Mi-temps],D$69))</f>
        <v/>
      </c>
      <c r="E87" s="56" t="str">
        <f>IF(COUNTIFS(JournalActions[Joueur],$B87,JournalActions[Action],$E$68,JournalActions[Mi-temps],E$69)=0,"",COUNTIFS(JournalActions[Joueur],$B87,JournalActions[Action],$E$68,JournalActions[Mi-temps],E$69))</f>
        <v/>
      </c>
      <c r="F87" s="57" t="str">
        <f>IF(COUNTIFS(JournalActions[Joueur],$B87,JournalActions[Action],$E$68,JournalActions[Mi-temps],F$69)=0,"",COUNTIFS(JournalActions[Joueur],$B87,JournalActions[Action],$E$68,JournalActions[Mi-temps],F$69))</f>
        <v/>
      </c>
      <c r="H87" s="56" t="str">
        <f>IF(COUNTIFS(JournalActions[Joueur],$B87,JournalActions[Action],$H$68,JournalActions[Mi-temps],H$69)=0,"",COUNTIFS(JournalActions[Joueur],$B87,JournalActions[Action],$H$68,JournalActions[Mi-temps],H$69))</f>
        <v/>
      </c>
      <c r="I87" s="57" t="str">
        <f>IF(COUNTIFS(JournalActions[Joueur],$B87,JournalActions[Action],$H$68,JournalActions[Mi-temps],I$69)=0,"",COUNTIFS(JournalActions[Joueur],$B87,JournalActions[Action],$H$68,JournalActions[Mi-temps],I$69))</f>
        <v/>
      </c>
      <c r="J87" s="56" t="str">
        <f>IF(COUNTIFS(JournalActions[Joueur],$B87,JournalActions[Action],$J$68,JournalActions[Mi-temps],J$69)=0,"",COUNTIFS(JournalActions[Joueur],$B87,JournalActions[Action],$J$68,JournalActions[Mi-temps],J$69))</f>
        <v/>
      </c>
      <c r="K87" s="57" t="str">
        <f>IF(COUNTIFS(JournalActions[Joueur],$B87,JournalActions[Action],$J$68,JournalActions[Mi-temps],K$69)=0,"",COUNTIFS(JournalActions[Joueur],$B87,JournalActions[Action],$J$68,JournalActions[Mi-temps],K$69))</f>
        <v/>
      </c>
    </row>
    <row r="88" spans="2:11" s="25" customFormat="1">
      <c r="B88" s="56" t="str">
        <v>KAPFER Bastien</v>
      </c>
      <c r="C88" s="56" t="str">
        <f>IF(COUNTIFS(JournalActions[Joueur],$B88,JournalActions[Action],$C$68,JournalActions[Mi-temps],C$69)=0,"",COUNTIFS(JournalActions[Joueur],$B88,JournalActions[Action],$C$68,JournalActions[Mi-temps],C$69))</f>
        <v/>
      </c>
      <c r="D88" s="57" t="str">
        <f>IF(COUNTIFS(JournalActions[Joueur],$B88,JournalActions[Action],$C$68,JournalActions[Mi-temps],D$69)=0,"",COUNTIFS(JournalActions[Joueur],$B88,JournalActions[Action],$C$68,JournalActions[Mi-temps],D$69))</f>
        <v/>
      </c>
      <c r="E88" s="56" t="str">
        <f>IF(COUNTIFS(JournalActions[Joueur],$B88,JournalActions[Action],$E$68,JournalActions[Mi-temps],E$69)=0,"",COUNTIFS(JournalActions[Joueur],$B88,JournalActions[Action],$E$68,JournalActions[Mi-temps],E$69))</f>
        <v/>
      </c>
      <c r="F88" s="57" t="str">
        <f>IF(COUNTIFS(JournalActions[Joueur],$B88,JournalActions[Action],$E$68,JournalActions[Mi-temps],F$69)=0,"",COUNTIFS(JournalActions[Joueur],$B88,JournalActions[Action],$E$68,JournalActions[Mi-temps],F$69))</f>
        <v/>
      </c>
      <c r="H88" s="56" t="str">
        <f>IF(COUNTIFS(JournalActions[Joueur],$B88,JournalActions[Action],$H$68,JournalActions[Mi-temps],H$69)=0,"",COUNTIFS(JournalActions[Joueur],$B88,JournalActions[Action],$H$68,JournalActions[Mi-temps],H$69))</f>
        <v/>
      </c>
      <c r="I88" s="57" t="str">
        <f>IF(COUNTIFS(JournalActions[Joueur],$B88,JournalActions[Action],$H$68,JournalActions[Mi-temps],I$69)=0,"",COUNTIFS(JournalActions[Joueur],$B88,JournalActions[Action],$H$68,JournalActions[Mi-temps],I$69))</f>
        <v/>
      </c>
      <c r="J88" s="56" t="str">
        <f>IF(COUNTIFS(JournalActions[Joueur],$B88,JournalActions[Action],$J$68,JournalActions[Mi-temps],J$69)=0,"",COUNTIFS(JournalActions[Joueur],$B88,JournalActions[Action],$J$68,JournalActions[Mi-temps],J$69))</f>
        <v/>
      </c>
      <c r="K88" s="57" t="str">
        <f>IF(COUNTIFS(JournalActions[Joueur],$B88,JournalActions[Action],$J$68,JournalActions[Mi-temps],K$69)=0,"",COUNTIFS(JournalActions[Joueur],$B88,JournalActions[Action],$J$68,JournalActions[Mi-temps],K$69))</f>
        <v/>
      </c>
    </row>
    <row r="89" spans="2:11" s="25" customFormat="1">
      <c r="B89" s="56" t="str">
        <v>LESPINASSE Lucas</v>
      </c>
      <c r="C89" s="56" t="str">
        <f>IF(COUNTIFS(JournalActions[Joueur],$B89,JournalActions[Action],$C$68,JournalActions[Mi-temps],C$69)=0,"",COUNTIFS(JournalActions[Joueur],$B89,JournalActions[Action],$C$68,JournalActions[Mi-temps],C$69))</f>
        <v/>
      </c>
      <c r="D89" s="57" t="str">
        <f>IF(COUNTIFS(JournalActions[Joueur],$B89,JournalActions[Action],$C$68,JournalActions[Mi-temps],D$69)=0,"",COUNTIFS(JournalActions[Joueur],$B89,JournalActions[Action],$C$68,JournalActions[Mi-temps],D$69))</f>
        <v/>
      </c>
      <c r="E89" s="56" t="str">
        <f>IF(COUNTIFS(JournalActions[Joueur],$B89,JournalActions[Action],$E$68,JournalActions[Mi-temps],E$69)=0,"",COUNTIFS(JournalActions[Joueur],$B89,JournalActions[Action],$E$68,JournalActions[Mi-temps],E$69))</f>
        <v/>
      </c>
      <c r="F89" s="57" t="str">
        <f>IF(COUNTIFS(JournalActions[Joueur],$B89,JournalActions[Action],$E$68,JournalActions[Mi-temps],F$69)=0,"",COUNTIFS(JournalActions[Joueur],$B89,JournalActions[Action],$E$68,JournalActions[Mi-temps],F$69))</f>
        <v/>
      </c>
      <c r="H89" s="56" t="str">
        <f>IF(COUNTIFS(JournalActions[Joueur],$B89,JournalActions[Action],$H$68,JournalActions[Mi-temps],H$69)=0,"",COUNTIFS(JournalActions[Joueur],$B89,JournalActions[Action],$H$68,JournalActions[Mi-temps],H$69))</f>
        <v/>
      </c>
      <c r="I89" s="57" t="str">
        <f>IF(COUNTIFS(JournalActions[Joueur],$B89,JournalActions[Action],$H$68,JournalActions[Mi-temps],I$69)=0,"",COUNTIFS(JournalActions[Joueur],$B89,JournalActions[Action],$H$68,JournalActions[Mi-temps],I$69))</f>
        <v/>
      </c>
      <c r="J89" s="56" t="str">
        <f>IF(COUNTIFS(JournalActions[Joueur],$B89,JournalActions[Action],$J$68,JournalActions[Mi-temps],J$69)=0,"",COUNTIFS(JournalActions[Joueur],$B89,JournalActions[Action],$J$68,JournalActions[Mi-temps],J$69))</f>
        <v/>
      </c>
      <c r="K89" s="57" t="str">
        <f>IF(COUNTIFS(JournalActions[Joueur],$B89,JournalActions[Action],$J$68,JournalActions[Mi-temps],K$69)=0,"",COUNTIFS(JournalActions[Joueur],$B89,JournalActions[Action],$J$68,JournalActions[Mi-temps],K$69))</f>
        <v/>
      </c>
    </row>
    <row r="90" spans="2:11" s="25" customFormat="1">
      <c r="B90" s="56" t="str">
        <v>LOUREIRO LABAZUY Antonio</v>
      </c>
      <c r="C90" s="56" t="str">
        <f>IF(COUNTIFS(JournalActions[Joueur],$B90,JournalActions[Action],$C$68,JournalActions[Mi-temps],C$69)=0,"",COUNTIFS(JournalActions[Joueur],$B90,JournalActions[Action],$C$68,JournalActions[Mi-temps],C$69))</f>
        <v/>
      </c>
      <c r="D90" s="57" t="str">
        <f>IF(COUNTIFS(JournalActions[Joueur],$B90,JournalActions[Action],$C$68,JournalActions[Mi-temps],D$69)=0,"",COUNTIFS(JournalActions[Joueur],$B90,JournalActions[Action],$C$68,JournalActions[Mi-temps],D$69))</f>
        <v/>
      </c>
      <c r="E90" s="56" t="str">
        <f>IF(COUNTIFS(JournalActions[Joueur],$B90,JournalActions[Action],$E$68,JournalActions[Mi-temps],E$69)=0,"",COUNTIFS(JournalActions[Joueur],$B90,JournalActions[Action],$E$68,JournalActions[Mi-temps],E$69))</f>
        <v/>
      </c>
      <c r="F90" s="57" t="str">
        <f>IF(COUNTIFS(JournalActions[Joueur],$B90,JournalActions[Action],$E$68,JournalActions[Mi-temps],F$69)=0,"",COUNTIFS(JournalActions[Joueur],$B90,JournalActions[Action],$E$68,JournalActions[Mi-temps],F$69))</f>
        <v/>
      </c>
      <c r="H90" s="56" t="str">
        <f>IF(COUNTIFS(JournalActions[Joueur],$B90,JournalActions[Action],$H$68,JournalActions[Mi-temps],H$69)=0,"",COUNTIFS(JournalActions[Joueur],$B90,JournalActions[Action],$H$68,JournalActions[Mi-temps],H$69))</f>
        <v/>
      </c>
      <c r="I90" s="57" t="str">
        <f>IF(COUNTIFS(JournalActions[Joueur],$B90,JournalActions[Action],$H$68,JournalActions[Mi-temps],I$69)=0,"",COUNTIFS(JournalActions[Joueur],$B90,JournalActions[Action],$H$68,JournalActions[Mi-temps],I$69))</f>
        <v/>
      </c>
      <c r="J90" s="56" t="str">
        <f>IF(COUNTIFS(JournalActions[Joueur],$B90,JournalActions[Action],$J$68,JournalActions[Mi-temps],J$69)=0,"",COUNTIFS(JournalActions[Joueur],$B90,JournalActions[Action],$J$68,JournalActions[Mi-temps],J$69))</f>
        <v/>
      </c>
      <c r="K90" s="57" t="str">
        <f>IF(COUNTIFS(JournalActions[Joueur],$B90,JournalActions[Action],$J$68,JournalActions[Mi-temps],K$69)=0,"",COUNTIFS(JournalActions[Joueur],$B90,JournalActions[Action],$J$68,JournalActions[Mi-temps],K$69))</f>
        <v/>
      </c>
    </row>
    <row r="91" spans="2:11" s="25" customFormat="1">
      <c r="B91" s="56" t="str">
        <v>MOUDENS Alexis</v>
      </c>
      <c r="C91" s="56" t="str">
        <f>IF(COUNTIFS(JournalActions[Joueur],$B91,JournalActions[Action],$C$68,JournalActions[Mi-temps],C$69)=0,"",COUNTIFS(JournalActions[Joueur],$B91,JournalActions[Action],$C$68,JournalActions[Mi-temps],C$69))</f>
        <v/>
      </c>
      <c r="D91" s="57" t="str">
        <f>IF(COUNTIFS(JournalActions[Joueur],$B91,JournalActions[Action],$C$68,JournalActions[Mi-temps],D$69)=0,"",COUNTIFS(JournalActions[Joueur],$B91,JournalActions[Action],$C$68,JournalActions[Mi-temps],D$69))</f>
        <v/>
      </c>
      <c r="E91" s="56" t="str">
        <f>IF(COUNTIFS(JournalActions[Joueur],$B91,JournalActions[Action],$E$68,JournalActions[Mi-temps],E$69)=0,"",COUNTIFS(JournalActions[Joueur],$B91,JournalActions[Action],$E$68,JournalActions[Mi-temps],E$69))</f>
        <v/>
      </c>
      <c r="F91" s="57" t="str">
        <f>IF(COUNTIFS(JournalActions[Joueur],$B91,JournalActions[Action],$E$68,JournalActions[Mi-temps],F$69)=0,"",COUNTIFS(JournalActions[Joueur],$B91,JournalActions[Action],$E$68,JournalActions[Mi-temps],F$69))</f>
        <v/>
      </c>
      <c r="H91" s="56" t="str">
        <f>IF(COUNTIFS(JournalActions[Joueur],$B91,JournalActions[Action],$H$68,JournalActions[Mi-temps],H$69)=0,"",COUNTIFS(JournalActions[Joueur],$B91,JournalActions[Action],$H$68,JournalActions[Mi-temps],H$69))</f>
        <v/>
      </c>
      <c r="I91" s="57" t="str">
        <f>IF(COUNTIFS(JournalActions[Joueur],$B91,JournalActions[Action],$H$68,JournalActions[Mi-temps],I$69)=0,"",COUNTIFS(JournalActions[Joueur],$B91,JournalActions[Action],$H$68,JournalActions[Mi-temps],I$69))</f>
        <v/>
      </c>
      <c r="J91" s="56" t="str">
        <f>IF(COUNTIFS(JournalActions[Joueur],$B91,JournalActions[Action],$J$68,JournalActions[Mi-temps],J$69)=0,"",COUNTIFS(JournalActions[Joueur],$B91,JournalActions[Action],$J$68,JournalActions[Mi-temps],J$69))</f>
        <v/>
      </c>
      <c r="K91" s="57" t="str">
        <f>IF(COUNTIFS(JournalActions[Joueur],$B91,JournalActions[Action],$J$68,JournalActions[Mi-temps],K$69)=0,"",COUNTIFS(JournalActions[Joueur],$B91,JournalActions[Action],$J$68,JournalActions[Mi-temps],K$69))</f>
        <v/>
      </c>
    </row>
    <row r="92" spans="2:11" s="25" customFormat="1">
      <c r="B92" s="56" t="str">
        <v>POUYADOU Julien</v>
      </c>
      <c r="C92" s="56"/>
      <c r="D92" s="57"/>
      <c r="E92" s="56" t="str">
        <f>IF(COUNTIFS(JournalActions[Joueur],$B92,JournalActions[Action],$E$68,JournalActions[Mi-temps],E$69)=0,"",COUNTIFS(JournalActions[Joueur],$B92,JournalActions[Action],$E$68,JournalActions[Mi-temps],E$69))</f>
        <v/>
      </c>
      <c r="F92" s="57" t="str">
        <f>IF(COUNTIFS(JournalActions[Joueur],$B92,JournalActions[Action],$E$68,JournalActions[Mi-temps],F$69)=0,"",COUNTIFS(JournalActions[Joueur],$B92,JournalActions[Action],$E$68,JournalActions[Mi-temps],F$69))</f>
        <v/>
      </c>
      <c r="H92" s="56" t="str">
        <f>IF(COUNTIFS(JournalActions[Joueur],$B92,JournalActions[Action],$H$68,JournalActions[Mi-temps],H$69)=0,"",COUNTIFS(JournalActions[Joueur],$B92,JournalActions[Action],$H$68,JournalActions[Mi-temps],H$69))</f>
        <v/>
      </c>
      <c r="I92" s="57" t="str">
        <f>IF(COUNTIFS(JournalActions[Joueur],$B92,JournalActions[Action],$H$68,JournalActions[Mi-temps],I$69)=0,"",COUNTIFS(JournalActions[Joueur],$B92,JournalActions[Action],$H$68,JournalActions[Mi-temps],I$69))</f>
        <v/>
      </c>
      <c r="J92" s="56" t="str">
        <f>IF(COUNTIFS(JournalActions[Joueur],$B92,JournalActions[Action],$J$68,JournalActions[Mi-temps],J$69)=0,"",COUNTIFS(JournalActions[Joueur],$B92,JournalActions[Action],$J$68,JournalActions[Mi-temps],J$69))</f>
        <v/>
      </c>
      <c r="K92" s="57" t="str">
        <f>IF(COUNTIFS(JournalActions[Joueur],$B92,JournalActions[Action],$J$68,JournalActions[Mi-temps],K$69)=0,"",COUNTIFS(JournalActions[Joueur],$B92,JournalActions[Action],$J$68,JournalActions[Mi-temps],K$69))</f>
        <v/>
      </c>
    </row>
    <row r="93" spans="2:11" s="25" customFormat="1">
      <c r="B93" s="56" t="str">
        <v>RECURT Louis</v>
      </c>
      <c r="C93" s="56"/>
      <c r="D93" s="57"/>
      <c r="E93" s="56" t="str">
        <f>IF(COUNTIFS(JournalActions[Joueur],$B93,JournalActions[Action],$E$68,JournalActions[Mi-temps],E$69)=0,"",COUNTIFS(JournalActions[Joueur],$B93,JournalActions[Action],$E$68,JournalActions[Mi-temps],E$69))</f>
        <v/>
      </c>
      <c r="F93" s="57" t="str">
        <f>IF(COUNTIFS(JournalActions[Joueur],$B93,JournalActions[Action],$E$68,JournalActions[Mi-temps],F$69)=0,"",COUNTIFS(JournalActions[Joueur],$B93,JournalActions[Action],$E$68,JournalActions[Mi-temps],F$69))</f>
        <v/>
      </c>
      <c r="H93" s="56" t="str">
        <f>IF(COUNTIFS(JournalActions[Joueur],$B93,JournalActions[Action],$H$68,JournalActions[Mi-temps],H$69)=0,"",COUNTIFS(JournalActions[Joueur],$B93,JournalActions[Action],$H$68,JournalActions[Mi-temps],H$69))</f>
        <v/>
      </c>
      <c r="I93" s="57" t="str">
        <f>IF(COUNTIFS(JournalActions[Joueur],$B93,JournalActions[Action],$H$68,JournalActions[Mi-temps],I$69)=0,"",COUNTIFS(JournalActions[Joueur],$B93,JournalActions[Action],$H$68,JournalActions[Mi-temps],I$69))</f>
        <v/>
      </c>
      <c r="J93" s="56" t="str">
        <f>IF(COUNTIFS(JournalActions[Joueur],$B93,JournalActions[Action],$J$68,JournalActions[Mi-temps],J$69)=0,"",COUNTIFS(JournalActions[Joueur],$B93,JournalActions[Action],$J$68,JournalActions[Mi-temps],J$69))</f>
        <v/>
      </c>
      <c r="K93" s="57" t="str">
        <f>IF(COUNTIFS(JournalActions[Joueur],$B93,JournalActions[Action],$J$68,JournalActions[Mi-temps],K$69)=0,"",COUNTIFS(JournalActions[Joueur],$B93,JournalActions[Action],$J$68,JournalActions[Mi-temps],K$69))</f>
        <v/>
      </c>
    </row>
    <row r="94" spans="2:11" s="25" customFormat="1">
      <c r="B94" s="56" t="str">
        <v>RICHIARDONNE Gregory</v>
      </c>
      <c r="C94" s="56"/>
      <c r="D94" s="57"/>
      <c r="E94" s="56" t="str">
        <f>IF(COUNTIFS(JournalActions[Joueur],$B94,JournalActions[Action],$E$68,JournalActions[Mi-temps],E$69)=0,"",COUNTIFS(JournalActions[Joueur],$B94,JournalActions[Action],$E$68,JournalActions[Mi-temps],E$69))</f>
        <v/>
      </c>
      <c r="F94" s="57" t="str">
        <f>IF(COUNTIFS(JournalActions[Joueur],$B94,JournalActions[Action],$E$68,JournalActions[Mi-temps],F$69)=0,"",COUNTIFS(JournalActions[Joueur],$B94,JournalActions[Action],$E$68,JournalActions[Mi-temps],F$69))</f>
        <v/>
      </c>
      <c r="H94" s="56" t="str">
        <f>IF(COUNTIFS(JournalActions[Joueur],$B94,JournalActions[Action],$H$68,JournalActions[Mi-temps],H$69)=0,"",COUNTIFS(JournalActions[Joueur],$B94,JournalActions[Action],$H$68,JournalActions[Mi-temps],H$69))</f>
        <v/>
      </c>
      <c r="I94" s="57" t="str">
        <f>IF(COUNTIFS(JournalActions[Joueur],$B94,JournalActions[Action],$H$68,JournalActions[Mi-temps],I$69)=0,"",COUNTIFS(JournalActions[Joueur],$B94,JournalActions[Action],$H$68,JournalActions[Mi-temps],I$69))</f>
        <v/>
      </c>
      <c r="J94" s="56" t="str">
        <f>IF(COUNTIFS(JournalActions[Joueur],$B94,JournalActions[Action],$J$68,JournalActions[Mi-temps],J$69)=0,"",COUNTIFS(JournalActions[Joueur],$B94,JournalActions[Action],$J$68,JournalActions[Mi-temps],J$69))</f>
        <v/>
      </c>
      <c r="K94" s="57" t="str">
        <f>IF(COUNTIFS(JournalActions[Joueur],$B94,JournalActions[Action],$J$68,JournalActions[Mi-temps],K$69)=0,"",COUNTIFS(JournalActions[Joueur],$B94,JournalActions[Action],$J$68,JournalActions[Mi-temps],K$69))</f>
        <v/>
      </c>
    </row>
    <row r="95" spans="2:11" s="25" customFormat="1">
      <c r="B95" s="56" t="str">
        <v>ROUSSEL Mathis</v>
      </c>
      <c r="C95" s="56"/>
      <c r="D95" s="57"/>
      <c r="E95" s="56" t="str">
        <f>IF(COUNTIFS(JournalActions[Joueur],$B95,JournalActions[Action],$E$68,JournalActions[Mi-temps],E$69)=0,"",COUNTIFS(JournalActions[Joueur],$B95,JournalActions[Action],$E$68,JournalActions[Mi-temps],E$69))</f>
        <v/>
      </c>
      <c r="F95" s="57" t="str">
        <f>IF(COUNTIFS(JournalActions[Joueur],$B95,JournalActions[Action],$E$68,JournalActions[Mi-temps],F$69)=0,"",COUNTIFS(JournalActions[Joueur],$B95,JournalActions[Action],$E$68,JournalActions[Mi-temps],F$69))</f>
        <v/>
      </c>
      <c r="H95" s="56" t="str">
        <f>IF(COUNTIFS(JournalActions[Joueur],$B95,JournalActions[Action],$H$68,JournalActions[Mi-temps],H$69)=0,"",COUNTIFS(JournalActions[Joueur],$B95,JournalActions[Action],$H$68,JournalActions[Mi-temps],H$69))</f>
        <v/>
      </c>
      <c r="I95" s="57" t="str">
        <f>IF(COUNTIFS(JournalActions[Joueur],$B95,JournalActions[Action],$H$68,JournalActions[Mi-temps],I$69)=0,"",COUNTIFS(JournalActions[Joueur],$B95,JournalActions[Action],$H$68,JournalActions[Mi-temps],I$69))</f>
        <v/>
      </c>
      <c r="J95" s="56" t="str">
        <f>IF(COUNTIFS(JournalActions[Joueur],$B95,JournalActions[Action],$J$68,JournalActions[Mi-temps],J$69)=0,"",COUNTIFS(JournalActions[Joueur],$B95,JournalActions[Action],$J$68,JournalActions[Mi-temps],J$69))</f>
        <v/>
      </c>
      <c r="K95" s="57" t="str">
        <f>IF(COUNTIFS(JournalActions[Joueur],$B95,JournalActions[Action],$J$68,JournalActions[Mi-temps],K$69)=0,"",COUNTIFS(JournalActions[Joueur],$B95,JournalActions[Action],$J$68,JournalActions[Mi-temps],K$69))</f>
        <v/>
      </c>
    </row>
    <row r="96" spans="2:11" s="25" customFormat="1">
      <c r="B96" s="56" t="str">
        <v>SALLES Fabien</v>
      </c>
      <c r="C96" s="56"/>
      <c r="D96" s="57"/>
      <c r="E96" s="56" t="str">
        <f>IF(COUNTIFS(JournalActions[Joueur],$B96,JournalActions[Action],$E$68,JournalActions[Mi-temps],E$69)=0,"",COUNTIFS(JournalActions[Joueur],$B96,JournalActions[Action],$E$68,JournalActions[Mi-temps],E$69))</f>
        <v/>
      </c>
      <c r="F96" s="57" t="str">
        <f>IF(COUNTIFS(JournalActions[Joueur],$B96,JournalActions[Action],$E$68,JournalActions[Mi-temps],F$69)=0,"",COUNTIFS(JournalActions[Joueur],$B96,JournalActions[Action],$E$68,JournalActions[Mi-temps],F$69))</f>
        <v/>
      </c>
      <c r="H96" s="56" t="str">
        <f>IF(COUNTIFS(JournalActions[Joueur],$B96,JournalActions[Action],$H$68,JournalActions[Mi-temps],H$69)=0,"",COUNTIFS(JournalActions[Joueur],$B96,JournalActions[Action],$H$68,JournalActions[Mi-temps],H$69))</f>
        <v/>
      </c>
      <c r="I96" s="57" t="str">
        <f>IF(COUNTIFS(JournalActions[Joueur],$B96,JournalActions[Action],$H$68,JournalActions[Mi-temps],I$69)=0,"",COUNTIFS(JournalActions[Joueur],$B96,JournalActions[Action],$H$68,JournalActions[Mi-temps],I$69))</f>
        <v/>
      </c>
      <c r="J96" s="56" t="str">
        <f>IF(COUNTIFS(JournalActions[Joueur],$B96,JournalActions[Action],$J$68,JournalActions[Mi-temps],J$69)=0,"",COUNTIFS(JournalActions[Joueur],$B96,JournalActions[Action],$J$68,JournalActions[Mi-temps],J$69))</f>
        <v/>
      </c>
      <c r="K96" s="57" t="str">
        <f>IF(COUNTIFS(JournalActions[Joueur],$B96,JournalActions[Action],$J$68,JournalActions[Mi-temps],K$69)=0,"",COUNTIFS(JournalActions[Joueur],$B96,JournalActions[Action],$J$68,JournalActions[Mi-temps],K$69))</f>
        <v/>
      </c>
    </row>
    <row r="97" spans="2:11" s="25" customFormat="1">
      <c r="B97" s="56" t="str">
        <v>SOUVILLE Quentin</v>
      </c>
      <c r="C97" s="56"/>
      <c r="D97" s="57"/>
      <c r="E97" s="56" t="str">
        <f>IF(COUNTIFS(JournalActions[Joueur],$B97,JournalActions[Action],$E$68,JournalActions[Mi-temps],E$69)=0,"",COUNTIFS(JournalActions[Joueur],$B97,JournalActions[Action],$E$68,JournalActions[Mi-temps],E$69))</f>
        <v/>
      </c>
      <c r="F97" s="57" t="str">
        <f>IF(COUNTIFS(JournalActions[Joueur],$B97,JournalActions[Action],$E$68,JournalActions[Mi-temps],F$69)=0,"",COUNTIFS(JournalActions[Joueur],$B97,JournalActions[Action],$E$68,JournalActions[Mi-temps],F$69))</f>
        <v/>
      </c>
      <c r="H97" s="56" t="str">
        <f>IF(COUNTIFS(JournalActions[Joueur],$B97,JournalActions[Action],$H$68,JournalActions[Mi-temps],H$69)=0,"",COUNTIFS(JournalActions[Joueur],$B97,JournalActions[Action],$H$68,JournalActions[Mi-temps],H$69))</f>
        <v/>
      </c>
      <c r="I97" s="57" t="str">
        <f>IF(COUNTIFS(JournalActions[Joueur],$B97,JournalActions[Action],$H$68,JournalActions[Mi-temps],I$69)=0,"",COUNTIFS(JournalActions[Joueur],$B97,JournalActions[Action],$H$68,JournalActions[Mi-temps],I$69))</f>
        <v/>
      </c>
      <c r="J97" s="56" t="str">
        <f>IF(COUNTIFS(JournalActions[Joueur],$B97,JournalActions[Action],$J$68,JournalActions[Mi-temps],J$69)=0,"",COUNTIFS(JournalActions[Joueur],$B97,JournalActions[Action],$J$68,JournalActions[Mi-temps],J$69))</f>
        <v/>
      </c>
      <c r="K97" s="57" t="str">
        <f>IF(COUNTIFS(JournalActions[Joueur],$B97,JournalActions[Action],$J$68,JournalActions[Mi-temps],K$69)=0,"",COUNTIFS(JournalActions[Joueur],$B97,JournalActions[Action],$J$68,JournalActions[Mi-temps],K$69))</f>
        <v/>
      </c>
    </row>
    <row r="98" spans="2:11" s="25" customFormat="1">
      <c r="B98" s="56" t="str">
        <v>VANDEKERKOFF Aymeric</v>
      </c>
      <c r="C98" s="56" t="str">
        <f>IF(COUNTIFS(JournalActions[Joueur],$B98,JournalActions[Action],$C$68,JournalActions[Mi-temps],C$69)=0,"",COUNTIFS(JournalActions[Joueur],$B98,JournalActions[Action],$C$68,JournalActions[Mi-temps],C$69))</f>
        <v/>
      </c>
      <c r="D98" s="57" t="str">
        <f>IF(COUNTIFS(JournalActions[Joueur],$B98,JournalActions[Action],$C$68,JournalActions[Mi-temps],D$69)=0,"",COUNTIFS(JournalActions[Joueur],$B98,JournalActions[Action],$C$68,JournalActions[Mi-temps],D$69))</f>
        <v/>
      </c>
      <c r="E98" s="56" t="str">
        <f>IF(COUNTIFS(JournalActions[Joueur],$B98,JournalActions[Action],$E$68,JournalActions[Mi-temps],E$69)=0,"",COUNTIFS(JournalActions[Joueur],$B98,JournalActions[Action],$E$68,JournalActions[Mi-temps],E$69))</f>
        <v/>
      </c>
      <c r="F98" s="57" t="str">
        <f>IF(COUNTIFS(JournalActions[Joueur],$B98,JournalActions[Action],$E$68,JournalActions[Mi-temps],F$69)=0,"",COUNTIFS(JournalActions[Joueur],$B98,JournalActions[Action],$E$68,JournalActions[Mi-temps],F$69))</f>
        <v/>
      </c>
      <c r="H98" s="56" t="str">
        <f>IF(COUNTIFS(JournalActions[Joueur],$B98,JournalActions[Action],$H$68,JournalActions[Mi-temps],H$69)=0,"",COUNTIFS(JournalActions[Joueur],$B98,JournalActions[Action],$H$68,JournalActions[Mi-temps],H$69))</f>
        <v/>
      </c>
      <c r="I98" s="57" t="str">
        <f>IF(COUNTIFS(JournalActions[Joueur],$B98,JournalActions[Action],$H$68,JournalActions[Mi-temps],I$69)=0,"",COUNTIFS(JournalActions[Joueur],$B98,JournalActions[Action],$H$68,JournalActions[Mi-temps],I$69))</f>
        <v/>
      </c>
      <c r="J98" s="56" t="str">
        <f>IF(COUNTIFS(JournalActions[Joueur],$B98,JournalActions[Action],$J$68,JournalActions[Mi-temps],J$69)=0,"",COUNTIFS(JournalActions[Joueur],$B98,JournalActions[Action],$J$68,JournalActions[Mi-temps],J$69))</f>
        <v/>
      </c>
      <c r="K98" s="57" t="str">
        <f>IF(COUNTIFS(JournalActions[Joueur],$B98,JournalActions[Action],$J$68,JournalActions[Mi-temps],K$69)=0,"",COUNTIFS(JournalActions[Joueur],$B98,JournalActions[Action],$J$68,JournalActions[Mi-temps],K$69))</f>
        <v/>
      </c>
    </row>
    <row r="99" spans="2:11" s="25" customFormat="1">
      <c r="B99" s="56"/>
      <c r="C99" s="56" t="str">
        <f>IF(COUNTIFS(JournalActions[Joueur],$B99,JournalActions[Action],$C$68,JournalActions[Mi-temps],C$69)=0,"",COUNTIFS(JournalActions[Joueur],$B99,JournalActions[Action],$C$68,JournalActions[Mi-temps],C$69))</f>
        <v/>
      </c>
      <c r="D99" s="57" t="str">
        <f>IF(COUNTIFS(JournalActions[Joueur],$B99,JournalActions[Action],$C$68,JournalActions[Mi-temps],D$69)=0,"",COUNTIFS(JournalActions[Joueur],$B99,JournalActions[Action],$C$68,JournalActions[Mi-temps],D$69))</f>
        <v/>
      </c>
      <c r="E99" s="109" t="str">
        <f>IF(COUNTIFS(JournalActions[Joueur],$B99,JournalActions[Action],$E$68,JournalActions[Mi-temps],E$69)=0,"",COUNTIFS(JournalActions[Joueur],$B99,JournalActions[Action],$E$68,JournalActions[Mi-temps],E$69))</f>
        <v/>
      </c>
      <c r="F99" s="57" t="str">
        <f>IF(COUNTIFS(JournalActions[Joueur],$B99,JournalActions[Action],$E$68,JournalActions[Mi-temps],F$69)=0,"",COUNTIFS(JournalActions[Joueur],$B99,JournalActions[Action],$E$68,JournalActions[Mi-temps],F$69))</f>
        <v/>
      </c>
      <c r="H99" s="56" t="str">
        <f>IF(COUNTIFS(JournalActions[Joueur],$B99,JournalActions[Action],$H$68,JournalActions[Mi-temps],H$69)=0,"",COUNTIFS(JournalActions[Joueur],$B99,JournalActions[Action],$H$68,JournalActions[Mi-temps],H$69))</f>
        <v/>
      </c>
      <c r="I99" s="57" t="str">
        <f>IF(COUNTIFS(JournalActions[Joueur],$B99,JournalActions[Action],$H$68,JournalActions[Mi-temps],I$69)=0,"",COUNTIFS(JournalActions[Joueur],$B99,JournalActions[Action],$H$68,JournalActions[Mi-temps],I$69))</f>
        <v/>
      </c>
      <c r="J99" s="56" t="str">
        <f>IF(COUNTIFS(JournalActions[Joueur],$B99,JournalActions[Action],$J$68,JournalActions[Mi-temps],J$69)=0,"",COUNTIFS(JournalActions[Joueur],$B99,JournalActions[Action],$J$68,JournalActions[Mi-temps],J$69))</f>
        <v/>
      </c>
      <c r="K99" s="57" t="str">
        <f>IF(COUNTIFS(JournalActions[Joueur],$B99,JournalActions[Action],$J$68,JournalActions[Mi-temps],K$69)=0,"",COUNTIFS(JournalActions[Joueur],$B99,JournalActions[Action],$J$68,JournalActions[Mi-temps],K$69))</f>
        <v/>
      </c>
    </row>
    <row r="100" spans="2:11" s="25" customFormat="1">
      <c r="B100" s="54" t="s">
        <v>92</v>
      </c>
      <c r="C100" s="56" t="str">
        <f>IF(COUNTIFS(JournalActions[Joueur],$B100,JournalActions[Action],$C$68,JournalActions[Mi-temps],C$69)=0,"",COUNTIFS(JournalActions[Joueur],$B100,JournalActions[Action],$C$68,JournalActions[Mi-temps],C$69))</f>
        <v/>
      </c>
      <c r="D100" s="57" t="str">
        <f>IF(COUNTIFS(JournalActions[Joueur],$B100,JournalActions[Action],$C$68,JournalActions[Mi-temps],D$69)=0,"",COUNTIFS(JournalActions[Joueur],$B100,JournalActions[Action],$C$68,JournalActions[Mi-temps],D$69))</f>
        <v/>
      </c>
      <c r="E100" s="56" t="str">
        <f>IF(COUNTIFS(JournalActions[Joueur],$B100,JournalActions[Action],$E$68,JournalActions[Mi-temps],E$69)=0,"",COUNTIFS(JournalActions[Joueur],$B100,JournalActions[Action],$E$68,JournalActions[Mi-temps],E$69))</f>
        <v/>
      </c>
      <c r="F100" s="57" t="str">
        <f>IF(COUNTIFS(JournalActions[Joueur],$B100,JournalActions[Action],$E$68,JournalActions[Mi-temps],F$69)=0,"",COUNTIFS(JournalActions[Joueur],$B100,JournalActions[Action],$E$68,JournalActions[Mi-temps],F$69))</f>
        <v/>
      </c>
      <c r="H100" s="56" t="str">
        <f>IF(COUNTIFS(JournalActions[Joueur],$B100,JournalActions[Action],$H$68,JournalActions[Mi-temps],H$69)=0,"",COUNTIFS(JournalActions[Joueur],$B100,JournalActions[Action],$H$68,JournalActions[Mi-temps],H$69))</f>
        <v/>
      </c>
      <c r="I100" s="57">
        <f>IF(COUNTIFS(JournalActions[Joueur],$B100,JournalActions[Action],$H$68,JournalActions[Mi-temps],I$69)=0,"",COUNTIFS(JournalActions[Joueur],$B100,JournalActions[Action],$H$68,JournalActions[Mi-temps],I$69))</f>
        <v>1</v>
      </c>
      <c r="J100" s="56" t="str">
        <f>IF(COUNTIFS(JournalActions[Joueur],$B100,JournalActions[Action],$J$68,JournalActions[Mi-temps],J$69)=0,"",COUNTIFS(JournalActions[Joueur],$B100,JournalActions[Action],$J$68,JournalActions[Mi-temps],J$69))</f>
        <v/>
      </c>
      <c r="K100" s="57" t="str">
        <f>IF(COUNTIFS(JournalActions[Joueur],$B100,JournalActions[Action],$J$68,JournalActions[Mi-temps],K$69)=0,"",COUNTIFS(JournalActions[Joueur],$B100,JournalActions[Action],$J$68,JournalActions[Mi-temps],K$69))</f>
        <v/>
      </c>
    </row>
    <row r="101" spans="2:11" s="25" customFormat="1">
      <c r="B101" s="55" t="s">
        <v>82</v>
      </c>
      <c r="C101" s="56" t="str">
        <f>IF(COUNTIFS(JournalActions[Joueur],$B101,JournalActions[Action],$C$68,JournalActions[Mi-temps],C$69)=0,"",COUNTIFS(JournalActions[Joueur],$B101,JournalActions[Action],$C$68,JournalActions[Mi-temps],C$69))</f>
        <v/>
      </c>
      <c r="D101" s="57" t="str">
        <f>IF(COUNTIFS(JournalActions[Joueur],$B101,JournalActions[Action],$C$68,JournalActions[Mi-temps],D$69)=0,"",COUNTIFS(JournalActions[Joueur],$B101,JournalActions[Action],$C$68,JournalActions[Mi-temps],D$69))</f>
        <v/>
      </c>
      <c r="E101" s="56" t="str">
        <f>IF(COUNTIFS(JournalActions[Joueur],$B101,JournalActions[Action],$E$68,JournalActions[Mi-temps],E$69)=0,"",COUNTIFS(JournalActions[Joueur],$B101,JournalActions[Action],$E$68,JournalActions[Mi-temps],E$69))</f>
        <v/>
      </c>
      <c r="F101" s="57" t="str">
        <f>IF(COUNTIFS(JournalActions[Joueur],$B101,JournalActions[Action],$E$68,JournalActions[Mi-temps],F$69)=0,"",COUNTIFS(JournalActions[Joueur],$B101,JournalActions[Action],$E$68,JournalActions[Mi-temps],F$69))</f>
        <v/>
      </c>
      <c r="H101" s="56" t="str">
        <f>IF(COUNTIFS(JournalActions[Joueur],$B101,JournalActions[Action],$H$68,JournalActions[Mi-temps],H$69)=0,"",COUNTIFS(JournalActions[Joueur],$B101,JournalActions[Action],$H$68,JournalActions[Mi-temps],H$69))</f>
        <v/>
      </c>
      <c r="I101" s="57" t="str">
        <f>IF(COUNTIFS(JournalActions[Joueur],$B101,JournalActions[Action],$H$68,JournalActions[Mi-temps],I$69)=0,"",COUNTIFS(JournalActions[Joueur],$B101,JournalActions[Action],$H$68,JournalActions[Mi-temps],I$69))</f>
        <v/>
      </c>
      <c r="J101" s="56" t="str">
        <f>IF(COUNTIFS(JournalActions[Joueur],$B101,JournalActions[Action],$J$68,JournalActions[Mi-temps],J$69)=0,"",COUNTIFS(JournalActions[Joueur],$B101,JournalActions[Action],$J$68,JournalActions[Mi-temps],J$69))</f>
        <v/>
      </c>
      <c r="K101" s="57" t="str">
        <f>IF(COUNTIFS(JournalActions[Joueur],$B101,JournalActions[Action],$J$68,JournalActions[Mi-temps],K$69)=0,"",COUNTIFS(JournalActions[Joueur],$B101,JournalActions[Action],$J$68,JournalActions[Mi-temps],K$69))</f>
        <v/>
      </c>
    </row>
    <row r="102" spans="2:11" s="25" customFormat="1" ht="14">
      <c r="B102" s="80" t="s">
        <v>230</v>
      </c>
      <c r="C102" s="81">
        <f>SUM(C70:C101)</f>
        <v>5</v>
      </c>
      <c r="D102" s="82">
        <f t="shared" ref="D102" si="5">SUM(D70:D101)</f>
        <v>5</v>
      </c>
      <c r="E102" s="81">
        <f>SUM(E70:E101)</f>
        <v>0</v>
      </c>
      <c r="F102" s="82">
        <f t="shared" ref="F102" si="6">SUM(F70:F101)</f>
        <v>0</v>
      </c>
      <c r="H102" s="102">
        <f>SUM(H70:H101)</f>
        <v>0</v>
      </c>
      <c r="I102" s="103">
        <f>SUM(I70:I101)</f>
        <v>2</v>
      </c>
      <c r="J102" s="102">
        <f>SUM(J70:J101)</f>
        <v>0</v>
      </c>
      <c r="K102" s="103">
        <f t="shared" ref="K102" si="7">SUM(K70:K101)</f>
        <v>0</v>
      </c>
    </row>
    <row r="103" spans="2:11" s="25" customFormat="1" ht="16">
      <c r="B103" s="83" t="s">
        <v>229</v>
      </c>
      <c r="C103" s="239">
        <f>C102+D102</f>
        <v>10</v>
      </c>
      <c r="D103" s="240"/>
      <c r="E103" s="239">
        <f>E102+F102</f>
        <v>0</v>
      </c>
      <c r="F103" s="240"/>
      <c r="H103" s="244">
        <f>H102+I102</f>
        <v>2</v>
      </c>
      <c r="I103" s="245"/>
      <c r="J103" s="244">
        <f>J102+K102</f>
        <v>0</v>
      </c>
      <c r="K103" s="245"/>
    </row>
    <row r="104" spans="2:11" s="25" customFormat="1"/>
    <row r="105" spans="2:11" s="25" customFormat="1"/>
    <row r="106" spans="2:11" s="25" customFormat="1"/>
    <row r="107" spans="2:11" s="25" customFormat="1" ht="14" thickBot="1"/>
    <row r="108" spans="2:11" s="25" customFormat="1" ht="18" thickBot="1">
      <c r="B108" s="272" t="s">
        <v>508</v>
      </c>
      <c r="C108" s="273" t="s">
        <v>98</v>
      </c>
      <c r="D108" s="274" t="s">
        <v>164</v>
      </c>
      <c r="F108" s="277" t="s">
        <v>503</v>
      </c>
      <c r="G108" s="278"/>
      <c r="H108" s="273" t="s">
        <v>97</v>
      </c>
      <c r="I108" s="279" t="s">
        <v>94</v>
      </c>
      <c r="J108" s="283" t="s">
        <v>292</v>
      </c>
    </row>
    <row r="109" spans="2:11" s="25" customFormat="1" ht="16">
      <c r="B109" s="269" t="s">
        <v>293</v>
      </c>
      <c r="C109" s="270">
        <v>37</v>
      </c>
      <c r="D109" s="271">
        <v>32</v>
      </c>
      <c r="F109" s="275" t="s">
        <v>293</v>
      </c>
      <c r="G109" s="276"/>
      <c r="H109" s="270">
        <v>8</v>
      </c>
      <c r="I109" s="280">
        <v>8</v>
      </c>
      <c r="J109" s="284">
        <v>16</v>
      </c>
    </row>
    <row r="110" spans="2:11" s="25" customFormat="1" ht="16">
      <c r="B110" s="265" t="s">
        <v>294</v>
      </c>
      <c r="C110" s="110">
        <v>14</v>
      </c>
      <c r="D110" s="266">
        <v>19</v>
      </c>
      <c r="F110" s="261" t="s">
        <v>294</v>
      </c>
      <c r="G110" s="260"/>
      <c r="H110" s="110">
        <v>7</v>
      </c>
      <c r="I110" s="281">
        <v>12</v>
      </c>
      <c r="J110" s="285">
        <v>19</v>
      </c>
    </row>
    <row r="111" spans="2:11" s="25" customFormat="1" ht="16">
      <c r="B111" s="265" t="s">
        <v>295</v>
      </c>
      <c r="C111" s="110">
        <v>6</v>
      </c>
      <c r="D111" s="266">
        <v>2</v>
      </c>
      <c r="F111" s="261" t="s">
        <v>295</v>
      </c>
      <c r="G111" s="260"/>
      <c r="H111" s="110">
        <v>8</v>
      </c>
      <c r="I111" s="281">
        <v>4</v>
      </c>
      <c r="J111" s="285">
        <v>12</v>
      </c>
    </row>
    <row r="112" spans="2:11" s="25" customFormat="1" ht="16">
      <c r="B112" s="265" t="s">
        <v>296</v>
      </c>
      <c r="C112" s="110">
        <v>4</v>
      </c>
      <c r="D112" s="266">
        <v>4</v>
      </c>
      <c r="F112" s="261" t="s">
        <v>296</v>
      </c>
      <c r="G112" s="260"/>
      <c r="H112" s="110">
        <v>5</v>
      </c>
      <c r="I112" s="281">
        <v>5</v>
      </c>
      <c r="J112" s="285">
        <v>10</v>
      </c>
    </row>
    <row r="113" spans="2:10" s="25" customFormat="1" ht="17" thickBot="1">
      <c r="B113" s="267" t="s">
        <v>297</v>
      </c>
      <c r="C113" s="264">
        <v>1</v>
      </c>
      <c r="D113" s="268">
        <v>1</v>
      </c>
      <c r="F113" s="261" t="s">
        <v>504</v>
      </c>
      <c r="G113" s="260"/>
      <c r="H113" s="110">
        <v>0</v>
      </c>
      <c r="I113" s="281">
        <v>2</v>
      </c>
      <c r="J113" s="285">
        <v>2</v>
      </c>
    </row>
    <row r="114" spans="2:10" s="25" customFormat="1" ht="16">
      <c r="F114" s="261" t="s">
        <v>505</v>
      </c>
      <c r="G114" s="260"/>
      <c r="H114" s="110">
        <v>1</v>
      </c>
      <c r="I114" s="281">
        <v>0</v>
      </c>
      <c r="J114" s="285">
        <v>1</v>
      </c>
    </row>
    <row r="115" spans="2:10" s="25" customFormat="1" ht="16">
      <c r="F115" s="261" t="s">
        <v>506</v>
      </c>
      <c r="G115" s="260"/>
      <c r="H115" s="110">
        <v>0</v>
      </c>
      <c r="I115" s="281">
        <v>0</v>
      </c>
      <c r="J115" s="285">
        <v>0</v>
      </c>
    </row>
    <row r="116" spans="2:10" s="25" customFormat="1" ht="17" thickBot="1">
      <c r="F116" s="262" t="s">
        <v>507</v>
      </c>
      <c r="G116" s="263"/>
      <c r="H116" s="264">
        <v>0</v>
      </c>
      <c r="I116" s="282">
        <v>0</v>
      </c>
      <c r="J116" s="286">
        <v>0</v>
      </c>
    </row>
    <row r="117" spans="2:10" s="25" customFormat="1"/>
    <row r="118" spans="2:10" s="25" customFormat="1"/>
    <row r="119" spans="2:10" s="25" customFormat="1"/>
    <row r="120" spans="2:10" s="25" customFormat="1"/>
    <row r="121" spans="2:10" s="25" customFormat="1"/>
    <row r="122" spans="2:10" s="25" customFormat="1"/>
    <row r="123" spans="2:10" s="25" customFormat="1"/>
    <row r="124" spans="2:10" s="25" customFormat="1"/>
    <row r="125" spans="2:10" s="25" customFormat="1"/>
    <row r="126" spans="2:10" s="25" customFormat="1"/>
    <row r="127" spans="2:10" s="25" customFormat="1"/>
    <row r="128" spans="2:10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  <row r="1054" s="25" customFormat="1"/>
    <row r="1055" s="25" customFormat="1"/>
    <row r="1056" s="25" customFormat="1"/>
    <row r="1057" spans="15:16" s="25" customFormat="1"/>
    <row r="1058" spans="15:16" s="25" customFormat="1"/>
    <row r="1059" spans="15:16" s="25" customFormat="1"/>
    <row r="1060" spans="15:16" s="25" customFormat="1"/>
    <row r="1061" spans="15:16" s="25" customFormat="1"/>
    <row r="1062" spans="15:16" s="25" customFormat="1">
      <c r="O1062"/>
      <c r="P1062"/>
    </row>
    <row r="1063" spans="15:16" s="25" customFormat="1">
      <c r="O1063"/>
      <c r="P1063"/>
    </row>
    <row r="1064" spans="15:16" s="25" customFormat="1">
      <c r="O1064"/>
      <c r="P1064"/>
    </row>
    <row r="1065" spans="15:16" s="25" customFormat="1">
      <c r="O1065"/>
      <c r="P1065"/>
    </row>
    <row r="1066" spans="15:16" s="25" customFormat="1">
      <c r="O1066"/>
      <c r="P1066"/>
    </row>
    <row r="1067" spans="15:16" s="25" customFormat="1">
      <c r="O1067"/>
      <c r="P1067"/>
    </row>
    <row r="1068" spans="15:16" s="25" customFormat="1">
      <c r="O1068"/>
      <c r="P1068"/>
    </row>
    <row r="1069" spans="15:16" s="25" customFormat="1">
      <c r="O1069"/>
      <c r="P1069"/>
    </row>
  </sheetData>
  <mergeCells count="54">
    <mergeCell ref="O6:P6"/>
    <mergeCell ref="O41:P41"/>
    <mergeCell ref="B3:P4"/>
    <mergeCell ref="F113:G113"/>
    <mergeCell ref="F114:G114"/>
    <mergeCell ref="F115:G115"/>
    <mergeCell ref="F116:G116"/>
    <mergeCell ref="F108:G108"/>
    <mergeCell ref="F109:G109"/>
    <mergeCell ref="F110:G110"/>
    <mergeCell ref="F111:G111"/>
    <mergeCell ref="F112:G112"/>
    <mergeCell ref="C103:D103"/>
    <mergeCell ref="E103:F103"/>
    <mergeCell ref="H103:I103"/>
    <mergeCell ref="J103:K103"/>
    <mergeCell ref="J51:K51"/>
    <mergeCell ref="J52:K52"/>
    <mergeCell ref="J53:K53"/>
    <mergeCell ref="J54:K54"/>
    <mergeCell ref="J55:K55"/>
    <mergeCell ref="B64:K66"/>
    <mergeCell ref="B68:B69"/>
    <mergeCell ref="C68:D68"/>
    <mergeCell ref="E68:F68"/>
    <mergeCell ref="H68:I68"/>
    <mergeCell ref="J68:K68"/>
    <mergeCell ref="G52:H52"/>
    <mergeCell ref="J50:K50"/>
    <mergeCell ref="C41:D41"/>
    <mergeCell ref="E41:F41"/>
    <mergeCell ref="G41:H41"/>
    <mergeCell ref="I41:J41"/>
    <mergeCell ref="K41:L41"/>
    <mergeCell ref="G44:H44"/>
    <mergeCell ref="J44:J45"/>
    <mergeCell ref="K44:M44"/>
    <mergeCell ref="M41:N41"/>
    <mergeCell ref="N44:N45"/>
    <mergeCell ref="G48:H48"/>
    <mergeCell ref="Q6:V6"/>
    <mergeCell ref="Q40:Q41"/>
    <mergeCell ref="R40:R41"/>
    <mergeCell ref="S40:S41"/>
    <mergeCell ref="T40:T41"/>
    <mergeCell ref="U40:U41"/>
    <mergeCell ref="V40:V41"/>
    <mergeCell ref="B6:B7"/>
    <mergeCell ref="C6:D6"/>
    <mergeCell ref="E6:F6"/>
    <mergeCell ref="G6:H6"/>
    <mergeCell ref="I6:J6"/>
    <mergeCell ref="K6:L6"/>
    <mergeCell ref="M6:N6"/>
  </mergeCells>
  <conditionalFormatting sqref="J46:N46 B8:V39">
    <cfRule type="expression" dxfId="5" priority="6" stopIfTrue="1">
      <formula>ISEVEN(ROW())</formula>
    </cfRule>
  </conditionalFormatting>
  <conditionalFormatting sqref="B70:B101">
    <cfRule type="expression" dxfId="4" priority="5" stopIfTrue="1">
      <formula>ISEVEN(ROW())</formula>
    </cfRule>
  </conditionalFormatting>
  <conditionalFormatting sqref="C70:D101">
    <cfRule type="expression" dxfId="3" priority="4" stopIfTrue="1">
      <formula>ISEVEN(ROW())</formula>
    </cfRule>
  </conditionalFormatting>
  <conditionalFormatting sqref="H70:I101">
    <cfRule type="expression" dxfId="2" priority="3" stopIfTrue="1">
      <formula>ISEVEN(ROW())</formula>
    </cfRule>
  </conditionalFormatting>
  <conditionalFormatting sqref="J70:K101">
    <cfRule type="expression" dxfId="1" priority="2" stopIfTrue="1">
      <formula>ISEVEN(ROW())</formula>
    </cfRule>
  </conditionalFormatting>
  <conditionalFormatting sqref="E70:F101">
    <cfRule type="expression" dxfId="0" priority="1" stopIfTrue="1">
      <formula>ISEVEN(ROW())</formula>
    </cfRule>
  </conditionalFormatting>
  <pageMargins left="0.7" right="0.7" top="0.75" bottom="0.75" header="0.3" footer="0.3"/>
  <pageSetup paperSize="9" scale="61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workbookViewId="0"/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95" t="s">
        <v>452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95" t="s">
        <v>447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K4" s="195" t="s">
        <v>460</v>
      </c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195" t="s">
        <v>475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s="195" t="s">
        <v>450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s="195" t="s">
        <v>451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K8" s="195" t="s">
        <v>468</v>
      </c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 s="195" t="s">
        <v>453</v>
      </c>
      <c r="Q9" s="46" t="s">
        <v>138</v>
      </c>
      <c r="R9" s="46" t="s">
        <v>112</v>
      </c>
    </row>
    <row r="10" spans="3:18" ht="30" customHeight="1">
      <c r="C10" s="44" t="s">
        <v>444</v>
      </c>
      <c r="D10" s="44"/>
      <c r="F10" s="42" t="s">
        <v>159</v>
      </c>
      <c r="G10" s="33"/>
      <c r="I10" s="73" t="s">
        <v>268</v>
      </c>
      <c r="K10" s="195" t="s">
        <v>470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12"/>
      <c r="K11" s="195" t="s">
        <v>472</v>
      </c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13"/>
      <c r="K12" s="195" t="s">
        <v>454</v>
      </c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14"/>
      <c r="K13" s="195" t="s">
        <v>455</v>
      </c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K14" s="195" t="s">
        <v>469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 s="195" t="s">
        <v>456</v>
      </c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K16" s="195" t="s">
        <v>457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 s="195" t="s">
        <v>448</v>
      </c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K18" s="195" t="s">
        <v>446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K19" s="195" t="s">
        <v>449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K20" s="195" t="s">
        <v>459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K21" s="195" t="s">
        <v>486</v>
      </c>
      <c r="Q21" s="45" t="s">
        <v>147</v>
      </c>
      <c r="R21" s="93" t="s">
        <v>105</v>
      </c>
    </row>
    <row r="22" spans="3:18" ht="30" customHeight="1">
      <c r="C22" s="44"/>
      <c r="D22" s="44"/>
      <c r="K22" s="195" t="s">
        <v>488</v>
      </c>
      <c r="Q22" s="45" t="s">
        <v>148</v>
      </c>
      <c r="R22" s="93" t="s">
        <v>100</v>
      </c>
    </row>
    <row r="23" spans="3:18" ht="30" customHeight="1">
      <c r="C23" s="44"/>
      <c r="D23" s="44"/>
      <c r="K23" s="195" t="s">
        <v>92</v>
      </c>
      <c r="Q23" s="45" t="s">
        <v>149</v>
      </c>
      <c r="R23" s="93" t="s">
        <v>101</v>
      </c>
    </row>
    <row r="24" spans="3:18" ht="30" customHeight="1">
      <c r="C24" s="44"/>
      <c r="D24" s="44"/>
      <c r="K24" s="195" t="s">
        <v>82</v>
      </c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/>
    <sheetView workbookViewId="1"/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59" t="s">
        <v>127</v>
      </c>
      <c r="D5" s="259"/>
      <c r="E5" s="259"/>
      <c r="F5" s="259"/>
      <c r="G5" s="259"/>
    </row>
    <row r="6" spans="3:7" ht="14" thickBot="1"/>
    <row r="7" spans="3:7">
      <c r="C7" s="147"/>
      <c r="D7" s="148"/>
      <c r="E7" s="148"/>
      <c r="F7" s="148"/>
      <c r="G7" s="149"/>
    </row>
    <row r="8" spans="3:7">
      <c r="C8" s="150"/>
      <c r="G8" s="151"/>
    </row>
    <row r="9" spans="3:7">
      <c r="C9" s="152" t="s">
        <v>125</v>
      </c>
      <c r="D9" s="156"/>
      <c r="G9" s="151"/>
    </row>
    <row r="10" spans="3:7">
      <c r="C10" s="152"/>
      <c r="G10" s="151"/>
    </row>
    <row r="11" spans="3:7">
      <c r="C11" s="152" t="s">
        <v>126</v>
      </c>
      <c r="D11" s="156"/>
      <c r="G11" s="151"/>
    </row>
    <row r="12" spans="3:7">
      <c r="C12" s="150"/>
      <c r="G12" s="151"/>
    </row>
    <row r="13" spans="3:7" ht="14" thickBot="1">
      <c r="C13" s="153"/>
      <c r="D13" s="154"/>
      <c r="E13" s="154"/>
      <c r="F13" s="154"/>
      <c r="G13" s="155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  <sheetView workbookViewId="1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184</vt:i4>
      </vt:variant>
    </vt:vector>
  </HeadingPairs>
  <TitlesOfParts>
    <vt:vector size="186" baseType="lpstr">
      <vt:lpstr>Journal actions</vt:lpstr>
      <vt:lpstr>Stats match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cp:lastPrinted>2026-09-14T13:02:29Z</cp:lastPrinted>
  <dcterms:created xsi:type="dcterms:W3CDTF">2026-07-02T15:37:39Z</dcterms:created>
  <dcterms:modified xsi:type="dcterms:W3CDTF">2026-09-14T13:02:39Z</dcterms:modified>
</cp:coreProperties>
</file>