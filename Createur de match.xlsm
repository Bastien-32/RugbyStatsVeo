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dist/"/>
    </mc:Choice>
  </mc:AlternateContent>
  <xr:revisionPtr revIDLastSave="0" documentId="13_ncr:1_{30B5A2FF-8B16-6842-AED6-A0B6C4CEA1A8}" xr6:coauthVersionLast="47" xr6:coauthVersionMax="47" xr10:uidLastSave="{00000000-0000-0000-0000-000000000000}"/>
  <bookViews>
    <workbookView xWindow="4900" yWindow="660" windowWidth="28560" windowHeight="17660" activeTab="2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8" l="1"/>
  <c r="B23" i="18"/>
  <c r="C22" i="18"/>
  <c r="B22" i="18"/>
  <c r="D7" i="18"/>
  <c r="C7" i="18"/>
  <c r="B7" i="18"/>
  <c r="D6" i="18"/>
  <c r="C6" i="18"/>
  <c r="B6" i="18"/>
  <c r="I38" i="12"/>
  <c r="I37" i="12"/>
  <c r="N31" i="12"/>
  <c r="M31" i="12"/>
  <c r="N30" i="12"/>
  <c r="M30" i="12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B65" i="12" a="1"/>
  <c r="B65" i="12" s="1"/>
  <c r="B8" i="12" a="1"/>
  <c r="B3" i="12"/>
  <c r="E2" i="7"/>
  <c r="E38" i="12"/>
  <c r="E42" i="12"/>
  <c r="B8" i="12" l="1"/>
  <c r="N26" i="12"/>
  <c r="N20" i="12"/>
  <c r="N14" i="12"/>
  <c r="N19" i="12"/>
  <c r="M19" i="12"/>
  <c r="M13" i="12"/>
  <c r="N18" i="12"/>
  <c r="M12" i="12"/>
  <c r="N11" i="12"/>
  <c r="M17" i="12"/>
  <c r="M9" i="12"/>
  <c r="M27" i="12"/>
  <c r="N21" i="12"/>
  <c r="M10" i="12"/>
  <c r="M28" i="12"/>
  <c r="N16" i="12"/>
  <c r="M29" i="12"/>
  <c r="N24" i="12"/>
  <c r="M21" i="12"/>
  <c r="N15" i="12"/>
  <c r="M16" i="12"/>
  <c r="N10" i="12"/>
  <c r="N28" i="12"/>
  <c r="M11" i="12"/>
  <c r="N29" i="12"/>
  <c r="M25" i="12"/>
  <c r="M15" i="12"/>
  <c r="N9" i="12"/>
  <c r="N27" i="12"/>
  <c r="M22" i="12"/>
  <c r="N22" i="12"/>
  <c r="M23" i="12"/>
  <c r="N17" i="12"/>
  <c r="M24" i="12"/>
  <c r="N13" i="12"/>
  <c r="N25" i="12"/>
  <c r="N23" i="12"/>
  <c r="M18" i="12"/>
  <c r="N12" i="12"/>
  <c r="M14" i="12"/>
  <c r="M20" i="12"/>
  <c r="M26" i="12"/>
  <c r="N47" i="12"/>
  <c r="O47" i="12"/>
  <c r="S6" i="12"/>
  <c r="Q6" i="12"/>
  <c r="R31" i="12" s="1"/>
  <c r="O6" i="12"/>
  <c r="H42" i="12"/>
  <c r="H41" i="12"/>
  <c r="H38" i="12"/>
  <c r="H37" i="12"/>
  <c r="N8" i="12" l="1"/>
  <c r="M8" i="12"/>
  <c r="T30" i="12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<sst xmlns="http://schemas.openxmlformats.org/spreadsheetml/2006/main" count="645" uniqueCount="444">
  <si>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</si>
  <si>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</si>
  <si>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</si>
  <si>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</si>
  <si>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</si>
  <si>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</si>
  <si>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</si>
  <si>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</si>
  <si>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</si>
  <si>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</si>
  <si>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</si>
  <si>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</si>
  <si>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</si>
  <si>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</si>
  <si>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</si>
  <si>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</si>
  <si>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</si>
  <si>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</si>
  <si>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</si>
  <si>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</si>
  <si>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</si>
  <si>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</si>
  <si>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</si>
  <si>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</si>
  <si>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</si>
  <si>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</si>
  <si>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</si>
  <si>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</si>
  <si>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</si>
  <si>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</si>
  <si>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</si>
  <si>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</si>
  <si>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</si>
  <si>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</si>
  <si>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</si>
  <si>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</si>
  <si>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</si>
  <si>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</si>
  <si>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</si>
  <si>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</si>
  <si>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</si>
  <si>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</si>
  <si>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</si>
  <si>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</si>
  <si>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</si>
  <si>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</si>
  <si>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</si>
  <si>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</si>
  <si>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</si>
  <si>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</si>
  <si>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</si>
  <si>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</si>
  <si>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</si>
  <si>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</si>
  <si>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</si>
  <si>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</si>
  <si>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</si>
  <si>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</si>
  <si>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</si>
  <si>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</si>
  <si>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</si>
  <si>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</si>
  <si>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</si>
  <si>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</si>
  <si>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</si>
  <si>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</si>
  <si>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</si>
  <si>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</si>
  <si>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</si>
  <si>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</si>
  <si>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</si>
  <si>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</si>
  <si>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</si>
  <si>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</si>
  <si>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</si>
  <si>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</si>
  <si>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</si>
  <si>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</si>
  <si>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</si>
  <si>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</si>
  <si>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</si>
  <si>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</si>
  <si>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</si>
  <si>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</si>
  <si>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</si>
  <si>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</si>
  <si>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</si>
  <si>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</si>
  <si>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</si>
  <si>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</si>
  <si>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</si>
  <si>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</si>
  <si>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</si>
  <si>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</si>
  <si>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</si>
  <si>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</si>
  <si>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</si>
  <si>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</si>
  <si>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</si>
  <si>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</si>
  <si>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</si>
  <si>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</si>
  <si>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</si>
  <si>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</si>
  <si>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</si>
  <si>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</si>
  <si>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</si>
  <si>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</si>
  <si>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</si>
  <si>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</si>
  <si>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</si>
  <si>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</si>
  <si>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</si>
  <si>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</si>
  <si>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</si>
  <si>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</si>
  <si>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</si>
  <si>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</si>
  <si>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</si>
  <si>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</si>
  <si>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</si>
  <si>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</si>
  <si>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</si>
  <si>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</si>
  <si>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</si>
  <si>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</si>
  <si>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</si>
  <si>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</si>
  <si>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</si>
  <si>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</si>
  <si>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</si>
  <si>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</si>
  <si>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</si>
  <si>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</si>
  <si>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</si>
  <si>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</si>
  <si>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</si>
  <si>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</si>
  <si>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</si>
  <si>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</si>
  <si>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</si>
  <si>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</si>
  <si>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</si>
  <si>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</si>
  <si>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</si>
  <si>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</si>
  <si>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</si>
  <si>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</si>
  <si>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</si>
  <si>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</si>
  <si>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</si>
  <si>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</si>
  <si>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</si>
  <si>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</si>
  <si>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</si>
  <si>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</si>
  <si>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</si>
  <si>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</si>
  <si>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</si>
  <si>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</si>
  <si>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</si>
  <si>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</si>
  <si>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</si>
  <si>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</si>
  <si>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</si>
  <si>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</si>
  <si>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</si>
  <si>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</si>
  <si>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</si>
  <si>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</si>
  <si>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</si>
  <si>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</si>
  <si>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</si>
  <si>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</si>
  <si>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</si>
  <si>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</si>
  <si>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</si>
  <si>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</si>
  <si>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</si>
  <si>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</si>
  <si>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</si>
  <si>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</si>
  <si>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</si>
  <si>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</si>
  <si>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</si>
  <si>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</si>
  <si>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</si>
  <si>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</si>
  <si>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</si>
  <si>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</si>
  <si>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</si>
  <si>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</si>
  <si>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</si>
  <si>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</si>
  <si>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</si>
  <si>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</si>
  <si>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</si>
  <si>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</si>
  <si>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</si>
  <si>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</si>
  <si>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</si>
  <si>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</si>
  <si>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</si>
  <si>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</si>
  <si>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</si>
  <si>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</si>
  <si>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</si>
  <si>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</si>
  <si>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</si>
  <si>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</si>
  <si>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</si>
  <si>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</si>
  <si>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</si>
  <si>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</si>
  <si>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</si>
  <si>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</si>
  <si>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</si>
  <si>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</si>
  <si>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</si>
  <si>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</si>
  <si>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</si>
  <si>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</si>
  <si>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</si>
  <si>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</si>
  <si>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</si>
  <si>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</si>
  <si>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</si>
  <si>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</si>
  <si>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</si>
  <si>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</si>
  <si>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</si>
  <si>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</si>
  <si>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</si>
  <si>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</si>
  <si>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</si>
  <si>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</si>
  <si>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</si>
  <si>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</si>
  <si>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</si>
  <si>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</si>
  <si>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</si>
  <si>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</si>
  <si>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</si>
  <si>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</si>
  <si>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</si>
  <si>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</si>
  <si>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</si>
  <si>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</si>
  <si>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</si>
  <si>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</si>
  <si>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</si>
  <si>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</si>
  <si>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</si>
  <si>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</si>
  <si>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</si>
  <si>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</si>
  <si>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</si>
  <si>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</si>
  <si>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</si>
  <si>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</si>
  <si>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</si>
  <si>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</si>
  <si>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</si>
  <si>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</si>
  <si>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EQUIPES_A_AFFRONTER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</si>
  <si>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</si>
  <si>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</si>
  <si>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</si>
  <si>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</si>
  <si>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</si>
  <si>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</si>
  <si>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</si>
  <si>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</si>
  <si>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</si>
  <si>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</si>
  <si>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</si>
  <si>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</si>
  <si>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</si>
  <si>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</si>
  <si>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</si>
  <si>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</si>
  <si>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</si>
  <si>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</si>
  <si>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</si>
  <si>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</si>
  <si>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</si>
  <si>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</si>
  <si>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</si>
  <si>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</si>
  <si>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</si>
  <si>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</si>
  <si>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</si>
  <si>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</si>
  <si>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</si>
  <si>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</si>
  <si>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</si>
  <si>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</si>
  <si>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</si>
  <si>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</si>
  <si>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</si>
  <si>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</si>
  <si>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</si>
  <si>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</si>
  <si>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</si>
  <si>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</si>
  <si>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</si>
  <si>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</si>
  <si>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</si>
  <si>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</si>
  <si>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</si>
  <si>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</si>
  <si>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</si>
  <si>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</si>
  <si>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</si>
  <si>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</si>
  <si>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</si>
  <si>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</si>
  <si>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</si>
  <si>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</si>
  <si>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</si>
  <si>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</si>
  <si>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</si>
  <si>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</si>
  <si>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</si>
  <si>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</si>
  <si>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</si>
  <si>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</si>
  <si>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</si>
  <si>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</si>
  <si>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</si>
  <si>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</si>
  <si>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</si>
  <si>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</si>
  <si>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</si>
  <si>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</si>
  <si>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</si>
  <si>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</si>
  <si>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</si>
  <si>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</si>
  <si>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</si>
  <si>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</si>
  <si>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</si>
  <si>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</si>
  <si>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</si>
  <si>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</si>
  <si>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</si>
  <si>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</si>
  <si>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</si>
  <si>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</si>
  <si>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</si>
  <si>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</si>
  <si>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</si>
  <si>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</si>
  <si>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</si>
  <si>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</si>
  <si>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</si>
  <si>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</si>
  <si>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</si>
  <si>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</si>
  <si>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</si>
  <si>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</si>
  <si>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</si>
  <si>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</si>
  <si>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</si>
  <si>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</si>
  <si>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Remplacement</t>
  </si>
  <si>
    <t>Passage à vide</t>
  </si>
  <si>
    <t>JOUEUR FAUTIF</t>
  </si>
  <si>
    <t>EXPORTER
LA FEUILLE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</si>
  <si>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</si>
  <si>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</si>
  <si>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</si>
  <si>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</si>
  <si>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</si>
  <si>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</si>
  <si>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</si>
  <si>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</si>
  <si>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</si>
  <si>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</si>
  <si>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</si>
  <si>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</si>
  <si>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</si>
  <si>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</si>
  <si>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</si>
  <si>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</si>
  <si>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</si>
  <si>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</si>
  <si>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</si>
  <si>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Jeu effectif</t>
  </si>
  <si>
    <t>Eux</t>
  </si>
  <si>
    <t>10m de plus - contestation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</si>
  <si>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</si>
  <si>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</si>
  <si>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</si>
  <si>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</si>
  <si>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</si>
  <si>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</si>
  <si>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</si>
  <si>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</si>
  <si>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</si>
  <si>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</si>
  <si>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Retour carton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</si>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</sst>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4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0" fillId="16" borderId="0" xfId="0" applyFont="1" applyFill="1" applyAlignment="1">
      <alignment horizontal="center"/>
    </xf>
    <xf numFmtId="0" fontId="47" fillId="43" borderId="67" xfId="0" applyFont="1" applyFill="1" applyBorder="1" applyAlignment="1">
      <alignment horizontal="center" vertical="center"/>
    </xf>
    <xf numFmtId="0" fontId="47" fillId="12" borderId="67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42" fillId="33" borderId="0" xfId="0" applyFont="1" applyFill="1" applyAlignment="1">
      <alignment horizont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7" fillId="14" borderId="43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8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40" fillId="14" borderId="43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2" insertRow="1" totalsRowShown="0" headerRowDxfId="69" dataDxfId="68">
  <autoFilter ref="A1:F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/>
    <tableColumn id="5" xr3:uid="{EB017694-E6D2-7440-91BF-61113926AB7D}" name="NOM Prénom" dataDxfId="6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2" insertRow="1" totalsRowShown="0" headerRowDxfId="61" dataDxfId="60">
  <autoFilter ref="J1:J2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57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56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5"/>
    <tableColumn id="8" xr3:uid="{D9175B18-6528-4648-B15C-FF2CC25EEBE4}" name="Jeu 3/4" dataDxfId="54"/>
    <tableColumn id="9" xr3:uid="{CAE0CE17-6518-8346-8125-3B7CA02D88C1}" name="Jeu pied" dataDxfId="53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52" dataDxfId="50" headerRowBorderDxfId="51" tableBorderDxfId="49" totalsRowBorderDxfId="48">
  <autoFilter ref="Q1:R70" xr:uid="{6D1F5F0A-5FD5-AC4E-A195-33A78A5E0E58}"/>
  <tableColumns count="2">
    <tableColumn id="1" xr3:uid="{8A0D5429-5616-B849-BD27-167A576FE99E}" name="Nom de cellule à créer" dataDxfId="47"/>
    <tableColumn id="2" xr3:uid="{19545507-672A-9F40-8818-E4C9060AA52B}" name="Libellé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5" headerRowBorderDxfId="44" tableBorderDxfId="43" totalsRowBorderDxfId="4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1" headerRowBorderDxfId="40" tableBorderDxfId="39" totalsRowBorderDxfId="3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7" dataDxfId="36">
  <autoFilter ref="I14:I20" xr:uid="{CC940AF9-E81A-F746-8EAD-392809C3CFBE}"/>
  <tableColumns count="1">
    <tableColumn id="1" xr3:uid="{816CA1DF-3681-2948-A622-26353E2B9A97}" name="LISTE_LECTEUR_VIDEO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4" dataDxfId="33">
  <autoFilter ref="C1:C4" xr:uid="{61FC7709-08E5-D048-A38B-441B18CF5D35}"/>
  <tableColumns count="1">
    <tableColumn id="1" xr3:uid="{C41B523D-40DA-AF48-A2C2-015B04960B0A}" name="LIEU_MATCH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1" dataDxfId="30">
  <autoFilter ref="C6:C10" xr:uid="{86EA01CF-5567-6445-9906-AD2B60CA0A8A}"/>
  <tableColumns count="1">
    <tableColumn id="1" xr3:uid="{B57F8324-6F25-7B40-9B20-1BFDF9708631}" name="PHASE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8" dataDxfId="27">
  <autoFilter ref="C12:C15" xr:uid="{DAA9B017-78F0-D447-B788-CF8333AEAC38}"/>
  <tableColumns count="1">
    <tableColumn id="1" xr3:uid="{C5E86C3D-762A-054E-B864-5A67DBB9A8CA}" name="RESULTAT" dataDxfId="2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5" dataDxfId="24">
  <autoFilter ref="C17:C21" xr:uid="{F661D9E2-619C-DA44-92C5-8A09E8E281AC}"/>
  <tableColumns count="1">
    <tableColumn id="1" xr3:uid="{ADD3AF05-089E-D149-9728-7C2A6F62FA22}" name="EQUIPE_NIV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22" dataDxfId="20" headerRowBorderDxfId="21" tableBorderDxfId="19" totalsRowBorderDxfId="18">
  <autoFilter ref="K1:K3" xr:uid="{391966D0-8F83-3948-82BB-835638F7D3FE}"/>
  <tableColumns count="1">
    <tableColumn id="1" xr3:uid="{F45BF991-6668-F741-B07C-7905B99AC752}" name="LISTE_JOUEURS_JOURNAL" dataDxfId="1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16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284</v>
      </c>
      <c r="E1" s="96" t="s">
        <v>72</v>
      </c>
      <c r="F1" s="96" t="s">
        <v>111</v>
      </c>
      <c r="J1" t="s">
        <v>264</v>
      </c>
    </row>
    <row r="2" spans="1:10">
      <c r="B2" s="85"/>
      <c r="C2" s="85"/>
      <c r="D2" s="85"/>
      <c r="J2"/>
    </row>
    <row r="3" spans="1:10">
      <c r="A3" s="136"/>
      <c r="B3" s="136"/>
      <c r="C3" s="136"/>
      <c r="D3" s="136"/>
      <c r="E3" s="136"/>
      <c r="F3" s="136"/>
      <c r="J3" s="136"/>
    </row>
    <row r="4" spans="1:10">
      <c r="A4" s="136"/>
      <c r="B4" s="136"/>
      <c r="C4" s="136"/>
      <c r="D4" s="136"/>
      <c r="E4" s="136"/>
      <c r="F4" s="136"/>
      <c r="J4" s="136"/>
    </row>
    <row r="5" spans="1:10">
      <c r="A5" s="136"/>
      <c r="B5" s="136"/>
      <c r="C5" s="136"/>
      <c r="D5" s="136"/>
      <c r="E5" s="136"/>
      <c r="F5" s="136"/>
      <c r="J5" s="136"/>
    </row>
    <row r="6" spans="1:10">
      <c r="A6" s="136"/>
      <c r="B6" s="136"/>
      <c r="C6" s="136"/>
      <c r="D6" s="136"/>
      <c r="E6" s="136"/>
      <c r="F6" s="136"/>
      <c r="J6" s="136"/>
    </row>
    <row r="7" spans="1:10">
      <c r="A7" s="136"/>
      <c r="B7" s="136"/>
      <c r="C7" s="136"/>
      <c r="D7" s="136"/>
      <c r="E7" s="136"/>
      <c r="F7" s="136"/>
      <c r="J7" s="136"/>
    </row>
    <row r="8" spans="1:10">
      <c r="A8" s="136"/>
      <c r="B8" s="136"/>
      <c r="C8" s="136"/>
      <c r="D8" s="136"/>
      <c r="E8" s="136"/>
      <c r="F8" s="136"/>
      <c r="J8" s="136"/>
    </row>
    <row r="9" spans="1:10">
      <c r="A9" s="136"/>
      <c r="B9" s="136"/>
      <c r="C9" s="136"/>
      <c r="D9" s="136"/>
      <c r="E9" s="136"/>
      <c r="F9" s="136"/>
      <c r="J9" s="136"/>
    </row>
    <row r="10" spans="1:10">
      <c r="A10" s="136"/>
      <c r="B10" s="136"/>
      <c r="C10" s="136"/>
      <c r="D10" s="136"/>
      <c r="E10" s="136"/>
      <c r="F10" s="136"/>
      <c r="J10" s="136"/>
    </row>
    <row r="11" spans="1:10">
      <c r="A11" s="136"/>
      <c r="B11" s="136"/>
      <c r="C11" s="136"/>
      <c r="D11" s="136"/>
      <c r="E11" s="136"/>
      <c r="F11" s="136"/>
      <c r="J11" s="136"/>
    </row>
    <row r="12" spans="1:10">
      <c r="A12" s="136"/>
      <c r="B12" s="136"/>
      <c r="C12" s="136"/>
      <c r="D12" s="136"/>
      <c r="E12" s="136"/>
      <c r="F12" s="136"/>
    </row>
    <row r="13" spans="1:10">
      <c r="A13" s="136"/>
      <c r="B13" s="136"/>
      <c r="C13" s="136"/>
      <c r="D13" s="136"/>
      <c r="E13" s="136"/>
      <c r="F13" s="136"/>
    </row>
    <row r="14" spans="1:10">
      <c r="A14" s="136"/>
      <c r="B14" s="136"/>
      <c r="C14" s="136"/>
      <c r="D14" s="136"/>
      <c r="E14" s="136"/>
      <c r="F14" s="136"/>
    </row>
    <row r="15" spans="1:10">
      <c r="A15" s="136"/>
      <c r="B15" s="136"/>
      <c r="C15" s="136"/>
      <c r="D15" s="136"/>
      <c r="E15" s="136"/>
      <c r="F15" s="136"/>
    </row>
    <row r="16" spans="1:10">
      <c r="A16" s="136"/>
      <c r="B16" s="136"/>
      <c r="C16" s="136"/>
      <c r="D16" s="136"/>
      <c r="E16" s="136"/>
      <c r="F16" s="136"/>
    </row>
    <row r="17" spans="1:6">
      <c r="A17" s="136"/>
      <c r="B17" s="136"/>
      <c r="C17" s="136"/>
      <c r="D17" s="136"/>
      <c r="E17" s="136"/>
      <c r="F17" s="136"/>
    </row>
    <row r="18" spans="1:6">
      <c r="A18" s="136"/>
      <c r="B18" s="136"/>
      <c r="C18" s="136"/>
      <c r="D18" s="136"/>
      <c r="E18" s="136"/>
      <c r="F18" s="136"/>
    </row>
    <row r="19" spans="1:6">
      <c r="A19" s="136"/>
      <c r="B19" s="136"/>
      <c r="C19" s="136"/>
      <c r="D19" s="136"/>
      <c r="E19" s="136"/>
      <c r="F19" s="136"/>
    </row>
    <row r="20" spans="1:6">
      <c r="A20" s="136"/>
      <c r="B20" s="136"/>
      <c r="C20" s="136"/>
      <c r="D20" s="136"/>
      <c r="E20" s="136"/>
      <c r="F20" s="136"/>
    </row>
    <row r="21" spans="1:6">
      <c r="A21" s="136"/>
      <c r="B21" s="136"/>
      <c r="C21" s="136"/>
      <c r="D21" s="136"/>
      <c r="E21" s="136"/>
      <c r="F21" s="136"/>
    </row>
    <row r="22" spans="1:6">
      <c r="A22" s="136"/>
      <c r="B22" s="136"/>
      <c r="C22" s="136"/>
      <c r="D22" s="136"/>
      <c r="E22" s="136"/>
      <c r="F22" s="136"/>
    </row>
    <row r="23" spans="1:6">
      <c r="A23" s="136"/>
      <c r="B23" s="136"/>
      <c r="C23" s="136"/>
      <c r="D23" s="136"/>
      <c r="E23" s="136"/>
      <c r="F23" s="136"/>
    </row>
    <row r="24" spans="1:6">
      <c r="A24" s="136"/>
      <c r="B24" s="136"/>
      <c r="C24" s="136"/>
      <c r="D24" s="136"/>
      <c r="E24" s="136"/>
      <c r="F24" s="136"/>
    </row>
    <row r="25" spans="1:6">
      <c r="A25" s="136"/>
      <c r="B25" s="136"/>
      <c r="C25" s="136"/>
      <c r="D25" s="136"/>
      <c r="E25" s="136"/>
      <c r="F25" s="136"/>
    </row>
    <row r="26" spans="1:6" ht="12" customHeight="1">
      <c r="A26" s="136"/>
      <c r="B26" s="136"/>
      <c r="C26" s="136"/>
      <c r="D26" s="136"/>
      <c r="E26" s="136"/>
      <c r="F26" s="136"/>
    </row>
    <row r="27" spans="1:6" s="3" customFormat="1">
      <c r="A27" s="136"/>
      <c r="B27" s="136"/>
      <c r="C27" s="136"/>
      <c r="D27" s="136"/>
      <c r="E27" s="136"/>
      <c r="F27" s="136"/>
    </row>
    <row r="28" spans="1:6" s="3" customFormat="1">
      <c r="A28" s="136"/>
      <c r="B28" s="136"/>
      <c r="C28" s="136"/>
      <c r="D28" s="136"/>
      <c r="E28" s="136"/>
      <c r="F28" s="136"/>
    </row>
    <row r="29" spans="1:6" s="3" customFormat="1">
      <c r="A29" s="136"/>
      <c r="B29" s="136"/>
      <c r="C29" s="136"/>
      <c r="D29" s="136"/>
      <c r="E29" s="136"/>
      <c r="F29" s="136"/>
    </row>
    <row r="30" spans="1:6" s="3" customFormat="1">
      <c r="A30" s="136"/>
      <c r="B30" s="136"/>
      <c r="C30" s="136"/>
      <c r="D30" s="136"/>
      <c r="E30" s="136"/>
      <c r="F30" s="136"/>
    </row>
    <row r="31" spans="1:6" s="3" customFormat="1">
      <c r="A31" s="136"/>
      <c r="B31" s="136"/>
      <c r="C31" s="136"/>
      <c r="D31" s="136"/>
      <c r="E31" s="136"/>
      <c r="F31" s="136"/>
    </row>
    <row r="32" spans="1:6" s="3" customFormat="1">
      <c r="A32" s="136"/>
      <c r="B32" s="136"/>
      <c r="C32" s="136"/>
      <c r="D32" s="136"/>
      <c r="E32" s="136"/>
      <c r="F32" s="136"/>
    </row>
    <row r="33" spans="1:6" s="3" customFormat="1">
      <c r="A33" s="136"/>
      <c r="B33" s="136"/>
      <c r="C33" s="136"/>
      <c r="D33" s="136"/>
      <c r="E33" s="136"/>
      <c r="F33" s="136"/>
    </row>
    <row r="34" spans="1:6" s="3" customFormat="1">
      <c r="A34" s="136"/>
      <c r="B34" s="136"/>
      <c r="C34" s="136"/>
      <c r="D34" s="136"/>
      <c r="E34" s="136"/>
      <c r="F34" s="136"/>
    </row>
    <row r="35" spans="1:6" s="3" customFormat="1">
      <c r="A35" s="136"/>
      <c r="B35" s="136"/>
      <c r="C35" s="136"/>
      <c r="D35" s="136"/>
      <c r="E35" s="136"/>
      <c r="F35" s="136"/>
    </row>
    <row r="36" spans="1:6" s="3" customFormat="1">
      <c r="A36" s="136"/>
      <c r="B36" s="136"/>
      <c r="C36" s="136"/>
      <c r="D36" s="136"/>
      <c r="E36" s="136"/>
      <c r="F36" s="136"/>
    </row>
    <row r="37" spans="1:6" s="3" customFormat="1">
      <c r="A37" s="136"/>
      <c r="B37" s="136"/>
      <c r="C37" s="136"/>
      <c r="D37" s="136"/>
      <c r="E37" s="136"/>
      <c r="F37" s="136"/>
    </row>
    <row r="38" spans="1:6" s="3" customFormat="1">
      <c r="A38" s="136"/>
      <c r="B38" s="136"/>
      <c r="C38" s="136"/>
      <c r="D38" s="136"/>
      <c r="E38" s="136"/>
      <c r="F38" s="136"/>
    </row>
    <row r="39" spans="1:6" s="3" customFormat="1">
      <c r="A39" s="136"/>
      <c r="B39" s="136"/>
      <c r="C39" s="136"/>
      <c r="D39" s="136"/>
      <c r="E39" s="136"/>
      <c r="F39" s="136"/>
    </row>
    <row r="40" spans="1:6" s="3" customFormat="1">
      <c r="A40" s="136"/>
      <c r="B40" s="136"/>
      <c r="C40" s="136"/>
      <c r="D40" s="136"/>
      <c r="E40" s="136"/>
      <c r="F40" s="136"/>
    </row>
    <row r="41" spans="1:6" s="3" customFormat="1">
      <c r="A41" s="136"/>
      <c r="B41" s="136"/>
      <c r="C41" s="136"/>
      <c r="D41" s="136"/>
      <c r="E41" s="136"/>
      <c r="F41" s="136"/>
    </row>
    <row r="42" spans="1:6" s="3" customFormat="1">
      <c r="A42" s="136"/>
      <c r="B42" s="136"/>
      <c r="C42" s="136"/>
      <c r="D42" s="136"/>
      <c r="E42" s="136"/>
      <c r="F42" s="136"/>
    </row>
    <row r="43" spans="1:6" s="3" customFormat="1">
      <c r="A43" s="136"/>
      <c r="B43" s="136"/>
      <c r="C43" s="136"/>
      <c r="D43" s="136"/>
      <c r="E43" s="136"/>
      <c r="F43" s="136"/>
    </row>
    <row r="44" spans="1:6" s="3" customFormat="1">
      <c r="A44" s="136"/>
      <c r="B44" s="136"/>
      <c r="C44" s="136"/>
      <c r="D44" s="136"/>
      <c r="E44" s="136"/>
      <c r="F44" s="136"/>
    </row>
    <row r="45" spans="1:6" s="3" customFormat="1">
      <c r="A45" s="136"/>
      <c r="B45" s="136"/>
      <c r="C45" s="136"/>
      <c r="D45" s="136"/>
      <c r="E45" s="136"/>
      <c r="F45" s="136"/>
    </row>
    <row r="46" spans="1:6" s="3" customFormat="1">
      <c r="A46" s="136"/>
      <c r="B46" s="136"/>
      <c r="C46" s="136"/>
      <c r="D46" s="136"/>
      <c r="E46" s="136"/>
      <c r="F46" s="136"/>
    </row>
    <row r="47" spans="1:6" s="3" customFormat="1">
      <c r="A47" s="136"/>
      <c r="B47" s="136"/>
      <c r="C47" s="136"/>
      <c r="D47" s="136"/>
      <c r="E47" s="136"/>
      <c r="F47" s="136"/>
    </row>
    <row r="48" spans="1:6" s="3" customFormat="1">
      <c r="A48" s="136"/>
      <c r="B48" s="136"/>
      <c r="C48" s="136"/>
      <c r="D48" s="136"/>
      <c r="E48" s="136"/>
      <c r="F48" s="136"/>
    </row>
    <row r="49" spans="1:6" s="3" customFormat="1">
      <c r="A49" s="136"/>
      <c r="B49" s="136"/>
      <c r="C49" s="136"/>
      <c r="D49" s="136"/>
      <c r="E49" s="136"/>
      <c r="F49" s="136"/>
    </row>
    <row r="50" spans="1:6" s="3" customFormat="1">
      <c r="A50" s="136"/>
      <c r="B50" s="136"/>
      <c r="C50" s="136"/>
      <c r="D50" s="136"/>
      <c r="E50" s="136"/>
      <c r="F50" s="136"/>
    </row>
    <row r="51" spans="1:6" s="3" customFormat="1">
      <c r="A51" s="136"/>
      <c r="B51" s="136"/>
      <c r="C51" s="136"/>
      <c r="D51" s="136"/>
      <c r="E51" s="136"/>
      <c r="F51" s="136"/>
    </row>
    <row r="52" spans="1:6" s="3" customFormat="1">
      <c r="A52" s="136"/>
      <c r="B52" s="136"/>
      <c r="C52" s="136"/>
      <c r="D52" s="136"/>
      <c r="E52" s="136"/>
      <c r="F52" s="136"/>
    </row>
    <row r="53" spans="1:6" s="3" customFormat="1">
      <c r="A53" s="136"/>
      <c r="B53" s="136"/>
      <c r="C53" s="136"/>
      <c r="D53" s="136"/>
      <c r="E53" s="136"/>
      <c r="F53" s="136"/>
    </row>
    <row r="54" spans="1:6" s="3" customFormat="1">
      <c r="A54" s="136"/>
      <c r="B54" s="136"/>
      <c r="C54" s="136"/>
      <c r="D54" s="136"/>
      <c r="E54" s="136"/>
      <c r="F54" s="136"/>
    </row>
    <row r="55" spans="1:6" s="3" customFormat="1">
      <c r="A55" s="136"/>
      <c r="B55" s="136"/>
      <c r="C55" s="136"/>
      <c r="D55" s="136"/>
      <c r="E55" s="136"/>
      <c r="F55" s="136"/>
    </row>
    <row r="56" spans="1:6" s="3" customFormat="1">
      <c r="A56" s="136"/>
      <c r="B56" s="136"/>
      <c r="C56" s="136"/>
      <c r="D56" s="136"/>
      <c r="E56" s="136"/>
      <c r="F56" s="136"/>
    </row>
    <row r="57" spans="1:6" s="3" customFormat="1">
      <c r="A57" s="136"/>
      <c r="B57" s="136"/>
      <c r="C57" s="136"/>
      <c r="D57" s="136"/>
      <c r="E57" s="136"/>
      <c r="F57" s="136"/>
    </row>
    <row r="58" spans="1:6" s="3" customFormat="1">
      <c r="A58" s="136"/>
      <c r="B58" s="136"/>
      <c r="C58" s="136"/>
      <c r="D58" s="136"/>
      <c r="E58" s="136"/>
      <c r="F58" s="136"/>
    </row>
    <row r="59" spans="1:6" s="3" customFormat="1">
      <c r="A59" s="136"/>
      <c r="B59" s="136"/>
      <c r="C59" s="136"/>
      <c r="D59" s="136"/>
      <c r="E59" s="136"/>
      <c r="F59" s="136"/>
    </row>
    <row r="60" spans="1:6" s="3" customFormat="1">
      <c r="A60" s="136"/>
      <c r="B60" s="136"/>
      <c r="C60" s="136"/>
      <c r="D60" s="136"/>
      <c r="E60" s="136"/>
      <c r="F60" s="136"/>
    </row>
    <row r="61" spans="1:6" s="3" customFormat="1">
      <c r="A61" s="136"/>
      <c r="B61" s="136"/>
      <c r="C61" s="136"/>
      <c r="D61" s="136"/>
      <c r="E61" s="136"/>
      <c r="F61" s="136"/>
    </row>
    <row r="62" spans="1:6" s="3" customFormat="1">
      <c r="A62" s="136"/>
      <c r="B62" s="136"/>
      <c r="C62" s="136"/>
      <c r="D62" s="136"/>
      <c r="E62" s="136"/>
      <c r="F62" s="136"/>
    </row>
    <row r="63" spans="1:6" s="3" customFormat="1">
      <c r="A63" s="136"/>
      <c r="B63" s="136"/>
      <c r="C63" s="136"/>
      <c r="D63" s="136"/>
      <c r="E63" s="136"/>
      <c r="F63" s="136"/>
    </row>
    <row r="64" spans="1:6" s="3" customFormat="1">
      <c r="A64" s="136"/>
      <c r="B64" s="136"/>
      <c r="C64" s="136"/>
      <c r="D64" s="136"/>
      <c r="E64" s="136"/>
      <c r="F64" s="136"/>
    </row>
    <row r="65" spans="1:6" s="3" customFormat="1">
      <c r="A65" s="136"/>
      <c r="B65" s="136"/>
      <c r="C65" s="136"/>
      <c r="D65" s="136"/>
      <c r="E65" s="136"/>
      <c r="F65" s="136"/>
    </row>
    <row r="66" spans="1:6" s="3" customFormat="1">
      <c r="A66" s="136"/>
      <c r="B66" s="136"/>
      <c r="C66" s="136"/>
      <c r="D66" s="136"/>
      <c r="E66" s="136"/>
      <c r="F66" s="136"/>
    </row>
    <row r="67" spans="1:6" s="3" customFormat="1">
      <c r="A67" s="136"/>
      <c r="B67" s="136"/>
      <c r="C67" s="136"/>
      <c r="D67" s="136"/>
      <c r="E67" s="136"/>
      <c r="F67" s="136"/>
    </row>
    <row r="68" spans="1:6" s="3" customFormat="1">
      <c r="A68" s="136"/>
      <c r="B68" s="136"/>
      <c r="C68" s="136"/>
      <c r="D68" s="136"/>
      <c r="E68" s="136"/>
      <c r="F68" s="136"/>
    </row>
    <row r="69" spans="1:6" s="3" customFormat="1">
      <c r="A69" s="136"/>
      <c r="B69" s="136"/>
      <c r="C69" s="136"/>
      <c r="D69" s="136"/>
      <c r="E69" s="136"/>
      <c r="F69" s="136"/>
    </row>
    <row r="70" spans="1:6" s="3" customFormat="1">
      <c r="A70" s="136"/>
      <c r="B70" s="136"/>
      <c r="C70" s="136"/>
      <c r="D70" s="136"/>
      <c r="E70" s="136"/>
      <c r="F70" s="136"/>
    </row>
    <row r="71" spans="1:6" s="3" customFormat="1">
      <c r="A71" s="136"/>
      <c r="B71" s="136"/>
      <c r="C71" s="136"/>
      <c r="D71" s="136"/>
      <c r="E71" s="136"/>
      <c r="F71" s="136"/>
    </row>
    <row r="72" spans="1:6" s="3" customFormat="1">
      <c r="A72" s="136"/>
      <c r="B72" s="136"/>
      <c r="C72" s="136"/>
      <c r="D72" s="136"/>
      <c r="E72" s="136"/>
      <c r="F72" s="136"/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D34" sqref="D34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</cols>
  <sheetData>
    <row r="1" spans="1:385" s="3" customFormat="1" ht="14" thickBot="1">
      <c r="A1" s="63"/>
      <c r="D1" s="6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</row>
    <row r="2" spans="1:385" ht="19" customHeight="1">
      <c r="B2" s="168" t="s">
        <v>199</v>
      </c>
      <c r="C2" s="168"/>
      <c r="E2" s="169" t="str">
        <f>"FEUILLE COMPO "&amp;MATCH_NOUS</f>
        <v xml:space="preserve">FEUILLE COMPO </v>
      </c>
      <c r="F2" s="170"/>
      <c r="G2" s="170"/>
      <c r="H2" s="171"/>
    </row>
    <row r="3" spans="1:385" ht="19" customHeight="1">
      <c r="B3" s="168"/>
      <c r="C3" s="168"/>
      <c r="E3" s="172"/>
      <c r="F3" s="173"/>
      <c r="G3" s="173"/>
      <c r="H3" s="174"/>
    </row>
    <row r="4" spans="1:385" ht="19" customHeight="1" thickBot="1">
      <c r="B4" s="168"/>
      <c r="C4" s="168"/>
      <c r="E4" s="175"/>
      <c r="F4" s="176"/>
      <c r="G4" s="176"/>
      <c r="H4" s="177"/>
    </row>
    <row r="5" spans="1:385" s="3" customFormat="1">
      <c r="A5" s="63"/>
      <c r="D5" s="63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</row>
    <row r="6" spans="1:385">
      <c r="B6" s="42" t="s">
        <v>179</v>
      </c>
      <c r="C6" s="43"/>
      <c r="E6" t="s">
        <v>67</v>
      </c>
      <c r="F6" t="s">
        <v>68</v>
      </c>
      <c r="G6" t="s">
        <v>150</v>
      </c>
      <c r="H6" t="s">
        <v>149</v>
      </c>
    </row>
    <row r="7" spans="1:385">
      <c r="B7" s="3"/>
      <c r="C7" s="3"/>
      <c r="E7">
        <v>1</v>
      </c>
      <c r="G7" t="s">
        <v>152</v>
      </c>
    </row>
    <row r="8" spans="1:385">
      <c r="B8" s="42" t="s">
        <v>207</v>
      </c>
      <c r="C8" s="43"/>
      <c r="E8">
        <v>2</v>
      </c>
      <c r="G8" t="s">
        <v>152</v>
      </c>
    </row>
    <row r="9" spans="1:385">
      <c r="B9" s="3"/>
      <c r="C9" s="3"/>
      <c r="E9">
        <v>3</v>
      </c>
      <c r="G9" t="s">
        <v>152</v>
      </c>
    </row>
    <row r="10" spans="1:385">
      <c r="B10" s="42" t="s">
        <v>364</v>
      </c>
      <c r="C10" s="43"/>
      <c r="E10">
        <v>4</v>
      </c>
      <c r="G10" t="s">
        <v>152</v>
      </c>
    </row>
    <row r="11" spans="1:385">
      <c r="B11" s="3"/>
      <c r="C11" s="3"/>
      <c r="E11">
        <v>5</v>
      </c>
      <c r="G11" t="s">
        <v>152</v>
      </c>
    </row>
    <row r="12" spans="1:385">
      <c r="B12" s="42" t="s">
        <v>180</v>
      </c>
      <c r="C12" s="43"/>
      <c r="E12">
        <v>6</v>
      </c>
      <c r="G12" t="s">
        <v>152</v>
      </c>
    </row>
    <row r="13" spans="1:385">
      <c r="B13" s="3"/>
      <c r="C13" s="3"/>
      <c r="E13">
        <v>7</v>
      </c>
      <c r="G13" t="s">
        <v>152</v>
      </c>
    </row>
    <row r="14" spans="1:385">
      <c r="B14" s="42" t="s">
        <v>206</v>
      </c>
      <c r="C14" s="43"/>
      <c r="E14">
        <v>8</v>
      </c>
      <c r="G14" t="s">
        <v>152</v>
      </c>
    </row>
    <row r="15" spans="1:385">
      <c r="B15" s="3"/>
      <c r="C15" s="3"/>
      <c r="E15" s="35">
        <v>9</v>
      </c>
      <c r="F15" s="35"/>
      <c r="G15" s="35" t="s">
        <v>168</v>
      </c>
      <c r="H15" s="35"/>
    </row>
    <row r="16" spans="1:385">
      <c r="B16" s="42" t="s">
        <v>181</v>
      </c>
      <c r="C16" s="43"/>
      <c r="E16">
        <v>10</v>
      </c>
      <c r="G16" t="s">
        <v>168</v>
      </c>
    </row>
    <row r="17" spans="1:385">
      <c r="B17" s="3"/>
      <c r="C17" s="64"/>
      <c r="E17">
        <v>11</v>
      </c>
      <c r="G17" t="s">
        <v>168</v>
      </c>
    </row>
    <row r="18" spans="1:385">
      <c r="B18" s="42" t="s">
        <v>182</v>
      </c>
      <c r="C18" s="44"/>
      <c r="E18">
        <v>12</v>
      </c>
      <c r="G18" t="s">
        <v>168</v>
      </c>
    </row>
    <row r="19" spans="1:385">
      <c r="B19" s="3"/>
      <c r="C19" s="3"/>
      <c r="E19">
        <v>13</v>
      </c>
      <c r="G19" t="s">
        <v>168</v>
      </c>
    </row>
    <row r="20" spans="1:385">
      <c r="B20" s="42" t="s">
        <v>183</v>
      </c>
      <c r="C20" s="43"/>
      <c r="E20">
        <v>14</v>
      </c>
      <c r="G20" t="s">
        <v>168</v>
      </c>
    </row>
    <row r="21" spans="1:385">
      <c r="B21" s="3"/>
      <c r="C21" s="64"/>
      <c r="E21" s="30">
        <v>15</v>
      </c>
      <c r="F21" s="30"/>
      <c r="G21" s="30" t="s">
        <v>168</v>
      </c>
      <c r="H21" s="30"/>
    </row>
    <row r="22" spans="1:385">
      <c r="B22" s="42" t="s">
        <v>205</v>
      </c>
      <c r="C22" s="43"/>
      <c r="E22">
        <v>16</v>
      </c>
      <c r="G22" t="s">
        <v>152</v>
      </c>
    </row>
    <row r="23" spans="1:385">
      <c r="B23" s="3"/>
      <c r="C23" s="3"/>
      <c r="E23">
        <v>17</v>
      </c>
      <c r="G23" t="s">
        <v>152</v>
      </c>
    </row>
    <row r="24" spans="1:385">
      <c r="B24" s="3"/>
      <c r="C24" s="3"/>
      <c r="E24">
        <v>18</v>
      </c>
      <c r="G24" t="s">
        <v>152</v>
      </c>
    </row>
    <row r="25" spans="1:385">
      <c r="B25" s="3"/>
      <c r="C25" s="3"/>
      <c r="E25">
        <v>19</v>
      </c>
      <c r="G25" t="s">
        <v>152</v>
      </c>
    </row>
    <row r="26" spans="1:385">
      <c r="B26" s="3"/>
      <c r="C26" s="3"/>
      <c r="E26">
        <v>20</v>
      </c>
      <c r="G26" t="s">
        <v>168</v>
      </c>
    </row>
    <row r="27" spans="1:385">
      <c r="B27" s="3"/>
      <c r="C27" s="3"/>
      <c r="E27">
        <v>21</v>
      </c>
      <c r="G27" t="s">
        <v>168</v>
      </c>
    </row>
    <row r="28" spans="1:385">
      <c r="B28" s="3"/>
      <c r="C28" s="3"/>
      <c r="E28">
        <v>22</v>
      </c>
      <c r="G28" t="s">
        <v>168</v>
      </c>
    </row>
    <row r="29" spans="1:385" s="3" customFormat="1" hidden="1">
      <c r="A29" s="63"/>
      <c r="D29" s="63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</row>
    <row r="30" spans="1:385" s="3" customFormat="1">
      <c r="A30" s="63"/>
      <c r="D30" s="63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</row>
    <row r="31" spans="1:385" s="3" customFormat="1">
      <c r="A31" s="63"/>
      <c r="D31" s="63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</row>
    <row r="32" spans="1:385" s="3" customFormat="1">
      <c r="A32" s="63"/>
      <c r="D32" s="63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</row>
    <row r="33" spans="1:385" s="3" customFormat="1">
      <c r="A33" s="63"/>
      <c r="D33" s="6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</row>
    <row r="34" spans="1:385" s="3" customFormat="1">
      <c r="A34" s="63"/>
      <c r="D34" s="63"/>
      <c r="F34" s="97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</row>
    <row r="35" spans="1:385" s="3" customFormat="1">
      <c r="A35" s="63"/>
      <c r="D35" s="63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</row>
    <row r="36" spans="1:385" s="3" customFormat="1">
      <c r="A36" s="63"/>
      <c r="D36" s="63"/>
      <c r="F36" s="3" t="s">
        <v>66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</row>
    <row r="37" spans="1:385" s="3" customFormat="1">
      <c r="A37" s="63"/>
      <c r="D37" s="63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</row>
    <row r="38" spans="1:385" s="3" customFormat="1">
      <c r="A38" s="63"/>
      <c r="D38" s="63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</row>
    <row r="39" spans="1:385" s="3" customFormat="1">
      <c r="A39" s="63"/>
      <c r="D39" s="63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</row>
    <row r="40" spans="1:385" s="3" customFormat="1">
      <c r="A40" s="63"/>
      <c r="D40" s="63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</row>
    <row r="41" spans="1:385" s="3" customFormat="1">
      <c r="A41" s="63"/>
      <c r="D41" s="63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</row>
    <row r="42" spans="1:385" s="3" customFormat="1">
      <c r="A42" s="63"/>
      <c r="D42" s="63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</row>
    <row r="43" spans="1:385" s="3" customFormat="1">
      <c r="A43" s="63"/>
      <c r="D43" s="6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</row>
    <row r="44" spans="1:385" s="3" customFormat="1">
      <c r="A44" s="63"/>
      <c r="D44" s="63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</row>
    <row r="45" spans="1:385" s="3" customFormat="1">
      <c r="A45" s="63"/>
      <c r="D45" s="63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</row>
    <row r="46" spans="1:385" s="3" customFormat="1">
      <c r="A46" s="63"/>
      <c r="D46" s="63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</row>
    <row r="47" spans="1:385" s="3" customFormat="1">
      <c r="A47" s="63"/>
      <c r="D47" s="63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</row>
    <row r="48" spans="1:385" s="3" customFormat="1">
      <c r="A48" s="63"/>
      <c r="D48" s="63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</row>
    <row r="49" spans="1:385" s="3" customFormat="1">
      <c r="A49" s="63"/>
      <c r="D49" s="63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</row>
    <row r="50" spans="1:385" s="3" customFormat="1">
      <c r="A50" s="63"/>
      <c r="D50" s="63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</row>
    <row r="51" spans="1:385" s="3" customFormat="1">
      <c r="A51" s="63"/>
      <c r="D51" s="63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</row>
    <row r="52" spans="1:385" s="3" customFormat="1">
      <c r="A52" s="63"/>
      <c r="D52" s="63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</row>
    <row r="53" spans="1:385" s="3" customFormat="1">
      <c r="A53" s="63"/>
      <c r="D53" s="6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</row>
    <row r="54" spans="1:385" s="3" customFormat="1">
      <c r="A54" s="63"/>
      <c r="D54" s="63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</row>
    <row r="55" spans="1:385" s="3" customFormat="1">
      <c r="A55" s="63"/>
      <c r="D55" s="63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</row>
    <row r="56" spans="1:385" s="3" customFormat="1">
      <c r="A56" s="63"/>
      <c r="D56" s="63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</row>
    <row r="57" spans="1:385" s="3" customFormat="1">
      <c r="A57" s="63"/>
      <c r="D57" s="63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</row>
    <row r="58" spans="1:385" s="3" customFormat="1">
      <c r="A58" s="63"/>
      <c r="D58" s="63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</row>
    <row r="59" spans="1:385" s="3" customFormat="1" hidden="1">
      <c r="A59" s="63"/>
      <c r="B59" s="3" t="s">
        <v>184</v>
      </c>
      <c r="D59" s="63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</row>
    <row r="60" spans="1:385" s="3" customFormat="1">
      <c r="A60" s="63"/>
      <c r="D60" s="63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</row>
    <row r="61" spans="1:385" s="3" customFormat="1">
      <c r="A61" s="63"/>
      <c r="D61" s="63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</row>
    <row r="62" spans="1:385" s="3" customFormat="1">
      <c r="A62" s="63"/>
      <c r="D62" s="63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</row>
    <row r="63" spans="1:385" s="3" customFormat="1">
      <c r="A63" s="63"/>
      <c r="D63" s="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</row>
    <row r="64" spans="1:385" s="3" customFormat="1">
      <c r="A64" s="63"/>
      <c r="D64" s="63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</row>
    <row r="65" spans="1:385" s="3" customFormat="1">
      <c r="A65" s="63"/>
      <c r="D65" s="63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</row>
    <row r="66" spans="1:385" s="3" customFormat="1">
      <c r="A66" s="63"/>
      <c r="D66" s="63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</row>
    <row r="67" spans="1:385" s="3" customFormat="1">
      <c r="A67" s="63"/>
      <c r="D67" s="63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</row>
    <row r="68" spans="1:385" s="3" customFormat="1">
      <c r="A68" s="63"/>
      <c r="D68" s="63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</row>
    <row r="69" spans="1:385" s="3" customFormat="1">
      <c r="A69" s="63"/>
      <c r="D69" s="63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</row>
    <row r="70" spans="1:385" s="3" customFormat="1">
      <c r="A70" s="63"/>
      <c r="D70" s="63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</row>
    <row r="71" spans="1:385" s="3" customFormat="1">
      <c r="A71" s="63"/>
      <c r="D71" s="63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</row>
    <row r="72" spans="1:385" s="3" customFormat="1">
      <c r="A72" s="63"/>
      <c r="D72" s="63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</row>
    <row r="73" spans="1:385" s="3" customFormat="1">
      <c r="A73" s="63"/>
      <c r="D73" s="6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</row>
    <row r="74" spans="1:385" s="3" customFormat="1">
      <c r="A74" s="63"/>
      <c r="D74" s="63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</row>
    <row r="75" spans="1:385" s="3" customFormat="1">
      <c r="A75" s="63"/>
      <c r="D75" s="63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</row>
    <row r="76" spans="1:385" s="3" customFormat="1">
      <c r="A76" s="63"/>
      <c r="D76" s="63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</row>
    <row r="77" spans="1:385" s="3" customFormat="1">
      <c r="A77" s="63"/>
      <c r="D77" s="63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</row>
    <row r="78" spans="1:385" s="3" customFormat="1">
      <c r="A78" s="63"/>
      <c r="D78" s="63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</row>
    <row r="79" spans="1:385" s="3" customFormat="1">
      <c r="A79" s="63"/>
      <c r="D79" s="63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</row>
    <row r="80" spans="1:385" s="3" customFormat="1">
      <c r="A80" s="63"/>
      <c r="D80" s="63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</row>
    <row r="81" spans="1:385" s="3" customFormat="1">
      <c r="A81" s="63"/>
      <c r="D81" s="63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</row>
    <row r="82" spans="1:385" s="3" customFormat="1">
      <c r="A82" s="63"/>
      <c r="D82" s="63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</row>
    <row r="83" spans="1:385" s="3" customFormat="1">
      <c r="A83" s="63"/>
      <c r="D83" s="6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</row>
    <row r="84" spans="1:385" s="3" customFormat="1">
      <c r="A84" s="63"/>
      <c r="D84" s="63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</row>
    <row r="85" spans="1:385" s="3" customFormat="1">
      <c r="A85" s="63"/>
      <c r="D85" s="63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</row>
    <row r="86" spans="1:385" s="3" customFormat="1">
      <c r="A86" s="63"/>
      <c r="D86" s="63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</row>
    <row r="87" spans="1:385" s="3" customFormat="1">
      <c r="A87" s="63"/>
      <c r="D87" s="63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</row>
    <row r="88" spans="1:385" s="3" customFormat="1">
      <c r="A88" s="63"/>
      <c r="D88" s="63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</row>
    <row r="89" spans="1:385" s="3" customFormat="1">
      <c r="A89" s="63"/>
      <c r="D89" s="63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</row>
    <row r="90" spans="1:385" s="3" customFormat="1">
      <c r="A90" s="63"/>
      <c r="D90" s="63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</row>
    <row r="91" spans="1:385" s="3" customFormat="1">
      <c r="A91" s="63"/>
      <c r="D91" s="63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</row>
    <row r="92" spans="1:385" s="3" customFormat="1">
      <c r="A92" s="63"/>
      <c r="D92" s="63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</row>
    <row r="93" spans="1:385" s="3" customFormat="1">
      <c r="A93" s="63"/>
      <c r="D93" s="6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</row>
    <row r="94" spans="1:385" s="3" customFormat="1">
      <c r="A94" s="63"/>
      <c r="D94" s="63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</row>
    <row r="95" spans="1:385" s="3" customFormat="1">
      <c r="A95" s="63"/>
      <c r="D95" s="63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</row>
    <row r="96" spans="1:385" s="3" customFormat="1">
      <c r="A96" s="63"/>
      <c r="D96" s="63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</row>
    <row r="97" spans="1:385" s="3" customFormat="1">
      <c r="A97" s="63"/>
      <c r="D97" s="63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</row>
    <row r="98" spans="1:385" s="3" customFormat="1">
      <c r="A98" s="63"/>
      <c r="D98" s="63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</row>
    <row r="99" spans="1:385" s="3" customFormat="1">
      <c r="A99" s="63"/>
      <c r="D99" s="63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</row>
    <row r="100" spans="1:385" s="3" customFormat="1">
      <c r="A100" s="63"/>
      <c r="D100" s="63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</row>
    <row r="101" spans="1:385" s="3" customFormat="1">
      <c r="A101" s="63"/>
      <c r="D101" s="63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</row>
    <row r="102" spans="1:385" s="3" customFormat="1">
      <c r="A102" s="63"/>
      <c r="D102" s="63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</row>
    <row r="103" spans="1:385" s="3" customFormat="1">
      <c r="A103" s="63"/>
      <c r="D103" s="6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</row>
    <row r="104" spans="1:385" s="3" customFormat="1">
      <c r="A104" s="63"/>
      <c r="D104" s="63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</row>
    <row r="105" spans="1:385" s="3" customFormat="1">
      <c r="A105" s="63"/>
      <c r="D105" s="63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</row>
    <row r="106" spans="1:385" s="3" customFormat="1">
      <c r="A106" s="63"/>
      <c r="D106" s="63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</row>
    <row r="107" spans="1:385" s="3" customFormat="1">
      <c r="A107" s="63"/>
      <c r="D107" s="63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</row>
    <row r="108" spans="1:385" s="3" customFormat="1">
      <c r="A108" s="63"/>
      <c r="D108" s="63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</row>
    <row r="109" spans="1:385" s="3" customFormat="1">
      <c r="A109" s="63"/>
      <c r="D109" s="63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</row>
    <row r="110" spans="1:385" s="3" customFormat="1">
      <c r="A110" s="63"/>
      <c r="D110" s="63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</row>
    <row r="111" spans="1:385" s="3" customFormat="1">
      <c r="A111" s="63"/>
      <c r="D111" s="63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</row>
    <row r="112" spans="1:385" s="3" customFormat="1">
      <c r="A112" s="63"/>
      <c r="D112" s="63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</row>
    <row r="113" spans="1:385" s="3" customFormat="1">
      <c r="A113" s="63"/>
      <c r="D113" s="6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</row>
    <row r="114" spans="1:385" s="3" customFormat="1">
      <c r="A114" s="63"/>
      <c r="D114" s="63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</row>
    <row r="115" spans="1:385" s="3" customFormat="1">
      <c r="A115" s="63"/>
      <c r="D115" s="63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</row>
    <row r="116" spans="1:385" s="3" customFormat="1">
      <c r="A116" s="63"/>
      <c r="D116" s="63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</row>
    <row r="117" spans="1:385" s="3" customFormat="1">
      <c r="A117" s="63"/>
      <c r="D117" s="63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</row>
    <row r="118" spans="1:385" s="3" customFormat="1">
      <c r="A118" s="63"/>
      <c r="D118" s="63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</row>
    <row r="119" spans="1:385" s="3" customFormat="1">
      <c r="A119" s="63"/>
      <c r="D119" s="63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</row>
    <row r="120" spans="1:385" s="3" customFormat="1">
      <c r="A120" s="63"/>
      <c r="D120" s="63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</row>
    <row r="121" spans="1:385" s="3" customFormat="1">
      <c r="A121" s="63"/>
      <c r="D121" s="63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</row>
    <row r="122" spans="1:385" s="3" customFormat="1">
      <c r="A122" s="63"/>
      <c r="D122" s="63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</row>
    <row r="123" spans="1:385" s="3" customFormat="1">
      <c r="A123" s="63"/>
      <c r="D123" s="6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</row>
    <row r="124" spans="1:385" s="3" customFormat="1">
      <c r="A124" s="63"/>
      <c r="D124" s="63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</row>
    <row r="125" spans="1:385" s="3" customFormat="1">
      <c r="A125" s="63"/>
      <c r="D125" s="63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</row>
    <row r="126" spans="1:385" s="3" customFormat="1">
      <c r="A126" s="63"/>
      <c r="D126" s="63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</row>
    <row r="127" spans="1:385" s="3" customFormat="1">
      <c r="A127" s="63"/>
      <c r="D127" s="63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</row>
    <row r="128" spans="1:385" s="3" customFormat="1">
      <c r="A128" s="63"/>
      <c r="D128" s="63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</row>
    <row r="129" spans="1:385" s="3" customFormat="1">
      <c r="A129" s="63"/>
      <c r="D129" s="63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</row>
    <row r="130" spans="1:385" s="3" customFormat="1">
      <c r="A130" s="63"/>
      <c r="D130" s="63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</row>
    <row r="131" spans="1:385" s="3" customFormat="1">
      <c r="A131" s="63"/>
      <c r="D131" s="63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</row>
    <row r="132" spans="1:385" s="3" customFormat="1">
      <c r="A132" s="63"/>
      <c r="D132" s="63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</row>
    <row r="133" spans="1:385" s="3" customFormat="1">
      <c r="A133" s="63"/>
      <c r="D133" s="6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</row>
    <row r="134" spans="1:385" s="3" customFormat="1">
      <c r="A134" s="63"/>
      <c r="D134" s="63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</row>
    <row r="135" spans="1:385" s="3" customFormat="1">
      <c r="A135" s="63"/>
      <c r="D135" s="63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</row>
    <row r="136" spans="1:385" s="3" customFormat="1">
      <c r="A136" s="63"/>
      <c r="D136" s="63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</row>
    <row r="137" spans="1:385" s="3" customFormat="1">
      <c r="A137" s="63"/>
      <c r="D137" s="63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topLeftCell="A3" zoomScaleNormal="100" workbookViewId="0">
      <selection activeCell="AJ18" sqref="AJ18:AP18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6"/>
      <c r="B1" s="222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 xml:space="preserve">Match PF  :  / 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  <c r="AL1" s="223"/>
      <c r="AM1" s="223"/>
      <c r="AN1" s="223"/>
      <c r="AO1" s="223"/>
      <c r="AP1" s="223"/>
      <c r="AQ1" s="223"/>
      <c r="AR1" s="223"/>
      <c r="AS1" s="223"/>
      <c r="AT1" s="223"/>
      <c r="AU1" s="223"/>
      <c r="AV1" s="223"/>
      <c r="AW1" s="223"/>
      <c r="AX1" s="223"/>
      <c r="AY1" s="223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</row>
    <row r="2" spans="1:88" ht="10" customHeight="1" thickBot="1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</row>
    <row r="3" spans="1:88" ht="10" customHeight="1">
      <c r="A3" s="136"/>
      <c r="B3" s="138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40"/>
      <c r="AZ3" s="136"/>
      <c r="BA3" s="138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40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136"/>
      <c r="CC3" s="136"/>
      <c r="CD3" s="136"/>
      <c r="CE3" s="136"/>
      <c r="CF3" s="136"/>
      <c r="CG3" s="136"/>
      <c r="CH3" s="136"/>
      <c r="CI3" s="136"/>
      <c r="CJ3" s="136"/>
    </row>
    <row r="4" spans="1:88" ht="42" customHeight="1">
      <c r="A4" s="136"/>
      <c r="B4" s="137"/>
      <c r="C4" s="178" t="s">
        <v>123</v>
      </c>
      <c r="D4" s="179"/>
      <c r="E4" s="179"/>
      <c r="F4" s="179"/>
      <c r="G4" s="179"/>
      <c r="H4" s="179"/>
      <c r="I4" s="179"/>
      <c r="J4" s="179"/>
      <c r="K4" s="136"/>
      <c r="L4" s="196" t="s">
        <v>39</v>
      </c>
      <c r="M4" s="197"/>
      <c r="N4" s="197"/>
      <c r="O4" s="197"/>
      <c r="P4" s="197"/>
      <c r="Q4" s="197"/>
      <c r="R4" s="198"/>
      <c r="S4" s="136"/>
      <c r="T4" s="196" t="s">
        <v>55</v>
      </c>
      <c r="U4" s="197"/>
      <c r="V4" s="197"/>
      <c r="W4" s="197"/>
      <c r="X4" s="197"/>
      <c r="Y4" s="197"/>
      <c r="Z4" s="198"/>
      <c r="AA4" s="136"/>
      <c r="AB4" s="178" t="s">
        <v>402</v>
      </c>
      <c r="AC4" s="179"/>
      <c r="AD4" s="179"/>
      <c r="AE4" s="179"/>
      <c r="AF4" s="179"/>
      <c r="AG4" s="179"/>
      <c r="AH4" s="179"/>
      <c r="AI4" s="136"/>
      <c r="AJ4" s="199" t="s">
        <v>43</v>
      </c>
      <c r="AK4" s="200"/>
      <c r="AL4" s="200"/>
      <c r="AM4" s="200"/>
      <c r="AN4" s="200"/>
      <c r="AO4" s="200"/>
      <c r="AP4" s="201"/>
      <c r="AQ4" s="136"/>
      <c r="AR4" s="199" t="s">
        <v>44</v>
      </c>
      <c r="AS4" s="200"/>
      <c r="AT4" s="200"/>
      <c r="AU4" s="200"/>
      <c r="AV4" s="200"/>
      <c r="AW4" s="200"/>
      <c r="AX4" s="201"/>
      <c r="AY4" s="141"/>
      <c r="AZ4" s="136"/>
      <c r="BA4" s="137"/>
      <c r="BB4" s="160" t="s">
        <v>38</v>
      </c>
      <c r="BC4" s="136"/>
      <c r="BD4" s="14" t="s">
        <v>29</v>
      </c>
      <c r="BE4" s="136"/>
      <c r="BF4" s="14" t="s">
        <v>51</v>
      </c>
      <c r="BG4" s="136"/>
      <c r="BH4" s="14" t="s">
        <v>140</v>
      </c>
      <c r="BI4" s="136"/>
      <c r="BJ4" s="14" t="s">
        <v>30</v>
      </c>
      <c r="BK4" s="136"/>
      <c r="BL4" s="14" t="s">
        <v>31</v>
      </c>
      <c r="BM4" s="141"/>
      <c r="BN4" s="136"/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</row>
    <row r="5" spans="1:88" ht="10" customHeight="1" thickBot="1">
      <c r="A5" s="136"/>
      <c r="B5" s="142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4"/>
      <c r="AZ5" s="136"/>
      <c r="BA5" s="142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4"/>
      <c r="BN5" s="136"/>
      <c r="BO5" s="136"/>
      <c r="BP5" s="136"/>
      <c r="BQ5" s="136"/>
      <c r="BR5" s="136"/>
      <c r="BS5" s="136"/>
      <c r="BT5" s="136"/>
      <c r="BU5" s="136"/>
      <c r="BV5" s="136"/>
      <c r="BW5" s="136"/>
      <c r="BX5" s="136"/>
      <c r="BY5" s="136"/>
      <c r="BZ5" s="136"/>
      <c r="CA5" s="136"/>
      <c r="CB5" s="136"/>
      <c r="CC5" s="136"/>
      <c r="CD5" s="136"/>
      <c r="CE5" s="136"/>
      <c r="CF5" s="136"/>
      <c r="CG5" s="136"/>
      <c r="CH5" s="136"/>
      <c r="CI5" s="136"/>
      <c r="CJ5" s="136"/>
    </row>
    <row r="6" spans="1:88" ht="10" customHeight="1" thickBot="1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  <c r="AY6" s="136"/>
      <c r="AZ6" s="136"/>
      <c r="BA6" s="136"/>
      <c r="BB6" s="136"/>
      <c r="BC6" s="136"/>
      <c r="BD6" s="136"/>
      <c r="BE6" s="136"/>
      <c r="BF6" s="136"/>
      <c r="BG6" s="136"/>
      <c r="BH6" s="136"/>
      <c r="BI6" s="136"/>
      <c r="BJ6" s="136"/>
      <c r="BK6" s="136"/>
      <c r="BL6" s="136"/>
      <c r="BM6" s="136"/>
      <c r="BN6" s="136"/>
      <c r="BO6" s="136"/>
      <c r="BP6" s="136"/>
      <c r="BQ6" s="136"/>
      <c r="BR6" s="136"/>
      <c r="BS6" s="136"/>
      <c r="BT6" s="136"/>
      <c r="BU6" s="136"/>
      <c r="BV6" s="136"/>
      <c r="BW6" s="136"/>
      <c r="BX6" s="136"/>
      <c r="BY6" s="136"/>
      <c r="BZ6" s="136"/>
      <c r="CA6" s="136"/>
      <c r="CB6" s="136"/>
      <c r="CC6" s="136"/>
      <c r="CD6" s="136"/>
      <c r="CE6" s="136"/>
      <c r="CF6" s="136"/>
      <c r="CG6" s="136"/>
      <c r="CH6" s="136"/>
      <c r="CI6" s="136"/>
      <c r="CJ6" s="136"/>
    </row>
    <row r="7" spans="1:88" ht="10" customHeight="1">
      <c r="A7" s="136"/>
      <c r="B7" s="138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40"/>
      <c r="AZ7" s="136"/>
      <c r="BA7" s="138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40"/>
      <c r="BN7" s="136"/>
      <c r="BO7" s="187" t="s">
        <v>365</v>
      </c>
      <c r="BP7" s="188"/>
      <c r="BQ7" s="189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</row>
    <row r="8" spans="1:88" ht="26" customHeight="1">
      <c r="A8" s="136"/>
      <c r="B8" s="137"/>
      <c r="C8" s="202" t="s">
        <v>240</v>
      </c>
      <c r="D8" s="179"/>
      <c r="E8" s="179"/>
      <c r="F8" s="179"/>
      <c r="G8" s="179"/>
      <c r="H8" s="179"/>
      <c r="I8" s="179"/>
      <c r="J8" s="136"/>
      <c r="K8" s="203"/>
      <c r="L8" s="204"/>
      <c r="M8" s="204"/>
      <c r="N8" s="204"/>
      <c r="O8" s="204"/>
      <c r="P8" s="204"/>
      <c r="Q8" s="205"/>
      <c r="R8" s="136"/>
      <c r="S8" s="206"/>
      <c r="T8" s="207"/>
      <c r="U8" s="207"/>
      <c r="V8" s="207"/>
      <c r="W8" s="207"/>
      <c r="X8" s="207"/>
      <c r="Y8" s="208"/>
      <c r="Z8" s="136"/>
      <c r="AA8" s="209"/>
      <c r="AB8" s="210"/>
      <c r="AC8" s="210"/>
      <c r="AD8" s="210"/>
      <c r="AE8" s="210"/>
      <c r="AF8" s="210"/>
      <c r="AG8" s="211"/>
      <c r="AH8" s="136"/>
      <c r="AI8" s="212"/>
      <c r="AJ8" s="213"/>
      <c r="AK8" s="213"/>
      <c r="AL8" s="213"/>
      <c r="AM8" s="213"/>
      <c r="AN8" s="213"/>
      <c r="AO8" s="214"/>
      <c r="AP8" s="136"/>
      <c r="AQ8" s="215" t="s">
        <v>401</v>
      </c>
      <c r="AR8" s="216"/>
      <c r="AS8" s="216"/>
      <c r="AT8" s="216"/>
      <c r="AU8" s="216"/>
      <c r="AV8" s="216"/>
      <c r="AW8" s="217"/>
      <c r="AX8" s="136"/>
      <c r="AY8" s="141"/>
      <c r="AZ8" s="136"/>
      <c r="BA8" s="137"/>
      <c r="BB8" s="160" t="s">
        <v>48</v>
      </c>
      <c r="BC8" s="136"/>
      <c r="BD8" s="7" t="s">
        <v>33</v>
      </c>
      <c r="BE8" s="136"/>
      <c r="BF8" s="7" t="s">
        <v>34</v>
      </c>
      <c r="BG8" s="136"/>
      <c r="BH8" s="7" t="s">
        <v>35</v>
      </c>
      <c r="BI8" s="136"/>
      <c r="BJ8" s="7" t="s">
        <v>36</v>
      </c>
      <c r="BK8" s="136"/>
      <c r="BL8" s="2" t="s">
        <v>37</v>
      </c>
      <c r="BM8" s="141"/>
      <c r="BN8" s="136"/>
      <c r="BO8" s="190"/>
      <c r="BP8" s="191"/>
      <c r="BQ8" s="192"/>
      <c r="BR8" s="136"/>
      <c r="BS8" s="136"/>
      <c r="BT8" s="136"/>
      <c r="BU8" s="136"/>
      <c r="BV8" s="136"/>
      <c r="BW8" s="136"/>
      <c r="BX8" s="136"/>
      <c r="BY8" s="136"/>
      <c r="BZ8" s="136"/>
      <c r="CA8" s="136"/>
      <c r="CB8" s="136"/>
      <c r="CC8" s="136"/>
      <c r="CD8" s="136"/>
      <c r="CE8" s="136"/>
      <c r="CF8" s="136"/>
      <c r="CG8" s="136"/>
      <c r="CH8" s="136"/>
      <c r="CI8" s="136"/>
      <c r="CJ8" s="136"/>
    </row>
    <row r="9" spans="1:88" ht="10" customHeight="1" thickBot="1">
      <c r="A9" s="136"/>
      <c r="B9" s="142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4"/>
      <c r="AZ9" s="136"/>
      <c r="BA9" s="142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4"/>
      <c r="BN9" s="136"/>
      <c r="BO9" s="193"/>
      <c r="BP9" s="194"/>
      <c r="BQ9" s="195"/>
      <c r="BR9" s="136"/>
      <c r="BS9" s="136"/>
      <c r="BT9" s="136"/>
      <c r="BU9" s="136"/>
      <c r="BV9" s="136"/>
      <c r="BW9" s="136"/>
      <c r="BX9" s="136"/>
      <c r="BY9" s="136"/>
      <c r="BZ9" s="136"/>
      <c r="CA9" s="136"/>
      <c r="CB9" s="136"/>
      <c r="CC9" s="136"/>
      <c r="CD9" s="136"/>
      <c r="CE9" s="136"/>
      <c r="CF9" s="136"/>
      <c r="CG9" s="136"/>
      <c r="CH9" s="136"/>
      <c r="CI9" s="136"/>
      <c r="CJ9" s="136"/>
    </row>
    <row r="10" spans="1:88" ht="10" customHeight="1" thickBot="1">
      <c r="A10" s="136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</row>
    <row r="11" spans="1:88" ht="10" customHeight="1">
      <c r="A11" s="136"/>
      <c r="B11" s="138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39"/>
      <c r="AX11" s="139"/>
      <c r="AY11" s="140"/>
      <c r="AZ11" s="136"/>
      <c r="BA11" s="138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39"/>
      <c r="BN11" s="139"/>
      <c r="BO11" s="139"/>
      <c r="BP11" s="139"/>
      <c r="BQ11" s="139"/>
      <c r="BR11" s="139"/>
      <c r="BS11" s="140"/>
      <c r="BT11" s="136"/>
      <c r="BU11" s="136"/>
      <c r="BV11" s="136"/>
      <c r="BW11" s="136"/>
      <c r="BX11" s="136"/>
      <c r="BY11" s="136"/>
      <c r="BZ11" s="136"/>
      <c r="CA11" s="136"/>
      <c r="CB11" s="136"/>
      <c r="CC11" s="136"/>
      <c r="CD11" s="136"/>
      <c r="CE11" s="136"/>
      <c r="CF11" s="136"/>
      <c r="CG11" s="136"/>
      <c r="CH11" s="136"/>
      <c r="CI11" s="136"/>
      <c r="CJ11" s="136"/>
    </row>
    <row r="12" spans="1:88" ht="15" customHeight="1">
      <c r="A12" s="136"/>
      <c r="B12" s="137"/>
      <c r="C12" s="186" t="s">
        <v>18</v>
      </c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41"/>
      <c r="AZ12" s="136"/>
      <c r="BA12" s="137"/>
      <c r="BB12" s="186" t="s">
        <v>19</v>
      </c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41"/>
      <c r="BT12" s="136"/>
      <c r="BU12" s="136"/>
      <c r="BV12" s="136"/>
      <c r="BW12" s="136"/>
      <c r="BX12" s="136"/>
      <c r="BY12" s="136"/>
      <c r="BZ12" s="136"/>
      <c r="CA12" s="136"/>
      <c r="CB12" s="136"/>
      <c r="CC12" s="136"/>
      <c r="CD12" s="136"/>
      <c r="CE12" s="136"/>
      <c r="CF12" s="136"/>
      <c r="CG12" s="136"/>
      <c r="CH12" s="136"/>
      <c r="CI12" s="136"/>
      <c r="CJ12" s="136"/>
    </row>
    <row r="13" spans="1:88" ht="13" customHeight="1">
      <c r="A13" s="136"/>
      <c r="B13" s="137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6"/>
      <c r="AT13" s="136"/>
      <c r="AU13" s="136"/>
      <c r="AV13" s="136"/>
      <c r="AW13" s="136"/>
      <c r="AX13" s="136"/>
      <c r="AY13" s="141"/>
      <c r="AZ13" s="136"/>
      <c r="BA13" s="137"/>
      <c r="BB13" s="136"/>
      <c r="BC13" s="136"/>
      <c r="BD13" s="136"/>
      <c r="BE13" s="136"/>
      <c r="BF13" s="136"/>
      <c r="BG13" s="136"/>
      <c r="BH13" s="136"/>
      <c r="BI13" s="136"/>
      <c r="BJ13" s="136"/>
      <c r="BK13" s="136"/>
      <c r="BL13" s="136"/>
      <c r="BM13" s="136"/>
      <c r="BN13" s="136"/>
      <c r="BO13" s="136"/>
      <c r="BP13" s="136"/>
      <c r="BQ13" s="136"/>
      <c r="BR13" s="136"/>
      <c r="BS13" s="141"/>
      <c r="BT13" s="136"/>
      <c r="BU13" s="136"/>
      <c r="BV13" s="136"/>
      <c r="BW13" s="136"/>
      <c r="BX13" s="136"/>
      <c r="BY13" s="136"/>
      <c r="BZ13" s="136"/>
      <c r="CA13" s="136"/>
      <c r="CB13" s="136"/>
      <c r="CC13" s="136"/>
      <c r="CD13" s="136"/>
      <c r="CE13" s="136"/>
      <c r="CF13" s="136"/>
      <c r="CG13" s="136"/>
      <c r="CH13" s="136"/>
      <c r="CI13" s="136"/>
      <c r="CJ13" s="136"/>
    </row>
    <row r="14" spans="1:88" ht="42" customHeight="1">
      <c r="A14" s="136"/>
      <c r="B14" s="137"/>
      <c r="C14" s="218">
        <v>1</v>
      </c>
      <c r="D14" s="181"/>
      <c r="E14" s="181"/>
      <c r="F14" s="181"/>
      <c r="G14" s="181"/>
      <c r="H14" s="181"/>
      <c r="I14" s="182"/>
      <c r="J14" s="136"/>
      <c r="K14" s="218">
        <v>2</v>
      </c>
      <c r="L14" s="181"/>
      <c r="M14" s="181"/>
      <c r="N14" s="181"/>
      <c r="O14" s="181"/>
      <c r="P14" s="181"/>
      <c r="Q14" s="182"/>
      <c r="R14" s="136"/>
      <c r="S14" s="218">
        <v>3</v>
      </c>
      <c r="T14" s="181"/>
      <c r="U14" s="181"/>
      <c r="V14" s="181"/>
      <c r="W14" s="181"/>
      <c r="X14" s="181"/>
      <c r="Y14" s="182"/>
      <c r="Z14" s="136"/>
      <c r="AA14" s="136"/>
      <c r="AB14" s="136"/>
      <c r="AC14" s="136"/>
      <c r="AD14" s="218">
        <v>9</v>
      </c>
      <c r="AE14" s="181"/>
      <c r="AF14" s="181"/>
      <c r="AG14" s="181"/>
      <c r="AH14" s="181"/>
      <c r="AI14" s="181"/>
      <c r="AJ14" s="182"/>
      <c r="AK14" s="136"/>
      <c r="AL14" s="136"/>
      <c r="AM14" s="136"/>
      <c r="AN14" s="136"/>
      <c r="AO14" s="136"/>
      <c r="AP14" s="218">
        <v>10</v>
      </c>
      <c r="AQ14" s="181"/>
      <c r="AR14" s="181"/>
      <c r="AS14" s="181"/>
      <c r="AT14" s="181"/>
      <c r="AU14" s="181"/>
      <c r="AV14" s="182"/>
      <c r="AW14" s="136"/>
      <c r="AX14" s="136"/>
      <c r="AY14" s="141"/>
      <c r="AZ14" s="136"/>
      <c r="BA14" s="137"/>
      <c r="BB14" s="160" t="s">
        <v>263</v>
      </c>
      <c r="BC14" s="136"/>
      <c r="BD14" s="5" t="s">
        <v>22</v>
      </c>
      <c r="BE14" s="136"/>
      <c r="BF14" s="5" t="s">
        <v>20</v>
      </c>
      <c r="BG14" s="136"/>
      <c r="BH14" s="5" t="s">
        <v>23</v>
      </c>
      <c r="BI14" s="136"/>
      <c r="BJ14" s="5" t="s">
        <v>24</v>
      </c>
      <c r="BK14" s="136"/>
      <c r="BL14" s="5" t="s">
        <v>21</v>
      </c>
      <c r="BM14" s="136"/>
      <c r="BN14" s="160" t="s">
        <v>221</v>
      </c>
      <c r="BO14" s="136"/>
      <c r="BP14" s="5" t="s">
        <v>25</v>
      </c>
      <c r="BQ14" s="136"/>
      <c r="BR14" s="5" t="s">
        <v>26</v>
      </c>
      <c r="BS14" s="141"/>
      <c r="BT14" s="136"/>
      <c r="BU14" s="136"/>
      <c r="BV14" s="136"/>
      <c r="BW14" s="136"/>
      <c r="BX14" s="136"/>
      <c r="BY14" s="136"/>
      <c r="BZ14" s="136"/>
      <c r="CA14" s="136"/>
      <c r="CB14" s="136"/>
      <c r="CC14" s="136"/>
      <c r="CD14" s="136"/>
      <c r="CE14" s="136"/>
      <c r="CF14" s="136"/>
      <c r="CG14" s="136"/>
      <c r="CH14" s="136"/>
      <c r="CI14" s="136"/>
      <c r="CJ14" s="136"/>
    </row>
    <row r="15" spans="1:88" ht="10" customHeight="1">
      <c r="A15" s="136"/>
      <c r="B15" s="137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36"/>
      <c r="AY15" s="141"/>
      <c r="AZ15" s="136"/>
      <c r="BA15" s="137"/>
      <c r="BB15" s="136"/>
      <c r="BC15" s="136"/>
      <c r="BD15" s="136"/>
      <c r="BE15" s="136"/>
      <c r="BF15" s="136"/>
      <c r="BG15" s="136"/>
      <c r="BH15" s="136"/>
      <c r="BI15" s="136"/>
      <c r="BJ15" s="136"/>
      <c r="BK15" s="136"/>
      <c r="BL15" s="136"/>
      <c r="BM15" s="136"/>
      <c r="BN15" s="136"/>
      <c r="BO15" s="136"/>
      <c r="BP15" s="136"/>
      <c r="BQ15" s="136"/>
      <c r="BR15" s="136"/>
      <c r="BS15" s="141"/>
      <c r="BT15" s="136"/>
      <c r="BU15" s="136"/>
      <c r="BV15" s="136"/>
      <c r="BW15" s="136"/>
      <c r="BX15" s="136"/>
      <c r="BY15" s="136"/>
      <c r="BZ15" s="136"/>
      <c r="CA15" s="136"/>
      <c r="CB15" s="136"/>
      <c r="CC15" s="136"/>
      <c r="CD15" s="136"/>
      <c r="CE15" s="136"/>
      <c r="CF15" s="136"/>
      <c r="CG15" s="136"/>
      <c r="CH15" s="136"/>
      <c r="CI15" s="136"/>
      <c r="CJ15" s="136"/>
    </row>
    <row r="16" spans="1:88" ht="42" customHeight="1">
      <c r="A16" s="136"/>
      <c r="B16" s="137"/>
      <c r="C16" s="136"/>
      <c r="D16" s="136"/>
      <c r="E16" s="136"/>
      <c r="F16" s="136"/>
      <c r="G16" s="218">
        <v>4</v>
      </c>
      <c r="H16" s="181"/>
      <c r="I16" s="181"/>
      <c r="J16" s="181"/>
      <c r="K16" s="181"/>
      <c r="L16" s="181"/>
      <c r="M16" s="182"/>
      <c r="N16" s="136"/>
      <c r="O16" s="218">
        <v>5</v>
      </c>
      <c r="P16" s="181"/>
      <c r="Q16" s="181"/>
      <c r="R16" s="181"/>
      <c r="S16" s="181"/>
      <c r="T16" s="181"/>
      <c r="U16" s="182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218">
        <v>12</v>
      </c>
      <c r="AG16" s="181"/>
      <c r="AH16" s="181"/>
      <c r="AI16" s="181"/>
      <c r="AJ16" s="181"/>
      <c r="AK16" s="181"/>
      <c r="AL16" s="182"/>
      <c r="AM16" s="136"/>
      <c r="AN16" s="218">
        <v>13</v>
      </c>
      <c r="AO16" s="181"/>
      <c r="AP16" s="181"/>
      <c r="AQ16" s="181"/>
      <c r="AR16" s="181"/>
      <c r="AS16" s="181"/>
      <c r="AT16" s="182"/>
      <c r="AU16" s="136"/>
      <c r="AV16" s="136"/>
      <c r="AW16" s="136"/>
      <c r="AX16" s="136"/>
      <c r="AY16" s="141"/>
      <c r="AZ16" s="136"/>
      <c r="BA16" s="137"/>
      <c r="BB16" s="160" t="s">
        <v>220</v>
      </c>
      <c r="BC16" s="136"/>
      <c r="BD16" s="5" t="s">
        <v>25</v>
      </c>
      <c r="BE16" s="136"/>
      <c r="BF16" s="5" t="s">
        <v>26</v>
      </c>
      <c r="BG16" s="136"/>
      <c r="BH16" s="5" t="s">
        <v>45</v>
      </c>
      <c r="BI16" s="136"/>
      <c r="BJ16" s="136"/>
      <c r="BK16" s="136"/>
      <c r="BL16" s="160" t="s">
        <v>279</v>
      </c>
      <c r="BM16" s="136"/>
      <c r="BN16" s="14" t="s">
        <v>241</v>
      </c>
      <c r="BO16" s="136"/>
      <c r="BP16" s="14" t="s">
        <v>277</v>
      </c>
      <c r="BQ16" s="136"/>
      <c r="BR16" s="14" t="s">
        <v>278</v>
      </c>
      <c r="BS16" s="141"/>
      <c r="BT16" s="136"/>
      <c r="BU16" s="136"/>
      <c r="BV16" s="136"/>
      <c r="BW16" s="136"/>
      <c r="BX16" s="136"/>
      <c r="BY16" s="136"/>
      <c r="BZ16" s="136"/>
      <c r="CA16" s="136"/>
      <c r="CB16" s="136"/>
      <c r="CC16" s="136"/>
      <c r="CD16" s="136"/>
      <c r="CE16" s="136"/>
      <c r="CF16" s="136"/>
      <c r="CG16" s="136"/>
      <c r="CH16" s="136"/>
      <c r="CI16" s="136"/>
      <c r="CJ16" s="136"/>
    </row>
    <row r="17" spans="1:88" ht="10" customHeight="1">
      <c r="A17" s="136"/>
      <c r="B17" s="137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  <c r="AY17" s="141"/>
      <c r="AZ17" s="136"/>
      <c r="BA17" s="137"/>
      <c r="BB17" s="136"/>
      <c r="BC17" s="136"/>
      <c r="BD17" s="136"/>
      <c r="BE17" s="136"/>
      <c r="BF17" s="136"/>
      <c r="BG17" s="136"/>
      <c r="BH17" s="136"/>
      <c r="BI17" s="136"/>
      <c r="BJ17" s="136"/>
      <c r="BK17" s="136"/>
      <c r="BL17" s="136"/>
      <c r="BM17" s="136"/>
      <c r="BN17" s="136"/>
      <c r="BO17" s="136"/>
      <c r="BP17" s="136"/>
      <c r="BQ17" s="136"/>
      <c r="BR17" s="136"/>
      <c r="BS17" s="141"/>
      <c r="BT17" s="136"/>
      <c r="BU17" s="136"/>
      <c r="BV17" s="136"/>
      <c r="BW17" s="136"/>
      <c r="BX17" s="136"/>
      <c r="BY17" s="136"/>
      <c r="BZ17" s="136"/>
      <c r="CA17" s="136"/>
      <c r="CB17" s="136"/>
      <c r="CC17" s="136"/>
      <c r="CD17" s="136"/>
      <c r="CE17" s="136"/>
      <c r="CF17" s="136"/>
      <c r="CG17" s="136"/>
      <c r="CH17" s="136"/>
      <c r="CI17" s="136"/>
      <c r="CJ17" s="136"/>
    </row>
    <row r="18" spans="1:88" ht="42" customHeight="1">
      <c r="A18" s="136"/>
      <c r="B18" s="137"/>
      <c r="C18" s="218">
        <v>6</v>
      </c>
      <c r="D18" s="181"/>
      <c r="E18" s="181"/>
      <c r="F18" s="181"/>
      <c r="G18" s="181"/>
      <c r="H18" s="181"/>
      <c r="I18" s="182"/>
      <c r="J18" s="136"/>
      <c r="K18" s="218">
        <v>8</v>
      </c>
      <c r="L18" s="181"/>
      <c r="M18" s="181"/>
      <c r="N18" s="181"/>
      <c r="O18" s="181"/>
      <c r="P18" s="181"/>
      <c r="Q18" s="182"/>
      <c r="R18" s="136"/>
      <c r="S18" s="218">
        <v>7</v>
      </c>
      <c r="T18" s="181"/>
      <c r="U18" s="181"/>
      <c r="V18" s="181"/>
      <c r="W18" s="181"/>
      <c r="X18" s="181"/>
      <c r="Y18" s="182"/>
      <c r="Z18" s="136"/>
      <c r="AA18" s="136"/>
      <c r="AB18" s="218">
        <v>11</v>
      </c>
      <c r="AC18" s="181"/>
      <c r="AD18" s="181"/>
      <c r="AE18" s="181"/>
      <c r="AF18" s="181"/>
      <c r="AG18" s="181"/>
      <c r="AH18" s="182"/>
      <c r="AI18" s="136"/>
      <c r="AJ18" s="218">
        <v>15</v>
      </c>
      <c r="AK18" s="181"/>
      <c r="AL18" s="181"/>
      <c r="AM18" s="181"/>
      <c r="AN18" s="181"/>
      <c r="AO18" s="181"/>
      <c r="AP18" s="182"/>
      <c r="AQ18" s="136"/>
      <c r="AR18" s="218">
        <v>14</v>
      </c>
      <c r="AS18" s="181"/>
      <c r="AT18" s="181"/>
      <c r="AU18" s="181"/>
      <c r="AV18" s="181"/>
      <c r="AW18" s="181"/>
      <c r="AX18" s="182"/>
      <c r="AY18" s="141"/>
      <c r="AZ18" s="136"/>
      <c r="BA18" s="137"/>
      <c r="BB18" s="160" t="s">
        <v>124</v>
      </c>
      <c r="BC18" s="136"/>
      <c r="BD18" s="5" t="s">
        <v>125</v>
      </c>
      <c r="BE18" s="136"/>
      <c r="BF18" s="5" t="s">
        <v>126</v>
      </c>
      <c r="BG18" s="136"/>
      <c r="BH18" s="5" t="s">
        <v>127</v>
      </c>
      <c r="BI18" s="136"/>
      <c r="BJ18" s="5" t="s">
        <v>128</v>
      </c>
      <c r="BK18" s="136"/>
      <c r="BL18" s="5" t="s">
        <v>10</v>
      </c>
      <c r="BM18" s="136"/>
      <c r="BN18" s="5" t="s">
        <v>27</v>
      </c>
      <c r="BO18" s="136"/>
      <c r="BP18" s="5" t="s">
        <v>217</v>
      </c>
      <c r="BQ18" s="136"/>
      <c r="BR18" s="5" t="s">
        <v>272</v>
      </c>
      <c r="BS18" s="141"/>
      <c r="BT18" s="136"/>
      <c r="BU18" s="136"/>
      <c r="BV18" s="136"/>
      <c r="BW18" s="136"/>
      <c r="BX18" s="136"/>
      <c r="BY18" s="136"/>
      <c r="BZ18" s="136"/>
      <c r="CA18" s="136"/>
      <c r="CB18" s="136"/>
      <c r="CC18" s="136"/>
      <c r="CD18" s="136"/>
      <c r="CE18" s="136"/>
      <c r="CF18" s="136"/>
      <c r="CG18" s="136"/>
      <c r="CH18" s="136"/>
      <c r="CI18" s="136"/>
      <c r="CJ18" s="136"/>
    </row>
    <row r="19" spans="1:88" s="3" customFormat="1" ht="10" customHeight="1">
      <c r="A19" s="136"/>
      <c r="B19" s="137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6"/>
      <c r="AT19" s="136"/>
      <c r="AU19" s="136"/>
      <c r="AV19" s="136"/>
      <c r="AW19" s="136"/>
      <c r="AX19" s="136"/>
      <c r="AY19" s="141"/>
      <c r="AZ19" s="136"/>
      <c r="BA19" s="137"/>
      <c r="BB19" s="136"/>
      <c r="BC19" s="136"/>
      <c r="BD19" s="136"/>
      <c r="BE19" s="136"/>
      <c r="BF19" s="136"/>
      <c r="BG19" s="136"/>
      <c r="BH19" s="136"/>
      <c r="BI19" s="136"/>
      <c r="BJ19" s="136"/>
      <c r="BK19" s="136"/>
      <c r="BL19" s="136"/>
      <c r="BM19" s="136"/>
      <c r="BN19" s="136"/>
      <c r="BO19" s="136"/>
      <c r="BP19" s="136"/>
      <c r="BQ19" s="136"/>
      <c r="BR19" s="136"/>
      <c r="BS19" s="141"/>
      <c r="BT19" s="136"/>
      <c r="BU19" s="136"/>
      <c r="BV19" s="136"/>
      <c r="BW19" s="136"/>
      <c r="BX19" s="136"/>
      <c r="BY19" s="136"/>
      <c r="BZ19" s="136"/>
      <c r="CA19" s="136"/>
      <c r="CB19" s="136"/>
      <c r="CC19" s="136"/>
      <c r="CD19" s="136"/>
      <c r="CE19" s="136"/>
      <c r="CF19" s="136"/>
      <c r="CG19" s="136"/>
      <c r="CH19" s="136"/>
      <c r="CI19" s="136"/>
      <c r="CJ19" s="136"/>
    </row>
    <row r="20" spans="1:88" ht="42" customHeight="1">
      <c r="A20" s="136"/>
      <c r="B20" s="137"/>
      <c r="C20" s="136"/>
      <c r="D20" s="136"/>
      <c r="E20" s="136"/>
      <c r="F20" s="136"/>
      <c r="G20" s="136"/>
      <c r="H20" s="136"/>
      <c r="I20" s="136"/>
      <c r="J20" s="136"/>
      <c r="K20" s="224" t="s">
        <v>42</v>
      </c>
      <c r="L20" s="181"/>
      <c r="M20" s="181"/>
      <c r="N20" s="181"/>
      <c r="O20" s="181"/>
      <c r="P20" s="181"/>
      <c r="Q20" s="182"/>
      <c r="R20" s="136"/>
      <c r="S20" s="224" t="s">
        <v>152</v>
      </c>
      <c r="T20" s="181"/>
      <c r="U20" s="181"/>
      <c r="V20" s="181"/>
      <c r="W20" s="181"/>
      <c r="X20" s="181"/>
      <c r="Y20" s="182"/>
      <c r="Z20" s="136"/>
      <c r="AA20" s="136"/>
      <c r="AB20" s="224" t="s">
        <v>168</v>
      </c>
      <c r="AC20" s="181"/>
      <c r="AD20" s="181"/>
      <c r="AE20" s="181"/>
      <c r="AF20" s="181"/>
      <c r="AG20" s="181"/>
      <c r="AH20" s="182"/>
      <c r="AI20" s="136"/>
      <c r="AJ20" s="224" t="s">
        <v>32</v>
      </c>
      <c r="AK20" s="181"/>
      <c r="AL20" s="181"/>
      <c r="AM20" s="181"/>
      <c r="AN20" s="181"/>
      <c r="AO20" s="181"/>
      <c r="AP20" s="182"/>
      <c r="AQ20" s="136"/>
      <c r="AR20" s="136"/>
      <c r="AS20" s="136"/>
      <c r="AT20" s="136"/>
      <c r="AU20" s="136"/>
      <c r="AV20" s="136"/>
      <c r="AW20" s="136"/>
      <c r="AX20" s="136"/>
      <c r="AY20" s="141"/>
      <c r="AZ20" s="136"/>
      <c r="BA20" s="137"/>
      <c r="BB20" s="160" t="s">
        <v>65</v>
      </c>
      <c r="BC20" s="136"/>
      <c r="BD20" s="6" t="s">
        <v>156</v>
      </c>
      <c r="BE20" s="136"/>
      <c r="BF20" s="6" t="s">
        <v>157</v>
      </c>
      <c r="BG20" s="136"/>
      <c r="BH20" s="136"/>
      <c r="BI20" s="136"/>
      <c r="BJ20" s="160" t="s">
        <v>363</v>
      </c>
      <c r="BK20" s="136"/>
      <c r="BL20" s="6" t="s">
        <v>156</v>
      </c>
      <c r="BM20" s="136"/>
      <c r="BN20" s="6" t="s">
        <v>157</v>
      </c>
      <c r="BO20" s="136"/>
      <c r="BP20" s="136"/>
      <c r="BQ20" s="136"/>
      <c r="BR20" s="136"/>
      <c r="BS20" s="141"/>
      <c r="BT20" s="136"/>
      <c r="BU20" s="136"/>
      <c r="BV20" s="136"/>
      <c r="BW20" s="136"/>
      <c r="BX20" s="136"/>
      <c r="BY20" s="136"/>
      <c r="BZ20" s="136"/>
      <c r="CA20" s="136"/>
      <c r="CB20" s="136"/>
      <c r="CC20" s="136"/>
      <c r="CD20" s="136"/>
      <c r="CE20" s="136"/>
      <c r="CF20" s="136"/>
      <c r="CG20" s="136"/>
      <c r="CH20" s="136"/>
      <c r="CI20" s="136"/>
      <c r="CJ20" s="136"/>
    </row>
    <row r="21" spans="1:88" ht="10" customHeight="1" thickBot="1">
      <c r="A21" s="136"/>
      <c r="B21" s="142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4"/>
      <c r="AZ21" s="136"/>
      <c r="BA21" s="142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4"/>
      <c r="BT21" s="136"/>
      <c r="BU21" s="136"/>
      <c r="BV21" s="136"/>
      <c r="BW21" s="136"/>
      <c r="BX21" s="136"/>
      <c r="BY21" s="136"/>
      <c r="BZ21" s="136"/>
      <c r="CA21" s="136"/>
      <c r="CB21" s="136"/>
      <c r="CC21" s="136"/>
      <c r="CD21" s="136"/>
      <c r="CE21" s="136"/>
      <c r="CF21" s="136"/>
      <c r="CG21" s="136"/>
      <c r="CH21" s="136"/>
      <c r="CI21" s="136"/>
      <c r="CJ21" s="136"/>
    </row>
    <row r="22" spans="1:88" ht="10" customHeight="1" thickBot="1">
      <c r="A22" s="136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136"/>
      <c r="AM22" s="136"/>
      <c r="AN22" s="136"/>
      <c r="AO22" s="136"/>
      <c r="AP22" s="136"/>
      <c r="AQ22" s="136"/>
      <c r="AR22" s="136"/>
      <c r="AS22" s="136"/>
      <c r="AT22" s="136"/>
      <c r="AU22" s="136"/>
      <c r="AV22" s="136"/>
      <c r="AW22" s="136"/>
      <c r="AX22" s="136"/>
      <c r="AY22" s="136"/>
      <c r="AZ22" s="136"/>
      <c r="BA22" s="136"/>
      <c r="BB22" s="136"/>
      <c r="BC22" s="136"/>
      <c r="BD22" s="136"/>
      <c r="BE22" s="136"/>
      <c r="BF22" s="136"/>
      <c r="BG22" s="136"/>
      <c r="BH22" s="136"/>
      <c r="BI22" s="136"/>
      <c r="BJ22" s="136"/>
      <c r="BK22" s="136"/>
      <c r="BL22" s="136"/>
      <c r="BM22" s="136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/>
      <c r="BX22" s="136"/>
      <c r="BY22" s="136"/>
      <c r="BZ22" s="136"/>
      <c r="CA22" s="136"/>
      <c r="CB22" s="136"/>
      <c r="CC22" s="136"/>
      <c r="CD22" s="136"/>
      <c r="CE22" s="136"/>
      <c r="CF22" s="136"/>
      <c r="CG22" s="136"/>
      <c r="CH22" s="136"/>
      <c r="CI22" s="136"/>
      <c r="CJ22" s="136"/>
    </row>
    <row r="23" spans="1:88" ht="10" customHeight="1">
      <c r="A23" s="136"/>
      <c r="B23" s="138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40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</row>
    <row r="24" spans="1:88" ht="15" customHeight="1">
      <c r="A24" s="136"/>
      <c r="B24" s="137"/>
      <c r="C24" s="186" t="s">
        <v>40</v>
      </c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79"/>
      <c r="AA24" s="179"/>
      <c r="AB24" s="179"/>
      <c r="AC24" s="179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179"/>
      <c r="AQ24" s="179"/>
      <c r="AR24" s="179"/>
      <c r="AS24" s="179"/>
      <c r="AT24" s="179"/>
      <c r="AU24" s="179"/>
      <c r="AV24" s="179"/>
      <c r="AW24" s="179"/>
      <c r="AX24" s="179"/>
      <c r="AY24" s="141"/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36"/>
      <c r="BM24" s="136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36"/>
      <c r="CC24" s="136"/>
      <c r="CD24" s="136"/>
      <c r="CE24" s="136"/>
      <c r="CF24" s="136"/>
      <c r="CG24" s="136"/>
      <c r="CH24" s="136"/>
      <c r="CI24" s="136"/>
      <c r="CJ24" s="136"/>
    </row>
    <row r="25" spans="1:88" s="3" customFormat="1" ht="10" customHeight="1">
      <c r="A25" s="136"/>
      <c r="B25" s="137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41"/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6"/>
      <c r="BM25" s="136"/>
      <c r="BN25" s="136"/>
      <c r="BO25" s="136"/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6"/>
      <c r="CC25" s="136"/>
      <c r="CD25" s="136"/>
      <c r="CE25" s="136"/>
      <c r="CF25" s="136"/>
      <c r="CG25" s="136"/>
      <c r="CH25" s="136"/>
      <c r="CI25" s="136"/>
      <c r="CJ25" s="136"/>
    </row>
    <row r="26" spans="1:88" ht="15" customHeight="1">
      <c r="A26" s="136"/>
      <c r="B26" s="137"/>
      <c r="C26" s="178" t="s">
        <v>41</v>
      </c>
      <c r="D26" s="179"/>
      <c r="E26" s="179"/>
      <c r="F26" s="179"/>
      <c r="G26" s="179"/>
      <c r="H26" s="179"/>
      <c r="I26" s="179"/>
      <c r="J26" s="179"/>
      <c r="K26" s="179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41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6"/>
      <c r="CB26" s="136"/>
      <c r="CC26" s="136"/>
      <c r="CD26" s="136"/>
      <c r="CE26" s="136"/>
      <c r="CF26" s="136"/>
      <c r="CG26" s="136"/>
      <c r="CH26" s="136"/>
      <c r="CI26" s="136"/>
      <c r="CJ26" s="136"/>
    </row>
    <row r="27" spans="1:88" ht="10" customHeight="1">
      <c r="A27" s="136"/>
      <c r="B27" s="137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41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6"/>
      <c r="CB27" s="136"/>
      <c r="CC27" s="136"/>
      <c r="CD27" s="136"/>
      <c r="CE27" s="136"/>
      <c r="CF27" s="136"/>
      <c r="CG27" s="136"/>
      <c r="CH27" s="136"/>
      <c r="CI27" s="136"/>
      <c r="CJ27" s="136"/>
    </row>
    <row r="28" spans="1:88" ht="42" customHeight="1">
      <c r="A28" s="136"/>
      <c r="B28" s="137"/>
      <c r="C28" s="180">
        <v>0</v>
      </c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2"/>
      <c r="Q28" s="136"/>
      <c r="R28" s="183" t="s">
        <v>12</v>
      </c>
      <c r="S28" s="184"/>
      <c r="T28" s="184"/>
      <c r="U28" s="184"/>
      <c r="V28" s="184"/>
      <c r="W28" s="184"/>
      <c r="X28" s="185"/>
      <c r="Y28" s="136"/>
      <c r="Z28" s="183" t="s">
        <v>11</v>
      </c>
      <c r="AA28" s="184"/>
      <c r="AB28" s="184"/>
      <c r="AC28" s="184"/>
      <c r="AD28" s="184"/>
      <c r="AE28" s="184"/>
      <c r="AF28" s="185"/>
      <c r="AG28" s="136"/>
      <c r="AH28" s="183" t="s">
        <v>117</v>
      </c>
      <c r="AI28" s="184"/>
      <c r="AJ28" s="184"/>
      <c r="AK28" s="184"/>
      <c r="AL28" s="184"/>
      <c r="AM28" s="184"/>
      <c r="AN28" s="185"/>
      <c r="AO28" s="136"/>
      <c r="AP28" s="219" t="s">
        <v>13</v>
      </c>
      <c r="AQ28" s="220"/>
      <c r="AR28" s="220"/>
      <c r="AS28" s="220"/>
      <c r="AT28" s="220"/>
      <c r="AU28" s="220"/>
      <c r="AV28" s="221"/>
      <c r="AW28" s="136"/>
      <c r="AX28" s="136"/>
      <c r="AY28" s="141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6"/>
      <c r="CB28" s="136"/>
      <c r="CC28" s="136"/>
      <c r="CD28" s="136"/>
      <c r="CE28" s="136"/>
      <c r="CF28" s="136"/>
      <c r="CG28" s="136"/>
      <c r="CH28" s="136"/>
      <c r="CI28" s="136"/>
      <c r="CJ28" s="136"/>
    </row>
    <row r="29" spans="1:88" ht="90" customHeight="1" thickBot="1">
      <c r="A29" s="136"/>
      <c r="B29" s="142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4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</row>
    <row r="30" spans="1:88" ht="106" customHeight="1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</row>
    <row r="31" spans="1:88" ht="10" customHeight="1">
      <c r="A31" s="136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</row>
    <row r="32" spans="1:88" ht="10" customHeight="1">
      <c r="A32" s="136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</row>
    <row r="33" spans="1:88" ht="15" customHeight="1">
      <c r="A33" s="136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</row>
    <row r="34" spans="1:88" ht="15" customHeight="1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  <c r="AY34" s="136"/>
      <c r="AZ34" s="136"/>
      <c r="BA34" s="136"/>
      <c r="BB34" s="136"/>
      <c r="BC34" s="136"/>
      <c r="BD34" s="136"/>
      <c r="BE34" s="136"/>
      <c r="BF34" s="136"/>
      <c r="BG34" s="136"/>
      <c r="BH34" s="136"/>
      <c r="BI34" s="136"/>
      <c r="BJ34" s="136"/>
      <c r="BK34" s="136"/>
      <c r="BL34" s="136"/>
      <c r="BM34" s="136"/>
      <c r="BN34" s="136"/>
      <c r="BO34" s="136"/>
      <c r="BP34" s="136"/>
      <c r="BQ34" s="136"/>
      <c r="BR34" s="136"/>
      <c r="BS34" s="136"/>
      <c r="BT34" s="136"/>
      <c r="BU34" s="136"/>
      <c r="BV34" s="136"/>
      <c r="BW34" s="136"/>
      <c r="BX34" s="136"/>
      <c r="BY34" s="136"/>
      <c r="BZ34" s="136"/>
      <c r="CA34" s="136"/>
      <c r="CB34" s="136"/>
      <c r="CC34" s="136"/>
      <c r="CD34" s="136"/>
      <c r="CE34" s="136"/>
      <c r="CF34" s="136"/>
      <c r="CG34" s="136"/>
      <c r="CH34" s="136"/>
      <c r="CI34" s="136"/>
      <c r="CJ34" s="136"/>
    </row>
    <row r="35" spans="1:88" ht="15" customHeight="1">
      <c r="A35" s="136"/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  <c r="AY35" s="136"/>
      <c r="AZ35" s="136"/>
      <c r="BA35" s="136"/>
      <c r="BB35" s="136"/>
      <c r="BC35" s="136"/>
      <c r="BD35" s="136"/>
      <c r="BE35" s="136"/>
      <c r="BF35" s="136"/>
      <c r="BG35" s="136"/>
      <c r="BH35" s="136"/>
      <c r="BI35" s="136"/>
      <c r="BJ35" s="136"/>
      <c r="BK35" s="136"/>
      <c r="BL35" s="136"/>
      <c r="BM35" s="136"/>
      <c r="BN35" s="136"/>
      <c r="BO35" s="136"/>
      <c r="BP35" s="136"/>
      <c r="BQ35" s="136"/>
      <c r="BR35" s="136"/>
      <c r="BS35" s="136"/>
      <c r="BT35" s="136"/>
      <c r="BU35" s="136"/>
      <c r="BV35" s="136"/>
      <c r="BW35" s="136"/>
      <c r="BX35" s="136"/>
      <c r="BY35" s="136"/>
      <c r="BZ35" s="136"/>
      <c r="CA35" s="136"/>
      <c r="CB35" s="136"/>
      <c r="CC35" s="136"/>
      <c r="CD35" s="136"/>
      <c r="CE35" s="136"/>
      <c r="CF35" s="136"/>
      <c r="CG35" s="136"/>
      <c r="CH35" s="136"/>
      <c r="CI35" s="136"/>
      <c r="CJ35" s="136"/>
    </row>
    <row r="36" spans="1:88" ht="15" customHeight="1">
      <c r="A36" s="136"/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</row>
    <row r="37" spans="1:88" ht="15" customHeight="1">
      <c r="A37" s="136"/>
      <c r="B37" s="136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6"/>
      <c r="AP37" s="136"/>
      <c r="AQ37" s="136"/>
      <c r="AR37" s="136"/>
      <c r="AS37" s="136"/>
      <c r="AT37" s="136"/>
      <c r="AU37" s="136"/>
      <c r="AV37" s="136"/>
      <c r="AW37" s="136"/>
      <c r="AX37" s="136"/>
      <c r="AY37" s="136"/>
      <c r="AZ37" s="136"/>
      <c r="BA37" s="136"/>
      <c r="BB37" s="136"/>
      <c r="BC37" s="136"/>
      <c r="BD37" s="136"/>
      <c r="BE37" s="136"/>
      <c r="BF37" s="136"/>
      <c r="BG37" s="136"/>
      <c r="BH37" s="136"/>
      <c r="BI37" s="136"/>
      <c r="BJ37" s="136"/>
      <c r="BK37" s="136"/>
      <c r="BL37" s="136"/>
      <c r="BM37" s="136"/>
      <c r="BN37" s="136"/>
      <c r="BO37" s="136"/>
      <c r="BP37" s="136"/>
      <c r="BQ37" s="136"/>
      <c r="BR37" s="136"/>
      <c r="BS37" s="136"/>
      <c r="BT37" s="136"/>
      <c r="BU37" s="136"/>
      <c r="BV37" s="136"/>
      <c r="BW37" s="136"/>
      <c r="BX37" s="136"/>
      <c r="BY37" s="136"/>
      <c r="BZ37" s="136"/>
      <c r="CA37" s="136"/>
      <c r="CB37" s="136"/>
      <c r="CC37" s="136"/>
      <c r="CD37" s="136"/>
      <c r="CE37" s="136"/>
      <c r="CF37" s="136"/>
      <c r="CG37" s="136"/>
      <c r="CH37" s="136"/>
      <c r="CI37" s="136"/>
      <c r="CJ37" s="136"/>
    </row>
    <row r="38" spans="1:88" ht="15" customHeight="1">
      <c r="A38" s="136"/>
      <c r="B38" s="136"/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  <c r="BC38" s="136"/>
      <c r="BD38" s="136"/>
      <c r="BE38" s="136"/>
      <c r="BF38" s="136"/>
      <c r="BG38" s="136"/>
      <c r="BH38" s="136"/>
      <c r="BI38" s="136"/>
      <c r="BJ38" s="136"/>
      <c r="BK38" s="136"/>
      <c r="BL38" s="136"/>
      <c r="BM38" s="136"/>
      <c r="BN38" s="136"/>
      <c r="BO38" s="136"/>
      <c r="BP38" s="136"/>
      <c r="BQ38" s="136"/>
      <c r="BR38" s="136"/>
      <c r="BS38" s="136"/>
      <c r="BT38" s="136"/>
      <c r="BU38" s="136"/>
      <c r="BV38" s="136"/>
      <c r="BW38" s="136"/>
      <c r="BX38" s="136"/>
      <c r="BY38" s="136"/>
      <c r="BZ38" s="136"/>
      <c r="CA38" s="136"/>
      <c r="CB38" s="136"/>
      <c r="CC38" s="136"/>
      <c r="CD38" s="136"/>
      <c r="CE38" s="136"/>
      <c r="CF38" s="136"/>
      <c r="CG38" s="136"/>
      <c r="CH38" s="136"/>
      <c r="CI38" s="136"/>
      <c r="CJ38" s="136"/>
    </row>
    <row r="39" spans="1:88" ht="15" customHeight="1">
      <c r="A39" s="136"/>
      <c r="B39" s="136"/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36"/>
      <c r="BB39" s="136"/>
      <c r="BC39" s="136"/>
      <c r="BD39" s="136"/>
      <c r="BE39" s="136"/>
      <c r="BF39" s="136"/>
      <c r="BG39" s="136"/>
      <c r="BH39" s="136"/>
      <c r="BI39" s="136"/>
      <c r="BJ39" s="136"/>
      <c r="BK39" s="136"/>
      <c r="BL39" s="136"/>
      <c r="BM39" s="136"/>
      <c r="BN39" s="136"/>
      <c r="BO39" s="136"/>
      <c r="BP39" s="136"/>
      <c r="BQ39" s="136"/>
      <c r="BR39" s="136"/>
      <c r="BS39" s="136"/>
      <c r="BT39" s="136"/>
      <c r="BU39" s="136"/>
      <c r="BV39" s="136"/>
      <c r="BW39" s="136"/>
      <c r="BX39" s="136"/>
      <c r="BY39" s="136"/>
      <c r="BZ39" s="136"/>
      <c r="CA39" s="136"/>
      <c r="CB39" s="136"/>
      <c r="CC39" s="136"/>
      <c r="CD39" s="136"/>
      <c r="CE39" s="136"/>
      <c r="CF39" s="136"/>
      <c r="CG39" s="136"/>
      <c r="CH39" s="136"/>
      <c r="CI39" s="136"/>
      <c r="CJ39" s="136"/>
    </row>
    <row r="40" spans="1:88" ht="15" customHeight="1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36"/>
      <c r="BB40" s="136"/>
      <c r="BC40" s="136"/>
      <c r="BD40" s="136"/>
      <c r="BE40" s="136"/>
      <c r="BF40" s="136"/>
      <c r="BG40" s="136"/>
      <c r="BH40" s="136"/>
      <c r="BI40" s="136"/>
      <c r="BJ40" s="136"/>
      <c r="BK40" s="136"/>
      <c r="BL40" s="136"/>
      <c r="BM40" s="136"/>
      <c r="BN40" s="136"/>
      <c r="BO40" s="136"/>
      <c r="BP40" s="136"/>
      <c r="BQ40" s="136"/>
      <c r="BR40" s="136"/>
      <c r="BS40" s="136"/>
      <c r="BT40" s="136"/>
      <c r="BU40" s="136"/>
      <c r="BV40" s="136"/>
      <c r="BW40" s="136"/>
      <c r="BX40" s="136"/>
      <c r="BY40" s="136"/>
      <c r="BZ40" s="136"/>
      <c r="CA40" s="136"/>
      <c r="CB40" s="136"/>
      <c r="CC40" s="136"/>
      <c r="CD40" s="136"/>
      <c r="CE40" s="136"/>
      <c r="CF40" s="136"/>
      <c r="CG40" s="136"/>
      <c r="CH40" s="136"/>
      <c r="CI40" s="136"/>
      <c r="CJ40" s="136"/>
    </row>
    <row r="41" spans="1:88" ht="15" customHeight="1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  <c r="AY41" s="136"/>
      <c r="AZ41" s="136"/>
      <c r="BA41" s="136"/>
      <c r="BB41" s="136"/>
      <c r="BC41" s="136"/>
      <c r="BD41" s="136"/>
      <c r="BE41" s="136"/>
      <c r="BF41" s="136"/>
      <c r="BG41" s="136"/>
      <c r="BH41" s="136"/>
      <c r="BI41" s="136"/>
      <c r="BJ41" s="136"/>
      <c r="BK41" s="136"/>
      <c r="BL41" s="136"/>
      <c r="BM41" s="136"/>
      <c r="BN41" s="136"/>
      <c r="BO41" s="136"/>
      <c r="BP41" s="136"/>
      <c r="BQ41" s="136"/>
      <c r="BR41" s="136"/>
      <c r="BS41" s="136"/>
      <c r="BT41" s="136"/>
      <c r="BU41" s="136"/>
      <c r="BV41" s="136"/>
      <c r="BW41" s="136"/>
      <c r="BX41" s="136"/>
      <c r="BY41" s="136"/>
      <c r="BZ41" s="136"/>
      <c r="CA41" s="136"/>
      <c r="CB41" s="136"/>
      <c r="CC41" s="136"/>
      <c r="CD41" s="136"/>
      <c r="CE41" s="136"/>
      <c r="CF41" s="136"/>
      <c r="CG41" s="136"/>
      <c r="CH41" s="136"/>
      <c r="CI41" s="136"/>
      <c r="CJ41" s="136"/>
    </row>
    <row r="42" spans="1:88" ht="15" customHeight="1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6"/>
      <c r="BC42" s="136"/>
      <c r="BD42" s="136"/>
      <c r="BE42" s="136"/>
      <c r="BF42" s="136"/>
      <c r="BG42" s="136"/>
      <c r="BH42" s="136"/>
      <c r="BI42" s="136"/>
      <c r="BJ42" s="136"/>
      <c r="BK42" s="136"/>
      <c r="BL42" s="136"/>
      <c r="BM42" s="136"/>
      <c r="BN42" s="136"/>
      <c r="BO42" s="136"/>
      <c r="BP42" s="136"/>
      <c r="BQ42" s="136"/>
      <c r="BR42" s="136"/>
      <c r="BS42" s="136"/>
      <c r="BT42" s="136"/>
      <c r="BU42" s="136"/>
      <c r="BV42" s="136"/>
      <c r="BW42" s="136"/>
      <c r="BX42" s="136"/>
      <c r="BY42" s="136"/>
      <c r="BZ42" s="136"/>
      <c r="CA42" s="136"/>
      <c r="CB42" s="136"/>
      <c r="CC42" s="136"/>
      <c r="CD42" s="136"/>
      <c r="CE42" s="136"/>
      <c r="CF42" s="136"/>
      <c r="CG42" s="136"/>
      <c r="CH42" s="136"/>
      <c r="CI42" s="136"/>
      <c r="CJ42" s="136"/>
    </row>
    <row r="43" spans="1:88" s="3" customFormat="1" ht="15" customHeight="1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  <c r="AY43" s="136"/>
      <c r="AZ43" s="136"/>
      <c r="BA43" s="136"/>
      <c r="BB43" s="136"/>
      <c r="BC43" s="136"/>
      <c r="BD43" s="136"/>
      <c r="BE43" s="136"/>
      <c r="BF43" s="136"/>
      <c r="BG43" s="136"/>
      <c r="BH43" s="136"/>
      <c r="BI43" s="136"/>
      <c r="BJ43" s="136"/>
      <c r="BK43" s="136"/>
      <c r="BL43" s="136"/>
      <c r="BM43" s="136"/>
      <c r="BN43" s="136"/>
      <c r="BO43" s="136"/>
      <c r="BP43" s="136"/>
      <c r="BQ43" s="136"/>
      <c r="BR43" s="136"/>
      <c r="BS43" s="136"/>
      <c r="BT43" s="136"/>
      <c r="BU43" s="136"/>
      <c r="BV43" s="136"/>
      <c r="BW43" s="136"/>
      <c r="BX43" s="136"/>
      <c r="BY43" s="136"/>
      <c r="BZ43" s="136"/>
      <c r="CA43" s="136"/>
      <c r="CB43" s="136"/>
      <c r="CC43" s="136"/>
      <c r="CD43" s="136"/>
      <c r="CE43" s="136"/>
      <c r="CF43" s="136"/>
      <c r="CG43" s="136"/>
      <c r="CH43" s="136"/>
      <c r="CI43" s="136"/>
      <c r="CJ43" s="136"/>
    </row>
    <row r="44" spans="1:88" ht="15" customHeight="1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  <c r="BC44" s="136"/>
      <c r="BD44" s="136"/>
      <c r="BE44" s="136"/>
      <c r="BF44" s="136"/>
      <c r="BG44" s="136"/>
      <c r="BH44" s="136"/>
      <c r="BI44" s="136"/>
      <c r="BJ44" s="136"/>
      <c r="BK44" s="136"/>
      <c r="BL44" s="136"/>
      <c r="BM44" s="136"/>
      <c r="BN44" s="136"/>
      <c r="BO44" s="136"/>
      <c r="BP44" s="136"/>
      <c r="BQ44" s="136"/>
      <c r="BR44" s="136"/>
      <c r="BS44" s="136"/>
      <c r="BT44" s="136"/>
      <c r="BU44" s="136"/>
      <c r="BV44" s="136"/>
      <c r="BW44" s="136"/>
      <c r="BX44" s="136"/>
      <c r="BY44" s="136"/>
      <c r="BZ44" s="136"/>
      <c r="CA44" s="136"/>
      <c r="CB44" s="136"/>
      <c r="CC44" s="136"/>
      <c r="CD44" s="136"/>
      <c r="CE44" s="136"/>
      <c r="CF44" s="136"/>
      <c r="CG44" s="136"/>
      <c r="CH44" s="136"/>
      <c r="CI44" s="136"/>
      <c r="CJ44" s="136"/>
    </row>
    <row r="45" spans="1:88" ht="15" customHeight="1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  <c r="AY45" s="136"/>
      <c r="AZ45" s="136"/>
      <c r="BA45" s="136"/>
      <c r="BB45" s="136"/>
      <c r="BC45" s="136"/>
      <c r="BD45" s="136"/>
      <c r="BE45" s="136"/>
      <c r="BF45" s="136"/>
      <c r="BG45" s="136"/>
      <c r="BH45" s="136"/>
      <c r="BI45" s="136"/>
      <c r="BJ45" s="136"/>
      <c r="BK45" s="136"/>
      <c r="BL45" s="136"/>
      <c r="BM45" s="136"/>
      <c r="BN45" s="136"/>
      <c r="BO45" s="136"/>
      <c r="BP45" s="136"/>
      <c r="BQ45" s="136"/>
      <c r="BR45" s="136"/>
      <c r="BS45" s="136"/>
      <c r="BT45" s="136"/>
      <c r="BU45" s="136"/>
      <c r="BV45" s="136"/>
      <c r="BW45" s="136"/>
      <c r="BX45" s="136"/>
      <c r="BY45" s="136"/>
      <c r="BZ45" s="136"/>
      <c r="CA45" s="136"/>
      <c r="CB45" s="136"/>
      <c r="CC45" s="136"/>
      <c r="CD45" s="136"/>
      <c r="CE45" s="136"/>
      <c r="CF45" s="136"/>
      <c r="CG45" s="136"/>
      <c r="CH45" s="136"/>
      <c r="CI45" s="136"/>
      <c r="CJ45" s="136"/>
    </row>
    <row r="46" spans="1:88" ht="15" customHeight="1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6"/>
      <c r="AF46" s="136"/>
      <c r="AG46" s="136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36"/>
      <c r="BH46" s="136"/>
      <c r="BI46" s="136"/>
      <c r="BJ46" s="136"/>
      <c r="BK46" s="136"/>
      <c r="BL46" s="136"/>
      <c r="BM46" s="136"/>
      <c r="BN46" s="136"/>
      <c r="BO46" s="136"/>
      <c r="BP46" s="136"/>
      <c r="BQ46" s="136"/>
      <c r="BR46" s="136"/>
      <c r="BS46" s="136"/>
      <c r="BT46" s="136"/>
      <c r="BU46" s="136"/>
      <c r="BV46" s="136"/>
      <c r="BW46" s="136"/>
      <c r="BX46" s="136"/>
      <c r="BY46" s="136"/>
      <c r="BZ46" s="136"/>
      <c r="CA46" s="136"/>
      <c r="CB46" s="136"/>
      <c r="CC46" s="136"/>
      <c r="CD46" s="136"/>
      <c r="CE46" s="136"/>
      <c r="CF46" s="136"/>
      <c r="CG46" s="136"/>
      <c r="CH46" s="136"/>
      <c r="CI46" s="136"/>
      <c r="CJ46" s="136"/>
    </row>
    <row r="47" spans="1:88" ht="15" customHeight="1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  <c r="BJ47" s="136"/>
      <c r="BK47" s="136"/>
      <c r="BL47" s="136"/>
      <c r="BM47" s="136"/>
      <c r="BN47" s="136"/>
      <c r="BO47" s="136"/>
      <c r="BP47" s="136"/>
      <c r="BQ47" s="136"/>
      <c r="BR47" s="136"/>
      <c r="BS47" s="136"/>
      <c r="BT47" s="136"/>
      <c r="BU47" s="136"/>
      <c r="BV47" s="136"/>
      <c r="BW47" s="136"/>
      <c r="BX47" s="136"/>
      <c r="BY47" s="136"/>
      <c r="BZ47" s="136"/>
      <c r="CA47" s="136"/>
      <c r="CB47" s="136"/>
      <c r="CC47" s="136"/>
      <c r="CD47" s="136"/>
      <c r="CE47" s="136"/>
      <c r="CF47" s="136"/>
      <c r="CG47" s="136"/>
      <c r="CH47" s="136"/>
      <c r="CI47" s="136"/>
      <c r="CJ47" s="136"/>
    </row>
    <row r="48" spans="1:88" ht="15" customHeight="1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  <c r="AY48" s="136"/>
      <c r="AZ48" s="136"/>
      <c r="BA48" s="136"/>
      <c r="BB48" s="136"/>
      <c r="BC48" s="136"/>
      <c r="BD48" s="136"/>
      <c r="BE48" s="136"/>
      <c r="BF48" s="136"/>
      <c r="BG48" s="136"/>
      <c r="BH48" s="136"/>
      <c r="BI48" s="136"/>
      <c r="BJ48" s="136"/>
      <c r="BK48" s="136"/>
      <c r="BL48" s="136"/>
      <c r="BM48" s="136"/>
      <c r="BN48" s="136"/>
      <c r="BO48" s="136"/>
      <c r="BP48" s="136"/>
      <c r="BQ48" s="136"/>
      <c r="BR48" s="136"/>
      <c r="BS48" s="136"/>
      <c r="BT48" s="136"/>
      <c r="BU48" s="136"/>
      <c r="BV48" s="136"/>
      <c r="BW48" s="136"/>
      <c r="BX48" s="136"/>
      <c r="BY48" s="136"/>
      <c r="BZ48" s="136"/>
      <c r="CA48" s="136"/>
      <c r="CB48" s="136"/>
      <c r="CC48" s="136"/>
      <c r="CD48" s="136"/>
      <c r="CE48" s="136"/>
      <c r="CF48" s="136"/>
      <c r="CG48" s="136"/>
      <c r="CH48" s="136"/>
      <c r="CI48" s="136"/>
      <c r="CJ48" s="136"/>
    </row>
    <row r="49" spans="1:88" ht="15" customHeight="1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36"/>
      <c r="BH49" s="136"/>
      <c r="BI49" s="136"/>
      <c r="BJ49" s="136"/>
      <c r="BK49" s="136"/>
      <c r="BL49" s="136"/>
      <c r="BM49" s="136"/>
      <c r="BN49" s="136"/>
      <c r="BO49" s="136"/>
      <c r="BP49" s="136"/>
      <c r="BQ49" s="136"/>
      <c r="BR49" s="136"/>
      <c r="BS49" s="136"/>
      <c r="BT49" s="136"/>
      <c r="BU49" s="136"/>
      <c r="BV49" s="136"/>
      <c r="BW49" s="136"/>
      <c r="BX49" s="136"/>
      <c r="BY49" s="136"/>
      <c r="BZ49" s="136"/>
      <c r="CA49" s="136"/>
      <c r="CB49" s="136"/>
      <c r="CC49" s="136"/>
      <c r="CD49" s="136"/>
      <c r="CE49" s="136"/>
      <c r="CF49" s="136"/>
      <c r="CG49" s="136"/>
      <c r="CH49" s="136"/>
      <c r="CI49" s="136"/>
      <c r="CJ49" s="136"/>
    </row>
    <row r="50" spans="1:88" ht="15" customHeight="1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  <c r="AY50" s="136"/>
      <c r="AZ50" s="136"/>
      <c r="BA50" s="136"/>
      <c r="BB50" s="136"/>
      <c r="BC50" s="136"/>
      <c r="BD50" s="136"/>
      <c r="BE50" s="136"/>
      <c r="BF50" s="136"/>
      <c r="BG50" s="136"/>
      <c r="BH50" s="136"/>
      <c r="BI50" s="136"/>
      <c r="BJ50" s="136"/>
      <c r="BK50" s="136"/>
      <c r="BL50" s="136"/>
      <c r="BM50" s="136"/>
      <c r="BN50" s="136"/>
      <c r="BO50" s="136"/>
      <c r="BP50" s="136"/>
      <c r="BQ50" s="136"/>
      <c r="BR50" s="136"/>
      <c r="BS50" s="136"/>
      <c r="BT50" s="136"/>
      <c r="BU50" s="136"/>
      <c r="BV50" s="136"/>
      <c r="BW50" s="136"/>
      <c r="BX50" s="136"/>
      <c r="BY50" s="136"/>
      <c r="BZ50" s="136"/>
      <c r="CA50" s="136"/>
      <c r="CB50" s="136"/>
      <c r="CC50" s="136"/>
      <c r="CD50" s="136"/>
      <c r="CE50" s="136"/>
      <c r="CF50" s="136"/>
      <c r="CG50" s="136"/>
      <c r="CH50" s="136"/>
      <c r="CI50" s="136"/>
      <c r="CJ50" s="136"/>
    </row>
    <row r="51" spans="1:88" ht="15" customHeight="1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6"/>
      <c r="AQ51" s="136"/>
      <c r="AR51" s="136"/>
      <c r="AS51" s="136"/>
      <c r="AT51" s="136"/>
      <c r="AU51" s="136"/>
      <c r="AV51" s="136"/>
      <c r="AW51" s="136"/>
      <c r="AX51" s="136"/>
      <c r="AY51" s="136"/>
      <c r="AZ51" s="136"/>
      <c r="BA51" s="136"/>
      <c r="BB51" s="136"/>
      <c r="BC51" s="136"/>
      <c r="BD51" s="136"/>
      <c r="BE51" s="136"/>
      <c r="BF51" s="136"/>
      <c r="BG51" s="136"/>
      <c r="BH51" s="136"/>
      <c r="BI51" s="136"/>
      <c r="BJ51" s="136"/>
      <c r="BK51" s="136"/>
      <c r="BL51" s="136"/>
      <c r="BM51" s="136"/>
      <c r="BN51" s="136"/>
      <c r="BO51" s="136"/>
      <c r="BP51" s="136"/>
      <c r="BQ51" s="136"/>
      <c r="BR51" s="136"/>
      <c r="BS51" s="136"/>
      <c r="BT51" s="136"/>
      <c r="BU51" s="136"/>
      <c r="BV51" s="136"/>
      <c r="BW51" s="136"/>
      <c r="BX51" s="136"/>
      <c r="BY51" s="136"/>
      <c r="BZ51" s="136"/>
      <c r="CA51" s="136"/>
      <c r="CB51" s="136"/>
      <c r="CC51" s="136"/>
      <c r="CD51" s="136"/>
      <c r="CE51" s="136"/>
      <c r="CF51" s="136"/>
      <c r="CG51" s="136"/>
      <c r="CH51" s="136"/>
      <c r="CI51" s="136"/>
      <c r="CJ51" s="136"/>
    </row>
    <row r="52" spans="1:88" ht="15" customHeight="1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6"/>
      <c r="AF52" s="136"/>
      <c r="AG52" s="136"/>
      <c r="AH52" s="136"/>
      <c r="AI52" s="136"/>
      <c r="AJ52" s="136"/>
      <c r="AK52" s="136"/>
      <c r="AL52" s="136"/>
      <c r="AM52" s="136"/>
      <c r="AN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  <c r="AY52" s="136"/>
      <c r="AZ52" s="136"/>
      <c r="BA52" s="136"/>
      <c r="BB52" s="136"/>
      <c r="BC52" s="136"/>
      <c r="BD52" s="136"/>
      <c r="BE52" s="136"/>
      <c r="BF52" s="136"/>
      <c r="BG52" s="136"/>
      <c r="BH52" s="136"/>
      <c r="BI52" s="136"/>
      <c r="BJ52" s="136"/>
      <c r="BK52" s="136"/>
      <c r="BL52" s="136"/>
      <c r="BM52" s="136"/>
      <c r="BN52" s="136"/>
      <c r="BO52" s="136"/>
      <c r="BP52" s="136"/>
      <c r="BQ52" s="136"/>
      <c r="BR52" s="136"/>
      <c r="BS52" s="136"/>
      <c r="BT52" s="136"/>
      <c r="BU52" s="136"/>
      <c r="BV52" s="136"/>
      <c r="BW52" s="136"/>
      <c r="BX52" s="136"/>
      <c r="BY52" s="136"/>
      <c r="BZ52" s="136"/>
      <c r="CA52" s="136"/>
      <c r="CB52" s="136"/>
      <c r="CC52" s="136"/>
      <c r="CD52" s="136"/>
      <c r="CE52" s="136"/>
      <c r="CF52" s="136"/>
      <c r="CG52" s="136"/>
      <c r="CH52" s="136"/>
      <c r="CI52" s="136"/>
      <c r="CJ52" s="136"/>
    </row>
    <row r="53" spans="1:88" s="3" customFormat="1" ht="15" customHeight="1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36"/>
      <c r="BH53" s="136"/>
      <c r="BI53" s="136"/>
      <c r="BJ53" s="136"/>
      <c r="BK53" s="136"/>
      <c r="BL53" s="136"/>
      <c r="BM53" s="136"/>
      <c r="BN53" s="136"/>
      <c r="BO53" s="136"/>
      <c r="BP53" s="136"/>
      <c r="BQ53" s="136"/>
      <c r="BR53" s="136"/>
      <c r="BS53" s="136"/>
      <c r="BT53" s="136"/>
      <c r="BU53" s="136"/>
      <c r="BV53" s="136"/>
      <c r="BW53" s="136"/>
      <c r="BX53" s="136"/>
      <c r="BY53" s="136"/>
      <c r="BZ53" s="136"/>
      <c r="CA53" s="136"/>
      <c r="CB53" s="136"/>
      <c r="CC53" s="136"/>
      <c r="CD53" s="136"/>
      <c r="CE53" s="136"/>
      <c r="CF53" s="136"/>
      <c r="CG53" s="136"/>
      <c r="CH53" s="136"/>
      <c r="CI53" s="136"/>
      <c r="CJ53" s="136"/>
    </row>
    <row r="54" spans="1:88" s="3" customFormat="1" ht="13" customHeight="1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  <c r="AY54" s="136"/>
      <c r="AZ54" s="136"/>
      <c r="BA54" s="136"/>
      <c r="BB54" s="136"/>
      <c r="BC54" s="136"/>
      <c r="BD54" s="136"/>
      <c r="BE54" s="136"/>
      <c r="BF54" s="136"/>
      <c r="BG54" s="136"/>
      <c r="BH54" s="136"/>
      <c r="BI54" s="136"/>
      <c r="BJ54" s="136"/>
      <c r="BK54" s="136"/>
      <c r="BL54" s="136"/>
      <c r="BM54" s="136"/>
      <c r="BN54" s="136"/>
      <c r="BO54" s="136"/>
      <c r="BP54" s="136"/>
      <c r="BQ54" s="136"/>
      <c r="BR54" s="136"/>
      <c r="BS54" s="136"/>
      <c r="BT54" s="136"/>
      <c r="BU54" s="136"/>
      <c r="BV54" s="136"/>
      <c r="BW54" s="136"/>
      <c r="BX54" s="136"/>
      <c r="BY54" s="136"/>
      <c r="BZ54" s="136"/>
      <c r="CA54" s="136"/>
      <c r="CB54" s="136"/>
      <c r="CC54" s="136"/>
      <c r="CD54" s="136"/>
      <c r="CE54" s="136"/>
      <c r="CF54" s="136"/>
      <c r="CG54" s="136"/>
      <c r="CH54" s="136"/>
      <c r="CI54" s="136"/>
      <c r="CJ54" s="136"/>
    </row>
    <row r="55" spans="1:88" s="3" customFormat="1" ht="13" customHeight="1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  <c r="AY55" s="136"/>
      <c r="AZ55" s="136"/>
      <c r="BA55" s="136"/>
      <c r="BB55" s="136"/>
      <c r="BC55" s="136"/>
      <c r="BD55" s="136"/>
      <c r="BE55" s="136"/>
      <c r="BF55" s="136"/>
      <c r="BG55" s="136"/>
      <c r="BH55" s="136"/>
      <c r="BI55" s="136"/>
      <c r="BJ55" s="136"/>
      <c r="BK55" s="136"/>
      <c r="BL55" s="136"/>
      <c r="BM55" s="136"/>
      <c r="BN55" s="136"/>
      <c r="BO55" s="136"/>
      <c r="BP55" s="136"/>
      <c r="BQ55" s="136"/>
      <c r="BR55" s="136"/>
      <c r="BS55" s="136"/>
      <c r="BT55" s="136"/>
      <c r="BU55" s="136"/>
      <c r="BV55" s="136"/>
      <c r="BW55" s="136"/>
      <c r="BX55" s="136"/>
      <c r="BY55" s="136"/>
      <c r="BZ55" s="136"/>
      <c r="CA55" s="136"/>
      <c r="CB55" s="136"/>
      <c r="CC55" s="136"/>
      <c r="CD55" s="136"/>
      <c r="CE55" s="136"/>
      <c r="CF55" s="136"/>
      <c r="CG55" s="136"/>
      <c r="CH55" s="136"/>
      <c r="CI55" s="136"/>
      <c r="CJ55" s="136"/>
    </row>
    <row r="56" spans="1:88" s="3" customFormat="1" ht="13" customHeight="1">
      <c r="A56" s="136"/>
      <c r="B56" s="136"/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  <c r="BE56" s="136"/>
      <c r="BF56" s="136"/>
      <c r="BG56" s="136"/>
      <c r="BH56" s="136"/>
      <c r="BI56" s="136"/>
      <c r="BJ56" s="136"/>
      <c r="BK56" s="136"/>
      <c r="BL56" s="136"/>
      <c r="BM56" s="136"/>
      <c r="BN56" s="136"/>
      <c r="BO56" s="136"/>
      <c r="BP56" s="136"/>
      <c r="BQ56" s="136"/>
      <c r="BR56" s="136"/>
      <c r="BS56" s="136"/>
      <c r="BT56" s="136"/>
      <c r="BU56" s="136"/>
      <c r="BV56" s="136"/>
      <c r="BW56" s="136"/>
      <c r="BX56" s="136"/>
      <c r="BY56" s="136"/>
      <c r="BZ56" s="136"/>
      <c r="CA56" s="136"/>
      <c r="CB56" s="136"/>
      <c r="CC56" s="136"/>
      <c r="CD56" s="136"/>
      <c r="CE56" s="136"/>
      <c r="CF56" s="136"/>
      <c r="CG56" s="136"/>
      <c r="CH56" s="136"/>
      <c r="CI56" s="136"/>
      <c r="CJ56" s="136"/>
    </row>
    <row r="57" spans="1:88" s="3" customFormat="1" ht="13" customHeight="1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B57" s="136"/>
      <c r="AC57" s="136"/>
      <c r="AD57" s="136"/>
      <c r="AE57" s="136"/>
      <c r="AF57" s="136"/>
      <c r="AG57" s="136"/>
      <c r="AH57" s="136"/>
      <c r="AI57" s="136"/>
      <c r="AJ57" s="136"/>
      <c r="AK57" s="136"/>
      <c r="AL57" s="136"/>
      <c r="AM57" s="136"/>
      <c r="AN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  <c r="AY57" s="136"/>
      <c r="AZ57" s="136"/>
      <c r="BA57" s="136"/>
      <c r="BB57" s="136"/>
      <c r="BC57" s="136"/>
      <c r="BD57" s="136"/>
      <c r="BE57" s="136"/>
      <c r="BF57" s="136"/>
      <c r="BG57" s="136"/>
      <c r="BH57" s="136"/>
      <c r="BI57" s="136"/>
      <c r="BJ57" s="136"/>
      <c r="BK57" s="136"/>
      <c r="BL57" s="136"/>
      <c r="BM57" s="136"/>
      <c r="BN57" s="136"/>
      <c r="BO57" s="136"/>
      <c r="BP57" s="136"/>
      <c r="BQ57" s="136"/>
      <c r="BR57" s="136"/>
      <c r="BS57" s="136"/>
      <c r="BT57" s="136"/>
      <c r="BU57" s="136"/>
      <c r="BV57" s="136"/>
      <c r="BW57" s="136"/>
      <c r="BX57" s="136"/>
      <c r="BY57" s="136"/>
      <c r="BZ57" s="136"/>
      <c r="CA57" s="136"/>
      <c r="CB57" s="136"/>
      <c r="CC57" s="136"/>
      <c r="CD57" s="136"/>
      <c r="CE57" s="136"/>
      <c r="CF57" s="136"/>
      <c r="CG57" s="136"/>
      <c r="CH57" s="136"/>
      <c r="CI57" s="136"/>
      <c r="CJ57" s="136"/>
    </row>
    <row r="58" spans="1:88" s="3" customFormat="1" ht="13" customHeight="1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  <c r="AY58" s="136"/>
      <c r="AZ58" s="136"/>
      <c r="BA58" s="136"/>
      <c r="BB58" s="136"/>
      <c r="BC58" s="136"/>
      <c r="BD58" s="136"/>
      <c r="BE58" s="136"/>
      <c r="BF58" s="136"/>
      <c r="BG58" s="136"/>
      <c r="BH58" s="136"/>
      <c r="BI58" s="136"/>
      <c r="BJ58" s="136"/>
      <c r="BK58" s="136"/>
      <c r="BL58" s="136"/>
      <c r="BM58" s="136"/>
      <c r="BN58" s="136"/>
      <c r="BO58" s="136"/>
      <c r="BP58" s="136"/>
      <c r="BQ58" s="136"/>
      <c r="BR58" s="136"/>
      <c r="BS58" s="136"/>
      <c r="BT58" s="136"/>
      <c r="BU58" s="136"/>
      <c r="BV58" s="136"/>
      <c r="BW58" s="136"/>
      <c r="BX58" s="136"/>
      <c r="BY58" s="136"/>
      <c r="BZ58" s="136"/>
      <c r="CA58" s="136"/>
      <c r="CB58" s="136"/>
      <c r="CC58" s="136"/>
      <c r="CD58" s="136"/>
      <c r="CE58" s="136"/>
      <c r="CF58" s="136"/>
      <c r="CG58" s="136"/>
      <c r="CH58" s="136"/>
      <c r="CI58" s="136"/>
      <c r="CJ58" s="136"/>
    </row>
    <row r="59" spans="1:88" s="3" customFormat="1" ht="13" customHeight="1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  <c r="AY59" s="136"/>
      <c r="AZ59" s="136"/>
      <c r="BA59" s="136"/>
      <c r="BB59" s="136"/>
      <c r="BC59" s="136"/>
      <c r="BD59" s="136"/>
      <c r="BE59" s="136"/>
      <c r="BF59" s="136"/>
      <c r="BG59" s="136"/>
      <c r="BH59" s="136"/>
      <c r="BI59" s="136"/>
      <c r="BJ59" s="136"/>
      <c r="BK59" s="136"/>
      <c r="BL59" s="136"/>
      <c r="BM59" s="136"/>
      <c r="BN59" s="136"/>
      <c r="BO59" s="136"/>
      <c r="BP59" s="136"/>
      <c r="BQ59" s="136"/>
      <c r="BR59" s="136"/>
      <c r="BS59" s="136"/>
      <c r="BT59" s="136"/>
      <c r="BU59" s="136"/>
      <c r="BV59" s="136"/>
      <c r="BW59" s="136"/>
      <c r="BX59" s="136"/>
      <c r="BY59" s="136"/>
      <c r="BZ59" s="136"/>
      <c r="CA59" s="136"/>
      <c r="CB59" s="136"/>
      <c r="CC59" s="136"/>
      <c r="CD59" s="136"/>
      <c r="CE59" s="136"/>
      <c r="CF59" s="136"/>
      <c r="CG59" s="136"/>
      <c r="CH59" s="136"/>
      <c r="CI59" s="136"/>
      <c r="CJ59" s="136"/>
    </row>
    <row r="60" spans="1:88" s="3" customFormat="1" ht="13" customHeight="1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  <c r="AY60" s="136"/>
      <c r="AZ60" s="136"/>
      <c r="BA60" s="136"/>
      <c r="BB60" s="136"/>
      <c r="BC60" s="136"/>
      <c r="BD60" s="136"/>
      <c r="BE60" s="136"/>
      <c r="BF60" s="136"/>
      <c r="BG60" s="136"/>
      <c r="BH60" s="136"/>
      <c r="BI60" s="136"/>
      <c r="BJ60" s="136"/>
      <c r="BK60" s="136"/>
      <c r="BL60" s="136"/>
      <c r="BM60" s="136"/>
      <c r="BN60" s="136"/>
      <c r="BO60" s="136"/>
      <c r="BP60" s="136"/>
      <c r="BQ60" s="136"/>
      <c r="BR60" s="136"/>
      <c r="BS60" s="136"/>
      <c r="BT60" s="136"/>
      <c r="BU60" s="136"/>
      <c r="BV60" s="136"/>
      <c r="BW60" s="136"/>
      <c r="BX60" s="136"/>
      <c r="BY60" s="136"/>
      <c r="BZ60" s="136"/>
      <c r="CA60" s="136"/>
      <c r="CB60" s="136"/>
      <c r="CC60" s="136"/>
      <c r="CD60" s="136"/>
      <c r="CE60" s="136"/>
      <c r="CF60" s="136"/>
      <c r="CG60" s="136"/>
      <c r="CH60" s="136"/>
      <c r="CI60" s="136"/>
      <c r="CJ60" s="136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C26:K26"/>
    <mergeCell ref="C28:P28"/>
    <mergeCell ref="R28:X28"/>
    <mergeCell ref="Z28:AF28"/>
    <mergeCell ref="AH28:AN2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41" sqref="E41"/>
    </sheetView>
    <sheetView tabSelected="1" workbookViewId="1">
      <selection activeCell="C3" sqref="A2:Q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213</v>
      </c>
      <c r="B1" t="s">
        <v>7</v>
      </c>
      <c r="C1" t="s">
        <v>14</v>
      </c>
      <c r="D1" t="s">
        <v>165</v>
      </c>
      <c r="E1" t="s">
        <v>15</v>
      </c>
      <c r="F1" t="s">
        <v>210</v>
      </c>
      <c r="G1" t="s">
        <v>142</v>
      </c>
      <c r="H1" t="s">
        <v>16</v>
      </c>
      <c r="I1" t="s">
        <v>17</v>
      </c>
      <c r="J1" t="s">
        <v>194</v>
      </c>
      <c r="K1" t="s">
        <v>195</v>
      </c>
      <c r="L1" t="s">
        <v>196</v>
      </c>
      <c r="M1" t="s">
        <v>55</v>
      </c>
      <c r="N1" t="s">
        <v>197</v>
      </c>
      <c r="O1" t="s">
        <v>198</v>
      </c>
      <c r="P1" t="s">
        <v>208</v>
      </c>
      <c r="Q1" t="s">
        <v>211</v>
      </c>
    </row>
    <row r="2" spans="1:17" s="3" customFormat="1" ht="12" customHeight="1">
      <c r="A2" s="82"/>
      <c r="B2"/>
      <c r="C2"/>
      <c r="D2"/>
      <c r="E2"/>
      <c r="F2"/>
      <c r="G2"/>
      <c r="H2"/>
      <c r="I2" s="162"/>
      <c r="J2"/>
      <c r="K2"/>
      <c r="L2" s="161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5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3020A62-FDD6-354B-A717-A5D2BA660A7A}">
      <formula1>LISTE_MT_JOURNAL</formula1>
    </dataValidation>
    <dataValidation type="list" allowBlank="1" showErrorMessage="1" sqref="E2" xr:uid="{A0BEA3C6-4328-2043-8B71-B7C79EF8CA76}">
      <formula1>LISTE_ACTIONS_JOURNAL</formula1>
    </dataValidation>
    <dataValidation type="list" allowBlank="1" showErrorMessage="1" sqref="G2" xr:uid="{667E2E6B-C10B-0D43-B27E-246833AC07BA}">
      <formula1>LISTE_EQUIPES_JOURNAL</formula1>
    </dataValidation>
    <dataValidation type="list" allowBlank="1" showErrorMessage="1" sqref="F2" xr:uid="{A87F7051-2F11-0B4D-8D43-2C33A4E9F982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6FC772-B451-C749-B991-8946B641D042}">
          <x14:formula1>
            <xm:f>Paramètres!$AA$1:$AA$2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H95" sqref="H95:J102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57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 xml:space="preserve">Stats par joueur - Match PF :  /  </v>
      </c>
      <c r="C3" s="258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9"/>
    </row>
    <row r="4" spans="2:37" s="3" customFormat="1" ht="20" customHeigh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2"/>
    </row>
    <row r="5" spans="2:37" s="3" customFormat="1"/>
    <row r="6" spans="2:37" ht="14" customHeight="1">
      <c r="B6" s="253" t="s">
        <v>14</v>
      </c>
      <c r="C6" s="227" t="str">
        <f>ACT_PL_NORMAL</f>
        <v>Plaquage normal</v>
      </c>
      <c r="D6" s="225"/>
      <c r="E6" s="227" t="str">
        <f>ACT_PL_OFF</f>
        <v>Plaquage offensif</v>
      </c>
      <c r="F6" s="225"/>
      <c r="G6" s="227" t="str">
        <f>ACT_PL_RATE</f>
        <v>Plaquage raté</v>
      </c>
      <c r="H6" s="225"/>
      <c r="I6" s="227" t="str">
        <f>ACT_PL_A2</f>
        <v>Plaquage à 2</v>
      </c>
      <c r="J6" s="239"/>
      <c r="K6" s="239" t="str">
        <f>ACT_PL_HAUT</f>
        <v>Plaquage haut</v>
      </c>
      <c r="L6" s="225"/>
      <c r="M6" s="239" t="s">
        <v>10</v>
      </c>
      <c r="N6" s="225"/>
      <c r="O6" s="239" t="str">
        <f>ACT_FRANCHISSEMENT</f>
        <v>Franchissement</v>
      </c>
      <c r="P6" s="225"/>
      <c r="Q6" s="239" t="str">
        <f>ACT_AVANCEE</f>
        <v>Avancée au contact</v>
      </c>
      <c r="R6" s="225"/>
      <c r="S6" s="239" t="str">
        <f>ACT_ATT_NULLE</f>
        <v>Recul ou sans progression</v>
      </c>
      <c r="T6" s="225"/>
      <c r="U6" s="228" t="s">
        <v>230</v>
      </c>
      <c r="V6" s="229"/>
      <c r="W6" s="229"/>
      <c r="X6" s="229"/>
      <c r="Y6" s="229"/>
      <c r="Z6" s="230"/>
      <c r="AF6"/>
      <c r="AG6"/>
    </row>
    <row r="7" spans="2:37" ht="13" customHeight="1">
      <c r="B7" s="254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">IFERROR(_xlfn._xlws.SORT(_xlfn._xlws.FILTER(COMPO[Nom du joueur],(COMPO[Nom du joueur]&lt;&gt;"")*(COMPO[Nom du joueur]&lt;&gt;"Collectif")*(COMPO[Nom du joueur]&lt;&gt;"?"))),"")</f>
        <v/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/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/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/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/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/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/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/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/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/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/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/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/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/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/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/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/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/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/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/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175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31">
        <f t="shared" si="0"/>
        <v>0</v>
      </c>
      <c r="V32" s="231">
        <f t="shared" si="0"/>
        <v>0</v>
      </c>
      <c r="W32" s="231">
        <f t="shared" si="0"/>
        <v>0</v>
      </c>
      <c r="X32" s="231">
        <f t="shared" si="0"/>
        <v>0</v>
      </c>
      <c r="Y32" s="231">
        <f t="shared" si="0"/>
        <v>0</v>
      </c>
      <c r="Z32" s="231">
        <f t="shared" si="0"/>
        <v>0</v>
      </c>
    </row>
    <row r="33" spans="2:33" s="41" customFormat="1" ht="25" customHeight="1">
      <c r="B33" s="55" t="s">
        <v>174</v>
      </c>
      <c r="C33" s="235">
        <f>C32+D32</f>
        <v>0</v>
      </c>
      <c r="D33" s="236"/>
      <c r="E33" s="237">
        <f t="shared" ref="E33" si="3">E32+F32</f>
        <v>0</v>
      </c>
      <c r="F33" s="237"/>
      <c r="G33" s="235">
        <f t="shared" ref="G33" si="4">G32+H32</f>
        <v>0</v>
      </c>
      <c r="H33" s="236"/>
      <c r="I33" s="235">
        <f>I32+J32</f>
        <v>0</v>
      </c>
      <c r="J33" s="236"/>
      <c r="K33" s="235">
        <f t="shared" ref="K33" si="5">K32+L32</f>
        <v>0</v>
      </c>
      <c r="L33" s="236"/>
      <c r="M33" s="237">
        <f t="shared" ref="M33" si="6">M32+N32</f>
        <v>0</v>
      </c>
      <c r="N33" s="236"/>
      <c r="O33" s="237">
        <f t="shared" ref="O33" si="7">O32+P32</f>
        <v>0</v>
      </c>
      <c r="P33" s="236"/>
      <c r="Q33" s="237">
        <f t="shared" ref="Q33" si="8">Q32+R32</f>
        <v>0</v>
      </c>
      <c r="R33" s="236"/>
      <c r="S33" s="237">
        <f t="shared" ref="S33" si="9">S32+T32</f>
        <v>0</v>
      </c>
      <c r="T33" s="236"/>
      <c r="U33" s="232"/>
      <c r="V33" s="232"/>
      <c r="W33" s="232"/>
      <c r="X33" s="232"/>
      <c r="Y33" s="232"/>
      <c r="Z33" s="232"/>
    </row>
    <row r="34" spans="2:33" s="3" customFormat="1"/>
    <row r="35" spans="2:33" s="3" customFormat="1"/>
    <row r="36" spans="2:33" ht="14">
      <c r="B36" s="56" t="s">
        <v>144</v>
      </c>
      <c r="C36" s="56" t="s">
        <v>209</v>
      </c>
      <c r="D36" s="107" t="s">
        <v>143</v>
      </c>
      <c r="E36" s="57" t="s">
        <v>349</v>
      </c>
      <c r="F36" s="3"/>
      <c r="G36" s="56" t="s">
        <v>415</v>
      </c>
      <c r="H36" s="148" t="s">
        <v>46</v>
      </c>
      <c r="I36" s="48" t="s">
        <v>44</v>
      </c>
      <c r="J36" s="3"/>
      <c r="K36" s="3"/>
      <c r="L36" s="227" t="s">
        <v>28</v>
      </c>
      <c r="M36" s="227" t="s">
        <v>146</v>
      </c>
      <c r="N36" s="239"/>
      <c r="O36" s="225"/>
      <c r="P36" s="225" t="s">
        <v>170</v>
      </c>
      <c r="Q36" s="3"/>
      <c r="R36" s="3"/>
      <c r="S36" s="3"/>
      <c r="T36" s="3"/>
      <c r="AE36"/>
      <c r="AF36"/>
      <c r="AG36"/>
    </row>
    <row r="37" spans="2:33" ht="14">
      <c r="B37" s="36" t="s">
        <v>141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146</v>
      </c>
      <c r="H37" s="1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6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38"/>
      <c r="M37" s="70" t="s">
        <v>152</v>
      </c>
      <c r="N37" s="66" t="s">
        <v>169</v>
      </c>
      <c r="O37" s="71" t="s">
        <v>32</v>
      </c>
      <c r="P37" s="226"/>
      <c r="Q37" s="3"/>
      <c r="R37" s="3"/>
      <c r="S37" s="3"/>
      <c r="T37" s="3"/>
      <c r="AE37"/>
      <c r="AF37"/>
      <c r="AG37"/>
    </row>
    <row r="38" spans="2:33">
      <c r="B38" s="11" t="s">
        <v>171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147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145</v>
      </c>
      <c r="C40" s="56" t="s">
        <v>209</v>
      </c>
      <c r="D40" s="107" t="s">
        <v>143</v>
      </c>
      <c r="E40" s="57" t="s">
        <v>349</v>
      </c>
      <c r="F40" s="3"/>
      <c r="G40" s="227" t="s">
        <v>148</v>
      </c>
      <c r="H40" s="225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141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146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146</v>
      </c>
      <c r="O41" s="48" t="s">
        <v>170</v>
      </c>
      <c r="P41" s="3"/>
      <c r="Q41" s="3"/>
      <c r="R41" s="3"/>
      <c r="S41" s="3"/>
      <c r="T41" s="3"/>
    </row>
    <row r="42" spans="2:33">
      <c r="B42" s="11" t="s">
        <v>171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147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33" t="s">
        <v>1</v>
      </c>
      <c r="M42" s="234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2" t="s">
        <v>2</v>
      </c>
      <c r="M43" s="243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231</v>
      </c>
      <c r="C44" s="56" t="s">
        <v>209</v>
      </c>
      <c r="D44" s="57" t="s">
        <v>143</v>
      </c>
      <c r="E44" s="3"/>
      <c r="F44" s="3"/>
      <c r="G44" s="148" t="s">
        <v>388</v>
      </c>
      <c r="H44" s="152" t="s">
        <v>47</v>
      </c>
      <c r="I44" s="147" t="s">
        <v>389</v>
      </c>
      <c r="J44" s="154" t="s">
        <v>234</v>
      </c>
      <c r="K44" s="3"/>
      <c r="L44" s="233" t="s">
        <v>3</v>
      </c>
      <c r="M44" s="234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141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49">
        <v>0</v>
      </c>
      <c r="I45" s="77">
        <v>0</v>
      </c>
      <c r="J45" s="77">
        <v>0</v>
      </c>
      <c r="K45" s="3"/>
      <c r="L45" s="242" t="s">
        <v>4</v>
      </c>
      <c r="M45" s="243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171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0">
        <v>0</v>
      </c>
      <c r="I46" s="78">
        <v>0</v>
      </c>
      <c r="J46" s="78">
        <v>0</v>
      </c>
      <c r="K46" s="3"/>
      <c r="L46" s="233" t="s">
        <v>5</v>
      </c>
      <c r="M46" s="234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3" t="s">
        <v>234</v>
      </c>
      <c r="H47" s="151">
        <v>0</v>
      </c>
      <c r="I47" s="79">
        <v>0</v>
      </c>
      <c r="J47" s="79">
        <v>0</v>
      </c>
      <c r="K47" s="3"/>
      <c r="L47" s="242" t="s">
        <v>166</v>
      </c>
      <c r="M47" s="243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232</v>
      </c>
      <c r="C48" s="56" t="s">
        <v>209</v>
      </c>
      <c r="D48" s="57" t="s">
        <v>143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141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171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57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PF :  /   - Touches et possession</v>
      </c>
      <c r="C56" s="258"/>
      <c r="D56" s="258"/>
      <c r="E56" s="258"/>
      <c r="F56" s="258"/>
      <c r="G56" s="258"/>
      <c r="H56" s="258"/>
      <c r="I56" s="258"/>
      <c r="J56" s="258"/>
      <c r="K56" s="259"/>
      <c r="L56" s="124"/>
      <c r="M56" s="124"/>
      <c r="N56" s="124"/>
      <c r="O56" s="124"/>
      <c r="P56" s="124"/>
      <c r="Q56" s="124"/>
      <c r="R56" s="124"/>
      <c r="S56" s="124"/>
      <c r="T56" s="124"/>
    </row>
    <row r="57" spans="2:20" s="3" customFormat="1" ht="13" customHeight="1">
      <c r="B57" s="260"/>
      <c r="C57" s="261"/>
      <c r="D57" s="261"/>
      <c r="E57" s="261"/>
      <c r="F57" s="261"/>
      <c r="G57" s="261"/>
      <c r="H57" s="261"/>
      <c r="I57" s="261"/>
      <c r="J57" s="261"/>
      <c r="K57" s="262"/>
      <c r="L57" s="124"/>
      <c r="M57" s="124"/>
      <c r="N57" s="124"/>
      <c r="O57" s="124"/>
      <c r="P57" s="124"/>
      <c r="Q57" s="124"/>
      <c r="R57" s="124"/>
      <c r="S57" s="124"/>
      <c r="T57" s="124"/>
    </row>
    <row r="58" spans="2:20" s="3" customFormat="1" ht="14" thickBot="1"/>
    <row r="59" spans="2:20" s="3" customFormat="1">
      <c r="B59" s="244" t="s">
        <v>233</v>
      </c>
      <c r="C59" s="245"/>
      <c r="D59" s="245"/>
      <c r="E59" s="245"/>
      <c r="F59" s="245"/>
      <c r="G59" s="245"/>
      <c r="H59" s="245"/>
      <c r="I59" s="245"/>
      <c r="J59" s="245"/>
      <c r="K59" s="246"/>
    </row>
    <row r="60" spans="2:20" s="3" customFormat="1">
      <c r="B60" s="247"/>
      <c r="C60" s="248"/>
      <c r="D60" s="248"/>
      <c r="E60" s="248"/>
      <c r="F60" s="248"/>
      <c r="G60" s="248"/>
      <c r="H60" s="248"/>
      <c r="I60" s="248"/>
      <c r="J60" s="248"/>
      <c r="K60" s="249"/>
    </row>
    <row r="61" spans="2:20" s="3" customFormat="1" ht="14" thickBot="1">
      <c r="B61" s="250"/>
      <c r="C61" s="251"/>
      <c r="D61" s="251"/>
      <c r="E61" s="251"/>
      <c r="F61" s="251"/>
      <c r="G61" s="251"/>
      <c r="H61" s="251"/>
      <c r="I61" s="251"/>
      <c r="J61" s="251"/>
      <c r="K61" s="252"/>
    </row>
    <row r="62" spans="2:20" s="3" customFormat="1"/>
    <row r="63" spans="2:20" s="3" customFormat="1" ht="14">
      <c r="B63" s="253" t="s">
        <v>14</v>
      </c>
      <c r="C63" s="227" t="str">
        <f>ACT_TO_NS_G</f>
        <v>Touche à nous conservée</v>
      </c>
      <c r="D63" s="225"/>
      <c r="E63" s="227" t="str">
        <f>ACT_TO_ADV_VOLEE</f>
        <v>Touche à eux volée</v>
      </c>
      <c r="F63" s="225"/>
      <c r="H63" s="255" t="str">
        <f>ACT_TO_NS_P</f>
        <v>Touche à nous perdue</v>
      </c>
      <c r="I63" s="256"/>
      <c r="J63" s="255" t="str">
        <f>ACT_TO_NS_PAS_DROIT</f>
        <v>Touche à nous pas droite</v>
      </c>
      <c r="K63" s="256"/>
    </row>
    <row r="64" spans="2:20" s="3" customFormat="1" ht="14">
      <c r="B64" s="254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">IFERROR(_xlfn._xlws.SORT(_xlfn._xlws.FILTER(COMPO[Nom du joueur],(COMPO[Nom du joueur]&lt;&gt;"")*(COMPO[Nom du joueur]&lt;&gt;"Collectif")*(COMPO[Nom du joueur]&lt;&gt;"?"))),"")</f>
        <v/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/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/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/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/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/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/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/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/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/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/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/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/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/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/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/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/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/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/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/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/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/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175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174</v>
      </c>
      <c r="C90" s="235">
        <f>C89+D89</f>
        <v>0</v>
      </c>
      <c r="D90" s="236"/>
      <c r="E90" s="235">
        <f>E89+F89</f>
        <v>0</v>
      </c>
      <c r="F90" s="236"/>
      <c r="H90" s="240">
        <f>H89+I89</f>
        <v>0</v>
      </c>
      <c r="I90" s="241"/>
      <c r="J90" s="240">
        <f>J89+K89</f>
        <v>0</v>
      </c>
      <c r="K90" s="241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5" t="s">
        <v>266</v>
      </c>
      <c r="C94" s="126" t="s">
        <v>47</v>
      </c>
      <c r="D94" s="127" t="s">
        <v>112</v>
      </c>
      <c r="F94" s="265" t="s">
        <v>267</v>
      </c>
      <c r="G94" s="266"/>
      <c r="H94" s="126" t="s">
        <v>46</v>
      </c>
      <c r="I94" s="126" t="s">
        <v>44</v>
      </c>
      <c r="J94" s="133" t="s">
        <v>234</v>
      </c>
    </row>
    <row r="95" spans="2:11" s="3" customFormat="1" ht="16">
      <c r="B95" s="128" t="s">
        <v>235</v>
      </c>
      <c r="C95" s="81">
        <v>0</v>
      </c>
      <c r="D95" s="129">
        <v>0</v>
      </c>
      <c r="F95" s="263" t="s">
        <v>235</v>
      </c>
      <c r="G95" s="264"/>
      <c r="H95" s="81">
        <v>0</v>
      </c>
      <c r="I95" s="81">
        <v>0</v>
      </c>
      <c r="J95" s="134">
        <v>0</v>
      </c>
    </row>
    <row r="96" spans="2:11" s="3" customFormat="1" ht="16">
      <c r="B96" s="128" t="s">
        <v>236</v>
      </c>
      <c r="C96" s="81">
        <v>0</v>
      </c>
      <c r="D96" s="129">
        <v>0</v>
      </c>
      <c r="F96" s="263" t="s">
        <v>236</v>
      </c>
      <c r="G96" s="264"/>
      <c r="H96" s="81">
        <v>0</v>
      </c>
      <c r="I96" s="81">
        <v>0</v>
      </c>
      <c r="J96" s="134">
        <v>0</v>
      </c>
    </row>
    <row r="97" spans="2:10" s="3" customFormat="1" ht="16">
      <c r="B97" s="128" t="s">
        <v>237</v>
      </c>
      <c r="C97" s="81">
        <v>0</v>
      </c>
      <c r="D97" s="129">
        <v>0</v>
      </c>
      <c r="F97" s="263" t="s">
        <v>237</v>
      </c>
      <c r="G97" s="264"/>
      <c r="H97" s="81">
        <v>0</v>
      </c>
      <c r="I97" s="81">
        <v>0</v>
      </c>
      <c r="J97" s="134">
        <v>0</v>
      </c>
    </row>
    <row r="98" spans="2:10" s="3" customFormat="1" ht="16">
      <c r="B98" s="128" t="s">
        <v>238</v>
      </c>
      <c r="C98" s="81">
        <v>0</v>
      </c>
      <c r="D98" s="129">
        <v>0</v>
      </c>
      <c r="F98" s="263" t="s">
        <v>238</v>
      </c>
      <c r="G98" s="264"/>
      <c r="H98" s="81">
        <v>0</v>
      </c>
      <c r="I98" s="81">
        <v>0</v>
      </c>
      <c r="J98" s="134">
        <v>0</v>
      </c>
    </row>
    <row r="99" spans="2:10" s="3" customFormat="1" ht="17" thickBot="1">
      <c r="B99" s="130" t="s">
        <v>239</v>
      </c>
      <c r="C99" s="131">
        <v>0</v>
      </c>
      <c r="D99" s="132">
        <v>0</v>
      </c>
      <c r="F99" s="263" t="s">
        <v>268</v>
      </c>
      <c r="G99" s="264"/>
      <c r="H99" s="81">
        <v>0</v>
      </c>
      <c r="I99" s="81">
        <v>0</v>
      </c>
      <c r="J99" s="134">
        <v>0</v>
      </c>
    </row>
    <row r="100" spans="2:10" s="3" customFormat="1" ht="16">
      <c r="F100" s="263" t="s">
        <v>269</v>
      </c>
      <c r="G100" s="264"/>
      <c r="H100" s="81">
        <v>0</v>
      </c>
      <c r="I100" s="81">
        <v>0</v>
      </c>
      <c r="J100" s="134">
        <v>0</v>
      </c>
    </row>
    <row r="101" spans="2:10" s="3" customFormat="1" ht="16">
      <c r="F101" s="263" t="s">
        <v>270</v>
      </c>
      <c r="G101" s="264"/>
      <c r="H101" s="81">
        <v>0</v>
      </c>
      <c r="I101" s="81">
        <v>0</v>
      </c>
      <c r="J101" s="134">
        <v>0</v>
      </c>
    </row>
    <row r="102" spans="2:10" s="3" customFormat="1" ht="17" thickBot="1">
      <c r="F102" s="267" t="s">
        <v>271</v>
      </c>
      <c r="G102" s="268"/>
      <c r="H102" s="131">
        <v>0</v>
      </c>
      <c r="I102" s="131">
        <v>0</v>
      </c>
      <c r="J102" s="135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15" priority="6" stopIfTrue="1">
      <formula>ISEVEN(ROW())</formula>
    </cfRule>
  </conditionalFormatting>
  <conditionalFormatting sqref="B65:B88">
    <cfRule type="expression" dxfId="14" priority="5" stopIfTrue="1">
      <formula>ISEVEN(ROW())</formula>
    </cfRule>
  </conditionalFormatting>
  <conditionalFormatting sqref="C65:D88">
    <cfRule type="expression" dxfId="13" priority="4" stopIfTrue="1">
      <formula>ISEVEN(ROW())</formula>
    </cfRule>
  </conditionalFormatting>
  <conditionalFormatting sqref="H65:I88">
    <cfRule type="expression" dxfId="12" priority="3" stopIfTrue="1">
      <formula>ISEVEN(ROW())</formula>
    </cfRule>
  </conditionalFormatting>
  <conditionalFormatting sqref="J65:K88">
    <cfRule type="expression" dxfId="11" priority="2" stopIfTrue="1">
      <formula>ISEVEN(ROW())</formula>
    </cfRule>
  </conditionalFormatting>
  <conditionalFormatting sqref="E65:F88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D13" sqref="D13"/>
    </sheetView>
    <sheetView workbookViewId="1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320</v>
      </c>
      <c r="W1" t="s">
        <v>288</v>
      </c>
      <c r="X1" t="s">
        <v>291</v>
      </c>
      <c r="Y1" t="s">
        <v>295</v>
      </c>
      <c r="Z1" t="s">
        <v>296</v>
      </c>
      <c r="AA1" t="s">
        <v>302</v>
      </c>
      <c r="AB1" t="s">
        <v>305</v>
      </c>
      <c r="AC1" t="s">
        <v>314</v>
      </c>
      <c r="AD1" t="s">
        <v>316</v>
      </c>
      <c r="AE1" t="s">
        <v>336</v>
      </c>
      <c r="AF1" t="s">
        <v>345</v>
      </c>
    </row>
    <row r="2" spans="1:32">
      <c r="A2" t="s">
        <v>321</v>
      </c>
      <c r="B2" t="s">
        <v>7</v>
      </c>
      <c r="C2" t="s">
        <v>322</v>
      </c>
      <c r="D2" t="s">
        <v>323</v>
      </c>
      <c r="E2" t="s">
        <v>324</v>
      </c>
      <c r="F2" t="s">
        <v>325</v>
      </c>
      <c r="G2" t="s">
        <v>326</v>
      </c>
      <c r="H2" t="s">
        <v>327</v>
      </c>
      <c r="I2" t="s">
        <v>328</v>
      </c>
      <c r="J2" t="s">
        <v>329</v>
      </c>
      <c r="W2" t="s">
        <v>289</v>
      </c>
      <c r="X2" t="s">
        <v>292</v>
      </c>
      <c r="Y2" t="s">
        <v>292</v>
      </c>
      <c r="Z2" t="s">
        <v>297</v>
      </c>
      <c r="AA2" t="s">
        <v>303</v>
      </c>
      <c r="AB2" t="s">
        <v>306</v>
      </c>
      <c r="AC2">
        <v>2</v>
      </c>
      <c r="AD2" t="s">
        <v>317</v>
      </c>
      <c r="AE2" t="s">
        <v>337</v>
      </c>
      <c r="AF2" t="s">
        <v>346</v>
      </c>
    </row>
    <row r="3" spans="1:32">
      <c r="A3" s="82"/>
      <c r="W3" t="s">
        <v>290</v>
      </c>
      <c r="X3" t="s">
        <v>293</v>
      </c>
      <c r="Y3" t="s">
        <v>293</v>
      </c>
      <c r="Z3" t="s">
        <v>298</v>
      </c>
      <c r="AA3" t="s">
        <v>304</v>
      </c>
      <c r="AB3" t="s">
        <v>307</v>
      </c>
      <c r="AC3">
        <v>3</v>
      </c>
      <c r="AD3" t="s">
        <v>318</v>
      </c>
      <c r="AE3" s="99" t="s">
        <v>169</v>
      </c>
      <c r="AF3" t="s">
        <v>347</v>
      </c>
    </row>
    <row r="4" spans="1:32">
      <c r="A4" s="82"/>
      <c r="X4" t="s">
        <v>294</v>
      </c>
      <c r="Z4" t="s">
        <v>299</v>
      </c>
      <c r="AB4" t="s">
        <v>308</v>
      </c>
      <c r="AC4">
        <v>4</v>
      </c>
      <c r="AD4" t="s">
        <v>319</v>
      </c>
      <c r="AE4" t="s">
        <v>338</v>
      </c>
    </row>
    <row r="5" spans="1:32">
      <c r="A5" s="110" t="s">
        <v>220</v>
      </c>
      <c r="B5" s="111" t="s">
        <v>209</v>
      </c>
      <c r="C5" s="111" t="s">
        <v>143</v>
      </c>
      <c r="D5" s="111" t="s">
        <v>349</v>
      </c>
      <c r="Z5" t="s">
        <v>300</v>
      </c>
      <c r="AB5" t="s">
        <v>309</v>
      </c>
      <c r="AC5">
        <v>5</v>
      </c>
    </row>
    <row r="6" spans="1:32">
      <c r="A6" s="112" t="s">
        <v>141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301</v>
      </c>
      <c r="AB6" t="s">
        <v>310</v>
      </c>
      <c r="AC6">
        <v>6</v>
      </c>
    </row>
    <row r="7" spans="1:32">
      <c r="A7" s="108" t="s">
        <v>171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311</v>
      </c>
      <c r="AC7" t="s">
        <v>315</v>
      </c>
    </row>
    <row r="8" spans="1:32">
      <c r="AB8" t="s">
        <v>312</v>
      </c>
    </row>
    <row r="9" spans="1:32">
      <c r="AB9" t="s">
        <v>313</v>
      </c>
    </row>
    <row r="17" spans="1:10" ht="18">
      <c r="A17" s="98" t="s">
        <v>330</v>
      </c>
    </row>
    <row r="18" spans="1:10">
      <c r="A18" t="s">
        <v>321</v>
      </c>
      <c r="B18" t="s">
        <v>7</v>
      </c>
      <c r="C18" t="s">
        <v>348</v>
      </c>
      <c r="D18" t="s">
        <v>323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329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350</v>
      </c>
      <c r="B21" s="115" t="s">
        <v>209</v>
      </c>
      <c r="C21" s="115" t="s">
        <v>143</v>
      </c>
      <c r="G21" s="96"/>
      <c r="H21" s="96"/>
      <c r="I21" s="96"/>
    </row>
    <row r="22" spans="1:10">
      <c r="A22" s="116" t="s">
        <v>141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171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69" t="s">
        <v>368</v>
      </c>
      <c r="B25" s="269"/>
    </row>
    <row r="26" spans="1:10">
      <c r="A26" s="269"/>
      <c r="B26" s="269"/>
    </row>
  </sheetData>
  <mergeCells count="1">
    <mergeCell ref="A25:B26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9">
    <cfRule type="expression" dxfId="3" priority="7" stopIfTrue="1">
      <formula>($C19&amp;$D19)="NP"</formula>
    </cfRule>
    <cfRule type="expression" dxfId="2" priority="8" stopIfTrue="1">
      <formula>($C19&amp;$D19)="EG"</formula>
    </cfRule>
  </conditionalFormatting>
  <conditionalFormatting sqref="A19:J19">
    <cfRule type="expression" dxfId="1" priority="9" stopIfTrue="1">
      <formula>$C19="N"</formula>
    </cfRule>
    <cfRule type="expression" dxfId="0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186</v>
      </c>
      <c r="D1" s="15"/>
      <c r="F1" s="22" t="s">
        <v>109</v>
      </c>
      <c r="G1" s="23" t="s">
        <v>110</v>
      </c>
      <c r="I1" s="24" t="s">
        <v>115</v>
      </c>
      <c r="K1" s="76" t="s">
        <v>113</v>
      </c>
      <c r="N1" t="s">
        <v>151</v>
      </c>
      <c r="Q1" s="24" t="s">
        <v>76</v>
      </c>
      <c r="R1" s="24" t="s">
        <v>116</v>
      </c>
      <c r="AA1" t="s">
        <v>42</v>
      </c>
    </row>
    <row r="2" spans="1:27" ht="30" customHeight="1">
      <c r="C2" s="19" t="s">
        <v>176</v>
      </c>
      <c r="D2" s="19"/>
      <c r="F2" s="17" t="s">
        <v>99</v>
      </c>
      <c r="G2" s="10"/>
      <c r="I2" s="18" t="s">
        <v>47</v>
      </c>
      <c r="K2" s="281" t="s">
        <v>42</v>
      </c>
      <c r="N2" t="s">
        <v>152</v>
      </c>
      <c r="Q2" s="18" t="s">
        <v>77</v>
      </c>
      <c r="R2" s="18" t="s">
        <v>8</v>
      </c>
      <c r="AA2" t="s">
        <v>32</v>
      </c>
    </row>
    <row r="3" spans="1:27" ht="30" customHeight="1">
      <c r="C3" s="19" t="s">
        <v>185</v>
      </c>
      <c r="D3" s="19"/>
      <c r="F3" s="20" t="s">
        <v>100</v>
      </c>
      <c r="G3" s="4"/>
      <c r="I3" s="25" t="s">
        <v>112</v>
      </c>
      <c r="K3" s="281" t="s">
        <v>32</v>
      </c>
      <c r="N3" t="s">
        <v>168</v>
      </c>
      <c r="Q3" s="21" t="s">
        <v>78</v>
      </c>
      <c r="R3" s="21" t="s">
        <v>57</v>
      </c>
    </row>
    <row r="4" spans="1:27" ht="30" customHeight="1">
      <c r="C4" s="19" t="s">
        <v>187</v>
      </c>
      <c r="D4" s="19"/>
      <c r="F4" s="17" t="s">
        <v>101</v>
      </c>
      <c r="G4" s="5"/>
      <c r="Q4" s="18" t="s">
        <v>79</v>
      </c>
      <c r="R4" s="18" t="s">
        <v>9</v>
      </c>
    </row>
    <row r="5" spans="1:27" ht="30" customHeight="1">
      <c r="C5" s="19"/>
      <c r="D5" s="19"/>
      <c r="F5" s="20" t="s">
        <v>102</v>
      </c>
      <c r="G5" s="6"/>
      <c r="I5" s="24" t="s">
        <v>114</v>
      </c>
      <c r="K5" s="16" t="s">
        <v>285</v>
      </c>
      <c r="Q5" s="21" t="s">
        <v>80</v>
      </c>
      <c r="R5" s="21" t="s">
        <v>81</v>
      </c>
    </row>
    <row r="6" spans="1:27" ht="30" customHeight="1">
      <c r="C6" s="19" t="s">
        <v>188</v>
      </c>
      <c r="D6" s="19"/>
      <c r="F6" s="17" t="s">
        <v>104</v>
      </c>
      <c r="G6" s="7"/>
      <c r="I6" s="18" t="s">
        <v>46</v>
      </c>
      <c r="K6" t="s">
        <v>286</v>
      </c>
      <c r="Q6" s="18" t="s">
        <v>82</v>
      </c>
      <c r="R6" s="18" t="s">
        <v>83</v>
      </c>
    </row>
    <row r="7" spans="1:27" ht="30" customHeight="1">
      <c r="C7" s="19" t="s">
        <v>177</v>
      </c>
      <c r="D7" s="19"/>
      <c r="F7" s="20" t="s">
        <v>103</v>
      </c>
      <c r="G7" s="14"/>
      <c r="I7" s="25" t="s">
        <v>44</v>
      </c>
      <c r="K7" t="s">
        <v>287</v>
      </c>
      <c r="Q7" s="21" t="s">
        <v>84</v>
      </c>
      <c r="R7" s="21" t="s">
        <v>60</v>
      </c>
    </row>
    <row r="8" spans="1:27" ht="30" customHeight="1">
      <c r="C8" s="19" t="s">
        <v>189</v>
      </c>
      <c r="D8" s="19"/>
      <c r="F8" s="17" t="s">
        <v>105</v>
      </c>
      <c r="G8" s="2"/>
      <c r="Q8" s="18" t="s">
        <v>85</v>
      </c>
      <c r="R8" s="18" t="s">
        <v>58</v>
      </c>
    </row>
    <row r="9" spans="1:27" s="15" customFormat="1" ht="30" customHeight="1">
      <c r="C9" s="19" t="s">
        <v>190</v>
      </c>
      <c r="D9" s="19"/>
      <c r="F9" s="20" t="s">
        <v>106</v>
      </c>
      <c r="G9" s="8"/>
      <c r="K9"/>
      <c r="Q9" s="21" t="s">
        <v>86</v>
      </c>
      <c r="R9" s="21" t="s">
        <v>61</v>
      </c>
    </row>
    <row r="10" spans="1:27" ht="30" customHeight="1">
      <c r="C10" s="19" t="s">
        <v>265</v>
      </c>
      <c r="D10" s="19"/>
      <c r="F10" s="17" t="s">
        <v>107</v>
      </c>
      <c r="G10" s="119"/>
      <c r="I10" s="45" t="s">
        <v>212</v>
      </c>
      <c r="Q10" s="18" t="s">
        <v>87</v>
      </c>
      <c r="R10" s="18" t="s">
        <v>59</v>
      </c>
    </row>
    <row r="11" spans="1:27" s="15" customFormat="1" ht="30" customHeight="1">
      <c r="D11" s="19"/>
      <c r="F11" s="20" t="s">
        <v>242</v>
      </c>
      <c r="G11" s="83"/>
      <c r="K11"/>
      <c r="Q11" s="21" t="s">
        <v>88</v>
      </c>
      <c r="R11" s="21" t="s">
        <v>62</v>
      </c>
    </row>
    <row r="12" spans="1:27" ht="30" customHeight="1">
      <c r="C12" s="19" t="s">
        <v>191</v>
      </c>
      <c r="D12" s="19"/>
      <c r="F12" s="17" t="s">
        <v>243</v>
      </c>
      <c r="G12" s="84"/>
      <c r="Q12" s="21" t="s">
        <v>218</v>
      </c>
      <c r="R12" s="21" t="s">
        <v>219</v>
      </c>
    </row>
    <row r="13" spans="1:27" s="15" customFormat="1" ht="30" customHeight="1">
      <c r="C13" s="19" t="s">
        <v>178</v>
      </c>
      <c r="D13" s="19"/>
      <c r="F13" s="20" t="s">
        <v>244</v>
      </c>
      <c r="G13" s="120"/>
      <c r="K13"/>
      <c r="Q13" s="20" t="s">
        <v>173</v>
      </c>
      <c r="R13" s="65" t="s">
        <v>159</v>
      </c>
    </row>
    <row r="14" spans="1:27" ht="30" customHeight="1">
      <c r="C14" s="19" t="s">
        <v>192</v>
      </c>
      <c r="D14" s="19"/>
      <c r="F14" s="20"/>
      <c r="G14" s="15"/>
      <c r="I14" s="16" t="s">
        <v>122</v>
      </c>
      <c r="Q14" s="20" t="s">
        <v>172</v>
      </c>
      <c r="R14" s="65" t="s">
        <v>160</v>
      </c>
    </row>
    <row r="15" spans="1:27" s="15" customFormat="1" ht="30" customHeight="1">
      <c r="C15" s="19" t="s">
        <v>193</v>
      </c>
      <c r="D15" s="19"/>
      <c r="F15" s="17" t="s">
        <v>108</v>
      </c>
      <c r="G15" s="9"/>
      <c r="I15" s="15" t="s">
        <v>118</v>
      </c>
      <c r="K15"/>
      <c r="Q15" s="20" t="s">
        <v>89</v>
      </c>
      <c r="R15" s="65" t="s">
        <v>52</v>
      </c>
    </row>
    <row r="16" spans="1:27" ht="30" customHeight="1">
      <c r="C16" s="19"/>
      <c r="D16" s="19"/>
      <c r="I16" s="15" t="s">
        <v>119</v>
      </c>
      <c r="Q16" s="20" t="s">
        <v>90</v>
      </c>
      <c r="R16" s="65" t="s">
        <v>63</v>
      </c>
    </row>
    <row r="17" spans="3:18" s="15" customFormat="1" ht="30" customHeight="1">
      <c r="C17" s="19" t="s">
        <v>200</v>
      </c>
      <c r="D17" s="19"/>
      <c r="F17" s="15" t="s">
        <v>353</v>
      </c>
      <c r="G17" s="146"/>
      <c r="I17" s="15" t="s">
        <v>120</v>
      </c>
      <c r="K17"/>
      <c r="Q17" s="20" t="s">
        <v>91</v>
      </c>
      <c r="R17" s="65" t="s">
        <v>64</v>
      </c>
    </row>
    <row r="18" spans="3:18" ht="30" customHeight="1">
      <c r="C18" s="19" t="s">
        <v>201</v>
      </c>
      <c r="D18" s="19"/>
      <c r="F18" s="15" t="s">
        <v>354</v>
      </c>
      <c r="G18" s="145"/>
      <c r="I18" s="15" t="s">
        <v>121</v>
      </c>
      <c r="Q18" s="20" t="s">
        <v>92</v>
      </c>
      <c r="R18" s="65" t="s">
        <v>65</v>
      </c>
    </row>
    <row r="19" spans="3:18" ht="30" customHeight="1">
      <c r="C19" s="19" t="s">
        <v>202</v>
      </c>
      <c r="D19" s="19"/>
      <c r="F19" s="15"/>
      <c r="I19" s="15" t="s">
        <v>214</v>
      </c>
      <c r="Q19" s="20" t="s">
        <v>93</v>
      </c>
      <c r="R19" s="65" t="s">
        <v>56</v>
      </c>
    </row>
    <row r="20" spans="3:18" ht="30" customHeight="1">
      <c r="C20" s="19" t="s">
        <v>203</v>
      </c>
      <c r="D20" s="19"/>
      <c r="I20" s="15" t="s">
        <v>215</v>
      </c>
      <c r="Q20" s="20" t="s">
        <v>94</v>
      </c>
      <c r="R20" s="65" t="s">
        <v>53</v>
      </c>
    </row>
    <row r="21" spans="3:18" ht="30" customHeight="1">
      <c r="C21" s="19" t="s">
        <v>204</v>
      </c>
      <c r="D21" s="19"/>
      <c r="Q21" s="20" t="s">
        <v>95</v>
      </c>
      <c r="R21" s="65" t="s">
        <v>54</v>
      </c>
    </row>
    <row r="22" spans="3:18" ht="30" customHeight="1">
      <c r="C22" s="19"/>
      <c r="D22" s="19"/>
      <c r="Q22" s="20" t="s">
        <v>96</v>
      </c>
      <c r="R22" s="65" t="s">
        <v>49</v>
      </c>
    </row>
    <row r="23" spans="3:18" ht="30" customHeight="1">
      <c r="C23" s="19"/>
      <c r="D23" s="19"/>
      <c r="Q23" s="20" t="s">
        <v>97</v>
      </c>
      <c r="R23" s="65" t="s">
        <v>50</v>
      </c>
    </row>
    <row r="24" spans="3:18" ht="30" customHeight="1">
      <c r="C24" s="19"/>
      <c r="D24" s="19"/>
      <c r="Q24" s="20" t="s">
        <v>98</v>
      </c>
      <c r="R24" s="65" t="s">
        <v>37</v>
      </c>
    </row>
    <row r="25" spans="3:18" ht="30" customHeight="1">
      <c r="Q25" s="20" t="s">
        <v>129</v>
      </c>
      <c r="R25" s="65" t="s">
        <v>131</v>
      </c>
    </row>
    <row r="26" spans="3:18" ht="30" customHeight="1">
      <c r="Q26" s="20" t="s">
        <v>130</v>
      </c>
      <c r="R26" s="65" t="s">
        <v>132</v>
      </c>
    </row>
    <row r="27" spans="3:18" ht="30" customHeight="1">
      <c r="Q27" s="20" t="s">
        <v>133</v>
      </c>
      <c r="R27" s="65" t="s">
        <v>134</v>
      </c>
    </row>
    <row r="28" spans="3:18" ht="30" customHeight="1">
      <c r="Q28" s="20" t="s">
        <v>135</v>
      </c>
      <c r="R28" s="65" t="s">
        <v>136</v>
      </c>
    </row>
    <row r="29" spans="3:18" ht="30" customHeight="1">
      <c r="Q29" s="20" t="s">
        <v>137</v>
      </c>
      <c r="R29" s="65" t="s">
        <v>10</v>
      </c>
    </row>
    <row r="30" spans="3:18" ht="30" customHeight="1">
      <c r="Q30" s="20" t="s">
        <v>138</v>
      </c>
      <c r="R30" s="65" t="s">
        <v>139</v>
      </c>
    </row>
    <row r="31" spans="3:18" ht="30" customHeight="1">
      <c r="Q31" s="20" t="s">
        <v>158</v>
      </c>
      <c r="R31" s="65" t="s">
        <v>153</v>
      </c>
    </row>
    <row r="32" spans="3:18" ht="30" customHeight="1">
      <c r="Q32" s="20" t="s">
        <v>161</v>
      </c>
      <c r="R32" s="65" t="s">
        <v>154</v>
      </c>
    </row>
    <row r="33" spans="17:18" ht="30" customHeight="1">
      <c r="Q33" s="20" t="s">
        <v>162</v>
      </c>
      <c r="R33" s="65" t="s">
        <v>155</v>
      </c>
    </row>
    <row r="34" spans="17:18" ht="30" customHeight="1">
      <c r="Q34" s="20" t="s">
        <v>163</v>
      </c>
      <c r="R34" s="65" t="s">
        <v>81</v>
      </c>
    </row>
    <row r="35" spans="17:18" ht="30" customHeight="1">
      <c r="Q35" s="20" t="s">
        <v>164</v>
      </c>
      <c r="R35" s="65" t="s">
        <v>83</v>
      </c>
    </row>
    <row r="36" spans="17:18" ht="30" customHeight="1">
      <c r="Q36" s="20" t="s">
        <v>167</v>
      </c>
      <c r="R36" s="65" t="s">
        <v>32</v>
      </c>
    </row>
    <row r="37" spans="17:18" ht="30" customHeight="1">
      <c r="Q37" s="25" t="s">
        <v>216</v>
      </c>
      <c r="R37" s="25" t="s">
        <v>217</v>
      </c>
    </row>
    <row r="38" spans="17:18" ht="30" customHeight="1">
      <c r="Q38" s="21" t="s">
        <v>222</v>
      </c>
      <c r="R38" s="21" t="s">
        <v>223</v>
      </c>
    </row>
    <row r="39" spans="17:18" ht="30" customHeight="1">
      <c r="Q39" s="21" t="s">
        <v>224</v>
      </c>
      <c r="R39" s="21" t="s">
        <v>225</v>
      </c>
    </row>
    <row r="40" spans="17:18" ht="30" customHeight="1">
      <c r="Q40" s="21" t="s">
        <v>226</v>
      </c>
      <c r="R40" s="21" t="s">
        <v>227</v>
      </c>
    </row>
    <row r="41" spans="17:18" ht="30" customHeight="1">
      <c r="Q41" s="25" t="s">
        <v>228</v>
      </c>
      <c r="R41" s="25" t="s">
        <v>229</v>
      </c>
    </row>
    <row r="42" spans="17:18" ht="30" customHeight="1">
      <c r="Q42" s="25" t="s">
        <v>245</v>
      </c>
      <c r="R42" s="25" t="s">
        <v>246</v>
      </c>
    </row>
    <row r="43" spans="17:18" ht="30" customHeight="1">
      <c r="Q43" s="25" t="s">
        <v>247</v>
      </c>
      <c r="R43" s="25" t="s">
        <v>248</v>
      </c>
    </row>
    <row r="44" spans="17:18" ht="30" customHeight="1">
      <c r="Q44" s="25" t="s">
        <v>249</v>
      </c>
      <c r="R44" s="25" t="s">
        <v>250</v>
      </c>
    </row>
    <row r="45" spans="17:18" ht="30" customHeight="1">
      <c r="Q45" s="25" t="s">
        <v>251</v>
      </c>
      <c r="R45" s="25" t="s">
        <v>257</v>
      </c>
    </row>
    <row r="46" spans="17:18" ht="30" customHeight="1">
      <c r="Q46" s="25" t="s">
        <v>252</v>
      </c>
      <c r="R46" s="25" t="s">
        <v>258</v>
      </c>
    </row>
    <row r="47" spans="17:18" ht="30" customHeight="1">
      <c r="Q47" s="25" t="s">
        <v>253</v>
      </c>
      <c r="R47" s="25" t="s">
        <v>259</v>
      </c>
    </row>
    <row r="48" spans="17:18" ht="30" customHeight="1">
      <c r="Q48" s="25" t="s">
        <v>254</v>
      </c>
      <c r="R48" s="25" t="s">
        <v>260</v>
      </c>
    </row>
    <row r="49" spans="17:18" ht="30" customHeight="1">
      <c r="Q49" s="25" t="s">
        <v>255</v>
      </c>
      <c r="R49" s="25" t="s">
        <v>261</v>
      </c>
    </row>
    <row r="50" spans="17:18" ht="30" customHeight="1">
      <c r="Q50" s="25" t="s">
        <v>256</v>
      </c>
      <c r="R50" s="25" t="s">
        <v>262</v>
      </c>
    </row>
    <row r="51" spans="17:18" ht="30" customHeight="1">
      <c r="Q51" s="21" t="s">
        <v>273</v>
      </c>
      <c r="R51" s="21" t="s">
        <v>276</v>
      </c>
    </row>
    <row r="52" spans="17:18" ht="30" customHeight="1">
      <c r="Q52" s="25" t="s">
        <v>274</v>
      </c>
      <c r="R52" s="25" t="s">
        <v>275</v>
      </c>
    </row>
    <row r="53" spans="17:18" ht="30" customHeight="1">
      <c r="Q53" s="25" t="s">
        <v>280</v>
      </c>
      <c r="R53" s="25" t="s">
        <v>283</v>
      </c>
    </row>
    <row r="54" spans="17:18" ht="30" customHeight="1">
      <c r="Q54" s="25" t="s">
        <v>281</v>
      </c>
      <c r="R54" s="25" t="s">
        <v>282</v>
      </c>
    </row>
    <row r="55" spans="17:18" ht="30" customHeight="1">
      <c r="Q55" s="163" t="s">
        <v>359</v>
      </c>
      <c r="R55" s="163" t="s">
        <v>361</v>
      </c>
    </row>
    <row r="56" spans="17:18" ht="30" customHeight="1">
      <c r="Q56" s="164" t="s">
        <v>360</v>
      </c>
      <c r="R56" s="164" t="s">
        <v>362</v>
      </c>
    </row>
    <row r="57" spans="17:18" ht="30" customHeight="1">
      <c r="Q57" s="21" t="s">
        <v>369</v>
      </c>
      <c r="R57" s="21" t="s">
        <v>370</v>
      </c>
    </row>
    <row r="58" spans="17:18" ht="30" customHeight="1">
      <c r="Q58" s="21" t="s">
        <v>371</v>
      </c>
      <c r="R58" s="21" t="s">
        <v>372</v>
      </c>
    </row>
    <row r="59" spans="17:18" ht="30" customHeight="1">
      <c r="Q59" s="21" t="s">
        <v>373</v>
      </c>
      <c r="R59" s="21" t="s">
        <v>374</v>
      </c>
    </row>
    <row r="60" spans="17:18" ht="30" customHeight="1">
      <c r="Q60" s="21" t="s">
        <v>375</v>
      </c>
      <c r="R60" s="21" t="s">
        <v>376</v>
      </c>
    </row>
    <row r="61" spans="17:18" ht="30" customHeight="1">
      <c r="Q61" s="21" t="s">
        <v>377</v>
      </c>
      <c r="R61" s="21" t="s">
        <v>378</v>
      </c>
    </row>
    <row r="62" spans="17:18" ht="30" customHeight="1">
      <c r="Q62" s="21" t="s">
        <v>379</v>
      </c>
      <c r="R62" s="21" t="s">
        <v>380</v>
      </c>
    </row>
    <row r="63" spans="17:18" ht="30" customHeight="1">
      <c r="Q63" s="21" t="s">
        <v>381</v>
      </c>
      <c r="R63" s="21" t="s">
        <v>382</v>
      </c>
    </row>
    <row r="64" spans="17:18" ht="30" customHeight="1">
      <c r="Q64" s="25" t="s">
        <v>383</v>
      </c>
      <c r="R64" s="25" t="s">
        <v>384</v>
      </c>
    </row>
    <row r="65" spans="17:18" ht="30" customHeight="1">
      <c r="Q65" s="25" t="s">
        <v>403</v>
      </c>
      <c r="R65" s="25" t="s">
        <v>404</v>
      </c>
    </row>
    <row r="66" spans="17:18" ht="30" customHeight="1">
      <c r="Q66" s="25" t="s">
        <v>405</v>
      </c>
      <c r="R66" s="25" t="s">
        <v>406</v>
      </c>
    </row>
    <row r="67" spans="17:18" ht="30" customHeight="1">
      <c r="Q67" s="25" t="s">
        <v>407</v>
      </c>
      <c r="R67" s="25" t="s">
        <v>408</v>
      </c>
    </row>
    <row r="68" spans="17:18" ht="30" customHeight="1">
      <c r="Q68" s="25" t="s">
        <v>409</v>
      </c>
      <c r="R68" s="25" t="s">
        <v>410</v>
      </c>
    </row>
    <row r="69" spans="17:18" ht="30" customHeight="1">
      <c r="Q69" s="25" t="s">
        <v>411</v>
      </c>
      <c r="R69" s="25" t="s">
        <v>412</v>
      </c>
    </row>
    <row r="70" spans="17:18" ht="30" customHeight="1">
      <c r="Q70" s="25" t="s">
        <v>413</v>
      </c>
      <c r="R70" s="25" t="s">
        <v>414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0" t="s">
        <v>75</v>
      </c>
      <c r="D5" s="270"/>
      <c r="E5" s="270"/>
      <c r="F5" s="270"/>
      <c r="G5" s="270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73</v>
      </c>
      <c r="D9" s="95"/>
      <c r="G9" s="90"/>
    </row>
    <row r="10" spans="3:7">
      <c r="C10" s="91"/>
      <c r="G10" s="90"/>
    </row>
    <row r="11" spans="3:7">
      <c r="C11" s="91" t="s">
        <v>74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339</v>
      </c>
    </row>
    <row r="4" spans="2:14" ht="20" customHeight="1">
      <c r="B4" s="102" t="s">
        <v>321</v>
      </c>
      <c r="C4" s="277"/>
      <c r="D4" s="277"/>
      <c r="E4" s="273" t="s">
        <v>11</v>
      </c>
      <c r="F4" s="273"/>
      <c r="G4" s="273"/>
    </row>
    <row r="5" spans="2:14" ht="20" customHeight="1">
      <c r="B5" s="102" t="s">
        <v>7</v>
      </c>
      <c r="C5" s="277"/>
      <c r="D5" s="277"/>
    </row>
    <row r="6" spans="2:14" ht="20" customHeight="1">
      <c r="B6" s="102" t="s">
        <v>322</v>
      </c>
      <c r="C6" s="277"/>
      <c r="D6" s="277"/>
    </row>
    <row r="7" spans="2:14" ht="20" customHeight="1">
      <c r="B7" s="102" t="s">
        <v>323</v>
      </c>
      <c r="C7" s="277"/>
      <c r="D7" s="277"/>
    </row>
    <row r="8" spans="2:14" ht="8" customHeight="1"/>
    <row r="9" spans="2:14" ht="20" customHeight="1">
      <c r="B9" s="155" t="s">
        <v>324</v>
      </c>
      <c r="C9" s="274"/>
      <c r="D9" s="274"/>
      <c r="E9" s="274"/>
      <c r="F9" s="274"/>
    </row>
    <row r="10" spans="2:14" ht="8" customHeight="1"/>
    <row r="11" spans="2:14" ht="20" customHeight="1">
      <c r="B11" s="155" t="s">
        <v>328</v>
      </c>
      <c r="C11" s="275">
        <v>2</v>
      </c>
      <c r="D11" s="275"/>
      <c r="E11" s="275">
        <v>3</v>
      </c>
      <c r="F11" s="275"/>
      <c r="G11" s="275">
        <v>4</v>
      </c>
      <c r="H11" s="275"/>
      <c r="I11" s="275">
        <v>5</v>
      </c>
      <c r="J11" s="275"/>
      <c r="K11" s="275">
        <v>6</v>
      </c>
      <c r="L11" s="275"/>
      <c r="M11" s="275" t="s">
        <v>315</v>
      </c>
      <c r="N11" s="275"/>
    </row>
    <row r="12" spans="2:14" ht="8" customHeight="1"/>
    <row r="13" spans="2:14" ht="20" customHeight="1">
      <c r="B13" s="155" t="s">
        <v>340</v>
      </c>
      <c r="C13" s="275" t="s">
        <v>297</v>
      </c>
      <c r="D13" s="275"/>
      <c r="E13" s="275" t="s">
        <v>298</v>
      </c>
      <c r="F13" s="275"/>
      <c r="G13" s="275" t="s">
        <v>299</v>
      </c>
      <c r="H13" s="275"/>
      <c r="I13" s="275" t="s">
        <v>300</v>
      </c>
      <c r="J13" s="275"/>
      <c r="K13" s="275" t="s">
        <v>301</v>
      </c>
      <c r="L13" s="275"/>
    </row>
    <row r="14" spans="2:14" ht="8" customHeight="1"/>
    <row r="15" spans="2:14" ht="20" customHeight="1">
      <c r="B15" s="155" t="s">
        <v>326</v>
      </c>
      <c r="C15" s="275" t="s">
        <v>346</v>
      </c>
      <c r="D15" s="275"/>
      <c r="E15" s="275" t="s">
        <v>347</v>
      </c>
      <c r="F15" s="275"/>
    </row>
    <row r="16" spans="2:14" ht="8" customHeight="1"/>
    <row r="17" spans="2:14" ht="20" customHeight="1">
      <c r="B17" s="159" t="s">
        <v>391</v>
      </c>
      <c r="C17" s="276" t="s">
        <v>397</v>
      </c>
      <c r="D17" s="276"/>
      <c r="E17" s="276"/>
      <c r="F17" s="276"/>
      <c r="G17" s="276"/>
      <c r="I17" s="276" t="s">
        <v>398</v>
      </c>
      <c r="J17" s="276"/>
      <c r="K17" s="276"/>
      <c r="L17" s="276"/>
      <c r="M17" s="276"/>
    </row>
    <row r="18" spans="2:14" ht="20" customHeight="1">
      <c r="C18" s="156" t="s">
        <v>392</v>
      </c>
      <c r="D18" s="156" t="s">
        <v>393</v>
      </c>
      <c r="E18" s="156" t="s">
        <v>394</v>
      </c>
      <c r="F18" s="156" t="s">
        <v>395</v>
      </c>
      <c r="G18" s="156" t="s">
        <v>396</v>
      </c>
      <c r="H18" s="156" t="s">
        <v>311</v>
      </c>
      <c r="I18" s="156" t="s">
        <v>396</v>
      </c>
      <c r="J18" s="156" t="s">
        <v>395</v>
      </c>
      <c r="K18" s="156" t="s">
        <v>394</v>
      </c>
      <c r="L18" s="156" t="s">
        <v>393</v>
      </c>
      <c r="M18" s="156" t="s">
        <v>392</v>
      </c>
    </row>
    <row r="19" spans="2:14" ht="20" customHeight="1">
      <c r="B19" s="155" t="s">
        <v>400</v>
      </c>
      <c r="C19" s="157"/>
      <c r="D19" s="158"/>
      <c r="E19" s="158"/>
      <c r="F19" s="158"/>
      <c r="G19" s="158"/>
      <c r="H19" s="158"/>
      <c r="I19" s="158"/>
      <c r="J19" s="158"/>
      <c r="K19" s="158"/>
      <c r="L19" s="158"/>
      <c r="M19" s="157"/>
    </row>
    <row r="20" spans="2:14" ht="8" customHeight="1"/>
    <row r="21" spans="2:14" ht="20" customHeight="1">
      <c r="B21" s="155" t="s">
        <v>329</v>
      </c>
      <c r="C21" s="271"/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</row>
    <row r="22" spans="2:14" ht="8" customHeight="1"/>
    <row r="23" spans="2:14" ht="26" customHeight="1">
      <c r="C23" s="272" t="s">
        <v>342</v>
      </c>
      <c r="D23" s="272"/>
      <c r="F23" s="273" t="s">
        <v>352</v>
      </c>
      <c r="G23" s="273"/>
      <c r="H23" s="273"/>
      <c r="I23" s="273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0B0EF0-4494-BB4F-A2A5-0235486FF8D8}">
          <x14:formula1>
            <xm:f>Paramètres!$AA$1:$AA$2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343</v>
      </c>
    </row>
    <row r="4" spans="2:13" ht="20" customHeight="1">
      <c r="B4" s="102" t="s">
        <v>321</v>
      </c>
      <c r="C4" s="277"/>
      <c r="D4" s="277"/>
      <c r="E4" s="273" t="s">
        <v>11</v>
      </c>
      <c r="F4" s="273"/>
      <c r="G4" s="273"/>
    </row>
    <row r="5" spans="2:13" ht="20" customHeight="1">
      <c r="B5" s="102" t="s">
        <v>7</v>
      </c>
      <c r="C5" s="277"/>
      <c r="D5" s="277"/>
    </row>
    <row r="6" spans="2:13" ht="20" customHeight="1">
      <c r="B6" s="102" t="s">
        <v>348</v>
      </c>
      <c r="C6" s="277"/>
      <c r="D6" s="277"/>
    </row>
    <row r="7" spans="2:13" ht="20" customHeight="1">
      <c r="B7" s="102" t="s">
        <v>323</v>
      </c>
      <c r="C7" s="277"/>
      <c r="D7" s="277"/>
    </row>
    <row r="8" spans="2:13" ht="8" customHeight="1"/>
    <row r="9" spans="2:13" ht="20" customHeight="1">
      <c r="B9" s="159" t="s">
        <v>399</v>
      </c>
      <c r="C9" s="276" t="s">
        <v>397</v>
      </c>
      <c r="D9" s="276"/>
      <c r="E9" s="276"/>
      <c r="F9" s="276"/>
      <c r="G9" s="276"/>
      <c r="I9" s="276" t="s">
        <v>398</v>
      </c>
      <c r="J9" s="276"/>
      <c r="K9" s="276"/>
      <c r="L9" s="276"/>
      <c r="M9" s="276"/>
    </row>
    <row r="10" spans="2:13" ht="20" customHeight="1">
      <c r="C10" s="156" t="s">
        <v>392</v>
      </c>
      <c r="D10" s="156" t="s">
        <v>393</v>
      </c>
      <c r="E10" s="156" t="s">
        <v>394</v>
      </c>
      <c r="F10" s="156" t="s">
        <v>395</v>
      </c>
      <c r="G10" s="156" t="s">
        <v>396</v>
      </c>
      <c r="H10" s="156" t="s">
        <v>311</v>
      </c>
      <c r="I10" s="156" t="s">
        <v>396</v>
      </c>
      <c r="J10" s="156" t="s">
        <v>395</v>
      </c>
      <c r="K10" s="156" t="s">
        <v>394</v>
      </c>
      <c r="L10" s="156" t="s">
        <v>393</v>
      </c>
      <c r="M10" s="156" t="s">
        <v>392</v>
      </c>
    </row>
    <row r="11" spans="2:13" ht="20" customHeight="1">
      <c r="B11" s="155" t="s">
        <v>317</v>
      </c>
      <c r="C11" s="157"/>
      <c r="D11" s="158"/>
      <c r="E11" s="158"/>
      <c r="F11" s="158"/>
      <c r="G11" s="158"/>
      <c r="H11" s="158"/>
      <c r="I11" s="158"/>
      <c r="J11" s="158"/>
      <c r="K11" s="158"/>
      <c r="L11" s="158"/>
      <c r="M11" s="157"/>
    </row>
    <row r="12" spans="2:13" ht="20" customHeight="1">
      <c r="B12" s="155" t="s">
        <v>318</v>
      </c>
      <c r="C12" s="157"/>
      <c r="D12" s="158"/>
      <c r="E12" s="158"/>
      <c r="F12" s="158"/>
      <c r="G12" s="158"/>
      <c r="H12" s="158"/>
      <c r="I12" s="158"/>
      <c r="J12" s="158"/>
      <c r="K12" s="158"/>
      <c r="L12" s="158"/>
      <c r="M12" s="157"/>
    </row>
    <row r="13" spans="2:13" ht="20" customHeight="1">
      <c r="B13" s="155" t="s">
        <v>319</v>
      </c>
      <c r="C13" s="157"/>
      <c r="D13" s="158"/>
      <c r="E13" s="158"/>
      <c r="F13" s="158"/>
      <c r="G13" s="158"/>
      <c r="H13" s="158"/>
      <c r="I13" s="158"/>
      <c r="J13" s="158"/>
      <c r="K13" s="158"/>
      <c r="L13" s="158"/>
      <c r="M13" s="157"/>
    </row>
    <row r="14" spans="2:13" ht="8" customHeight="1"/>
    <row r="15" spans="2:13" ht="20" customHeight="1">
      <c r="B15" s="155" t="s">
        <v>344</v>
      </c>
      <c r="C15" s="275" t="s">
        <v>337</v>
      </c>
      <c r="D15" s="275"/>
      <c r="E15" s="275" t="s">
        <v>169</v>
      </c>
      <c r="F15" s="275"/>
      <c r="G15" s="275" t="s">
        <v>338</v>
      </c>
      <c r="H15" s="275"/>
    </row>
    <row r="16" spans="2:13" ht="8" customHeight="1"/>
    <row r="17" spans="2:14" ht="20" customHeight="1">
      <c r="B17" s="155" t="s">
        <v>329</v>
      </c>
      <c r="C17" s="271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271"/>
    </row>
    <row r="18" spans="2:14" ht="8" customHeight="1"/>
    <row r="19" spans="2:14" ht="26" customHeight="1">
      <c r="C19" s="272" t="s">
        <v>342</v>
      </c>
      <c r="D19" s="272"/>
      <c r="F19" s="273" t="s">
        <v>352</v>
      </c>
      <c r="G19" s="273"/>
      <c r="H19" s="273"/>
      <c r="I19" s="273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416</v>
      </c>
    </row>
    <row r="4" spans="2:21" ht="14" customHeight="1">
      <c r="B4" s="102" t="s">
        <v>321</v>
      </c>
      <c r="C4" s="277"/>
      <c r="D4" s="277"/>
      <c r="E4" s="273" t="s">
        <v>11</v>
      </c>
      <c r="F4" s="273"/>
      <c r="K4" s="279" t="s">
        <v>367</v>
      </c>
      <c r="L4" s="279"/>
      <c r="M4" s="279"/>
      <c r="N4" s="279"/>
      <c r="O4" s="279"/>
      <c r="P4" s="279"/>
      <c r="Q4" s="279"/>
      <c r="R4" s="279"/>
      <c r="S4" s="279"/>
      <c r="T4" s="279"/>
      <c r="U4" s="279"/>
    </row>
    <row r="5" spans="2:21" ht="15" customHeight="1">
      <c r="B5" s="102" t="s">
        <v>7</v>
      </c>
      <c r="C5" s="277"/>
      <c r="D5" s="277"/>
      <c r="K5" s="279"/>
      <c r="L5" s="279"/>
      <c r="M5" s="279"/>
      <c r="N5" s="279"/>
      <c r="O5" s="279"/>
      <c r="P5" s="279"/>
      <c r="Q5" s="279"/>
      <c r="R5" s="279"/>
      <c r="S5" s="279"/>
      <c r="T5" s="279"/>
      <c r="U5" s="279"/>
    </row>
    <row r="6" spans="2:21">
      <c r="B6" s="102" t="s">
        <v>351</v>
      </c>
      <c r="C6" s="277"/>
      <c r="D6" s="277"/>
    </row>
    <row r="7" spans="2:21" ht="25" customHeight="1">
      <c r="K7" s="278">
        <v>1</v>
      </c>
      <c r="L7" s="282"/>
      <c r="M7" s="282"/>
      <c r="O7" s="278">
        <v>2</v>
      </c>
      <c r="P7" s="282"/>
      <c r="Q7" s="282"/>
      <c r="S7" s="278">
        <v>3</v>
      </c>
      <c r="T7" s="282"/>
      <c r="U7" s="282"/>
    </row>
    <row r="8" spans="2:21" ht="10" customHeight="1"/>
    <row r="9" spans="2:21" ht="25" customHeight="1">
      <c r="B9" s="283" t="s">
        <v>417</v>
      </c>
      <c r="C9" s="283"/>
      <c r="E9" s="283" t="s">
        <v>425</v>
      </c>
      <c r="F9" s="283"/>
      <c r="H9" s="283" t="s">
        <v>436</v>
      </c>
      <c r="I9" s="283"/>
      <c r="M9" s="278">
        <v>4</v>
      </c>
      <c r="N9" s="282"/>
      <c r="O9" s="282"/>
      <c r="Q9" s="278">
        <v>5</v>
      </c>
      <c r="R9" s="282"/>
      <c r="S9" s="282"/>
    </row>
    <row r="10" spans="2:21" ht="10" customHeight="1"/>
    <row r="11" spans="2:21" ht="25" customHeight="1">
      <c r="B11" s="283" t="s">
        <v>418</v>
      </c>
      <c r="C11" s="283"/>
      <c r="E11" s="283" t="s">
        <v>426</v>
      </c>
      <c r="F11" s="283"/>
      <c r="H11" s="283" t="s">
        <v>437</v>
      </c>
      <c r="I11" s="283"/>
      <c r="K11" s="278">
        <v>6</v>
      </c>
      <c r="L11" s="282"/>
      <c r="M11" s="282"/>
      <c r="O11" s="278">
        <v>8</v>
      </c>
      <c r="P11" s="282"/>
      <c r="Q11" s="282"/>
      <c r="S11" s="278">
        <v>7</v>
      </c>
      <c r="T11" s="282"/>
      <c r="U11" s="282"/>
    </row>
    <row r="12" spans="2:21" ht="10" customHeight="1"/>
    <row r="13" spans="2:21" ht="25" customHeight="1">
      <c r="B13" s="283" t="s">
        <v>419</v>
      </c>
      <c r="C13" s="283"/>
      <c r="E13" s="283" t="s">
        <v>427</v>
      </c>
      <c r="F13" s="283"/>
      <c r="H13" s="283" t="s">
        <v>438</v>
      </c>
      <c r="I13" s="283"/>
      <c r="M13" s="278">
        <v>9</v>
      </c>
      <c r="N13" s="282"/>
      <c r="O13" s="282"/>
    </row>
    <row r="14" spans="2:21" ht="10" customHeight="1"/>
    <row r="15" spans="2:21" ht="25" customHeight="1">
      <c r="B15" s="283" t="s">
        <v>420</v>
      </c>
      <c r="C15" s="283"/>
      <c r="E15" s="283" t="s">
        <v>428</v>
      </c>
      <c r="F15" s="283"/>
      <c r="H15" s="283" t="s">
        <v>439</v>
      </c>
      <c r="I15" s="283"/>
      <c r="P15" s="278">
        <v>10</v>
      </c>
      <c r="Q15" s="282"/>
      <c r="R15" s="282"/>
    </row>
    <row r="16" spans="2:21" ht="10" customHeight="1"/>
    <row r="17" spans="2:21" ht="25" customHeight="1">
      <c r="B17" s="283" t="s">
        <v>421</v>
      </c>
      <c r="C17" s="283"/>
      <c r="E17" s="283" t="s">
        <v>429</v>
      </c>
      <c r="F17" s="283"/>
      <c r="H17" s="283" t="s">
        <v>440</v>
      </c>
      <c r="I17" s="283"/>
      <c r="M17" s="278">
        <v>12</v>
      </c>
      <c r="N17" s="282"/>
      <c r="O17" s="282"/>
      <c r="Q17" s="278">
        <v>13</v>
      </c>
      <c r="R17" s="282"/>
      <c r="S17" s="282"/>
    </row>
    <row r="18" spans="2:21" ht="10" customHeight="1"/>
    <row r="19" spans="2:21" ht="25" customHeight="1">
      <c r="E19" s="283" t="s">
        <v>430</v>
      </c>
      <c r="F19" s="283"/>
      <c r="H19" s="283" t="s">
        <v>441</v>
      </c>
      <c r="I19" s="283"/>
      <c r="K19" s="278">
        <v>11</v>
      </c>
      <c r="L19" s="282"/>
      <c r="M19" s="282"/>
      <c r="O19" s="278">
        <v>15</v>
      </c>
      <c r="P19" s="282"/>
      <c r="Q19" s="282"/>
      <c r="S19" s="278">
        <v>14</v>
      </c>
      <c r="T19" s="282"/>
      <c r="U19" s="282"/>
    </row>
    <row r="20" spans="2:21" ht="10" customHeight="1"/>
    <row r="21" spans="2:21" ht="25" customHeight="1">
      <c r="B21" s="283" t="s">
        <v>422</v>
      </c>
      <c r="C21" s="283"/>
      <c r="E21" s="283" t="s">
        <v>431</v>
      </c>
      <c r="F21" s="283"/>
      <c r="H21" s="283" t="s">
        <v>442</v>
      </c>
      <c r="I21" s="283"/>
      <c r="K21" s="278" t="s">
        <v>42</v>
      </c>
      <c r="L21" s="282"/>
      <c r="M21" s="282"/>
      <c r="S21" s="278" t="s">
        <v>32</v>
      </c>
      <c r="T21" s="282"/>
      <c r="U21" s="282"/>
    </row>
    <row r="22" spans="2:21" ht="10" customHeight="1"/>
    <row r="23" spans="2:21" ht="25" customHeight="1">
      <c r="B23" s="283" t="s">
        <v>423</v>
      </c>
      <c r="C23" s="283"/>
      <c r="E23" s="283" t="s">
        <v>432</v>
      </c>
      <c r="F23" s="283"/>
      <c r="H23" s="283" t="s">
        <v>366</v>
      </c>
      <c r="I23" s="283"/>
      <c r="K23" s="278" t="s">
        <v>152</v>
      </c>
      <c r="L23" s="282"/>
      <c r="M23" s="282"/>
      <c r="S23" s="278" t="s">
        <v>168</v>
      </c>
      <c r="T23" s="282"/>
      <c r="U23" s="282"/>
    </row>
    <row r="24" spans="2:21" ht="10" customHeight="1"/>
    <row r="25" spans="2:21" ht="25" customHeight="1">
      <c r="B25" s="283" t="s">
        <v>424</v>
      </c>
      <c r="C25" s="283"/>
      <c r="E25" s="283" t="s">
        <v>433</v>
      </c>
      <c r="F25" s="283"/>
      <c r="H25" s="283" t="s">
        <v>155</v>
      </c>
      <c r="I25" s="283"/>
    </row>
    <row r="26" spans="2:21" ht="10" customHeight="1"/>
    <row r="27" spans="2:21" ht="25" customHeight="1">
      <c r="B27" s="283" t="s">
        <v>166</v>
      </c>
      <c r="C27" s="283"/>
      <c r="E27" s="283" t="s">
        <v>434</v>
      </c>
      <c r="F27" s="283"/>
      <c r="H27" s="283" t="s">
        <v>443</v>
      </c>
      <c r="I27" s="283"/>
    </row>
    <row r="28" spans="2:21" ht="10" customHeight="1"/>
    <row r="29" spans="2:21" ht="25" customHeight="1">
      <c r="B29" s="283" t="s">
        <v>32</v>
      </c>
      <c r="C29" s="283"/>
      <c r="E29" s="283" t="s">
        <v>435</v>
      </c>
      <c r="F29" s="283"/>
      <c r="H29" s="283" t="s">
        <v>390</v>
      </c>
      <c r="I29" s="283"/>
    </row>
    <row r="30" spans="2:21" ht="10" customHeight="1"/>
    <row r="31" spans="2:21" ht="9" customHeight="1"/>
    <row r="32" spans="2:21" ht="26" customHeight="1">
      <c r="B32" s="272" t="s">
        <v>342</v>
      </c>
      <c r="C32" s="272"/>
      <c r="D32" s="121"/>
      <c r="E32" s="273" t="s">
        <v>352</v>
      </c>
      <c r="F32" s="273"/>
      <c r="G32" s="273"/>
      <c r="H32" s="273"/>
      <c r="I32" s="121"/>
    </row>
  </sheetData>
  <mergeCells count="58"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27:F27"/>
    <mergeCell ref="E29:F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2:E14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2" spans="2:5" ht="21">
      <c r="B2" s="100" t="s">
        <v>355</v>
      </c>
    </row>
    <row r="4" spans="2:5">
      <c r="B4" s="102" t="s">
        <v>321</v>
      </c>
      <c r="D4" s="167"/>
      <c r="E4" s="104" t="s">
        <v>11</v>
      </c>
    </row>
    <row r="5" spans="2:5">
      <c r="B5" s="118" t="s">
        <v>358</v>
      </c>
      <c r="D5" s="122"/>
    </row>
    <row r="7" spans="2:5">
      <c r="B7" s="118" t="s">
        <v>356</v>
      </c>
      <c r="D7" s="118" t="s">
        <v>357</v>
      </c>
    </row>
    <row r="8" spans="2:5">
      <c r="B8" s="123"/>
      <c r="D8" s="123"/>
    </row>
    <row r="9" spans="2:5">
      <c r="B9" s="123"/>
      <c r="D9" s="123"/>
    </row>
    <row r="10" spans="2:5">
      <c r="B10" s="123"/>
      <c r="D10" s="123"/>
    </row>
    <row r="11" spans="2:5">
      <c r="B11" s="123"/>
      <c r="D11" s="123"/>
    </row>
    <row r="12" spans="2:5">
      <c r="B12" s="123"/>
      <c r="D12" s="123"/>
    </row>
    <row r="14" spans="2:5" ht="26" customHeight="1">
      <c r="B14" s="103" t="s">
        <v>342</v>
      </c>
      <c r="C14" s="121"/>
      <c r="D14" s="104" t="s">
        <v>341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385</v>
      </c>
    </row>
    <row r="4" spans="2:8">
      <c r="B4" s="102" t="s">
        <v>386</v>
      </c>
      <c r="C4" s="277"/>
      <c r="D4" s="277"/>
      <c r="G4" s="273" t="s">
        <v>11</v>
      </c>
      <c r="H4" s="273"/>
    </row>
    <row r="5" spans="2:8">
      <c r="B5" s="102" t="s">
        <v>7</v>
      </c>
      <c r="C5" s="277"/>
      <c r="D5" s="277"/>
    </row>
    <row r="7" spans="2:8" ht="22" customHeight="1">
      <c r="B7" s="279" t="s">
        <v>387</v>
      </c>
      <c r="C7" s="279"/>
      <c r="D7" s="279"/>
      <c r="E7" s="279"/>
      <c r="F7" s="279"/>
      <c r="G7" s="279"/>
      <c r="H7" s="279"/>
    </row>
    <row r="9" spans="2:8" ht="22" customHeight="1">
      <c r="B9" s="280"/>
      <c r="C9" s="280"/>
      <c r="D9" s="280"/>
      <c r="E9" s="280"/>
      <c r="F9" s="280"/>
      <c r="G9" s="280"/>
      <c r="H9" s="280"/>
    </row>
    <row r="10" spans="2:8" ht="8" customHeight="1"/>
    <row r="11" spans="2:8" ht="22" customHeight="1">
      <c r="B11" s="280"/>
      <c r="C11" s="280"/>
      <c r="D11" s="280"/>
      <c r="E11" s="280"/>
      <c r="F11" s="280"/>
      <c r="G11" s="280"/>
      <c r="H11" s="280"/>
    </row>
    <row r="12" spans="2:8" ht="8" customHeight="1"/>
    <row r="13" spans="2:8" ht="22" customHeight="1">
      <c r="B13" s="280"/>
      <c r="C13" s="280"/>
      <c r="D13" s="280"/>
      <c r="E13" s="280"/>
      <c r="F13" s="280"/>
      <c r="G13" s="280"/>
      <c r="H13" s="280"/>
    </row>
    <row r="14" spans="2:8" ht="8" customHeight="1"/>
    <row r="15" spans="2:8" ht="22" customHeight="1">
      <c r="B15" s="280"/>
      <c r="C15" s="280"/>
      <c r="D15" s="280"/>
      <c r="E15" s="280"/>
      <c r="F15" s="280"/>
      <c r="G15" s="280"/>
      <c r="H15" s="280"/>
    </row>
    <row r="16" spans="2:8" ht="8" customHeight="1"/>
    <row r="17" spans="2:8" ht="22" customHeight="1">
      <c r="B17" s="280"/>
      <c r="C17" s="280"/>
      <c r="D17" s="280"/>
      <c r="E17" s="280"/>
      <c r="F17" s="280"/>
      <c r="G17" s="280"/>
      <c r="H17" s="280"/>
    </row>
    <row r="18" spans="2:8" ht="8" customHeight="1"/>
    <row r="19" spans="2:8" ht="22" customHeight="1">
      <c r="B19" s="280"/>
      <c r="C19" s="280"/>
      <c r="D19" s="280"/>
      <c r="E19" s="280"/>
      <c r="F19" s="280"/>
      <c r="G19" s="280"/>
      <c r="H19" s="280"/>
    </row>
    <row r="20" spans="2:8" ht="8" customHeight="1"/>
    <row r="21" spans="2:8" ht="22" customHeight="1">
      <c r="B21" s="280"/>
      <c r="C21" s="280"/>
      <c r="D21" s="280"/>
      <c r="E21" s="280"/>
      <c r="F21" s="280"/>
      <c r="G21" s="280"/>
      <c r="H21" s="280"/>
    </row>
    <row r="22" spans="2:8" ht="8" customHeight="1"/>
    <row r="23" spans="2:8" ht="22" customHeight="1">
      <c r="B23" s="280"/>
      <c r="C23" s="280"/>
      <c r="D23" s="280"/>
      <c r="E23" s="280"/>
      <c r="F23" s="280"/>
      <c r="G23" s="280"/>
      <c r="H23" s="280"/>
    </row>
    <row r="24" spans="2:8" ht="8" customHeight="1"/>
    <row r="25" spans="2:8" ht="22" customHeight="1">
      <c r="B25" s="280"/>
      <c r="C25" s="280"/>
      <c r="D25" s="280"/>
      <c r="E25" s="280"/>
      <c r="F25" s="280"/>
      <c r="G25" s="280"/>
      <c r="H25" s="280"/>
    </row>
    <row r="26" spans="2:8" ht="8" customHeight="1"/>
    <row r="27" spans="2:8" ht="22" customHeight="1">
      <c r="B27" s="280"/>
      <c r="C27" s="280"/>
      <c r="D27" s="280"/>
      <c r="E27" s="280"/>
      <c r="F27" s="280"/>
      <c r="G27" s="280"/>
      <c r="H27" s="280"/>
    </row>
    <row r="28" spans="2:8" ht="8" customHeight="1"/>
    <row r="29" spans="2:8" ht="26" customHeight="1">
      <c r="B29" s="272" t="s">
        <v>342</v>
      </c>
      <c r="C29" s="272"/>
      <c r="D29" s="121"/>
      <c r="E29" s="273" t="s">
        <v>352</v>
      </c>
      <c r="F29" s="273"/>
      <c r="G29" s="273"/>
      <c r="H29" s="273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2026-10-17T10:07:02Z</dcterms:modified>
</cp:coreProperties>
</file>