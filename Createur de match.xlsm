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B96887E6-31CA-8148-9DEA-214AF37B6592}" xr6:coauthVersionLast="47" xr6:coauthVersionMax="47" xr10:uidLastSave="{00000000-0000-0000-0000-000000000000}"/>
  <bookViews>
    <workbookView xWindow="7680" yWindow="660" windowWidth="26880" windowHeight="17660" activeTab="5" xr2:uid="{1E5C896C-F332-E148-BC32-5F8B49356FF5}"/>
    <workbookView xWindow="6920" yWindow="13540" windowWidth="27640" windowHeight="8580" activeTab="3" xr2:uid="{00A46784-0C6C-534B-ABC6-270933803FFF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Melees'!$A$25</definedName>
    <definedName name="TM_RECAP_MELEES">'Touches Melees'!$A$21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8" l="1"/>
  <c r="B23" i="18"/>
  <c r="C22" i="18"/>
  <c r="B22" i="18"/>
  <c r="D7" i="18"/>
  <c r="C7" i="18"/>
  <c r="B7" i="18"/>
  <c r="D6" i="18"/>
  <c r="C6" i="18"/>
  <c r="B6" i="18"/>
  <c r="B1" i="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<sst xmlns="http://schemas.openxmlformats.org/spreadsheetml/2006/main" count="925" uniqueCount="632">
  <si>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</si>
  <si>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</si>
  <si>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</si>
  <si>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</si>
  <si>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</si>
  <si>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</si>
  <si>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</si>
  <si>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</si>
  <si>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</si>
  <si>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</si>
  <si>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</si>
  <si>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</si>
  <si>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</si>
  <si>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</si>
  <si>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</si>
  <si>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</si>
  <si>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</si>
  <si>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</si>
  <si>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</si>
  <si>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</si>
  <si>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</si>
  <si>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</si>
  <si>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</si>
  <si>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</si>
  <si>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</si>
  <si>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</si>
  <si>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</si>
  <si>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</si>
  <si>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</si>
  <si>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</si>
  <si>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</si>
  <si>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</si>
  <si>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</si>
  <si>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</si>
  <si>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</si>
  <si>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</si>
  <si>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</si>
  <si>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</si>
  <si>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</si>
  <si>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</si>
  <si>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</si>
  <si>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</si>
  <si>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</si>
  <si>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</si>
  <si>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</si>
  <si>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</si>
  <si>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</si>
  <si>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</si>
  <si>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</si>
  <si>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</si>
  <si>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</si>
  <si>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</si>
  <si>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</si>
  <si>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</si>
  <si>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</si>
  <si>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</si>
  <si>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</si>
  <si>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</si>
  <si>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</si>
  <si>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</si>
  <si>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</si>
  <si>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</si>
  <si>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</si>
  <si>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</si>
  <si>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</si>
  <si>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</si>
  <si>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</si>
  <si>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</si>
  <si>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</si>
  <si>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</si>
  <si>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</si>
  <si>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</si>
  <si>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</si>
  <si>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</si>
  <si>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</si>
  <si>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</si>
  <si>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</si>
  <si>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</si>
  <si>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</si>
  <si>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</si>
  <si>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</si>
  <si>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</si>
  <si>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</si>
  <si>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</si>
  <si>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</si>
  <si>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</si>
  <si>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</si>
  <si>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</si>
  <si>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</si>
  <si>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</si>
  <si>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</si>
  <si>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</si>
  <si>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</si>
  <si>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</si>
  <si>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</si>
  <si>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</si>
  <si>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</si>
  <si>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</si>
  <si>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</si>
  <si>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</si>
  <si>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</si>
  <si>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</si>
  <si>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</si>
  <si>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</si>
  <si>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</si>
  <si>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</si>
  <si>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</si>
  <si>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</si>
  <si>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</si>
  <si>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</si>
  <si>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</si>
  <si>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</si>
  <si>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</si>
  <si>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</si>
  <si>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</si>
  <si>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</si>
  <si>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</si>
  <si>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</si>
  <si>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</si>
  <si>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</si>
  <si>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</si>
  <si>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</si>
  <si>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</si>
  <si>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</si>
  <si>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</si>
  <si>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</si>
  <si>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</si>
  <si>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</si>
  <si>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</si>
  <si>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</si>
  <si>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</si>
  <si>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</si>
  <si>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</si>
  <si>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</si>
  <si>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</si>
  <si>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</si>
  <si>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</si>
  <si>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</si>
  <si>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</si>
  <si>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</si>
  <si>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</si>
  <si>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</si>
  <si>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</si>
  <si>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</si>
  <si>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</si>
  <si>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</si>
  <si>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</si>
  <si>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</si>
  <si>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</si>
  <si>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</si>
  <si>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</si>
  <si>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</si>
  <si>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</si>
  <si>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</si>
  <si>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</si>
  <si>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</si>
  <si>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</si>
  <si>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</si>
  <si>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</si>
  <si>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</si>
  <si>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</si>
  <si>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</si>
  <si>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</si>
  <si>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</si>
  <si>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</si>
  <si>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</si>
  <si>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</si>
  <si>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</si>
  <si>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</si>
  <si>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</si>
  <si>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</si>
  <si>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</si>
  <si>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</si>
  <si>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</si>
  <si>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</si>
  <si>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</si>
  <si>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</si>
  <si>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</si>
  <si>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</si>
  <si>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</si>
  <si>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</si>
  <si>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</si>
  <si>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</si>
  <si>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</si>
  <si>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</si>
  <si>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</si>
  <si>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</si>
  <si>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</si>
  <si>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</si>
  <si>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</si>
  <si>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</si>
  <si>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</si>
  <si>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</si>
  <si>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</si>
  <si>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</si>
  <si>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</si>
  <si>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</si>
  <si>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</si>
  <si>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</si>
  <si>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</si>
  <si>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</si>
  <si>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</si>
  <si>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</si>
  <si>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</si>
  <si>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</si>
  <si>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</si>
  <si>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</si>
  <si>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</si>
  <si>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</si>
  <si>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</si>
  <si>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</si>
  <si>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</si>
  <si>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</si>
  <si>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</si>
  <si>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</si>
  <si>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</si>
  <si>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</si>
  <si>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</si>
  <si>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</si>
  <si>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</si>
  <si>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</si>
  <si>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</si>
  <si>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</si>
  <si>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</si>
  <si>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</si>
  <si>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</si>
  <si>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</si>
  <si>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</si>
  <si>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</si>
  <si>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</si>
  <si>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</si>
  <si>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</si>
  <si>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</si>
  <si>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</si>
  <si>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</si>
  <si>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</si>
  <si>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</si>
  <si>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</si>
  <si>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</si>
  <si>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</si>
  <si>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</si>
  <si>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</si>
  <si>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</si>
  <si>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</si>
  <si>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</si>
  <si>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</si>
  <si>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</si>
  <si>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</si>
  <si>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</si>
  <si>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</si>
  <si>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</si>
  <si>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</si>
  <si>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</si>
  <si>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</si>
  <si>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</si>
  <si>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</si>
  <si>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</si>
  <si>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</si>
  <si>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</si>
  <si>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</si>
  <si>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</si>
  <si>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</si>
  <si>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</si>
  <si>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</si>
  <si>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</si>
  <si>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</si>
  <si>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</si>
  <si>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</si>
  <si>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</si>
  <si>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</si>
  <si>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</si>
  <si>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</si>
  <si>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</si>
  <si>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</si>
  <si>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</si>
  <si>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</si>
  <si>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</si>
  <si>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</si>
  <si>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</si>
  <si>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</si>
  <si>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</si>
  <si>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</si>
  <si>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</si>
  <si>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</si>
  <si>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</si>
  <si>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</si>
  <si>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</si>
  <si>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</si>
  <si>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</si>
  <si>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</si>
  <si>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</si>
  <si>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</si>
  <si>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</si>
  <si>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</si>
  <si>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</si>
  <si>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</si>
  <si>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</si>
  <si>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</si>
  <si>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</si>
  <si>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</si>
  <si>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</si>
  <si>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</si>
  <si>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</si>
  <si>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</si>
  <si>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</si>
  <si>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</si>
  <si>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</si>
  <si>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</si>
  <si>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</si>
  <si>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</si>
  <si>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</si>
  <si>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</si>
  <si>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</si>
  <si>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</si>
  <si>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</si>
  <si>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</si>
  <si>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</si>
  <si>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</si>
  <si>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</si>
  <si>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</si>
  <si>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</si>
  <si>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</si>
  <si>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</si>
  <si>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</si>
  <si>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</si>
  <si>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</si>
  <si>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</si>
  <si>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</si>
  <si>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</si>
  <si>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</si>
  <si>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</si>
  <si>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</si>
  <si>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</si>
  <si>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</si>
  <si>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</si>
  <si>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</si>
  <si>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</si>
  <si>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</si>
  <si>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</si>
  <si>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</si>
  <si>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</si>
  <si>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</si>
  <si>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</si>
  <si>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</si>
  <si>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</si>
  <si>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</si>
  <si>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</si>
  <si>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</si>
  <si>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</si>
  <si>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</si>
  <si>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</si>
  <si>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</si>
  <si>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</si>
  <si>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</si>
  <si>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</si>
  <si>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</si>
  <si>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</si>
  <si>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</si>
  <si>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</si>
  <si>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</si>
  <si>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</si>
  <si>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</si>
  <si>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</si>
  <si>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</si>
  <si>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</si>
  <si>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</si>
  <si>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</si>
  <si>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</si>
  <si>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</si>
  <si>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</si>
  <si>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</si>
  <si>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</si>
  <si>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</si>
  <si>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</si>
  <si>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</si>
  <si>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</si>
  <si>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</si>
  <si>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</si>
  <si>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</si>
  <si>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</si>
  <si>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</si>
  <si>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</si>
  <si>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</si>
  <si>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</si>
  <si>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</si>
  <si>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</si>
  <si>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</si>
  <si>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</si>
  <si>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</si>
  <si>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</si>
  <si>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</si>
  <si>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</si>
  <si>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</si>
  <si>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</si>
  <si>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</si>
  <si>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</si>
  <si>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</si>
  <si>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</si>
  <si>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</si>
  <si>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</si>
  <si>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</si>
  <si>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</si>
  <si>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</si>
  <si>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</si>
  <si>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</si>
  <si>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</si>
  <si>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</si>
  <si>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</si>
  <si>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</si>
  <si>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</si>
  <si>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</si>
  <si>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</si>
  <si>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</si>
  <si>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</si>
  <si>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</si>
  <si>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</si>
  <si>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</si>
  <si>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</si>
  <si>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</si>
  <si>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</si>
  <si>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</si>
  <si>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</si>
  <si>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</si>
  <si>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</si>
  <si>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</si>
  <si>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</si>
  <si>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</si>
  <si>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</si>
  <si>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</si>
  <si>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</si>
  <si>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</si>
  <si>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</si>
  <si>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</si>
  <si>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</si>
  <si>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</si>
  <si>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</si>
  <si>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</si>
  <si>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</si>
  <si>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</si>
  <si>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</si>
  <si>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</si>
  <si>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</si>
  <si>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</si>
  <si>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</si>
  <si>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</si>
  <si>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</si>
  <si>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</si>
  <si>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</si>
  <si>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</si>
  <si>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</si>
  <si>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</si>
  <si>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</si>
  <si>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</si>
  <si>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</si>
  <si>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</si>
  <si>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</si>
  <si>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</si>
  <si>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</si>
  <si>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</si>
  <si>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</si>
  <si>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</si>
  <si>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</si>
  <si>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</si>
  <si>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</si>
  <si>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</si>
  <si>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</si>
  <si>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</si>
  <si>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</si>
  <si>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</si>
  <si>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</si>
  <si>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</si>
  <si>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</si>
  <si>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</si>
  <si>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</si>
  <si>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</si>
  <si>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</si>
  <si>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</si>
  <si>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</si>
  <si>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</si>
  <si>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</si>
  <si>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</si>
  <si>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</si>
  <si>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</si>
  <si>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</si>
  <si>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</si>
  <si>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</si>
  <si>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</si>
  <si>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</si>
  <si>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</si>
  <si>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</si>
  <si>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</si>
  <si>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</si>
  <si>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</si>
  <si>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</si>
  <si>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</si>
  <si>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</si>
  <si>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</si>
  <si>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</si>
  <si>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</si>
  <si>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</si>
  <si>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</si>
  <si>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</si>
  <si>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</si>
  <si>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</si>
  <si>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</si>
  <si>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</si>
  <si>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</si>
  <si>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</si>
  <si>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</si>
  <si>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</si>
  <si>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</si>
  <si>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</si>
  <si>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</si>
  <si>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</si>
  <si>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</si>
  <si>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</si>
  <si>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</si>
  <si>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JOUEUR FAUTIF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</si>
  <si>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</si>
  <si>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</si>
  <si>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</si>
  <si>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</si>
  <si>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</si>
  <si>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</si>
  <si>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</si>
  <si>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</si>
  <si>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</si>
  <si>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</si>
  <si>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</si>
  <si>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</si>
  <si>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</si>
  <si>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</si>
  <si>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</si>
  <si>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</si>
  <si>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</si>
  <si>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</si>
  <si>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</si>
  <si>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</si>
  <si>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</si>
  <si>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</si>
  <si>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</si>
  <si>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</si>
  <si>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</si>
  <si>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</si>
  <si>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</si>
  <si>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</si>
  <si>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</si>
  <si>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</si>
  <si>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</si>
  <si>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</si>
  <si>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</si>
  <si>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</si>
  <si>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</si>
  <si>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</si>
  <si>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</si>
  <si>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</si>
  <si>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</si>
  <si>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</si>
  <si>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</si>
  <si>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</si>
  <si>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</si>
  <si>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</si>
  <si>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</si>
  <si>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</si>
  <si>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</si>
  <si>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</si>
  <si>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</si>
  <si>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</si>
  <si>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</si>
  <si>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</si>
  <si>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</si>
  <si>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</si>
  <si>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</si>
  <si>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</si>
  <si>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</si>
  <si>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</si>
  <si>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</si>
  <si>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</si>
  <si>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</si>
  <si>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</si>
  <si>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</si>
  <si>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</si>
  <si>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</si>
  <si>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</si>
  <si>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</si>
  <si>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</si>
  <si>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</si>
  <si>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</si>
  <si>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</si>
  <si>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</si>
  <si>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</si>
  <si>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US Eauze Gondrin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</si>
  <si>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</si>
  <si>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</si>
  <si>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</si>
  <si>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</si>
  <si>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</si>
  <si>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6
</t>
    </r>
    <r>
      <rPr>
        <sz val="9"/>
        <color rgb="FF000000"/>
        <rFont val="Calibri"/>
        <family val="2"/>
      </rPr>
      <t>MULLIER</t>
    </r>
  </si>
  <si>
    <t>COUP FRANC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</si>
  <si>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</si>
  <si>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</si>
  <si>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</si>
  <si>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</si>
  <si>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</si>
  <si>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</si>
  <si>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</si>
  <si>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</si>
  <si>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</si>
  <si>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</si>
  <si>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</si>
  <si>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</si>
  <si>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</si>
  <si>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</si>
  <si>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</si>
  <si>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</si>
  <si>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</si>
  <si>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</si>
  <si>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</si>
  <si>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</si>
  <si>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</si>
  <si>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</si>
  <si>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</si>
  <si>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</si>
  <si>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</si>
  <si>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</si>
  <si>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</si>
  <si>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</si>
  <si>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</si>
  <si>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</si>
  <si>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</si>
  <si>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10:42</t>
  </si>
  <si>
    <t>10:47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</si>
</sst>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5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0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3" fillId="16" borderId="0" xfId="0" applyFont="1" applyFill="1" applyAlignment="1">
      <alignment horizontal="center"/>
    </xf>
    <xf numFmtId="0" fontId="48" fillId="44" borderId="67" xfId="0" applyFont="1" applyFill="1" applyBorder="1" applyAlignment="1">
      <alignment horizontal="center" vertical="center"/>
    </xf>
    <xf numFmtId="0" fontId="48" fillId="12" borderId="67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right" vertic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0" borderId="19" xfId="0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49" fontId="42" fillId="33" borderId="0" xfId="0" applyNumberFormat="1" applyFont="1" applyFill="1" applyAlignment="1">
      <alignment horizontal="center"/>
    </xf>
    <xf numFmtId="0" fontId="51" fillId="43" borderId="43" xfId="0" applyFont="1" applyFill="1" applyBorder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49" fillId="37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0" fontId="40" fillId="16" borderId="0" xfId="0" applyFont="1" applyFill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Border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0" fillId="16" borderId="0" xfId="0" applyFill="1" applyBorder="1"/>
    <xf numFmtId="0" fontId="2" fillId="16" borderId="0" xfId="0" applyFont="1" applyFill="1" applyBorder="1" applyAlignment="1">
      <alignment horizontal="center" vertical="center" wrapText="1"/>
    </xf>
    <xf numFmtId="0" fontId="0" fillId="16" borderId="0" xfId="0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3" fillId="24" borderId="0" xfId="0" applyFont="1" applyFill="1" applyBorder="1" applyAlignment="1">
      <alignment horizontal="center" vertical="center" wrapText="1"/>
    </xf>
    <xf numFmtId="0" fontId="19" fillId="20" borderId="19" xfId="0" applyFont="1" applyFill="1" applyBorder="1" applyAlignment="1">
      <alignment horizontal="center" vertical="center"/>
    </xf>
    <xf numFmtId="0" fontId="19" fillId="20" borderId="44" xfId="0" applyFont="1" applyFill="1" applyBorder="1" applyAlignment="1">
      <alignment horizontal="center" vertical="center"/>
    </xf>
    <xf numFmtId="0" fontId="19" fillId="20" borderId="20" xfId="0" applyFont="1" applyFill="1" applyBorder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0" fontId="40" fillId="16" borderId="0" xfId="0" applyFont="1" applyFill="1" applyBorder="1"/>
    <xf numFmtId="0" fontId="48" fillId="16" borderId="0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91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[m]:ss"/>
    </dxf>
    <dxf>
      <numFmt numFmtId="167" formatCode="dd/mm/yyyy\ hh:mm"/>
    </dxf>
    <dxf>
      <numFmt numFmtId="165" formatCode="[m]:ss"/>
    </dxf>
    <dxf>
      <numFmt numFmtId="166" formatCode="dd/mm/yyyy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90" dataDxfId="89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88"/>
    <tableColumn id="2" xr3:uid="{0C1B8A30-A3B8-DA4D-B893-C4C99FF33E90}" name="nom" dataDxfId="87"/>
    <tableColumn id="3" xr3:uid="{8AE5AF32-0026-9B41-8B0B-16B9ED0F3727}" name="prenom" dataDxfId="86"/>
    <tableColumn id="6" xr3:uid="{D5D3A7D0-7C7D-684B-8AA7-DABBCC7051CF}" name="1ère ligne" dataDxfId="85"/>
    <tableColumn id="4" xr3:uid="{4CE41A86-7158-6B42-B932-A5275F10AB48}" name="prenom NOM" dataDxfId="84">
      <calculatedColumnFormula>LstEffectif[[#This Row],[prenom]] &amp; " " &amp; LstEffectif[[#This Row],[nom]]</calculatedColumnFormula>
    </tableColumn>
    <tableColumn id="5" xr3:uid="{EB017694-E6D2-7440-91BF-61113926AB7D}" name="NOM Prénom" dataDxfId="8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82" dataDxfId="81">
  <autoFilter ref="J1:J11" xr:uid="{037D6424-D1EC-894D-B963-D36ABCA682C4}"/>
  <tableColumns count="1">
    <tableColumn id="1" xr3:uid="{63806632-B9ED-294D-800A-F2FDB2EC48D2}" name="EQUIPES_A_AFFRONTER" dataDxfId="8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7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7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78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8:J19" insertRow="1" totalsRowShown="0">
  <autoFilter ref="A18:J19" xr:uid="{A1FE138B-7A57-FD4E-B0BC-4BF4203BE379}"/>
  <tableColumns count="10">
    <tableColumn id="1" xr3:uid="{9154875D-F6A2-FD43-A363-B5D480E2C8C9}" name="Temps video" dataDxfId="34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77"/>
    <tableColumn id="8" xr3:uid="{D9175B18-6528-4648-B15C-FF2CC25EEBE4}" name="Jeu 3/4" dataDxfId="76"/>
    <tableColumn id="9" xr3:uid="{CAE0CE17-6518-8346-8125-3B7CA02D88C1}" name="Jeu pied" dataDxfId="75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74" dataDxfId="72" headerRowBorderDxfId="73" tableBorderDxfId="71" totalsRowBorderDxfId="70">
  <autoFilter ref="Q1:R64" xr:uid="{6D1F5F0A-5FD5-AC4E-A195-33A78A5E0E58}"/>
  <tableColumns count="2">
    <tableColumn id="1" xr3:uid="{8A0D5429-5616-B849-BD27-167A576FE99E}" name="Nom de cellule à créer" dataDxfId="69"/>
    <tableColumn id="2" xr3:uid="{19545507-672A-9F40-8818-E4C9060AA52B}" name="Libellé" dataDxfId="6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67" headerRowBorderDxfId="66" tableBorderDxfId="65" totalsRowBorderDxfId="64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63" headerRowBorderDxfId="62" tableBorderDxfId="61" totalsRowBorderDxfId="60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59" dataDxfId="58">
  <autoFilter ref="I14:I20" xr:uid="{CC940AF9-E81A-F746-8EAD-392809C3CFBE}"/>
  <tableColumns count="1">
    <tableColumn id="1" xr3:uid="{816CA1DF-3681-2948-A622-26353E2B9A97}" name="LISTE_LECTEUR_VIDEO" dataDxfId="5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56" dataDxfId="55">
  <autoFilter ref="C1:C4" xr:uid="{61FC7709-08E5-D048-A38B-441B18CF5D35}"/>
  <tableColumns count="1">
    <tableColumn id="1" xr3:uid="{C41B523D-40DA-AF48-A2C2-015B04960B0A}" name="LIEU_MATCH" dataDxfId="5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53" dataDxfId="52">
  <autoFilter ref="C6:C10" xr:uid="{86EA01CF-5567-6445-9906-AD2B60CA0A8A}"/>
  <tableColumns count="1">
    <tableColumn id="1" xr3:uid="{B57F8324-6F25-7B40-9B20-1BFDF9708631}" name="PHASE" dataDxfId="5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50" dataDxfId="49">
  <autoFilter ref="C12:C15" xr:uid="{DAA9B017-78F0-D447-B788-CF8333AEAC38}"/>
  <tableColumns count="1">
    <tableColumn id="1" xr3:uid="{C5E86C3D-762A-054E-B864-5A67DBB9A8CA}" name="RESULTAT" dataDxfId="4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47" dataDxfId="46">
  <autoFilter ref="C17:C21" xr:uid="{F661D9E2-619C-DA44-92C5-8A09E8E281AC}"/>
  <tableColumns count="1">
    <tableColumn id="1" xr3:uid="{ADD3AF05-089E-D149-9728-7C2A6F62FA22}" name="EQUIPE_NIV" dataDxfId="4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44" dataDxfId="42" headerRowBorderDxfId="43" tableBorderDxfId="41" totalsRowBorderDxfId="40">
  <autoFilter ref="K1:K25" xr:uid="{391966D0-8F83-3948-82BB-835638F7D3FE}"/>
  <tableColumns count="1">
    <tableColumn id="1" xr3:uid="{F45BF991-6668-F741-B07C-7905B99AC752}" name="LISTE_JOUEURS_JOURNAL" dataDxfId="3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38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408</v>
      </c>
      <c r="E1" s="96" t="s">
        <v>72</v>
      </c>
      <c r="F1" s="96" t="s">
        <v>112</v>
      </c>
      <c r="J1" t="s">
        <v>386</v>
      </c>
    </row>
    <row r="2" spans="1:10" ht="14">
      <c r="A2">
        <v>1</v>
      </c>
      <c r="B2" s="85" t="s">
        <v>269</v>
      </c>
      <c r="C2" s="85" t="s">
        <v>270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378</v>
      </c>
    </row>
    <row r="3" spans="1:10" ht="14">
      <c r="A3">
        <v>2</v>
      </c>
      <c r="B3" s="85" t="s">
        <v>269</v>
      </c>
      <c r="C3" s="85" t="s">
        <v>271</v>
      </c>
      <c r="D3" s="85" t="s">
        <v>410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379</v>
      </c>
    </row>
    <row r="4" spans="1:10" ht="14">
      <c r="A4">
        <v>3</v>
      </c>
      <c r="B4" s="85" t="s">
        <v>269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380</v>
      </c>
    </row>
    <row r="5" spans="1:10" ht="14">
      <c r="A5">
        <v>4</v>
      </c>
      <c r="B5" s="85" t="s">
        <v>272</v>
      </c>
      <c r="C5" s="85" t="s">
        <v>273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381</v>
      </c>
    </row>
    <row r="6" spans="1:10" ht="14">
      <c r="A6">
        <v>5</v>
      </c>
      <c r="B6" s="85" t="s">
        <v>274</v>
      </c>
      <c r="C6" s="85" t="s">
        <v>275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382</v>
      </c>
    </row>
    <row r="7" spans="1:10" ht="14">
      <c r="A7">
        <v>68</v>
      </c>
      <c r="B7" s="85" t="s">
        <v>274</v>
      </c>
      <c r="C7" s="85" t="s">
        <v>412</v>
      </c>
      <c r="D7" s="85" t="s">
        <v>410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591</v>
      </c>
    </row>
    <row r="8" spans="1:10" ht="14">
      <c r="A8">
        <v>6</v>
      </c>
      <c r="B8" s="85" t="s">
        <v>276</v>
      </c>
      <c r="C8" s="85" t="s">
        <v>277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383</v>
      </c>
    </row>
    <row r="9" spans="1:10" ht="14">
      <c r="A9">
        <v>7</v>
      </c>
      <c r="B9" s="85" t="s">
        <v>278</v>
      </c>
      <c r="C9" s="85" t="s">
        <v>279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384</v>
      </c>
    </row>
    <row r="10" spans="1:10" ht="14">
      <c r="A10">
        <v>8</v>
      </c>
      <c r="B10" s="85" t="s">
        <v>280</v>
      </c>
      <c r="C10" s="85" t="s">
        <v>281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385</v>
      </c>
    </row>
    <row r="11" spans="1:10" ht="14">
      <c r="A11">
        <v>9</v>
      </c>
      <c r="B11" s="85" t="s">
        <v>282</v>
      </c>
      <c r="C11" s="85" t="s">
        <v>283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387</v>
      </c>
    </row>
    <row r="12" spans="1:10" ht="14">
      <c r="A12">
        <v>10</v>
      </c>
      <c r="B12" s="85" t="s">
        <v>284</v>
      </c>
      <c r="C12" s="85" t="s">
        <v>285</v>
      </c>
      <c r="D12" s="85" t="s">
        <v>410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286</v>
      </c>
      <c r="C13" s="85" t="s">
        <v>287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288</v>
      </c>
      <c r="C14" s="85" t="s">
        <v>289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288</v>
      </c>
      <c r="C15" s="85" t="s">
        <v>289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290</v>
      </c>
      <c r="C16" s="85" t="s">
        <v>291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292</v>
      </c>
      <c r="C17" s="85" t="s">
        <v>293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294</v>
      </c>
      <c r="C18" s="85" t="s">
        <v>295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294</v>
      </c>
      <c r="C19" s="85" t="s">
        <v>296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297</v>
      </c>
      <c r="C20" s="85" t="s">
        <v>298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299</v>
      </c>
      <c r="C21" s="85" t="s">
        <v>300</v>
      </c>
      <c r="D21" s="85" t="s">
        <v>410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301</v>
      </c>
      <c r="C22" s="85" t="s">
        <v>300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302</v>
      </c>
      <c r="C23" s="85" t="s">
        <v>303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304</v>
      </c>
      <c r="C24" s="85" t="s">
        <v>305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306</v>
      </c>
      <c r="C25" s="85" t="s">
        <v>307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306</v>
      </c>
      <c r="C26" s="85" t="s">
        <v>308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309</v>
      </c>
      <c r="C27" s="85" t="s">
        <v>310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311</v>
      </c>
      <c r="C28" s="85" t="s">
        <v>300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312</v>
      </c>
      <c r="C29" s="85" t="s">
        <v>313</v>
      </c>
      <c r="D29" s="85" t="s">
        <v>410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314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315</v>
      </c>
      <c r="C31" s="85" t="s">
        <v>316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317</v>
      </c>
      <c r="C32" s="85" t="s">
        <v>318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319</v>
      </c>
      <c r="C33" s="85" t="s">
        <v>320</v>
      </c>
      <c r="D33" s="85" t="s">
        <v>410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321</v>
      </c>
      <c r="C34" s="85" t="s">
        <v>283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322</v>
      </c>
      <c r="C35" s="85" t="s">
        <v>267</v>
      </c>
      <c r="D35" s="85" t="s">
        <v>410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323</v>
      </c>
      <c r="C36" s="85" t="s">
        <v>324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325</v>
      </c>
      <c r="C37" s="85" t="s">
        <v>326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325</v>
      </c>
      <c r="C38" s="85" t="s">
        <v>327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328</v>
      </c>
      <c r="C39" s="85" t="s">
        <v>285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328</v>
      </c>
      <c r="C40" s="85" t="s">
        <v>303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329</v>
      </c>
      <c r="C41" s="85" t="s">
        <v>298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330</v>
      </c>
      <c r="C42" s="85" t="s">
        <v>331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332</v>
      </c>
      <c r="C43" s="85" t="s">
        <v>275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333</v>
      </c>
      <c r="C44" s="85" t="s">
        <v>334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335</v>
      </c>
      <c r="C45" s="85" t="s">
        <v>293</v>
      </c>
      <c r="D45" s="85" t="s">
        <v>410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336</v>
      </c>
      <c r="C46" s="85" t="s">
        <v>337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338</v>
      </c>
      <c r="C47" s="85" t="s">
        <v>339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340</v>
      </c>
      <c r="C48" s="85" t="s">
        <v>341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342</v>
      </c>
      <c r="C49" s="85" t="s">
        <v>343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344</v>
      </c>
      <c r="C50" s="85" t="s">
        <v>345</v>
      </c>
      <c r="D50" s="85" t="s">
        <v>410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344</v>
      </c>
      <c r="C51" s="85" t="s">
        <v>346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347</v>
      </c>
      <c r="C52" s="85" t="s">
        <v>348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349</v>
      </c>
      <c r="C53" s="85" t="s">
        <v>350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351</v>
      </c>
      <c r="C54" s="85" t="s">
        <v>324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352</v>
      </c>
      <c r="C55" s="85" t="s">
        <v>353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354</v>
      </c>
      <c r="C56" s="85" t="s">
        <v>298</v>
      </c>
      <c r="D56" s="85" t="s">
        <v>410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355</v>
      </c>
      <c r="C57" s="85" t="s">
        <v>268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356</v>
      </c>
      <c r="C58" s="85" t="s">
        <v>357</v>
      </c>
      <c r="D58" s="85" t="s">
        <v>410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358</v>
      </c>
      <c r="C59" s="85" t="s">
        <v>236</v>
      </c>
      <c r="D59" s="85" t="s">
        <v>410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359</v>
      </c>
      <c r="C60" s="85" t="s">
        <v>360</v>
      </c>
      <c r="D60" s="85" t="s">
        <v>410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361</v>
      </c>
      <c r="C61" s="85" t="s">
        <v>362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363</v>
      </c>
      <c r="C62" s="85" t="s">
        <v>364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363</v>
      </c>
      <c r="C63" s="85" t="s">
        <v>296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365</v>
      </c>
      <c r="C64" s="85" t="s">
        <v>366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367</v>
      </c>
      <c r="C65" s="85" t="s">
        <v>271</v>
      </c>
      <c r="D65" s="85" t="s">
        <v>410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509</v>
      </c>
      <c r="C66" s="85" t="s">
        <v>508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368</v>
      </c>
      <c r="C67" s="85" t="s">
        <v>369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370</v>
      </c>
      <c r="C68" s="85" t="s">
        <v>371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372</v>
      </c>
      <c r="C69" s="85" t="s">
        <v>296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373</v>
      </c>
      <c r="C70" s="85" t="s">
        <v>374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375</v>
      </c>
      <c r="C71" s="85" t="s">
        <v>283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376</v>
      </c>
      <c r="C72" s="85" t="s">
        <v>377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B30" sqref="B30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65" t="s">
        <v>201</v>
      </c>
      <c r="C2" s="165"/>
      <c r="E2" s="166" t="str">
        <f>"FEUILLE COMPO "&amp;MATCH_NOUS</f>
        <v>FEUILLE COMPO MXV</v>
      </c>
      <c r="F2" s="167"/>
      <c r="G2" s="167"/>
      <c r="H2" s="168"/>
    </row>
    <row r="3" spans="1:8" ht="19" customHeight="1">
      <c r="B3" s="165"/>
      <c r="C3" s="165"/>
      <c r="E3" s="169"/>
      <c r="F3" s="170"/>
      <c r="G3" s="170"/>
      <c r="H3" s="171"/>
    </row>
    <row r="4" spans="1:8" ht="19" customHeight="1" thickBot="1">
      <c r="B4" s="165"/>
      <c r="C4" s="165"/>
      <c r="E4" s="172"/>
      <c r="F4" s="173"/>
      <c r="G4" s="173"/>
      <c r="H4" s="174"/>
    </row>
    <row r="5" spans="1:8" s="3" customFormat="1">
      <c r="A5" s="63"/>
      <c r="D5" s="63"/>
    </row>
    <row r="6" spans="1:8">
      <c r="B6" s="42" t="s">
        <v>181</v>
      </c>
      <c r="C6" s="43" t="s">
        <v>388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481</v>
      </c>
      <c r="G7" t="s">
        <v>153</v>
      </c>
    </row>
    <row r="8" spans="1:8">
      <c r="B8" s="42" t="s">
        <v>209</v>
      </c>
      <c r="C8" s="43">
        <v>46314</v>
      </c>
      <c r="E8">
        <v>2</v>
      </c>
      <c r="F8" t="s">
        <v>493</v>
      </c>
      <c r="G8" t="s">
        <v>153</v>
      </c>
    </row>
    <row r="9" spans="1:8">
      <c r="B9" s="3"/>
      <c r="C9" s="3"/>
      <c r="E9">
        <v>3</v>
      </c>
      <c r="F9" t="s">
        <v>483</v>
      </c>
      <c r="G9" t="s">
        <v>153</v>
      </c>
    </row>
    <row r="10" spans="1:8">
      <c r="B10" s="42" t="s">
        <v>506</v>
      </c>
      <c r="C10" s="43" t="s">
        <v>507</v>
      </c>
      <c r="E10">
        <v>4</v>
      </c>
      <c r="F10" t="s">
        <v>510</v>
      </c>
      <c r="G10" t="s">
        <v>153</v>
      </c>
    </row>
    <row r="11" spans="1:8">
      <c r="E11">
        <v>5</v>
      </c>
      <c r="F11" t="s">
        <v>484</v>
      </c>
      <c r="G11" t="s">
        <v>153</v>
      </c>
    </row>
    <row r="12" spans="1:8">
      <c r="B12" s="42" t="s">
        <v>182</v>
      </c>
      <c r="C12" s="43" t="s">
        <v>381</v>
      </c>
      <c r="E12">
        <v>6</v>
      </c>
      <c r="F12" t="s">
        <v>511</v>
      </c>
      <c r="G12" t="s">
        <v>153</v>
      </c>
    </row>
    <row r="13" spans="1:8">
      <c r="B13" s="3"/>
      <c r="C13" s="3"/>
      <c r="E13">
        <v>7</v>
      </c>
      <c r="F13" t="s">
        <v>494</v>
      </c>
      <c r="G13" t="s">
        <v>153</v>
      </c>
    </row>
    <row r="14" spans="1:8">
      <c r="B14" s="42" t="s">
        <v>208</v>
      </c>
      <c r="C14" s="43" t="s">
        <v>187</v>
      </c>
      <c r="E14">
        <v>8</v>
      </c>
      <c r="F14" t="s">
        <v>485</v>
      </c>
      <c r="G14" t="s">
        <v>153</v>
      </c>
    </row>
    <row r="15" spans="1:8">
      <c r="B15" s="3"/>
      <c r="C15" s="3"/>
      <c r="E15" s="35">
        <v>9</v>
      </c>
      <c r="F15" s="35" t="s">
        <v>486</v>
      </c>
      <c r="G15" s="35" t="s">
        <v>169</v>
      </c>
      <c r="H15" s="35"/>
    </row>
    <row r="16" spans="1:8">
      <c r="B16" s="42" t="s">
        <v>183</v>
      </c>
      <c r="C16" s="43" t="s">
        <v>179</v>
      </c>
      <c r="E16">
        <v>10</v>
      </c>
      <c r="F16" t="s">
        <v>487</v>
      </c>
      <c r="G16" t="s">
        <v>169</v>
      </c>
    </row>
    <row r="17" spans="1:8">
      <c r="B17" s="3"/>
      <c r="C17" s="64"/>
      <c r="E17">
        <v>11</v>
      </c>
      <c r="F17" t="s">
        <v>488</v>
      </c>
      <c r="G17" t="s">
        <v>169</v>
      </c>
    </row>
    <row r="18" spans="1:8">
      <c r="B18" s="42" t="s">
        <v>184</v>
      </c>
      <c r="C18" s="44">
        <v>4</v>
      </c>
      <c r="E18">
        <v>12</v>
      </c>
      <c r="F18" t="s">
        <v>489</v>
      </c>
      <c r="G18" t="s">
        <v>169</v>
      </c>
    </row>
    <row r="19" spans="1:8">
      <c r="B19" s="3"/>
      <c r="C19" s="3"/>
      <c r="E19">
        <v>13</v>
      </c>
      <c r="F19" t="s">
        <v>490</v>
      </c>
      <c r="G19" t="s">
        <v>169</v>
      </c>
    </row>
    <row r="20" spans="1:8">
      <c r="B20" s="42" t="s">
        <v>185</v>
      </c>
      <c r="C20" s="43" t="s">
        <v>194</v>
      </c>
      <c r="E20">
        <v>14</v>
      </c>
      <c r="F20" t="s">
        <v>491</v>
      </c>
      <c r="G20" t="s">
        <v>169</v>
      </c>
    </row>
    <row r="21" spans="1:8">
      <c r="B21" s="3"/>
      <c r="C21" s="64"/>
      <c r="E21" s="30">
        <v>15</v>
      </c>
      <c r="F21" s="30" t="s">
        <v>492</v>
      </c>
      <c r="G21" s="30" t="s">
        <v>169</v>
      </c>
      <c r="H21" s="30"/>
    </row>
    <row r="22" spans="1:8">
      <c r="B22" s="42" t="s">
        <v>207</v>
      </c>
      <c r="C22" s="43" t="s">
        <v>203</v>
      </c>
      <c r="E22">
        <v>16</v>
      </c>
      <c r="F22" t="s">
        <v>482</v>
      </c>
      <c r="G22" t="s">
        <v>153</v>
      </c>
    </row>
    <row r="23" spans="1:8">
      <c r="B23" s="3"/>
      <c r="C23" s="3"/>
      <c r="E23">
        <v>17</v>
      </c>
      <c r="F23" t="s">
        <v>512</v>
      </c>
      <c r="G23" t="s">
        <v>153</v>
      </c>
    </row>
    <row r="24" spans="1:8">
      <c r="B24" s="3"/>
      <c r="C24" s="3"/>
      <c r="E24">
        <v>18</v>
      </c>
      <c r="F24" t="s">
        <v>513</v>
      </c>
      <c r="G24" t="s">
        <v>153</v>
      </c>
    </row>
    <row r="25" spans="1:8">
      <c r="B25" s="3"/>
      <c r="C25" s="3"/>
      <c r="E25">
        <v>19</v>
      </c>
      <c r="F25" t="s">
        <v>480</v>
      </c>
      <c r="G25" t="s">
        <v>153</v>
      </c>
    </row>
    <row r="26" spans="1:8">
      <c r="B26" s="3"/>
      <c r="C26" s="3"/>
      <c r="E26">
        <v>20</v>
      </c>
      <c r="F26" t="s">
        <v>496</v>
      </c>
      <c r="G26" t="s">
        <v>169</v>
      </c>
    </row>
    <row r="27" spans="1:8">
      <c r="B27" s="3"/>
      <c r="C27" s="3"/>
      <c r="E27">
        <v>21</v>
      </c>
      <c r="F27" t="s">
        <v>495</v>
      </c>
      <c r="G27" t="s">
        <v>169</v>
      </c>
    </row>
    <row r="28" spans="1:8">
      <c r="B28" s="3"/>
      <c r="C28" s="3"/>
      <c r="E28">
        <v>22</v>
      </c>
      <c r="F28" t="s">
        <v>514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628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Normal="100" workbookViewId="0"/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0"/>
      <c r="B1" s="175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</row>
    <row r="2" spans="1:88" ht="10" customHeight="1" thickBo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</row>
    <row r="3" spans="1:88" ht="10" customHeight="1">
      <c r="A3" s="140"/>
      <c r="B3" s="142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/>
      <c r="AV3" s="143"/>
      <c r="AW3" s="143"/>
      <c r="AX3" s="143"/>
      <c r="AY3" s="144"/>
      <c r="AZ3" s="140"/>
      <c r="BA3" s="142"/>
      <c r="BB3" s="143"/>
      <c r="BC3" s="143"/>
      <c r="BD3" s="143"/>
      <c r="BE3" s="143"/>
      <c r="BF3" s="143"/>
      <c r="BG3" s="143"/>
      <c r="BH3" s="143"/>
      <c r="BI3" s="143"/>
      <c r="BJ3" s="143"/>
      <c r="BK3" s="143"/>
      <c r="BL3" s="143"/>
      <c r="BM3" s="144"/>
      <c r="BN3" s="140"/>
      <c r="BO3" s="140"/>
      <c r="BP3" s="140"/>
      <c r="BQ3" s="140"/>
      <c r="BR3" s="140"/>
      <c r="BS3" s="140"/>
      <c r="BT3" s="140"/>
      <c r="BU3" s="140"/>
      <c r="BV3" s="140"/>
      <c r="BW3" s="140"/>
      <c r="BX3" s="140"/>
      <c r="BY3" s="140"/>
      <c r="BZ3" s="140"/>
      <c r="CA3" s="140"/>
      <c r="CB3" s="140"/>
      <c r="CC3" s="140"/>
      <c r="CD3" s="140"/>
      <c r="CE3" s="140"/>
      <c r="CF3" s="140"/>
      <c r="CG3" s="140"/>
      <c r="CH3" s="140"/>
      <c r="CI3" s="140"/>
      <c r="CJ3" s="140"/>
    </row>
    <row r="4" spans="1:88" ht="42" customHeight="1">
      <c r="A4" s="140"/>
      <c r="B4" s="141"/>
      <c r="C4" s="278" t="s">
        <v>124</v>
      </c>
      <c r="D4" s="279"/>
      <c r="E4" s="279"/>
      <c r="F4" s="279"/>
      <c r="G4" s="279"/>
      <c r="H4" s="279"/>
      <c r="I4" s="279"/>
      <c r="J4" s="279"/>
      <c r="K4" s="277"/>
      <c r="L4" s="188" t="s">
        <v>39</v>
      </c>
      <c r="M4" s="189"/>
      <c r="N4" s="189"/>
      <c r="O4" s="189"/>
      <c r="P4" s="189"/>
      <c r="Q4" s="189"/>
      <c r="R4" s="190"/>
      <c r="S4" s="277"/>
      <c r="T4" s="283" t="s">
        <v>55</v>
      </c>
      <c r="U4" s="284"/>
      <c r="V4" s="284"/>
      <c r="W4" s="284"/>
      <c r="X4" s="284"/>
      <c r="Y4" s="284"/>
      <c r="Z4" s="285"/>
      <c r="AA4" s="277"/>
      <c r="AB4" s="278" t="s">
        <v>629</v>
      </c>
      <c r="AC4" s="279"/>
      <c r="AD4" s="279"/>
      <c r="AE4" s="279"/>
      <c r="AF4" s="279"/>
      <c r="AG4" s="279"/>
      <c r="AH4" s="279"/>
      <c r="AI4" s="277"/>
      <c r="AJ4" s="283" t="s">
        <v>43</v>
      </c>
      <c r="AK4" s="284"/>
      <c r="AL4" s="284"/>
      <c r="AM4" s="284"/>
      <c r="AN4" s="284"/>
      <c r="AO4" s="284"/>
      <c r="AP4" s="285"/>
      <c r="AQ4" s="277"/>
      <c r="AR4" s="262" t="s">
        <v>44</v>
      </c>
      <c r="AS4" s="263"/>
      <c r="AT4" s="263"/>
      <c r="AU4" s="263"/>
      <c r="AV4" s="263"/>
      <c r="AW4" s="263"/>
      <c r="AX4" s="264"/>
      <c r="AY4" s="145"/>
      <c r="AZ4" s="140"/>
      <c r="BA4" s="141"/>
      <c r="BB4" s="280" t="s">
        <v>38</v>
      </c>
      <c r="BC4" s="277"/>
      <c r="BD4" s="14" t="s">
        <v>29</v>
      </c>
      <c r="BE4" s="277"/>
      <c r="BF4" s="14" t="s">
        <v>51</v>
      </c>
      <c r="BG4" s="277"/>
      <c r="BH4" s="14" t="s">
        <v>141</v>
      </c>
      <c r="BI4" s="277"/>
      <c r="BJ4" s="14" t="s">
        <v>30</v>
      </c>
      <c r="BK4" s="277"/>
      <c r="BL4" s="14" t="s">
        <v>31</v>
      </c>
      <c r="BM4" s="145"/>
      <c r="BN4" s="140"/>
      <c r="BO4" s="140"/>
      <c r="BP4" s="140"/>
      <c r="BQ4" s="140"/>
      <c r="BR4" s="140"/>
      <c r="BS4" s="140"/>
      <c r="BT4" s="140"/>
      <c r="BU4" s="140"/>
      <c r="BV4" s="140"/>
      <c r="BW4" s="140"/>
      <c r="BX4" s="140"/>
      <c r="BY4" s="140"/>
      <c r="BZ4" s="140"/>
      <c r="CA4" s="140"/>
      <c r="CB4" s="140"/>
      <c r="CC4" s="140"/>
      <c r="CD4" s="140"/>
      <c r="CE4" s="140"/>
      <c r="CF4" s="140"/>
      <c r="CG4" s="140"/>
      <c r="CH4" s="140"/>
      <c r="CI4" s="140"/>
      <c r="CJ4" s="140"/>
    </row>
    <row r="5" spans="1:88" ht="10" customHeight="1" thickBot="1">
      <c r="A5" s="140"/>
      <c r="B5" s="146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8"/>
      <c r="AZ5" s="140"/>
      <c r="BA5" s="146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8"/>
      <c r="BN5" s="140"/>
      <c r="BO5" s="140"/>
      <c r="BP5" s="140"/>
      <c r="BQ5" s="140"/>
      <c r="BR5" s="140"/>
      <c r="BS5" s="140"/>
      <c r="BT5" s="140"/>
      <c r="BU5" s="140"/>
      <c r="BV5" s="140"/>
      <c r="BW5" s="140"/>
      <c r="BX5" s="140"/>
      <c r="BY5" s="140"/>
      <c r="BZ5" s="140"/>
      <c r="CA5" s="140"/>
      <c r="CB5" s="140"/>
      <c r="CC5" s="140"/>
      <c r="CD5" s="140"/>
      <c r="CE5" s="140"/>
      <c r="CF5" s="140"/>
      <c r="CG5" s="140"/>
      <c r="CH5" s="140"/>
      <c r="CI5" s="140"/>
      <c r="CJ5" s="140"/>
    </row>
    <row r="6" spans="1:88" ht="10" customHeight="1" thickBot="1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140"/>
      <c r="BP6" s="140"/>
      <c r="BQ6" s="140"/>
      <c r="BR6" s="140"/>
      <c r="BS6" s="140"/>
      <c r="BT6" s="140"/>
      <c r="BU6" s="140"/>
      <c r="BV6" s="140"/>
      <c r="BW6" s="140"/>
      <c r="BX6" s="140"/>
      <c r="BY6" s="140"/>
      <c r="BZ6" s="140"/>
      <c r="CA6" s="140"/>
      <c r="CB6" s="140"/>
      <c r="CC6" s="140"/>
      <c r="CD6" s="140"/>
      <c r="CE6" s="140"/>
      <c r="CF6" s="140"/>
      <c r="CG6" s="140"/>
      <c r="CH6" s="140"/>
      <c r="CI6" s="140"/>
      <c r="CJ6" s="140"/>
    </row>
    <row r="7" spans="1:88" ht="10" customHeight="1">
      <c r="A7" s="140"/>
      <c r="B7" s="142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4"/>
      <c r="AZ7" s="140"/>
      <c r="BA7" s="142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4"/>
      <c r="BN7" s="140"/>
      <c r="BO7" s="268" t="s">
        <v>515</v>
      </c>
      <c r="BP7" s="269"/>
      <c r="BQ7" s="27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</row>
    <row r="8" spans="1:88" ht="26" customHeight="1">
      <c r="A8" s="140"/>
      <c r="B8" s="141"/>
      <c r="C8" s="281" t="s">
        <v>243</v>
      </c>
      <c r="D8" s="279"/>
      <c r="E8" s="279"/>
      <c r="F8" s="279"/>
      <c r="G8" s="279"/>
      <c r="H8" s="279"/>
      <c r="I8" s="279"/>
      <c r="J8" s="277"/>
      <c r="K8" s="265"/>
      <c r="L8" s="266"/>
      <c r="M8" s="266"/>
      <c r="N8" s="266"/>
      <c r="O8" s="266"/>
      <c r="P8" s="266"/>
      <c r="Q8" s="267"/>
      <c r="R8" s="277"/>
      <c r="S8" s="191"/>
      <c r="T8" s="192"/>
      <c r="U8" s="192"/>
      <c r="V8" s="192"/>
      <c r="W8" s="192"/>
      <c r="X8" s="192"/>
      <c r="Y8" s="193"/>
      <c r="Z8" s="277"/>
      <c r="AA8" s="194"/>
      <c r="AB8" s="195"/>
      <c r="AC8" s="195"/>
      <c r="AD8" s="195"/>
      <c r="AE8" s="195"/>
      <c r="AF8" s="195"/>
      <c r="AG8" s="196"/>
      <c r="AH8" s="277"/>
      <c r="AI8" s="197"/>
      <c r="AJ8" s="198"/>
      <c r="AK8" s="198"/>
      <c r="AL8" s="198"/>
      <c r="AM8" s="198"/>
      <c r="AN8" s="198"/>
      <c r="AO8" s="199"/>
      <c r="AP8" s="277"/>
      <c r="AQ8" s="200" t="s">
        <v>627</v>
      </c>
      <c r="AR8" s="201"/>
      <c r="AS8" s="201"/>
      <c r="AT8" s="201"/>
      <c r="AU8" s="201"/>
      <c r="AV8" s="201"/>
      <c r="AW8" s="202"/>
      <c r="AX8" s="277"/>
      <c r="AY8" s="145"/>
      <c r="AZ8" s="140"/>
      <c r="BA8" s="141"/>
      <c r="BB8" s="280" t="s">
        <v>48</v>
      </c>
      <c r="BC8" s="277"/>
      <c r="BD8" s="7" t="s">
        <v>33</v>
      </c>
      <c r="BE8" s="277"/>
      <c r="BF8" s="7" t="s">
        <v>34</v>
      </c>
      <c r="BG8" s="277"/>
      <c r="BH8" s="7" t="s">
        <v>35</v>
      </c>
      <c r="BI8" s="277"/>
      <c r="BJ8" s="7" t="s">
        <v>36</v>
      </c>
      <c r="BK8" s="277"/>
      <c r="BL8" s="2" t="s">
        <v>37</v>
      </c>
      <c r="BM8" s="145"/>
      <c r="BN8" s="140"/>
      <c r="BO8" s="271"/>
      <c r="BP8" s="272"/>
      <c r="BQ8" s="273"/>
      <c r="BR8" s="140"/>
      <c r="BS8" s="140"/>
      <c r="BT8" s="140"/>
      <c r="BU8" s="140"/>
      <c r="BV8" s="140"/>
      <c r="BW8" s="140"/>
      <c r="BX8" s="140"/>
      <c r="BY8" s="140"/>
      <c r="BZ8" s="140"/>
      <c r="CA8" s="140"/>
      <c r="CB8" s="140"/>
      <c r="CC8" s="140"/>
      <c r="CD8" s="140"/>
      <c r="CE8" s="140"/>
      <c r="CF8" s="140"/>
      <c r="CG8" s="140"/>
      <c r="CH8" s="140"/>
      <c r="CI8" s="140"/>
      <c r="CJ8" s="140"/>
    </row>
    <row r="9" spans="1:88" ht="10" customHeight="1" thickBot="1">
      <c r="A9" s="140"/>
      <c r="B9" s="146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8"/>
      <c r="AZ9" s="140"/>
      <c r="BA9" s="146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8"/>
      <c r="BN9" s="140"/>
      <c r="BO9" s="274"/>
      <c r="BP9" s="275"/>
      <c r="BQ9" s="276"/>
      <c r="BR9" s="140"/>
      <c r="BS9" s="140"/>
      <c r="BT9" s="140"/>
      <c r="BU9" s="140"/>
      <c r="BV9" s="140"/>
      <c r="BW9" s="140"/>
      <c r="BX9" s="140"/>
      <c r="BY9" s="140"/>
      <c r="BZ9" s="140"/>
      <c r="CA9" s="140"/>
      <c r="CB9" s="140"/>
      <c r="CC9" s="140"/>
      <c r="CD9" s="140"/>
      <c r="CE9" s="140"/>
      <c r="CF9" s="140"/>
      <c r="CG9" s="140"/>
      <c r="CH9" s="140"/>
      <c r="CI9" s="140"/>
      <c r="CJ9" s="140"/>
    </row>
    <row r="10" spans="1:88" ht="10" customHeight="1" thickBot="1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140"/>
      <c r="BP10" s="140"/>
      <c r="BQ10" s="140"/>
      <c r="BR10" s="140"/>
      <c r="BS10" s="140"/>
      <c r="BT10" s="140"/>
      <c r="BU10" s="140"/>
      <c r="BV10" s="140"/>
      <c r="BW10" s="140"/>
      <c r="BX10" s="140"/>
      <c r="BY10" s="140"/>
      <c r="BZ10" s="140"/>
      <c r="CA10" s="140"/>
      <c r="CB10" s="140"/>
      <c r="CC10" s="140"/>
      <c r="CD10" s="140"/>
      <c r="CE10" s="140"/>
      <c r="CF10" s="140"/>
      <c r="CG10" s="140"/>
      <c r="CH10" s="140"/>
      <c r="CI10" s="140"/>
      <c r="CJ10" s="140"/>
    </row>
    <row r="11" spans="1:88" ht="10" customHeight="1">
      <c r="A11" s="140"/>
      <c r="B11" s="142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4"/>
      <c r="AZ11" s="140"/>
      <c r="BA11" s="142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4"/>
      <c r="BT11" s="140"/>
      <c r="BU11" s="140"/>
      <c r="BV11" s="140"/>
      <c r="BW11" s="140"/>
      <c r="BX11" s="140"/>
      <c r="BY11" s="140"/>
      <c r="BZ11" s="140"/>
      <c r="CA11" s="140"/>
      <c r="CB11" s="140"/>
      <c r="CC11" s="140"/>
      <c r="CD11" s="140"/>
      <c r="CE11" s="140"/>
      <c r="CF11" s="140"/>
      <c r="CG11" s="140"/>
      <c r="CH11" s="140"/>
      <c r="CI11" s="140"/>
      <c r="CJ11" s="140"/>
    </row>
    <row r="12" spans="1:88" ht="15" customHeight="1">
      <c r="A12" s="140"/>
      <c r="B12" s="141"/>
      <c r="C12" s="282" t="s">
        <v>18</v>
      </c>
      <c r="D12" s="279"/>
      <c r="E12" s="279"/>
      <c r="F12" s="279"/>
      <c r="G12" s="279"/>
      <c r="H12" s="279"/>
      <c r="I12" s="279"/>
      <c r="J12" s="279"/>
      <c r="K12" s="279"/>
      <c r="L12" s="279"/>
      <c r="M12" s="279"/>
      <c r="N12" s="279"/>
      <c r="O12" s="279"/>
      <c r="P12" s="279"/>
      <c r="Q12" s="279"/>
      <c r="R12" s="279"/>
      <c r="S12" s="279"/>
      <c r="T12" s="279"/>
      <c r="U12" s="279"/>
      <c r="V12" s="279"/>
      <c r="W12" s="279"/>
      <c r="X12" s="279"/>
      <c r="Y12" s="279"/>
      <c r="Z12" s="279"/>
      <c r="AA12" s="279"/>
      <c r="AB12" s="279"/>
      <c r="AC12" s="279"/>
      <c r="AD12" s="279"/>
      <c r="AE12" s="279"/>
      <c r="AF12" s="279"/>
      <c r="AG12" s="279"/>
      <c r="AH12" s="279"/>
      <c r="AI12" s="279"/>
      <c r="AJ12" s="279"/>
      <c r="AK12" s="279"/>
      <c r="AL12" s="279"/>
      <c r="AM12" s="279"/>
      <c r="AN12" s="279"/>
      <c r="AO12" s="279"/>
      <c r="AP12" s="279"/>
      <c r="AQ12" s="279"/>
      <c r="AR12" s="279"/>
      <c r="AS12" s="279"/>
      <c r="AT12" s="279"/>
      <c r="AU12" s="279"/>
      <c r="AV12" s="279"/>
      <c r="AW12" s="279"/>
      <c r="AX12" s="279"/>
      <c r="AY12" s="145"/>
      <c r="AZ12" s="140"/>
      <c r="BA12" s="141"/>
      <c r="BB12" s="282" t="s">
        <v>19</v>
      </c>
      <c r="BC12" s="279"/>
      <c r="BD12" s="279"/>
      <c r="BE12" s="279"/>
      <c r="BF12" s="279"/>
      <c r="BG12" s="279"/>
      <c r="BH12" s="279"/>
      <c r="BI12" s="279"/>
      <c r="BJ12" s="279"/>
      <c r="BK12" s="279"/>
      <c r="BL12" s="279"/>
      <c r="BM12" s="279"/>
      <c r="BN12" s="279"/>
      <c r="BO12" s="279"/>
      <c r="BP12" s="279"/>
      <c r="BQ12" s="279"/>
      <c r="BR12" s="279"/>
      <c r="BS12" s="145"/>
      <c r="BT12" s="140"/>
      <c r="BU12" s="140"/>
      <c r="BV12" s="140"/>
      <c r="BW12" s="140"/>
      <c r="BX12" s="140"/>
      <c r="BY12" s="140"/>
      <c r="BZ12" s="140"/>
      <c r="CA12" s="140"/>
      <c r="CB12" s="140"/>
      <c r="CC12" s="140"/>
      <c r="CD12" s="140"/>
      <c r="CE12" s="140"/>
      <c r="CF12" s="140"/>
      <c r="CG12" s="140"/>
      <c r="CH12" s="140"/>
      <c r="CI12" s="140"/>
      <c r="CJ12" s="140"/>
    </row>
    <row r="13" spans="1:88" ht="13" customHeight="1">
      <c r="A13" s="140"/>
      <c r="B13" s="141"/>
      <c r="C13" s="277"/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145"/>
      <c r="AZ13" s="140"/>
      <c r="BA13" s="141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145"/>
      <c r="BT13" s="140"/>
      <c r="BU13" s="140"/>
      <c r="BV13" s="140"/>
      <c r="BW13" s="140"/>
      <c r="BX13" s="140"/>
      <c r="BY13" s="140"/>
      <c r="BZ13" s="140"/>
      <c r="CA13" s="140"/>
      <c r="CB13" s="140"/>
      <c r="CC13" s="140"/>
      <c r="CD13" s="140"/>
      <c r="CE13" s="140"/>
      <c r="CF13" s="140"/>
      <c r="CG13" s="140"/>
      <c r="CH13" s="140"/>
      <c r="CI13" s="140"/>
      <c r="CJ13" s="140"/>
    </row>
    <row r="14" spans="1:88" ht="42" customHeight="1">
      <c r="A14" s="140"/>
      <c r="B14" s="141"/>
      <c r="C14" s="187" t="s">
        <v>594</v>
      </c>
      <c r="D14" s="178"/>
      <c r="E14" s="178"/>
      <c r="F14" s="178"/>
      <c r="G14" s="178"/>
      <c r="H14" s="178"/>
      <c r="I14" s="179"/>
      <c r="J14" s="277"/>
      <c r="K14" s="187" t="s">
        <v>542</v>
      </c>
      <c r="L14" s="178"/>
      <c r="M14" s="178"/>
      <c r="N14" s="178"/>
      <c r="O14" s="178"/>
      <c r="P14" s="178"/>
      <c r="Q14" s="179"/>
      <c r="R14" s="277"/>
      <c r="S14" s="187" t="s">
        <v>543</v>
      </c>
      <c r="T14" s="178"/>
      <c r="U14" s="178"/>
      <c r="V14" s="178"/>
      <c r="W14" s="178"/>
      <c r="X14" s="178"/>
      <c r="Y14" s="179"/>
      <c r="Z14" s="277"/>
      <c r="AA14" s="277"/>
      <c r="AB14" s="277"/>
      <c r="AC14" s="277"/>
      <c r="AD14" s="187" t="s">
        <v>549</v>
      </c>
      <c r="AE14" s="178"/>
      <c r="AF14" s="178"/>
      <c r="AG14" s="178"/>
      <c r="AH14" s="178"/>
      <c r="AI14" s="178"/>
      <c r="AJ14" s="179"/>
      <c r="AK14" s="277"/>
      <c r="AL14" s="277"/>
      <c r="AM14" s="277"/>
      <c r="AN14" s="277"/>
      <c r="AO14" s="277"/>
      <c r="AP14" s="187" t="s">
        <v>550</v>
      </c>
      <c r="AQ14" s="178"/>
      <c r="AR14" s="178"/>
      <c r="AS14" s="178"/>
      <c r="AT14" s="178"/>
      <c r="AU14" s="178"/>
      <c r="AV14" s="179"/>
      <c r="AW14" s="277"/>
      <c r="AX14" s="277"/>
      <c r="AY14" s="145"/>
      <c r="AZ14" s="140"/>
      <c r="BA14" s="141"/>
      <c r="BB14" s="280" t="s">
        <v>266</v>
      </c>
      <c r="BC14" s="277"/>
      <c r="BD14" s="5" t="s">
        <v>22</v>
      </c>
      <c r="BE14" s="277"/>
      <c r="BF14" s="5" t="s">
        <v>20</v>
      </c>
      <c r="BG14" s="277"/>
      <c r="BH14" s="5" t="s">
        <v>23</v>
      </c>
      <c r="BI14" s="277"/>
      <c r="BJ14" s="5" t="s">
        <v>24</v>
      </c>
      <c r="BK14" s="277"/>
      <c r="BL14" s="5" t="s">
        <v>21</v>
      </c>
      <c r="BM14" s="277"/>
      <c r="BN14" s="280" t="s">
        <v>223</v>
      </c>
      <c r="BO14" s="277"/>
      <c r="BP14" s="5" t="s">
        <v>25</v>
      </c>
      <c r="BQ14" s="277"/>
      <c r="BR14" s="5" t="s">
        <v>26</v>
      </c>
      <c r="BS14" s="145"/>
      <c r="BT14" s="140"/>
      <c r="BU14" s="140"/>
      <c r="BV14" s="140"/>
      <c r="BW14" s="140"/>
      <c r="BX14" s="140"/>
      <c r="BY14" s="140"/>
      <c r="BZ14" s="140"/>
      <c r="CA14" s="140"/>
      <c r="CB14" s="140"/>
      <c r="CC14" s="140"/>
      <c r="CD14" s="140"/>
      <c r="CE14" s="140"/>
      <c r="CF14" s="140"/>
      <c r="CG14" s="140"/>
      <c r="CH14" s="140"/>
      <c r="CI14" s="140"/>
      <c r="CJ14" s="140"/>
    </row>
    <row r="15" spans="1:88" ht="10" customHeight="1">
      <c r="A15" s="140"/>
      <c r="B15" s="141"/>
      <c r="C15" s="277"/>
      <c r="D15" s="277"/>
      <c r="E15" s="277"/>
      <c r="F15" s="277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7"/>
      <c r="S15" s="277"/>
      <c r="T15" s="277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145"/>
      <c r="AZ15" s="140"/>
      <c r="BA15" s="141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145"/>
      <c r="BT15" s="140"/>
      <c r="BU15" s="140"/>
      <c r="BV15" s="140"/>
      <c r="BW15" s="140"/>
      <c r="BX15" s="140"/>
      <c r="BY15" s="140"/>
      <c r="BZ15" s="140"/>
      <c r="CA15" s="140"/>
      <c r="CB15" s="140"/>
      <c r="CC15" s="140"/>
      <c r="CD15" s="140"/>
      <c r="CE15" s="140"/>
      <c r="CF15" s="140"/>
      <c r="CG15" s="140"/>
      <c r="CH15" s="140"/>
      <c r="CI15" s="140"/>
      <c r="CJ15" s="140"/>
    </row>
    <row r="16" spans="1:88" ht="42" customHeight="1">
      <c r="A16" s="140"/>
      <c r="B16" s="141"/>
      <c r="C16" s="277"/>
      <c r="D16" s="277"/>
      <c r="E16" s="277"/>
      <c r="F16" s="277"/>
      <c r="G16" s="187" t="s">
        <v>544</v>
      </c>
      <c r="H16" s="178"/>
      <c r="I16" s="178"/>
      <c r="J16" s="178"/>
      <c r="K16" s="178"/>
      <c r="L16" s="178"/>
      <c r="M16" s="179"/>
      <c r="N16" s="277"/>
      <c r="O16" s="187" t="s">
        <v>545</v>
      </c>
      <c r="P16" s="178"/>
      <c r="Q16" s="178"/>
      <c r="R16" s="178"/>
      <c r="S16" s="178"/>
      <c r="T16" s="178"/>
      <c r="U16" s="179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187" t="s">
        <v>552</v>
      </c>
      <c r="AG16" s="178"/>
      <c r="AH16" s="178"/>
      <c r="AI16" s="178"/>
      <c r="AJ16" s="178"/>
      <c r="AK16" s="178"/>
      <c r="AL16" s="179"/>
      <c r="AM16" s="277"/>
      <c r="AN16" s="187" t="s">
        <v>553</v>
      </c>
      <c r="AO16" s="178"/>
      <c r="AP16" s="178"/>
      <c r="AQ16" s="178"/>
      <c r="AR16" s="178"/>
      <c r="AS16" s="178"/>
      <c r="AT16" s="179"/>
      <c r="AU16" s="277"/>
      <c r="AV16" s="277"/>
      <c r="AW16" s="277"/>
      <c r="AX16" s="277"/>
      <c r="AY16" s="145"/>
      <c r="AZ16" s="140"/>
      <c r="BA16" s="141"/>
      <c r="BB16" s="280" t="s">
        <v>222</v>
      </c>
      <c r="BC16" s="277"/>
      <c r="BD16" s="5" t="s">
        <v>25</v>
      </c>
      <c r="BE16" s="277"/>
      <c r="BF16" s="5" t="s">
        <v>26</v>
      </c>
      <c r="BG16" s="277"/>
      <c r="BH16" s="5" t="s">
        <v>45</v>
      </c>
      <c r="BI16" s="277"/>
      <c r="BJ16" s="277"/>
      <c r="BK16" s="277"/>
      <c r="BL16" s="280" t="s">
        <v>403</v>
      </c>
      <c r="BM16" s="277"/>
      <c r="BN16" s="14" t="s">
        <v>244</v>
      </c>
      <c r="BO16" s="277"/>
      <c r="BP16" s="14" t="s">
        <v>401</v>
      </c>
      <c r="BQ16" s="277"/>
      <c r="BR16" s="14" t="s">
        <v>402</v>
      </c>
      <c r="BS16" s="145"/>
      <c r="BT16" s="140"/>
      <c r="BU16" s="140"/>
      <c r="BV16" s="140"/>
      <c r="BW16" s="140"/>
      <c r="BX16" s="140"/>
      <c r="BY16" s="140"/>
      <c r="BZ16" s="140"/>
      <c r="CA16" s="140"/>
      <c r="CB16" s="140"/>
      <c r="CC16" s="140"/>
      <c r="CD16" s="140"/>
      <c r="CE16" s="140"/>
      <c r="CF16" s="140"/>
      <c r="CG16" s="140"/>
      <c r="CH16" s="140"/>
      <c r="CI16" s="140"/>
      <c r="CJ16" s="140"/>
    </row>
    <row r="17" spans="1:88" ht="10" customHeight="1">
      <c r="A17" s="140"/>
      <c r="B17" s="141"/>
      <c r="C17" s="277"/>
      <c r="D17" s="277"/>
      <c r="E17" s="277"/>
      <c r="F17" s="277"/>
      <c r="G17" s="277"/>
      <c r="H17" s="277"/>
      <c r="I17" s="277"/>
      <c r="J17" s="277"/>
      <c r="K17" s="277"/>
      <c r="L17" s="277"/>
      <c r="M17" s="277"/>
      <c r="N17" s="277"/>
      <c r="O17" s="277"/>
      <c r="P17" s="277"/>
      <c r="Q17" s="277"/>
      <c r="R17" s="277"/>
      <c r="S17" s="277"/>
      <c r="T17" s="277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145"/>
      <c r="AZ17" s="140"/>
      <c r="BA17" s="141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145"/>
      <c r="BT17" s="140"/>
      <c r="BU17" s="140"/>
      <c r="BV17" s="140"/>
      <c r="BW17" s="140"/>
      <c r="BX17" s="140"/>
      <c r="BY17" s="140"/>
      <c r="BZ17" s="140"/>
      <c r="CA17" s="140"/>
      <c r="CB17" s="140"/>
      <c r="CC17" s="140"/>
      <c r="CD17" s="140"/>
      <c r="CE17" s="140"/>
      <c r="CF17" s="140"/>
      <c r="CG17" s="140"/>
      <c r="CH17" s="140"/>
      <c r="CI17" s="140"/>
      <c r="CJ17" s="140"/>
    </row>
    <row r="18" spans="1:88" ht="42" customHeight="1">
      <c r="A18" s="140"/>
      <c r="B18" s="141"/>
      <c r="C18" s="187" t="s">
        <v>546</v>
      </c>
      <c r="D18" s="178"/>
      <c r="E18" s="178"/>
      <c r="F18" s="178"/>
      <c r="G18" s="178"/>
      <c r="H18" s="178"/>
      <c r="I18" s="179"/>
      <c r="J18" s="277"/>
      <c r="K18" s="187" t="s">
        <v>548</v>
      </c>
      <c r="L18" s="178"/>
      <c r="M18" s="178"/>
      <c r="N18" s="178"/>
      <c r="O18" s="178"/>
      <c r="P18" s="178"/>
      <c r="Q18" s="179"/>
      <c r="R18" s="277"/>
      <c r="S18" s="187" t="s">
        <v>547</v>
      </c>
      <c r="T18" s="178"/>
      <c r="U18" s="178"/>
      <c r="V18" s="178"/>
      <c r="W18" s="178"/>
      <c r="X18" s="178"/>
      <c r="Y18" s="179"/>
      <c r="Z18" s="277"/>
      <c r="AA18" s="277"/>
      <c r="AB18" s="187" t="s">
        <v>551</v>
      </c>
      <c r="AC18" s="178"/>
      <c r="AD18" s="178"/>
      <c r="AE18" s="178"/>
      <c r="AF18" s="178"/>
      <c r="AG18" s="178"/>
      <c r="AH18" s="179"/>
      <c r="AI18" s="277"/>
      <c r="AJ18" s="187" t="s">
        <v>555</v>
      </c>
      <c r="AK18" s="178"/>
      <c r="AL18" s="178"/>
      <c r="AM18" s="178"/>
      <c r="AN18" s="178"/>
      <c r="AO18" s="178"/>
      <c r="AP18" s="179"/>
      <c r="AQ18" s="277"/>
      <c r="AR18" s="187" t="s">
        <v>554</v>
      </c>
      <c r="AS18" s="178"/>
      <c r="AT18" s="178"/>
      <c r="AU18" s="178"/>
      <c r="AV18" s="178"/>
      <c r="AW18" s="178"/>
      <c r="AX18" s="179"/>
      <c r="AY18" s="145"/>
      <c r="AZ18" s="140"/>
      <c r="BA18" s="141"/>
      <c r="BB18" s="280" t="s">
        <v>125</v>
      </c>
      <c r="BC18" s="277"/>
      <c r="BD18" s="5" t="s">
        <v>126</v>
      </c>
      <c r="BE18" s="277"/>
      <c r="BF18" s="5" t="s">
        <v>127</v>
      </c>
      <c r="BG18" s="277"/>
      <c r="BH18" s="5" t="s">
        <v>128</v>
      </c>
      <c r="BI18" s="277"/>
      <c r="BJ18" s="5" t="s">
        <v>129</v>
      </c>
      <c r="BK18" s="277"/>
      <c r="BL18" s="5" t="s">
        <v>10</v>
      </c>
      <c r="BM18" s="277"/>
      <c r="BN18" s="5" t="s">
        <v>27</v>
      </c>
      <c r="BO18" s="277"/>
      <c r="BP18" s="5" t="s">
        <v>219</v>
      </c>
      <c r="BQ18" s="277"/>
      <c r="BR18" s="5" t="s">
        <v>396</v>
      </c>
      <c r="BS18" s="145"/>
      <c r="BT18" s="140"/>
      <c r="BU18" s="140"/>
      <c r="BV18" s="140"/>
      <c r="BW18" s="140"/>
      <c r="BX18" s="140"/>
      <c r="BY18" s="140"/>
      <c r="BZ18" s="140"/>
      <c r="CA18" s="140"/>
      <c r="CB18" s="140"/>
      <c r="CC18" s="140"/>
      <c r="CD18" s="140"/>
      <c r="CE18" s="140"/>
      <c r="CF18" s="140"/>
      <c r="CG18" s="140"/>
      <c r="CH18" s="140"/>
      <c r="CI18" s="140"/>
      <c r="CJ18" s="140"/>
    </row>
    <row r="19" spans="1:88" s="3" customFormat="1" ht="10" customHeight="1">
      <c r="A19" s="140"/>
      <c r="B19" s="141"/>
      <c r="C19" s="277"/>
      <c r="D19" s="277"/>
      <c r="E19" s="277"/>
      <c r="F19" s="277"/>
      <c r="G19" s="277"/>
      <c r="H19" s="277"/>
      <c r="I19" s="277"/>
      <c r="J19" s="277"/>
      <c r="K19" s="277"/>
      <c r="L19" s="277"/>
      <c r="M19" s="277"/>
      <c r="N19" s="277"/>
      <c r="O19" s="277"/>
      <c r="P19" s="277"/>
      <c r="Q19" s="277"/>
      <c r="R19" s="277"/>
      <c r="S19" s="277"/>
      <c r="T19" s="277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145"/>
      <c r="AZ19" s="140"/>
      <c r="BA19" s="141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145"/>
      <c r="BT19" s="140"/>
      <c r="BU19" s="140"/>
      <c r="BV19" s="140"/>
      <c r="BW19" s="140"/>
      <c r="BX19" s="140"/>
      <c r="BY19" s="140"/>
      <c r="BZ19" s="140"/>
      <c r="CA19" s="140"/>
      <c r="CB19" s="140"/>
      <c r="CC19" s="140"/>
      <c r="CD19" s="140"/>
      <c r="CE19" s="140"/>
      <c r="CF19" s="140"/>
      <c r="CG19" s="140"/>
      <c r="CH19" s="140"/>
      <c r="CI19" s="140"/>
      <c r="CJ19" s="140"/>
    </row>
    <row r="20" spans="1:88" ht="42" customHeight="1">
      <c r="A20" s="140"/>
      <c r="B20" s="141"/>
      <c r="C20" s="277"/>
      <c r="D20" s="277"/>
      <c r="E20" s="277"/>
      <c r="F20" s="277"/>
      <c r="G20" s="277"/>
      <c r="H20" s="277"/>
      <c r="I20" s="277"/>
      <c r="J20" s="277"/>
      <c r="K20" s="177" t="s">
        <v>42</v>
      </c>
      <c r="L20" s="178"/>
      <c r="M20" s="178"/>
      <c r="N20" s="178"/>
      <c r="O20" s="178"/>
      <c r="P20" s="178"/>
      <c r="Q20" s="179"/>
      <c r="R20" s="277"/>
      <c r="S20" s="177" t="s">
        <v>153</v>
      </c>
      <c r="T20" s="178"/>
      <c r="U20" s="178"/>
      <c r="V20" s="178"/>
      <c r="W20" s="178"/>
      <c r="X20" s="178"/>
      <c r="Y20" s="179"/>
      <c r="Z20" s="277"/>
      <c r="AA20" s="277"/>
      <c r="AB20" s="177" t="s">
        <v>169</v>
      </c>
      <c r="AC20" s="178"/>
      <c r="AD20" s="178"/>
      <c r="AE20" s="178"/>
      <c r="AF20" s="178"/>
      <c r="AG20" s="178"/>
      <c r="AH20" s="179"/>
      <c r="AI20" s="277"/>
      <c r="AJ20" s="177" t="s">
        <v>32</v>
      </c>
      <c r="AK20" s="178"/>
      <c r="AL20" s="178"/>
      <c r="AM20" s="178"/>
      <c r="AN20" s="178"/>
      <c r="AO20" s="178"/>
      <c r="AP20" s="179"/>
      <c r="AQ20" s="277"/>
      <c r="AR20" s="277"/>
      <c r="AS20" s="277"/>
      <c r="AT20" s="277"/>
      <c r="AU20" s="277"/>
      <c r="AV20" s="277"/>
      <c r="AW20" s="277"/>
      <c r="AX20" s="277"/>
      <c r="AY20" s="145"/>
      <c r="AZ20" s="140"/>
      <c r="BA20" s="141"/>
      <c r="BB20" s="280" t="s">
        <v>65</v>
      </c>
      <c r="BC20" s="277"/>
      <c r="BD20" s="6" t="s">
        <v>157</v>
      </c>
      <c r="BE20" s="277"/>
      <c r="BF20" s="6" t="s">
        <v>158</v>
      </c>
      <c r="BG20" s="277"/>
      <c r="BH20" s="277"/>
      <c r="BI20" s="277"/>
      <c r="BJ20" s="280" t="s">
        <v>505</v>
      </c>
      <c r="BK20" s="277"/>
      <c r="BL20" s="6" t="s">
        <v>157</v>
      </c>
      <c r="BM20" s="277"/>
      <c r="BN20" s="9" t="s">
        <v>158</v>
      </c>
      <c r="BO20" s="277"/>
      <c r="BP20" s="277"/>
      <c r="BQ20" s="277"/>
      <c r="BR20" s="277"/>
      <c r="BS20" s="145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</row>
    <row r="21" spans="1:88" ht="10" customHeight="1" thickBot="1">
      <c r="A21" s="140"/>
      <c r="B21" s="146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8"/>
      <c r="AZ21" s="140"/>
      <c r="BA21" s="146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8"/>
      <c r="BT21" s="140"/>
      <c r="BU21" s="140"/>
      <c r="BV21" s="140"/>
      <c r="BW21" s="140"/>
      <c r="BX21" s="140"/>
      <c r="BY21" s="140"/>
      <c r="BZ21" s="140"/>
      <c r="CA21" s="140"/>
      <c r="CB21" s="140"/>
      <c r="CC21" s="140"/>
      <c r="CD21" s="140"/>
      <c r="CE21" s="140"/>
      <c r="CF21" s="140"/>
      <c r="CG21" s="140"/>
      <c r="CH21" s="140"/>
      <c r="CI21" s="140"/>
      <c r="CJ21" s="140"/>
    </row>
    <row r="22" spans="1:88" ht="10" customHeight="1" thickBo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0"/>
      <c r="CB22" s="140"/>
      <c r="CC22" s="140"/>
      <c r="CD22" s="140"/>
      <c r="CE22" s="140"/>
      <c r="CF22" s="140"/>
      <c r="CG22" s="140"/>
      <c r="CH22" s="140"/>
      <c r="CI22" s="140"/>
      <c r="CJ22" s="140"/>
    </row>
    <row r="23" spans="1:88" ht="10" customHeight="1">
      <c r="A23" s="140"/>
      <c r="B23" s="142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4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</row>
    <row r="24" spans="1:88" ht="15" customHeight="1">
      <c r="A24" s="140"/>
      <c r="B24" s="141"/>
      <c r="C24" s="282" t="s">
        <v>40</v>
      </c>
      <c r="D24" s="279"/>
      <c r="E24" s="279"/>
      <c r="F24" s="279"/>
      <c r="G24" s="279"/>
      <c r="H24" s="279"/>
      <c r="I24" s="279"/>
      <c r="J24" s="279"/>
      <c r="K24" s="279"/>
      <c r="L24" s="279"/>
      <c r="M24" s="279"/>
      <c r="N24" s="279"/>
      <c r="O24" s="279"/>
      <c r="P24" s="279"/>
      <c r="Q24" s="279"/>
      <c r="R24" s="279"/>
      <c r="S24" s="279"/>
      <c r="T24" s="279"/>
      <c r="U24" s="279"/>
      <c r="V24" s="279"/>
      <c r="W24" s="279"/>
      <c r="X24" s="279"/>
      <c r="Y24" s="279"/>
      <c r="Z24" s="279"/>
      <c r="AA24" s="279"/>
      <c r="AB24" s="279"/>
      <c r="AC24" s="279"/>
      <c r="AD24" s="279"/>
      <c r="AE24" s="279"/>
      <c r="AF24" s="279"/>
      <c r="AG24" s="279"/>
      <c r="AH24" s="279"/>
      <c r="AI24" s="279"/>
      <c r="AJ24" s="279"/>
      <c r="AK24" s="279"/>
      <c r="AL24" s="279"/>
      <c r="AM24" s="279"/>
      <c r="AN24" s="279"/>
      <c r="AO24" s="279"/>
      <c r="AP24" s="279"/>
      <c r="AQ24" s="279"/>
      <c r="AR24" s="279"/>
      <c r="AS24" s="279"/>
      <c r="AT24" s="279"/>
      <c r="AU24" s="279"/>
      <c r="AV24" s="279"/>
      <c r="AW24" s="279"/>
      <c r="AX24" s="279"/>
      <c r="AY24" s="145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140"/>
      <c r="BP24" s="140"/>
      <c r="BQ24" s="140"/>
      <c r="BR24" s="140"/>
      <c r="BS24" s="140"/>
      <c r="BT24" s="140"/>
      <c r="BU24" s="140"/>
      <c r="BV24" s="140"/>
      <c r="BW24" s="140"/>
      <c r="BX24" s="140"/>
      <c r="BY24" s="140"/>
      <c r="BZ24" s="140"/>
      <c r="CA24" s="140"/>
      <c r="CB24" s="140"/>
      <c r="CC24" s="140"/>
      <c r="CD24" s="140"/>
      <c r="CE24" s="140"/>
      <c r="CF24" s="140"/>
      <c r="CG24" s="140"/>
      <c r="CH24" s="140"/>
      <c r="CI24" s="140"/>
      <c r="CJ24" s="140"/>
    </row>
    <row r="25" spans="1:88" s="3" customFormat="1" ht="10" customHeight="1">
      <c r="A25" s="140"/>
      <c r="B25" s="141"/>
      <c r="C25" s="277"/>
      <c r="D25" s="27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145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140"/>
      <c r="BP25" s="140"/>
      <c r="BQ25" s="140"/>
      <c r="BR25" s="140"/>
      <c r="BS25" s="140"/>
      <c r="BT25" s="140"/>
      <c r="BU25" s="140"/>
      <c r="BV25" s="140"/>
      <c r="BW25" s="140"/>
      <c r="BX25" s="140"/>
      <c r="BY25" s="140"/>
      <c r="BZ25" s="140"/>
      <c r="CA25" s="140"/>
      <c r="CB25" s="140"/>
      <c r="CC25" s="140"/>
      <c r="CD25" s="140"/>
      <c r="CE25" s="140"/>
      <c r="CF25" s="140"/>
      <c r="CG25" s="140"/>
      <c r="CH25" s="140"/>
      <c r="CI25" s="140"/>
      <c r="CJ25" s="140"/>
    </row>
    <row r="26" spans="1:88" ht="15" customHeight="1">
      <c r="A26" s="140"/>
      <c r="B26" s="141"/>
      <c r="C26" s="278" t="s">
        <v>41</v>
      </c>
      <c r="D26" s="279"/>
      <c r="E26" s="279"/>
      <c r="F26" s="279"/>
      <c r="G26" s="279"/>
      <c r="H26" s="279"/>
      <c r="I26" s="279"/>
      <c r="J26" s="279"/>
      <c r="K26" s="279"/>
      <c r="L26" s="277"/>
      <c r="M26" s="277"/>
      <c r="N26" s="277"/>
      <c r="O26" s="277"/>
      <c r="P26" s="277"/>
      <c r="Q26" s="277"/>
      <c r="R26" s="277"/>
      <c r="S26" s="277"/>
      <c r="T26" s="277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145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140"/>
      <c r="BP26" s="140"/>
      <c r="BQ26" s="140"/>
      <c r="BR26" s="140"/>
      <c r="BS26" s="140"/>
      <c r="BT26" s="140"/>
      <c r="BU26" s="140"/>
      <c r="BV26" s="140"/>
      <c r="BW26" s="140"/>
      <c r="BX26" s="140"/>
      <c r="BY26" s="140"/>
      <c r="BZ26" s="140"/>
      <c r="CA26" s="140"/>
      <c r="CB26" s="140"/>
      <c r="CC26" s="140"/>
      <c r="CD26" s="140"/>
      <c r="CE26" s="140"/>
      <c r="CF26" s="140"/>
      <c r="CG26" s="140"/>
      <c r="CH26" s="140"/>
      <c r="CI26" s="140"/>
      <c r="CJ26" s="140"/>
    </row>
    <row r="27" spans="1:88" ht="10" customHeight="1">
      <c r="A27" s="140"/>
      <c r="B27" s="141"/>
      <c r="C27" s="277"/>
      <c r="D27" s="277"/>
      <c r="E27" s="277"/>
      <c r="F27" s="277"/>
      <c r="G27" s="277"/>
      <c r="H27" s="277"/>
      <c r="I27" s="277"/>
      <c r="J27" s="277"/>
      <c r="K27" s="277"/>
      <c r="L27" s="277"/>
      <c r="M27" s="277"/>
      <c r="N27" s="277"/>
      <c r="O27" s="277"/>
      <c r="P27" s="277"/>
      <c r="Q27" s="277"/>
      <c r="R27" s="277"/>
      <c r="S27" s="277"/>
      <c r="T27" s="277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145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140"/>
      <c r="BP27" s="140"/>
      <c r="BQ27" s="140"/>
      <c r="BR27" s="140"/>
      <c r="BS27" s="140"/>
      <c r="BT27" s="140"/>
      <c r="BU27" s="140"/>
      <c r="BV27" s="140"/>
      <c r="BW27" s="140"/>
      <c r="BX27" s="140"/>
      <c r="BY27" s="140"/>
      <c r="BZ27" s="140"/>
      <c r="CA27" s="140"/>
      <c r="CB27" s="140"/>
      <c r="CC27" s="140"/>
      <c r="CD27" s="140"/>
      <c r="CE27" s="140"/>
      <c r="CF27" s="140"/>
      <c r="CG27" s="140"/>
      <c r="CH27" s="140"/>
      <c r="CI27" s="140"/>
      <c r="CJ27" s="140"/>
    </row>
    <row r="28" spans="1:88" ht="42" customHeight="1">
      <c r="A28" s="140"/>
      <c r="B28" s="141"/>
      <c r="C28" s="180">
        <v>7.5140637962962959E-3</v>
      </c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9"/>
      <c r="Q28" s="277"/>
      <c r="R28" s="181" t="s">
        <v>12</v>
      </c>
      <c r="S28" s="182"/>
      <c r="T28" s="182"/>
      <c r="U28" s="182"/>
      <c r="V28" s="182"/>
      <c r="W28" s="182"/>
      <c r="X28" s="183"/>
      <c r="Y28" s="277"/>
      <c r="Z28" s="181" t="s">
        <v>11</v>
      </c>
      <c r="AA28" s="182"/>
      <c r="AB28" s="182"/>
      <c r="AC28" s="182"/>
      <c r="AD28" s="182"/>
      <c r="AE28" s="182"/>
      <c r="AF28" s="183"/>
      <c r="AG28" s="277"/>
      <c r="AH28" s="181" t="s">
        <v>118</v>
      </c>
      <c r="AI28" s="182"/>
      <c r="AJ28" s="182"/>
      <c r="AK28" s="182"/>
      <c r="AL28" s="182"/>
      <c r="AM28" s="182"/>
      <c r="AN28" s="183"/>
      <c r="AO28" s="277"/>
      <c r="AP28" s="184" t="s">
        <v>13</v>
      </c>
      <c r="AQ28" s="185"/>
      <c r="AR28" s="185"/>
      <c r="AS28" s="185"/>
      <c r="AT28" s="185"/>
      <c r="AU28" s="185"/>
      <c r="AV28" s="186"/>
      <c r="AW28" s="277"/>
      <c r="AX28" s="277"/>
      <c r="AY28" s="145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</row>
    <row r="29" spans="1:88" ht="90" customHeight="1" thickBot="1">
      <c r="A29" s="140"/>
      <c r="B29" s="146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8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140"/>
      <c r="BP29" s="140"/>
      <c r="BQ29" s="140"/>
      <c r="BR29" s="140"/>
      <c r="BS29" s="140"/>
      <c r="BT29" s="140"/>
      <c r="BU29" s="140"/>
      <c r="BV29" s="140"/>
      <c r="BW29" s="140"/>
      <c r="BX29" s="140"/>
      <c r="BY29" s="140"/>
      <c r="BZ29" s="140"/>
      <c r="CA29" s="140"/>
      <c r="CB29" s="140"/>
      <c r="CC29" s="140"/>
      <c r="CD29" s="140"/>
      <c r="CE29" s="140"/>
      <c r="CF29" s="140"/>
      <c r="CG29" s="140"/>
      <c r="CH29" s="140"/>
      <c r="CI29" s="140"/>
      <c r="CJ29" s="140"/>
    </row>
    <row r="30" spans="1:88" ht="106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0"/>
      <c r="CC30" s="140"/>
      <c r="CD30" s="140"/>
      <c r="CE30" s="140"/>
      <c r="CF30" s="140"/>
      <c r="CG30" s="140"/>
      <c r="CH30" s="140"/>
      <c r="CI30" s="140"/>
      <c r="CJ30" s="140"/>
    </row>
    <row r="31" spans="1:88" ht="1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140"/>
      <c r="BV31" s="140"/>
      <c r="BW31" s="140"/>
      <c r="BX31" s="140"/>
      <c r="BY31" s="140"/>
      <c r="BZ31" s="140"/>
      <c r="CA31" s="140"/>
      <c r="CB31" s="140"/>
      <c r="CC31" s="140"/>
      <c r="CD31" s="140"/>
      <c r="CE31" s="140"/>
      <c r="CF31" s="140"/>
      <c r="CG31" s="140"/>
      <c r="CH31" s="140"/>
      <c r="CI31" s="140"/>
      <c r="CJ31" s="140"/>
    </row>
    <row r="32" spans="1:88" ht="1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140"/>
      <c r="BV32" s="140"/>
      <c r="BW32" s="140"/>
      <c r="BX32" s="140"/>
      <c r="BY32" s="140"/>
      <c r="BZ32" s="140"/>
      <c r="CA32" s="140"/>
      <c r="CB32" s="140"/>
      <c r="CC32" s="140"/>
      <c r="CD32" s="140"/>
      <c r="CE32" s="140"/>
      <c r="CF32" s="140"/>
      <c r="CG32" s="140"/>
      <c r="CH32" s="140"/>
      <c r="CI32" s="140"/>
      <c r="CJ32" s="140"/>
    </row>
    <row r="33" spans="1:88" ht="15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140"/>
      <c r="BV33" s="140"/>
      <c r="BW33" s="140"/>
      <c r="BX33" s="140"/>
      <c r="BY33" s="140"/>
      <c r="BZ33" s="140"/>
      <c r="CA33" s="140"/>
      <c r="CB33" s="140"/>
      <c r="CC33" s="140"/>
      <c r="CD33" s="140"/>
      <c r="CE33" s="140"/>
      <c r="CF33" s="140"/>
      <c r="CG33" s="140"/>
      <c r="CH33" s="140"/>
      <c r="CI33" s="140"/>
      <c r="CJ33" s="140"/>
    </row>
    <row r="34" spans="1:88" ht="15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140"/>
      <c r="BP34" s="140"/>
      <c r="BQ34" s="140"/>
      <c r="BR34" s="140"/>
      <c r="BS34" s="140"/>
      <c r="BT34" s="140"/>
      <c r="BU34" s="140"/>
      <c r="BV34" s="140"/>
      <c r="BW34" s="140"/>
      <c r="BX34" s="140"/>
      <c r="BY34" s="140"/>
      <c r="BZ34" s="140"/>
      <c r="CA34" s="140"/>
      <c r="CB34" s="140"/>
      <c r="CC34" s="140"/>
      <c r="CD34" s="140"/>
      <c r="CE34" s="140"/>
      <c r="CF34" s="140"/>
      <c r="CG34" s="140"/>
      <c r="CH34" s="140"/>
      <c r="CI34" s="140"/>
      <c r="CJ34" s="140"/>
    </row>
    <row r="35" spans="1:88" ht="15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140"/>
      <c r="BP35" s="140"/>
      <c r="BQ35" s="140"/>
      <c r="BR35" s="140"/>
      <c r="BS35" s="140"/>
      <c r="BT35" s="140"/>
      <c r="BU35" s="140"/>
      <c r="BV35" s="140"/>
      <c r="BW35" s="140"/>
      <c r="BX35" s="140"/>
      <c r="BY35" s="140"/>
      <c r="BZ35" s="140"/>
      <c r="CA35" s="140"/>
      <c r="CB35" s="140"/>
      <c r="CC35" s="140"/>
      <c r="CD35" s="140"/>
      <c r="CE35" s="140"/>
      <c r="CF35" s="140"/>
      <c r="CG35" s="140"/>
      <c r="CH35" s="140"/>
      <c r="CI35" s="140"/>
      <c r="CJ35" s="140"/>
    </row>
    <row r="36" spans="1:88" ht="15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140"/>
      <c r="BP36" s="140"/>
      <c r="BQ36" s="140"/>
      <c r="BR36" s="140"/>
      <c r="BS36" s="140"/>
      <c r="BT36" s="140"/>
      <c r="BU36" s="140"/>
      <c r="BV36" s="140"/>
      <c r="BW36" s="140"/>
      <c r="BX36" s="140"/>
      <c r="BY36" s="140"/>
      <c r="BZ36" s="140"/>
      <c r="CA36" s="140"/>
      <c r="CB36" s="140"/>
      <c r="CC36" s="140"/>
      <c r="CD36" s="140"/>
      <c r="CE36" s="140"/>
      <c r="CF36" s="140"/>
      <c r="CG36" s="140"/>
      <c r="CH36" s="140"/>
      <c r="CI36" s="140"/>
      <c r="CJ36" s="140"/>
    </row>
    <row r="37" spans="1:88" ht="15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</row>
    <row r="38" spans="1:88" ht="15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</row>
    <row r="39" spans="1:88" ht="15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</row>
    <row r="40" spans="1:88" ht="15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140"/>
      <c r="BP40" s="140"/>
      <c r="BQ40" s="140"/>
      <c r="BR40" s="140"/>
      <c r="BS40" s="140"/>
      <c r="BT40" s="140"/>
      <c r="BU40" s="140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140"/>
      <c r="CH40" s="140"/>
      <c r="CI40" s="140"/>
      <c r="CJ40" s="140"/>
    </row>
    <row r="41" spans="1:88" ht="15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140"/>
      <c r="BP41" s="140"/>
      <c r="BQ41" s="140"/>
      <c r="BR41" s="140"/>
      <c r="BS41" s="140"/>
      <c r="BT41" s="140"/>
      <c r="BU41" s="140"/>
      <c r="BV41" s="140"/>
      <c r="BW41" s="140"/>
      <c r="BX41" s="140"/>
      <c r="BY41" s="140"/>
      <c r="BZ41" s="140"/>
      <c r="CA41" s="140"/>
      <c r="CB41" s="140"/>
      <c r="CC41" s="140"/>
      <c r="CD41" s="140"/>
      <c r="CE41" s="140"/>
      <c r="CF41" s="140"/>
      <c r="CG41" s="140"/>
      <c r="CH41" s="140"/>
      <c r="CI41" s="140"/>
      <c r="CJ41" s="140"/>
    </row>
    <row r="42" spans="1:88" ht="15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140"/>
      <c r="BP42" s="140"/>
      <c r="BQ42" s="140"/>
      <c r="BR42" s="140"/>
      <c r="BS42" s="140"/>
      <c r="BT42" s="140"/>
      <c r="BU42" s="140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0"/>
      <c r="CG42" s="140"/>
      <c r="CH42" s="140"/>
      <c r="CI42" s="140"/>
      <c r="CJ42" s="140"/>
    </row>
    <row r="43" spans="1:88" s="3" customFormat="1" ht="15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140"/>
      <c r="BP43" s="140"/>
      <c r="BQ43" s="140"/>
      <c r="BR43" s="140"/>
      <c r="BS43" s="140"/>
      <c r="BT43" s="140"/>
      <c r="BU43" s="140"/>
      <c r="BV43" s="140"/>
      <c r="BW43" s="140"/>
      <c r="BX43" s="140"/>
      <c r="BY43" s="140"/>
      <c r="BZ43" s="140"/>
      <c r="CA43" s="140"/>
      <c r="CB43" s="140"/>
      <c r="CC43" s="140"/>
      <c r="CD43" s="140"/>
      <c r="CE43" s="140"/>
      <c r="CF43" s="140"/>
      <c r="CG43" s="140"/>
      <c r="CH43" s="140"/>
      <c r="CI43" s="140"/>
      <c r="CJ43" s="140"/>
    </row>
    <row r="44" spans="1:88" ht="15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140"/>
      <c r="BP44" s="140"/>
      <c r="BQ44" s="140"/>
      <c r="BR44" s="140"/>
      <c r="BS44" s="140"/>
      <c r="BT44" s="140"/>
      <c r="BU44" s="140"/>
      <c r="BV44" s="140"/>
      <c r="BW44" s="140"/>
      <c r="BX44" s="140"/>
      <c r="BY44" s="140"/>
      <c r="BZ44" s="140"/>
      <c r="CA44" s="140"/>
      <c r="CB44" s="140"/>
      <c r="CC44" s="140"/>
      <c r="CD44" s="140"/>
      <c r="CE44" s="140"/>
      <c r="CF44" s="140"/>
      <c r="CG44" s="140"/>
      <c r="CH44" s="140"/>
      <c r="CI44" s="140"/>
      <c r="CJ44" s="140"/>
    </row>
    <row r="45" spans="1:88" ht="15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140"/>
      <c r="BP45" s="140"/>
      <c r="BQ45" s="140"/>
      <c r="BR45" s="140"/>
      <c r="BS45" s="140"/>
      <c r="BT45" s="140"/>
      <c r="BU45" s="140"/>
      <c r="BV45" s="140"/>
      <c r="BW45" s="140"/>
      <c r="BX45" s="140"/>
      <c r="BY45" s="140"/>
      <c r="BZ45" s="140"/>
      <c r="CA45" s="140"/>
      <c r="CB45" s="140"/>
      <c r="CC45" s="140"/>
      <c r="CD45" s="140"/>
      <c r="CE45" s="140"/>
      <c r="CF45" s="140"/>
      <c r="CG45" s="140"/>
      <c r="CH45" s="140"/>
      <c r="CI45" s="140"/>
      <c r="CJ45" s="140"/>
    </row>
    <row r="46" spans="1:88" ht="15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140"/>
      <c r="BP46" s="140"/>
      <c r="BQ46" s="140"/>
      <c r="BR46" s="140"/>
      <c r="BS46" s="140"/>
      <c r="BT46" s="140"/>
      <c r="BU46" s="140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140"/>
      <c r="CH46" s="140"/>
      <c r="CI46" s="140"/>
      <c r="CJ46" s="140"/>
    </row>
    <row r="47" spans="1:88" ht="15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140"/>
      <c r="BP47" s="140"/>
      <c r="BQ47" s="140"/>
      <c r="BR47" s="140"/>
      <c r="BS47" s="140"/>
      <c r="BT47" s="140"/>
      <c r="BU47" s="140"/>
      <c r="BV47" s="140"/>
      <c r="BW47" s="140"/>
      <c r="BX47" s="140"/>
      <c r="BY47" s="140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</row>
    <row r="48" spans="1:88" ht="15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140"/>
      <c r="BP48" s="140"/>
      <c r="BQ48" s="140"/>
      <c r="BR48" s="140"/>
      <c r="BS48" s="140"/>
      <c r="BT48" s="140"/>
      <c r="BU48" s="140"/>
      <c r="BV48" s="140"/>
      <c r="BW48" s="140"/>
      <c r="BX48" s="140"/>
      <c r="BY48" s="140"/>
      <c r="BZ48" s="140"/>
      <c r="CA48" s="140"/>
      <c r="CB48" s="140"/>
      <c r="CC48" s="140"/>
      <c r="CD48" s="140"/>
      <c r="CE48" s="140"/>
      <c r="CF48" s="140"/>
      <c r="CG48" s="140"/>
      <c r="CH48" s="140"/>
      <c r="CI48" s="140"/>
      <c r="CJ48" s="140"/>
    </row>
    <row r="49" spans="1:88" ht="15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140"/>
      <c r="BP49" s="140"/>
      <c r="BQ49" s="140"/>
      <c r="BR49" s="140"/>
      <c r="BS49" s="140"/>
      <c r="BT49" s="140"/>
      <c r="BU49" s="140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140"/>
      <c r="CH49" s="140"/>
      <c r="CI49" s="140"/>
      <c r="CJ49" s="140"/>
    </row>
    <row r="50" spans="1:88" ht="15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140"/>
      <c r="BP50" s="140"/>
      <c r="BQ50" s="140"/>
      <c r="BR50" s="140"/>
      <c r="BS50" s="140"/>
      <c r="BT50" s="140"/>
      <c r="BU50" s="140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140"/>
      <c r="CH50" s="140"/>
      <c r="CI50" s="140"/>
      <c r="CJ50" s="140"/>
    </row>
    <row r="51" spans="1:88" ht="15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140"/>
      <c r="BP51" s="140"/>
      <c r="BQ51" s="140"/>
      <c r="BR51" s="140"/>
      <c r="BS51" s="140"/>
      <c r="BT51" s="140"/>
      <c r="BU51" s="140"/>
      <c r="BV51" s="140"/>
      <c r="BW51" s="140"/>
      <c r="BX51" s="140"/>
      <c r="BY51" s="140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</row>
    <row r="52" spans="1:88" ht="15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140"/>
      <c r="BV52" s="140"/>
      <c r="BW52" s="140"/>
      <c r="BX52" s="140"/>
      <c r="BY52" s="140"/>
      <c r="BZ52" s="140"/>
      <c r="CA52" s="140"/>
      <c r="CB52" s="140"/>
      <c r="CC52" s="140"/>
      <c r="CD52" s="140"/>
      <c r="CE52" s="140"/>
      <c r="CF52" s="140"/>
      <c r="CG52" s="140"/>
      <c r="CH52" s="140"/>
      <c r="CI52" s="140"/>
      <c r="CJ52" s="140"/>
    </row>
    <row r="53" spans="1:88" s="3" customFormat="1" ht="15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140"/>
      <c r="BP53" s="140"/>
      <c r="BQ53" s="140"/>
      <c r="BR53" s="140"/>
      <c r="BS53" s="140"/>
      <c r="BT53" s="140"/>
      <c r="BU53" s="140"/>
      <c r="BV53" s="140"/>
      <c r="BW53" s="140"/>
      <c r="BX53" s="140"/>
      <c r="BY53" s="140"/>
      <c r="BZ53" s="140"/>
      <c r="CA53" s="140"/>
      <c r="CB53" s="140"/>
      <c r="CC53" s="140"/>
      <c r="CD53" s="140"/>
      <c r="CE53" s="140"/>
      <c r="CF53" s="140"/>
      <c r="CG53" s="140"/>
      <c r="CH53" s="140"/>
      <c r="CI53" s="140"/>
      <c r="CJ53" s="140"/>
    </row>
    <row r="54" spans="1:88" s="3" customFormat="1" ht="13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140"/>
      <c r="BP54" s="140"/>
      <c r="BQ54" s="140"/>
      <c r="BR54" s="140"/>
      <c r="BS54" s="140"/>
      <c r="BT54" s="140"/>
      <c r="BU54" s="140"/>
      <c r="BV54" s="140"/>
      <c r="BW54" s="140"/>
      <c r="BX54" s="140"/>
      <c r="BY54" s="140"/>
      <c r="BZ54" s="140"/>
      <c r="CA54" s="140"/>
      <c r="CB54" s="140"/>
      <c r="CC54" s="140"/>
      <c r="CD54" s="140"/>
      <c r="CE54" s="140"/>
      <c r="CF54" s="140"/>
      <c r="CG54" s="140"/>
      <c r="CH54" s="140"/>
      <c r="CI54" s="140"/>
      <c r="CJ54" s="140"/>
    </row>
    <row r="55" spans="1:88" s="3" customFormat="1" ht="13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140"/>
      <c r="BP55" s="140"/>
      <c r="BQ55" s="140"/>
      <c r="BR55" s="140"/>
      <c r="BS55" s="140"/>
      <c r="BT55" s="140"/>
      <c r="BU55" s="140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</row>
    <row r="56" spans="1:88" s="3" customFormat="1" ht="13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140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140"/>
      <c r="CH56" s="140"/>
      <c r="CI56" s="140"/>
      <c r="CJ56" s="140"/>
    </row>
    <row r="57" spans="1:88" s="3" customFormat="1" ht="13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140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140"/>
      <c r="CH57" s="140"/>
      <c r="CI57" s="140"/>
      <c r="CJ57" s="140"/>
    </row>
    <row r="58" spans="1:88" s="3" customFormat="1" ht="13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140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140"/>
      <c r="CH58" s="140"/>
      <c r="CI58" s="140"/>
      <c r="CJ58" s="140"/>
    </row>
    <row r="59" spans="1:88" s="3" customFormat="1" ht="13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140"/>
      <c r="BV59" s="140"/>
      <c r="BW59" s="140"/>
      <c r="BX59" s="140"/>
      <c r="BY59" s="140"/>
      <c r="BZ59" s="140"/>
      <c r="CA59" s="140"/>
      <c r="CB59" s="140"/>
      <c r="CC59" s="140"/>
      <c r="CD59" s="140"/>
      <c r="CE59" s="140"/>
      <c r="CF59" s="140"/>
      <c r="CG59" s="140"/>
      <c r="CH59" s="140"/>
      <c r="CI59" s="140"/>
      <c r="CJ59" s="140"/>
    </row>
    <row r="60" spans="1:88" s="3" customFormat="1" ht="13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140"/>
      <c r="BP60" s="140"/>
      <c r="BQ60" s="140"/>
      <c r="BR60" s="140"/>
      <c r="BS60" s="140"/>
      <c r="BT60" s="140"/>
      <c r="BU60" s="140"/>
      <c r="BV60" s="140"/>
      <c r="BW60" s="140"/>
      <c r="BX60" s="140"/>
      <c r="BY60" s="140"/>
      <c r="BZ60" s="140"/>
      <c r="CA60" s="140"/>
      <c r="CB60" s="140"/>
      <c r="CC60" s="140"/>
      <c r="CD60" s="140"/>
      <c r="CE60" s="140"/>
      <c r="CF60" s="140"/>
      <c r="CG60" s="140"/>
      <c r="CH60" s="140"/>
      <c r="CI60" s="140"/>
      <c r="CJ60" s="140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2"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  <mergeCell ref="AJ18:AP18"/>
    <mergeCell ref="C14:I14"/>
    <mergeCell ref="K14:Q14"/>
    <mergeCell ref="S14:Y14"/>
    <mergeCell ref="G16:M16"/>
    <mergeCell ref="O16:U16"/>
    <mergeCell ref="BB12:BR12"/>
    <mergeCell ref="BO7:BQ9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C26:K26"/>
    <mergeCell ref="C28:P28"/>
    <mergeCell ref="R28:X28"/>
    <mergeCell ref="Z28:AF28"/>
    <mergeCell ref="AH28:AN2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D7" sqref="A2:Q9"/>
    </sheetView>
    <sheetView tabSelected="1" workbookViewId="1"/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t="12" customHeight="1">
      <c r="A2" s="82"/>
      <c r="B2"/>
      <c r="C2"/>
      <c r="D2"/>
      <c r="E2"/>
      <c r="F2"/>
      <c r="G2"/>
      <c r="H2"/>
      <c r="I2" s="287"/>
      <c r="J2"/>
      <c r="K2"/>
      <c r="L2" s="286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02C5F940-17FB-2C44-B5E9-ECE2231D60C8}">
      <formula1>LISTE_MT_JOURNAL</formula1>
    </dataValidation>
    <dataValidation type="list" allowBlank="1" showErrorMessage="1" sqref="C2" xr:uid="{71336D98-3CE9-FF42-9A8D-EE37C00B1BF7}">
      <formula1>LISTE_JOUEURS_JOURNAL</formula1>
    </dataValidation>
    <dataValidation type="list" allowBlank="1" showErrorMessage="1" sqref="E2" xr:uid="{F739D38A-4567-8D4C-A925-E39E66EE2BB9}">
      <formula1>LISTE_ACTIONS_JOURNAL</formula1>
    </dataValidation>
    <dataValidation type="list" allowBlank="1" showErrorMessage="1" sqref="G2" xr:uid="{07936E98-7A0C-B945-9655-F8F4DEBD6607}">
      <formula1>LISTE_EQUIPES_JOURNAL</formula1>
    </dataValidation>
    <dataValidation type="list" allowBlank="1" showErrorMessage="1" sqref="F2" xr:uid="{617B878E-AD76-E649-AE94-DB04A81E8B0C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C32" workbookViewId="0">
      <selection activeCell="M78" sqref="M78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35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7"/>
    </row>
    <row r="4" spans="2:37" s="3" customFormat="1" ht="20" customHeight="1">
      <c r="B4" s="238"/>
      <c r="C4" s="239"/>
      <c r="D4" s="239"/>
      <c r="E4" s="239"/>
      <c r="F4" s="239"/>
      <c r="G4" s="239"/>
      <c r="H4" s="239"/>
      <c r="I4" s="239"/>
      <c r="J4" s="239"/>
      <c r="K4" s="239"/>
      <c r="L4" s="239"/>
      <c r="M4" s="239"/>
      <c r="N4" s="239"/>
      <c r="O4" s="239"/>
      <c r="P4" s="239"/>
      <c r="Q4" s="239"/>
      <c r="R4" s="239"/>
      <c r="S4" s="239"/>
      <c r="T4" s="240"/>
    </row>
    <row r="5" spans="2:37" s="3" customFormat="1"/>
    <row r="6" spans="2:37" ht="14" customHeight="1">
      <c r="B6" s="231" t="s">
        <v>14</v>
      </c>
      <c r="C6" s="205" t="str">
        <f>ACT_PL_NORMAL</f>
        <v>Plaquage normal</v>
      </c>
      <c r="D6" s="203"/>
      <c r="E6" s="205" t="str">
        <f>ACT_PL_OFF</f>
        <v>Plaquage offensif</v>
      </c>
      <c r="F6" s="203"/>
      <c r="G6" s="205" t="str">
        <f>ACT_PL_RATE</f>
        <v>Plaquage raté</v>
      </c>
      <c r="H6" s="203"/>
      <c r="I6" s="205" t="str">
        <f>ACT_PL_A2</f>
        <v>Plaquage à 2</v>
      </c>
      <c r="J6" s="217"/>
      <c r="K6" s="217" t="str">
        <f>ACT_PL_HAUT</f>
        <v>Plaquage haut</v>
      </c>
      <c r="L6" s="203"/>
      <c r="M6" s="217" t="str">
        <f>ACT_GRATTAGE</f>
        <v>Grattage</v>
      </c>
      <c r="N6" s="203"/>
      <c r="O6" s="217" t="str">
        <f>ACT_FRANCHISSEMENT</f>
        <v>Franchissement</v>
      </c>
      <c r="P6" s="203"/>
      <c r="Q6" s="217" t="str">
        <f>ACT_AVANCEE</f>
        <v>Avancée au contact</v>
      </c>
      <c r="R6" s="203"/>
      <c r="S6" s="217" t="str">
        <f>ACT_ATT_NULLE</f>
        <v>Recul ou sans progression</v>
      </c>
      <c r="T6" s="203"/>
      <c r="U6" s="206" t="s">
        <v>232</v>
      </c>
      <c r="V6" s="207"/>
      <c r="W6" s="207"/>
      <c r="X6" s="207"/>
      <c r="Y6" s="207"/>
      <c r="Z6" s="208"/>
      <c r="AF6"/>
      <c r="AG6"/>
    </row>
    <row r="7" spans="2:37" ht="13" customHeight="1">
      <c r="B7" s="232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09">
        <f t="shared" si="0"/>
        <v>0</v>
      </c>
      <c r="V32" s="209">
        <f t="shared" si="0"/>
        <v>0</v>
      </c>
      <c r="W32" s="209">
        <f t="shared" si="0"/>
        <v>0</v>
      </c>
      <c r="X32" s="209">
        <f t="shared" si="0"/>
        <v>0</v>
      </c>
      <c r="Y32" s="209">
        <f t="shared" si="0"/>
        <v>0</v>
      </c>
      <c r="Z32" s="209">
        <f t="shared" si="0"/>
        <v>0</v>
      </c>
    </row>
    <row r="33" spans="2:33" s="41" customFormat="1" ht="25" customHeight="1">
      <c r="B33" s="55" t="s">
        <v>176</v>
      </c>
      <c r="C33" s="213">
        <f>C32+D32</f>
        <v>0</v>
      </c>
      <c r="D33" s="214"/>
      <c r="E33" s="215">
        <f t="shared" ref="E33" si="3">E32+F32</f>
        <v>0</v>
      </c>
      <c r="F33" s="215"/>
      <c r="G33" s="213">
        <f t="shared" ref="G33" si="4">G32+H32</f>
        <v>0</v>
      </c>
      <c r="H33" s="214"/>
      <c r="I33" s="213">
        <f>I32+J32</f>
        <v>0</v>
      </c>
      <c r="J33" s="214"/>
      <c r="K33" s="213">
        <f t="shared" ref="K33" si="5">K32+L32</f>
        <v>0</v>
      </c>
      <c r="L33" s="214"/>
      <c r="M33" s="215">
        <f t="shared" ref="M33" si="6">M32+N32</f>
        <v>0</v>
      </c>
      <c r="N33" s="214"/>
      <c r="O33" s="215">
        <f t="shared" ref="O33" si="7">O32+P32</f>
        <v>0</v>
      </c>
      <c r="P33" s="214"/>
      <c r="Q33" s="215">
        <f t="shared" ref="Q33" si="8">Q32+R32</f>
        <v>0</v>
      </c>
      <c r="R33" s="214"/>
      <c r="S33" s="215">
        <f t="shared" ref="S33" si="9">S32+T32</f>
        <v>0</v>
      </c>
      <c r="T33" s="214"/>
      <c r="U33" s="210"/>
      <c r="V33" s="210"/>
      <c r="W33" s="210"/>
      <c r="X33" s="210"/>
      <c r="Y33" s="210"/>
      <c r="Z33" s="210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07" t="s">
        <v>144</v>
      </c>
      <c r="E36" s="57" t="s">
        <v>474</v>
      </c>
      <c r="F36" s="3"/>
      <c r="G36" s="205" t="s">
        <v>171</v>
      </c>
      <c r="H36" s="203"/>
      <c r="I36" s="3"/>
      <c r="J36" s="3"/>
      <c r="K36" s="3"/>
      <c r="L36" s="205" t="s">
        <v>28</v>
      </c>
      <c r="M36" s="205" t="s">
        <v>147</v>
      </c>
      <c r="N36" s="217"/>
      <c r="O36" s="203"/>
      <c r="P36" s="203" t="s">
        <v>172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3"/>
      <c r="K37" s="3"/>
      <c r="L37" s="216"/>
      <c r="M37" s="70" t="s">
        <v>153</v>
      </c>
      <c r="N37" s="66" t="s">
        <v>170</v>
      </c>
      <c r="O37" s="71" t="s">
        <v>32</v>
      </c>
      <c r="P37" s="204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07" t="s">
        <v>144</v>
      </c>
      <c r="E40" s="57" t="s">
        <v>474</v>
      </c>
      <c r="F40" s="3"/>
      <c r="G40" s="205" t="s">
        <v>149</v>
      </c>
      <c r="H40" s="20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172</v>
      </c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11" t="s">
        <v>1</v>
      </c>
      <c r="M42" s="212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20" t="s">
        <v>2</v>
      </c>
      <c r="M43" s="221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153" t="s">
        <v>592</v>
      </c>
      <c r="H44" s="157" t="s">
        <v>47</v>
      </c>
      <c r="I44" s="152" t="s">
        <v>593</v>
      </c>
      <c r="J44" s="159" t="s">
        <v>237</v>
      </c>
      <c r="K44" s="3"/>
      <c r="L44" s="211" t="s">
        <v>3</v>
      </c>
      <c r="M44" s="212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4">
        <v>0</v>
      </c>
      <c r="I45" s="77">
        <v>0</v>
      </c>
      <c r="J45" s="77">
        <v>0</v>
      </c>
      <c r="K45" s="3"/>
      <c r="L45" s="220" t="s">
        <v>4</v>
      </c>
      <c r="M45" s="221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5">
        <v>0</v>
      </c>
      <c r="I46" s="78">
        <v>0</v>
      </c>
      <c r="J46" s="78">
        <v>2.7671493055555531E-5</v>
      </c>
      <c r="K46" s="3"/>
      <c r="L46" s="211" t="s">
        <v>5</v>
      </c>
      <c r="M46" s="212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8" t="s">
        <v>237</v>
      </c>
      <c r="H47" s="156">
        <v>0</v>
      </c>
      <c r="I47" s="79">
        <v>0</v>
      </c>
      <c r="J47" s="79">
        <v>2.7671493055555531E-5</v>
      </c>
      <c r="K47" s="3"/>
      <c r="L47" s="220" t="s">
        <v>167</v>
      </c>
      <c r="M47" s="221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35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6" s="236"/>
      <c r="D56" s="236"/>
      <c r="E56" s="236"/>
      <c r="F56" s="236"/>
      <c r="G56" s="236"/>
      <c r="H56" s="236"/>
      <c r="I56" s="236"/>
      <c r="J56" s="236"/>
      <c r="K56" s="237"/>
      <c r="L56" s="127"/>
      <c r="M56" s="127"/>
      <c r="N56" s="127"/>
      <c r="O56" s="127"/>
      <c r="P56" s="127"/>
      <c r="Q56" s="127"/>
      <c r="R56" s="127"/>
      <c r="S56" s="127"/>
      <c r="T56" s="127"/>
    </row>
    <row r="57" spans="2:20" s="3" customFormat="1" ht="13" customHeight="1">
      <c r="B57" s="238"/>
      <c r="C57" s="239"/>
      <c r="D57" s="239"/>
      <c r="E57" s="239"/>
      <c r="F57" s="239"/>
      <c r="G57" s="239"/>
      <c r="H57" s="239"/>
      <c r="I57" s="239"/>
      <c r="J57" s="239"/>
      <c r="K57" s="240"/>
      <c r="L57" s="127"/>
      <c r="M57" s="127"/>
      <c r="N57" s="127"/>
      <c r="O57" s="127"/>
      <c r="P57" s="127"/>
      <c r="Q57" s="127"/>
      <c r="R57" s="127"/>
      <c r="S57" s="127"/>
      <c r="T57" s="127"/>
    </row>
    <row r="58" spans="2:20" s="3" customFormat="1" ht="14" thickBot="1"/>
    <row r="59" spans="2:20" s="3" customFormat="1">
      <c r="B59" s="222" t="s">
        <v>235</v>
      </c>
      <c r="C59" s="223"/>
      <c r="D59" s="223"/>
      <c r="E59" s="223"/>
      <c r="F59" s="223"/>
      <c r="G59" s="223"/>
      <c r="H59" s="223"/>
      <c r="I59" s="223"/>
      <c r="J59" s="223"/>
      <c r="K59" s="224"/>
    </row>
    <row r="60" spans="2:20" s="3" customFormat="1">
      <c r="B60" s="225"/>
      <c r="C60" s="226"/>
      <c r="D60" s="226"/>
      <c r="E60" s="226"/>
      <c r="F60" s="226"/>
      <c r="G60" s="226"/>
      <c r="H60" s="226"/>
      <c r="I60" s="226"/>
      <c r="J60" s="226"/>
      <c r="K60" s="227"/>
    </row>
    <row r="61" spans="2:20" s="3" customFormat="1" ht="14" thickBot="1">
      <c r="B61" s="228"/>
      <c r="C61" s="229"/>
      <c r="D61" s="229"/>
      <c r="E61" s="229"/>
      <c r="F61" s="229"/>
      <c r="G61" s="229"/>
      <c r="H61" s="229"/>
      <c r="I61" s="229"/>
      <c r="J61" s="229"/>
      <c r="K61" s="230"/>
    </row>
    <row r="62" spans="2:20" s="3" customFormat="1"/>
    <row r="63" spans="2:20" s="3" customFormat="1" ht="14">
      <c r="B63" s="231" t="s">
        <v>14</v>
      </c>
      <c r="C63" s="205" t="str">
        <f>ACT_TO_NS_G</f>
        <v>Touche à nous conservée</v>
      </c>
      <c r="D63" s="203"/>
      <c r="E63" s="205" t="str">
        <f>ACT_TO_ADV_VOLEE</f>
        <v>Touche à eux volée</v>
      </c>
      <c r="F63" s="203"/>
      <c r="H63" s="233" t="str">
        <f>ACT_TO_NS_P</f>
        <v>Touche à nous perdue</v>
      </c>
      <c r="I63" s="234"/>
      <c r="J63" s="233" t="str">
        <f>ACT_TO_NS_PAS_DROIT</f>
        <v>Touche à nous pas droite</v>
      </c>
      <c r="K63" s="234"/>
    </row>
    <row r="64" spans="2:20" s="3" customFormat="1" ht="14">
      <c r="B64" s="232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176</v>
      </c>
      <c r="C90" s="213">
        <f>C89+D89</f>
        <v>0</v>
      </c>
      <c r="D90" s="214"/>
      <c r="E90" s="213">
        <f>E89+F89</f>
        <v>0</v>
      </c>
      <c r="F90" s="214"/>
      <c r="H90" s="218">
        <f>H89+I89</f>
        <v>0</v>
      </c>
      <c r="I90" s="219"/>
      <c r="J90" s="218">
        <f>J89+K89</f>
        <v>0</v>
      </c>
      <c r="K90" s="219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8" t="s">
        <v>390</v>
      </c>
      <c r="C94" s="129" t="s">
        <v>47</v>
      </c>
      <c r="D94" s="130" t="s">
        <v>113</v>
      </c>
      <c r="F94" s="243" t="s">
        <v>391</v>
      </c>
      <c r="G94" s="244"/>
      <c r="H94" s="129" t="s">
        <v>46</v>
      </c>
      <c r="I94" s="129" t="s">
        <v>44</v>
      </c>
      <c r="J94" s="136" t="s">
        <v>237</v>
      </c>
    </row>
    <row r="95" spans="2:11" s="3" customFormat="1" ht="16">
      <c r="B95" s="131" t="s">
        <v>238</v>
      </c>
      <c r="C95" s="81">
        <v>0</v>
      </c>
      <c r="D95" s="132">
        <v>0</v>
      </c>
      <c r="F95" s="241" t="s">
        <v>238</v>
      </c>
      <c r="G95" s="242"/>
      <c r="H95" s="81">
        <v>0</v>
      </c>
      <c r="I95" s="81">
        <v>0</v>
      </c>
      <c r="J95" s="137">
        <v>0</v>
      </c>
    </row>
    <row r="96" spans="2:11" s="3" customFormat="1" ht="16">
      <c r="B96" s="131" t="s">
        <v>239</v>
      </c>
      <c r="C96" s="81">
        <v>0</v>
      </c>
      <c r="D96" s="132">
        <v>0</v>
      </c>
      <c r="F96" s="241" t="s">
        <v>239</v>
      </c>
      <c r="G96" s="242"/>
      <c r="H96" s="81">
        <v>0</v>
      </c>
      <c r="I96" s="81">
        <v>0</v>
      </c>
      <c r="J96" s="137">
        <v>0</v>
      </c>
    </row>
    <row r="97" spans="2:10" s="3" customFormat="1" ht="16">
      <c r="B97" s="131" t="s">
        <v>240</v>
      </c>
      <c r="C97" s="81">
        <v>0</v>
      </c>
      <c r="D97" s="132">
        <v>0</v>
      </c>
      <c r="F97" s="241" t="s">
        <v>240</v>
      </c>
      <c r="G97" s="242"/>
      <c r="H97" s="81">
        <v>0</v>
      </c>
      <c r="I97" s="81">
        <v>0</v>
      </c>
      <c r="J97" s="137">
        <v>0</v>
      </c>
    </row>
    <row r="98" spans="2:10" s="3" customFormat="1" ht="16">
      <c r="B98" s="131" t="s">
        <v>241</v>
      </c>
      <c r="C98" s="81">
        <v>0</v>
      </c>
      <c r="D98" s="132">
        <v>0</v>
      </c>
      <c r="F98" s="241" t="s">
        <v>241</v>
      </c>
      <c r="G98" s="242"/>
      <c r="H98" s="81">
        <v>0</v>
      </c>
      <c r="I98" s="81">
        <v>0</v>
      </c>
      <c r="J98" s="137">
        <v>0</v>
      </c>
    </row>
    <row r="99" spans="2:10" s="3" customFormat="1" ht="17" thickBot="1">
      <c r="B99" s="133" t="s">
        <v>242</v>
      </c>
      <c r="C99" s="134">
        <v>0</v>
      </c>
      <c r="D99" s="135">
        <v>0</v>
      </c>
      <c r="F99" s="241" t="s">
        <v>392</v>
      </c>
      <c r="G99" s="242"/>
      <c r="H99" s="81">
        <v>0</v>
      </c>
      <c r="I99" s="81">
        <v>0</v>
      </c>
      <c r="J99" s="137">
        <v>0</v>
      </c>
    </row>
    <row r="100" spans="2:10" s="3" customFormat="1" ht="16">
      <c r="F100" s="241" t="s">
        <v>393</v>
      </c>
      <c r="G100" s="242"/>
      <c r="H100" s="81">
        <v>0</v>
      </c>
      <c r="I100" s="81">
        <v>0</v>
      </c>
      <c r="J100" s="137">
        <v>0</v>
      </c>
    </row>
    <row r="101" spans="2:10" s="3" customFormat="1" ht="16">
      <c r="F101" s="241" t="s">
        <v>394</v>
      </c>
      <c r="G101" s="242"/>
      <c r="H101" s="81">
        <v>0</v>
      </c>
      <c r="I101" s="81">
        <v>0</v>
      </c>
      <c r="J101" s="137">
        <v>0</v>
      </c>
    </row>
    <row r="102" spans="2:10" s="3" customFormat="1" ht="17" thickBot="1">
      <c r="F102" s="245" t="s">
        <v>395</v>
      </c>
      <c r="G102" s="246"/>
      <c r="H102" s="134">
        <v>0</v>
      </c>
      <c r="I102" s="134">
        <v>0</v>
      </c>
      <c r="J102" s="138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G36:H36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33" priority="6" stopIfTrue="1">
      <formula>ISEVEN(ROW())</formula>
    </cfRule>
  </conditionalFormatting>
  <conditionalFormatting sqref="B65:B88">
    <cfRule type="expression" dxfId="32" priority="5" stopIfTrue="1">
      <formula>ISEVEN(ROW())</formula>
    </cfRule>
  </conditionalFormatting>
  <conditionalFormatting sqref="C65:D88">
    <cfRule type="expression" dxfId="31" priority="4" stopIfTrue="1">
      <formula>ISEVEN(ROW())</formula>
    </cfRule>
  </conditionalFormatting>
  <conditionalFormatting sqref="H65:I88">
    <cfRule type="expression" dxfId="30" priority="3" stopIfTrue="1">
      <formula>ISEVEN(ROW())</formula>
    </cfRule>
  </conditionalFormatting>
  <conditionalFormatting sqref="J65:K88">
    <cfRule type="expression" dxfId="29" priority="2" stopIfTrue="1">
      <formula>ISEVEN(ROW())</formula>
    </cfRule>
  </conditionalFormatting>
  <conditionalFormatting sqref="E65:F88">
    <cfRule type="expression" dxfId="2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6"/>
  <sheetViews>
    <sheetView tabSelected="1" workbookViewId="0">
      <selection activeCell="D13" sqref="D13"/>
    </sheetView>
    <sheetView workbookViewId="1"/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445</v>
      </c>
      <c r="W1" t="s">
        <v>413</v>
      </c>
      <c r="X1" t="s">
        <v>416</v>
      </c>
      <c r="Y1" t="s">
        <v>420</v>
      </c>
      <c r="Z1" t="s">
        <v>421</v>
      </c>
      <c r="AA1" t="s">
        <v>427</v>
      </c>
      <c r="AB1" t="s">
        <v>430</v>
      </c>
      <c r="AC1" t="s">
        <v>439</v>
      </c>
      <c r="AD1" t="s">
        <v>441</v>
      </c>
      <c r="AE1" t="s">
        <v>461</v>
      </c>
      <c r="AF1" t="s">
        <v>470</v>
      </c>
    </row>
    <row r="2" spans="1:32">
      <c r="A2" t="s">
        <v>446</v>
      </c>
      <c r="B2" t="s">
        <v>7</v>
      </c>
      <c r="C2" t="s">
        <v>447</v>
      </c>
      <c r="D2" t="s">
        <v>448</v>
      </c>
      <c r="E2" t="s">
        <v>449</v>
      </c>
      <c r="F2" t="s">
        <v>450</v>
      </c>
      <c r="G2" t="s">
        <v>451</v>
      </c>
      <c r="H2" t="s">
        <v>452</v>
      </c>
      <c r="I2" t="s">
        <v>453</v>
      </c>
      <c r="J2" t="s">
        <v>454</v>
      </c>
      <c r="W2" t="s">
        <v>414</v>
      </c>
      <c r="X2" t="s">
        <v>417</v>
      </c>
      <c r="Y2" t="s">
        <v>417</v>
      </c>
      <c r="Z2" t="s">
        <v>422</v>
      </c>
      <c r="AA2" t="s">
        <v>428</v>
      </c>
      <c r="AB2" t="s">
        <v>431</v>
      </c>
      <c r="AC2">
        <v>2</v>
      </c>
      <c r="AD2" t="s">
        <v>442</v>
      </c>
      <c r="AE2" t="s">
        <v>462</v>
      </c>
      <c r="AF2" t="s">
        <v>471</v>
      </c>
    </row>
    <row r="3" spans="1:32">
      <c r="A3" s="82"/>
      <c r="W3" t="s">
        <v>415</v>
      </c>
      <c r="X3" t="s">
        <v>418</v>
      </c>
      <c r="Y3" t="s">
        <v>418</v>
      </c>
      <c r="Z3" t="s">
        <v>423</v>
      </c>
      <c r="AA3" t="s">
        <v>429</v>
      </c>
      <c r="AB3" t="s">
        <v>432</v>
      </c>
      <c r="AC3">
        <v>3</v>
      </c>
      <c r="AD3" t="s">
        <v>443</v>
      </c>
      <c r="AE3" s="99" t="s">
        <v>170</v>
      </c>
      <c r="AF3" t="s">
        <v>472</v>
      </c>
    </row>
    <row r="4" spans="1:32">
      <c r="A4" s="82"/>
      <c r="X4" t="s">
        <v>419</v>
      </c>
      <c r="Z4" t="s">
        <v>424</v>
      </c>
      <c r="AB4" t="s">
        <v>433</v>
      </c>
      <c r="AC4">
        <v>4</v>
      </c>
      <c r="AD4" t="s">
        <v>444</v>
      </c>
      <c r="AE4" t="s">
        <v>463</v>
      </c>
    </row>
    <row r="5" spans="1:32">
      <c r="A5" s="110" t="s">
        <v>222</v>
      </c>
      <c r="B5" s="111" t="s">
        <v>211</v>
      </c>
      <c r="C5" s="111" t="s">
        <v>144</v>
      </c>
      <c r="D5" s="111" t="s">
        <v>474</v>
      </c>
      <c r="Z5" t="s">
        <v>425</v>
      </c>
      <c r="AB5" t="s">
        <v>434</v>
      </c>
      <c r="AC5">
        <v>5</v>
      </c>
    </row>
    <row r="6" spans="1:32">
      <c r="A6" s="112" t="s">
        <v>142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  <c r="Z6" t="s">
        <v>426</v>
      </c>
      <c r="AB6" t="s">
        <v>435</v>
      </c>
      <c r="AC6">
        <v>6</v>
      </c>
    </row>
    <row r="7" spans="1:32">
      <c r="A7" s="108" t="s">
        <v>173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  <c r="AB7" t="s">
        <v>436</v>
      </c>
      <c r="AC7" t="s">
        <v>440</v>
      </c>
    </row>
    <row r="8" spans="1:32">
      <c r="AB8" t="s">
        <v>437</v>
      </c>
    </row>
    <row r="9" spans="1:32">
      <c r="AB9" t="s">
        <v>438</v>
      </c>
    </row>
    <row r="17" spans="1:10" ht="18">
      <c r="A17" s="98" t="s">
        <v>455</v>
      </c>
    </row>
    <row r="18" spans="1:10">
      <c r="A18" t="s">
        <v>446</v>
      </c>
      <c r="B18" t="s">
        <v>7</v>
      </c>
      <c r="C18" t="s">
        <v>473</v>
      </c>
      <c r="D18" t="s">
        <v>448</v>
      </c>
      <c r="E18" t="s">
        <v>456</v>
      </c>
      <c r="F18" t="s">
        <v>457</v>
      </c>
      <c r="G18" t="s">
        <v>458</v>
      </c>
      <c r="H18" t="s">
        <v>459</v>
      </c>
      <c r="I18" t="s">
        <v>460</v>
      </c>
      <c r="J18" t="s">
        <v>454</v>
      </c>
    </row>
    <row r="19" spans="1:10">
      <c r="A19" s="82"/>
      <c r="G19" s="96"/>
      <c r="H19" s="96"/>
      <c r="I19" s="96"/>
    </row>
    <row r="20" spans="1:10">
      <c r="A20" s="82"/>
      <c r="G20" s="96"/>
      <c r="H20" s="96"/>
      <c r="I20" s="96"/>
    </row>
    <row r="21" spans="1:10">
      <c r="A21" s="114" t="s">
        <v>475</v>
      </c>
      <c r="B21" s="115" t="s">
        <v>211</v>
      </c>
      <c r="C21" s="115" t="s">
        <v>144</v>
      </c>
      <c r="G21" s="96"/>
      <c r="H21" s="96"/>
      <c r="I21" s="96"/>
    </row>
    <row r="22" spans="1:10">
      <c r="A22" s="116" t="s">
        <v>142</v>
      </c>
      <c r="B22" s="117">
        <f>COUNTIFS(DetailMelees[Introduction pour],"N",DetailMelees[Issue],"G")</f>
        <v>0</v>
      </c>
      <c r="C22" s="117">
        <f>COUNTIFS(DetailMelees[Introduction pour],"N",DetailMelees[Issue],"P")</f>
        <v>0</v>
      </c>
      <c r="G22" s="96"/>
      <c r="H22" s="96"/>
      <c r="I22" s="96"/>
    </row>
    <row r="23" spans="1:10">
      <c r="A23" s="108" t="s">
        <v>173</v>
      </c>
      <c r="B23" s="109">
        <f>COUNTIFS(DetailMelees[Introduction pour],"E",DetailMelees[Issue],"P")</f>
        <v>0</v>
      </c>
      <c r="C23" s="109">
        <f>COUNTIFS(DetailMelees[Introduction pour],"E",DetailMelees[Issue],"G")</f>
        <v>0</v>
      </c>
      <c r="G23" s="96"/>
      <c r="H23" s="96"/>
      <c r="I23" s="96"/>
    </row>
    <row r="24" spans="1:10">
      <c r="G24" s="96"/>
      <c r="H24" s="96"/>
      <c r="I24" s="96"/>
    </row>
    <row r="25" spans="1:10">
      <c r="A25" s="247" t="s">
        <v>518</v>
      </c>
      <c r="B25" s="247"/>
    </row>
    <row r="26" spans="1:10">
      <c r="A26" s="247"/>
      <c r="B26" s="247"/>
    </row>
  </sheetData>
  <mergeCells count="1">
    <mergeCell ref="A25:B26"/>
  </mergeCells>
  <conditionalFormatting sqref="D3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3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19">
    <cfRule type="expression" dxfId="3" priority="7" stopIfTrue="1">
      <formula>($C19&amp;$D19)="NP"</formula>
    </cfRule>
    <cfRule type="expression" dxfId="2" priority="8" stopIfTrue="1">
      <formula>($C19&amp;$D19)="EG"</formula>
    </cfRule>
  </conditionalFormatting>
  <conditionalFormatting sqref="A19:J19">
    <cfRule type="expression" dxfId="1" priority="9" stopIfTrue="1">
      <formula>$C19="N"</formula>
    </cfRule>
    <cfRule type="expression" dxfId="0" priority="10" stopIfTrue="1">
      <formula>$C19&lt;&gt;""</formula>
    </cfRule>
  </conditionalFormatting>
  <dataValidations count="2">
    <dataValidation type="list" allowBlank="1" showInputMessage="1" showErrorMessage="1" sqref="E24" xr:uid="{64A4C253-AEB6-0746-8088-408393901E28}">
      <formula1>$AB$2:$AB$9</formula1>
    </dataValidation>
    <dataValidation type="list" allowBlank="1" showInputMessage="1" showErrorMessage="1" sqref="F24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484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26" t="s">
        <v>481</v>
      </c>
      <c r="N2" t="s">
        <v>153</v>
      </c>
      <c r="Q2" s="18" t="s">
        <v>78</v>
      </c>
      <c r="R2" s="18" t="s">
        <v>8</v>
      </c>
      <c r="AA2" t="s">
        <v>481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26" t="s">
        <v>493</v>
      </c>
      <c r="N3" t="s">
        <v>169</v>
      </c>
      <c r="Q3" s="21" t="s">
        <v>79</v>
      </c>
      <c r="R3" s="21" t="s">
        <v>57</v>
      </c>
      <c r="AA3" t="s">
        <v>496</v>
      </c>
    </row>
    <row r="4" spans="1:27" ht="30" customHeight="1">
      <c r="C4" s="19" t="s">
        <v>189</v>
      </c>
      <c r="D4" s="19"/>
      <c r="F4" s="17" t="s">
        <v>102</v>
      </c>
      <c r="G4" s="5"/>
      <c r="K4" s="126" t="s">
        <v>483</v>
      </c>
      <c r="Q4" s="18" t="s">
        <v>80</v>
      </c>
      <c r="R4" s="18" t="s">
        <v>9</v>
      </c>
      <c r="AA4" t="s">
        <v>485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6" t="s">
        <v>510</v>
      </c>
      <c r="Q5" s="21" t="s">
        <v>81</v>
      </c>
      <c r="R5" s="21" t="s">
        <v>82</v>
      </c>
      <c r="AA5" t="s">
        <v>483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26" t="s">
        <v>484</v>
      </c>
      <c r="Q6" s="18" t="s">
        <v>83</v>
      </c>
      <c r="R6" s="18" t="s">
        <v>84</v>
      </c>
      <c r="AA6" t="s">
        <v>494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26" t="s">
        <v>511</v>
      </c>
      <c r="Q7" s="21" t="s">
        <v>85</v>
      </c>
      <c r="R7" s="21" t="s">
        <v>60</v>
      </c>
      <c r="AA7" t="s">
        <v>488</v>
      </c>
    </row>
    <row r="8" spans="1:27" ht="30" customHeight="1">
      <c r="C8" s="19" t="s">
        <v>191</v>
      </c>
      <c r="D8" s="19"/>
      <c r="F8" s="17" t="s">
        <v>106</v>
      </c>
      <c r="G8" s="2"/>
      <c r="K8" s="126" t="s">
        <v>494</v>
      </c>
      <c r="Q8" s="18" t="s">
        <v>86</v>
      </c>
      <c r="R8" s="18" t="s">
        <v>58</v>
      </c>
      <c r="AA8" t="s">
        <v>495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26" t="s">
        <v>485</v>
      </c>
      <c r="Q9" s="21" t="s">
        <v>87</v>
      </c>
      <c r="R9" s="21" t="s">
        <v>61</v>
      </c>
      <c r="AA9" s="15" t="s">
        <v>487</v>
      </c>
    </row>
    <row r="10" spans="1:27" ht="30" customHeight="1">
      <c r="C10" s="19" t="s">
        <v>389</v>
      </c>
      <c r="D10" s="19"/>
      <c r="F10" s="17" t="s">
        <v>108</v>
      </c>
      <c r="G10" s="119"/>
      <c r="I10" s="45" t="s">
        <v>214</v>
      </c>
      <c r="K10" s="126" t="s">
        <v>486</v>
      </c>
      <c r="Q10" s="18" t="s">
        <v>88</v>
      </c>
      <c r="R10" s="18" t="s">
        <v>59</v>
      </c>
      <c r="AA10" t="s">
        <v>482</v>
      </c>
    </row>
    <row r="11" spans="1:27" s="15" customFormat="1" ht="30" customHeight="1">
      <c r="D11" s="19"/>
      <c r="F11" s="20" t="s">
        <v>245</v>
      </c>
      <c r="G11" s="83"/>
      <c r="K11" s="126" t="s">
        <v>487</v>
      </c>
      <c r="Q11" s="21" t="s">
        <v>89</v>
      </c>
      <c r="R11" s="21" t="s">
        <v>62</v>
      </c>
      <c r="AA11" s="15" t="s">
        <v>510</v>
      </c>
    </row>
    <row r="12" spans="1:27" ht="30" customHeight="1">
      <c r="C12" s="19" t="s">
        <v>193</v>
      </c>
      <c r="D12" s="19"/>
      <c r="F12" s="17" t="s">
        <v>246</v>
      </c>
      <c r="G12" s="84"/>
      <c r="K12" s="126" t="s">
        <v>488</v>
      </c>
      <c r="Q12" s="21" t="s">
        <v>220</v>
      </c>
      <c r="R12" s="21" t="s">
        <v>221</v>
      </c>
      <c r="AA12" t="s">
        <v>512</v>
      </c>
    </row>
    <row r="13" spans="1:27" s="15" customFormat="1" ht="30" customHeight="1">
      <c r="C13" s="19" t="s">
        <v>180</v>
      </c>
      <c r="D13" s="19"/>
      <c r="F13" s="20" t="s">
        <v>247</v>
      </c>
      <c r="G13" s="120"/>
      <c r="K13" s="126" t="s">
        <v>489</v>
      </c>
      <c r="Q13" s="20" t="s">
        <v>175</v>
      </c>
      <c r="R13" s="65" t="s">
        <v>160</v>
      </c>
      <c r="AA13" s="15" t="s">
        <v>491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26" t="s">
        <v>490</v>
      </c>
      <c r="Q14" s="20" t="s">
        <v>174</v>
      </c>
      <c r="R14" s="65" t="s">
        <v>161</v>
      </c>
      <c r="AA14" t="s">
        <v>490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26" t="s">
        <v>491</v>
      </c>
      <c r="Q15" s="20" t="s">
        <v>90</v>
      </c>
      <c r="R15" s="65" t="s">
        <v>52</v>
      </c>
      <c r="AA15" s="15" t="s">
        <v>489</v>
      </c>
    </row>
    <row r="16" spans="1:27" ht="30" customHeight="1">
      <c r="C16" s="19"/>
      <c r="D16" s="19"/>
      <c r="I16" s="15" t="s">
        <v>120</v>
      </c>
      <c r="K16" s="126" t="s">
        <v>492</v>
      </c>
      <c r="Q16" s="20" t="s">
        <v>91</v>
      </c>
      <c r="R16" s="65" t="s">
        <v>63</v>
      </c>
      <c r="AA16" t="s">
        <v>480</v>
      </c>
    </row>
    <row r="17" spans="3:27" s="15" customFormat="1" ht="30" customHeight="1">
      <c r="C17" s="19" t="s">
        <v>202</v>
      </c>
      <c r="D17" s="19"/>
      <c r="F17" s="15" t="s">
        <v>478</v>
      </c>
      <c r="G17" s="150"/>
      <c r="I17" s="15" t="s">
        <v>121</v>
      </c>
      <c r="K17" s="126" t="s">
        <v>482</v>
      </c>
      <c r="Q17" s="20" t="s">
        <v>92</v>
      </c>
      <c r="R17" s="65" t="s">
        <v>64</v>
      </c>
      <c r="AA17" s="15" t="s">
        <v>486</v>
      </c>
    </row>
    <row r="18" spans="3:27" ht="30" customHeight="1">
      <c r="C18" s="19" t="s">
        <v>203</v>
      </c>
      <c r="D18" s="19"/>
      <c r="F18" s="15" t="s">
        <v>479</v>
      </c>
      <c r="G18" s="149"/>
      <c r="I18" s="15" t="s">
        <v>122</v>
      </c>
      <c r="K18" s="126" t="s">
        <v>512</v>
      </c>
      <c r="Q18" s="20" t="s">
        <v>93</v>
      </c>
      <c r="R18" s="65" t="s">
        <v>65</v>
      </c>
      <c r="AA18" t="s">
        <v>511</v>
      </c>
    </row>
    <row r="19" spans="3:27" ht="30" customHeight="1">
      <c r="C19" s="19" t="s">
        <v>204</v>
      </c>
      <c r="D19" s="19"/>
      <c r="F19" s="15"/>
      <c r="I19" s="15" t="s">
        <v>216</v>
      </c>
      <c r="K19" s="126" t="s">
        <v>513</v>
      </c>
      <c r="Q19" s="20" t="s">
        <v>94</v>
      </c>
      <c r="R19" s="65" t="s">
        <v>56</v>
      </c>
      <c r="AA19" t="s">
        <v>493</v>
      </c>
    </row>
    <row r="20" spans="3:27" ht="30" customHeight="1">
      <c r="C20" s="19" t="s">
        <v>205</v>
      </c>
      <c r="D20" s="19"/>
      <c r="I20" s="15" t="s">
        <v>217</v>
      </c>
      <c r="K20" s="126" t="s">
        <v>480</v>
      </c>
      <c r="Q20" s="20" t="s">
        <v>95</v>
      </c>
      <c r="R20" s="65" t="s">
        <v>53</v>
      </c>
      <c r="AA20" t="s">
        <v>492</v>
      </c>
    </row>
    <row r="21" spans="3:27" ht="30" customHeight="1">
      <c r="C21" s="19" t="s">
        <v>206</v>
      </c>
      <c r="D21" s="19"/>
      <c r="K21" s="126" t="s">
        <v>496</v>
      </c>
      <c r="Q21" s="20" t="s">
        <v>96</v>
      </c>
      <c r="R21" s="65" t="s">
        <v>54</v>
      </c>
      <c r="AA21" t="s">
        <v>514</v>
      </c>
    </row>
    <row r="22" spans="3:27" ht="30" customHeight="1">
      <c r="C22" s="19"/>
      <c r="D22" s="19"/>
      <c r="K22" s="126" t="s">
        <v>495</v>
      </c>
      <c r="Q22" s="20" t="s">
        <v>97</v>
      </c>
      <c r="R22" s="65" t="s">
        <v>49</v>
      </c>
      <c r="AA22" t="s">
        <v>513</v>
      </c>
    </row>
    <row r="23" spans="3:27" ht="30" customHeight="1">
      <c r="C23" s="19"/>
      <c r="D23" s="19"/>
      <c r="K23" s="126" t="s">
        <v>514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6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6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409</v>
      </c>
      <c r="Q27" s="20" t="s">
        <v>134</v>
      </c>
      <c r="R27" s="65" t="s">
        <v>135</v>
      </c>
    </row>
    <row r="28" spans="3:27" ht="30" customHeight="1">
      <c r="K28" t="s">
        <v>410</v>
      </c>
      <c r="Q28" s="20" t="s">
        <v>136</v>
      </c>
      <c r="R28" s="65" t="s">
        <v>137</v>
      </c>
    </row>
    <row r="29" spans="3:27" ht="30" customHeight="1">
      <c r="K29" t="s">
        <v>411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248</v>
      </c>
      <c r="R42" s="25" t="s">
        <v>249</v>
      </c>
    </row>
    <row r="43" spans="17:18" ht="30" customHeight="1">
      <c r="Q43" s="25" t="s">
        <v>250</v>
      </c>
      <c r="R43" s="25" t="s">
        <v>251</v>
      </c>
    </row>
    <row r="44" spans="17:18" ht="30" customHeight="1">
      <c r="Q44" s="25" t="s">
        <v>252</v>
      </c>
      <c r="R44" s="25" t="s">
        <v>253</v>
      </c>
    </row>
    <row r="45" spans="17:18" ht="30" customHeight="1">
      <c r="Q45" s="25" t="s">
        <v>254</v>
      </c>
      <c r="R45" s="25" t="s">
        <v>260</v>
      </c>
    </row>
    <row r="46" spans="17:18" ht="30" customHeight="1">
      <c r="Q46" s="25" t="s">
        <v>255</v>
      </c>
      <c r="R46" s="25" t="s">
        <v>261</v>
      </c>
    </row>
    <row r="47" spans="17:18" ht="30" customHeight="1">
      <c r="Q47" s="25" t="s">
        <v>256</v>
      </c>
      <c r="R47" s="25" t="s">
        <v>262</v>
      </c>
    </row>
    <row r="48" spans="17:18" ht="30" customHeight="1">
      <c r="Q48" s="25" t="s">
        <v>257</v>
      </c>
      <c r="R48" s="25" t="s">
        <v>263</v>
      </c>
    </row>
    <row r="49" spans="17:18" ht="30" customHeight="1">
      <c r="Q49" s="25" t="s">
        <v>258</v>
      </c>
      <c r="R49" s="25" t="s">
        <v>264</v>
      </c>
    </row>
    <row r="50" spans="17:18" ht="30" customHeight="1">
      <c r="Q50" s="25" t="s">
        <v>259</v>
      </c>
      <c r="R50" s="25" t="s">
        <v>265</v>
      </c>
    </row>
    <row r="51" spans="17:18" ht="30" customHeight="1">
      <c r="Q51" s="21" t="s">
        <v>397</v>
      </c>
      <c r="R51" s="21" t="s">
        <v>400</v>
      </c>
    </row>
    <row r="52" spans="17:18" ht="30" customHeight="1">
      <c r="Q52" s="25" t="s">
        <v>398</v>
      </c>
      <c r="R52" s="25" t="s">
        <v>399</v>
      </c>
    </row>
    <row r="53" spans="17:18" ht="30" customHeight="1">
      <c r="Q53" s="25" t="s">
        <v>404</v>
      </c>
      <c r="R53" s="25" t="s">
        <v>407</v>
      </c>
    </row>
    <row r="54" spans="17:18" ht="30" customHeight="1">
      <c r="Q54" s="25" t="s">
        <v>405</v>
      </c>
      <c r="R54" s="25" t="s">
        <v>406</v>
      </c>
    </row>
    <row r="55" spans="17:18" ht="30" customHeight="1">
      <c r="Q55" s="124" t="s">
        <v>501</v>
      </c>
      <c r="R55" s="124" t="s">
        <v>503</v>
      </c>
    </row>
    <row r="56" spans="17:18" ht="30" customHeight="1">
      <c r="Q56" s="125" t="s">
        <v>502</v>
      </c>
      <c r="R56" s="125" t="s">
        <v>504</v>
      </c>
    </row>
    <row r="57" spans="17:18" ht="30" customHeight="1">
      <c r="Q57" s="18" t="s">
        <v>556</v>
      </c>
      <c r="R57" s="18" t="s">
        <v>557</v>
      </c>
    </row>
    <row r="58" spans="17:18" ht="30" customHeight="1">
      <c r="Q58" s="18" t="s">
        <v>558</v>
      </c>
      <c r="R58" s="18" t="s">
        <v>559</v>
      </c>
    </row>
    <row r="59" spans="17:18" ht="30" customHeight="1">
      <c r="Q59" s="18" t="s">
        <v>560</v>
      </c>
      <c r="R59" s="18" t="s">
        <v>561</v>
      </c>
    </row>
    <row r="60" spans="17:18" ht="30" customHeight="1">
      <c r="Q60" s="18" t="s">
        <v>562</v>
      </c>
      <c r="R60" s="18" t="s">
        <v>563</v>
      </c>
    </row>
    <row r="61" spans="17:18" ht="30" customHeight="1">
      <c r="Q61" s="18" t="s">
        <v>564</v>
      </c>
      <c r="R61" s="18" t="s">
        <v>565</v>
      </c>
    </row>
    <row r="62" spans="17:18" ht="30" customHeight="1">
      <c r="Q62" s="18" t="s">
        <v>566</v>
      </c>
      <c r="R62" s="18" t="s">
        <v>567</v>
      </c>
    </row>
    <row r="63" spans="17:18" ht="30" customHeight="1">
      <c r="Q63" s="18" t="s">
        <v>568</v>
      </c>
      <c r="R63" s="18" t="s">
        <v>569</v>
      </c>
    </row>
    <row r="64" spans="17:18" ht="30" customHeight="1">
      <c r="Q64" s="151" t="s">
        <v>570</v>
      </c>
      <c r="R64" s="151" t="s">
        <v>571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48" t="s">
        <v>76</v>
      </c>
      <c r="D5" s="248"/>
      <c r="E5" s="248"/>
      <c r="F5" s="248"/>
      <c r="G5" s="248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E40" sqref="E40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4" ht="21">
      <c r="B2" s="100" t="s">
        <v>464</v>
      </c>
    </row>
    <row r="4" spans="2:14" ht="20" customHeight="1">
      <c r="B4" s="102" t="s">
        <v>446</v>
      </c>
      <c r="C4" s="255"/>
      <c r="D4" s="255"/>
      <c r="E4" s="251" t="s">
        <v>11</v>
      </c>
      <c r="F4" s="251"/>
      <c r="G4" s="251"/>
    </row>
    <row r="5" spans="2:14" ht="20" customHeight="1">
      <c r="B5" s="102" t="s">
        <v>7</v>
      </c>
      <c r="C5" s="255"/>
      <c r="D5" s="255"/>
    </row>
    <row r="6" spans="2:14" ht="20" customHeight="1">
      <c r="B6" s="102" t="s">
        <v>447</v>
      </c>
      <c r="C6" s="255"/>
      <c r="D6" s="255"/>
    </row>
    <row r="7" spans="2:14" ht="20" customHeight="1">
      <c r="B7" s="102" t="s">
        <v>448</v>
      </c>
      <c r="C7" s="255"/>
      <c r="D7" s="255"/>
    </row>
    <row r="8" spans="2:14" ht="8" customHeight="1"/>
    <row r="9" spans="2:14" ht="20" customHeight="1">
      <c r="B9" s="160" t="s">
        <v>449</v>
      </c>
      <c r="C9" s="252"/>
      <c r="D9" s="252"/>
      <c r="E9" s="252"/>
      <c r="F9" s="252"/>
    </row>
    <row r="10" spans="2:14" ht="8" customHeight="1"/>
    <row r="11" spans="2:14" ht="20" customHeight="1">
      <c r="B11" s="160" t="s">
        <v>453</v>
      </c>
      <c r="C11" s="253">
        <v>2</v>
      </c>
      <c r="D11" s="253"/>
      <c r="E11" s="253">
        <v>3</v>
      </c>
      <c r="F11" s="253"/>
      <c r="G11" s="253">
        <v>4</v>
      </c>
      <c r="H11" s="253"/>
      <c r="I11" s="253">
        <v>5</v>
      </c>
      <c r="J11" s="253"/>
      <c r="K11" s="253">
        <v>6</v>
      </c>
      <c r="L11" s="253"/>
      <c r="M11" s="253" t="s">
        <v>440</v>
      </c>
      <c r="N11" s="253"/>
    </row>
    <row r="12" spans="2:14" ht="8" customHeight="1"/>
    <row r="13" spans="2:14" ht="20" customHeight="1">
      <c r="B13" s="160" t="s">
        <v>465</v>
      </c>
      <c r="C13" s="253" t="s">
        <v>422</v>
      </c>
      <c r="D13" s="253"/>
      <c r="E13" s="253" t="s">
        <v>423</v>
      </c>
      <c r="F13" s="253"/>
      <c r="G13" s="253" t="s">
        <v>424</v>
      </c>
      <c r="H13" s="253"/>
      <c r="I13" s="253" t="s">
        <v>425</v>
      </c>
      <c r="J13" s="253"/>
      <c r="K13" s="253" t="s">
        <v>426</v>
      </c>
      <c r="L13" s="253"/>
    </row>
    <row r="14" spans="2:14" ht="8" customHeight="1"/>
    <row r="15" spans="2:14" ht="20" customHeight="1">
      <c r="B15" s="160" t="s">
        <v>451</v>
      </c>
      <c r="C15" s="253" t="s">
        <v>471</v>
      </c>
      <c r="D15" s="253"/>
      <c r="E15" s="253" t="s">
        <v>472</v>
      </c>
      <c r="F15" s="253"/>
    </row>
    <row r="16" spans="2:14" ht="8" customHeight="1"/>
    <row r="17" spans="2:14" ht="20" customHeight="1">
      <c r="B17" s="164" t="s">
        <v>616</v>
      </c>
      <c r="C17" s="254" t="s">
        <v>622</v>
      </c>
      <c r="D17" s="254"/>
      <c r="E17" s="254"/>
      <c r="F17" s="254"/>
      <c r="G17" s="254"/>
      <c r="I17" s="254" t="s">
        <v>623</v>
      </c>
      <c r="J17" s="254"/>
      <c r="K17" s="254"/>
      <c r="L17" s="254"/>
      <c r="M17" s="254"/>
    </row>
    <row r="18" spans="2:14" ht="20" customHeight="1">
      <c r="C18" s="161" t="s">
        <v>617</v>
      </c>
      <c r="D18" s="161" t="s">
        <v>618</v>
      </c>
      <c r="E18" s="161" t="s">
        <v>619</v>
      </c>
      <c r="F18" s="161" t="s">
        <v>620</v>
      </c>
      <c r="G18" s="161" t="s">
        <v>621</v>
      </c>
      <c r="H18" s="161" t="s">
        <v>436</v>
      </c>
      <c r="I18" s="161" t="s">
        <v>621</v>
      </c>
      <c r="J18" s="161" t="s">
        <v>620</v>
      </c>
      <c r="K18" s="161" t="s">
        <v>619</v>
      </c>
      <c r="L18" s="161" t="s">
        <v>618</v>
      </c>
      <c r="M18" s="161" t="s">
        <v>617</v>
      </c>
    </row>
    <row r="19" spans="2:14" ht="20" customHeight="1">
      <c r="B19" s="160" t="s">
        <v>625</v>
      </c>
      <c r="C19" s="162"/>
      <c r="D19" s="163"/>
      <c r="E19" s="163"/>
      <c r="F19" s="163"/>
      <c r="G19" s="163"/>
      <c r="H19" s="163"/>
      <c r="I19" s="163"/>
      <c r="J19" s="163"/>
      <c r="K19" s="163"/>
      <c r="L19" s="163"/>
      <c r="M19" s="162"/>
    </row>
    <row r="20" spans="2:14" ht="8" customHeight="1"/>
    <row r="21" spans="2:14" ht="20" customHeight="1">
      <c r="B21" s="160" t="s">
        <v>454</v>
      </c>
      <c r="C21" s="249"/>
      <c r="D21" s="249"/>
      <c r="E21" s="249"/>
      <c r="F21" s="249"/>
      <c r="G21" s="249"/>
      <c r="H21" s="249"/>
      <c r="I21" s="249"/>
      <c r="J21" s="249"/>
      <c r="K21" s="249"/>
      <c r="L21" s="249"/>
      <c r="M21" s="249"/>
      <c r="N21" s="249"/>
    </row>
    <row r="22" spans="2:14" ht="8" customHeight="1"/>
    <row r="23" spans="2:14" ht="26" customHeight="1">
      <c r="C23" s="250" t="s">
        <v>467</v>
      </c>
      <c r="D23" s="250"/>
      <c r="F23" s="251" t="s">
        <v>477</v>
      </c>
      <c r="G23" s="251"/>
      <c r="H23" s="251"/>
      <c r="I23" s="251"/>
    </row>
    <row r="24" spans="2:14" ht="26" customHeight="1"/>
    <row r="25" spans="2:14" ht="8" customHeight="1"/>
    <row r="26" spans="2:14" ht="26" customHeight="1"/>
  </sheetData>
  <mergeCells count="24">
    <mergeCell ref="K13:L13"/>
    <mergeCell ref="C15:D15"/>
    <mergeCell ref="E15:F15"/>
    <mergeCell ref="C4:D4"/>
    <mergeCell ref="C5:D5"/>
    <mergeCell ref="C6:D6"/>
    <mergeCell ref="C7:D7"/>
    <mergeCell ref="E4:G4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N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3" ht="21">
      <c r="B2" s="100" t="s">
        <v>468</v>
      </c>
    </row>
    <row r="4" spans="2:13" ht="20" customHeight="1">
      <c r="B4" s="102" t="s">
        <v>446</v>
      </c>
      <c r="C4" s="256" t="s">
        <v>630</v>
      </c>
      <c r="D4" s="255"/>
      <c r="E4" s="251" t="s">
        <v>11</v>
      </c>
      <c r="F4" s="251"/>
      <c r="G4" s="251"/>
    </row>
    <row r="5" spans="2:13" ht="20" customHeight="1">
      <c r="B5" s="102" t="s">
        <v>7</v>
      </c>
      <c r="C5" s="255" t="s">
        <v>46</v>
      </c>
      <c r="D5" s="255"/>
    </row>
    <row r="6" spans="2:13" ht="20" customHeight="1">
      <c r="B6" s="102" t="s">
        <v>473</v>
      </c>
      <c r="C6" s="255" t="s">
        <v>47</v>
      </c>
      <c r="D6" s="255"/>
    </row>
    <row r="7" spans="2:13" ht="20" customHeight="1">
      <c r="B7" s="102" t="s">
        <v>448</v>
      </c>
      <c r="C7" s="255" t="s">
        <v>626</v>
      </c>
      <c r="D7" s="255"/>
    </row>
    <row r="8" spans="2:13" ht="8" customHeight="1"/>
    <row r="9" spans="2:13" ht="20" customHeight="1">
      <c r="B9" s="164" t="s">
        <v>624</v>
      </c>
      <c r="C9" s="254" t="s">
        <v>622</v>
      </c>
      <c r="D9" s="254"/>
      <c r="E9" s="254"/>
      <c r="F9" s="254"/>
      <c r="G9" s="254"/>
      <c r="I9" s="254" t="s">
        <v>623</v>
      </c>
      <c r="J9" s="254"/>
      <c r="K9" s="254"/>
      <c r="L9" s="254"/>
      <c r="M9" s="254"/>
    </row>
    <row r="10" spans="2:13" ht="20" customHeight="1">
      <c r="C10" s="161" t="s">
        <v>617</v>
      </c>
      <c r="D10" s="161" t="s">
        <v>618</v>
      </c>
      <c r="E10" s="161" t="s">
        <v>619</v>
      </c>
      <c r="F10" s="161" t="s">
        <v>620</v>
      </c>
      <c r="G10" s="161" t="s">
        <v>621</v>
      </c>
      <c r="H10" s="161" t="s">
        <v>436</v>
      </c>
      <c r="I10" s="161" t="s">
        <v>621</v>
      </c>
      <c r="J10" s="161" t="s">
        <v>620</v>
      </c>
      <c r="K10" s="161" t="s">
        <v>619</v>
      </c>
      <c r="L10" s="161" t="s">
        <v>618</v>
      </c>
      <c r="M10" s="161" t="s">
        <v>617</v>
      </c>
    </row>
    <row r="11" spans="2:13" ht="20" customHeight="1">
      <c r="B11" s="160" t="s">
        <v>442</v>
      </c>
      <c r="C11" s="162"/>
      <c r="D11" s="163"/>
      <c r="E11" s="163"/>
      <c r="F11" s="163"/>
      <c r="G11" s="163"/>
      <c r="H11" s="163"/>
      <c r="I11" s="163"/>
      <c r="J11" s="163"/>
      <c r="K11" s="163"/>
      <c r="L11" s="163"/>
      <c r="M11" s="162"/>
    </row>
    <row r="12" spans="2:13" ht="20" customHeight="1">
      <c r="B12" s="160" t="s">
        <v>443</v>
      </c>
      <c r="C12" s="162"/>
      <c r="D12" s="163"/>
      <c r="E12" s="163"/>
      <c r="F12" s="163"/>
      <c r="G12" s="163"/>
      <c r="H12" s="163"/>
      <c r="I12" s="163"/>
      <c r="J12" s="163"/>
      <c r="K12" s="163"/>
      <c r="L12" s="163"/>
      <c r="M12" s="162"/>
    </row>
    <row r="13" spans="2:13" ht="20" customHeight="1">
      <c r="B13" s="160" t="s">
        <v>444</v>
      </c>
      <c r="C13" s="162"/>
      <c r="D13" s="163"/>
      <c r="E13" s="163"/>
      <c r="F13" s="163"/>
      <c r="G13" s="163"/>
      <c r="H13" s="163"/>
      <c r="I13" s="163"/>
      <c r="J13" s="163"/>
      <c r="K13" s="163"/>
      <c r="L13" s="163"/>
      <c r="M13" s="162"/>
    </row>
    <row r="14" spans="2:13" ht="8" customHeight="1"/>
    <row r="15" spans="2:13" ht="20" customHeight="1">
      <c r="B15" s="160" t="s">
        <v>469</v>
      </c>
      <c r="C15" s="253" t="s">
        <v>462</v>
      </c>
      <c r="D15" s="253"/>
      <c r="E15" s="253" t="s">
        <v>170</v>
      </c>
      <c r="F15" s="253"/>
      <c r="G15" s="253" t="s">
        <v>463</v>
      </c>
      <c r="H15" s="253"/>
    </row>
    <row r="16" spans="2:13" ht="8" customHeight="1"/>
    <row r="17" spans="2:14" ht="20" customHeight="1">
      <c r="B17" s="160" t="s">
        <v>454</v>
      </c>
      <c r="C17" s="249"/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</row>
    <row r="18" spans="2:14" ht="8" customHeight="1"/>
    <row r="19" spans="2:14" ht="26" customHeight="1">
      <c r="C19" s="250" t="s">
        <v>467</v>
      </c>
      <c r="D19" s="250"/>
      <c r="F19" s="251" t="s">
        <v>477</v>
      </c>
      <c r="G19" s="251"/>
      <c r="H19" s="251"/>
      <c r="I19" s="251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/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598</v>
      </c>
    </row>
    <row r="4" spans="2:21" ht="14" customHeight="1">
      <c r="B4" s="102" t="s">
        <v>446</v>
      </c>
      <c r="C4" s="256" t="s">
        <v>631</v>
      </c>
      <c r="D4" s="255"/>
      <c r="E4" s="251" t="s">
        <v>11</v>
      </c>
      <c r="F4" s="251"/>
      <c r="K4" s="258" t="s">
        <v>517</v>
      </c>
      <c r="L4" s="258"/>
      <c r="M4" s="258"/>
      <c r="N4" s="258"/>
      <c r="O4" s="258"/>
      <c r="P4" s="258"/>
      <c r="Q4" s="258"/>
      <c r="R4" s="258"/>
      <c r="S4" s="258"/>
      <c r="T4" s="258"/>
      <c r="U4" s="258"/>
    </row>
    <row r="5" spans="2:21" ht="15" customHeight="1">
      <c r="B5" s="102" t="s">
        <v>7</v>
      </c>
      <c r="C5" s="255" t="s">
        <v>46</v>
      </c>
      <c r="D5" s="255"/>
      <c r="K5" s="258"/>
      <c r="L5" s="258"/>
      <c r="M5" s="258"/>
      <c r="N5" s="258"/>
      <c r="O5" s="258"/>
      <c r="P5" s="258"/>
      <c r="Q5" s="258"/>
      <c r="R5" s="258"/>
      <c r="S5" s="258"/>
      <c r="T5" s="258"/>
      <c r="U5" s="258"/>
    </row>
    <row r="6" spans="2:21">
      <c r="B6" s="102" t="s">
        <v>476</v>
      </c>
      <c r="C6" s="255" t="s">
        <v>47</v>
      </c>
      <c r="D6" s="255"/>
    </row>
    <row r="7" spans="2:21" ht="32" customHeight="1">
      <c r="B7" s="288"/>
      <c r="C7" s="288"/>
      <c r="D7" s="288"/>
      <c r="E7" s="288"/>
      <c r="F7" s="288"/>
      <c r="G7" s="288"/>
      <c r="H7" s="288"/>
      <c r="I7" s="288"/>
      <c r="K7" s="259" t="s">
        <v>578</v>
      </c>
      <c r="L7" s="260"/>
      <c r="M7" s="260"/>
      <c r="O7" s="259" t="s">
        <v>579</v>
      </c>
      <c r="P7" s="260"/>
      <c r="Q7" s="260"/>
      <c r="S7" s="259" t="s">
        <v>580</v>
      </c>
      <c r="T7" s="260"/>
      <c r="U7" s="260"/>
    </row>
    <row r="8" spans="2:21" ht="10" customHeight="1">
      <c r="B8" s="288"/>
      <c r="C8" s="288"/>
      <c r="D8" s="288"/>
      <c r="E8" s="288"/>
      <c r="F8" s="288"/>
      <c r="G8" s="288"/>
      <c r="H8" s="288"/>
      <c r="I8" s="288"/>
    </row>
    <row r="9" spans="2:21" ht="32" customHeight="1">
      <c r="B9" s="253" t="s">
        <v>599</v>
      </c>
      <c r="C9" s="253"/>
      <c r="D9" s="288"/>
      <c r="E9" s="253" t="s">
        <v>604</v>
      </c>
      <c r="F9" s="253"/>
      <c r="G9" s="288"/>
      <c r="H9" s="253" t="s">
        <v>611</v>
      </c>
      <c r="I9" s="253"/>
      <c r="M9" s="259" t="s">
        <v>596</v>
      </c>
      <c r="N9" s="260"/>
      <c r="O9" s="260"/>
      <c r="Q9" s="259" t="s">
        <v>581</v>
      </c>
      <c r="R9" s="260"/>
      <c r="S9" s="260"/>
    </row>
    <row r="10" spans="2:21" ht="10" customHeight="1">
      <c r="B10" s="288"/>
      <c r="C10" s="288"/>
      <c r="D10" s="288"/>
      <c r="E10" s="288"/>
      <c r="F10" s="288"/>
      <c r="G10" s="288"/>
      <c r="H10" s="288"/>
      <c r="I10" s="288"/>
    </row>
    <row r="11" spans="2:21" ht="32" customHeight="1">
      <c r="B11" s="253" t="s">
        <v>600</v>
      </c>
      <c r="C11" s="253"/>
      <c r="D11" s="288"/>
      <c r="E11" s="253" t="s">
        <v>605</v>
      </c>
      <c r="F11" s="253"/>
      <c r="G11" s="288"/>
      <c r="H11" s="253" t="s">
        <v>612</v>
      </c>
      <c r="I11" s="253"/>
      <c r="K11" s="259" t="s">
        <v>597</v>
      </c>
      <c r="L11" s="260"/>
      <c r="M11" s="260"/>
      <c r="O11" s="259" t="s">
        <v>582</v>
      </c>
      <c r="P11" s="260"/>
      <c r="Q11" s="260"/>
      <c r="S11" s="259" t="s">
        <v>583</v>
      </c>
      <c r="T11" s="260"/>
      <c r="U11" s="260"/>
    </row>
    <row r="12" spans="2:21" ht="10" customHeight="1">
      <c r="B12" s="288"/>
      <c r="C12" s="288"/>
      <c r="D12" s="288"/>
      <c r="E12" s="288"/>
      <c r="F12" s="288"/>
      <c r="G12" s="288"/>
      <c r="H12" s="288"/>
      <c r="I12" s="288"/>
    </row>
    <row r="13" spans="2:21" ht="32" customHeight="1">
      <c r="B13" s="253" t="s">
        <v>601</v>
      </c>
      <c r="C13" s="253"/>
      <c r="D13" s="288"/>
      <c r="E13" s="253" t="s">
        <v>606</v>
      </c>
      <c r="F13" s="253"/>
      <c r="G13" s="288"/>
      <c r="H13" s="253" t="s">
        <v>613</v>
      </c>
      <c r="I13" s="253"/>
      <c r="M13" s="259" t="s">
        <v>584</v>
      </c>
      <c r="N13" s="260"/>
      <c r="O13" s="260"/>
    </row>
    <row r="14" spans="2:21" ht="10" customHeight="1">
      <c r="B14" s="288"/>
      <c r="C14" s="288"/>
      <c r="D14" s="288"/>
      <c r="E14" s="288"/>
      <c r="F14" s="288"/>
      <c r="G14" s="288"/>
      <c r="H14" s="288"/>
      <c r="I14" s="288"/>
    </row>
    <row r="15" spans="2:21" ht="32" customHeight="1">
      <c r="B15" s="253" t="s">
        <v>602</v>
      </c>
      <c r="C15" s="253"/>
      <c r="D15" s="288"/>
      <c r="E15" s="253" t="s">
        <v>607</v>
      </c>
      <c r="F15" s="253"/>
      <c r="G15" s="288"/>
      <c r="H15" s="253" t="s">
        <v>516</v>
      </c>
      <c r="I15" s="253"/>
      <c r="P15" s="259" t="s">
        <v>585</v>
      </c>
      <c r="Q15" s="260"/>
      <c r="R15" s="260"/>
    </row>
    <row r="16" spans="2:21" ht="10" customHeight="1">
      <c r="B16" s="288"/>
      <c r="C16" s="288"/>
      <c r="D16" s="288"/>
      <c r="E16" s="288"/>
      <c r="F16" s="288"/>
      <c r="G16" s="288"/>
      <c r="H16" s="288"/>
      <c r="I16" s="288"/>
    </row>
    <row r="17" spans="2:21" ht="32" customHeight="1">
      <c r="B17" s="253" t="s">
        <v>603</v>
      </c>
      <c r="C17" s="253"/>
      <c r="D17" s="288"/>
      <c r="E17" s="253" t="s">
        <v>608</v>
      </c>
      <c r="F17" s="253"/>
      <c r="G17" s="288"/>
      <c r="H17" s="253" t="s">
        <v>614</v>
      </c>
      <c r="I17" s="253"/>
      <c r="M17" s="259" t="s">
        <v>586</v>
      </c>
      <c r="N17" s="260"/>
      <c r="O17" s="260"/>
      <c r="Q17" s="259" t="s">
        <v>587</v>
      </c>
      <c r="R17" s="260"/>
      <c r="S17" s="260"/>
    </row>
    <row r="18" spans="2:21" ht="10" customHeight="1">
      <c r="B18" s="288"/>
      <c r="C18" s="288"/>
      <c r="D18" s="288"/>
      <c r="E18" s="288"/>
      <c r="F18" s="288"/>
      <c r="G18" s="288"/>
      <c r="H18" s="288"/>
      <c r="I18" s="288"/>
    </row>
    <row r="19" spans="2:21" ht="32" customHeight="1">
      <c r="B19" s="288"/>
      <c r="C19" s="288"/>
      <c r="D19" s="288"/>
      <c r="E19" s="253" t="s">
        <v>609</v>
      </c>
      <c r="F19" s="253"/>
      <c r="G19" s="288"/>
      <c r="H19" s="289"/>
      <c r="I19" s="289"/>
      <c r="K19" s="259" t="s">
        <v>588</v>
      </c>
      <c r="L19" s="260"/>
      <c r="M19" s="260"/>
      <c r="O19" s="259" t="s">
        <v>589</v>
      </c>
      <c r="P19" s="260"/>
      <c r="Q19" s="260"/>
      <c r="S19" s="259" t="s">
        <v>590</v>
      </c>
      <c r="T19" s="260"/>
      <c r="U19" s="260"/>
    </row>
    <row r="20" spans="2:21" ht="10" customHeight="1">
      <c r="B20" s="288"/>
      <c r="C20" s="288"/>
      <c r="D20" s="288"/>
      <c r="E20" s="288"/>
      <c r="F20" s="288"/>
      <c r="G20" s="288"/>
      <c r="H20" s="288"/>
      <c r="I20" s="288"/>
    </row>
    <row r="21" spans="2:21" ht="25" customHeight="1">
      <c r="B21" s="289"/>
      <c r="C21" s="289"/>
      <c r="D21" s="288"/>
      <c r="E21" s="253" t="s">
        <v>610</v>
      </c>
      <c r="F21" s="253"/>
      <c r="G21" s="288"/>
      <c r="H21" s="289"/>
      <c r="I21" s="289"/>
      <c r="K21" s="259" t="s">
        <v>42</v>
      </c>
      <c r="L21" s="260"/>
      <c r="M21" s="260"/>
      <c r="S21" s="259" t="s">
        <v>32</v>
      </c>
      <c r="T21" s="260"/>
      <c r="U21" s="260"/>
    </row>
    <row r="22" spans="2:21" ht="10" customHeight="1">
      <c r="B22" s="288"/>
      <c r="C22" s="288"/>
      <c r="D22" s="288"/>
      <c r="E22" s="288"/>
      <c r="F22" s="288"/>
      <c r="G22" s="288"/>
      <c r="H22" s="288"/>
      <c r="I22" s="288"/>
    </row>
    <row r="23" spans="2:21" ht="25" customHeight="1">
      <c r="B23" s="289"/>
      <c r="C23" s="289"/>
      <c r="D23" s="288"/>
      <c r="E23" s="289"/>
      <c r="F23" s="289"/>
      <c r="G23" s="288"/>
      <c r="H23" s="289"/>
      <c r="I23" s="289"/>
      <c r="K23" s="259" t="s">
        <v>153</v>
      </c>
      <c r="L23" s="259"/>
      <c r="M23" s="259"/>
      <c r="S23" s="259" t="s">
        <v>169</v>
      </c>
      <c r="T23" s="259"/>
      <c r="U23" s="259"/>
    </row>
    <row r="24" spans="2:21" ht="10" customHeight="1">
      <c r="B24" s="288"/>
      <c r="C24" s="288"/>
      <c r="D24" s="288"/>
      <c r="E24" s="288"/>
      <c r="F24" s="288"/>
      <c r="G24" s="288"/>
      <c r="H24" s="288"/>
      <c r="I24" s="288"/>
    </row>
    <row r="25" spans="2:21" ht="10" customHeight="1">
      <c r="B25" s="289"/>
      <c r="C25" s="289"/>
      <c r="D25" s="288"/>
      <c r="E25" s="289"/>
      <c r="F25" s="289"/>
      <c r="G25" s="288"/>
      <c r="H25" s="289"/>
      <c r="I25" s="289"/>
    </row>
    <row r="26" spans="2:21" ht="10" customHeight="1">
      <c r="B26" s="288"/>
      <c r="C26" s="288"/>
      <c r="D26" s="288"/>
      <c r="E26" s="288"/>
      <c r="F26" s="288"/>
      <c r="G26" s="288"/>
      <c r="H26" s="288"/>
      <c r="I26" s="288"/>
    </row>
    <row r="27" spans="2:21" ht="25" customHeight="1">
      <c r="B27" s="253" t="s">
        <v>167</v>
      </c>
      <c r="C27" s="253"/>
      <c r="D27" s="288"/>
      <c r="E27" s="289"/>
      <c r="F27" s="289"/>
      <c r="G27" s="288"/>
      <c r="H27" s="253" t="s">
        <v>615</v>
      </c>
      <c r="I27" s="253"/>
    </row>
    <row r="28" spans="2:21" ht="10" customHeight="1">
      <c r="B28" s="288"/>
      <c r="C28" s="288"/>
      <c r="D28" s="288"/>
      <c r="E28" s="288"/>
      <c r="F28" s="288"/>
      <c r="G28" s="288"/>
      <c r="H28" s="288"/>
      <c r="I28" s="288"/>
    </row>
    <row r="29" spans="2:21" ht="25" customHeight="1">
      <c r="B29" s="253" t="s">
        <v>32</v>
      </c>
      <c r="C29" s="253"/>
      <c r="D29" s="288"/>
      <c r="E29" s="289"/>
      <c r="F29" s="289"/>
      <c r="G29" s="288"/>
      <c r="H29" s="253" t="s">
        <v>595</v>
      </c>
      <c r="I29" s="253"/>
    </row>
    <row r="30" spans="2:21" ht="10" customHeight="1">
      <c r="B30" s="288"/>
      <c r="C30" s="288"/>
      <c r="D30" s="288"/>
      <c r="E30" s="288"/>
      <c r="F30" s="288"/>
      <c r="G30" s="288"/>
      <c r="H30" s="288"/>
      <c r="I30" s="288"/>
    </row>
    <row r="31" spans="2:21" ht="9" customHeight="1">
      <c r="B31" s="288"/>
      <c r="C31" s="288"/>
      <c r="D31" s="288"/>
      <c r="E31" s="288"/>
      <c r="F31" s="288"/>
      <c r="G31" s="288"/>
      <c r="H31" s="288"/>
      <c r="I31" s="288"/>
    </row>
    <row r="32" spans="2:21" ht="26" customHeight="1">
      <c r="B32" s="250" t="s">
        <v>467</v>
      </c>
      <c r="C32" s="250"/>
      <c r="D32" s="121"/>
      <c r="E32" s="251" t="s">
        <v>477</v>
      </c>
      <c r="F32" s="251"/>
      <c r="G32" s="251"/>
      <c r="H32" s="251"/>
      <c r="I32" s="121"/>
    </row>
  </sheetData>
  <mergeCells count="47"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27:I27"/>
    <mergeCell ref="H29:I29"/>
    <mergeCell ref="B32:C32"/>
    <mergeCell ref="E32:H32"/>
    <mergeCell ref="B27:C27"/>
    <mergeCell ref="B29:C29"/>
    <mergeCell ref="H17:I17"/>
    <mergeCell ref="H11:I11"/>
    <mergeCell ref="E17:F17"/>
    <mergeCell ref="E15:F15"/>
    <mergeCell ref="H15:I15"/>
    <mergeCell ref="E11:F11"/>
    <mergeCell ref="H13:I13"/>
    <mergeCell ref="K7:M7"/>
    <mergeCell ref="O7:Q7"/>
    <mergeCell ref="E13:F13"/>
    <mergeCell ref="E9:F9"/>
    <mergeCell ref="H9:I9"/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520</v>
      </c>
      <c r="L1" s="101" t="s">
        <v>535</v>
      </c>
    </row>
    <row r="2" spans="2:12" ht="21">
      <c r="B2" s="100" t="s">
        <v>497</v>
      </c>
      <c r="J2" s="101" t="s">
        <v>521</v>
      </c>
      <c r="L2" s="101" t="s">
        <v>536</v>
      </c>
    </row>
    <row r="3" spans="2:12">
      <c r="J3" s="101" t="s">
        <v>522</v>
      </c>
      <c r="L3" s="101" t="s">
        <v>537</v>
      </c>
    </row>
    <row r="4" spans="2:12">
      <c r="B4" s="102" t="s">
        <v>446</v>
      </c>
      <c r="D4" s="139" t="s">
        <v>519</v>
      </c>
      <c r="E4" s="104" t="s">
        <v>11</v>
      </c>
      <c r="J4" s="101" t="s">
        <v>523</v>
      </c>
      <c r="L4" s="101" t="s">
        <v>538</v>
      </c>
    </row>
    <row r="5" spans="2:12">
      <c r="B5" s="118" t="s">
        <v>500</v>
      </c>
      <c r="D5" s="122">
        <v>22</v>
      </c>
      <c r="J5" s="101" t="s">
        <v>524</v>
      </c>
      <c r="L5" s="101" t="s">
        <v>539</v>
      </c>
    </row>
    <row r="6" spans="2:12">
      <c r="J6" s="101" t="s">
        <v>525</v>
      </c>
      <c r="L6" s="101" t="s">
        <v>540</v>
      </c>
    </row>
    <row r="7" spans="2:12">
      <c r="B7" s="118" t="s">
        <v>498</v>
      </c>
      <c r="D7" s="118" t="s">
        <v>499</v>
      </c>
      <c r="J7" s="101" t="s">
        <v>526</v>
      </c>
      <c r="L7" s="101" t="s">
        <v>541</v>
      </c>
    </row>
    <row r="8" spans="2:12">
      <c r="B8" s="123" t="s">
        <v>520</v>
      </c>
      <c r="D8" s="123" t="s">
        <v>535</v>
      </c>
      <c r="J8" s="101" t="s">
        <v>527</v>
      </c>
    </row>
    <row r="9" spans="2:12">
      <c r="B9" s="123"/>
      <c r="D9" s="123"/>
      <c r="J9" s="101" t="s">
        <v>528</v>
      </c>
    </row>
    <row r="10" spans="2:12">
      <c r="B10" s="123"/>
      <c r="D10" s="123"/>
      <c r="J10" s="101" t="s">
        <v>529</v>
      </c>
    </row>
    <row r="11" spans="2:12">
      <c r="B11" s="123"/>
      <c r="D11" s="123"/>
      <c r="J11" s="101" t="s">
        <v>530</v>
      </c>
    </row>
    <row r="12" spans="2:12">
      <c r="B12" s="123"/>
      <c r="D12" s="123"/>
      <c r="J12" s="101" t="s">
        <v>531</v>
      </c>
    </row>
    <row r="13" spans="2:12">
      <c r="J13" s="101" t="s">
        <v>532</v>
      </c>
    </row>
    <row r="14" spans="2:12" ht="26" customHeight="1">
      <c r="B14" s="103" t="s">
        <v>467</v>
      </c>
      <c r="C14" s="121"/>
      <c r="D14" s="104" t="s">
        <v>466</v>
      </c>
      <c r="J14" s="101" t="s">
        <v>533</v>
      </c>
    </row>
    <row r="15" spans="2:12">
      <c r="J15" s="101" t="s">
        <v>534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572</v>
      </c>
    </row>
    <row r="4" spans="2:8">
      <c r="B4" s="102" t="s">
        <v>573</v>
      </c>
      <c r="C4" s="256" t="s">
        <v>577</v>
      </c>
      <c r="D4" s="255"/>
      <c r="G4" s="251" t="s">
        <v>11</v>
      </c>
      <c r="H4" s="251"/>
    </row>
    <row r="5" spans="2:8">
      <c r="B5" s="102" t="s">
        <v>7</v>
      </c>
      <c r="C5" s="255" t="s">
        <v>46</v>
      </c>
      <c r="D5" s="255"/>
    </row>
    <row r="7" spans="2:8" ht="22" customHeight="1">
      <c r="B7" s="258" t="s">
        <v>574</v>
      </c>
      <c r="C7" s="258"/>
      <c r="D7" s="258"/>
      <c r="E7" s="258"/>
      <c r="F7" s="258"/>
      <c r="G7" s="258"/>
      <c r="H7" s="258"/>
    </row>
    <row r="9" spans="2:8" ht="22" customHeight="1">
      <c r="B9" s="257" t="s">
        <v>575</v>
      </c>
      <c r="C9" s="257"/>
      <c r="D9" s="257"/>
      <c r="E9" s="257"/>
      <c r="F9" s="257"/>
      <c r="G9" s="257"/>
      <c r="H9" s="257"/>
    </row>
    <row r="10" spans="2:8" ht="8" customHeight="1"/>
    <row r="11" spans="2:8" ht="22" customHeight="1">
      <c r="B11" s="257" t="s">
        <v>576</v>
      </c>
      <c r="C11" s="257"/>
      <c r="D11" s="257"/>
      <c r="E11" s="257"/>
      <c r="F11" s="257"/>
      <c r="G11" s="257"/>
      <c r="H11" s="257"/>
    </row>
    <row r="12" spans="2:8" ht="8" customHeight="1"/>
    <row r="13" spans="2:8" ht="22" customHeight="1">
      <c r="B13" s="261"/>
      <c r="C13" s="261"/>
      <c r="D13" s="261"/>
      <c r="E13" s="261"/>
      <c r="F13" s="261"/>
      <c r="G13" s="261"/>
      <c r="H13" s="261"/>
    </row>
    <row r="14" spans="2:8" ht="8" customHeight="1"/>
    <row r="15" spans="2:8" ht="22" customHeight="1">
      <c r="B15" s="261"/>
      <c r="C15" s="261"/>
      <c r="D15" s="261"/>
      <c r="E15" s="261"/>
      <c r="F15" s="261"/>
      <c r="G15" s="261"/>
      <c r="H15" s="261"/>
    </row>
    <row r="16" spans="2:8" ht="8" customHeight="1"/>
    <row r="17" spans="2:8" ht="22" customHeight="1">
      <c r="B17" s="261"/>
      <c r="C17" s="261"/>
      <c r="D17" s="261"/>
      <c r="E17" s="261"/>
      <c r="F17" s="261"/>
      <c r="G17" s="261"/>
      <c r="H17" s="261"/>
    </row>
    <row r="18" spans="2:8" ht="8" customHeight="1"/>
    <row r="19" spans="2:8" ht="22" customHeight="1">
      <c r="B19" s="261"/>
      <c r="C19" s="261"/>
      <c r="D19" s="261"/>
      <c r="E19" s="261"/>
      <c r="F19" s="261"/>
      <c r="G19" s="261"/>
      <c r="H19" s="261"/>
    </row>
    <row r="20" spans="2:8" ht="8" customHeight="1"/>
    <row r="21" spans="2:8" ht="22" customHeight="1">
      <c r="B21" s="261"/>
      <c r="C21" s="261"/>
      <c r="D21" s="261"/>
      <c r="E21" s="261"/>
      <c r="F21" s="261"/>
      <c r="G21" s="261"/>
      <c r="H21" s="261"/>
    </row>
    <row r="22" spans="2:8" ht="8" customHeight="1"/>
    <row r="23" spans="2:8" ht="22" customHeight="1">
      <c r="B23" s="261"/>
      <c r="C23" s="261"/>
      <c r="D23" s="261"/>
      <c r="E23" s="261"/>
      <c r="F23" s="261"/>
      <c r="G23" s="261"/>
      <c r="H23" s="261"/>
    </row>
    <row r="24" spans="2:8" ht="8" customHeight="1"/>
    <row r="25" spans="2:8" ht="22" customHeight="1">
      <c r="B25" s="261"/>
      <c r="C25" s="261"/>
      <c r="D25" s="261"/>
      <c r="E25" s="261"/>
      <c r="F25" s="261"/>
      <c r="G25" s="261"/>
      <c r="H25" s="261"/>
    </row>
    <row r="26" spans="2:8" ht="8" customHeight="1"/>
    <row r="27" spans="2:8" ht="22" customHeight="1">
      <c r="B27" s="261"/>
      <c r="C27" s="261"/>
      <c r="D27" s="261"/>
      <c r="E27" s="261"/>
      <c r="F27" s="261"/>
      <c r="G27" s="261"/>
      <c r="H27" s="261"/>
    </row>
    <row r="28" spans="2:8" ht="8" customHeight="1"/>
    <row r="29" spans="2:8" ht="26" customHeight="1">
      <c r="B29" s="250" t="s">
        <v>467</v>
      </c>
      <c r="C29" s="250"/>
      <c r="D29" s="121"/>
      <c r="E29" s="251" t="s">
        <v>477</v>
      </c>
      <c r="F29" s="251"/>
      <c r="G29" s="251"/>
      <c r="H29" s="251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261</vt:i4>
      </vt:variant>
    </vt:vector>
  </HeadingPairs>
  <TitlesOfParts>
    <vt:vector size="274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2026-10-15T20:58:51Z</dcterms:modified>
</cp:coreProperties>
</file>