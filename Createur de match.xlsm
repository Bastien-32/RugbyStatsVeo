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9CCAC96B-FCED-2044-92F1-73242C993940}" xr6:coauthVersionLast="47" xr6:coauthVersionMax="47" xr10:uidLastSave="{00000000-0000-0000-0000-000000000000}"/>
  <bookViews>
    <workbookView xWindow="13560" yWindow="660" windowWidth="21000" windowHeight="1682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Melees'!$L$9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2" l="1"/>
  <c r="M46" i="12"/>
  <c r="L46" i="12"/>
  <c r="M45" i="12"/>
  <c r="L45" i="12"/>
  <c r="M44" i="12"/>
  <c r="L44" i="12"/>
  <c r="M43" i="12"/>
  <c r="L43" i="12"/>
  <c r="M42" i="12"/>
  <c r="L42" i="12"/>
  <c r="L47" i="12" s="1"/>
  <c r="N7" i="18"/>
  <c r="M7" i="18"/>
  <c r="N6" i="18"/>
  <c r="M6" i="18"/>
  <c r="D7" i="18"/>
  <c r="C7" i="18"/>
  <c r="B7" i="18"/>
  <c r="D6" i="18"/>
  <c r="C6" i="18"/>
  <c r="B6" i="18"/>
  <c r="F15" i="3"/>
  <c r="E15" i="3"/>
  <c r="F66" i="3"/>
  <c r="E66" i="3"/>
  <c r="B65" i="12" a="1"/>
  <c r="B65" i="12" s="1"/>
  <c r="B8" i="12" a="1"/>
  <c r="B8" i="12" s="1"/>
  <c r="B3" i="12"/>
  <c r="C1" i="2"/>
  <c r="E2" i="7"/>
  <c r="E38" i="12"/>
  <c r="E37" i="12"/>
  <c r="E42" i="12"/>
  <c r="D42" i="12"/>
  <c r="E41" i="12"/>
  <c r="F40" i="3"/>
  <c r="E40" i="3"/>
  <c r="M47" i="12" l="1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<sst xmlns="http://schemas.openxmlformats.org/spreadsheetml/2006/main" count="848" uniqueCount="596">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</sst>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</fills>
  <borders count="9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5" fillId="30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5" xfId="0" applyFill="1" applyBorder="1" applyAlignment="1">
      <alignment horizontal="center" vertical="center" wrapText="1"/>
    </xf>
    <xf numFmtId="0" fontId="0" fillId="17" borderId="35" xfId="0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" fillId="16" borderId="47" xfId="0" applyFont="1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53" xfId="0" applyFont="1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2" xfId="0" applyFill="1" applyBorder="1"/>
    <xf numFmtId="0" fontId="0" fillId="17" borderId="68" xfId="0" applyFill="1" applyBorder="1" applyAlignment="1">
      <alignment horizontal="center" vertical="center"/>
    </xf>
    <xf numFmtId="0" fontId="0" fillId="17" borderId="44" xfId="0" applyFill="1" applyBorder="1"/>
    <xf numFmtId="0" fontId="39" fillId="0" borderId="0" xfId="0" applyFont="1" applyAlignment="1">
      <alignment wrapText="1"/>
    </xf>
    <xf numFmtId="0" fontId="0" fillId="17" borderId="71" xfId="0" applyFill="1" applyBorder="1"/>
    <xf numFmtId="0" fontId="0" fillId="17" borderId="72" xfId="0" applyFill="1" applyBorder="1"/>
    <xf numFmtId="0" fontId="0" fillId="17" borderId="73" xfId="0" applyFill="1" applyBorder="1"/>
    <xf numFmtId="0" fontId="0" fillId="17" borderId="74" xfId="0" applyFill="1" applyBorder="1"/>
    <xf numFmtId="0" fontId="0" fillId="17" borderId="75" xfId="0" applyFill="1" applyBorder="1"/>
    <xf numFmtId="0" fontId="0" fillId="17" borderId="74" xfId="0" applyFill="1" applyBorder="1" applyAlignment="1">
      <alignment horizontal="right"/>
    </xf>
    <xf numFmtId="0" fontId="0" fillId="17" borderId="76" xfId="0" applyFill="1" applyBorder="1"/>
    <xf numFmtId="0" fontId="0" fillId="17" borderId="77" xfId="0" applyFill="1" applyBorder="1"/>
    <xf numFmtId="0" fontId="0" fillId="17" borderId="78" xfId="0" applyFill="1" applyBorder="1"/>
    <xf numFmtId="0" fontId="0" fillId="17" borderId="3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79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8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5" xfId="0" applyFont="1" applyFill="1" applyBorder="1" applyAlignment="1">
      <alignment horizontal="center" vertical="center"/>
    </xf>
    <xf numFmtId="0" fontId="27" fillId="40" borderId="35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5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79" xfId="0" applyFont="1" applyFill="1" applyBorder="1" applyAlignment="1">
      <alignment horizontal="center"/>
    </xf>
    <xf numFmtId="0" fontId="43" fillId="16" borderId="79" xfId="0" applyFont="1" applyFill="1" applyBorder="1" applyAlignment="1">
      <alignment horizontal="left"/>
    </xf>
    <xf numFmtId="0" fontId="0" fillId="17" borderId="64" xfId="0" applyFill="1" applyBorder="1"/>
    <xf numFmtId="0" fontId="0" fillId="17" borderId="81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0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82" xfId="0" applyBorder="1"/>
    <xf numFmtId="0" fontId="0" fillId="0" borderId="37" xfId="0" applyBorder="1"/>
    <xf numFmtId="0" fontId="0" fillId="0" borderId="38" xfId="0" applyBorder="1"/>
    <xf numFmtId="0" fontId="0" fillId="0" borderId="41" xfId="0" applyBorder="1"/>
    <xf numFmtId="0" fontId="0" fillId="0" borderId="42" xfId="0" applyBorder="1"/>
    <xf numFmtId="0" fontId="0" fillId="0" borderId="56" xfId="0" applyBorder="1"/>
    <xf numFmtId="0" fontId="0" fillId="0" borderId="39" xfId="0" applyBorder="1"/>
    <xf numFmtId="0" fontId="0" fillId="0" borderId="40" xfId="0" applyBorder="1"/>
    <xf numFmtId="0" fontId="0" fillId="0" borderId="57" xfId="0" applyBorder="1"/>
    <xf numFmtId="0" fontId="0" fillId="0" borderId="44" xfId="0" applyBorder="1"/>
    <xf numFmtId="0" fontId="0" fillId="0" borderId="58" xfId="0" applyBorder="1"/>
    <xf numFmtId="0" fontId="0" fillId="0" borderId="52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54" xfId="0" applyBorder="1"/>
    <xf numFmtId="0" fontId="0" fillId="0" borderId="55" xfId="0" applyBorder="1"/>
    <xf numFmtId="0" fontId="0" fillId="0" borderId="69" xfId="0" applyBorder="1"/>
    <xf numFmtId="0" fontId="0" fillId="0" borderId="70" xfId="0" applyBorder="1"/>
    <xf numFmtId="0" fontId="0" fillId="0" borderId="43" xfId="0" applyBorder="1"/>
    <xf numFmtId="0" fontId="0" fillId="0" borderId="45" xfId="0" applyBorder="1"/>
    <xf numFmtId="0" fontId="0" fillId="0" borderId="84" xfId="0" applyBorder="1"/>
    <xf numFmtId="0" fontId="0" fillId="0" borderId="64" xfId="0" applyBorder="1"/>
    <xf numFmtId="0" fontId="0" fillId="0" borderId="62" xfId="0" applyBorder="1"/>
    <xf numFmtId="0" fontId="0" fillId="0" borderId="83" xfId="0" applyBorder="1"/>
    <xf numFmtId="0" fontId="0" fillId="0" borderId="66" xfId="0" applyBorder="1"/>
    <xf numFmtId="0" fontId="0" fillId="0" borderId="65" xfId="0" applyBorder="1"/>
    <xf numFmtId="0" fontId="0" fillId="0" borderId="67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48" fillId="0" borderId="6" xfId="0" applyFont="1" applyBorder="1" applyAlignment="1">
      <alignment horizontal="left" vertical="center" wrapText="1"/>
    </xf>
    <xf numFmtId="0" fontId="48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9" fillId="42" borderId="0" xfId="0" applyFont="1" applyFill="1" applyAlignment="1">
      <alignment vertical="center" wrapText="1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2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44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44" xfId="0" applyNumberFormat="1" applyFont="1" applyFill="1" applyBorder="1" applyAlignment="1">
      <alignment horizontal="center" vertical="center"/>
    </xf>
    <xf numFmtId="165" fontId="37" fillId="10" borderId="55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44" xfId="0" applyFont="1" applyFill="1" applyBorder="1" applyAlignment="1">
      <alignment horizontal="left" vertical="center" wrapText="1"/>
    </xf>
    <xf numFmtId="0" fontId="16" fillId="16" borderId="46" xfId="0" applyFont="1" applyFill="1" applyBorder="1" applyAlignment="1">
      <alignment horizontal="left" vertical="center" wrapText="1"/>
    </xf>
    <xf numFmtId="0" fontId="3" fillId="24" borderId="44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" fillId="36" borderId="8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0" fillId="37" borderId="79" xfId="0" applyFont="1" applyFill="1" applyBorder="1" applyAlignment="1">
      <alignment horizontal="center" vertical="center" wrapText="1"/>
    </xf>
    <xf numFmtId="0" fontId="43" fillId="37" borderId="79" xfId="0" applyFont="1" applyFill="1" applyBorder="1" applyAlignment="1">
      <alignment horizontal="center" vertical="center" wrapText="1"/>
    </xf>
    <xf numFmtId="0" fontId="43" fillId="14" borderId="79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5" fillId="33" borderId="0" xfId="0" applyFont="1" applyFill="1" applyAlignment="1">
      <alignment horizontal="center"/>
    </xf>
    <xf numFmtId="0" fontId="32" fillId="29" borderId="86" xfId="0" applyFont="1" applyFill="1" applyBorder="1" applyAlignment="1">
      <alignment horizontal="center" vertical="center"/>
    </xf>
    <xf numFmtId="0" fontId="34" fillId="30" borderId="87" xfId="0" applyFont="1" applyFill="1" applyBorder="1" applyAlignment="1">
      <alignment horizontal="center" vertical="center"/>
    </xf>
    <xf numFmtId="0" fontId="34" fillId="16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5" fillId="16" borderId="90" xfId="0" applyFont="1" applyFill="1" applyBorder="1" applyAlignment="1">
      <alignment horizontal="center" vertical="center"/>
    </xf>
    <xf numFmtId="0" fontId="33" fillId="29" borderId="91" xfId="0" applyFont="1" applyFill="1" applyBorder="1" applyAlignment="1">
      <alignment horizontal="center" vertical="center"/>
    </xf>
    <xf numFmtId="0" fontId="35" fillId="30" borderId="92" xfId="0" applyFont="1" applyFill="1" applyBorder="1" applyAlignment="1">
      <alignment horizontal="center" vertical="center"/>
    </xf>
    <xf numFmtId="0" fontId="35" fillId="16" borderId="93" xfId="0" applyFont="1" applyFill="1" applyBorder="1" applyAlignment="1">
      <alignment horizontal="center" vertical="center"/>
    </xf>
    <xf numFmtId="0" fontId="32" fillId="29" borderId="94" xfId="0" applyFont="1" applyFill="1" applyBorder="1" applyAlignment="1">
      <alignment horizontal="center" vertical="center"/>
    </xf>
    <xf numFmtId="0" fontId="32" fillId="29" borderId="95" xfId="0" applyFont="1" applyFill="1" applyBorder="1" applyAlignment="1">
      <alignment horizontal="center" vertical="center"/>
    </xf>
    <xf numFmtId="0" fontId="33" fillId="29" borderId="96" xfId="0" applyFont="1" applyFill="1" applyBorder="1" applyAlignment="1">
      <alignment horizontal="center" vertical="center"/>
    </xf>
    <xf numFmtId="0" fontId="34" fillId="30" borderId="88" xfId="0" applyFont="1" applyFill="1" applyBorder="1" applyAlignment="1">
      <alignment horizontal="center" vertical="center"/>
    </xf>
    <xf numFmtId="0" fontId="35" fillId="30" borderId="90" xfId="0" applyFont="1" applyFill="1" applyBorder="1" applyAlignment="1">
      <alignment horizontal="center" vertical="center"/>
    </xf>
    <xf numFmtId="0" fontId="33" fillId="29" borderId="97" xfId="0" applyFont="1" applyFill="1" applyBorder="1" applyAlignment="1">
      <alignment horizontal="center" vertical="center"/>
    </xf>
    <xf numFmtId="0" fontId="33" fillId="29" borderId="98" xfId="0" applyFont="1" applyFill="1" applyBorder="1" applyAlignment="1">
      <alignment horizontal="center" vertical="center"/>
    </xf>
    <xf numFmtId="0" fontId="35" fillId="30" borderId="9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2" dataDxfId="71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0"/>
    <tableColumn id="2" xr3:uid="{0C1B8A30-A3B8-DA4D-B893-C4C99FF33E90}" name="nom" dataDxfId="69"/>
    <tableColumn id="3" xr3:uid="{8AE5AF32-0026-9B41-8B0B-16B9ED0F3727}" name="prenom" dataDxfId="68"/>
    <tableColumn id="6" xr3:uid="{D5D3A7D0-7C7D-684B-8AA7-DABBCC7051CF}" name="1ère ligne" dataDxfId="67"/>
    <tableColumn id="4" xr3:uid="{4CE41A86-7158-6B42-B932-A5275F10AB48}" name="prenom NOM" dataDxfId="66">
      <calculatedColumnFormula>LstEffectif[[#This Row],[prenom]] &amp; " " &amp; LstEffectif[[#This Row],[nom]]</calculatedColumnFormula>
    </tableColumn>
    <tableColumn id="5" xr3:uid="{EB017694-E6D2-7440-91BF-61113926AB7D}" name="NOM Prénom" dataDxfId="6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4" dataDxfId="63">
  <autoFilter ref="J1:J11" xr:uid="{037D6424-D1EC-894D-B963-D36ABCA682C4}"/>
  <tableColumns count="1">
    <tableColumn id="1" xr3:uid="{63806632-B9ED-294D-800A-F2FDB2EC48D2}" name="EQUIPES_A_AFFRONTER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5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totalsRowShown="0">
  <autoFilter ref="L2:U3" xr:uid="{A1FE138B-7A57-FD4E-B0BC-4BF4203BE379}"/>
  <tableColumns count="10">
    <tableColumn id="1" xr3:uid="{9154875D-F6A2-FD43-A363-B5D480E2C8C9}" name="Temps video" dataDxfId="5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5"/>
    <tableColumn id="8" xr3:uid="{D9175B18-6528-4648-B15C-FF2CC25EEBE4}" name="Jeu 3/4" dataDxfId="54"/>
    <tableColumn id="9" xr3:uid="{CAE0CE17-6518-8346-8125-3B7CA02D88C1}" name="Jeu pied" dataDxfId="5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52" dataDxfId="50" headerRowBorderDxfId="51" tableBorderDxfId="49" totalsRowBorderDxfId="48">
  <autoFilter ref="Q1:R56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0" t="s">
        <v>71</v>
      </c>
      <c r="C1" s="130" t="s">
        <v>72</v>
      </c>
      <c r="D1" s="130" t="s">
        <v>411</v>
      </c>
      <c r="E1" s="130" t="s">
        <v>73</v>
      </c>
      <c r="F1" s="130" t="s">
        <v>113</v>
      </c>
      <c r="J1" t="s">
        <v>389</v>
      </c>
    </row>
    <row r="2" spans="1:10" ht="14">
      <c r="A2">
        <v>1</v>
      </c>
      <c r="B2" s="119" t="s">
        <v>271</v>
      </c>
      <c r="C2" s="119" t="s">
        <v>272</v>
      </c>
      <c r="D2" s="11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19" t="s">
        <v>271</v>
      </c>
      <c r="C3" s="119" t="s">
        <v>273</v>
      </c>
      <c r="D3" s="119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19" t="s">
        <v>271</v>
      </c>
      <c r="C4" s="119" t="s">
        <v>74</v>
      </c>
      <c r="D4" s="11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19" t="s">
        <v>274</v>
      </c>
      <c r="C5" s="119" t="s">
        <v>275</v>
      </c>
      <c r="D5" s="11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19" t="s">
        <v>276</v>
      </c>
      <c r="C6" s="119" t="s">
        <v>277</v>
      </c>
      <c r="D6" s="11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19" t="s">
        <v>276</v>
      </c>
      <c r="C7" s="119" t="s">
        <v>416</v>
      </c>
      <c r="D7" s="119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19" t="s">
        <v>278</v>
      </c>
      <c r="C8" s="119" t="s">
        <v>279</v>
      </c>
      <c r="D8" s="11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19" t="s">
        <v>280</v>
      </c>
      <c r="C9" s="119" t="s">
        <v>281</v>
      </c>
      <c r="D9" s="11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19" t="s">
        <v>282</v>
      </c>
      <c r="C10" s="119" t="s">
        <v>283</v>
      </c>
      <c r="D10" s="11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19" t="s">
        <v>284</v>
      </c>
      <c r="C11" s="119" t="s">
        <v>285</v>
      </c>
      <c r="D11" s="11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19" t="s">
        <v>286</v>
      </c>
      <c r="C12" s="119" t="s">
        <v>287</v>
      </c>
      <c r="D12" s="119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19" t="s">
        <v>288</v>
      </c>
      <c r="C13" s="119" t="s">
        <v>289</v>
      </c>
      <c r="D13" s="11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19" t="s">
        <v>290</v>
      </c>
      <c r="C14" s="119" t="s">
        <v>291</v>
      </c>
      <c r="D14" s="11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19" t="s">
        <v>290</v>
      </c>
      <c r="C15" s="119" t="s">
        <v>291</v>
      </c>
      <c r="D15" s="119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19" t="s">
        <v>292</v>
      </c>
      <c r="C16" s="119" t="s">
        <v>293</v>
      </c>
      <c r="D16" s="119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19" t="s">
        <v>294</v>
      </c>
      <c r="C17" s="119" t="s">
        <v>295</v>
      </c>
      <c r="D17" s="119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19" t="s">
        <v>296</v>
      </c>
      <c r="C18" s="119" t="s">
        <v>297</v>
      </c>
      <c r="D18" s="119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19" t="s">
        <v>296</v>
      </c>
      <c r="C19" s="119" t="s">
        <v>298</v>
      </c>
      <c r="D19" s="119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19" t="s">
        <v>299</v>
      </c>
      <c r="C20" s="119" t="s">
        <v>300</v>
      </c>
      <c r="D20" s="119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19" t="s">
        <v>301</v>
      </c>
      <c r="C21" s="119" t="s">
        <v>302</v>
      </c>
      <c r="D21" s="119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19" t="s">
        <v>303</v>
      </c>
      <c r="C22" s="119" t="s">
        <v>302</v>
      </c>
      <c r="D22" s="119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19" t="s">
        <v>304</v>
      </c>
      <c r="C23" s="119" t="s">
        <v>305</v>
      </c>
      <c r="D23" s="119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19" t="s">
        <v>306</v>
      </c>
      <c r="C24" s="119" t="s">
        <v>307</v>
      </c>
      <c r="D24" s="119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19" t="s">
        <v>308</v>
      </c>
      <c r="C25" s="119" t="s">
        <v>309</v>
      </c>
      <c r="D25" s="119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19" t="s">
        <v>308</v>
      </c>
      <c r="C26" s="119" t="s">
        <v>310</v>
      </c>
      <c r="D26" s="119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19" t="s">
        <v>311</v>
      </c>
      <c r="C27" s="119" t="s">
        <v>312</v>
      </c>
      <c r="D27" s="119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19" t="s">
        <v>313</v>
      </c>
      <c r="C28" s="119" t="s">
        <v>302</v>
      </c>
      <c r="D28" s="119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19" t="s">
        <v>314</v>
      </c>
      <c r="C29" s="119" t="s">
        <v>315</v>
      </c>
      <c r="D29" s="119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19" t="s">
        <v>316</v>
      </c>
      <c r="C30" s="119" t="s">
        <v>74</v>
      </c>
      <c r="D30" s="119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19" t="s">
        <v>317</v>
      </c>
      <c r="C31" s="119" t="s">
        <v>318</v>
      </c>
      <c r="D31" s="119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19" t="s">
        <v>319</v>
      </c>
      <c r="C32" s="119" t="s">
        <v>320</v>
      </c>
      <c r="D32" s="119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19" t="s">
        <v>321</v>
      </c>
      <c r="C33" s="119" t="s">
        <v>322</v>
      </c>
      <c r="D33" s="119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19" t="s">
        <v>323</v>
      </c>
      <c r="C34" s="119" t="s">
        <v>285</v>
      </c>
      <c r="D34" s="119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19" t="s">
        <v>324</v>
      </c>
      <c r="C35" s="119" t="s">
        <v>269</v>
      </c>
      <c r="D35" s="119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19" t="s">
        <v>325</v>
      </c>
      <c r="C36" s="119" t="s">
        <v>326</v>
      </c>
      <c r="D36" s="119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19" t="s">
        <v>327</v>
      </c>
      <c r="C37" s="119" t="s">
        <v>328</v>
      </c>
      <c r="D37" s="119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19" t="s">
        <v>327</v>
      </c>
      <c r="C38" s="119" t="s">
        <v>329</v>
      </c>
      <c r="D38" s="119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19" t="s">
        <v>330</v>
      </c>
      <c r="C39" s="119" t="s">
        <v>287</v>
      </c>
      <c r="D39" s="119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19" t="s">
        <v>330</v>
      </c>
      <c r="C40" s="119" t="s">
        <v>305</v>
      </c>
      <c r="D40" s="119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19" t="s">
        <v>331</v>
      </c>
      <c r="C41" s="119" t="s">
        <v>300</v>
      </c>
      <c r="D41" s="119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19" t="s">
        <v>332</v>
      </c>
      <c r="C42" s="119" t="s">
        <v>333</v>
      </c>
      <c r="D42" s="119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19" t="s">
        <v>334</v>
      </c>
      <c r="C43" s="119" t="s">
        <v>277</v>
      </c>
      <c r="D43" s="119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19" t="s">
        <v>335</v>
      </c>
      <c r="C44" s="119" t="s">
        <v>336</v>
      </c>
      <c r="D44" s="119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19" t="s">
        <v>337</v>
      </c>
      <c r="C45" s="119" t="s">
        <v>295</v>
      </c>
      <c r="D45" s="119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19" t="s">
        <v>338</v>
      </c>
      <c r="C46" s="119" t="s">
        <v>339</v>
      </c>
      <c r="D46" s="119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19" t="s">
        <v>340</v>
      </c>
      <c r="C47" s="119" t="s">
        <v>341</v>
      </c>
      <c r="D47" s="119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19" t="s">
        <v>342</v>
      </c>
      <c r="C48" s="119" t="s">
        <v>343</v>
      </c>
      <c r="D48" s="119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19" t="s">
        <v>344</v>
      </c>
      <c r="C49" s="119" t="s">
        <v>345</v>
      </c>
      <c r="D49" s="119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19" t="s">
        <v>346</v>
      </c>
      <c r="C50" s="119" t="s">
        <v>347</v>
      </c>
      <c r="D50" s="119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19" t="s">
        <v>346</v>
      </c>
      <c r="C51" s="119" t="s">
        <v>348</v>
      </c>
      <c r="D51" s="119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19" t="s">
        <v>349</v>
      </c>
      <c r="C52" s="119" t="s">
        <v>350</v>
      </c>
      <c r="D52" s="119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19" t="s">
        <v>351</v>
      </c>
      <c r="C53" s="119" t="s">
        <v>352</v>
      </c>
      <c r="D53" s="119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19" t="s">
        <v>353</v>
      </c>
      <c r="C54" s="119" t="s">
        <v>326</v>
      </c>
      <c r="D54" s="119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19" t="s">
        <v>354</v>
      </c>
      <c r="C55" s="119" t="s">
        <v>355</v>
      </c>
      <c r="D55" s="119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19" t="s">
        <v>356</v>
      </c>
      <c r="C56" s="119" t="s">
        <v>300</v>
      </c>
      <c r="D56" s="119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19" t="s">
        <v>357</v>
      </c>
      <c r="C57" s="119" t="s">
        <v>270</v>
      </c>
      <c r="D57" s="119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19" t="s">
        <v>358</v>
      </c>
      <c r="C58" s="119" t="s">
        <v>359</v>
      </c>
      <c r="D58" s="119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19" t="s">
        <v>360</v>
      </c>
      <c r="C59" s="119" t="s">
        <v>237</v>
      </c>
      <c r="D59" s="119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19" t="s">
        <v>361</v>
      </c>
      <c r="C60" s="119" t="s">
        <v>362</v>
      </c>
      <c r="D60" s="119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19" t="s">
        <v>363</v>
      </c>
      <c r="C61" s="119" t="s">
        <v>364</v>
      </c>
      <c r="D61" s="119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19" t="s">
        <v>365</v>
      </c>
      <c r="C62" s="119" t="s">
        <v>366</v>
      </c>
      <c r="D62" s="119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19" t="s">
        <v>365</v>
      </c>
      <c r="C63" s="119" t="s">
        <v>298</v>
      </c>
      <c r="D63" s="119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19" t="s">
        <v>367</v>
      </c>
      <c r="C64" s="119" t="s">
        <v>368</v>
      </c>
      <c r="D64" s="119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19" t="s">
        <v>369</v>
      </c>
      <c r="C65" s="119" t="s">
        <v>273</v>
      </c>
      <c r="D65" s="119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19" t="s">
        <v>516</v>
      </c>
      <c r="C66" s="119" t="s">
        <v>515</v>
      </c>
      <c r="D66" s="119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19" t="s">
        <v>370</v>
      </c>
      <c r="C67" s="119" t="s">
        <v>371</v>
      </c>
      <c r="D67" s="119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19" t="s">
        <v>372</v>
      </c>
      <c r="C68" s="119" t="s">
        <v>373</v>
      </c>
      <c r="D68" s="119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19" t="s">
        <v>374</v>
      </c>
      <c r="C69" s="119" t="s">
        <v>298</v>
      </c>
      <c r="D69" s="119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19" t="s">
        <v>375</v>
      </c>
      <c r="C70" s="119" t="s">
        <v>376</v>
      </c>
      <c r="D70" s="119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19" t="s">
        <v>377</v>
      </c>
      <c r="C71" s="119" t="s">
        <v>285</v>
      </c>
      <c r="D71" s="119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19" t="s">
        <v>378</v>
      </c>
      <c r="C72" s="119" t="s">
        <v>379</v>
      </c>
      <c r="D72" s="119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topLeftCell="M1" workbookViewId="0">
      <selection activeCell="D35" sqref="D35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43" t="s">
        <v>202</v>
      </c>
      <c r="C2" s="243"/>
      <c r="E2" s="244" t="str">
        <f>"FEUILLE COMPO "&amp;MATCH_NOUS</f>
        <v>FEUILLE COMPO MXV</v>
      </c>
      <c r="F2" s="245"/>
      <c r="G2" s="245"/>
      <c r="H2" s="246"/>
    </row>
    <row r="3" spans="1:8" ht="19" customHeight="1">
      <c r="B3" s="243"/>
      <c r="C3" s="243"/>
      <c r="E3" s="247"/>
      <c r="F3" s="248"/>
      <c r="G3" s="248"/>
      <c r="H3" s="249"/>
    </row>
    <row r="4" spans="1:8" ht="19" customHeight="1" thickBot="1">
      <c r="B4" s="243"/>
      <c r="C4" s="243"/>
      <c r="E4" s="250"/>
      <c r="F4" s="251"/>
      <c r="G4" s="251"/>
      <c r="H4" s="252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513</v>
      </c>
      <c r="C10" s="48" t="s">
        <v>514</v>
      </c>
      <c r="E10">
        <v>4</v>
      </c>
      <c r="F10" t="s">
        <v>517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530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535</v>
      </c>
      <c r="G23" t="s">
        <v>154</v>
      </c>
    </row>
    <row r="24" spans="1:8">
      <c r="B24" s="3"/>
      <c r="C24" s="3"/>
      <c r="E24">
        <v>18</v>
      </c>
      <c r="F24" t="s">
        <v>537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542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1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6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3"/>
      <c r="AZ1" s="165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92"/>
      <c r="E3" s="92"/>
      <c r="F3" s="91"/>
      <c r="G3" s="93"/>
      <c r="H3" s="91"/>
      <c r="I3" s="93"/>
      <c r="J3" s="93"/>
      <c r="K3" s="93"/>
      <c r="L3" s="91"/>
      <c r="M3" s="93"/>
      <c r="N3" s="91"/>
      <c r="O3" s="104"/>
      <c r="P3" s="116"/>
      <c r="Q3" s="167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1"/>
      <c r="AD3" s="190"/>
      <c r="AE3" s="177"/>
      <c r="AF3" s="177"/>
      <c r="AG3" s="177"/>
      <c r="AH3" s="177"/>
      <c r="AI3" s="184"/>
    </row>
    <row r="4" spans="1:52" ht="42" customHeight="1">
      <c r="A4" s="3"/>
      <c r="B4" s="3"/>
      <c r="C4" s="94"/>
      <c r="D4" s="263" t="s">
        <v>125</v>
      </c>
      <c r="E4" s="264"/>
      <c r="F4" s="12" t="s">
        <v>39</v>
      </c>
      <c r="G4" s="95"/>
      <c r="H4" s="12" t="s">
        <v>56</v>
      </c>
      <c r="I4" s="96"/>
      <c r="J4" s="97"/>
      <c r="K4" s="98"/>
      <c r="L4" s="6" t="s">
        <v>43</v>
      </c>
      <c r="M4" s="99"/>
      <c r="N4" s="6" t="s">
        <v>44</v>
      </c>
      <c r="O4" s="117"/>
      <c r="P4" s="116"/>
      <c r="Q4" s="172"/>
      <c r="R4" s="165" t="s">
        <v>38</v>
      </c>
      <c r="S4" s="190"/>
      <c r="T4" s="16" t="s">
        <v>29</v>
      </c>
      <c r="U4" s="190"/>
      <c r="V4" s="16" t="s">
        <v>52</v>
      </c>
      <c r="W4" s="190"/>
      <c r="X4" s="16" t="s">
        <v>142</v>
      </c>
      <c r="Y4" s="190"/>
      <c r="Z4" s="16" t="s">
        <v>30</v>
      </c>
      <c r="AA4" s="190"/>
      <c r="AB4" s="16" t="s">
        <v>31</v>
      </c>
      <c r="AC4" s="194"/>
      <c r="AD4" s="190"/>
      <c r="AE4" s="177"/>
      <c r="AF4" s="177"/>
      <c r="AG4" s="177"/>
      <c r="AH4" s="177"/>
      <c r="AI4" s="184"/>
    </row>
    <row r="5" spans="1:52" ht="10" customHeight="1" thickBot="1">
      <c r="A5" s="3"/>
      <c r="B5" s="3"/>
      <c r="C5" s="94"/>
      <c r="D5" s="100"/>
      <c r="E5" s="100"/>
      <c r="F5" s="101"/>
      <c r="G5" s="102"/>
      <c r="H5" s="101"/>
      <c r="I5" s="102"/>
      <c r="J5" s="102"/>
      <c r="K5" s="102"/>
      <c r="L5" s="101"/>
      <c r="M5" s="102"/>
      <c r="N5" s="103"/>
      <c r="O5" s="26"/>
      <c r="P5" s="116"/>
      <c r="Q5" s="187"/>
      <c r="R5" s="193"/>
      <c r="S5" s="188"/>
      <c r="T5" s="193"/>
      <c r="U5" s="188"/>
      <c r="V5" s="193"/>
      <c r="W5" s="188"/>
      <c r="X5" s="193"/>
      <c r="Y5" s="188"/>
      <c r="Z5" s="193"/>
      <c r="AA5" s="188"/>
      <c r="AB5" s="193"/>
      <c r="AC5" s="195"/>
      <c r="AD5" s="190"/>
      <c r="AE5" s="177"/>
      <c r="AF5" s="177"/>
      <c r="AG5" s="177"/>
      <c r="AH5" s="177"/>
      <c r="AI5" s="184"/>
    </row>
    <row r="6" spans="1:52" ht="10" customHeight="1" thickTop="1" thickBot="1">
      <c r="A6" s="3"/>
      <c r="B6" s="3"/>
      <c r="C6" s="104"/>
      <c r="D6" s="92"/>
      <c r="E6" s="92"/>
      <c r="F6" s="93"/>
      <c r="G6" s="93"/>
      <c r="H6" s="93"/>
      <c r="I6" s="93"/>
      <c r="J6" s="93"/>
      <c r="K6" s="93"/>
      <c r="L6" s="93"/>
      <c r="M6" s="93"/>
      <c r="N6" s="93"/>
      <c r="O6" s="104"/>
      <c r="P6" s="118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77"/>
      <c r="AE6" s="177"/>
      <c r="AF6" s="177"/>
      <c r="AG6" s="177"/>
      <c r="AH6" s="177"/>
      <c r="AI6" s="184"/>
    </row>
    <row r="7" spans="1:52" ht="10" customHeight="1" thickTop="1">
      <c r="A7" s="3"/>
      <c r="B7" s="3"/>
      <c r="C7" s="28"/>
      <c r="D7" s="106"/>
      <c r="E7" s="107"/>
      <c r="F7" s="105"/>
      <c r="G7" s="107"/>
      <c r="H7" s="105"/>
      <c r="I7" s="107"/>
      <c r="J7" s="105"/>
      <c r="K7" s="107"/>
      <c r="L7" s="105"/>
      <c r="M7" s="107"/>
      <c r="N7" s="107"/>
      <c r="O7" s="107"/>
      <c r="P7" s="116"/>
      <c r="Q7" s="167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1"/>
      <c r="AD7" s="190"/>
      <c r="AE7" s="177"/>
      <c r="AF7" s="177"/>
      <c r="AG7" s="177"/>
      <c r="AH7" s="177"/>
      <c r="AI7" s="184"/>
    </row>
    <row r="8" spans="1:52" ht="26" customHeight="1">
      <c r="A8" s="3"/>
      <c r="B8" s="3"/>
      <c r="C8" s="108"/>
      <c r="D8" s="109" t="s">
        <v>245</v>
      </c>
      <c r="E8" s="110"/>
      <c r="F8" s="158"/>
      <c r="G8" s="111"/>
      <c r="H8" s="89"/>
      <c r="I8" s="111"/>
      <c r="J8" s="90"/>
      <c r="K8" s="111"/>
      <c r="L8" s="159"/>
      <c r="M8" s="96"/>
      <c r="N8" s="102"/>
      <c r="O8" s="115"/>
      <c r="P8" s="116"/>
      <c r="Q8" s="172"/>
      <c r="R8" s="165" t="s">
        <v>49</v>
      </c>
      <c r="S8" s="190"/>
      <c r="T8" s="9" t="s">
        <v>33</v>
      </c>
      <c r="U8" s="190"/>
      <c r="V8" s="9" t="s">
        <v>34</v>
      </c>
      <c r="W8" s="190"/>
      <c r="X8" s="9" t="s">
        <v>35</v>
      </c>
      <c r="Y8" s="190"/>
      <c r="Z8" s="9" t="s">
        <v>36</v>
      </c>
      <c r="AA8" s="190"/>
      <c r="AB8" s="2" t="s">
        <v>37</v>
      </c>
      <c r="AC8" s="194"/>
      <c r="AD8" s="190"/>
      <c r="AE8" s="177"/>
      <c r="AF8" s="12" t="s">
        <v>544</v>
      </c>
      <c r="AG8" s="190"/>
      <c r="AH8" s="177"/>
      <c r="AI8" s="184"/>
    </row>
    <row r="9" spans="1:52" ht="10" customHeight="1" thickBot="1">
      <c r="A9" s="3"/>
      <c r="B9" s="3"/>
      <c r="C9" s="94"/>
      <c r="D9" s="112"/>
      <c r="E9" s="100"/>
      <c r="F9" s="101"/>
      <c r="G9" s="102"/>
      <c r="H9" s="101"/>
      <c r="I9" s="102"/>
      <c r="J9" s="101"/>
      <c r="K9" s="102"/>
      <c r="L9" s="101"/>
      <c r="M9" s="102"/>
      <c r="N9" s="113"/>
      <c r="O9" s="26"/>
      <c r="P9" s="116"/>
      <c r="Q9" s="187"/>
      <c r="R9" s="193"/>
      <c r="S9" s="188"/>
      <c r="T9" s="193"/>
      <c r="U9" s="188"/>
      <c r="V9" s="193"/>
      <c r="W9" s="188"/>
      <c r="X9" s="193"/>
      <c r="Y9" s="188"/>
      <c r="Z9" s="193"/>
      <c r="AA9" s="188"/>
      <c r="AB9" s="193"/>
      <c r="AC9" s="195"/>
      <c r="AD9" s="190"/>
      <c r="AE9" s="177"/>
      <c r="AF9" s="191"/>
      <c r="AG9" s="177"/>
      <c r="AH9" s="177"/>
      <c r="AI9" s="184"/>
    </row>
    <row r="10" spans="1:52" ht="10" customHeight="1" thickTop="1" thickBot="1">
      <c r="A10" s="3"/>
      <c r="B10" s="3"/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07"/>
      <c r="P10" s="118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77"/>
      <c r="AE10" s="177"/>
      <c r="AF10" s="177"/>
      <c r="AG10" s="177"/>
      <c r="AH10" s="177"/>
      <c r="AI10" s="184"/>
    </row>
    <row r="11" spans="1:52" ht="10" customHeight="1" thickTop="1">
      <c r="A11" s="3"/>
      <c r="B11" s="3" t="s">
        <v>45</v>
      </c>
      <c r="C11" s="167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69"/>
      <c r="O11" s="171"/>
      <c r="P11" s="163"/>
      <c r="Q11" s="167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1"/>
    </row>
    <row r="12" spans="1:52" ht="15" customHeight="1">
      <c r="A12" s="3"/>
      <c r="B12" s="3"/>
      <c r="C12" s="172"/>
      <c r="D12" s="265" t="s">
        <v>18</v>
      </c>
      <c r="E12" s="265"/>
      <c r="F12" s="265"/>
      <c r="G12" s="265"/>
      <c r="H12" s="265"/>
      <c r="I12" s="265"/>
      <c r="J12" s="265"/>
      <c r="K12" s="265"/>
      <c r="L12" s="265"/>
      <c r="M12" s="266"/>
      <c r="N12" s="267"/>
      <c r="O12" s="176"/>
      <c r="P12" s="163"/>
      <c r="Q12" s="172"/>
      <c r="R12" s="253" t="s">
        <v>19</v>
      </c>
      <c r="S12" s="253"/>
      <c r="T12" s="253"/>
      <c r="U12" s="253"/>
      <c r="V12" s="253"/>
      <c r="W12" s="253"/>
      <c r="X12" s="253"/>
      <c r="Y12" s="253"/>
      <c r="Z12" s="253"/>
      <c r="AA12" s="253"/>
      <c r="AB12" s="253"/>
      <c r="AC12" s="253"/>
      <c r="AD12" s="253"/>
      <c r="AE12" s="253"/>
      <c r="AF12" s="253"/>
      <c r="AG12" s="254"/>
      <c r="AH12" s="255"/>
      <c r="AI12" s="194"/>
    </row>
    <row r="13" spans="1:52">
      <c r="A13" s="3"/>
      <c r="B13" s="3"/>
      <c r="C13" s="172"/>
      <c r="D13" s="173"/>
      <c r="E13" s="177"/>
      <c r="F13" s="173"/>
      <c r="G13" s="177"/>
      <c r="H13" s="173"/>
      <c r="I13" s="177"/>
      <c r="J13" s="173"/>
      <c r="K13" s="177"/>
      <c r="L13" s="173"/>
      <c r="M13" s="177"/>
      <c r="N13" s="173"/>
      <c r="O13" s="176"/>
      <c r="P13" s="163"/>
      <c r="Q13" s="172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76"/>
    </row>
    <row r="14" spans="1:52" ht="42" customHeight="1">
      <c r="A14" s="3"/>
      <c r="B14" s="3"/>
      <c r="C14" s="179"/>
      <c r="D14" s="204" t="s">
        <v>518</v>
      </c>
      <c r="E14" s="181"/>
      <c r="F14" s="204" t="s">
        <v>519</v>
      </c>
      <c r="G14" s="181"/>
      <c r="H14" s="204" t="s">
        <v>520</v>
      </c>
      <c r="I14" s="181"/>
      <c r="J14" s="204" t="s">
        <v>521</v>
      </c>
      <c r="K14" s="181"/>
      <c r="L14" s="204" t="s">
        <v>529</v>
      </c>
      <c r="M14" s="181"/>
      <c r="N14" s="204" t="s">
        <v>531</v>
      </c>
      <c r="O14" s="182"/>
      <c r="P14" s="163"/>
      <c r="Q14" s="172"/>
      <c r="R14" s="165" t="s">
        <v>268</v>
      </c>
      <c r="S14" s="190"/>
      <c r="T14" s="7" t="s">
        <v>22</v>
      </c>
      <c r="U14" s="190"/>
      <c r="V14" s="7" t="s">
        <v>20</v>
      </c>
      <c r="W14" s="190"/>
      <c r="X14" s="7" t="s">
        <v>23</v>
      </c>
      <c r="Y14" s="190"/>
      <c r="Z14" s="7" t="s">
        <v>24</v>
      </c>
      <c r="AA14" s="190"/>
      <c r="AB14" s="7" t="s">
        <v>21</v>
      </c>
      <c r="AC14" s="190"/>
      <c r="AD14" s="165" t="s">
        <v>224</v>
      </c>
      <c r="AE14" s="190"/>
      <c r="AF14" s="7" t="s">
        <v>25</v>
      </c>
      <c r="AG14" s="190"/>
      <c r="AH14" s="7" t="s">
        <v>26</v>
      </c>
      <c r="AI14" s="194"/>
    </row>
    <row r="15" spans="1:52" ht="10" customHeight="1">
      <c r="A15" s="3"/>
      <c r="B15" s="3"/>
      <c r="C15" s="172"/>
      <c r="D15" s="180"/>
      <c r="E15" s="177"/>
      <c r="F15" s="180"/>
      <c r="G15" s="177"/>
      <c r="H15" s="180"/>
      <c r="I15" s="177"/>
      <c r="J15" s="180"/>
      <c r="K15" s="177"/>
      <c r="L15" s="180"/>
      <c r="M15" s="177"/>
      <c r="N15" s="180"/>
      <c r="O15" s="176"/>
      <c r="P15" s="163"/>
      <c r="Q15" s="172"/>
      <c r="R15" s="191"/>
      <c r="S15" s="177"/>
      <c r="T15" s="191"/>
      <c r="U15" s="177"/>
      <c r="V15" s="191"/>
      <c r="W15" s="177"/>
      <c r="X15" s="191"/>
      <c r="Y15" s="177"/>
      <c r="Z15" s="191"/>
      <c r="AA15" s="177"/>
      <c r="AB15" s="191"/>
      <c r="AC15" s="177"/>
      <c r="AD15" s="191"/>
      <c r="AE15" s="177"/>
      <c r="AF15" s="191"/>
      <c r="AG15" s="177"/>
      <c r="AH15" s="191"/>
      <c r="AI15" s="176"/>
    </row>
    <row r="16" spans="1:52" ht="42" customHeight="1">
      <c r="A16" s="3"/>
      <c r="B16" s="3"/>
      <c r="C16" s="179"/>
      <c r="D16" s="204" t="s">
        <v>532</v>
      </c>
      <c r="E16" s="181"/>
      <c r="F16" s="204" t="s">
        <v>533</v>
      </c>
      <c r="G16" s="181"/>
      <c r="H16" s="204" t="s">
        <v>522</v>
      </c>
      <c r="I16" s="181"/>
      <c r="J16" s="204" t="s">
        <v>523</v>
      </c>
      <c r="K16" s="181"/>
      <c r="L16" s="204" t="s">
        <v>524</v>
      </c>
      <c r="M16" s="181"/>
      <c r="N16" s="204" t="s">
        <v>525</v>
      </c>
      <c r="O16" s="182"/>
      <c r="P16" s="163"/>
      <c r="Q16" s="172"/>
      <c r="R16" s="165" t="s">
        <v>223</v>
      </c>
      <c r="S16" s="190"/>
      <c r="T16" s="7" t="s">
        <v>25</v>
      </c>
      <c r="U16" s="190"/>
      <c r="V16" s="7" t="s">
        <v>26</v>
      </c>
      <c r="W16" s="190"/>
      <c r="X16" s="7" t="s">
        <v>46</v>
      </c>
      <c r="Y16" s="190"/>
      <c r="Z16" s="177"/>
      <c r="AA16" s="177"/>
      <c r="AB16" s="166" t="s">
        <v>406</v>
      </c>
      <c r="AC16" s="190"/>
      <c r="AD16" s="16" t="s">
        <v>246</v>
      </c>
      <c r="AE16" s="190"/>
      <c r="AF16" s="16" t="s">
        <v>404</v>
      </c>
      <c r="AG16" s="190"/>
      <c r="AH16" s="16" t="s">
        <v>405</v>
      </c>
      <c r="AI16" s="194"/>
    </row>
    <row r="17" spans="1:35" ht="10" customHeight="1">
      <c r="A17" s="3"/>
      <c r="B17" s="3"/>
      <c r="C17" s="172"/>
      <c r="D17" s="180"/>
      <c r="E17" s="177"/>
      <c r="F17" s="180"/>
      <c r="G17" s="177"/>
      <c r="H17" s="180"/>
      <c r="I17" s="177"/>
      <c r="J17" s="180"/>
      <c r="K17" s="177"/>
      <c r="L17" s="180"/>
      <c r="M17" s="177"/>
      <c r="N17" s="180"/>
      <c r="O17" s="176"/>
      <c r="P17" s="163"/>
      <c r="Q17" s="172"/>
      <c r="R17" s="191"/>
      <c r="S17" s="177"/>
      <c r="T17" s="191"/>
      <c r="U17" s="177"/>
      <c r="V17" s="191"/>
      <c r="W17" s="177"/>
      <c r="X17" s="191"/>
      <c r="Y17" s="177"/>
      <c r="Z17" s="177"/>
      <c r="AA17" s="177"/>
      <c r="AB17" s="191"/>
      <c r="AC17" s="177"/>
      <c r="AD17" s="191"/>
      <c r="AE17" s="177"/>
      <c r="AF17" s="191"/>
      <c r="AG17" s="177"/>
      <c r="AH17" s="191"/>
      <c r="AI17" s="176"/>
    </row>
    <row r="18" spans="1:35" ht="42" customHeight="1">
      <c r="A18" s="3"/>
      <c r="B18" s="3"/>
      <c r="C18" s="179"/>
      <c r="D18" s="204" t="s">
        <v>526</v>
      </c>
      <c r="E18" s="181"/>
      <c r="F18" s="204" t="s">
        <v>527</v>
      </c>
      <c r="G18" s="181"/>
      <c r="H18" s="204" t="s">
        <v>528</v>
      </c>
      <c r="I18" s="181"/>
      <c r="J18" s="204" t="s">
        <v>534</v>
      </c>
      <c r="K18" s="181"/>
      <c r="L18" s="204" t="s">
        <v>536</v>
      </c>
      <c r="M18" s="181"/>
      <c r="N18" s="204" t="s">
        <v>538</v>
      </c>
      <c r="O18" s="182"/>
      <c r="P18" s="163"/>
      <c r="Q18" s="172"/>
      <c r="R18" s="165" t="s">
        <v>126</v>
      </c>
      <c r="S18" s="190"/>
      <c r="T18" s="7" t="s">
        <v>127</v>
      </c>
      <c r="U18" s="190"/>
      <c r="V18" s="7" t="s">
        <v>128</v>
      </c>
      <c r="W18" s="190"/>
      <c r="X18" s="7" t="s">
        <v>129</v>
      </c>
      <c r="Y18" s="190"/>
      <c r="Z18" s="7" t="s">
        <v>130</v>
      </c>
      <c r="AA18" s="190"/>
      <c r="AB18" s="7" t="s">
        <v>10</v>
      </c>
      <c r="AC18" s="190"/>
      <c r="AD18" s="7" t="s">
        <v>27</v>
      </c>
      <c r="AE18" s="190"/>
      <c r="AF18" s="7" t="s">
        <v>220</v>
      </c>
      <c r="AG18" s="190"/>
      <c r="AH18" s="7" t="s">
        <v>399</v>
      </c>
      <c r="AI18" s="194"/>
    </row>
    <row r="19" spans="1:35" s="3" customFormat="1" ht="10" customHeight="1">
      <c r="C19" s="172"/>
      <c r="D19" s="180"/>
      <c r="E19" s="177"/>
      <c r="F19" s="180"/>
      <c r="G19" s="177"/>
      <c r="H19" s="180"/>
      <c r="I19" s="177"/>
      <c r="J19" s="180"/>
      <c r="K19" s="177"/>
      <c r="L19" s="180"/>
      <c r="M19" s="177"/>
      <c r="N19" s="180"/>
      <c r="O19" s="176"/>
      <c r="P19" s="163"/>
      <c r="Q19" s="172"/>
      <c r="R19" s="191"/>
      <c r="S19" s="177"/>
      <c r="T19" s="191"/>
      <c r="U19" s="177"/>
      <c r="V19" s="191"/>
      <c r="W19" s="177"/>
      <c r="X19" s="191"/>
      <c r="Y19" s="177"/>
      <c r="Z19" s="191"/>
      <c r="AA19" s="177"/>
      <c r="AB19" s="191"/>
      <c r="AC19" s="177"/>
      <c r="AD19" s="191"/>
      <c r="AE19" s="177"/>
      <c r="AF19" s="191"/>
      <c r="AG19" s="177"/>
      <c r="AH19" s="191"/>
      <c r="AI19" s="176"/>
    </row>
    <row r="20" spans="1:35" ht="42" customHeight="1">
      <c r="A20" s="3"/>
      <c r="B20" s="3"/>
      <c r="C20" s="179"/>
      <c r="D20" s="204" t="s">
        <v>539</v>
      </c>
      <c r="E20" s="181"/>
      <c r="F20" s="204" t="s">
        <v>540</v>
      </c>
      <c r="G20" s="181"/>
      <c r="H20" s="204" t="s">
        <v>541</v>
      </c>
      <c r="I20" s="181"/>
      <c r="J20" s="204" t="s">
        <v>543</v>
      </c>
      <c r="K20" s="181"/>
      <c r="L20" s="196" t="s">
        <v>42</v>
      </c>
      <c r="M20" s="181"/>
      <c r="N20" s="196" t="s">
        <v>32</v>
      </c>
      <c r="O20" s="178"/>
      <c r="P20" s="163"/>
      <c r="Q20" s="172"/>
      <c r="R20" s="165" t="s">
        <v>66</v>
      </c>
      <c r="S20" s="190"/>
      <c r="T20" s="8" t="s">
        <v>158</v>
      </c>
      <c r="U20" s="190"/>
      <c r="V20" s="8" t="s">
        <v>159</v>
      </c>
      <c r="W20" s="190"/>
      <c r="X20" s="177"/>
      <c r="Y20" s="177"/>
      <c r="Z20" s="165" t="s">
        <v>512</v>
      </c>
      <c r="AA20" s="190"/>
      <c r="AB20" s="8" t="s">
        <v>158</v>
      </c>
      <c r="AC20" s="190"/>
      <c r="AD20" s="8" t="s">
        <v>159</v>
      </c>
      <c r="AE20" s="190"/>
      <c r="AF20" s="177"/>
      <c r="AG20" s="177"/>
      <c r="AH20" s="177"/>
      <c r="AI20" s="176"/>
    </row>
    <row r="21" spans="1:35" ht="10" customHeight="1" thickBot="1">
      <c r="A21" s="3"/>
      <c r="B21" s="3"/>
      <c r="C21" s="172"/>
      <c r="D21" s="183"/>
      <c r="E21" s="177"/>
      <c r="F21" s="183"/>
      <c r="G21" s="177"/>
      <c r="H21" s="183"/>
      <c r="I21" s="177"/>
      <c r="J21" s="183"/>
      <c r="K21" s="177"/>
      <c r="L21" s="183"/>
      <c r="M21" s="177"/>
      <c r="N21" s="189"/>
      <c r="O21" s="168"/>
      <c r="P21" s="164"/>
      <c r="Q21" s="187"/>
      <c r="R21" s="193"/>
      <c r="S21" s="188"/>
      <c r="T21" s="193"/>
      <c r="U21" s="188"/>
      <c r="V21" s="193"/>
      <c r="W21" s="188"/>
      <c r="X21" s="188"/>
      <c r="Y21" s="188"/>
      <c r="Z21" s="193"/>
      <c r="AA21" s="188"/>
      <c r="AB21" s="193"/>
      <c r="AC21" s="188"/>
      <c r="AD21" s="193"/>
      <c r="AE21" s="188"/>
      <c r="AF21" s="188"/>
      <c r="AG21" s="188"/>
      <c r="AH21" s="188"/>
      <c r="AI21" s="195"/>
    </row>
    <row r="22" spans="1:35" ht="10" customHeight="1" thickTop="1" thickBot="1">
      <c r="A22" s="3"/>
      <c r="B22" s="3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92"/>
      <c r="P22" s="3"/>
    </row>
    <row r="23" spans="1:35" ht="10" customHeight="1" thickTop="1">
      <c r="A23" s="3"/>
      <c r="B23" s="3"/>
      <c r="C23" s="167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9"/>
      <c r="O23" s="171"/>
      <c r="P23" s="3"/>
    </row>
    <row r="24" spans="1:35" ht="15" customHeight="1">
      <c r="A24" s="3"/>
      <c r="B24" s="3"/>
      <c r="C24" s="172"/>
      <c r="D24" s="256" t="s">
        <v>40</v>
      </c>
      <c r="E24" s="256"/>
      <c r="F24" s="256"/>
      <c r="G24" s="256"/>
      <c r="H24" s="256"/>
      <c r="I24" s="256"/>
      <c r="J24" s="256"/>
      <c r="K24" s="256"/>
      <c r="L24" s="256"/>
      <c r="M24" s="257"/>
      <c r="N24" s="258"/>
      <c r="O24" s="176"/>
      <c r="P24" s="3"/>
    </row>
    <row r="25" spans="1:35" s="3" customFormat="1" ht="10" customHeight="1">
      <c r="C25" s="172"/>
      <c r="D25" s="174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6"/>
    </row>
    <row r="26" spans="1:35" ht="15" customHeight="1">
      <c r="A26" s="3"/>
      <c r="B26" s="3"/>
      <c r="C26" s="185"/>
      <c r="D26" s="197" t="s">
        <v>41</v>
      </c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6"/>
      <c r="P26" s="3"/>
    </row>
    <row r="27" spans="1:35" ht="10" customHeight="1">
      <c r="A27" s="3"/>
      <c r="B27" s="3"/>
      <c r="C27" s="172"/>
      <c r="D27" s="177"/>
      <c r="E27" s="177"/>
      <c r="F27" s="174"/>
      <c r="G27" s="177"/>
      <c r="H27" s="173"/>
      <c r="I27" s="177"/>
      <c r="J27" s="173"/>
      <c r="K27" s="177"/>
      <c r="L27" s="173"/>
      <c r="M27" s="177"/>
      <c r="N27" s="173"/>
      <c r="O27" s="176"/>
      <c r="P27" s="3"/>
    </row>
    <row r="28" spans="1:35" ht="42" customHeight="1">
      <c r="A28" s="3"/>
      <c r="B28" s="3"/>
      <c r="C28" s="172"/>
      <c r="D28" s="259">
        <v>5.0188479988425932E-2</v>
      </c>
      <c r="E28" s="260"/>
      <c r="F28" s="261"/>
      <c r="G28" s="186"/>
      <c r="H28" s="198" t="s">
        <v>12</v>
      </c>
      <c r="I28" s="181"/>
      <c r="J28" s="199" t="s">
        <v>11</v>
      </c>
      <c r="K28" s="181"/>
      <c r="L28" s="198" t="s">
        <v>119</v>
      </c>
      <c r="M28" s="181"/>
      <c r="N28" s="200" t="s">
        <v>13</v>
      </c>
      <c r="O28" s="178"/>
      <c r="P28" s="3"/>
      <c r="R28" s="3" t="s">
        <v>67</v>
      </c>
    </row>
    <row r="29" spans="1:35" ht="90" customHeight="1" thickBot="1">
      <c r="A29" s="3"/>
      <c r="B29" s="3"/>
      <c r="C29" s="172"/>
      <c r="D29" s="177"/>
      <c r="E29" s="177"/>
      <c r="F29" s="177"/>
      <c r="G29" s="177"/>
      <c r="H29" s="183"/>
      <c r="I29" s="177"/>
      <c r="J29" s="183"/>
      <c r="K29" s="177"/>
      <c r="L29" s="183"/>
      <c r="M29" s="177"/>
      <c r="N29" s="189"/>
      <c r="O29" s="168"/>
      <c r="P29" s="3"/>
    </row>
    <row r="30" spans="1:35" ht="106" customHeight="1" thickTop="1">
      <c r="A30" s="3"/>
      <c r="B30" s="3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92"/>
      <c r="P30" s="3"/>
    </row>
    <row r="31" spans="1:35" ht="10" customHeight="1">
      <c r="A31" s="3"/>
      <c r="B31" s="3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84"/>
      <c r="P31" s="3"/>
    </row>
    <row r="32" spans="1:35" ht="10" customHeight="1">
      <c r="A32" s="3"/>
      <c r="B32" s="3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84"/>
      <c r="P32" s="3"/>
    </row>
    <row r="33" spans="1:21" ht="15" customHeight="1">
      <c r="A33" s="3"/>
      <c r="B33" s="3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84"/>
      <c r="P33" s="3"/>
    </row>
    <row r="34" spans="1:21" ht="15" customHeight="1">
      <c r="A34" s="3"/>
      <c r="B34" s="3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84"/>
      <c r="P34" s="3"/>
    </row>
    <row r="35" spans="1:21" ht="15" customHeight="1">
      <c r="A35" s="3"/>
      <c r="B35" s="3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84"/>
      <c r="P35" s="3"/>
    </row>
    <row r="36" spans="1:21" ht="15" customHeight="1">
      <c r="A36" s="3"/>
      <c r="B36" s="3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84"/>
      <c r="P36" s="3"/>
    </row>
    <row r="37" spans="1:21" ht="15" customHeight="1">
      <c r="A37" s="3"/>
      <c r="B37" s="3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84"/>
      <c r="P37" s="3"/>
    </row>
    <row r="38" spans="1:21" ht="15" customHeight="1">
      <c r="A38" s="3"/>
      <c r="B38" s="3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84"/>
      <c r="P38" s="3"/>
    </row>
    <row r="39" spans="1:21" ht="15" customHeight="1">
      <c r="A39" s="3"/>
      <c r="B39" s="3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84"/>
      <c r="P39" s="3"/>
    </row>
    <row r="40" spans="1:21" ht="15" customHeight="1">
      <c r="A40" s="3"/>
      <c r="B40" s="3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84"/>
      <c r="P40" s="3"/>
      <c r="R40" s="4"/>
      <c r="S40" s="4"/>
    </row>
    <row r="41" spans="1:21" ht="15" customHeight="1">
      <c r="A41" s="3"/>
      <c r="B41" s="3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84"/>
      <c r="P41" s="3"/>
      <c r="R41" s="4"/>
      <c r="S41" s="4"/>
    </row>
    <row r="42" spans="1:21" ht="15" customHeight="1">
      <c r="A42" s="3"/>
      <c r="B42" s="3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84"/>
      <c r="P42" s="3"/>
    </row>
    <row r="43" spans="1:21" s="3" customFormat="1" ht="15" customHeight="1"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84"/>
    </row>
    <row r="44" spans="1:21" ht="15" customHeight="1">
      <c r="A44" s="3"/>
      <c r="B44" s="3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84"/>
      <c r="P44" s="3"/>
    </row>
    <row r="45" spans="1:21" ht="15" customHeight="1">
      <c r="A45" s="3"/>
      <c r="B45" s="3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84"/>
      <c r="P45" s="3"/>
      <c r="Q45" s="5"/>
      <c r="T45" s="4"/>
      <c r="U45" s="4"/>
    </row>
    <row r="46" spans="1:21" ht="15" customHeight="1">
      <c r="A46" s="3"/>
      <c r="B46" s="3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84"/>
      <c r="P46" s="3"/>
      <c r="U46" s="4"/>
    </row>
    <row r="47" spans="1:21" ht="15" customHeight="1">
      <c r="A47" s="3"/>
      <c r="B47" s="3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84"/>
      <c r="P47" s="3"/>
      <c r="U47" s="4"/>
    </row>
    <row r="48" spans="1:21" ht="15" customHeight="1">
      <c r="A48" s="3"/>
      <c r="B48" s="3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84"/>
      <c r="P48" s="3"/>
      <c r="Q48" s="3" t="s">
        <v>67</v>
      </c>
      <c r="U48" s="4"/>
    </row>
    <row r="49" spans="1:18" ht="15" customHeight="1">
      <c r="A49" s="3"/>
      <c r="B49" s="3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84"/>
      <c r="P49" s="3"/>
    </row>
    <row r="50" spans="1:18" ht="15" customHeight="1">
      <c r="A50" s="3"/>
      <c r="B50" s="3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84"/>
      <c r="P50" s="3"/>
    </row>
    <row r="51" spans="1:18" ht="15" customHeight="1">
      <c r="A51" s="3"/>
      <c r="B51" s="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5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88"/>
      <c r="B2"/>
      <c r="C2"/>
      <c r="D2"/>
      <c r="E2"/>
      <c r="F2"/>
      <c r="G2"/>
      <c r="H2"/>
      <c r="I2" s="206"/>
      <c r="J2"/>
      <c r="K2"/>
      <c r="L2" s="20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abSelected="1" topLeftCell="A73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</row>
    <row r="4" spans="2:37" s="3" customFormat="1" ht="20" customHeight="1">
      <c r="B4" s="240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</row>
    <row r="5" spans="2:37" s="3" customFormat="1"/>
    <row r="6" spans="2:37" ht="14" customHeight="1">
      <c r="B6" s="236" t="s">
        <v>14</v>
      </c>
      <c r="C6" s="218" t="str">
        <f>ACT_PL_NORMAL</f>
        <v>Plaquage normal</v>
      </c>
      <c r="D6" s="219"/>
      <c r="E6" s="218" t="str">
        <f>ACT_PL_OFF</f>
        <v>Plaquage offensif</v>
      </c>
      <c r="F6" s="219"/>
      <c r="G6" s="218" t="str">
        <f>ACT_PL_RATE</f>
        <v>Plaquage raté</v>
      </c>
      <c r="H6" s="219"/>
      <c r="I6" s="218" t="str">
        <f>ACT_PL_A2</f>
        <v>Plaquage à 2</v>
      </c>
      <c r="J6" s="221"/>
      <c r="K6" s="221" t="str">
        <f>ACT_PL_HAUT</f>
        <v>Plaquage haut</v>
      </c>
      <c r="L6" s="219"/>
      <c r="M6" s="221" t="str">
        <f>ACT_GRATTAGE</f>
        <v>Grattage</v>
      </c>
      <c r="N6" s="219"/>
      <c r="O6" s="221" t="str">
        <f>ACT_FRANCHISSEMENT</f>
        <v>Franchissement</v>
      </c>
      <c r="P6" s="219"/>
      <c r="Q6" s="221" t="str">
        <f>ACT_AVANCEE</f>
        <v>Avancée au contact</v>
      </c>
      <c r="R6" s="219"/>
      <c r="S6" s="221" t="str">
        <f>ACT_ATT_NULLE</f>
        <v>Recul ou sans progression</v>
      </c>
      <c r="T6" s="219"/>
      <c r="U6" s="208" t="s">
        <v>233</v>
      </c>
      <c r="V6" s="209"/>
      <c r="W6" s="209"/>
      <c r="X6" s="209"/>
      <c r="Y6" s="209"/>
      <c r="Z6" s="210"/>
      <c r="AF6"/>
      <c r="AG6"/>
    </row>
    <row r="7" spans="2:37" ht="13" customHeight="1">
      <c r="B7" s="237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11">
        <f t="shared" si="0"/>
        <v>0</v>
      </c>
      <c r="V32" s="211">
        <f t="shared" si="0"/>
        <v>0</v>
      </c>
      <c r="W32" s="211">
        <f t="shared" si="0"/>
        <v>0</v>
      </c>
      <c r="X32" s="211">
        <f t="shared" si="0"/>
        <v>0</v>
      </c>
      <c r="Y32" s="211">
        <f t="shared" si="0"/>
        <v>0</v>
      </c>
      <c r="Z32" s="211">
        <f t="shared" si="0"/>
        <v>0</v>
      </c>
    </row>
    <row r="33" spans="2:33" s="46" customFormat="1" ht="25" customHeight="1">
      <c r="B33" s="60" t="s">
        <v>177</v>
      </c>
      <c r="C33" s="215">
        <f>C32+D32</f>
        <v>0</v>
      </c>
      <c r="D33" s="216"/>
      <c r="E33" s="217">
        <f t="shared" ref="E33" si="3">E32+F32</f>
        <v>0</v>
      </c>
      <c r="F33" s="217"/>
      <c r="G33" s="215">
        <f t="shared" ref="G33" si="4">G32+H32</f>
        <v>0</v>
      </c>
      <c r="H33" s="216"/>
      <c r="I33" s="215">
        <f>I32+J32</f>
        <v>0</v>
      </c>
      <c r="J33" s="216"/>
      <c r="K33" s="215">
        <f t="shared" ref="K33" si="5">K32+L32</f>
        <v>0</v>
      </c>
      <c r="L33" s="216"/>
      <c r="M33" s="217">
        <f t="shared" ref="M33" si="6">M32+N32</f>
        <v>0</v>
      </c>
      <c r="N33" s="216"/>
      <c r="O33" s="217">
        <f t="shared" ref="O33" si="7">O32+P32</f>
        <v>0</v>
      </c>
      <c r="P33" s="216"/>
      <c r="Q33" s="217">
        <f t="shared" ref="Q33" si="8">Q32+R32</f>
        <v>0</v>
      </c>
      <c r="R33" s="216"/>
      <c r="S33" s="217">
        <f t="shared" ref="S33" si="9">S32+T32</f>
        <v>0</v>
      </c>
      <c r="T33" s="216"/>
      <c r="U33" s="212"/>
      <c r="V33" s="212"/>
      <c r="W33" s="212"/>
      <c r="X33" s="212"/>
      <c r="Y33" s="212"/>
      <c r="Z33" s="212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44" t="s">
        <v>145</v>
      </c>
      <c r="E36" s="62" t="s">
        <v>481</v>
      </c>
      <c r="F36" s="3"/>
      <c r="G36" s="218" t="s">
        <v>172</v>
      </c>
      <c r="H36" s="219"/>
      <c r="J36" s="218" t="s">
        <v>28</v>
      </c>
      <c r="K36" s="218" t="s">
        <v>148</v>
      </c>
      <c r="L36" s="221"/>
      <c r="M36" s="219"/>
      <c r="N36" s="219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2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20"/>
      <c r="K37" s="75" t="s">
        <v>154</v>
      </c>
      <c r="L37" s="71" t="s">
        <v>171</v>
      </c>
      <c r="M37" s="76" t="s">
        <v>32</v>
      </c>
      <c r="N37" s="222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43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44" t="s">
        <v>145</v>
      </c>
      <c r="E40" s="62" t="s">
        <v>481</v>
      </c>
      <c r="F40" s="3"/>
      <c r="G40" s="218" t="s">
        <v>150</v>
      </c>
      <c r="H40" s="219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42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43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13" t="s">
        <v>1</v>
      </c>
      <c r="K42" s="214"/>
      <c r="L42" s="43">
        <f>COUNTIFS(JournalActions[Action],ACT_PEN_CONTRE_NOUS,JournalActions[Motif penalite],"Maul*")</f>
        <v>0</v>
      </c>
      <c r="M42" s="43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25" t="s">
        <v>2</v>
      </c>
      <c r="K43" s="226"/>
      <c r="L43" s="15">
        <f>COUNTIFS(JournalActions[Action],ACT_PEN_CONTRE_NOUS,JournalActions[Motif penalite],"Ruck*")</f>
        <v>0</v>
      </c>
      <c r="M43" s="15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18" t="s">
        <v>238</v>
      </c>
      <c r="H44" s="219"/>
      <c r="I44" s="3"/>
      <c r="J44" s="213" t="s">
        <v>3</v>
      </c>
      <c r="K44" s="214"/>
      <c r="L44" s="43">
        <f>COUNTIFS(JournalActions[Action],ACT_PEN_CONTRE_NOUS,JournalActions[Motif penalite],"Hors-jeu")</f>
        <v>0</v>
      </c>
      <c r="M44" s="43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25" t="s">
        <v>4</v>
      </c>
      <c r="K45" s="226"/>
      <c r="L45" s="15">
        <f>COUNTIFS(JournalActions[Action],ACT_PEN_CONTRE_NOUS,JournalActions[Motif penalite],"Plaquage - à 2")</f>
        <v>0</v>
      </c>
      <c r="M45" s="15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13" t="s">
        <v>5</v>
      </c>
      <c r="K46" s="214"/>
      <c r="L46" s="43">
        <f>COUNTIFS(JournalActions[Action],ACT_PEN_CONTRE_NOUS,JournalActions[Motif penalite],"Plaquage - haut")</f>
        <v>0</v>
      </c>
      <c r="M46" s="43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25" t="s">
        <v>168</v>
      </c>
      <c r="K47" s="226"/>
      <c r="L47" s="15">
        <f>COUNTIF(JournalActions[Action],ACT_PEN_CONTRE_NOUS)-SUM(L42:L46)</f>
        <v>0</v>
      </c>
      <c r="M47" s="15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4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41"/>
      <c r="D56" s="241"/>
      <c r="E56" s="241"/>
      <c r="F56" s="241"/>
      <c r="G56" s="241"/>
      <c r="H56" s="241"/>
      <c r="I56" s="241"/>
      <c r="J56" s="241"/>
      <c r="K56" s="241"/>
      <c r="L56" s="207"/>
      <c r="M56" s="207"/>
      <c r="N56" s="207"/>
      <c r="O56" s="207"/>
      <c r="P56" s="207"/>
      <c r="Q56" s="207"/>
      <c r="R56" s="207"/>
      <c r="S56" s="207"/>
      <c r="T56" s="207"/>
    </row>
    <row r="57" spans="2:20" s="3" customFormat="1" ht="13" customHeight="1">
      <c r="B57" s="240"/>
      <c r="C57" s="241"/>
      <c r="D57" s="241"/>
      <c r="E57" s="241"/>
      <c r="F57" s="241"/>
      <c r="G57" s="241"/>
      <c r="H57" s="241"/>
      <c r="I57" s="241"/>
      <c r="J57" s="241"/>
      <c r="K57" s="241"/>
      <c r="L57" s="207"/>
      <c r="M57" s="207"/>
      <c r="N57" s="207"/>
      <c r="O57" s="207"/>
      <c r="P57" s="207"/>
      <c r="Q57" s="207"/>
      <c r="R57" s="207"/>
      <c r="S57" s="207"/>
      <c r="T57" s="207"/>
    </row>
    <row r="58" spans="2:20" s="3" customFormat="1" ht="14" thickBot="1"/>
    <row r="59" spans="2:20" s="3" customFormat="1">
      <c r="B59" s="227" t="s">
        <v>236</v>
      </c>
      <c r="C59" s="228"/>
      <c r="D59" s="228"/>
      <c r="E59" s="228"/>
      <c r="F59" s="228"/>
      <c r="G59" s="228"/>
      <c r="H59" s="228"/>
      <c r="I59" s="228"/>
      <c r="J59" s="228"/>
      <c r="K59" s="229"/>
    </row>
    <row r="60" spans="2:20" s="3" customFormat="1">
      <c r="B60" s="230"/>
      <c r="C60" s="231"/>
      <c r="D60" s="231"/>
      <c r="E60" s="231"/>
      <c r="F60" s="231"/>
      <c r="G60" s="231"/>
      <c r="H60" s="231"/>
      <c r="I60" s="231"/>
      <c r="J60" s="231"/>
      <c r="K60" s="232"/>
    </row>
    <row r="61" spans="2:20" s="3" customFormat="1" ht="14" thickBot="1">
      <c r="B61" s="233"/>
      <c r="C61" s="234"/>
      <c r="D61" s="234"/>
      <c r="E61" s="234"/>
      <c r="F61" s="234"/>
      <c r="G61" s="234"/>
      <c r="H61" s="234"/>
      <c r="I61" s="234"/>
      <c r="J61" s="234"/>
      <c r="K61" s="235"/>
    </row>
    <row r="62" spans="2:20" s="3" customFormat="1"/>
    <row r="63" spans="2:20" s="3" customFormat="1" ht="14">
      <c r="B63" s="236" t="s">
        <v>14</v>
      </c>
      <c r="C63" s="218" t="str">
        <f>ACT_TO_NS_G</f>
        <v>Touche à nous conservée</v>
      </c>
      <c r="D63" s="219"/>
      <c r="E63" s="218" t="str">
        <f>ACT_TO_ADV_VOLEE</f>
        <v>Touche à eux volée</v>
      </c>
      <c r="F63" s="219"/>
      <c r="H63" s="238" t="str">
        <f>ACT_TO_NS_P</f>
        <v>Touche à nous perdue</v>
      </c>
      <c r="I63" s="239"/>
      <c r="J63" s="238" t="str">
        <f>ACT_TO_NS_PAS_DROIT</f>
        <v>Touche à nous pas droite</v>
      </c>
      <c r="K63" s="239"/>
    </row>
    <row r="64" spans="2:20" s="3" customFormat="1" ht="14">
      <c r="B64" s="237"/>
      <c r="C64" s="75" t="s">
        <v>47</v>
      </c>
      <c r="D64" s="76" t="s">
        <v>44</v>
      </c>
      <c r="E64" s="75" t="s">
        <v>47</v>
      </c>
      <c r="F64" s="76" t="s">
        <v>44</v>
      </c>
      <c r="H64" s="77" t="s">
        <v>47</v>
      </c>
      <c r="I64" s="78" t="s">
        <v>44</v>
      </c>
      <c r="J64" s="77" t="s">
        <v>47</v>
      </c>
      <c r="K64" s="78" t="s">
        <v>44</v>
      </c>
    </row>
    <row r="65" spans="2:11" s="3" customFormat="1">
      <c r="B65" s="33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33" t="str">
        <f>IF(COUNTIFS(JournalActions[Joueur],$B65,JournalActions[Action],$C$63,JournalActions[Mi-temps],C$64)=0,"",COUNTIFS(JournalActions[Joueur],$B65,JournalActions[Action],$C$63,JournalActions[Mi-temps],C$64))</f>
        <v/>
      </c>
      <c r="D65" s="34" t="str">
        <f>IF(COUNTIFS(JournalActions[Joueur],$B65,JournalActions[Action],$C$63,JournalActions[Mi-temps],D$64)=0,"",COUNTIFS(JournalActions[Joueur],$B65,JournalActions[Action],$C$63,JournalActions[Mi-temps],D$64))</f>
        <v/>
      </c>
      <c r="E65" s="33" t="str">
        <f>IF(COUNTIFS(JournalActions[Joueur],$B65,JournalActions[Action],$E$63,JournalActions[Mi-temps],E$64)=0,"",COUNTIFS(JournalActions[Joueur],$B65,JournalActions[Action],$E$63,JournalActions[Mi-temps],E$64))</f>
        <v/>
      </c>
      <c r="F65" s="34" t="str">
        <f>IF(COUNTIFS(JournalActions[Joueur],$B65,JournalActions[Action],$E$63,JournalActions[Mi-temps],F$64)=0,"",COUNTIFS(JournalActions[Joueur],$B65,JournalActions[Action],$E$63,JournalActions[Mi-temps],F$64))</f>
        <v/>
      </c>
      <c r="H65" s="33" t="str">
        <f>IF(COUNTIFS(JournalActions[Joueur],$B65,JournalActions[Action],$H$63,JournalActions[Mi-temps],H$64)=0,"",COUNTIFS(JournalActions[Joueur],$B65,JournalActions[Action],$H$63,JournalActions[Mi-temps],H$64))</f>
        <v/>
      </c>
      <c r="I65" s="34" t="str">
        <f>IF(COUNTIFS(JournalActions[Joueur],$B65,JournalActions[Action],$H$63,JournalActions[Mi-temps],I$64)=0,"",COUNTIFS(JournalActions[Joueur],$B65,JournalActions[Action],$H$63,JournalActions[Mi-temps],I$64))</f>
        <v/>
      </c>
      <c r="J65" s="33" t="str">
        <f>IF(COUNTIFS(JournalActions[Joueur],$B65,JournalActions[Action],$J$63,JournalActions[Mi-temps],J$64)=0,"",COUNTIFS(JournalActions[Joueur],$B65,JournalActions[Action],$J$63,JournalActions[Mi-temps],J$64))</f>
        <v/>
      </c>
      <c r="K65" s="34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33" t="str">
        <v>ABADIE Quentin</v>
      </c>
      <c r="C66" s="33" t="str">
        <f>IF(COUNTIFS(JournalActions[Joueur],$B66,JournalActions[Action],$C$63,JournalActions[Mi-temps],C$64)=0,"",COUNTIFS(JournalActions[Joueur],$B66,JournalActions[Action],$C$63,JournalActions[Mi-temps],C$64))</f>
        <v/>
      </c>
      <c r="D66" s="34" t="str">
        <f>IF(COUNTIFS(JournalActions[Joueur],$B66,JournalActions[Action],$C$63,JournalActions[Mi-temps],D$64)=0,"",COUNTIFS(JournalActions[Joueur],$B66,JournalActions[Action],$C$63,JournalActions[Mi-temps],D$64))</f>
        <v/>
      </c>
      <c r="E66" s="33" t="str">
        <f>IF(COUNTIFS(JournalActions[Joueur],$B66,JournalActions[Action],$E$63,JournalActions[Mi-temps],E$64)=0,"",COUNTIFS(JournalActions[Joueur],$B66,JournalActions[Action],$E$63,JournalActions[Mi-temps],E$64))</f>
        <v/>
      </c>
      <c r="F66" s="34" t="str">
        <f>IF(COUNTIFS(JournalActions[Joueur],$B66,JournalActions[Action],$E$63,JournalActions[Mi-temps],F$64)=0,"",COUNTIFS(JournalActions[Joueur],$B66,JournalActions[Action],$E$63,JournalActions[Mi-temps],F$64))</f>
        <v/>
      </c>
      <c r="H66" s="33" t="str">
        <f>IF(COUNTIFS(JournalActions[Joueur],$B66,JournalActions[Action],$H$63,JournalActions[Mi-temps],H$64)=0,"",COUNTIFS(JournalActions[Joueur],$B66,JournalActions[Action],$H$63,JournalActions[Mi-temps],H$64))</f>
        <v/>
      </c>
      <c r="I66" s="34" t="str">
        <f>IF(COUNTIFS(JournalActions[Joueur],$B66,JournalActions[Action],$H$63,JournalActions[Mi-temps],I$64)=0,"",COUNTIFS(JournalActions[Joueur],$B66,JournalActions[Action],$H$63,JournalActions[Mi-temps],I$64))</f>
        <v/>
      </c>
      <c r="J66" s="33" t="str">
        <f>IF(COUNTIFS(JournalActions[Joueur],$B66,JournalActions[Action],$J$63,JournalActions[Mi-temps],J$64)=0,"",COUNTIFS(JournalActions[Joueur],$B66,JournalActions[Action],$J$63,JournalActions[Mi-temps],J$64))</f>
        <v/>
      </c>
      <c r="K66" s="34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33" t="str">
        <v>ABADIE Thomas</v>
      </c>
      <c r="C67" s="33" t="str">
        <f>IF(COUNTIFS(JournalActions[Joueur],$B67,JournalActions[Action],$C$63,JournalActions[Mi-temps],C$64)=0,"",COUNTIFS(JournalActions[Joueur],$B67,JournalActions[Action],$C$63,JournalActions[Mi-temps],C$64))</f>
        <v/>
      </c>
      <c r="D67" s="34" t="str">
        <f>IF(COUNTIFS(JournalActions[Joueur],$B67,JournalActions[Action],$C$63,JournalActions[Mi-temps],D$64)=0,"",COUNTIFS(JournalActions[Joueur],$B67,JournalActions[Action],$C$63,JournalActions[Mi-temps],D$64))</f>
        <v/>
      </c>
      <c r="E67" s="33" t="str">
        <f>IF(COUNTIFS(JournalActions[Joueur],$B67,JournalActions[Action],$E$63,JournalActions[Mi-temps],E$64)=0,"",COUNTIFS(JournalActions[Joueur],$B67,JournalActions[Action],$E$63,JournalActions[Mi-temps],E$64))</f>
        <v/>
      </c>
      <c r="F67" s="34" t="str">
        <f>IF(COUNTIFS(JournalActions[Joueur],$B67,JournalActions[Action],$E$63,JournalActions[Mi-temps],F$64)=0,"",COUNTIFS(JournalActions[Joueur],$B67,JournalActions[Action],$E$63,JournalActions[Mi-temps],F$64))</f>
        <v/>
      </c>
      <c r="H67" s="33" t="str">
        <f>IF(COUNTIFS(JournalActions[Joueur],$B67,JournalActions[Action],$H$63,JournalActions[Mi-temps],H$64)=0,"",COUNTIFS(JournalActions[Joueur],$B67,JournalActions[Action],$H$63,JournalActions[Mi-temps],H$64))</f>
        <v/>
      </c>
      <c r="I67" s="34" t="str">
        <f>IF(COUNTIFS(JournalActions[Joueur],$B67,JournalActions[Action],$H$63,JournalActions[Mi-temps],I$64)=0,"",COUNTIFS(JournalActions[Joueur],$B67,JournalActions[Action],$H$63,JournalActions[Mi-temps],I$64))</f>
        <v/>
      </c>
      <c r="J67" s="33" t="str">
        <f>IF(COUNTIFS(JournalActions[Joueur],$B67,JournalActions[Action],$J$63,JournalActions[Mi-temps],J$64)=0,"",COUNTIFS(JournalActions[Joueur],$B67,JournalActions[Action],$J$63,JournalActions[Mi-temps],J$64))</f>
        <v/>
      </c>
      <c r="K67" s="34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33" t="str">
        <v>BARATGIN Julian</v>
      </c>
      <c r="C68" s="33" t="str">
        <f>IF(COUNTIFS(JournalActions[Joueur],$B68,JournalActions[Action],$C$63,JournalActions[Mi-temps],C$64)=0,"",COUNTIFS(JournalActions[Joueur],$B68,JournalActions[Action],$C$63,JournalActions[Mi-temps],C$64))</f>
        <v/>
      </c>
      <c r="D68" s="34" t="str">
        <f>IF(COUNTIFS(JournalActions[Joueur],$B68,JournalActions[Action],$C$63,JournalActions[Mi-temps],D$64)=0,"",COUNTIFS(JournalActions[Joueur],$B68,JournalActions[Action],$C$63,JournalActions[Mi-temps],D$64))</f>
        <v/>
      </c>
      <c r="E68" s="33" t="str">
        <f>IF(COUNTIFS(JournalActions[Joueur],$B68,JournalActions[Action],$E$63,JournalActions[Mi-temps],E$64)=0,"",COUNTIFS(JournalActions[Joueur],$B68,JournalActions[Action],$E$63,JournalActions[Mi-temps],E$64))</f>
        <v/>
      </c>
      <c r="F68" s="34" t="str">
        <f>IF(COUNTIFS(JournalActions[Joueur],$B68,JournalActions[Action],$E$63,JournalActions[Mi-temps],F$64)=0,"",COUNTIFS(JournalActions[Joueur],$B68,JournalActions[Action],$E$63,JournalActions[Mi-temps],F$64))</f>
        <v/>
      </c>
      <c r="H68" s="33" t="str">
        <f>IF(COUNTIFS(JournalActions[Joueur],$B68,JournalActions[Action],$H$63,JournalActions[Mi-temps],H$64)=0,"",COUNTIFS(JournalActions[Joueur],$B68,JournalActions[Action],$H$63,JournalActions[Mi-temps],H$64))</f>
        <v/>
      </c>
      <c r="I68" s="34" t="str">
        <f>IF(COUNTIFS(JournalActions[Joueur],$B68,JournalActions[Action],$H$63,JournalActions[Mi-temps],I$64)=0,"",COUNTIFS(JournalActions[Joueur],$B68,JournalActions[Action],$H$63,JournalActions[Mi-temps],I$64))</f>
        <v/>
      </c>
      <c r="J68" s="33" t="str">
        <f>IF(COUNTIFS(JournalActions[Joueur],$B68,JournalActions[Action],$J$63,JournalActions[Mi-temps],J$64)=0,"",COUNTIFS(JournalActions[Joueur],$B68,JournalActions[Action],$J$63,JournalActions[Mi-temps],J$64))</f>
        <v/>
      </c>
      <c r="K68" s="34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33" t="str">
        <v>BAUP Bastien</v>
      </c>
      <c r="C69" s="33" t="str">
        <f>IF(COUNTIFS(JournalActions[Joueur],$B69,JournalActions[Action],$C$63,JournalActions[Mi-temps],C$64)=0,"",COUNTIFS(JournalActions[Joueur],$B69,JournalActions[Action],$C$63,JournalActions[Mi-temps],C$64))</f>
        <v/>
      </c>
      <c r="D69" s="34" t="str">
        <f>IF(COUNTIFS(JournalActions[Joueur],$B69,JournalActions[Action],$C$63,JournalActions[Mi-temps],D$64)=0,"",COUNTIFS(JournalActions[Joueur],$B69,JournalActions[Action],$C$63,JournalActions[Mi-temps],D$64))</f>
        <v/>
      </c>
      <c r="E69" s="33" t="str">
        <f>IF(COUNTIFS(JournalActions[Joueur],$B69,JournalActions[Action],$E$63,JournalActions[Mi-temps],E$64)=0,"",COUNTIFS(JournalActions[Joueur],$B69,JournalActions[Action],$E$63,JournalActions[Mi-temps],E$64))</f>
        <v/>
      </c>
      <c r="F69" s="34" t="str">
        <f>IF(COUNTIFS(JournalActions[Joueur],$B69,JournalActions[Action],$E$63,JournalActions[Mi-temps],F$64)=0,"",COUNTIFS(JournalActions[Joueur],$B69,JournalActions[Action],$E$63,JournalActions[Mi-temps],F$64))</f>
        <v/>
      </c>
      <c r="H69" s="33" t="str">
        <f>IF(COUNTIFS(JournalActions[Joueur],$B69,JournalActions[Action],$H$63,JournalActions[Mi-temps],H$64)=0,"",COUNTIFS(JournalActions[Joueur],$B69,JournalActions[Action],$H$63,JournalActions[Mi-temps],H$64))</f>
        <v/>
      </c>
      <c r="I69" s="34" t="str">
        <f>IF(COUNTIFS(JournalActions[Joueur],$B69,JournalActions[Action],$H$63,JournalActions[Mi-temps],I$64)=0,"",COUNTIFS(JournalActions[Joueur],$B69,JournalActions[Action],$H$63,JournalActions[Mi-temps],I$64))</f>
        <v/>
      </c>
      <c r="J69" s="33" t="str">
        <f>IF(COUNTIFS(JournalActions[Joueur],$B69,JournalActions[Action],$J$63,JournalActions[Mi-temps],J$64)=0,"",COUNTIFS(JournalActions[Joueur],$B69,JournalActions[Action],$J$63,JournalActions[Mi-temps],J$64))</f>
        <v/>
      </c>
      <c r="K69" s="34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33" t="str">
        <v>BIFFI Pierre</v>
      </c>
      <c r="C70" s="33" t="str">
        <f>IF(COUNTIFS(JournalActions[Joueur],$B70,JournalActions[Action],$C$63,JournalActions[Mi-temps],C$64)=0,"",COUNTIFS(JournalActions[Joueur],$B70,JournalActions[Action],$C$63,JournalActions[Mi-temps],C$64))</f>
        <v/>
      </c>
      <c r="D70" s="34" t="str">
        <f>IF(COUNTIFS(JournalActions[Joueur],$B70,JournalActions[Action],$C$63,JournalActions[Mi-temps],D$64)=0,"",COUNTIFS(JournalActions[Joueur],$B70,JournalActions[Action],$C$63,JournalActions[Mi-temps],D$64))</f>
        <v/>
      </c>
      <c r="E70" s="33" t="str">
        <f>IF(COUNTIFS(JournalActions[Joueur],$B70,JournalActions[Action],$E$63,JournalActions[Mi-temps],E$64)=0,"",COUNTIFS(JournalActions[Joueur],$B70,JournalActions[Action],$E$63,JournalActions[Mi-temps],E$64))</f>
        <v/>
      </c>
      <c r="F70" s="34" t="str">
        <f>IF(COUNTIFS(JournalActions[Joueur],$B70,JournalActions[Action],$E$63,JournalActions[Mi-temps],F$64)=0,"",COUNTIFS(JournalActions[Joueur],$B70,JournalActions[Action],$E$63,JournalActions[Mi-temps],F$64))</f>
        <v/>
      </c>
      <c r="H70" s="33" t="str">
        <f>IF(COUNTIFS(JournalActions[Joueur],$B70,JournalActions[Action],$H$63,JournalActions[Mi-temps],H$64)=0,"",COUNTIFS(JournalActions[Joueur],$B70,JournalActions[Action],$H$63,JournalActions[Mi-temps],H$64))</f>
        <v/>
      </c>
      <c r="I70" s="34" t="str">
        <f>IF(COUNTIFS(JournalActions[Joueur],$B70,JournalActions[Action],$H$63,JournalActions[Mi-temps],I$64)=0,"",COUNTIFS(JournalActions[Joueur],$B70,JournalActions[Action],$H$63,JournalActions[Mi-temps],I$64))</f>
        <v/>
      </c>
      <c r="J70" s="33" t="str">
        <f>IF(COUNTIFS(JournalActions[Joueur],$B70,JournalActions[Action],$J$63,JournalActions[Mi-temps],J$64)=0,"",COUNTIFS(JournalActions[Joueur],$B70,JournalActions[Action],$J$63,JournalActions[Mi-temps],J$64))</f>
        <v/>
      </c>
      <c r="K70" s="34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33" t="str">
        <v>BOURREC Anthony</v>
      </c>
      <c r="C71" s="33" t="str">
        <f>IF(COUNTIFS(JournalActions[Joueur],$B71,JournalActions[Action],$C$63,JournalActions[Mi-temps],C$64)=0,"",COUNTIFS(JournalActions[Joueur],$B71,JournalActions[Action],$C$63,JournalActions[Mi-temps],C$64))</f>
        <v/>
      </c>
      <c r="D71" s="34" t="str">
        <f>IF(COUNTIFS(JournalActions[Joueur],$B71,JournalActions[Action],$C$63,JournalActions[Mi-temps],D$64)=0,"",COUNTIFS(JournalActions[Joueur],$B71,JournalActions[Action],$C$63,JournalActions[Mi-temps],D$64))</f>
        <v/>
      </c>
      <c r="E71" s="33" t="str">
        <f>IF(COUNTIFS(JournalActions[Joueur],$B71,JournalActions[Action],$E$63,JournalActions[Mi-temps],E$64)=0,"",COUNTIFS(JournalActions[Joueur],$B71,JournalActions[Action],$E$63,JournalActions[Mi-temps],E$64))</f>
        <v/>
      </c>
      <c r="F71" s="34" t="str">
        <f>IF(COUNTIFS(JournalActions[Joueur],$B71,JournalActions[Action],$E$63,JournalActions[Mi-temps],F$64)=0,"",COUNTIFS(JournalActions[Joueur],$B71,JournalActions[Action],$E$63,JournalActions[Mi-temps],F$64))</f>
        <v/>
      </c>
      <c r="H71" s="33" t="str">
        <f>IF(COUNTIFS(JournalActions[Joueur],$B71,JournalActions[Action],$H$63,JournalActions[Mi-temps],H$64)=0,"",COUNTIFS(JournalActions[Joueur],$B71,JournalActions[Action],$H$63,JournalActions[Mi-temps],H$64))</f>
        <v/>
      </c>
      <c r="I71" s="34" t="str">
        <f>IF(COUNTIFS(JournalActions[Joueur],$B71,JournalActions[Action],$H$63,JournalActions[Mi-temps],I$64)=0,"",COUNTIFS(JournalActions[Joueur],$B71,JournalActions[Action],$H$63,JournalActions[Mi-temps],I$64))</f>
        <v/>
      </c>
      <c r="J71" s="33" t="str">
        <f>IF(COUNTIFS(JournalActions[Joueur],$B71,JournalActions[Action],$J$63,JournalActions[Mi-temps],J$64)=0,"",COUNTIFS(JournalActions[Joueur],$B71,JournalActions[Action],$J$63,JournalActions[Mi-temps],J$64))</f>
        <v/>
      </c>
      <c r="K71" s="34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33" t="str">
        <v>CESCA Sacha</v>
      </c>
      <c r="C72" s="33" t="str">
        <f>IF(COUNTIFS(JournalActions[Joueur],$B72,JournalActions[Action],$C$63,JournalActions[Mi-temps],C$64)=0,"",COUNTIFS(JournalActions[Joueur],$B72,JournalActions[Action],$C$63,JournalActions[Mi-temps],C$64))</f>
        <v/>
      </c>
      <c r="D72" s="34" t="str">
        <f>IF(COUNTIFS(JournalActions[Joueur],$B72,JournalActions[Action],$C$63,JournalActions[Mi-temps],D$64)=0,"",COUNTIFS(JournalActions[Joueur],$B72,JournalActions[Action],$C$63,JournalActions[Mi-temps],D$64))</f>
        <v/>
      </c>
      <c r="E72" s="33" t="str">
        <f>IF(COUNTIFS(JournalActions[Joueur],$B72,JournalActions[Action],$E$63,JournalActions[Mi-temps],E$64)=0,"",COUNTIFS(JournalActions[Joueur],$B72,JournalActions[Action],$E$63,JournalActions[Mi-temps],E$64))</f>
        <v/>
      </c>
      <c r="F72" s="34" t="str">
        <f>IF(COUNTIFS(JournalActions[Joueur],$B72,JournalActions[Action],$E$63,JournalActions[Mi-temps],F$64)=0,"",COUNTIFS(JournalActions[Joueur],$B72,JournalActions[Action],$E$63,JournalActions[Mi-temps],F$64))</f>
        <v/>
      </c>
      <c r="H72" s="33" t="str">
        <f>IF(COUNTIFS(JournalActions[Joueur],$B72,JournalActions[Action],$H$63,JournalActions[Mi-temps],H$64)=0,"",COUNTIFS(JournalActions[Joueur],$B72,JournalActions[Action],$H$63,JournalActions[Mi-temps],H$64))</f>
        <v/>
      </c>
      <c r="I72" s="34" t="str">
        <f>IF(COUNTIFS(JournalActions[Joueur],$B72,JournalActions[Action],$H$63,JournalActions[Mi-temps],I$64)=0,"",COUNTIFS(JournalActions[Joueur],$B72,JournalActions[Action],$H$63,JournalActions[Mi-temps],I$64))</f>
        <v/>
      </c>
      <c r="J72" s="33" t="str">
        <f>IF(COUNTIFS(JournalActions[Joueur],$B72,JournalActions[Action],$J$63,JournalActions[Mi-temps],J$64)=0,"",COUNTIFS(JournalActions[Joueur],$B72,JournalActions[Action],$J$63,JournalActions[Mi-temps],J$64))</f>
        <v/>
      </c>
      <c r="K72" s="34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33" t="str">
        <v>COURREGES Romain</v>
      </c>
      <c r="C73" s="33" t="str">
        <f>IF(COUNTIFS(JournalActions[Joueur],$B73,JournalActions[Action],$C$63,JournalActions[Mi-temps],C$64)=0,"",COUNTIFS(JournalActions[Joueur],$B73,JournalActions[Action],$C$63,JournalActions[Mi-temps],C$64))</f>
        <v/>
      </c>
      <c r="D73" s="34" t="str">
        <f>IF(COUNTIFS(JournalActions[Joueur],$B73,JournalActions[Action],$C$63,JournalActions[Mi-temps],D$64)=0,"",COUNTIFS(JournalActions[Joueur],$B73,JournalActions[Action],$C$63,JournalActions[Mi-temps],D$64))</f>
        <v/>
      </c>
      <c r="E73" s="33" t="str">
        <f>IF(COUNTIFS(JournalActions[Joueur],$B73,JournalActions[Action],$E$63,JournalActions[Mi-temps],E$64)=0,"",COUNTIFS(JournalActions[Joueur],$B73,JournalActions[Action],$E$63,JournalActions[Mi-temps],E$64))</f>
        <v/>
      </c>
      <c r="F73" s="34" t="str">
        <f>IF(COUNTIFS(JournalActions[Joueur],$B73,JournalActions[Action],$E$63,JournalActions[Mi-temps],F$64)=0,"",COUNTIFS(JournalActions[Joueur],$B73,JournalActions[Action],$E$63,JournalActions[Mi-temps],F$64))</f>
        <v/>
      </c>
      <c r="H73" s="33" t="str">
        <f>IF(COUNTIFS(JournalActions[Joueur],$B73,JournalActions[Action],$H$63,JournalActions[Mi-temps],H$64)=0,"",COUNTIFS(JournalActions[Joueur],$B73,JournalActions[Action],$H$63,JournalActions[Mi-temps],H$64))</f>
        <v/>
      </c>
      <c r="I73" s="34" t="str">
        <f>IF(COUNTIFS(JournalActions[Joueur],$B73,JournalActions[Action],$H$63,JournalActions[Mi-temps],I$64)=0,"",COUNTIFS(JournalActions[Joueur],$B73,JournalActions[Action],$H$63,JournalActions[Mi-temps],I$64))</f>
        <v/>
      </c>
      <c r="J73" s="33" t="str">
        <f>IF(COUNTIFS(JournalActions[Joueur],$B73,JournalActions[Action],$J$63,JournalActions[Mi-temps],J$64)=0,"",COUNTIFS(JournalActions[Joueur],$B73,JournalActions[Action],$J$63,JournalActions[Mi-temps],J$64))</f>
        <v/>
      </c>
      <c r="K73" s="34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33" t="str">
        <v>DALLA ROSA Jonah</v>
      </c>
      <c r="C74" s="33" t="str">
        <f>IF(COUNTIFS(JournalActions[Joueur],$B74,JournalActions[Action],$C$63,JournalActions[Mi-temps],C$64)=0,"",COUNTIFS(JournalActions[Joueur],$B74,JournalActions[Action],$C$63,JournalActions[Mi-temps],C$64))</f>
        <v/>
      </c>
      <c r="D74" s="34" t="str">
        <f>IF(COUNTIFS(JournalActions[Joueur],$B74,JournalActions[Action],$C$63,JournalActions[Mi-temps],D$64)=0,"",COUNTIFS(JournalActions[Joueur],$B74,JournalActions[Action],$C$63,JournalActions[Mi-temps],D$64))</f>
        <v/>
      </c>
      <c r="E74" s="33" t="str">
        <f>IF(COUNTIFS(JournalActions[Joueur],$B74,JournalActions[Action],$E$63,JournalActions[Mi-temps],E$64)=0,"",COUNTIFS(JournalActions[Joueur],$B74,JournalActions[Action],$E$63,JournalActions[Mi-temps],E$64))</f>
        <v/>
      </c>
      <c r="F74" s="34" t="str">
        <f>IF(COUNTIFS(JournalActions[Joueur],$B74,JournalActions[Action],$E$63,JournalActions[Mi-temps],F$64)=0,"",COUNTIFS(JournalActions[Joueur],$B74,JournalActions[Action],$E$63,JournalActions[Mi-temps],F$64))</f>
        <v/>
      </c>
      <c r="H74" s="33" t="str">
        <f>IF(COUNTIFS(JournalActions[Joueur],$B74,JournalActions[Action],$H$63,JournalActions[Mi-temps],H$64)=0,"",COUNTIFS(JournalActions[Joueur],$B74,JournalActions[Action],$H$63,JournalActions[Mi-temps],H$64))</f>
        <v/>
      </c>
      <c r="I74" s="34" t="str">
        <f>IF(COUNTIFS(JournalActions[Joueur],$B74,JournalActions[Action],$H$63,JournalActions[Mi-temps],I$64)=0,"",COUNTIFS(JournalActions[Joueur],$B74,JournalActions[Action],$H$63,JournalActions[Mi-temps],I$64))</f>
        <v/>
      </c>
      <c r="J74" s="33" t="str">
        <f>IF(COUNTIFS(JournalActions[Joueur],$B74,JournalActions[Action],$J$63,JournalActions[Mi-temps],J$64)=0,"",COUNTIFS(JournalActions[Joueur],$B74,JournalActions[Action],$J$63,JournalActions[Mi-temps],J$64))</f>
        <v/>
      </c>
      <c r="K74" s="34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33" t="str">
        <v>DUTREY Thomas</v>
      </c>
      <c r="C75" s="33" t="str">
        <f>IF(COUNTIFS(JournalActions[Joueur],$B75,JournalActions[Action],$C$63,JournalActions[Mi-temps],C$64)=0,"",COUNTIFS(JournalActions[Joueur],$B75,JournalActions[Action],$C$63,JournalActions[Mi-temps],C$64))</f>
        <v/>
      </c>
      <c r="D75" s="34" t="str">
        <f>IF(COUNTIFS(JournalActions[Joueur],$B75,JournalActions[Action],$C$63,JournalActions[Mi-temps],D$64)=0,"",COUNTIFS(JournalActions[Joueur],$B75,JournalActions[Action],$C$63,JournalActions[Mi-temps],D$64))</f>
        <v/>
      </c>
      <c r="E75" s="33" t="str">
        <f>IF(COUNTIFS(JournalActions[Joueur],$B75,JournalActions[Action],$E$63,JournalActions[Mi-temps],E$64)=0,"",COUNTIFS(JournalActions[Joueur],$B75,JournalActions[Action],$E$63,JournalActions[Mi-temps],E$64))</f>
        <v/>
      </c>
      <c r="F75" s="34" t="str">
        <f>IF(COUNTIFS(JournalActions[Joueur],$B75,JournalActions[Action],$E$63,JournalActions[Mi-temps],F$64)=0,"",COUNTIFS(JournalActions[Joueur],$B75,JournalActions[Action],$E$63,JournalActions[Mi-temps],F$64))</f>
        <v/>
      </c>
      <c r="H75" s="33" t="str">
        <f>IF(COUNTIFS(JournalActions[Joueur],$B75,JournalActions[Action],$H$63,JournalActions[Mi-temps],H$64)=0,"",COUNTIFS(JournalActions[Joueur],$B75,JournalActions[Action],$H$63,JournalActions[Mi-temps],H$64))</f>
        <v/>
      </c>
      <c r="I75" s="34" t="str">
        <f>IF(COUNTIFS(JournalActions[Joueur],$B75,JournalActions[Action],$H$63,JournalActions[Mi-temps],I$64)=0,"",COUNTIFS(JournalActions[Joueur],$B75,JournalActions[Action],$H$63,JournalActions[Mi-temps],I$64))</f>
        <v/>
      </c>
      <c r="J75" s="33" t="str">
        <f>IF(COUNTIFS(JournalActions[Joueur],$B75,JournalActions[Action],$J$63,JournalActions[Mi-temps],J$64)=0,"",COUNTIFS(JournalActions[Joueur],$B75,JournalActions[Action],$J$63,JournalActions[Mi-temps],J$64))</f>
        <v/>
      </c>
      <c r="K75" s="34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33" t="str">
        <v>GALLINARO Pierrick</v>
      </c>
      <c r="C76" s="33" t="str">
        <f>IF(COUNTIFS(JournalActions[Joueur],$B76,JournalActions[Action],$C$63,JournalActions[Mi-temps],C$64)=0,"",COUNTIFS(JournalActions[Joueur],$B76,JournalActions[Action],$C$63,JournalActions[Mi-temps],C$64))</f>
        <v/>
      </c>
      <c r="D76" s="34" t="str">
        <f>IF(COUNTIFS(JournalActions[Joueur],$B76,JournalActions[Action],$C$63,JournalActions[Mi-temps],D$64)=0,"",COUNTIFS(JournalActions[Joueur],$B76,JournalActions[Action],$C$63,JournalActions[Mi-temps],D$64))</f>
        <v/>
      </c>
      <c r="E76" s="33" t="str">
        <f>IF(COUNTIFS(JournalActions[Joueur],$B76,JournalActions[Action],$E$63,JournalActions[Mi-temps],E$64)=0,"",COUNTIFS(JournalActions[Joueur],$B76,JournalActions[Action],$E$63,JournalActions[Mi-temps],E$64))</f>
        <v/>
      </c>
      <c r="F76" s="34" t="str">
        <f>IF(COUNTIFS(JournalActions[Joueur],$B76,JournalActions[Action],$E$63,JournalActions[Mi-temps],F$64)=0,"",COUNTIFS(JournalActions[Joueur],$B76,JournalActions[Action],$E$63,JournalActions[Mi-temps],F$64))</f>
        <v/>
      </c>
      <c r="H76" s="33" t="str">
        <f>IF(COUNTIFS(JournalActions[Joueur],$B76,JournalActions[Action],$H$63,JournalActions[Mi-temps],H$64)=0,"",COUNTIFS(JournalActions[Joueur],$B76,JournalActions[Action],$H$63,JournalActions[Mi-temps],H$64))</f>
        <v/>
      </c>
      <c r="I76" s="34" t="str">
        <f>IF(COUNTIFS(JournalActions[Joueur],$B76,JournalActions[Action],$H$63,JournalActions[Mi-temps],I$64)=0,"",COUNTIFS(JournalActions[Joueur],$B76,JournalActions[Action],$H$63,JournalActions[Mi-temps],I$64))</f>
        <v/>
      </c>
      <c r="J76" s="33" t="str">
        <f>IF(COUNTIFS(JournalActions[Joueur],$B76,JournalActions[Action],$J$63,JournalActions[Mi-temps],J$64)=0,"",COUNTIFS(JournalActions[Joueur],$B76,JournalActions[Action],$J$63,JournalActions[Mi-temps],J$64))</f>
        <v/>
      </c>
      <c r="K76" s="34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33" t="str">
        <v>JOUNAUX Joris</v>
      </c>
      <c r="C77" s="33" t="str">
        <f>IF(COUNTIFS(JournalActions[Joueur],$B77,JournalActions[Action],$C$63,JournalActions[Mi-temps],C$64)=0,"",COUNTIFS(JournalActions[Joueur],$B77,JournalActions[Action],$C$63,JournalActions[Mi-temps],C$64))</f>
        <v/>
      </c>
      <c r="D77" s="34" t="str">
        <f>IF(COUNTIFS(JournalActions[Joueur],$B77,JournalActions[Action],$C$63,JournalActions[Mi-temps],D$64)=0,"",COUNTIFS(JournalActions[Joueur],$B77,JournalActions[Action],$C$63,JournalActions[Mi-temps],D$64))</f>
        <v/>
      </c>
      <c r="E77" s="33" t="str">
        <f>IF(COUNTIFS(JournalActions[Joueur],$B77,JournalActions[Action],$E$63,JournalActions[Mi-temps],E$64)=0,"",COUNTIFS(JournalActions[Joueur],$B77,JournalActions[Action],$E$63,JournalActions[Mi-temps],E$64))</f>
        <v/>
      </c>
      <c r="F77" s="34" t="str">
        <f>IF(COUNTIFS(JournalActions[Joueur],$B77,JournalActions[Action],$E$63,JournalActions[Mi-temps],F$64)=0,"",COUNTIFS(JournalActions[Joueur],$B77,JournalActions[Action],$E$63,JournalActions[Mi-temps],F$64))</f>
        <v/>
      </c>
      <c r="H77" s="33" t="str">
        <f>IF(COUNTIFS(JournalActions[Joueur],$B77,JournalActions[Action],$H$63,JournalActions[Mi-temps],H$64)=0,"",COUNTIFS(JournalActions[Joueur],$B77,JournalActions[Action],$H$63,JournalActions[Mi-temps],H$64))</f>
        <v/>
      </c>
      <c r="I77" s="34" t="str">
        <f>IF(COUNTIFS(JournalActions[Joueur],$B77,JournalActions[Action],$H$63,JournalActions[Mi-temps],I$64)=0,"",COUNTIFS(JournalActions[Joueur],$B77,JournalActions[Action],$H$63,JournalActions[Mi-temps],I$64))</f>
        <v/>
      </c>
      <c r="J77" s="33" t="str">
        <f>IF(COUNTIFS(JournalActions[Joueur],$B77,JournalActions[Action],$J$63,JournalActions[Mi-temps],J$64)=0,"",COUNTIFS(JournalActions[Joueur],$B77,JournalActions[Action],$J$63,JournalActions[Mi-temps],J$64))</f>
        <v/>
      </c>
      <c r="K77" s="34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33" t="str">
        <v>KAPFER Bastien</v>
      </c>
      <c r="C78" s="33" t="str">
        <f>IF(COUNTIFS(JournalActions[Joueur],$B78,JournalActions[Action],$C$63,JournalActions[Mi-temps],C$64)=0,"",COUNTIFS(JournalActions[Joueur],$B78,JournalActions[Action],$C$63,JournalActions[Mi-temps],C$64))</f>
        <v/>
      </c>
      <c r="D78" s="34" t="str">
        <f>IF(COUNTIFS(JournalActions[Joueur],$B78,JournalActions[Action],$C$63,JournalActions[Mi-temps],D$64)=0,"",COUNTIFS(JournalActions[Joueur],$B78,JournalActions[Action],$C$63,JournalActions[Mi-temps],D$64))</f>
        <v/>
      </c>
      <c r="E78" s="33" t="str">
        <f>IF(COUNTIFS(JournalActions[Joueur],$B78,JournalActions[Action],$E$63,JournalActions[Mi-temps],E$64)=0,"",COUNTIFS(JournalActions[Joueur],$B78,JournalActions[Action],$E$63,JournalActions[Mi-temps],E$64))</f>
        <v/>
      </c>
      <c r="F78" s="34" t="str">
        <f>IF(COUNTIFS(JournalActions[Joueur],$B78,JournalActions[Action],$E$63,JournalActions[Mi-temps],F$64)=0,"",COUNTIFS(JournalActions[Joueur],$B78,JournalActions[Action],$E$63,JournalActions[Mi-temps],F$64))</f>
        <v/>
      </c>
      <c r="H78" s="33" t="str">
        <f>IF(COUNTIFS(JournalActions[Joueur],$B78,JournalActions[Action],$H$63,JournalActions[Mi-temps],H$64)=0,"",COUNTIFS(JournalActions[Joueur],$B78,JournalActions[Action],$H$63,JournalActions[Mi-temps],H$64))</f>
        <v/>
      </c>
      <c r="I78" s="34" t="str">
        <f>IF(COUNTIFS(JournalActions[Joueur],$B78,JournalActions[Action],$H$63,JournalActions[Mi-temps],I$64)=0,"",COUNTIFS(JournalActions[Joueur],$B78,JournalActions[Action],$H$63,JournalActions[Mi-temps],I$64))</f>
        <v/>
      </c>
      <c r="J78" s="33" t="str">
        <f>IF(COUNTIFS(JournalActions[Joueur],$B78,JournalActions[Action],$J$63,JournalActions[Mi-temps],J$64)=0,"",COUNTIFS(JournalActions[Joueur],$B78,JournalActions[Action],$J$63,JournalActions[Mi-temps],J$64))</f>
        <v/>
      </c>
      <c r="K78" s="34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33" t="str">
        <v>LAUDET Jean Baptiste</v>
      </c>
      <c r="C79" s="33" t="str">
        <f>IF(COUNTIFS(JournalActions[Joueur],$B79,JournalActions[Action],$C$63,JournalActions[Mi-temps],C$64)=0,"",COUNTIFS(JournalActions[Joueur],$B79,JournalActions[Action],$C$63,JournalActions[Mi-temps],C$64))</f>
        <v/>
      </c>
      <c r="D79" s="34" t="str">
        <f>IF(COUNTIFS(JournalActions[Joueur],$B79,JournalActions[Action],$C$63,JournalActions[Mi-temps],D$64)=0,"",COUNTIFS(JournalActions[Joueur],$B79,JournalActions[Action],$C$63,JournalActions[Mi-temps],D$64))</f>
        <v/>
      </c>
      <c r="E79" s="33" t="str">
        <f>IF(COUNTIFS(JournalActions[Joueur],$B79,JournalActions[Action],$E$63,JournalActions[Mi-temps],E$64)=0,"",COUNTIFS(JournalActions[Joueur],$B79,JournalActions[Action],$E$63,JournalActions[Mi-temps],E$64))</f>
        <v/>
      </c>
      <c r="F79" s="34" t="str">
        <f>IF(COUNTIFS(JournalActions[Joueur],$B79,JournalActions[Action],$E$63,JournalActions[Mi-temps],F$64)=0,"",COUNTIFS(JournalActions[Joueur],$B79,JournalActions[Action],$E$63,JournalActions[Mi-temps],F$64))</f>
        <v/>
      </c>
      <c r="H79" s="33" t="str">
        <f>IF(COUNTIFS(JournalActions[Joueur],$B79,JournalActions[Action],$H$63,JournalActions[Mi-temps],H$64)=0,"",COUNTIFS(JournalActions[Joueur],$B79,JournalActions[Action],$H$63,JournalActions[Mi-temps],H$64))</f>
        <v/>
      </c>
      <c r="I79" s="34" t="str">
        <f>IF(COUNTIFS(JournalActions[Joueur],$B79,JournalActions[Action],$H$63,JournalActions[Mi-temps],I$64)=0,"",COUNTIFS(JournalActions[Joueur],$B79,JournalActions[Action],$H$63,JournalActions[Mi-temps],I$64))</f>
        <v/>
      </c>
      <c r="J79" s="33" t="str">
        <f>IF(COUNTIFS(JournalActions[Joueur],$B79,JournalActions[Action],$J$63,JournalActions[Mi-temps],J$64)=0,"",COUNTIFS(JournalActions[Joueur],$B79,JournalActions[Action],$J$63,JournalActions[Mi-temps],J$64))</f>
        <v/>
      </c>
      <c r="K79" s="34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33" t="str">
        <v>LOUREIRO LABAZUY Antonio</v>
      </c>
      <c r="C80" s="33" t="str">
        <f>IF(COUNTIFS(JournalActions[Joueur],$B80,JournalActions[Action],$C$63,JournalActions[Mi-temps],C$64)=0,"",COUNTIFS(JournalActions[Joueur],$B80,JournalActions[Action],$C$63,JournalActions[Mi-temps],C$64))</f>
        <v/>
      </c>
      <c r="D80" s="34" t="str">
        <f>IF(COUNTIFS(JournalActions[Joueur],$B80,JournalActions[Action],$C$63,JournalActions[Mi-temps],D$64)=0,"",COUNTIFS(JournalActions[Joueur],$B80,JournalActions[Action],$C$63,JournalActions[Mi-temps],D$64))</f>
        <v/>
      </c>
      <c r="E80" s="33" t="str">
        <f>IF(COUNTIFS(JournalActions[Joueur],$B80,JournalActions[Action],$E$63,JournalActions[Mi-temps],E$64)=0,"",COUNTIFS(JournalActions[Joueur],$B80,JournalActions[Action],$E$63,JournalActions[Mi-temps],E$64))</f>
        <v/>
      </c>
      <c r="F80" s="34" t="str">
        <f>IF(COUNTIFS(JournalActions[Joueur],$B80,JournalActions[Action],$E$63,JournalActions[Mi-temps],F$64)=0,"",COUNTIFS(JournalActions[Joueur],$B80,JournalActions[Action],$E$63,JournalActions[Mi-temps],F$64))</f>
        <v/>
      </c>
      <c r="H80" s="33" t="str">
        <f>IF(COUNTIFS(JournalActions[Joueur],$B80,JournalActions[Action],$H$63,JournalActions[Mi-temps],H$64)=0,"",COUNTIFS(JournalActions[Joueur],$B80,JournalActions[Action],$H$63,JournalActions[Mi-temps],H$64))</f>
        <v/>
      </c>
      <c r="I80" s="34" t="str">
        <f>IF(COUNTIFS(JournalActions[Joueur],$B80,JournalActions[Action],$H$63,JournalActions[Mi-temps],I$64)=0,"",COUNTIFS(JournalActions[Joueur],$B80,JournalActions[Action],$H$63,JournalActions[Mi-temps],I$64))</f>
        <v/>
      </c>
      <c r="J80" s="33" t="str">
        <f>IF(COUNTIFS(JournalActions[Joueur],$B80,JournalActions[Action],$J$63,JournalActions[Mi-temps],J$64)=0,"",COUNTIFS(JournalActions[Joueur],$B80,JournalActions[Action],$J$63,JournalActions[Mi-temps],J$64))</f>
        <v/>
      </c>
      <c r="K80" s="34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33" t="str">
        <v>MOUDENS Alexis</v>
      </c>
      <c r="C81" s="33" t="str">
        <f>IF(COUNTIFS(JournalActions[Joueur],$B81,JournalActions[Action],$C$63,JournalActions[Mi-temps],C$64)=0,"",COUNTIFS(JournalActions[Joueur],$B81,JournalActions[Action],$C$63,JournalActions[Mi-temps],C$64))</f>
        <v/>
      </c>
      <c r="D81" s="34" t="str">
        <f>IF(COUNTIFS(JournalActions[Joueur],$B81,JournalActions[Action],$C$63,JournalActions[Mi-temps],D$64)=0,"",COUNTIFS(JournalActions[Joueur],$B81,JournalActions[Action],$C$63,JournalActions[Mi-temps],D$64))</f>
        <v/>
      </c>
      <c r="E81" s="33" t="str">
        <f>IF(COUNTIFS(JournalActions[Joueur],$B81,JournalActions[Action],$E$63,JournalActions[Mi-temps],E$64)=0,"",COUNTIFS(JournalActions[Joueur],$B81,JournalActions[Action],$E$63,JournalActions[Mi-temps],E$64))</f>
        <v/>
      </c>
      <c r="F81" s="34" t="str">
        <f>IF(COUNTIFS(JournalActions[Joueur],$B81,JournalActions[Action],$E$63,JournalActions[Mi-temps],F$64)=0,"",COUNTIFS(JournalActions[Joueur],$B81,JournalActions[Action],$E$63,JournalActions[Mi-temps],F$64))</f>
        <v/>
      </c>
      <c r="H81" s="33" t="str">
        <f>IF(COUNTIFS(JournalActions[Joueur],$B81,JournalActions[Action],$H$63,JournalActions[Mi-temps],H$64)=0,"",COUNTIFS(JournalActions[Joueur],$B81,JournalActions[Action],$H$63,JournalActions[Mi-temps],H$64))</f>
        <v/>
      </c>
      <c r="I81" s="34" t="str">
        <f>IF(COUNTIFS(JournalActions[Joueur],$B81,JournalActions[Action],$H$63,JournalActions[Mi-temps],I$64)=0,"",COUNTIFS(JournalActions[Joueur],$B81,JournalActions[Action],$H$63,JournalActions[Mi-temps],I$64))</f>
        <v/>
      </c>
      <c r="J81" s="33" t="str">
        <f>IF(COUNTIFS(JournalActions[Joueur],$B81,JournalActions[Action],$J$63,JournalActions[Mi-temps],J$64)=0,"",COUNTIFS(JournalActions[Joueur],$B81,JournalActions[Action],$J$63,JournalActions[Mi-temps],J$64))</f>
        <v/>
      </c>
      <c r="K81" s="34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33" t="str">
        <v>MULLIER Victor</v>
      </c>
      <c r="C82" s="33" t="str">
        <f>IF(COUNTIFS(JournalActions[Joueur],$B82,JournalActions[Action],$C$63,JournalActions[Mi-temps],C$64)=0,"",COUNTIFS(JournalActions[Joueur],$B82,JournalActions[Action],$C$63,JournalActions[Mi-temps],C$64))</f>
        <v/>
      </c>
      <c r="D82" s="34" t="str">
        <f>IF(COUNTIFS(JournalActions[Joueur],$B82,JournalActions[Action],$C$63,JournalActions[Mi-temps],D$64)=0,"",COUNTIFS(JournalActions[Joueur],$B82,JournalActions[Action],$C$63,JournalActions[Mi-temps],D$64))</f>
        <v/>
      </c>
      <c r="E82" s="33" t="str">
        <f>IF(COUNTIFS(JournalActions[Joueur],$B82,JournalActions[Action],$E$63,JournalActions[Mi-temps],E$64)=0,"",COUNTIFS(JournalActions[Joueur],$B82,JournalActions[Action],$E$63,JournalActions[Mi-temps],E$64))</f>
        <v/>
      </c>
      <c r="F82" s="34" t="str">
        <f>IF(COUNTIFS(JournalActions[Joueur],$B82,JournalActions[Action],$E$63,JournalActions[Mi-temps],F$64)=0,"",COUNTIFS(JournalActions[Joueur],$B82,JournalActions[Action],$E$63,JournalActions[Mi-temps],F$64))</f>
        <v/>
      </c>
      <c r="H82" s="33" t="str">
        <f>IF(COUNTIFS(JournalActions[Joueur],$B82,JournalActions[Action],$H$63,JournalActions[Mi-temps],H$64)=0,"",COUNTIFS(JournalActions[Joueur],$B82,JournalActions[Action],$H$63,JournalActions[Mi-temps],H$64))</f>
        <v/>
      </c>
      <c r="I82" s="34" t="str">
        <f>IF(COUNTIFS(JournalActions[Joueur],$B82,JournalActions[Action],$H$63,JournalActions[Mi-temps],I$64)=0,"",COUNTIFS(JournalActions[Joueur],$B82,JournalActions[Action],$H$63,JournalActions[Mi-temps],I$64))</f>
        <v/>
      </c>
      <c r="J82" s="33" t="str">
        <f>IF(COUNTIFS(JournalActions[Joueur],$B82,JournalActions[Action],$J$63,JournalActions[Mi-temps],J$64)=0,"",COUNTIFS(JournalActions[Joueur],$B82,JournalActions[Action],$J$63,JournalActions[Mi-temps],J$64))</f>
        <v/>
      </c>
      <c r="K82" s="34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33" t="str">
        <v>RICHIARDONNE Gregory</v>
      </c>
      <c r="C83" s="33" t="str">
        <f>IF(COUNTIFS(JournalActions[Joueur],$B83,JournalActions[Action],$C$63,JournalActions[Mi-temps],C$64)=0,"",COUNTIFS(JournalActions[Joueur],$B83,JournalActions[Action],$C$63,JournalActions[Mi-temps],C$64))</f>
        <v/>
      </c>
      <c r="D83" s="34" t="str">
        <f>IF(COUNTIFS(JournalActions[Joueur],$B83,JournalActions[Action],$C$63,JournalActions[Mi-temps],D$64)=0,"",COUNTIFS(JournalActions[Joueur],$B83,JournalActions[Action],$C$63,JournalActions[Mi-temps],D$64))</f>
        <v/>
      </c>
      <c r="E83" s="33" t="str">
        <f>IF(COUNTIFS(JournalActions[Joueur],$B83,JournalActions[Action],$E$63,JournalActions[Mi-temps],E$64)=0,"",COUNTIFS(JournalActions[Joueur],$B83,JournalActions[Action],$E$63,JournalActions[Mi-temps],E$64))</f>
        <v/>
      </c>
      <c r="F83" s="34" t="str">
        <f>IF(COUNTIFS(JournalActions[Joueur],$B83,JournalActions[Action],$E$63,JournalActions[Mi-temps],F$64)=0,"",COUNTIFS(JournalActions[Joueur],$B83,JournalActions[Action],$E$63,JournalActions[Mi-temps],F$64))</f>
        <v/>
      </c>
      <c r="H83" s="33" t="str">
        <f>IF(COUNTIFS(JournalActions[Joueur],$B83,JournalActions[Action],$H$63,JournalActions[Mi-temps],H$64)=0,"",COUNTIFS(JournalActions[Joueur],$B83,JournalActions[Action],$H$63,JournalActions[Mi-temps],H$64))</f>
        <v/>
      </c>
      <c r="I83" s="34" t="str">
        <f>IF(COUNTIFS(JournalActions[Joueur],$B83,JournalActions[Action],$H$63,JournalActions[Mi-temps],I$64)=0,"",COUNTIFS(JournalActions[Joueur],$B83,JournalActions[Action],$H$63,JournalActions[Mi-temps],I$64))</f>
        <v/>
      </c>
      <c r="J83" s="33" t="str">
        <f>IF(COUNTIFS(JournalActions[Joueur],$B83,JournalActions[Action],$J$63,JournalActions[Mi-temps],J$64)=0,"",COUNTIFS(JournalActions[Joueur],$B83,JournalActions[Action],$J$63,JournalActions[Mi-temps],J$64))</f>
        <v/>
      </c>
      <c r="K83" s="34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33" t="str">
        <v>SALLES Fabien</v>
      </c>
      <c r="C84" s="33" t="str">
        <f>IF(COUNTIFS(JournalActions[Joueur],$B84,JournalActions[Action],$C$63,JournalActions[Mi-temps],C$64)=0,"",COUNTIFS(JournalActions[Joueur],$B84,JournalActions[Action],$C$63,JournalActions[Mi-temps],C$64))</f>
        <v/>
      </c>
      <c r="D84" s="34" t="str">
        <f>IF(COUNTIFS(JournalActions[Joueur],$B84,JournalActions[Action],$C$63,JournalActions[Mi-temps],D$64)=0,"",COUNTIFS(JournalActions[Joueur],$B84,JournalActions[Action],$C$63,JournalActions[Mi-temps],D$64))</f>
        <v/>
      </c>
      <c r="E84" s="33" t="str">
        <f>IF(COUNTIFS(JournalActions[Joueur],$B84,JournalActions[Action],$E$63,JournalActions[Mi-temps],E$64)=0,"",COUNTIFS(JournalActions[Joueur],$B84,JournalActions[Action],$E$63,JournalActions[Mi-temps],E$64))</f>
        <v/>
      </c>
      <c r="F84" s="34" t="str">
        <f>IF(COUNTIFS(JournalActions[Joueur],$B84,JournalActions[Action],$E$63,JournalActions[Mi-temps],F$64)=0,"",COUNTIFS(JournalActions[Joueur],$B84,JournalActions[Action],$E$63,JournalActions[Mi-temps],F$64))</f>
        <v/>
      </c>
      <c r="H84" s="33" t="str">
        <f>IF(COUNTIFS(JournalActions[Joueur],$B84,JournalActions[Action],$H$63,JournalActions[Mi-temps],H$64)=0,"",COUNTIFS(JournalActions[Joueur],$B84,JournalActions[Action],$H$63,JournalActions[Mi-temps],H$64))</f>
        <v/>
      </c>
      <c r="I84" s="34" t="str">
        <f>IF(COUNTIFS(JournalActions[Joueur],$B84,JournalActions[Action],$H$63,JournalActions[Mi-temps],I$64)=0,"",COUNTIFS(JournalActions[Joueur],$B84,JournalActions[Action],$H$63,JournalActions[Mi-temps],I$64))</f>
        <v/>
      </c>
      <c r="J84" s="33" t="str">
        <f>IF(COUNTIFS(JournalActions[Joueur],$B84,JournalActions[Action],$J$63,JournalActions[Mi-temps],J$64)=0,"",COUNTIFS(JournalActions[Joueur],$B84,JournalActions[Action],$J$63,JournalActions[Mi-temps],J$64))</f>
        <v/>
      </c>
      <c r="K84" s="34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33" t="str">
        <v>SOUVILLE Quentin</v>
      </c>
      <c r="C85" s="33" t="str">
        <f>IF(COUNTIFS(JournalActions[Joueur],$B85,JournalActions[Action],$C$63,JournalActions[Mi-temps],C$64)=0,"",COUNTIFS(JournalActions[Joueur],$B85,JournalActions[Action],$C$63,JournalActions[Mi-temps],C$64))</f>
        <v/>
      </c>
      <c r="D85" s="34" t="str">
        <f>IF(COUNTIFS(JournalActions[Joueur],$B85,JournalActions[Action],$C$63,JournalActions[Mi-temps],D$64)=0,"",COUNTIFS(JournalActions[Joueur],$B85,JournalActions[Action],$C$63,JournalActions[Mi-temps],D$64))</f>
        <v/>
      </c>
      <c r="E85" s="33" t="str">
        <f>IF(COUNTIFS(JournalActions[Joueur],$B85,JournalActions[Action],$E$63,JournalActions[Mi-temps],E$64)=0,"",COUNTIFS(JournalActions[Joueur],$B85,JournalActions[Action],$E$63,JournalActions[Mi-temps],E$64))</f>
        <v/>
      </c>
      <c r="F85" s="34" t="str">
        <f>IF(COUNTIFS(JournalActions[Joueur],$B85,JournalActions[Action],$E$63,JournalActions[Mi-temps],F$64)=0,"",COUNTIFS(JournalActions[Joueur],$B85,JournalActions[Action],$E$63,JournalActions[Mi-temps],F$64))</f>
        <v/>
      </c>
      <c r="H85" s="33" t="str">
        <f>IF(COUNTIFS(JournalActions[Joueur],$B85,JournalActions[Action],$H$63,JournalActions[Mi-temps],H$64)=0,"",COUNTIFS(JournalActions[Joueur],$B85,JournalActions[Action],$H$63,JournalActions[Mi-temps],H$64))</f>
        <v/>
      </c>
      <c r="I85" s="34" t="str">
        <f>IF(COUNTIFS(JournalActions[Joueur],$B85,JournalActions[Action],$H$63,JournalActions[Mi-temps],I$64)=0,"",COUNTIFS(JournalActions[Joueur],$B85,JournalActions[Action],$H$63,JournalActions[Mi-temps],I$64))</f>
        <v/>
      </c>
      <c r="J85" s="33" t="str">
        <f>IF(COUNTIFS(JournalActions[Joueur],$B85,JournalActions[Action],$J$63,JournalActions[Mi-temps],J$64)=0,"",COUNTIFS(JournalActions[Joueur],$B85,JournalActions[Action],$J$63,JournalActions[Mi-temps],J$64))</f>
        <v/>
      </c>
      <c r="K85" s="34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33" t="str">
        <v>STEFANI Titouan</v>
      </c>
      <c r="C86" s="33" t="str">
        <f>IF(COUNTIFS(JournalActions[Joueur],$B86,JournalActions[Action],$C$63,JournalActions[Mi-temps],C$64)=0,"",COUNTIFS(JournalActions[Joueur],$B86,JournalActions[Action],$C$63,JournalActions[Mi-temps],C$64))</f>
        <v/>
      </c>
      <c r="D86" s="34" t="str">
        <f>IF(COUNTIFS(JournalActions[Joueur],$B86,JournalActions[Action],$C$63,JournalActions[Mi-temps],D$64)=0,"",COUNTIFS(JournalActions[Joueur],$B86,JournalActions[Action],$C$63,JournalActions[Mi-temps],D$64))</f>
        <v/>
      </c>
      <c r="E86" s="86" t="str">
        <f>IF(COUNTIFS(JournalActions[Joueur],$B86,JournalActions[Action],$E$63,JournalActions[Mi-temps],E$64)=0,"",COUNTIFS(JournalActions[Joueur],$B86,JournalActions[Action],$E$63,JournalActions[Mi-temps],E$64))</f>
        <v/>
      </c>
      <c r="F86" s="34" t="str">
        <f>IF(COUNTIFS(JournalActions[Joueur],$B86,JournalActions[Action],$E$63,JournalActions[Mi-temps],F$64)=0,"",COUNTIFS(JournalActions[Joueur],$B86,JournalActions[Action],$E$63,JournalActions[Mi-temps],F$64))</f>
        <v/>
      </c>
      <c r="H86" s="33" t="str">
        <f>IF(COUNTIFS(JournalActions[Joueur],$B86,JournalActions[Action],$H$63,JournalActions[Mi-temps],H$64)=0,"",COUNTIFS(JournalActions[Joueur],$B86,JournalActions[Action],$H$63,JournalActions[Mi-temps],H$64))</f>
        <v/>
      </c>
      <c r="I86" s="34" t="str">
        <f>IF(COUNTIFS(JournalActions[Joueur],$B86,JournalActions[Action],$H$63,JournalActions[Mi-temps],I$64)=0,"",COUNTIFS(JournalActions[Joueur],$B86,JournalActions[Action],$H$63,JournalActions[Mi-temps],I$64))</f>
        <v/>
      </c>
      <c r="J86" s="33" t="str">
        <f>IF(COUNTIFS(JournalActions[Joueur],$B86,JournalActions[Action],$J$63,JournalActions[Mi-temps],J$64)=0,"",COUNTIFS(JournalActions[Joueur],$B86,JournalActions[Action],$J$63,JournalActions[Mi-temps],J$64))</f>
        <v/>
      </c>
      <c r="K86" s="34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31" t="s">
        <v>42</v>
      </c>
      <c r="C87" s="33" t="str">
        <f>IF(COUNTIFS(JournalActions[Joueur],$B87,JournalActions[Action],$C$63,JournalActions[Mi-temps],C$64)=0,"",COUNTIFS(JournalActions[Joueur],$B87,JournalActions[Action],$C$63,JournalActions[Mi-temps],C$64))</f>
        <v/>
      </c>
      <c r="D87" s="34" t="str">
        <f>IF(COUNTIFS(JournalActions[Joueur],$B87,JournalActions[Action],$C$63,JournalActions[Mi-temps],D$64)=0,"",COUNTIFS(JournalActions[Joueur],$B87,JournalActions[Action],$C$63,JournalActions[Mi-temps],D$64))</f>
        <v/>
      </c>
      <c r="E87" s="33" t="str">
        <f>IF(COUNTIFS(JournalActions[Joueur],$B87,JournalActions[Action],$E$63,JournalActions[Mi-temps],E$64)=0,"",COUNTIFS(JournalActions[Joueur],$B87,JournalActions[Action],$E$63,JournalActions[Mi-temps],E$64))</f>
        <v/>
      </c>
      <c r="F87" s="34" t="str">
        <f>IF(COUNTIFS(JournalActions[Joueur],$B87,JournalActions[Action],$E$63,JournalActions[Mi-temps],F$64)=0,"",COUNTIFS(JournalActions[Joueur],$B87,JournalActions[Action],$E$63,JournalActions[Mi-temps],F$64))</f>
        <v/>
      </c>
      <c r="H87" s="33" t="str">
        <f>IF(COUNTIFS(JournalActions[Joueur],$B87,JournalActions[Action],$H$63,JournalActions[Mi-temps],H$64)=0,"",COUNTIFS(JournalActions[Joueur],$B87,JournalActions[Action],$H$63,JournalActions[Mi-temps],H$64))</f>
        <v/>
      </c>
      <c r="I87" s="34" t="str">
        <f>IF(COUNTIFS(JournalActions[Joueur],$B87,JournalActions[Action],$H$63,JournalActions[Mi-temps],I$64)=0,"",COUNTIFS(JournalActions[Joueur],$B87,JournalActions[Action],$H$63,JournalActions[Mi-temps],I$64))</f>
        <v/>
      </c>
      <c r="J87" s="33" t="str">
        <f>IF(COUNTIFS(JournalActions[Joueur],$B87,JournalActions[Action],$J$63,JournalActions[Mi-temps],J$64)=0,"",COUNTIFS(JournalActions[Joueur],$B87,JournalActions[Action],$J$63,JournalActions[Mi-temps],J$64))</f>
        <v/>
      </c>
      <c r="K87" s="34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32" t="s">
        <v>32</v>
      </c>
      <c r="C88" s="33" t="str">
        <f>IF(COUNTIFS(JournalActions[Joueur],$B88,JournalActions[Action],$C$63,JournalActions[Mi-temps],C$64)=0,"",COUNTIFS(JournalActions[Joueur],$B88,JournalActions[Action],$C$63,JournalActions[Mi-temps],C$64))</f>
        <v/>
      </c>
      <c r="D88" s="34" t="str">
        <f>IF(COUNTIFS(JournalActions[Joueur],$B88,JournalActions[Action],$C$63,JournalActions[Mi-temps],D$64)=0,"",COUNTIFS(JournalActions[Joueur],$B88,JournalActions[Action],$C$63,JournalActions[Mi-temps],D$64))</f>
        <v/>
      </c>
      <c r="E88" s="33" t="str">
        <f>IF(COUNTIFS(JournalActions[Joueur],$B88,JournalActions[Action],$E$63,JournalActions[Mi-temps],E$64)=0,"",COUNTIFS(JournalActions[Joueur],$B88,JournalActions[Action],$E$63,JournalActions[Mi-temps],E$64))</f>
        <v/>
      </c>
      <c r="F88" s="34" t="str">
        <f>IF(COUNTIFS(JournalActions[Joueur],$B88,JournalActions[Action],$E$63,JournalActions[Mi-temps],F$64)=0,"",COUNTIFS(JournalActions[Joueur],$B88,JournalActions[Action],$E$63,JournalActions[Mi-temps],F$64))</f>
        <v/>
      </c>
      <c r="H88" s="33" t="str">
        <f>IF(COUNTIFS(JournalActions[Joueur],$B88,JournalActions[Action],$H$63,JournalActions[Mi-temps],H$64)=0,"",COUNTIFS(JournalActions[Joueur],$B88,JournalActions[Action],$H$63,JournalActions[Mi-temps],H$64))</f>
        <v/>
      </c>
      <c r="I88" s="34" t="str">
        <f>IF(COUNTIFS(JournalActions[Joueur],$B88,JournalActions[Action],$H$63,JournalActions[Mi-temps],I$64)=0,"",COUNTIFS(JournalActions[Joueur],$B88,JournalActions[Action],$H$63,JournalActions[Mi-temps],I$64))</f>
        <v/>
      </c>
      <c r="J88" s="33" t="str">
        <f>IF(COUNTIFS(JournalActions[Joueur],$B88,JournalActions[Action],$J$63,JournalActions[Mi-temps],J$64)=0,"",COUNTIFS(JournalActions[Joueur],$B88,JournalActions[Action],$J$63,JournalActions[Mi-temps],J$64))</f>
        <v/>
      </c>
      <c r="K88" s="34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7" t="s">
        <v>178</v>
      </c>
      <c r="C89" s="58">
        <f>SUM(C65:C88)</f>
        <v>0</v>
      </c>
      <c r="D89" s="59">
        <f t="shared" ref="D89" si="10">SUM(D65:D88)</f>
        <v>0</v>
      </c>
      <c r="E89" s="58">
        <f>SUM(E65:E88)</f>
        <v>0</v>
      </c>
      <c r="F89" s="59">
        <f t="shared" ref="F89" si="11">SUM(F65:F88)</f>
        <v>0</v>
      </c>
      <c r="H89" s="79">
        <f>SUM(H65:H88)</f>
        <v>0</v>
      </c>
      <c r="I89" s="80">
        <f>SUM(I65:I88)</f>
        <v>0</v>
      </c>
      <c r="J89" s="79">
        <f>SUM(J65:J88)</f>
        <v>0</v>
      </c>
      <c r="K89" s="80">
        <f t="shared" ref="K89" si="12">SUM(K65:K88)</f>
        <v>0</v>
      </c>
    </row>
    <row r="90" spans="2:11" s="3" customFormat="1" ht="16">
      <c r="B90" s="60" t="s">
        <v>177</v>
      </c>
      <c r="C90" s="215">
        <f>C89+D89</f>
        <v>0</v>
      </c>
      <c r="D90" s="216"/>
      <c r="E90" s="215">
        <f>E89+F89</f>
        <v>0</v>
      </c>
      <c r="F90" s="216"/>
      <c r="H90" s="223">
        <f>H89+I89</f>
        <v>0</v>
      </c>
      <c r="I90" s="224"/>
      <c r="J90" s="223">
        <f>J89+K89</f>
        <v>0</v>
      </c>
      <c r="K90" s="22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277" t="s">
        <v>393</v>
      </c>
      <c r="C94" s="278" t="s">
        <v>48</v>
      </c>
      <c r="D94" s="279" t="s">
        <v>114</v>
      </c>
      <c r="F94" s="285" t="s">
        <v>394</v>
      </c>
      <c r="G94" s="286"/>
      <c r="H94" s="278" t="s">
        <v>47</v>
      </c>
      <c r="I94" s="278" t="s">
        <v>44</v>
      </c>
      <c r="J94" s="288" t="s">
        <v>239</v>
      </c>
    </row>
    <row r="95" spans="2:11" s="3" customFormat="1" ht="16">
      <c r="B95" s="280" t="s">
        <v>240</v>
      </c>
      <c r="C95" s="87">
        <v>0</v>
      </c>
      <c r="D95" s="281">
        <v>0</v>
      </c>
      <c r="F95" s="287" t="s">
        <v>240</v>
      </c>
      <c r="G95" s="242"/>
      <c r="H95" s="87">
        <v>0</v>
      </c>
      <c r="I95" s="87">
        <v>0</v>
      </c>
      <c r="J95" s="289">
        <v>0</v>
      </c>
    </row>
    <row r="96" spans="2:11" s="3" customFormat="1" ht="16">
      <c r="B96" s="280" t="s">
        <v>241</v>
      </c>
      <c r="C96" s="87">
        <v>0</v>
      </c>
      <c r="D96" s="281">
        <v>0</v>
      </c>
      <c r="F96" s="287" t="s">
        <v>241</v>
      </c>
      <c r="G96" s="242"/>
      <c r="H96" s="87">
        <v>0</v>
      </c>
      <c r="I96" s="87">
        <v>0</v>
      </c>
      <c r="J96" s="289">
        <v>0</v>
      </c>
    </row>
    <row r="97" spans="2:10" s="3" customFormat="1" ht="16">
      <c r="B97" s="280" t="s">
        <v>242</v>
      </c>
      <c r="C97" s="87">
        <v>0</v>
      </c>
      <c r="D97" s="281">
        <v>0</v>
      </c>
      <c r="F97" s="287" t="s">
        <v>242</v>
      </c>
      <c r="G97" s="242"/>
      <c r="H97" s="87">
        <v>0</v>
      </c>
      <c r="I97" s="87">
        <v>0</v>
      </c>
      <c r="J97" s="289">
        <v>0</v>
      </c>
    </row>
    <row r="98" spans="2:10" s="3" customFormat="1" ht="16">
      <c r="B98" s="280" t="s">
        <v>243</v>
      </c>
      <c r="C98" s="87">
        <v>0</v>
      </c>
      <c r="D98" s="281">
        <v>0</v>
      </c>
      <c r="F98" s="287" t="s">
        <v>243</v>
      </c>
      <c r="G98" s="242"/>
      <c r="H98" s="87">
        <v>0</v>
      </c>
      <c r="I98" s="87">
        <v>0</v>
      </c>
      <c r="J98" s="289">
        <v>0</v>
      </c>
    </row>
    <row r="99" spans="2:10" s="3" customFormat="1" ht="17" thickBot="1">
      <c r="B99" s="282" t="s">
        <v>244</v>
      </c>
      <c r="C99" s="283">
        <v>0</v>
      </c>
      <c r="D99" s="284">
        <v>0</v>
      </c>
      <c r="F99" s="287" t="s">
        <v>395</v>
      </c>
      <c r="G99" s="242"/>
      <c r="H99" s="87">
        <v>0</v>
      </c>
      <c r="I99" s="87">
        <v>0</v>
      </c>
      <c r="J99" s="289">
        <v>0</v>
      </c>
    </row>
    <row r="100" spans="2:10" s="3" customFormat="1" ht="16">
      <c r="F100" s="287" t="s">
        <v>396</v>
      </c>
      <c r="G100" s="242"/>
      <c r="H100" s="87">
        <v>0</v>
      </c>
      <c r="I100" s="87">
        <v>0</v>
      </c>
      <c r="J100" s="289">
        <v>0</v>
      </c>
    </row>
    <row r="101" spans="2:10" s="3" customFormat="1" ht="16">
      <c r="F101" s="287" t="s">
        <v>397</v>
      </c>
      <c r="G101" s="242"/>
      <c r="H101" s="87">
        <v>0</v>
      </c>
      <c r="I101" s="87">
        <v>0</v>
      </c>
      <c r="J101" s="289">
        <v>0</v>
      </c>
    </row>
    <row r="102" spans="2:10" s="3" customFormat="1" ht="17" thickBot="1">
      <c r="F102" s="290" t="s">
        <v>398</v>
      </c>
      <c r="G102" s="291"/>
      <c r="H102" s="283">
        <v>0</v>
      </c>
      <c r="I102" s="283">
        <v>0</v>
      </c>
      <c r="J102" s="29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H32" sqref="H32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32" t="s">
        <v>452</v>
      </c>
      <c r="L1" s="132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41"/>
      <c r="L3" s="141"/>
      <c r="R3" s="130"/>
      <c r="S3" s="130"/>
      <c r="T3" s="130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33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47" t="s">
        <v>223</v>
      </c>
      <c r="B5" s="148" t="s">
        <v>212</v>
      </c>
      <c r="C5" s="148" t="s">
        <v>145</v>
      </c>
      <c r="D5" s="148" t="s">
        <v>481</v>
      </c>
      <c r="L5" s="151" t="s">
        <v>482</v>
      </c>
      <c r="M5" s="152" t="s">
        <v>212</v>
      </c>
      <c r="N5" s="152" t="s">
        <v>145</v>
      </c>
      <c r="Z5" t="s">
        <v>429</v>
      </c>
      <c r="AB5" t="s">
        <v>438</v>
      </c>
      <c r="AC5">
        <v>5</v>
      </c>
    </row>
    <row r="6" spans="1:32">
      <c r="A6" s="149" t="s">
        <v>143</v>
      </c>
      <c r="B6" s="150">
        <f>COUNTIFS(DetailTouches[Lance pour],"N",DetailTouches[Issue],"G")</f>
        <v>0</v>
      </c>
      <c r="C6" s="150">
        <f>COUNTIFS(DetailTouches[Lance pour],"N",DetailTouches[Issue],"P")</f>
        <v>0</v>
      </c>
      <c r="D6" s="150">
        <f>COUNTIFS(DetailTouches[Lance pour],"N",DetailTouches[Issue],"ND")</f>
        <v>0</v>
      </c>
      <c r="L6" s="153" t="s">
        <v>143</v>
      </c>
      <c r="M6" s="154">
        <f>COUNTIFS(DetailMelees[Introduction pour],"N",DetailMelees[Issue],"G")</f>
        <v>0</v>
      </c>
      <c r="N6" s="154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45" t="s">
        <v>174</v>
      </c>
      <c r="B7" s="146">
        <f>COUNTIFS(DetailTouches[Lance pour],"E",DetailTouches[Issue],"P")</f>
        <v>0</v>
      </c>
      <c r="C7" s="146">
        <f>COUNTIFS(DetailTouches[Lance pour],"E",DetailTouches[Issue],"G")</f>
        <v>0</v>
      </c>
      <c r="D7" s="146">
        <f>COUNTIFS(DetailTouches[Lance pour],"E",DetailTouches[Issue],"ND")</f>
        <v>0</v>
      </c>
      <c r="L7" s="145" t="s">
        <v>174</v>
      </c>
      <c r="M7" s="146">
        <f>COUNTIFS(DetailMelees[Introduction pour],"E",DetailMelees[Issue],"P")</f>
        <v>0</v>
      </c>
      <c r="N7" s="146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L9" s="268" t="s">
        <v>595</v>
      </c>
      <c r="M9" s="268"/>
      <c r="AB9" t="s">
        <v>442</v>
      </c>
    </row>
    <row r="10" spans="1:32">
      <c r="L10" s="268"/>
      <c r="M10" s="268"/>
      <c r="AB10" t="s">
        <v>443</v>
      </c>
    </row>
    <row r="11" spans="1:32">
      <c r="AB11" t="s">
        <v>444</v>
      </c>
    </row>
    <row r="12" spans="1:32">
      <c r="AB12" t="s">
        <v>445</v>
      </c>
    </row>
  </sheetData>
  <mergeCells count="1">
    <mergeCell ref="L9:M10"/>
  </mergeCells>
  <conditionalFormatting sqref="D3">
    <cfRule type="expression" dxfId="9" priority="7" stopIfTrue="1">
      <formula>($C3&amp;$D3)="NP"</formula>
    </cfRule>
    <cfRule type="expression" dxfId="8" priority="8" stopIfTrue="1">
      <formula>($C3&amp;$D3)="EG"</formula>
    </cfRule>
  </conditionalFormatting>
  <conditionalFormatting sqref="G3">
    <cfRule type="expression" dxfId="7" priority="9" stopIfTrue="1">
      <formula>$G3="F"</formula>
    </cfRule>
    <cfRule type="expression" dxfId="6" priority="10" stopIfTrue="1">
      <formula>$G3="C"</formula>
    </cfRule>
  </conditionalFormatting>
  <conditionalFormatting sqref="A3:J3">
    <cfRule type="expression" dxfId="5" priority="11" stopIfTrue="1">
      <formula>$C3="N"</formula>
    </cfRule>
    <cfRule type="expression" dxfId="4" priority="12" stopIfTrue="1">
      <formula>$C3&lt;&gt;""</formula>
    </cfRule>
  </conditionalFormatting>
  <conditionalFormatting sqref="O3">
    <cfRule type="expression" dxfId="3" priority="13" stopIfTrue="1">
      <formula>($N3&amp;$O3)="NP"</formula>
    </cfRule>
    <cfRule type="expression" dxfId="2" priority="14" stopIfTrue="1">
      <formula>($N3&amp;$O3)="EG"</formula>
    </cfRule>
  </conditionalFormatting>
  <conditionalFormatting sqref="L3:U3">
    <cfRule type="expression" dxfId="1" priority="15" stopIfTrue="1">
      <formula>$N3="N"</formula>
    </cfRule>
    <cfRule type="expression" dxfId="0" priority="16" stopIfTrue="1">
      <formula>$N3&lt;&gt;""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03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03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03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03" t="s">
        <v>517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03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03" t="s">
        <v>530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03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03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58"/>
      <c r="I10" s="50" t="s">
        <v>215</v>
      </c>
      <c r="K10" s="203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89"/>
      <c r="K11" s="203" t="s">
        <v>494</v>
      </c>
      <c r="Q11" s="23" t="s">
        <v>90</v>
      </c>
      <c r="R11" s="23" t="s">
        <v>63</v>
      </c>
      <c r="AA11" s="17" t="s">
        <v>517</v>
      </c>
    </row>
    <row r="12" spans="1:27" ht="30" customHeight="1">
      <c r="C12" s="21" t="s">
        <v>194</v>
      </c>
      <c r="D12" s="21"/>
      <c r="F12" s="19" t="s">
        <v>248</v>
      </c>
      <c r="G12" s="90"/>
      <c r="K12" s="203" t="s">
        <v>495</v>
      </c>
      <c r="Q12" s="23" t="s">
        <v>221</v>
      </c>
      <c r="R12" s="23" t="s">
        <v>222</v>
      </c>
      <c r="AA12" t="s">
        <v>535</v>
      </c>
    </row>
    <row r="13" spans="1:27" s="17" customFormat="1" ht="30" customHeight="1">
      <c r="C13" s="21" t="s">
        <v>181</v>
      </c>
      <c r="D13" s="21"/>
      <c r="F13" s="22" t="s">
        <v>249</v>
      </c>
      <c r="G13" s="159"/>
      <c r="K13" s="203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03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03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03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56"/>
      <c r="I17" s="17" t="s">
        <v>122</v>
      </c>
      <c r="K17" s="203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57"/>
      <c r="I18" s="17" t="s">
        <v>123</v>
      </c>
      <c r="K18" s="203" t="s">
        <v>535</v>
      </c>
      <c r="Q18" s="22" t="s">
        <v>94</v>
      </c>
      <c r="R18" s="70" t="s">
        <v>66</v>
      </c>
      <c r="AA18" t="s">
        <v>530</v>
      </c>
    </row>
    <row r="19" spans="3:27" ht="30" customHeight="1">
      <c r="C19" s="21" t="s">
        <v>205</v>
      </c>
      <c r="D19" s="21"/>
      <c r="F19" s="17"/>
      <c r="I19" s="17" t="s">
        <v>217</v>
      </c>
      <c r="K19" s="203" t="s">
        <v>537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03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03" t="s">
        <v>503</v>
      </c>
      <c r="Q21" s="22" t="s">
        <v>97</v>
      </c>
      <c r="R21" s="70" t="s">
        <v>55</v>
      </c>
      <c r="AA21" t="s">
        <v>542</v>
      </c>
    </row>
    <row r="22" spans="3:27" ht="30" customHeight="1">
      <c r="C22" s="21"/>
      <c r="D22" s="21"/>
      <c r="K22" s="203" t="s">
        <v>502</v>
      </c>
      <c r="Q22" s="22" t="s">
        <v>98</v>
      </c>
      <c r="R22" s="70" t="s">
        <v>50</v>
      </c>
      <c r="AA22" t="s">
        <v>537</v>
      </c>
    </row>
    <row r="23" spans="3:27" ht="30" customHeight="1">
      <c r="C23" s="21"/>
      <c r="D23" s="21"/>
      <c r="K23" s="203" t="s">
        <v>542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03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03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01" t="s">
        <v>508</v>
      </c>
      <c r="R55" s="201" t="s">
        <v>510</v>
      </c>
    </row>
    <row r="56" spans="17:18" ht="30" customHeight="1">
      <c r="Q56" s="202" t="s">
        <v>509</v>
      </c>
      <c r="R56" s="202" t="s">
        <v>511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9" t="s">
        <v>77</v>
      </c>
      <c r="D5" s="269"/>
      <c r="E5" s="269"/>
      <c r="F5" s="269"/>
      <c r="G5" s="269"/>
    </row>
    <row r="6" spans="3:7" ht="14" thickBot="1"/>
    <row r="7" spans="3:7">
      <c r="C7" s="120"/>
      <c r="D7" s="121"/>
      <c r="E7" s="121"/>
      <c r="F7" s="121"/>
      <c r="G7" s="122"/>
    </row>
    <row r="8" spans="3:7">
      <c r="C8" s="123"/>
      <c r="G8" s="124"/>
    </row>
    <row r="9" spans="3:7">
      <c r="C9" s="125" t="s">
        <v>75</v>
      </c>
      <c r="D9" s="129"/>
      <c r="G9" s="124"/>
    </row>
    <row r="10" spans="3:7">
      <c r="C10" s="125"/>
      <c r="G10" s="124"/>
    </row>
    <row r="11" spans="3:7">
      <c r="C11" s="125" t="s">
        <v>76</v>
      </c>
      <c r="D11" s="129"/>
      <c r="G11" s="124"/>
    </row>
    <row r="12" spans="3:7">
      <c r="C12" s="123"/>
      <c r="G12" s="124"/>
    </row>
    <row r="13" spans="3:7" ht="14" thickBot="1">
      <c r="C13" s="126"/>
      <c r="D13" s="127"/>
      <c r="E13" s="127"/>
      <c r="F13" s="127"/>
      <c r="G13" s="128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471</v>
      </c>
    </row>
    <row r="4" spans="2:4">
      <c r="B4" s="136" t="s">
        <v>453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454</v>
      </c>
      <c r="C6" s="137"/>
    </row>
    <row r="7" spans="2:4">
      <c r="B7" s="136" t="s">
        <v>455</v>
      </c>
      <c r="C7" s="137"/>
    </row>
    <row r="9" spans="2:4">
      <c r="B9" s="135" t="s">
        <v>456</v>
      </c>
      <c r="C9" s="138"/>
    </row>
    <row r="10" spans="2:4">
      <c r="B10" s="135" t="s">
        <v>472</v>
      </c>
      <c r="C10" s="138"/>
    </row>
    <row r="11" spans="2:4">
      <c r="B11" s="135" t="s">
        <v>458</v>
      </c>
      <c r="C11" s="138"/>
    </row>
    <row r="12" spans="2:4">
      <c r="B12" s="135" t="s">
        <v>459</v>
      </c>
      <c r="C12" s="138"/>
    </row>
    <row r="13" spans="2:4">
      <c r="B13" s="135" t="s">
        <v>460</v>
      </c>
      <c r="C13" s="138"/>
    </row>
    <row r="14" spans="2:4">
      <c r="B14" s="135" t="s">
        <v>461</v>
      </c>
      <c r="C14" s="138"/>
    </row>
    <row r="16" spans="2:4" ht="24" customHeight="1">
      <c r="B16" s="139" t="s">
        <v>474</v>
      </c>
      <c r="C16" s="140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475</v>
      </c>
    </row>
    <row r="4" spans="2:4">
      <c r="B4" s="136" t="s">
        <v>453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480</v>
      </c>
      <c r="C6" s="137"/>
    </row>
    <row r="7" spans="2:4">
      <c r="B7" s="136" t="s">
        <v>455</v>
      </c>
      <c r="C7" s="137"/>
    </row>
    <row r="9" spans="2:4">
      <c r="B9" s="135" t="s">
        <v>463</v>
      </c>
      <c r="C9" s="138"/>
    </row>
    <row r="10" spans="2:4">
      <c r="B10" s="135" t="s">
        <v>464</v>
      </c>
      <c r="C10" s="138"/>
    </row>
    <row r="11" spans="2:4">
      <c r="B11" s="135" t="s">
        <v>476</v>
      </c>
      <c r="C11" s="138"/>
    </row>
    <row r="12" spans="2:4">
      <c r="B12" s="135" t="s">
        <v>461</v>
      </c>
      <c r="C12" s="138"/>
    </row>
    <row r="14" spans="2:4" ht="24" customHeight="1">
      <c r="B14" s="139" t="s">
        <v>474</v>
      </c>
      <c r="C14" s="140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"/>
    </sheetView>
  </sheetViews>
  <sheetFormatPr baseColWidth="10" defaultRowHeight="14"/>
  <cols>
    <col min="1" max="1" width="2.83203125" style="135" customWidth="1"/>
    <col min="2" max="3" width="14.83203125" style="135" customWidth="1"/>
    <col min="4" max="4" width="4.33203125" style="135" customWidth="1"/>
    <col min="5" max="6" width="14.83203125" style="135" customWidth="1"/>
    <col min="7" max="7" width="4.83203125" style="135" customWidth="1"/>
    <col min="8" max="9" width="14.83203125" style="135" customWidth="1"/>
    <col min="10" max="10" width="4.83203125" style="135" customWidth="1"/>
    <col min="11" max="21" width="5.1640625" style="135" customWidth="1"/>
    <col min="22" max="16384" width="10.83203125" style="135"/>
  </cols>
  <sheetData>
    <row r="2" spans="2:21" ht="21">
      <c r="B2" s="134" t="s">
        <v>546</v>
      </c>
    </row>
    <row r="4" spans="2:21" ht="14" customHeight="1">
      <c r="B4" s="136" t="s">
        <v>453</v>
      </c>
      <c r="C4" s="276"/>
      <c r="D4" s="276"/>
      <c r="E4" s="275" t="s">
        <v>11</v>
      </c>
      <c r="F4" s="275"/>
      <c r="K4" s="270" t="s">
        <v>547</v>
      </c>
      <c r="L4" s="270"/>
      <c r="M4" s="270"/>
      <c r="N4" s="270"/>
      <c r="O4" s="270"/>
      <c r="P4" s="270"/>
      <c r="Q4" s="270"/>
      <c r="R4" s="270"/>
      <c r="S4" s="270"/>
      <c r="T4" s="270"/>
      <c r="U4" s="270"/>
    </row>
    <row r="5" spans="2:21" ht="15" customHeight="1">
      <c r="B5" s="136" t="s">
        <v>7</v>
      </c>
      <c r="C5" s="276"/>
      <c r="D5" s="276"/>
      <c r="K5" s="270"/>
      <c r="L5" s="270"/>
      <c r="M5" s="270"/>
      <c r="N5" s="270"/>
      <c r="O5" s="270"/>
      <c r="P5" s="270"/>
      <c r="Q5" s="270"/>
      <c r="R5" s="270"/>
      <c r="S5" s="270"/>
      <c r="T5" s="270"/>
      <c r="U5" s="270"/>
    </row>
    <row r="6" spans="2:21">
      <c r="B6" s="136" t="s">
        <v>483</v>
      </c>
      <c r="C6" s="276"/>
      <c r="D6" s="276"/>
    </row>
    <row r="7" spans="2:21" ht="20" customHeight="1">
      <c r="K7" s="271" t="s">
        <v>573</v>
      </c>
      <c r="L7" s="272"/>
      <c r="M7" s="272"/>
      <c r="O7" s="271" t="s">
        <v>574</v>
      </c>
      <c r="P7" s="272"/>
      <c r="Q7" s="272"/>
      <c r="S7" s="271" t="s">
        <v>575</v>
      </c>
      <c r="T7" s="272"/>
      <c r="U7" s="272"/>
    </row>
    <row r="8" spans="2:21" ht="10" customHeight="1"/>
    <row r="9" spans="2:21" ht="20" customHeight="1">
      <c r="B9" s="273" t="s">
        <v>548</v>
      </c>
      <c r="C9" s="273"/>
      <c r="E9" s="273" t="s">
        <v>555</v>
      </c>
      <c r="F9" s="273"/>
      <c r="H9" s="273" t="s">
        <v>566</v>
      </c>
      <c r="I9" s="273"/>
      <c r="M9" s="271" t="s">
        <v>576</v>
      </c>
      <c r="N9" s="272"/>
      <c r="O9" s="272"/>
      <c r="Q9" s="271" t="s">
        <v>577</v>
      </c>
      <c r="R9" s="272"/>
      <c r="S9" s="272"/>
    </row>
    <row r="10" spans="2:21" ht="10" customHeight="1"/>
    <row r="11" spans="2:21" ht="20" customHeight="1">
      <c r="E11" s="273" t="s">
        <v>556</v>
      </c>
      <c r="F11" s="273"/>
      <c r="H11" s="273" t="s">
        <v>567</v>
      </c>
      <c r="I11" s="273"/>
      <c r="K11" s="271" t="s">
        <v>578</v>
      </c>
      <c r="L11" s="272"/>
      <c r="M11" s="272"/>
      <c r="O11" s="271" t="s">
        <v>579</v>
      </c>
      <c r="P11" s="272"/>
      <c r="Q11" s="272"/>
      <c r="S11" s="271" t="s">
        <v>580</v>
      </c>
      <c r="T11" s="272"/>
      <c r="U11" s="272"/>
    </row>
    <row r="12" spans="2:21" ht="10" customHeight="1"/>
    <row r="13" spans="2:21" ht="20" customHeight="1">
      <c r="B13" s="273" t="s">
        <v>549</v>
      </c>
      <c r="C13" s="273"/>
      <c r="E13" s="273" t="s">
        <v>557</v>
      </c>
      <c r="F13" s="273"/>
      <c r="H13" s="273" t="s">
        <v>568</v>
      </c>
      <c r="I13" s="273"/>
      <c r="M13" s="271" t="s">
        <v>581</v>
      </c>
      <c r="N13" s="272"/>
      <c r="O13" s="272"/>
    </row>
    <row r="14" spans="2:21" ht="10" customHeight="1"/>
    <row r="15" spans="2:21" ht="20" customHeight="1">
      <c r="B15" s="273" t="s">
        <v>550</v>
      </c>
      <c r="C15" s="273"/>
      <c r="E15" s="273" t="s">
        <v>558</v>
      </c>
      <c r="F15" s="273"/>
      <c r="H15" s="273" t="s">
        <v>569</v>
      </c>
      <c r="I15" s="273"/>
      <c r="P15" s="271" t="s">
        <v>582</v>
      </c>
      <c r="Q15" s="272"/>
      <c r="R15" s="272"/>
    </row>
    <row r="16" spans="2:21" ht="10" customHeight="1"/>
    <row r="17" spans="2:21" ht="20" customHeight="1">
      <c r="B17" s="273" t="s">
        <v>551</v>
      </c>
      <c r="C17" s="273"/>
      <c r="E17" s="273" t="s">
        <v>559</v>
      </c>
      <c r="F17" s="273"/>
      <c r="H17" s="273" t="s">
        <v>570</v>
      </c>
      <c r="I17" s="273"/>
      <c r="M17" s="271" t="s">
        <v>583</v>
      </c>
      <c r="N17" s="272"/>
      <c r="O17" s="272"/>
      <c r="Q17" s="271" t="s">
        <v>584</v>
      </c>
      <c r="R17" s="272"/>
      <c r="S17" s="272"/>
    </row>
    <row r="18" spans="2:21" ht="10" customHeight="1"/>
    <row r="19" spans="2:21" ht="20" customHeight="1">
      <c r="E19" s="273" t="s">
        <v>560</v>
      </c>
      <c r="F19" s="273"/>
      <c r="H19" s="273" t="s">
        <v>571</v>
      </c>
      <c r="I19" s="273"/>
      <c r="K19" s="271" t="s">
        <v>585</v>
      </c>
      <c r="L19" s="272"/>
      <c r="M19" s="272"/>
      <c r="O19" s="271" t="s">
        <v>586</v>
      </c>
      <c r="P19" s="272"/>
      <c r="Q19" s="272"/>
      <c r="S19" s="271" t="s">
        <v>587</v>
      </c>
      <c r="T19" s="272"/>
      <c r="U19" s="272"/>
    </row>
    <row r="20" spans="2:21" ht="10" customHeight="1"/>
    <row r="21" spans="2:21" ht="20" customHeight="1">
      <c r="B21" s="273" t="s">
        <v>552</v>
      </c>
      <c r="C21" s="273"/>
      <c r="E21" s="273" t="s">
        <v>561</v>
      </c>
      <c r="F21" s="273"/>
      <c r="K21" s="271" t="s">
        <v>588</v>
      </c>
      <c r="L21" s="272"/>
      <c r="M21" s="272"/>
      <c r="O21" s="271" t="s">
        <v>589</v>
      </c>
      <c r="P21" s="272"/>
      <c r="Q21" s="272"/>
      <c r="S21" s="271" t="s">
        <v>590</v>
      </c>
      <c r="T21" s="272"/>
      <c r="U21" s="272"/>
    </row>
    <row r="22" spans="2:21" ht="10" customHeight="1"/>
    <row r="23" spans="2:21" ht="20" customHeight="1">
      <c r="B23" s="273" t="s">
        <v>553</v>
      </c>
      <c r="C23" s="273"/>
      <c r="E23" s="273" t="s">
        <v>562</v>
      </c>
      <c r="F23" s="273"/>
      <c r="H23" s="273" t="s">
        <v>545</v>
      </c>
      <c r="I23" s="273"/>
      <c r="K23" s="271" t="s">
        <v>591</v>
      </c>
      <c r="L23" s="272"/>
      <c r="M23" s="272"/>
      <c r="O23" s="271" t="s">
        <v>592</v>
      </c>
      <c r="P23" s="272"/>
      <c r="Q23" s="272"/>
      <c r="S23" s="271" t="s">
        <v>593</v>
      </c>
      <c r="T23" s="272"/>
      <c r="U23" s="272"/>
    </row>
    <row r="24" spans="2:21" ht="10" customHeight="1"/>
    <row r="25" spans="2:21" ht="20" customHeight="1">
      <c r="B25" s="273" t="s">
        <v>554</v>
      </c>
      <c r="C25" s="273"/>
      <c r="E25" s="273" t="s">
        <v>563</v>
      </c>
      <c r="F25" s="273"/>
      <c r="H25" s="273" t="s">
        <v>157</v>
      </c>
      <c r="I25" s="273"/>
      <c r="O25" s="271" t="s">
        <v>594</v>
      </c>
      <c r="P25" s="272"/>
      <c r="Q25" s="272"/>
    </row>
    <row r="26" spans="2:21" ht="10" customHeight="1"/>
    <row r="27" spans="2:21" ht="20" customHeight="1">
      <c r="E27" s="273" t="s">
        <v>564</v>
      </c>
      <c r="F27" s="273"/>
      <c r="H27" s="273" t="s">
        <v>572</v>
      </c>
      <c r="I27" s="273"/>
      <c r="K27" s="271" t="s">
        <v>42</v>
      </c>
      <c r="L27" s="272"/>
      <c r="M27" s="272"/>
      <c r="S27" s="271" t="s">
        <v>32</v>
      </c>
      <c r="T27" s="272"/>
      <c r="U27" s="272"/>
    </row>
    <row r="28" spans="2:21" ht="10" customHeight="1"/>
    <row r="29" spans="2:21" ht="20" customHeight="1">
      <c r="E29" s="273" t="s">
        <v>565</v>
      </c>
      <c r="F29" s="273"/>
      <c r="H29" s="273" t="s">
        <v>168</v>
      </c>
      <c r="I29" s="273"/>
    </row>
    <row r="30" spans="2:21" ht="10" customHeight="1"/>
    <row r="31" spans="2:21" ht="9" customHeight="1"/>
    <row r="32" spans="2:21" ht="26" customHeight="1">
      <c r="B32" s="274" t="s">
        <v>474</v>
      </c>
      <c r="C32" s="274"/>
      <c r="D32" s="160"/>
      <c r="E32" s="275" t="s">
        <v>484</v>
      </c>
      <c r="F32" s="275"/>
      <c r="G32" s="275"/>
      <c r="H32" s="275"/>
      <c r="I32" s="160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</sheetViews>
  <sheetFormatPr baseColWidth="10" defaultRowHeight="14"/>
  <cols>
    <col min="1" max="1" width="2.83203125" style="135" customWidth="1"/>
    <col min="2" max="2" width="26.83203125" style="135" customWidth="1"/>
    <col min="3" max="3" width="3.83203125" style="135" customWidth="1"/>
    <col min="4" max="4" width="26.83203125" style="135" customWidth="1"/>
    <col min="5" max="5" width="16.83203125" style="135" customWidth="1"/>
    <col min="6" max="9" width="10.83203125" style="135"/>
    <col min="10" max="13" width="0" style="135" hidden="1" customWidth="1"/>
    <col min="14" max="16384" width="10.83203125" style="135"/>
  </cols>
  <sheetData>
    <row r="2" spans="2:5" ht="21">
      <c r="B2" s="134" t="s">
        <v>504</v>
      </c>
    </row>
    <row r="4" spans="2:5">
      <c r="B4" s="136" t="s">
        <v>453</v>
      </c>
      <c r="D4" s="137"/>
      <c r="E4" s="140" t="s">
        <v>11</v>
      </c>
    </row>
    <row r="5" spans="2:5">
      <c r="B5" s="155" t="s">
        <v>507</v>
      </c>
      <c r="D5" s="161"/>
    </row>
    <row r="7" spans="2:5">
      <c r="B7" s="155" t="s">
        <v>505</v>
      </c>
      <c r="D7" s="155" t="s">
        <v>506</v>
      </c>
    </row>
    <row r="8" spans="2:5">
      <c r="B8" s="162"/>
      <c r="D8" s="162"/>
    </row>
    <row r="9" spans="2:5">
      <c r="B9" s="162"/>
      <c r="D9" s="162"/>
    </row>
    <row r="10" spans="2:5">
      <c r="B10" s="162"/>
      <c r="D10" s="162"/>
    </row>
    <row r="11" spans="2:5">
      <c r="B11" s="162"/>
      <c r="D11" s="162"/>
    </row>
    <row r="12" spans="2:5">
      <c r="B12" s="162"/>
      <c r="D12" s="162"/>
    </row>
    <row r="14" spans="2:5" ht="26" customHeight="1">
      <c r="B14" s="139" t="s">
        <v>474</v>
      </c>
      <c r="C14" s="160"/>
      <c r="D14" s="140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2026-09-29T17:07:35Z</dcterms:modified>
</cp:coreProperties>
</file>