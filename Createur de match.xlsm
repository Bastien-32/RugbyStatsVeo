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4B60B577-6AD7-1843-92F2-AC381091444A}" xr6:coauthVersionLast="47" xr6:coauthVersionMax="47" xr10:uidLastSave="{00000000-0000-0000-0000-000000000000}"/>
  <bookViews>
    <workbookView xWindow="12460" yWindow="660" windowWidth="22100" windowHeight="2168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Melees'!$A$19</definedName>
    <definedName name="TM_RECAP_MELEES">'Touches Melees'!$A$15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2" l="1"/>
  <c r="D42" i="12"/>
  <c r="E41" i="12"/>
  <c r="E37" i="12"/>
  <c r="D38" i="12"/>
  <c r="D37" i="12"/>
  <c r="B56" i="12"/>
  <c r="C17" i="18"/>
  <c r="B17" i="18"/>
  <c r="C16" i="18"/>
  <c r="B16" i="18"/>
  <c r="D7" i="18"/>
  <c r="C7" i="18"/>
  <c r="B7" i="18"/>
  <c r="D6" i="18"/>
  <c r="C6" i="18"/>
  <c r="B6" i="18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<sst xmlns="http://schemas.openxmlformats.org/spreadsheetml/2006/main" count="891" uniqueCount="631">
  <si>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</si>
  <si>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</si>
  <si>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</si>
  <si>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</si>
  <si>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</si>
  <si>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</si>
  <si>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</si>
  <si>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</si>
  <si>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</si>
  <si>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</si>
  <si>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</si>
  <si>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</si>
  <si>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</si>
  <si>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</si>
  <si>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</si>
  <si>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</si>
  <si>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</si>
  <si>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</si>
  <si>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</si>
  <si>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</si>
  <si>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</si>
  <si>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</si>
  <si>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</si>
  <si>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</si>
  <si>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</si>
  <si>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</si>
  <si>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</si>
  <si>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</si>
  <si>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</si>
  <si>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</si>
  <si>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</si>
  <si>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</si>
  <si>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</si>
  <si>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</si>
  <si>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</si>
  <si>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</si>
  <si>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</si>
  <si>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</si>
  <si>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</si>
  <si>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</si>
  <si>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</si>
  <si>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</si>
  <si>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</si>
  <si>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</si>
  <si>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</si>
  <si>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</si>
  <si>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</si>
  <si>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</si>
  <si>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</si>
  <si>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</si>
  <si>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</si>
  <si>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</si>
  <si>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</si>
  <si>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</si>
  <si>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</si>
  <si>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</si>
  <si>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</si>
  <si>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</si>
  <si>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</si>
  <si>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</si>
  <si>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</si>
  <si>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</si>
  <si>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</si>
  <si>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</si>
  <si>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</si>
  <si>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</si>
  <si>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</si>
  <si>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</si>
  <si>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</si>
  <si>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</si>
  <si>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</si>
  <si>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</si>
  <si>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</si>
  <si>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</si>
  <si>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</si>
  <si>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</si>
  <si>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</si>
  <si>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</si>
  <si>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</si>
  <si>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</si>
  <si>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</si>
  <si>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</si>
  <si>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</si>
  <si>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</si>
  <si>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</si>
  <si>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</si>
  <si>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</si>
  <si>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</si>
  <si>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</si>
  <si>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</si>
  <si>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</si>
  <si>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</si>
  <si>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</si>
  <si>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</si>
  <si>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</si>
  <si>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</si>
  <si>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</si>
  <si>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</si>
  <si>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</si>
  <si>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</si>
  <si>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</si>
  <si>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</si>
  <si>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</si>
  <si>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</si>
  <si>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</si>
  <si>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</si>
  <si>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</si>
  <si>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</si>
  <si>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</si>
  <si>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</si>
  <si>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</si>
  <si>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</si>
  <si>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</si>
  <si>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</si>
  <si>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</si>
  <si>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</si>
  <si>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</si>
  <si>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</si>
  <si>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</si>
  <si>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</si>
  <si>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</si>
  <si>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</si>
  <si>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</si>
  <si>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</si>
  <si>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</si>
  <si>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</si>
  <si>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</si>
  <si>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</si>
  <si>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</si>
  <si>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</si>
  <si>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</si>
  <si>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</si>
  <si>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</si>
  <si>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</si>
  <si>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</si>
  <si>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</si>
  <si>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</si>
  <si>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</si>
  <si>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</si>
  <si>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</si>
  <si>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</si>
  <si>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</si>
  <si>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</si>
  <si>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</si>
  <si>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</si>
  <si>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</si>
  <si>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</si>
  <si>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</si>
  <si>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</si>
  <si>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</si>
  <si>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</si>
  <si>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</si>
  <si>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</si>
  <si>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</si>
  <si>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</si>
  <si>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</si>
  <si>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</si>
  <si>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</si>
  <si>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</si>
  <si>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</si>
  <si>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</si>
  <si>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</si>
  <si>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</si>
  <si>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</si>
  <si>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</si>
  <si>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</si>
  <si>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</si>
  <si>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</si>
  <si>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</si>
  <si>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</si>
  <si>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</si>
  <si>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</si>
  <si>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</si>
  <si>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</si>
  <si>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</si>
  <si>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</si>
  <si>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</si>
  <si>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</si>
  <si>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</si>
  <si>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</si>
  <si>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</si>
  <si>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</si>
  <si>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</si>
  <si>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</si>
  <si>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</si>
  <si>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</si>
  <si>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</si>
  <si>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</si>
  <si>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</si>
  <si>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</si>
  <si>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</si>
  <si>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</si>
  <si>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</si>
  <si>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</si>
  <si>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</si>
  <si>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</si>
  <si>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</si>
  <si>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</si>
  <si>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</si>
  <si>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</si>
  <si>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</si>
  <si>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</si>
  <si>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</si>
  <si>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</si>
  <si>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</si>
  <si>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</si>
  <si>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</si>
  <si>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</si>
  <si>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</si>
  <si>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</si>
  <si>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</si>
  <si>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</si>
  <si>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</si>
  <si>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</si>
  <si>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</si>
  <si>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</si>
  <si>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</si>
  <si>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</si>
  <si>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</si>
  <si>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</si>
  <si>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</si>
  <si>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</si>
  <si>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</si>
  <si>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</si>
  <si>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</si>
  <si>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</si>
  <si>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</si>
  <si>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</si>
  <si>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</si>
  <si>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</si>
  <si>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</si>
  <si>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</si>
  <si>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</si>
  <si>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</si>
  <si>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</si>
  <si>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</si>
  <si>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</si>
  <si>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</si>
  <si>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</si>
  <si>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</si>
  <si>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</si>
  <si>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</si>
  <si>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</si>
  <si>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</si>
  <si>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</si>
  <si>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</si>
  <si>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</si>
  <si>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</si>
  <si>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</si>
  <si>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</si>
  <si>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</si>
  <si>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</si>
  <si>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</si>
  <si>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</si>
  <si>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</si>
  <si>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</si>
  <si>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</si>
  <si>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</si>
  <si>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</si>
  <si>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</si>
  <si>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</si>
  <si>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</si>
  <si>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</si>
  <si>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</si>
  <si>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</si>
  <si>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</si>
  <si>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</si>
  <si>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</si>
  <si>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</si>
  <si>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</si>
  <si>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</si>
  <si>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</si>
  <si>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</si>
  <si>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</si>
  <si>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</si>
  <si>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</si>
  <si>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</si>
  <si>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</si>
  <si>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</si>
  <si>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</si>
  <si>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</si>
  <si>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</si>
  <si>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</si>
  <si>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</si>
  <si>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</si>
  <si>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</si>
  <si>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</si>
  <si>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</si>
  <si>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</si>
  <si>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</si>
  <si>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</si>
  <si>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</si>
  <si>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</si>
  <si>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</si>
  <si>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</si>
  <si>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</si>
  <si>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</si>
  <si>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</si>
  <si>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</si>
  <si>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</si>
  <si>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</si>
  <si>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</si>
  <si>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</si>
  <si>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</si>
  <si>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</si>
  <si>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</si>
  <si>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</si>
  <si>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</si>
  <si>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</si>
  <si>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</si>
  <si>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</si>
  <si>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</si>
  <si>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</si>
  <si>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</si>
  <si>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</si>
  <si>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</si>
  <si>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</si>
  <si>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</si>
  <si>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</si>
  <si>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</si>
  <si>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</si>
  <si>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</si>
  <si>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</si>
  <si>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</si>
  <si>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</si>
  <si>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</si>
  <si>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</si>
  <si>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</si>
  <si>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</si>
  <si>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</si>
  <si>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</si>
  <si>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</si>
  <si>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</si>
  <si>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</si>
  <si>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</si>
  <si>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</si>
  <si>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</si>
  <si>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</si>
  <si>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</si>
  <si>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</si>
  <si>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</si>
  <si>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</si>
  <si>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</si>
  <si>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</si>
  <si>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</si>
  <si>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</si>
  <si>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</si>
  <si>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</si>
  <si>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</si>
  <si>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</si>
  <si>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</si>
  <si>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</si>
  <si>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</si>
  <si>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</si>
  <si>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</si>
  <si>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</si>
  <si>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</si>
  <si>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</si>
  <si>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</si>
  <si>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</si>
  <si>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</si>
  <si>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</si>
  <si>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</si>
  <si>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</si>
  <si>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</si>
  <si>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</si>
  <si>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</si>
  <si>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</si>
  <si>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</si>
  <si>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</si>
  <si>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</si>
  <si>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</si>
  <si>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</si>
  <si>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</si>
  <si>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</si>
  <si>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</si>
  <si>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</si>
  <si>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</si>
  <si>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</si>
  <si>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</si>
  <si>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</si>
  <si>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</si>
  <si>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</si>
  <si>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</si>
  <si>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</si>
  <si>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</si>
  <si>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</si>
  <si>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</si>
  <si>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</si>
  <si>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</si>
  <si>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</si>
  <si>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</si>
  <si>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</si>
  <si>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</si>
  <si>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</si>
  <si>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</si>
  <si>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</si>
  <si>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</si>
  <si>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</si>
  <si>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</si>
  <si>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</si>
  <si>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</si>
  <si>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</si>
  <si>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</si>
  <si>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</si>
  <si>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</si>
  <si>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</si>
  <si>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</si>
  <si>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</si>
  <si>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</si>
  <si>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</si>
  <si>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</si>
  <si>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</si>
  <si>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</si>
  <si>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</si>
  <si>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</si>
  <si>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</si>
  <si>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</si>
  <si>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</si>
  <si>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</si>
  <si>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</si>
  <si>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</si>
  <si>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</si>
  <si>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</si>
  <si>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</si>
  <si>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</si>
  <si>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</si>
  <si>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</si>
  <si>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</si>
  <si>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</si>
  <si>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</si>
  <si>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</si>
  <si>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</si>
  <si>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</si>
  <si>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</si>
  <si>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</si>
  <si>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</si>
  <si>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</si>
  <si>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</si>
  <si>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</si>
  <si>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</si>
  <si>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</si>
  <si>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</si>
  <si>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</si>
  <si>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</si>
  <si>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</si>
  <si>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</si>
  <si>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</si>
  <si>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</si>
  <si>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</si>
  <si>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</si>
  <si>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</si>
  <si>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</si>
  <si>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</si>
  <si>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</si>
  <si>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</si>
  <si>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</si>
  <si>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</si>
  <si>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</si>
  <si>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</si>
  <si>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</si>
  <si>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</si>
  <si>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</si>
  <si>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</si>
  <si>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</si>
  <si>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</si>
  <si>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</si>
  <si>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</si>
  <si>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</si>
  <si>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</si>
  <si>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</si>
  <si>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</si>
  <si>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</si>
  <si>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</si>
  <si>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</si>
  <si>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</si>
  <si>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</si>
  <si>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</si>
  <si>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</si>
  <si>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</si>
  <si>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</si>
  <si>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</si>
  <si>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</si>
  <si>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</si>
  <si>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</si>
  <si>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</si>
  <si>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</si>
  <si>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</si>
  <si>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</si>
  <si>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</si>
  <si>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</si>
  <si>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</si>
  <si>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</si>
  <si>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</si>
  <si>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</si>
  <si>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</si>
  <si>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</si>
  <si>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</si>
  <si>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</si>
  <si>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</si>
  <si>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</si>
  <si>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</si>
  <si>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</si>
  <si>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</si>
  <si>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</si>
  <si>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</si>
  <si>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</si>
  <si>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</si>
  <si>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</si>
  <si>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</si>
  <si>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</si>
  <si>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</si>
  <si>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</si>
  <si>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</si>
  <si>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</si>
  <si>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</si>
  <si>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</si>
  <si>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</si>
  <si>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</si>
  <si>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</si>
  <si>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</si>
  <si>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</si>
  <si>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</si>
  <si>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</si>
  <si>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</si>
  <si>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</si>
  <si>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</si>
  <si>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</si>
  <si>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</si>
  <si>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</si>
  <si>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</si>
  <si>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</si>
  <si>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</si>
  <si>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</si>
  <si>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</si>
  <si>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</si>
  <si>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</si>
  <si>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</si>
  <si>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</si>
  <si>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</si>
  <si>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</si>
  <si>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</si>
  <si>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</si>
  <si>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</si>
  <si>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</si>
  <si>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</si>
  <si>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</si>
  <si>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</si>
  <si>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</si>
  <si>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</si>
  <si>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</si>
  <si>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</si>
  <si>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</si>
  <si>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</si>
  <si>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</si>
  <si>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</si>
  <si>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</si>
  <si>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</si>
  <si>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</si>
  <si>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</si>
  <si>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</si>
  <si>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</si>
  <si>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</si>
  <si>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</si>
  <si>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</si>
  <si>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</si>
  <si>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</si>
  <si>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</si>
  <si>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</si>
  <si>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</si>
  <si>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</si>
  <si>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</si>
  <si>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</si>
  <si>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</si>
  <si>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</si>
  <si>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</si>
  <si>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</si>
  <si>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</si>
  <si>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</si>
  <si>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</si>
  <si>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</si>
  <si>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</si>
  <si>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</si>
  <si>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</si>
  <si>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</si>
  <si>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</si>
  <si>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</si>
  <si>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</si>
  <si>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</si>
  <si>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</si>
  <si>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</si>
  <si>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</si>
  <si>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</si>
  <si>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</si>
  <si>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</si>
  <si>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</si>
  <si>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</si>
  <si>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</si>
  <si>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</si>
  <si>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</si>
  <si>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</si>
  <si>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</si>
  <si>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</si>
  <si>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</si>
  <si>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</si>
  <si>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43:53</t>
  </si>
  <si>
    <t>Perdue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</si>
  <si>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</si>
  <si>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</si>
  <si>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</si>
  <si>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</si>
  <si>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</si>
  <si>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</si>
  <si>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</si>
  <si>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</si>
  <si>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</si>
  <si>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</si>
  <si>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</si>
  <si>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</si>
  <si>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</si>
  <si>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</si>
  <si>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</si>
  <si>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</si>
  <si>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r>
      <t xml:space="preserve">4
</t>
    </r>
    <r>
      <rPr>
        <sz val="9"/>
        <color rgb="FFFFFFFF"/>
        <rFont val="Calibri"/>
        <family val="2"/>
      </rPr>
      <t>DUTREY</t>
    </r>
  </si>
  <si>
    <t>64:10</t>
  </si>
  <si>
    <r>
      <t xml:space="preserve">6
</t>
    </r>
    <r>
      <rPr>
        <sz val="9"/>
        <color rgb="FFFFFFFF"/>
        <rFont val="Calibri"/>
        <family val="2"/>
      </rPr>
      <t>MULLIER</t>
    </r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</si>
  <si>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DALLA ROSA</t>
    </r>
  </si>
  <si>
    <t>US Eauze Gondrin</t>
  </si>
  <si>
    <t>26-27_A3_US Eauze Gondrin_Réserve_DOM</t>
  </si>
  <si>
    <t>Jeu effectif</t>
  </si>
  <si>
    <t>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</si>
</sst>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5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49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52" fillId="35" borderId="43" xfId="0" applyFont="1" applyFill="1" applyBorder="1" applyAlignment="1">
      <alignment horizontal="center" vertical="center" wrapText="1"/>
    </xf>
    <xf numFmtId="0" fontId="51" fillId="35" borderId="43" xfId="0" applyFont="1" applyFill="1" applyBorder="1" applyAlignment="1">
      <alignment horizontal="center" vertical="center" wrapText="1"/>
    </xf>
    <xf numFmtId="0" fontId="52" fillId="43" borderId="43" xfId="0" applyFont="1" applyFill="1" applyBorder="1" applyAlignment="1">
      <alignment horizontal="center" vertical="center" wrapText="1"/>
    </xf>
    <xf numFmtId="0" fontId="48" fillId="14" borderId="43" xfId="0" applyFont="1" applyFill="1" applyBorder="1" applyAlignment="1">
      <alignment horizontal="center" vertical="center"/>
    </xf>
    <xf numFmtId="0" fontId="51" fillId="14" borderId="43" xfId="0" applyFont="1" applyFill="1" applyBorder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5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2:J13" totalsRowShown="0">
  <autoFilter ref="A12:J13" xr:uid="{A1FE138B-7A57-FD4E-B0BC-4BF4203BE379}"/>
  <tableColumns count="10">
    <tableColumn id="1" xr3:uid="{9154875D-F6A2-FD43-A363-B5D480E2C8C9}" name="Temps video" dataDxfId="5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3"/>
    <tableColumn id="8" xr3:uid="{D9175B18-6528-4648-B15C-FF2CC25EEBE4}" name="Jeu 3/4" dataDxfId="52"/>
    <tableColumn id="9" xr3:uid="{CAE0CE17-6518-8346-8125-3B7CA02D88C1}" name="Jeu pied" dataDxfId="51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0" dataDxfId="48" headerRowBorderDxfId="49" tableBorderDxfId="47" totalsRowBorderDxfId="46">
  <autoFilter ref="Q1:R64" xr:uid="{6D1F5F0A-5FD5-AC4E-A195-33A78A5E0E58}"/>
  <tableColumns count="2">
    <tableColumn id="1" xr3:uid="{8A0D5429-5616-B849-BD27-167A576FE99E}" name="Nom de cellule à créer" dataDxfId="45"/>
    <tableColumn id="2" xr3:uid="{19545507-672A-9F40-8818-E4C9060AA52B}" name="Libellé" dataDxfId="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3" headerRowBorderDxfId="42" tableBorderDxfId="41" totalsRowBorderDxfId="40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9" headerRowBorderDxfId="38" tableBorderDxfId="37" totalsRowBorderDxfId="36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5" dataDxfId="34">
  <autoFilter ref="I14:I20" xr:uid="{CC940AF9-E81A-F746-8EAD-392809C3CFBE}"/>
  <tableColumns count="1">
    <tableColumn id="1" xr3:uid="{816CA1DF-3681-2948-A622-26353E2B9A97}" name="LISTE_LECTEUR_VIDEO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2" dataDxfId="31">
  <autoFilter ref="C1:C4" xr:uid="{61FC7709-08E5-D048-A38B-441B18CF5D35}"/>
  <tableColumns count="1">
    <tableColumn id="1" xr3:uid="{C41B523D-40DA-AF48-A2C2-015B04960B0A}" name="LIEU_MATCH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9" dataDxfId="28">
  <autoFilter ref="C6:C10" xr:uid="{86EA01CF-5567-6445-9906-AD2B60CA0A8A}"/>
  <tableColumns count="1">
    <tableColumn id="1" xr3:uid="{B57F8324-6F25-7B40-9B20-1BFDF9708631}" name="PHASE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6" dataDxfId="25">
  <autoFilter ref="C12:C15" xr:uid="{DAA9B017-78F0-D447-B788-CF8333AEAC38}"/>
  <tableColumns count="1">
    <tableColumn id="1" xr3:uid="{C5E86C3D-762A-054E-B864-5A67DBB9A8CA}" name="RESULTAT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3" dataDxfId="22">
  <autoFilter ref="C17:C21" xr:uid="{F661D9E2-619C-DA44-92C5-8A09E8E281AC}"/>
  <tableColumns count="1">
    <tableColumn id="1" xr3:uid="{ADD3AF05-089E-D149-9728-7C2A6F62FA22}" name="EQUIPE_NIV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0" dataDxfId="18" headerRowBorderDxfId="19" tableBorderDxfId="17" totalsRowBorderDxfId="16">
  <autoFilter ref="K1:K25" xr:uid="{391966D0-8F83-3948-82BB-835638F7D3FE}"/>
  <tableColumns count="1">
    <tableColumn id="1" xr3:uid="{F45BF991-6668-F741-B07C-7905B99AC752}" name="LISTE_JOUEURS_JOURNAL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4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627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512</v>
      </c>
      <c r="C66" s="85" t="s">
        <v>511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3" sqref="C33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04" t="s">
        <v>201</v>
      </c>
      <c r="C2" s="204"/>
      <c r="E2" s="205" t="str">
        <f>"FEUILLE COMPO "&amp;MATCH_NOUS</f>
        <v>FEUILLE COMPO MXV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484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496</v>
      </c>
      <c r="G8" t="s">
        <v>153</v>
      </c>
    </row>
    <row r="9" spans="1:8">
      <c r="B9" s="3"/>
      <c r="C9" s="3"/>
      <c r="E9">
        <v>3</v>
      </c>
      <c r="F9" t="s">
        <v>486</v>
      </c>
      <c r="G9" t="s">
        <v>153</v>
      </c>
    </row>
    <row r="10" spans="1:8">
      <c r="B10" s="42" t="s">
        <v>509</v>
      </c>
      <c r="C10" s="43" t="s">
        <v>510</v>
      </c>
      <c r="E10">
        <v>4</v>
      </c>
      <c r="F10" t="s">
        <v>513</v>
      </c>
      <c r="G10" t="s">
        <v>153</v>
      </c>
    </row>
    <row r="11" spans="1:8">
      <c r="E11">
        <v>5</v>
      </c>
      <c r="F11" t="s">
        <v>487</v>
      </c>
      <c r="G11" t="s">
        <v>153</v>
      </c>
    </row>
    <row r="12" spans="1:8">
      <c r="B12" s="42" t="s">
        <v>182</v>
      </c>
      <c r="C12" s="43" t="s">
        <v>627</v>
      </c>
      <c r="E12">
        <v>6</v>
      </c>
      <c r="F12" t="s">
        <v>514</v>
      </c>
      <c r="G12" t="s">
        <v>153</v>
      </c>
    </row>
    <row r="13" spans="1:8">
      <c r="B13" s="3"/>
      <c r="C13" s="3"/>
      <c r="E13">
        <v>7</v>
      </c>
      <c r="F13" t="s">
        <v>497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488</v>
      </c>
      <c r="G14" t="s">
        <v>153</v>
      </c>
    </row>
    <row r="15" spans="1:8">
      <c r="B15" s="3"/>
      <c r="C15" s="3"/>
      <c r="E15" s="35">
        <v>9</v>
      </c>
      <c r="F15" s="35" t="s">
        <v>489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490</v>
      </c>
      <c r="G16" t="s">
        <v>169</v>
      </c>
    </row>
    <row r="17" spans="1:8">
      <c r="B17" s="3"/>
      <c r="C17" s="64"/>
      <c r="E17">
        <v>11</v>
      </c>
      <c r="F17" t="s">
        <v>491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492</v>
      </c>
      <c r="G18" t="s">
        <v>169</v>
      </c>
    </row>
    <row r="19" spans="1:8">
      <c r="B19" s="3"/>
      <c r="C19" s="3"/>
      <c r="E19">
        <v>13</v>
      </c>
      <c r="F19" t="s">
        <v>493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494</v>
      </c>
      <c r="G20" t="s">
        <v>169</v>
      </c>
    </row>
    <row r="21" spans="1:8">
      <c r="B21" s="3"/>
      <c r="C21" s="64"/>
      <c r="E21" s="30">
        <v>15</v>
      </c>
      <c r="F21" s="30" t="s">
        <v>495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485</v>
      </c>
      <c r="G22" t="s">
        <v>153</v>
      </c>
    </row>
    <row r="23" spans="1:8">
      <c r="B23" s="3"/>
      <c r="C23" s="3"/>
      <c r="E23">
        <v>17</v>
      </c>
      <c r="F23" t="s">
        <v>515</v>
      </c>
      <c r="G23" t="s">
        <v>153</v>
      </c>
    </row>
    <row r="24" spans="1:8">
      <c r="B24" s="3"/>
      <c r="C24" s="3"/>
      <c r="E24">
        <v>18</v>
      </c>
      <c r="F24" t="s">
        <v>516</v>
      </c>
      <c r="G24" t="s">
        <v>153</v>
      </c>
    </row>
    <row r="25" spans="1:8">
      <c r="B25" s="3"/>
      <c r="C25" s="3"/>
      <c r="E25">
        <v>19</v>
      </c>
      <c r="F25" t="s">
        <v>483</v>
      </c>
      <c r="G25" t="s">
        <v>153</v>
      </c>
    </row>
    <row r="26" spans="1:8">
      <c r="B26" s="3"/>
      <c r="C26" s="3"/>
      <c r="E26">
        <v>20</v>
      </c>
      <c r="F26" t="s">
        <v>499</v>
      </c>
      <c r="G26" t="s">
        <v>169</v>
      </c>
    </row>
    <row r="27" spans="1:8">
      <c r="B27" s="3"/>
      <c r="C27" s="3"/>
      <c r="E27">
        <v>21</v>
      </c>
      <c r="F27" t="s">
        <v>498</v>
      </c>
      <c r="G27" t="s">
        <v>169</v>
      </c>
    </row>
    <row r="28" spans="1:8">
      <c r="B28" s="3"/>
      <c r="C28" s="3"/>
      <c r="E28">
        <v>22</v>
      </c>
      <c r="F28" t="s">
        <v>517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628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AW8" sqref="AW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3"/>
      <c r="B1" s="23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</row>
    <row r="2" spans="1:88" ht="10" customHeight="1" thickBo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</row>
    <row r="3" spans="1:88" ht="10" customHeight="1">
      <c r="A3" s="143"/>
      <c r="B3" s="145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7"/>
      <c r="AZ3" s="143"/>
      <c r="BA3" s="145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7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</row>
    <row r="4" spans="1:88" ht="42" customHeight="1">
      <c r="A4" s="143"/>
      <c r="B4" s="144"/>
      <c r="C4" s="222" t="s">
        <v>124</v>
      </c>
      <c r="D4" s="221"/>
      <c r="E4" s="221"/>
      <c r="F4" s="221"/>
      <c r="G4" s="221"/>
      <c r="H4" s="221"/>
      <c r="I4" s="221"/>
      <c r="J4" s="221"/>
      <c r="K4" s="143"/>
      <c r="L4" s="217" t="s">
        <v>39</v>
      </c>
      <c r="M4" s="218"/>
      <c r="N4" s="218"/>
      <c r="O4" s="218"/>
      <c r="P4" s="218"/>
      <c r="Q4" s="218"/>
      <c r="R4" s="219"/>
      <c r="S4" s="143"/>
      <c r="T4" s="217" t="s">
        <v>55</v>
      </c>
      <c r="U4" s="218"/>
      <c r="V4" s="218"/>
      <c r="W4" s="218"/>
      <c r="X4" s="218"/>
      <c r="Y4" s="218"/>
      <c r="Z4" s="219"/>
      <c r="AA4" s="143"/>
      <c r="AB4" s="222" t="s">
        <v>548</v>
      </c>
      <c r="AC4" s="221"/>
      <c r="AD4" s="221"/>
      <c r="AE4" s="221"/>
      <c r="AF4" s="221"/>
      <c r="AG4" s="221"/>
      <c r="AH4" s="221"/>
      <c r="AI4" s="143"/>
      <c r="AJ4" s="245" t="s">
        <v>43</v>
      </c>
      <c r="AK4" s="246"/>
      <c r="AL4" s="246"/>
      <c r="AM4" s="246"/>
      <c r="AN4" s="246"/>
      <c r="AO4" s="246"/>
      <c r="AP4" s="247"/>
      <c r="AQ4" s="143"/>
      <c r="AR4" s="245" t="s">
        <v>44</v>
      </c>
      <c r="AS4" s="246"/>
      <c r="AT4" s="246"/>
      <c r="AU4" s="246"/>
      <c r="AV4" s="246"/>
      <c r="AW4" s="246"/>
      <c r="AX4" s="247"/>
      <c r="AY4" s="148"/>
      <c r="AZ4" s="143"/>
      <c r="BA4" s="144"/>
      <c r="BB4" s="155" t="s">
        <v>38</v>
      </c>
      <c r="BC4" s="143"/>
      <c r="BD4" s="14" t="s">
        <v>29</v>
      </c>
      <c r="BE4" s="143"/>
      <c r="BF4" s="14" t="s">
        <v>51</v>
      </c>
      <c r="BG4" s="143"/>
      <c r="BH4" s="14" t="s">
        <v>141</v>
      </c>
      <c r="BI4" s="143"/>
      <c r="BJ4" s="14" t="s">
        <v>30</v>
      </c>
      <c r="BK4" s="143"/>
      <c r="BL4" s="14" t="s">
        <v>31</v>
      </c>
      <c r="BM4" s="148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</row>
    <row r="5" spans="1:88" ht="10" customHeight="1" thickBot="1">
      <c r="A5" s="143"/>
      <c r="B5" s="149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1"/>
      <c r="AZ5" s="143"/>
      <c r="BA5" s="149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1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</row>
    <row r="6" spans="1:88" ht="10" customHeight="1" thickBot="1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</row>
    <row r="7" spans="1:88" ht="10" customHeight="1">
      <c r="A7" s="143"/>
      <c r="B7" s="145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7"/>
      <c r="AZ7" s="143"/>
      <c r="BA7" s="145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7"/>
      <c r="BN7" s="143"/>
      <c r="BO7" s="236" t="s">
        <v>518</v>
      </c>
      <c r="BP7" s="237"/>
      <c r="BQ7" s="238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</row>
    <row r="8" spans="1:88" ht="26" customHeight="1">
      <c r="A8" s="143"/>
      <c r="B8" s="144"/>
      <c r="C8" s="248" t="s">
        <v>243</v>
      </c>
      <c r="D8" s="221"/>
      <c r="E8" s="221"/>
      <c r="F8" s="221"/>
      <c r="G8" s="221"/>
      <c r="H8" s="221"/>
      <c r="I8" s="221"/>
      <c r="J8" s="143"/>
      <c r="K8" s="249"/>
      <c r="L8" s="250"/>
      <c r="M8" s="250"/>
      <c r="N8" s="250"/>
      <c r="O8" s="250"/>
      <c r="P8" s="250"/>
      <c r="Q8" s="251"/>
      <c r="R8" s="143"/>
      <c r="S8" s="252"/>
      <c r="T8" s="253"/>
      <c r="U8" s="253"/>
      <c r="V8" s="253"/>
      <c r="W8" s="253"/>
      <c r="X8" s="253"/>
      <c r="Y8" s="254"/>
      <c r="Z8" s="143"/>
      <c r="AA8" s="255"/>
      <c r="AB8" s="256"/>
      <c r="AC8" s="256"/>
      <c r="AD8" s="256"/>
      <c r="AE8" s="256"/>
      <c r="AF8" s="256"/>
      <c r="AG8" s="257"/>
      <c r="AH8" s="143"/>
      <c r="AI8" s="258"/>
      <c r="AJ8" s="259"/>
      <c r="AK8" s="259"/>
      <c r="AL8" s="259"/>
      <c r="AM8" s="259"/>
      <c r="AN8" s="259"/>
      <c r="AO8" s="260"/>
      <c r="AP8" s="143"/>
      <c r="AQ8" s="230" t="s">
        <v>191</v>
      </c>
      <c r="AR8" s="231"/>
      <c r="AS8" s="231"/>
      <c r="AT8" s="231"/>
      <c r="AU8" s="231"/>
      <c r="AV8" s="231"/>
      <c r="AW8" s="232"/>
      <c r="AX8" s="143"/>
      <c r="AY8" s="148"/>
      <c r="AZ8" s="143"/>
      <c r="BA8" s="144"/>
      <c r="BB8" s="155" t="s">
        <v>48</v>
      </c>
      <c r="BC8" s="143"/>
      <c r="BD8" s="7" t="s">
        <v>33</v>
      </c>
      <c r="BE8" s="143"/>
      <c r="BF8" s="7" t="s">
        <v>34</v>
      </c>
      <c r="BG8" s="143"/>
      <c r="BH8" s="7" t="s">
        <v>35</v>
      </c>
      <c r="BI8" s="143"/>
      <c r="BJ8" s="7" t="s">
        <v>36</v>
      </c>
      <c r="BK8" s="143"/>
      <c r="BL8" s="2" t="s">
        <v>37</v>
      </c>
      <c r="BM8" s="148"/>
      <c r="BN8" s="143"/>
      <c r="BO8" s="239"/>
      <c r="BP8" s="240"/>
      <c r="BQ8" s="241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</row>
    <row r="9" spans="1:88" ht="10" customHeight="1" thickBot="1">
      <c r="A9" s="143"/>
      <c r="B9" s="149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1"/>
      <c r="AZ9" s="143"/>
      <c r="BA9" s="149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1"/>
      <c r="BN9" s="143"/>
      <c r="BO9" s="242"/>
      <c r="BP9" s="243"/>
      <c r="BQ9" s="244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</row>
    <row r="10" spans="1:88" ht="10" customHeight="1" thickBot="1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</row>
    <row r="11" spans="1:88" ht="10" customHeight="1">
      <c r="A11" s="143"/>
      <c r="B11" s="145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7"/>
      <c r="AZ11" s="143"/>
      <c r="BA11" s="145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7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</row>
    <row r="12" spans="1:88" ht="15" customHeight="1">
      <c r="A12" s="143"/>
      <c r="B12" s="144"/>
      <c r="C12" s="220" t="s">
        <v>18</v>
      </c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148"/>
      <c r="AZ12" s="143"/>
      <c r="BA12" s="144"/>
      <c r="BB12" s="220" t="s">
        <v>19</v>
      </c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148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</row>
    <row r="13" spans="1:88" ht="13" customHeight="1">
      <c r="A13" s="143"/>
      <c r="B13" s="144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8"/>
      <c r="AZ13" s="143"/>
      <c r="BA13" s="144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8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</row>
    <row r="14" spans="1:88" ht="42" customHeight="1">
      <c r="A14" s="143"/>
      <c r="B14" s="144"/>
      <c r="C14" s="214" t="s">
        <v>626</v>
      </c>
      <c r="D14" s="215"/>
      <c r="E14" s="215"/>
      <c r="F14" s="215"/>
      <c r="G14" s="215"/>
      <c r="H14" s="215"/>
      <c r="I14" s="216"/>
      <c r="J14" s="143"/>
      <c r="K14" s="214" t="s">
        <v>572</v>
      </c>
      <c r="L14" s="215"/>
      <c r="M14" s="215"/>
      <c r="N14" s="215"/>
      <c r="O14" s="215"/>
      <c r="P14" s="215"/>
      <c r="Q14" s="216"/>
      <c r="R14" s="143"/>
      <c r="S14" s="214" t="s">
        <v>573</v>
      </c>
      <c r="T14" s="215"/>
      <c r="U14" s="215"/>
      <c r="V14" s="215"/>
      <c r="W14" s="215"/>
      <c r="X14" s="215"/>
      <c r="Y14" s="216"/>
      <c r="Z14" s="143"/>
      <c r="AA14" s="143"/>
      <c r="AB14" s="143"/>
      <c r="AC14" s="143"/>
      <c r="AD14" s="214" t="s">
        <v>579</v>
      </c>
      <c r="AE14" s="215"/>
      <c r="AF14" s="215"/>
      <c r="AG14" s="215"/>
      <c r="AH14" s="215"/>
      <c r="AI14" s="215"/>
      <c r="AJ14" s="216"/>
      <c r="AK14" s="143"/>
      <c r="AL14" s="143"/>
      <c r="AM14" s="143"/>
      <c r="AN14" s="143"/>
      <c r="AO14" s="143"/>
      <c r="AP14" s="214" t="s">
        <v>580</v>
      </c>
      <c r="AQ14" s="215"/>
      <c r="AR14" s="215"/>
      <c r="AS14" s="215"/>
      <c r="AT14" s="215"/>
      <c r="AU14" s="215"/>
      <c r="AV14" s="216"/>
      <c r="AW14" s="143"/>
      <c r="AX14" s="143"/>
      <c r="AY14" s="148"/>
      <c r="AZ14" s="143"/>
      <c r="BA14" s="144"/>
      <c r="BB14" s="155" t="s">
        <v>266</v>
      </c>
      <c r="BC14" s="143"/>
      <c r="BD14" s="5" t="s">
        <v>22</v>
      </c>
      <c r="BE14" s="143"/>
      <c r="BF14" s="5" t="s">
        <v>20</v>
      </c>
      <c r="BG14" s="143"/>
      <c r="BH14" s="5" t="s">
        <v>23</v>
      </c>
      <c r="BI14" s="143"/>
      <c r="BJ14" s="5" t="s">
        <v>24</v>
      </c>
      <c r="BK14" s="143"/>
      <c r="BL14" s="5" t="s">
        <v>21</v>
      </c>
      <c r="BM14" s="143"/>
      <c r="BN14" s="155" t="s">
        <v>223</v>
      </c>
      <c r="BO14" s="143"/>
      <c r="BP14" s="5" t="s">
        <v>25</v>
      </c>
      <c r="BQ14" s="143"/>
      <c r="BR14" s="5" t="s">
        <v>26</v>
      </c>
      <c r="BS14" s="148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</row>
    <row r="15" spans="1:88" ht="10" customHeight="1">
      <c r="A15" s="143"/>
      <c r="B15" s="144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8"/>
      <c r="AZ15" s="143"/>
      <c r="BA15" s="144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8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</row>
    <row r="16" spans="1:88" ht="42" customHeight="1">
      <c r="A16" s="143"/>
      <c r="B16" s="144"/>
      <c r="C16" s="143"/>
      <c r="D16" s="143"/>
      <c r="E16" s="143"/>
      <c r="F16" s="143"/>
      <c r="G16" s="214" t="s">
        <v>574</v>
      </c>
      <c r="H16" s="215"/>
      <c r="I16" s="215"/>
      <c r="J16" s="215"/>
      <c r="K16" s="215"/>
      <c r="L16" s="215"/>
      <c r="M16" s="216"/>
      <c r="N16" s="143"/>
      <c r="O16" s="214" t="s">
        <v>575</v>
      </c>
      <c r="P16" s="215"/>
      <c r="Q16" s="215"/>
      <c r="R16" s="215"/>
      <c r="S16" s="215"/>
      <c r="T16" s="215"/>
      <c r="U16" s="216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214" t="s">
        <v>582</v>
      </c>
      <c r="AG16" s="215"/>
      <c r="AH16" s="215"/>
      <c r="AI16" s="215"/>
      <c r="AJ16" s="215"/>
      <c r="AK16" s="215"/>
      <c r="AL16" s="216"/>
      <c r="AM16" s="143"/>
      <c r="AN16" s="214" t="s">
        <v>583</v>
      </c>
      <c r="AO16" s="215"/>
      <c r="AP16" s="215"/>
      <c r="AQ16" s="215"/>
      <c r="AR16" s="215"/>
      <c r="AS16" s="215"/>
      <c r="AT16" s="216"/>
      <c r="AU16" s="143"/>
      <c r="AV16" s="143"/>
      <c r="AW16" s="143"/>
      <c r="AX16" s="143"/>
      <c r="AY16" s="148"/>
      <c r="AZ16" s="143"/>
      <c r="BA16" s="144"/>
      <c r="BB16" s="155" t="s">
        <v>222</v>
      </c>
      <c r="BC16" s="143"/>
      <c r="BD16" s="5" t="s">
        <v>25</v>
      </c>
      <c r="BE16" s="143"/>
      <c r="BF16" s="5" t="s">
        <v>26</v>
      </c>
      <c r="BG16" s="143"/>
      <c r="BH16" s="5" t="s">
        <v>45</v>
      </c>
      <c r="BI16" s="143"/>
      <c r="BJ16" s="143"/>
      <c r="BK16" s="143"/>
      <c r="BL16" s="155" t="s">
        <v>403</v>
      </c>
      <c r="BM16" s="143"/>
      <c r="BN16" s="14" t="s">
        <v>244</v>
      </c>
      <c r="BO16" s="143"/>
      <c r="BP16" s="14" t="s">
        <v>401</v>
      </c>
      <c r="BQ16" s="143"/>
      <c r="BR16" s="14" t="s">
        <v>402</v>
      </c>
      <c r="BS16" s="148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</row>
    <row r="17" spans="1:88" ht="10" customHeight="1">
      <c r="A17" s="143"/>
      <c r="B17" s="144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8"/>
      <c r="AZ17" s="143"/>
      <c r="BA17" s="144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8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</row>
    <row r="18" spans="1:88" ht="42" customHeight="1">
      <c r="A18" s="143"/>
      <c r="B18" s="144"/>
      <c r="C18" s="214" t="s">
        <v>576</v>
      </c>
      <c r="D18" s="215"/>
      <c r="E18" s="215"/>
      <c r="F18" s="215"/>
      <c r="G18" s="215"/>
      <c r="H18" s="215"/>
      <c r="I18" s="216"/>
      <c r="J18" s="143"/>
      <c r="K18" s="214" t="s">
        <v>578</v>
      </c>
      <c r="L18" s="215"/>
      <c r="M18" s="215"/>
      <c r="N18" s="215"/>
      <c r="O18" s="215"/>
      <c r="P18" s="215"/>
      <c r="Q18" s="216"/>
      <c r="R18" s="143"/>
      <c r="S18" s="214" t="s">
        <v>577</v>
      </c>
      <c r="T18" s="215"/>
      <c r="U18" s="215"/>
      <c r="V18" s="215"/>
      <c r="W18" s="215"/>
      <c r="X18" s="215"/>
      <c r="Y18" s="216"/>
      <c r="Z18" s="143"/>
      <c r="AA18" s="143"/>
      <c r="AB18" s="214" t="s">
        <v>581</v>
      </c>
      <c r="AC18" s="215"/>
      <c r="AD18" s="215"/>
      <c r="AE18" s="215"/>
      <c r="AF18" s="215"/>
      <c r="AG18" s="215"/>
      <c r="AH18" s="216"/>
      <c r="AI18" s="143"/>
      <c r="AJ18" s="214" t="s">
        <v>585</v>
      </c>
      <c r="AK18" s="215"/>
      <c r="AL18" s="215"/>
      <c r="AM18" s="215"/>
      <c r="AN18" s="215"/>
      <c r="AO18" s="215"/>
      <c r="AP18" s="216"/>
      <c r="AQ18" s="143"/>
      <c r="AR18" s="214" t="s">
        <v>584</v>
      </c>
      <c r="AS18" s="215"/>
      <c r="AT18" s="215"/>
      <c r="AU18" s="215"/>
      <c r="AV18" s="215"/>
      <c r="AW18" s="215"/>
      <c r="AX18" s="216"/>
      <c r="AY18" s="148"/>
      <c r="AZ18" s="143"/>
      <c r="BA18" s="144"/>
      <c r="BB18" s="155" t="s">
        <v>125</v>
      </c>
      <c r="BC18" s="143"/>
      <c r="BD18" s="5" t="s">
        <v>126</v>
      </c>
      <c r="BE18" s="143"/>
      <c r="BF18" s="5" t="s">
        <v>127</v>
      </c>
      <c r="BG18" s="143"/>
      <c r="BH18" s="5" t="s">
        <v>128</v>
      </c>
      <c r="BI18" s="143"/>
      <c r="BJ18" s="5" t="s">
        <v>129</v>
      </c>
      <c r="BK18" s="143"/>
      <c r="BL18" s="5" t="s">
        <v>10</v>
      </c>
      <c r="BM18" s="143"/>
      <c r="BN18" s="5" t="s">
        <v>27</v>
      </c>
      <c r="BO18" s="143"/>
      <c r="BP18" s="5" t="s">
        <v>219</v>
      </c>
      <c r="BQ18" s="143"/>
      <c r="BR18" s="5" t="s">
        <v>396</v>
      </c>
      <c r="BS18" s="148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</row>
    <row r="19" spans="1:88" s="3" customFormat="1" ht="10" customHeight="1">
      <c r="A19" s="143"/>
      <c r="B19" s="144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8"/>
      <c r="AZ19" s="143"/>
      <c r="BA19" s="144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8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</row>
    <row r="20" spans="1:88" ht="42" customHeight="1">
      <c r="A20" s="143"/>
      <c r="B20" s="144"/>
      <c r="C20" s="143"/>
      <c r="D20" s="143"/>
      <c r="E20" s="143"/>
      <c r="F20" s="143"/>
      <c r="G20" s="143"/>
      <c r="H20" s="143"/>
      <c r="I20" s="143"/>
      <c r="J20" s="143"/>
      <c r="K20" s="233" t="s">
        <v>42</v>
      </c>
      <c r="L20" s="215"/>
      <c r="M20" s="215"/>
      <c r="N20" s="215"/>
      <c r="O20" s="215"/>
      <c r="P20" s="215"/>
      <c r="Q20" s="216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233" t="s">
        <v>32</v>
      </c>
      <c r="AK20" s="215"/>
      <c r="AL20" s="215"/>
      <c r="AM20" s="215"/>
      <c r="AN20" s="215"/>
      <c r="AO20" s="215"/>
      <c r="AP20" s="216"/>
      <c r="AQ20" s="143"/>
      <c r="AR20" s="143"/>
      <c r="AS20" s="143"/>
      <c r="AT20" s="143"/>
      <c r="AU20" s="143"/>
      <c r="AV20" s="143"/>
      <c r="AW20" s="143"/>
      <c r="AX20" s="143"/>
      <c r="AY20" s="148"/>
      <c r="AZ20" s="143"/>
      <c r="BA20" s="144"/>
      <c r="BB20" s="155" t="s">
        <v>65</v>
      </c>
      <c r="BC20" s="143"/>
      <c r="BD20" s="6" t="s">
        <v>157</v>
      </c>
      <c r="BE20" s="143"/>
      <c r="BF20" s="6" t="s">
        <v>158</v>
      </c>
      <c r="BG20" s="143"/>
      <c r="BH20" s="143"/>
      <c r="BI20" s="143"/>
      <c r="BJ20" s="155" t="s">
        <v>508</v>
      </c>
      <c r="BK20" s="143"/>
      <c r="BL20" s="6" t="s">
        <v>157</v>
      </c>
      <c r="BM20" s="143"/>
      <c r="BN20" s="6" t="s">
        <v>158</v>
      </c>
      <c r="BO20" s="143"/>
      <c r="BP20" s="143"/>
      <c r="BQ20" s="143"/>
      <c r="BR20" s="143"/>
      <c r="BS20" s="148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</row>
    <row r="21" spans="1:88" ht="10" customHeight="1" thickBot="1">
      <c r="A21" s="143"/>
      <c r="B21" s="149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1"/>
      <c r="AZ21" s="143"/>
      <c r="BA21" s="149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0"/>
      <c r="BQ21" s="150"/>
      <c r="BR21" s="150"/>
      <c r="BS21" s="151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</row>
    <row r="22" spans="1:88" ht="10" customHeight="1" thickBot="1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</row>
    <row r="23" spans="1:88" ht="10" customHeight="1">
      <c r="A23" s="143"/>
      <c r="B23" s="145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7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</row>
    <row r="24" spans="1:88" ht="15" customHeight="1">
      <c r="A24" s="143"/>
      <c r="B24" s="144"/>
      <c r="C24" s="220" t="s">
        <v>40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148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</row>
    <row r="25" spans="1:88" s="3" customFormat="1" ht="10" customHeight="1">
      <c r="A25" s="143"/>
      <c r="B25" s="144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8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</row>
    <row r="26" spans="1:88" ht="15" customHeight="1">
      <c r="A26" s="143"/>
      <c r="B26" s="144"/>
      <c r="C26" s="222" t="s">
        <v>41</v>
      </c>
      <c r="D26" s="221"/>
      <c r="E26" s="221"/>
      <c r="F26" s="221"/>
      <c r="G26" s="221"/>
      <c r="H26" s="221"/>
      <c r="I26" s="221"/>
      <c r="J26" s="221"/>
      <c r="K26" s="221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8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</row>
    <row r="27" spans="1:88" ht="10" customHeight="1">
      <c r="A27" s="143"/>
      <c r="B27" s="144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8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</row>
    <row r="28" spans="1:88" ht="42" customHeight="1">
      <c r="A28" s="143"/>
      <c r="B28" s="144"/>
      <c r="C28" s="223">
        <v>0</v>
      </c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6"/>
      <c r="Q28" s="143"/>
      <c r="R28" s="224" t="s">
        <v>12</v>
      </c>
      <c r="S28" s="225"/>
      <c r="T28" s="225"/>
      <c r="U28" s="225"/>
      <c r="V28" s="225"/>
      <c r="W28" s="225"/>
      <c r="X28" s="226"/>
      <c r="Y28" s="143"/>
      <c r="Z28" s="224" t="s">
        <v>11</v>
      </c>
      <c r="AA28" s="225"/>
      <c r="AB28" s="225"/>
      <c r="AC28" s="225"/>
      <c r="AD28" s="225"/>
      <c r="AE28" s="225"/>
      <c r="AF28" s="226"/>
      <c r="AG28" s="143"/>
      <c r="AH28" s="224" t="s">
        <v>118</v>
      </c>
      <c r="AI28" s="225"/>
      <c r="AJ28" s="225"/>
      <c r="AK28" s="225"/>
      <c r="AL28" s="225"/>
      <c r="AM28" s="225"/>
      <c r="AN28" s="226"/>
      <c r="AO28" s="143"/>
      <c r="AP28" s="227" t="s">
        <v>13</v>
      </c>
      <c r="AQ28" s="228"/>
      <c r="AR28" s="228"/>
      <c r="AS28" s="228"/>
      <c r="AT28" s="228"/>
      <c r="AU28" s="228"/>
      <c r="AV28" s="229"/>
      <c r="AW28" s="143"/>
      <c r="AX28" s="143"/>
      <c r="AY28" s="148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</row>
    <row r="29" spans="1:88" ht="90" customHeight="1" thickBot="1">
      <c r="A29" s="143"/>
      <c r="B29" s="149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1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</row>
    <row r="30" spans="1:88" ht="106" customHeight="1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</row>
    <row r="31" spans="1:88" ht="10" customHeight="1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</row>
    <row r="32" spans="1:88" ht="10" customHeight="1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</row>
    <row r="33" spans="1:88" ht="15" customHeight="1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</row>
    <row r="34" spans="1:88" ht="15" customHeight="1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</row>
    <row r="35" spans="1:88" ht="15" customHeight="1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</row>
    <row r="36" spans="1:88" ht="15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</row>
    <row r="37" spans="1:88" ht="15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</row>
    <row r="38" spans="1:88" ht="15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</row>
    <row r="39" spans="1:88" ht="1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</row>
    <row r="40" spans="1:88" ht="15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</row>
    <row r="41" spans="1:88" ht="15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</row>
    <row r="42" spans="1:88" ht="15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</row>
    <row r="43" spans="1:88" s="3" customFormat="1" ht="15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</row>
    <row r="44" spans="1:88" ht="15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</row>
    <row r="45" spans="1:88" ht="15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</row>
    <row r="46" spans="1:88" ht="15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</row>
    <row r="47" spans="1:88" ht="15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</row>
    <row r="48" spans="1:88" ht="15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</row>
    <row r="49" spans="1:88" ht="15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</row>
    <row r="50" spans="1:88" ht="15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</row>
    <row r="51" spans="1:88" ht="1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</row>
    <row r="52" spans="1:88" ht="15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</row>
    <row r="53" spans="1:88" s="3" customFormat="1" ht="15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</row>
    <row r="54" spans="1:88" s="3" customFormat="1" ht="13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</row>
    <row r="55" spans="1:88" s="3" customFormat="1" ht="13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</row>
    <row r="56" spans="1:88" s="3" customFormat="1" ht="13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</row>
    <row r="57" spans="1:88" s="3" customFormat="1" ht="13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</row>
    <row r="58" spans="1:88" s="3" customFormat="1" ht="13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</row>
    <row r="59" spans="1:88" s="3" customFormat="1" ht="13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</row>
    <row r="60" spans="1:88" s="3" customFormat="1" ht="13" customHeigh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157"/>
      <c r="J2"/>
      <c r="K2"/>
      <c r="L2" s="156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63286F2D-DE5B-704C-A504-A302A28F6BD3}">
      <formula1>LISTE_MT_JOURNAL</formula1>
    </dataValidation>
    <dataValidation type="list" allowBlank="1" showErrorMessage="1" sqref="C2" xr:uid="{FF615F94-AD35-B04E-930F-4DCF015ADB62}">
      <formula1>LISTE_JOUEURS_JOURNAL</formula1>
    </dataValidation>
    <dataValidation type="list" allowBlank="1" showErrorMessage="1" sqref="E2" xr:uid="{A2DD092F-4543-304F-AF34-64C194D60FC8}">
      <formula1>LISTE_ACTIONS_JOURNAL</formula1>
    </dataValidation>
    <dataValidation type="list" allowBlank="1" showErrorMessage="1" sqref="G2" xr:uid="{4818106D-0D60-A64F-88F6-2C5D25D8F776}">
      <formula1>LISTE_EQUIPES_JOURNAL</formula1>
    </dataValidation>
    <dataValidation type="list" allowBlank="1" showErrorMessage="1" sqref="F2" xr:uid="{1063557E-BE05-1B4A-B252-79E300D7CF3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abSelected="1" topLeftCell="C32" workbookViewId="0">
      <selection activeCell="H95" sqref="H95:J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19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4"/>
    </row>
    <row r="4" spans="2:37" s="3" customFormat="1" ht="20" customHeight="1"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7"/>
    </row>
    <row r="5" spans="2:37" s="3" customFormat="1"/>
    <row r="6" spans="2:37" ht="14" customHeight="1">
      <c r="B6" s="188" t="s">
        <v>14</v>
      </c>
      <c r="C6" s="170" t="str">
        <f>ACT_PL_NORMAL</f>
        <v>Plaquage normal</v>
      </c>
      <c r="D6" s="171"/>
      <c r="E6" s="170" t="str">
        <f>ACT_PL_OFF</f>
        <v>Plaquage offensif</v>
      </c>
      <c r="F6" s="171"/>
      <c r="G6" s="170" t="str">
        <f>ACT_PL_RATE</f>
        <v>Plaquage raté</v>
      </c>
      <c r="H6" s="171"/>
      <c r="I6" s="170" t="str">
        <f>ACT_PL_A2</f>
        <v>Plaquage à 2</v>
      </c>
      <c r="J6" s="173"/>
      <c r="K6" s="173" t="str">
        <f>ACT_PL_HAUT</f>
        <v>Plaquage haut</v>
      </c>
      <c r="L6" s="171"/>
      <c r="M6" s="173" t="str">
        <f>ACT_GRATTAGE</f>
        <v>Grattage</v>
      </c>
      <c r="N6" s="171"/>
      <c r="O6" s="173" t="str">
        <f>ACT_FRANCHISSEMENT</f>
        <v>Franchissement</v>
      </c>
      <c r="P6" s="171"/>
      <c r="Q6" s="173" t="str">
        <f>ACT_AVANCEE</f>
        <v>Avancée au contact</v>
      </c>
      <c r="R6" s="171"/>
      <c r="S6" s="173" t="str">
        <f>ACT_ATT_NULLE</f>
        <v>Recul ou sans progression</v>
      </c>
      <c r="T6" s="171"/>
      <c r="U6" s="160" t="s">
        <v>232</v>
      </c>
      <c r="V6" s="161"/>
      <c r="W6" s="161"/>
      <c r="X6" s="161"/>
      <c r="Y6" s="161"/>
      <c r="Z6" s="162"/>
      <c r="AF6"/>
      <c r="AG6"/>
    </row>
    <row r="7" spans="2:37" ht="13" customHeight="1">
      <c r="B7" s="189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163">
        <f t="shared" si="0"/>
        <v>0</v>
      </c>
      <c r="V32" s="163">
        <f t="shared" si="0"/>
        <v>0</v>
      </c>
      <c r="W32" s="163">
        <f t="shared" si="0"/>
        <v>0</v>
      </c>
      <c r="X32" s="163">
        <f t="shared" si="0"/>
        <v>0</v>
      </c>
      <c r="Y32" s="163">
        <f t="shared" si="0"/>
        <v>0</v>
      </c>
      <c r="Z32" s="163">
        <f t="shared" si="0"/>
        <v>0</v>
      </c>
    </row>
    <row r="33" spans="2:33" s="41" customFormat="1" ht="25" customHeight="1">
      <c r="B33" s="55" t="s">
        <v>176</v>
      </c>
      <c r="C33" s="167">
        <f>C32+D32</f>
        <v>0</v>
      </c>
      <c r="D33" s="168"/>
      <c r="E33" s="169">
        <f t="shared" ref="E33" si="3">E32+F32</f>
        <v>0</v>
      </c>
      <c r="F33" s="169"/>
      <c r="G33" s="167">
        <f t="shared" ref="G33" si="4">G32+H32</f>
        <v>0</v>
      </c>
      <c r="H33" s="168"/>
      <c r="I33" s="167">
        <f>I32+J32</f>
        <v>0</v>
      </c>
      <c r="J33" s="168"/>
      <c r="K33" s="167">
        <f t="shared" ref="K33" si="5">K32+L32</f>
        <v>0</v>
      </c>
      <c r="L33" s="168"/>
      <c r="M33" s="169">
        <f t="shared" ref="M33" si="6">M32+N32</f>
        <v>0</v>
      </c>
      <c r="N33" s="168"/>
      <c r="O33" s="169">
        <f t="shared" ref="O33" si="7">O32+P32</f>
        <v>0</v>
      </c>
      <c r="P33" s="168"/>
      <c r="Q33" s="169">
        <f t="shared" ref="Q33" si="8">Q32+R32</f>
        <v>0</v>
      </c>
      <c r="R33" s="168"/>
      <c r="S33" s="169">
        <f t="shared" ref="S33" si="9">S32+T32</f>
        <v>0</v>
      </c>
      <c r="T33" s="168"/>
      <c r="U33" s="164"/>
      <c r="V33" s="164"/>
      <c r="W33" s="164"/>
      <c r="X33" s="164"/>
      <c r="Y33" s="164"/>
      <c r="Z33" s="164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0" t="s">
        <v>144</v>
      </c>
      <c r="E36" s="57" t="s">
        <v>477</v>
      </c>
      <c r="F36" s="3"/>
      <c r="G36" s="170" t="s">
        <v>171</v>
      </c>
      <c r="H36" s="171"/>
      <c r="I36" s="3"/>
      <c r="J36" s="3"/>
      <c r="K36" s="3"/>
      <c r="L36" s="170" t="s">
        <v>28</v>
      </c>
      <c r="M36" s="170" t="s">
        <v>147</v>
      </c>
      <c r="N36" s="173"/>
      <c r="O36" s="171"/>
      <c r="P36" s="171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8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172"/>
      <c r="M37" s="70" t="s">
        <v>153</v>
      </c>
      <c r="N37" s="66" t="s">
        <v>170</v>
      </c>
      <c r="O37" s="71" t="s">
        <v>32</v>
      </c>
      <c r="P37" s="174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9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0" t="s">
        <v>144</v>
      </c>
      <c r="E40" s="57" t="s">
        <v>477</v>
      </c>
      <c r="F40" s="3"/>
      <c r="G40" s="170" t="s">
        <v>149</v>
      </c>
      <c r="H40" s="171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8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9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165" t="s">
        <v>1</v>
      </c>
      <c r="M42" s="166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77" t="s">
        <v>2</v>
      </c>
      <c r="M43" s="178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9" t="s">
        <v>629</v>
      </c>
      <c r="H44" s="282" t="s">
        <v>47</v>
      </c>
      <c r="I44" s="158" t="s">
        <v>630</v>
      </c>
      <c r="J44" s="284" t="s">
        <v>237</v>
      </c>
      <c r="K44" s="3"/>
      <c r="L44" s="165" t="s">
        <v>3</v>
      </c>
      <c r="M44" s="166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279">
        <v>0</v>
      </c>
      <c r="I45" s="77">
        <v>0</v>
      </c>
      <c r="J45" s="77">
        <v>0</v>
      </c>
      <c r="K45" s="3"/>
      <c r="L45" s="177" t="s">
        <v>4</v>
      </c>
      <c r="M45" s="178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280">
        <v>0</v>
      </c>
      <c r="I46" s="78">
        <v>0</v>
      </c>
      <c r="J46" s="78">
        <v>0</v>
      </c>
      <c r="K46" s="3"/>
      <c r="L46" s="165" t="s">
        <v>5</v>
      </c>
      <c r="M46" s="166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283" t="s">
        <v>237</v>
      </c>
      <c r="H47" s="281">
        <v>0</v>
      </c>
      <c r="I47" s="79">
        <v>0</v>
      </c>
      <c r="J47" s="79">
        <v>0</v>
      </c>
      <c r="K47" s="3"/>
      <c r="L47" s="177" t="s">
        <v>167</v>
      </c>
      <c r="M47" s="178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192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193"/>
      <c r="D56" s="193"/>
      <c r="E56" s="193"/>
      <c r="F56" s="193"/>
      <c r="G56" s="193"/>
      <c r="H56" s="193"/>
      <c r="I56" s="193"/>
      <c r="J56" s="193"/>
      <c r="K56" s="194"/>
      <c r="L56" s="130"/>
      <c r="M56" s="130"/>
      <c r="N56" s="130"/>
      <c r="O56" s="130"/>
      <c r="P56" s="130"/>
      <c r="Q56" s="130"/>
      <c r="R56" s="130"/>
      <c r="S56" s="130"/>
      <c r="T56" s="130"/>
    </row>
    <row r="57" spans="2:20" s="3" customFormat="1" ht="13" customHeight="1">
      <c r="B57" s="195"/>
      <c r="C57" s="196"/>
      <c r="D57" s="196"/>
      <c r="E57" s="196"/>
      <c r="F57" s="196"/>
      <c r="G57" s="196"/>
      <c r="H57" s="196"/>
      <c r="I57" s="196"/>
      <c r="J57" s="196"/>
      <c r="K57" s="197"/>
      <c r="L57" s="130"/>
      <c r="M57" s="130"/>
      <c r="N57" s="130"/>
      <c r="O57" s="130"/>
      <c r="P57" s="130"/>
      <c r="Q57" s="130"/>
      <c r="R57" s="130"/>
      <c r="S57" s="130"/>
      <c r="T57" s="130"/>
    </row>
    <row r="58" spans="2:20" s="3" customFormat="1" ht="14" thickBot="1"/>
    <row r="59" spans="2:20" s="3" customFormat="1">
      <c r="B59" s="179" t="s">
        <v>235</v>
      </c>
      <c r="C59" s="180"/>
      <c r="D59" s="180"/>
      <c r="E59" s="180"/>
      <c r="F59" s="180"/>
      <c r="G59" s="180"/>
      <c r="H59" s="180"/>
      <c r="I59" s="180"/>
      <c r="J59" s="180"/>
      <c r="K59" s="181"/>
    </row>
    <row r="60" spans="2:20" s="3" customFormat="1">
      <c r="B60" s="182"/>
      <c r="C60" s="183"/>
      <c r="D60" s="183"/>
      <c r="E60" s="183"/>
      <c r="F60" s="183"/>
      <c r="G60" s="183"/>
      <c r="H60" s="183"/>
      <c r="I60" s="183"/>
      <c r="J60" s="183"/>
      <c r="K60" s="184"/>
    </row>
    <row r="61" spans="2:20" s="3" customFormat="1" ht="14" thickBot="1">
      <c r="B61" s="185"/>
      <c r="C61" s="186"/>
      <c r="D61" s="186"/>
      <c r="E61" s="186"/>
      <c r="F61" s="186"/>
      <c r="G61" s="186"/>
      <c r="H61" s="186"/>
      <c r="I61" s="186"/>
      <c r="J61" s="186"/>
      <c r="K61" s="187"/>
    </row>
    <row r="62" spans="2:20" s="3" customFormat="1"/>
    <row r="63" spans="2:20" s="3" customFormat="1" ht="14">
      <c r="B63" s="188" t="s">
        <v>14</v>
      </c>
      <c r="C63" s="170" t="str">
        <f>ACT_TO_NS_G</f>
        <v>Touche à nous conservée</v>
      </c>
      <c r="D63" s="171"/>
      <c r="E63" s="170" t="str">
        <f>ACT_TO_ADV_VOLEE</f>
        <v>Touche à eux volée</v>
      </c>
      <c r="F63" s="171"/>
      <c r="H63" s="190" t="str">
        <f>ACT_TO_NS_P</f>
        <v>Touche à nous perdue</v>
      </c>
      <c r="I63" s="191"/>
      <c r="J63" s="190" t="str">
        <f>ACT_TO_NS_PAS_DROIT</f>
        <v>Touche à nous pas droite</v>
      </c>
      <c r="K63" s="191"/>
    </row>
    <row r="64" spans="2:20" s="3" customFormat="1" ht="14">
      <c r="B64" s="189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167">
        <f>C89+D89</f>
        <v>0</v>
      </c>
      <c r="D90" s="168"/>
      <c r="E90" s="167">
        <f>E89+F89</f>
        <v>0</v>
      </c>
      <c r="F90" s="168"/>
      <c r="H90" s="175">
        <f>H89+I89</f>
        <v>0</v>
      </c>
      <c r="I90" s="176"/>
      <c r="J90" s="175">
        <f>J89+K89</f>
        <v>0</v>
      </c>
      <c r="K90" s="17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1" t="s">
        <v>390</v>
      </c>
      <c r="C94" s="132" t="s">
        <v>47</v>
      </c>
      <c r="D94" s="133" t="s">
        <v>113</v>
      </c>
      <c r="F94" s="200" t="s">
        <v>391</v>
      </c>
      <c r="G94" s="201"/>
      <c r="H94" s="132" t="s">
        <v>46</v>
      </c>
      <c r="I94" s="132" t="s">
        <v>44</v>
      </c>
      <c r="J94" s="139" t="s">
        <v>237</v>
      </c>
    </row>
    <row r="95" spans="2:11" s="3" customFormat="1" ht="16">
      <c r="B95" s="134" t="s">
        <v>238</v>
      </c>
      <c r="C95" s="81">
        <v>0</v>
      </c>
      <c r="D95" s="135">
        <v>0</v>
      </c>
      <c r="F95" s="198" t="s">
        <v>238</v>
      </c>
      <c r="G95" s="199"/>
      <c r="H95" s="81">
        <v>0</v>
      </c>
      <c r="I95" s="81">
        <v>0</v>
      </c>
      <c r="J95" s="140">
        <v>0</v>
      </c>
    </row>
    <row r="96" spans="2:11" s="3" customFormat="1" ht="16">
      <c r="B96" s="134" t="s">
        <v>239</v>
      </c>
      <c r="C96" s="81">
        <v>0</v>
      </c>
      <c r="D96" s="135">
        <v>0</v>
      </c>
      <c r="F96" s="198" t="s">
        <v>239</v>
      </c>
      <c r="G96" s="199"/>
      <c r="H96" s="81">
        <v>0</v>
      </c>
      <c r="I96" s="81">
        <v>0</v>
      </c>
      <c r="J96" s="140">
        <v>0</v>
      </c>
    </row>
    <row r="97" spans="2:10" s="3" customFormat="1" ht="16">
      <c r="B97" s="134" t="s">
        <v>240</v>
      </c>
      <c r="C97" s="81">
        <v>0</v>
      </c>
      <c r="D97" s="135">
        <v>0</v>
      </c>
      <c r="F97" s="198" t="s">
        <v>240</v>
      </c>
      <c r="G97" s="199"/>
      <c r="H97" s="81">
        <v>0</v>
      </c>
      <c r="I97" s="81">
        <v>0</v>
      </c>
      <c r="J97" s="140">
        <v>0</v>
      </c>
    </row>
    <row r="98" spans="2:10" s="3" customFormat="1" ht="16">
      <c r="B98" s="134" t="s">
        <v>241</v>
      </c>
      <c r="C98" s="81">
        <v>0</v>
      </c>
      <c r="D98" s="135">
        <v>0</v>
      </c>
      <c r="F98" s="198" t="s">
        <v>241</v>
      </c>
      <c r="G98" s="199"/>
      <c r="H98" s="81">
        <v>0</v>
      </c>
      <c r="I98" s="81">
        <v>0</v>
      </c>
      <c r="J98" s="140">
        <v>0</v>
      </c>
    </row>
    <row r="99" spans="2:10" s="3" customFormat="1" ht="17" thickBot="1">
      <c r="B99" s="136" t="s">
        <v>242</v>
      </c>
      <c r="C99" s="137">
        <v>0</v>
      </c>
      <c r="D99" s="138">
        <v>0</v>
      </c>
      <c r="F99" s="198" t="s">
        <v>392</v>
      </c>
      <c r="G99" s="199"/>
      <c r="H99" s="81">
        <v>0</v>
      </c>
      <c r="I99" s="81">
        <v>0</v>
      </c>
      <c r="J99" s="140">
        <v>0</v>
      </c>
    </row>
    <row r="100" spans="2:10" s="3" customFormat="1" ht="16">
      <c r="F100" s="198" t="s">
        <v>393</v>
      </c>
      <c r="G100" s="199"/>
      <c r="H100" s="81">
        <v>0</v>
      </c>
      <c r="I100" s="81">
        <v>0</v>
      </c>
      <c r="J100" s="140">
        <v>0</v>
      </c>
    </row>
    <row r="101" spans="2:10" s="3" customFormat="1" ht="16">
      <c r="F101" s="198" t="s">
        <v>394</v>
      </c>
      <c r="G101" s="199"/>
      <c r="H101" s="81">
        <v>0</v>
      </c>
      <c r="I101" s="81">
        <v>0</v>
      </c>
      <c r="J101" s="140">
        <v>0</v>
      </c>
    </row>
    <row r="102" spans="2:10" s="3" customFormat="1" ht="17" thickBot="1">
      <c r="F102" s="202" t="s">
        <v>395</v>
      </c>
      <c r="G102" s="203"/>
      <c r="H102" s="137">
        <v>0</v>
      </c>
      <c r="I102" s="137">
        <v>0</v>
      </c>
      <c r="J102" s="141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0"/>
  <sheetViews>
    <sheetView workbookViewId="0">
      <selection activeCell="G30" sqref="G30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113" t="s">
        <v>222</v>
      </c>
      <c r="B5" s="114" t="s">
        <v>211</v>
      </c>
      <c r="C5" s="114" t="s">
        <v>144</v>
      </c>
      <c r="D5" s="114" t="s">
        <v>477</v>
      </c>
      <c r="Z5" t="s">
        <v>425</v>
      </c>
      <c r="AB5" t="s">
        <v>434</v>
      </c>
      <c r="AC5">
        <v>5</v>
      </c>
    </row>
    <row r="6" spans="1:32">
      <c r="A6" s="115" t="s">
        <v>142</v>
      </c>
      <c r="B6" s="116">
        <f>COUNTIFS(DetailTouches[Lance pour],"N",DetailTouches[Issue],"G")</f>
        <v>0</v>
      </c>
      <c r="C6" s="116">
        <f>COUNTIFS(DetailTouches[Lance pour],"N",DetailTouches[Issue],"P")</f>
        <v>0</v>
      </c>
      <c r="D6" s="116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11" t="s">
        <v>173</v>
      </c>
      <c r="B7" s="112">
        <f>COUNTIFS(DetailTouches[Lance pour],"E",DetailTouches[Issue],"P")</f>
        <v>0</v>
      </c>
      <c r="C7" s="112">
        <f>COUNTIFS(DetailTouches[Lance pour],"E",DetailTouches[Issue],"G")</f>
        <v>0</v>
      </c>
      <c r="D7" s="112">
        <f>COUNTIFS(DetailTouches[Lance pour],"E",DetailTouches[Issue],"ND")</f>
        <v>0</v>
      </c>
      <c r="AB7" t="s">
        <v>436</v>
      </c>
      <c r="AC7" t="s">
        <v>443</v>
      </c>
    </row>
    <row r="8" spans="1:32">
      <c r="AB8" t="s">
        <v>437</v>
      </c>
    </row>
    <row r="9" spans="1:32">
      <c r="AB9" t="s">
        <v>438</v>
      </c>
    </row>
    <row r="10" spans="1:32">
      <c r="AB10" t="s">
        <v>439</v>
      </c>
    </row>
    <row r="11" spans="1:32" ht="18">
      <c r="A11" s="98" t="s">
        <v>458</v>
      </c>
      <c r="AB11" t="s">
        <v>440</v>
      </c>
    </row>
    <row r="12" spans="1:32">
      <c r="A12" t="s">
        <v>449</v>
      </c>
      <c r="B12" t="s">
        <v>7</v>
      </c>
      <c r="C12" t="s">
        <v>476</v>
      </c>
      <c r="D12" t="s">
        <v>451</v>
      </c>
      <c r="E12" t="s">
        <v>459</v>
      </c>
      <c r="F12" t="s">
        <v>460</v>
      </c>
      <c r="G12" t="s">
        <v>461</v>
      </c>
      <c r="H12" t="s">
        <v>462</v>
      </c>
      <c r="I12" t="s">
        <v>463</v>
      </c>
      <c r="J12" t="s">
        <v>457</v>
      </c>
      <c r="AB12" t="s">
        <v>441</v>
      </c>
    </row>
    <row r="13" spans="1:32">
      <c r="A13" s="107"/>
      <c r="G13" s="96"/>
      <c r="H13" s="96"/>
      <c r="I13" s="96"/>
    </row>
    <row r="15" spans="1:32">
      <c r="A15" s="117" t="s">
        <v>478</v>
      </c>
      <c r="B15" s="118" t="s">
        <v>211</v>
      </c>
      <c r="C15" s="118" t="s">
        <v>144</v>
      </c>
    </row>
    <row r="16" spans="1:32">
      <c r="A16" s="119" t="s">
        <v>142</v>
      </c>
      <c r="B16" s="120">
        <f>COUNTIFS(DetailMelees[Introduction pour],"N",DetailMelees[Issue],"G")</f>
        <v>0</v>
      </c>
      <c r="C16" s="120">
        <f>COUNTIFS(DetailMelees[Introduction pour],"N",DetailMelees[Issue],"P")</f>
        <v>0</v>
      </c>
    </row>
    <row r="17" spans="1:3">
      <c r="A17" s="111" t="s">
        <v>173</v>
      </c>
      <c r="B17" s="112">
        <f>COUNTIFS(DetailMelees[Introduction pour],"E",DetailMelees[Issue],"P")</f>
        <v>0</v>
      </c>
      <c r="C17" s="112">
        <f>COUNTIFS(DetailMelees[Introduction pour],"E",DetailMelees[Issue],"G")</f>
        <v>0</v>
      </c>
    </row>
    <row r="19" spans="1:3">
      <c r="A19" s="261" t="s">
        <v>547</v>
      </c>
      <c r="B19" s="261"/>
    </row>
    <row r="20" spans="1:3">
      <c r="A20" s="261"/>
      <c r="B20" s="261"/>
    </row>
  </sheetData>
  <mergeCells count="1">
    <mergeCell ref="A19:B20"/>
  </mergeCells>
  <conditionalFormatting sqref="D13 D4">
    <cfRule type="expression" dxfId="7" priority="7" stopIfTrue="1">
      <formula>($C4&amp;$D4)="NP"</formula>
    </cfRule>
    <cfRule type="expression" dxfId="6" priority="8" stopIfTrue="1">
      <formula>($C4&amp;$D4)="EG"</formula>
    </cfRule>
  </conditionalFormatting>
  <conditionalFormatting sqref="G4">
    <cfRule type="expression" dxfId="5" priority="9" stopIfTrue="1">
      <formula>$G4="F"</formula>
    </cfRule>
    <cfRule type="expression" dxfId="4" priority="10" stopIfTrue="1">
      <formula>$G4="C"</formula>
    </cfRule>
  </conditionalFormatting>
  <conditionalFormatting sqref="A4:J4">
    <cfRule type="expression" dxfId="3" priority="11" stopIfTrue="1">
      <formula>$C4="N"</formula>
    </cfRule>
    <cfRule type="expression" dxfId="2" priority="12" stopIfTrue="1">
      <formula>$C4&lt;&gt;""</formula>
    </cfRule>
  </conditionalFormatting>
  <conditionalFormatting sqref="A13:J13">
    <cfRule type="expression" dxfId="1" priority="19" stopIfTrue="1">
      <formula>$C13="N"</formula>
    </cfRule>
    <cfRule type="expression" dxfId="0" priority="20" stopIfTrue="1">
      <formula>$C13&lt;&gt;""</formula>
    </cfRule>
  </conditionalFormatting>
  <dataValidations count="8">
    <dataValidation type="list" allowBlank="1" showInputMessage="1" showErrorMessage="1" sqref="C13 C4" xr:uid="{6B585E68-F1A1-7745-9643-1EF0153DEB7E}">
      <formula1>$W$2:$W$3</formula1>
    </dataValidation>
    <dataValidation type="list" allowBlank="1" showInputMessage="1" showErrorMessage="1" sqref="E13 H4" xr:uid="{64A4C253-AEB6-0746-8088-408393901E28}">
      <formula1>$AB$2:$AB$12</formula1>
    </dataValidation>
    <dataValidation type="list" allowBlank="1" showInputMessage="1" showErrorMessage="1" sqref="D13" xr:uid="{A6C13FE2-5239-9B4C-9CE1-DC572AA10432}">
      <formula1>$Y$2:$Y$3</formula1>
    </dataValidation>
    <dataValidation type="list" allowBlank="1" showInputMessage="1" showErrorMessage="1" sqref="F13" xr:uid="{5677D023-EFE8-D448-B8D6-30965607D817}">
      <formula1>$AD$2:$AD$4</formula1>
    </dataValidation>
    <dataValidation type="list" allowBlank="1" showInputMessage="1" showErrorMessage="1" sqref="D4" xr:uid="{E5525A86-1915-604F-88AD-CD81C205CEA5}">
      <formula1>$X$2:$X$4</formula1>
    </dataValidation>
    <dataValidation type="list" allowBlank="1" showInputMessage="1" showErrorMessage="1" sqref="F4" xr:uid="{009CC3FB-4DCB-4D41-BC16-52E571B55F27}">
      <formula1>$Z$2:$Z$6</formula1>
    </dataValidation>
    <dataValidation type="list" allowBlank="1" showInputMessage="1" showErrorMessage="1" sqref="G4" xr:uid="{B0A32005-2810-514C-AE78-295A04EC72CA}">
      <formula1>$AA$2:$AA$3</formula1>
    </dataValidation>
    <dataValidation type="list" allowBlank="1" showInputMessage="1" showErrorMessage="1" sqref="I4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487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9" t="s">
        <v>484</v>
      </c>
      <c r="N2" t="s">
        <v>153</v>
      </c>
      <c r="Q2" s="18" t="s">
        <v>78</v>
      </c>
      <c r="R2" s="18" t="s">
        <v>8</v>
      </c>
      <c r="AA2" t="s">
        <v>484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9" t="s">
        <v>496</v>
      </c>
      <c r="N3" t="s">
        <v>169</v>
      </c>
      <c r="Q3" s="21" t="s">
        <v>79</v>
      </c>
      <c r="R3" s="21" t="s">
        <v>57</v>
      </c>
      <c r="AA3" t="s">
        <v>499</v>
      </c>
    </row>
    <row r="4" spans="1:27" ht="30" customHeight="1">
      <c r="C4" s="19" t="s">
        <v>189</v>
      </c>
      <c r="D4" s="19"/>
      <c r="F4" s="17" t="s">
        <v>102</v>
      </c>
      <c r="G4" s="5"/>
      <c r="K4" s="129" t="s">
        <v>486</v>
      </c>
      <c r="Q4" s="18" t="s">
        <v>80</v>
      </c>
      <c r="R4" s="18" t="s">
        <v>9</v>
      </c>
      <c r="AA4" t="s">
        <v>488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9" t="s">
        <v>513</v>
      </c>
      <c r="Q5" s="21" t="s">
        <v>81</v>
      </c>
      <c r="R5" s="21" t="s">
        <v>82</v>
      </c>
      <c r="AA5" t="s">
        <v>486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9" t="s">
        <v>487</v>
      </c>
      <c r="Q6" s="18" t="s">
        <v>83</v>
      </c>
      <c r="R6" s="18" t="s">
        <v>84</v>
      </c>
      <c r="AA6" t="s">
        <v>497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9" t="s">
        <v>514</v>
      </c>
      <c r="Q7" s="21" t="s">
        <v>85</v>
      </c>
      <c r="R7" s="21" t="s">
        <v>60</v>
      </c>
      <c r="AA7" t="s">
        <v>491</v>
      </c>
    </row>
    <row r="8" spans="1:27" ht="30" customHeight="1">
      <c r="C8" s="19" t="s">
        <v>191</v>
      </c>
      <c r="D8" s="19"/>
      <c r="F8" s="17" t="s">
        <v>106</v>
      </c>
      <c r="G8" s="2"/>
      <c r="K8" s="129" t="s">
        <v>497</v>
      </c>
      <c r="Q8" s="18" t="s">
        <v>86</v>
      </c>
      <c r="R8" s="18" t="s">
        <v>58</v>
      </c>
      <c r="AA8" t="s">
        <v>498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9" t="s">
        <v>488</v>
      </c>
      <c r="Q9" s="21" t="s">
        <v>87</v>
      </c>
      <c r="R9" s="21" t="s">
        <v>61</v>
      </c>
      <c r="AA9" s="15" t="s">
        <v>490</v>
      </c>
    </row>
    <row r="10" spans="1:27" ht="30" customHeight="1">
      <c r="C10" s="19" t="s">
        <v>389</v>
      </c>
      <c r="D10" s="19"/>
      <c r="F10" s="17" t="s">
        <v>108</v>
      </c>
      <c r="G10" s="122"/>
      <c r="I10" s="45" t="s">
        <v>214</v>
      </c>
      <c r="K10" s="129" t="s">
        <v>489</v>
      </c>
      <c r="Q10" s="18" t="s">
        <v>88</v>
      </c>
      <c r="R10" s="18" t="s">
        <v>59</v>
      </c>
      <c r="AA10" t="s">
        <v>485</v>
      </c>
    </row>
    <row r="11" spans="1:27" s="15" customFormat="1" ht="30" customHeight="1">
      <c r="D11" s="19"/>
      <c r="F11" s="20" t="s">
        <v>245</v>
      </c>
      <c r="G11" s="83"/>
      <c r="K11" s="129" t="s">
        <v>490</v>
      </c>
      <c r="Q11" s="21" t="s">
        <v>89</v>
      </c>
      <c r="R11" s="21" t="s">
        <v>62</v>
      </c>
      <c r="AA11" s="15" t="s">
        <v>513</v>
      </c>
    </row>
    <row r="12" spans="1:27" ht="30" customHeight="1">
      <c r="C12" s="19" t="s">
        <v>193</v>
      </c>
      <c r="D12" s="19"/>
      <c r="F12" s="17" t="s">
        <v>246</v>
      </c>
      <c r="G12" s="84"/>
      <c r="K12" s="129" t="s">
        <v>491</v>
      </c>
      <c r="Q12" s="21" t="s">
        <v>220</v>
      </c>
      <c r="R12" s="21" t="s">
        <v>221</v>
      </c>
      <c r="AA12" t="s">
        <v>515</v>
      </c>
    </row>
    <row r="13" spans="1:27" s="15" customFormat="1" ht="30" customHeight="1">
      <c r="C13" s="19" t="s">
        <v>180</v>
      </c>
      <c r="D13" s="19"/>
      <c r="F13" s="20" t="s">
        <v>247</v>
      </c>
      <c r="G13" s="123"/>
      <c r="K13" s="129" t="s">
        <v>492</v>
      </c>
      <c r="Q13" s="20" t="s">
        <v>175</v>
      </c>
      <c r="R13" s="65" t="s">
        <v>160</v>
      </c>
      <c r="AA13" s="15" t="s">
        <v>494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9" t="s">
        <v>493</v>
      </c>
      <c r="Q14" s="20" t="s">
        <v>174</v>
      </c>
      <c r="R14" s="65" t="s">
        <v>161</v>
      </c>
      <c r="AA14" t="s">
        <v>493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9" t="s">
        <v>494</v>
      </c>
      <c r="Q15" s="20" t="s">
        <v>90</v>
      </c>
      <c r="R15" s="65" t="s">
        <v>52</v>
      </c>
      <c r="AA15" s="15" t="s">
        <v>492</v>
      </c>
    </row>
    <row r="16" spans="1:27" ht="30" customHeight="1">
      <c r="C16" s="19"/>
      <c r="D16" s="19"/>
      <c r="I16" s="15" t="s">
        <v>120</v>
      </c>
      <c r="K16" s="129" t="s">
        <v>495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202</v>
      </c>
      <c r="D17" s="19"/>
      <c r="F17" s="15" t="s">
        <v>481</v>
      </c>
      <c r="G17" s="153"/>
      <c r="I17" s="15" t="s">
        <v>121</v>
      </c>
      <c r="K17" s="129" t="s">
        <v>485</v>
      </c>
      <c r="Q17" s="20" t="s">
        <v>92</v>
      </c>
      <c r="R17" s="65" t="s">
        <v>64</v>
      </c>
      <c r="AA17" s="15" t="s">
        <v>489</v>
      </c>
    </row>
    <row r="18" spans="3:27" ht="30" customHeight="1">
      <c r="C18" s="19" t="s">
        <v>203</v>
      </c>
      <c r="D18" s="19"/>
      <c r="F18" s="15" t="s">
        <v>482</v>
      </c>
      <c r="G18" s="152"/>
      <c r="I18" s="15" t="s">
        <v>122</v>
      </c>
      <c r="K18" s="129" t="s">
        <v>515</v>
      </c>
      <c r="Q18" s="20" t="s">
        <v>93</v>
      </c>
      <c r="R18" s="65" t="s">
        <v>65</v>
      </c>
      <c r="AA18" t="s">
        <v>514</v>
      </c>
    </row>
    <row r="19" spans="3:27" ht="30" customHeight="1">
      <c r="C19" s="19" t="s">
        <v>204</v>
      </c>
      <c r="D19" s="19"/>
      <c r="F19" s="15"/>
      <c r="I19" s="15" t="s">
        <v>216</v>
      </c>
      <c r="K19" s="129" t="s">
        <v>516</v>
      </c>
      <c r="Q19" s="20" t="s">
        <v>94</v>
      </c>
      <c r="R19" s="65" t="s">
        <v>56</v>
      </c>
      <c r="AA19" t="s">
        <v>496</v>
      </c>
    </row>
    <row r="20" spans="3:27" ht="30" customHeight="1">
      <c r="C20" s="19" t="s">
        <v>205</v>
      </c>
      <c r="D20" s="19"/>
      <c r="I20" s="15" t="s">
        <v>217</v>
      </c>
      <c r="K20" s="129" t="s">
        <v>483</v>
      </c>
      <c r="Q20" s="20" t="s">
        <v>95</v>
      </c>
      <c r="R20" s="65" t="s">
        <v>53</v>
      </c>
      <c r="AA20" t="s">
        <v>495</v>
      </c>
    </row>
    <row r="21" spans="3:27" ht="30" customHeight="1">
      <c r="C21" s="19" t="s">
        <v>206</v>
      </c>
      <c r="D21" s="19"/>
      <c r="K21" s="129" t="s">
        <v>499</v>
      </c>
      <c r="Q21" s="20" t="s">
        <v>96</v>
      </c>
      <c r="R21" s="65" t="s">
        <v>54</v>
      </c>
      <c r="AA21" t="s">
        <v>517</v>
      </c>
    </row>
    <row r="22" spans="3:27" ht="30" customHeight="1">
      <c r="C22" s="19"/>
      <c r="D22" s="19"/>
      <c r="K22" s="129" t="s">
        <v>498</v>
      </c>
      <c r="Q22" s="20" t="s">
        <v>97</v>
      </c>
      <c r="R22" s="65" t="s">
        <v>49</v>
      </c>
      <c r="AA22" t="s">
        <v>516</v>
      </c>
    </row>
    <row r="23" spans="3:27" ht="30" customHeight="1">
      <c r="C23" s="19"/>
      <c r="D23" s="19"/>
      <c r="K23" s="129" t="s">
        <v>517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9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9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7" t="s">
        <v>504</v>
      </c>
      <c r="R55" s="127" t="s">
        <v>506</v>
      </c>
    </row>
    <row r="56" spans="17:18" ht="30" customHeight="1">
      <c r="Q56" s="128" t="s">
        <v>505</v>
      </c>
      <c r="R56" s="128" t="s">
        <v>507</v>
      </c>
    </row>
    <row r="57" spans="17:18" ht="30" customHeight="1">
      <c r="Q57" s="18" t="s">
        <v>586</v>
      </c>
      <c r="R57" s="18" t="s">
        <v>587</v>
      </c>
    </row>
    <row r="58" spans="17:18" ht="30" customHeight="1">
      <c r="Q58" s="18" t="s">
        <v>588</v>
      </c>
      <c r="R58" s="18" t="s">
        <v>589</v>
      </c>
    </row>
    <row r="59" spans="17:18" ht="30" customHeight="1">
      <c r="Q59" s="18" t="s">
        <v>590</v>
      </c>
      <c r="R59" s="18" t="s">
        <v>591</v>
      </c>
    </row>
    <row r="60" spans="17:18" ht="30" customHeight="1">
      <c r="Q60" s="18" t="s">
        <v>592</v>
      </c>
      <c r="R60" s="18" t="s">
        <v>593</v>
      </c>
    </row>
    <row r="61" spans="17:18" ht="30" customHeight="1">
      <c r="Q61" s="18" t="s">
        <v>594</v>
      </c>
      <c r="R61" s="18" t="s">
        <v>595</v>
      </c>
    </row>
    <row r="62" spans="17:18" ht="30" customHeight="1">
      <c r="Q62" s="18" t="s">
        <v>596</v>
      </c>
      <c r="R62" s="18" t="s">
        <v>597</v>
      </c>
    </row>
    <row r="63" spans="17:18" ht="30" customHeight="1">
      <c r="Q63" s="18" t="s">
        <v>598</v>
      </c>
      <c r="R63" s="18" t="s">
        <v>599</v>
      </c>
    </row>
    <row r="64" spans="17:18" ht="30" customHeight="1">
      <c r="Q64" s="154" t="s">
        <v>600</v>
      </c>
      <c r="R64" s="154" t="s">
        <v>601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2" t="s">
        <v>76</v>
      </c>
      <c r="D5" s="262"/>
      <c r="E5" s="262"/>
      <c r="F5" s="262"/>
      <c r="G5" s="26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2" t="s">
        <v>605</v>
      </c>
      <c r="D4" s="106" t="s">
        <v>11</v>
      </c>
    </row>
    <row r="5" spans="2:4">
      <c r="B5" s="102" t="s">
        <v>7</v>
      </c>
      <c r="C5" s="103" t="s">
        <v>46</v>
      </c>
    </row>
    <row r="6" spans="2:4">
      <c r="B6" s="102" t="s">
        <v>450</v>
      </c>
      <c r="C6" s="103" t="s">
        <v>55</v>
      </c>
    </row>
    <row r="7" spans="2:4">
      <c r="B7" s="102" t="s">
        <v>451</v>
      </c>
      <c r="C7" s="103" t="s">
        <v>606</v>
      </c>
    </row>
    <row r="9" spans="2:4">
      <c r="B9" s="101" t="s">
        <v>452</v>
      </c>
      <c r="C9" s="104"/>
    </row>
    <row r="10" spans="2:4">
      <c r="B10" s="101" t="s">
        <v>468</v>
      </c>
      <c r="C10" s="104"/>
    </row>
    <row r="11" spans="2:4">
      <c r="B11" s="101" t="s">
        <v>454</v>
      </c>
      <c r="C11" s="104"/>
    </row>
    <row r="12" spans="2:4">
      <c r="B12" s="101" t="s">
        <v>455</v>
      </c>
      <c r="C12" s="104"/>
    </row>
    <row r="13" spans="2:4">
      <c r="B13" s="101" t="s">
        <v>456</v>
      </c>
      <c r="C13" s="104"/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03"/>
      <c r="D4" s="106" t="s">
        <v>11</v>
      </c>
    </row>
    <row r="5" spans="2:4">
      <c r="B5" s="102" t="s">
        <v>7</v>
      </c>
      <c r="C5" s="103"/>
    </row>
    <row r="6" spans="2:4">
      <c r="B6" s="102" t="s">
        <v>476</v>
      </c>
      <c r="C6" s="103"/>
    </row>
    <row r="7" spans="2:4">
      <c r="B7" s="102" t="s">
        <v>451</v>
      </c>
      <c r="C7" s="103"/>
    </row>
    <row r="9" spans="2:4">
      <c r="B9" s="101" t="s">
        <v>459</v>
      </c>
      <c r="C9" s="104"/>
    </row>
    <row r="10" spans="2:4">
      <c r="B10" s="101" t="s">
        <v>460</v>
      </c>
      <c r="C10" s="104"/>
    </row>
    <row r="11" spans="2:4">
      <c r="B11" s="101" t="s">
        <v>472</v>
      </c>
      <c r="C11" s="104"/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520</v>
      </c>
    </row>
    <row r="4" spans="2:21" ht="14" customHeight="1">
      <c r="B4" s="102" t="s">
        <v>449</v>
      </c>
      <c r="C4" s="276" t="s">
        <v>624</v>
      </c>
      <c r="D4" s="277"/>
      <c r="E4" s="275" t="s">
        <v>11</v>
      </c>
      <c r="F4" s="275"/>
      <c r="K4" s="263" t="s">
        <v>521</v>
      </c>
      <c r="L4" s="263"/>
      <c r="M4" s="263"/>
      <c r="N4" s="263"/>
      <c r="O4" s="263"/>
      <c r="P4" s="263"/>
      <c r="Q4" s="263"/>
      <c r="R4" s="263"/>
      <c r="S4" s="263"/>
      <c r="T4" s="263"/>
      <c r="U4" s="263"/>
    </row>
    <row r="5" spans="2:21" ht="15" customHeight="1">
      <c r="B5" s="102" t="s">
        <v>7</v>
      </c>
      <c r="C5" s="277" t="s">
        <v>46</v>
      </c>
      <c r="D5" s="277"/>
      <c r="K5" s="263"/>
      <c r="L5" s="263"/>
      <c r="M5" s="263"/>
      <c r="N5" s="263"/>
      <c r="O5" s="263"/>
      <c r="P5" s="263"/>
      <c r="Q5" s="263"/>
      <c r="R5" s="263"/>
      <c r="S5" s="263"/>
      <c r="T5" s="263"/>
      <c r="U5" s="263"/>
    </row>
    <row r="6" spans="2:21">
      <c r="B6" s="102" t="s">
        <v>479</v>
      </c>
      <c r="C6" s="277" t="s">
        <v>47</v>
      </c>
      <c r="D6" s="277"/>
    </row>
    <row r="7" spans="2:21" ht="32" customHeight="1">
      <c r="K7" s="266" t="s">
        <v>610</v>
      </c>
      <c r="L7" s="267"/>
      <c r="M7" s="267"/>
      <c r="O7" s="266" t="s">
        <v>611</v>
      </c>
      <c r="P7" s="267"/>
      <c r="Q7" s="267"/>
      <c r="S7" s="266" t="s">
        <v>612</v>
      </c>
      <c r="T7" s="267"/>
      <c r="U7" s="267"/>
    </row>
    <row r="8" spans="2:21" ht="10" customHeight="1"/>
    <row r="9" spans="2:21" ht="32" customHeight="1">
      <c r="B9" s="271" t="s">
        <v>522</v>
      </c>
      <c r="C9" s="271"/>
      <c r="E9" s="271" t="s">
        <v>529</v>
      </c>
      <c r="F9" s="271"/>
      <c r="H9" s="271" t="s">
        <v>540</v>
      </c>
      <c r="I9" s="272"/>
      <c r="M9" s="268" t="s">
        <v>623</v>
      </c>
      <c r="N9" s="269"/>
      <c r="O9" s="269"/>
      <c r="Q9" s="266" t="s">
        <v>613</v>
      </c>
      <c r="R9" s="267"/>
      <c r="S9" s="267"/>
    </row>
    <row r="10" spans="2:21" ht="10" customHeight="1"/>
    <row r="11" spans="2:21" ht="32" customHeight="1">
      <c r="E11" s="271" t="s">
        <v>530</v>
      </c>
      <c r="F11" s="271"/>
      <c r="H11" s="271" t="s">
        <v>541</v>
      </c>
      <c r="I11" s="271"/>
      <c r="K11" s="270" t="s">
        <v>625</v>
      </c>
      <c r="L11" s="267"/>
      <c r="M11" s="267"/>
      <c r="O11" s="266" t="s">
        <v>614</v>
      </c>
      <c r="P11" s="267"/>
      <c r="Q11" s="267"/>
      <c r="S11" s="266" t="s">
        <v>615</v>
      </c>
      <c r="T11" s="267"/>
      <c r="U11" s="267"/>
    </row>
    <row r="12" spans="2:21" ht="10" customHeight="1"/>
    <row r="13" spans="2:21" ht="32" customHeight="1">
      <c r="B13" s="271" t="s">
        <v>523</v>
      </c>
      <c r="C13" s="271"/>
      <c r="E13" s="271" t="s">
        <v>531</v>
      </c>
      <c r="F13" s="271"/>
      <c r="H13" s="271" t="s">
        <v>542</v>
      </c>
      <c r="I13" s="271"/>
      <c r="M13" s="266" t="s">
        <v>616</v>
      </c>
      <c r="N13" s="267"/>
      <c r="O13" s="267"/>
    </row>
    <row r="14" spans="2:21" ht="10" customHeight="1"/>
    <row r="15" spans="2:21" ht="32" customHeight="1">
      <c r="B15" s="271" t="s">
        <v>524</v>
      </c>
      <c r="C15" s="271"/>
      <c r="E15" s="271" t="s">
        <v>532</v>
      </c>
      <c r="F15" s="271"/>
      <c r="H15" s="271" t="s">
        <v>543</v>
      </c>
      <c r="I15" s="271"/>
      <c r="P15" s="266" t="s">
        <v>617</v>
      </c>
      <c r="Q15" s="267"/>
      <c r="R15" s="267"/>
    </row>
    <row r="16" spans="2:21" ht="10" customHeight="1"/>
    <row r="17" spans="2:21" ht="32" customHeight="1">
      <c r="B17" s="271" t="s">
        <v>525</v>
      </c>
      <c r="C17" s="271"/>
      <c r="E17" s="271" t="s">
        <v>533</v>
      </c>
      <c r="F17" s="271"/>
      <c r="H17" s="271" t="s">
        <v>544</v>
      </c>
      <c r="I17" s="271"/>
      <c r="M17" s="266" t="s">
        <v>618</v>
      </c>
      <c r="N17" s="267"/>
      <c r="O17" s="267"/>
      <c r="Q17" s="266" t="s">
        <v>619</v>
      </c>
      <c r="R17" s="267"/>
      <c r="S17" s="267"/>
    </row>
    <row r="18" spans="2:21" ht="10" customHeight="1"/>
    <row r="19" spans="2:21" ht="32" customHeight="1">
      <c r="E19" s="271" t="s">
        <v>534</v>
      </c>
      <c r="F19" s="271"/>
      <c r="H19" s="271" t="s">
        <v>545</v>
      </c>
      <c r="I19" s="271"/>
      <c r="K19" s="266" t="s">
        <v>620</v>
      </c>
      <c r="L19" s="267"/>
      <c r="M19" s="267"/>
      <c r="O19" s="266" t="s">
        <v>621</v>
      </c>
      <c r="P19" s="267"/>
      <c r="Q19" s="267"/>
      <c r="S19" s="266" t="s">
        <v>622</v>
      </c>
      <c r="T19" s="267"/>
      <c r="U19" s="267"/>
    </row>
    <row r="20" spans="2:21" ht="10" customHeight="1"/>
    <row r="21" spans="2:21" ht="20" customHeight="1">
      <c r="B21" s="271" t="s">
        <v>526</v>
      </c>
      <c r="C21" s="271"/>
      <c r="E21" s="271" t="s">
        <v>535</v>
      </c>
      <c r="F21" s="271"/>
      <c r="K21" s="264"/>
      <c r="L21" s="265"/>
      <c r="M21" s="265"/>
      <c r="O21" s="264"/>
      <c r="P21" s="265"/>
      <c r="Q21" s="265"/>
      <c r="S21" s="264"/>
      <c r="T21" s="265"/>
      <c r="U21" s="265"/>
    </row>
    <row r="22" spans="2:21" ht="10" customHeight="1"/>
    <row r="23" spans="2:21" ht="20" customHeight="1">
      <c r="B23" s="271" t="s">
        <v>527</v>
      </c>
      <c r="C23" s="271"/>
      <c r="E23" s="273" t="s">
        <v>536</v>
      </c>
      <c r="F23" s="271"/>
      <c r="H23" s="271" t="s">
        <v>519</v>
      </c>
      <c r="I23" s="271"/>
      <c r="K23" s="264"/>
      <c r="L23" s="265"/>
      <c r="M23" s="265"/>
      <c r="O23" s="264"/>
      <c r="P23" s="265"/>
      <c r="Q23" s="265"/>
      <c r="S23" s="264"/>
      <c r="T23" s="265"/>
      <c r="U23" s="265"/>
    </row>
    <row r="24" spans="2:21" ht="10" customHeight="1"/>
    <row r="25" spans="2:21" ht="20" customHeight="1">
      <c r="B25" s="271" t="s">
        <v>528</v>
      </c>
      <c r="C25" s="271"/>
      <c r="E25" s="271" t="s">
        <v>537</v>
      </c>
      <c r="F25" s="271"/>
      <c r="H25" s="271" t="s">
        <v>156</v>
      </c>
      <c r="I25" s="271"/>
      <c r="O25" s="264"/>
      <c r="P25" s="265"/>
      <c r="Q25" s="265"/>
    </row>
    <row r="26" spans="2:21" ht="10" customHeight="1"/>
    <row r="27" spans="2:21" ht="20" customHeight="1">
      <c r="E27" s="271" t="s">
        <v>538</v>
      </c>
      <c r="F27" s="271"/>
      <c r="H27" s="271" t="s">
        <v>546</v>
      </c>
      <c r="I27" s="271"/>
      <c r="K27" s="266" t="s">
        <v>42</v>
      </c>
      <c r="L27" s="267"/>
      <c r="M27" s="267"/>
      <c r="S27" s="266" t="s">
        <v>32</v>
      </c>
      <c r="T27" s="267"/>
      <c r="U27" s="267"/>
    </row>
    <row r="28" spans="2:21" ht="10" customHeight="1"/>
    <row r="29" spans="2:21" ht="20" customHeight="1">
      <c r="E29" s="271" t="s">
        <v>539</v>
      </c>
      <c r="F29" s="271"/>
      <c r="H29" s="271" t="s">
        <v>167</v>
      </c>
      <c r="I29" s="271"/>
    </row>
    <row r="30" spans="2:21" ht="10" customHeight="1"/>
    <row r="31" spans="2:21" ht="9" customHeight="1"/>
    <row r="32" spans="2:21" ht="26" customHeight="1">
      <c r="B32" s="274" t="s">
        <v>470</v>
      </c>
      <c r="C32" s="274"/>
      <c r="D32" s="124"/>
      <c r="E32" s="275" t="s">
        <v>480</v>
      </c>
      <c r="F32" s="275"/>
      <c r="G32" s="275"/>
      <c r="H32" s="275"/>
      <c r="I32" s="124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550</v>
      </c>
      <c r="L1" s="101" t="s">
        <v>565</v>
      </c>
    </row>
    <row r="2" spans="2:12" ht="21">
      <c r="B2" s="100" t="s">
        <v>500</v>
      </c>
      <c r="J2" s="101" t="s">
        <v>551</v>
      </c>
      <c r="L2" s="101" t="s">
        <v>566</v>
      </c>
    </row>
    <row r="3" spans="2:12">
      <c r="J3" s="101" t="s">
        <v>552</v>
      </c>
      <c r="L3" s="101" t="s">
        <v>567</v>
      </c>
    </row>
    <row r="4" spans="2:12">
      <c r="B4" s="102" t="s">
        <v>449</v>
      </c>
      <c r="D4" s="142" t="s">
        <v>549</v>
      </c>
      <c r="E4" s="106" t="s">
        <v>11</v>
      </c>
      <c r="J4" s="101" t="s">
        <v>553</v>
      </c>
      <c r="L4" s="101" t="s">
        <v>568</v>
      </c>
    </row>
    <row r="5" spans="2:12">
      <c r="B5" s="121" t="s">
        <v>503</v>
      </c>
      <c r="D5" s="125">
        <v>22</v>
      </c>
      <c r="J5" s="101" t="s">
        <v>554</v>
      </c>
      <c r="L5" s="101" t="s">
        <v>569</v>
      </c>
    </row>
    <row r="6" spans="2:12">
      <c r="J6" s="101" t="s">
        <v>555</v>
      </c>
      <c r="L6" s="101" t="s">
        <v>570</v>
      </c>
    </row>
    <row r="7" spans="2:12">
      <c r="B7" s="121" t="s">
        <v>501</v>
      </c>
      <c r="D7" s="121" t="s">
        <v>502</v>
      </c>
      <c r="J7" s="101" t="s">
        <v>556</v>
      </c>
      <c r="L7" s="101" t="s">
        <v>571</v>
      </c>
    </row>
    <row r="8" spans="2:12">
      <c r="B8" s="126" t="s">
        <v>550</v>
      </c>
      <c r="D8" s="126" t="s">
        <v>565</v>
      </c>
      <c r="J8" s="101" t="s">
        <v>557</v>
      </c>
    </row>
    <row r="9" spans="2:12">
      <c r="B9" s="126"/>
      <c r="D9" s="126"/>
      <c r="J9" s="101" t="s">
        <v>558</v>
      </c>
    </row>
    <row r="10" spans="2:12">
      <c r="B10" s="126"/>
      <c r="D10" s="126"/>
      <c r="J10" s="101" t="s">
        <v>559</v>
      </c>
    </row>
    <row r="11" spans="2:12">
      <c r="B11" s="126"/>
      <c r="D11" s="126"/>
      <c r="J11" s="101" t="s">
        <v>560</v>
      </c>
    </row>
    <row r="12" spans="2:12">
      <c r="B12" s="126"/>
      <c r="D12" s="126"/>
      <c r="J12" s="101" t="s">
        <v>561</v>
      </c>
    </row>
    <row r="13" spans="2:12">
      <c r="J13" s="101" t="s">
        <v>562</v>
      </c>
    </row>
    <row r="14" spans="2:12" ht="26" customHeight="1">
      <c r="B14" s="105" t="s">
        <v>470</v>
      </c>
      <c r="C14" s="124"/>
      <c r="D14" s="106" t="s">
        <v>469</v>
      </c>
      <c r="J14" s="101" t="s">
        <v>563</v>
      </c>
    </row>
    <row r="15" spans="2:12">
      <c r="J15" s="101" t="s">
        <v>564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602</v>
      </c>
    </row>
    <row r="4" spans="2:8">
      <c r="B4" s="102" t="s">
        <v>603</v>
      </c>
      <c r="C4" s="276" t="s">
        <v>609</v>
      </c>
      <c r="D4" s="277"/>
      <c r="G4" s="275" t="s">
        <v>11</v>
      </c>
      <c r="H4" s="275"/>
    </row>
    <row r="5" spans="2:8">
      <c r="B5" s="102" t="s">
        <v>7</v>
      </c>
      <c r="C5" s="277" t="s">
        <v>46</v>
      </c>
      <c r="D5" s="277"/>
    </row>
    <row r="7" spans="2:8" ht="22" customHeight="1">
      <c r="B7" s="263" t="s">
        <v>604</v>
      </c>
      <c r="C7" s="263"/>
      <c r="D7" s="263"/>
      <c r="E7" s="263"/>
      <c r="F7" s="263"/>
      <c r="G7" s="263"/>
      <c r="H7" s="263"/>
    </row>
    <row r="9" spans="2:8" ht="22" customHeight="1">
      <c r="B9" s="273" t="s">
        <v>607</v>
      </c>
      <c r="C9" s="273"/>
      <c r="D9" s="273"/>
      <c r="E9" s="273"/>
      <c r="F9" s="273"/>
      <c r="G9" s="273"/>
      <c r="H9" s="273"/>
    </row>
    <row r="10" spans="2:8" ht="8" customHeight="1"/>
    <row r="11" spans="2:8" ht="22" customHeight="1">
      <c r="B11" s="273" t="s">
        <v>608</v>
      </c>
      <c r="C11" s="273"/>
      <c r="D11" s="273"/>
      <c r="E11" s="273"/>
      <c r="F11" s="273"/>
      <c r="G11" s="273"/>
      <c r="H11" s="273"/>
    </row>
    <row r="12" spans="2:8" ht="8" customHeight="1"/>
    <row r="13" spans="2:8" ht="22" customHeight="1">
      <c r="B13" s="278"/>
      <c r="C13" s="278"/>
      <c r="D13" s="278"/>
      <c r="E13" s="278"/>
      <c r="F13" s="278"/>
      <c r="G13" s="278"/>
      <c r="H13" s="278"/>
    </row>
    <row r="14" spans="2:8" ht="8" customHeight="1"/>
    <row r="15" spans="2:8" ht="22" customHeight="1">
      <c r="B15" s="278"/>
      <c r="C15" s="278"/>
      <c r="D15" s="278"/>
      <c r="E15" s="278"/>
      <c r="F15" s="278"/>
      <c r="G15" s="278"/>
      <c r="H15" s="278"/>
    </row>
    <row r="16" spans="2:8" ht="8" customHeight="1"/>
    <row r="17" spans="2:8" ht="22" customHeight="1">
      <c r="B17" s="278"/>
      <c r="C17" s="278"/>
      <c r="D17" s="278"/>
      <c r="E17" s="278"/>
      <c r="F17" s="278"/>
      <c r="G17" s="278"/>
      <c r="H17" s="278"/>
    </row>
    <row r="18" spans="2:8" ht="8" customHeight="1"/>
    <row r="19" spans="2:8" ht="22" customHeight="1">
      <c r="B19" s="278"/>
      <c r="C19" s="278"/>
      <c r="D19" s="278"/>
      <c r="E19" s="278"/>
      <c r="F19" s="278"/>
      <c r="G19" s="278"/>
      <c r="H19" s="278"/>
    </row>
    <row r="20" spans="2:8" ht="8" customHeight="1"/>
    <row r="21" spans="2:8" ht="22" customHeight="1">
      <c r="B21" s="278"/>
      <c r="C21" s="278"/>
      <c r="D21" s="278"/>
      <c r="E21" s="278"/>
      <c r="F21" s="278"/>
      <c r="G21" s="278"/>
      <c r="H21" s="278"/>
    </row>
    <row r="22" spans="2:8" ht="8" customHeight="1"/>
    <row r="23" spans="2:8" ht="22" customHeight="1">
      <c r="B23" s="278"/>
      <c r="C23" s="278"/>
      <c r="D23" s="278"/>
      <c r="E23" s="278"/>
      <c r="F23" s="278"/>
      <c r="G23" s="278"/>
      <c r="H23" s="278"/>
    </row>
    <row r="24" spans="2:8" ht="8" customHeight="1"/>
    <row r="25" spans="2:8" ht="22" customHeight="1">
      <c r="B25" s="278"/>
      <c r="C25" s="278"/>
      <c r="D25" s="278"/>
      <c r="E25" s="278"/>
      <c r="F25" s="278"/>
      <c r="G25" s="278"/>
      <c r="H25" s="278"/>
    </row>
    <row r="26" spans="2:8" ht="8" customHeight="1"/>
    <row r="27" spans="2:8" ht="22" customHeight="1">
      <c r="B27" s="278"/>
      <c r="C27" s="278"/>
      <c r="D27" s="278"/>
      <c r="E27" s="278"/>
      <c r="F27" s="278"/>
      <c r="G27" s="278"/>
      <c r="H27" s="278"/>
    </row>
    <row r="28" spans="2:8" ht="8" customHeight="1"/>
    <row r="29" spans="2:8" ht="26" customHeight="1">
      <c r="B29" s="274" t="s">
        <v>470</v>
      </c>
      <c r="C29" s="274"/>
      <c r="D29" s="124"/>
      <c r="E29" s="275" t="s">
        <v>480</v>
      </c>
      <c r="F29" s="275"/>
      <c r="G29" s="275"/>
      <c r="H29" s="27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2026-10-07T15:38:00Z</dcterms:modified>
</cp:coreProperties>
</file>