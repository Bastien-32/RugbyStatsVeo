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50951F86-F649-BD47-945A-D06E828B272E}" xr6:coauthVersionLast="47" xr6:coauthVersionMax="47" xr10:uidLastSave="{00000000-0000-0000-0000-000000000000}"/>
  <bookViews>
    <workbookView xWindow="11460" yWindow="660" windowWidth="23100" windowHeight="16900" activeTab="1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4" i="3" l="1"/>
  <c r="E74" i="3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C16" i="18"/>
  <c r="B16" i="18"/>
  <c r="C15" i="18"/>
  <c r="B15" i="18"/>
  <c r="D7" i="18"/>
  <c r="C7" i="18"/>
  <c r="B7" i="18"/>
  <c r="D6" i="18"/>
  <c r="C6" i="18"/>
  <c r="B6" i="18"/>
  <c r="B1" i="2"/>
  <c r="F73" i="3"/>
  <c r="E73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6" i="3"/>
  <c r="E66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<sst xmlns="http://schemas.openxmlformats.org/spreadsheetml/2006/main" count="1035" uniqueCount="670">
  <si>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</si>
  <si>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</si>
  <si>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</si>
  <si>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</si>
  <si>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</si>
  <si>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</si>
  <si>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</si>
  <si>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</si>
  <si>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</si>
  <si>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</si>
  <si>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</si>
  <si>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</si>
  <si>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</si>
  <si>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</si>
  <si>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</si>
  <si>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</si>
  <si>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</si>
  <si>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</si>
  <si>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</si>
  <si>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</si>
  <si>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</si>
  <si>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</si>
  <si>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</si>
  <si>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</si>
  <si>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</si>
  <si>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</si>
  <si>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</si>
  <si>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</si>
  <si>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</si>
  <si>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</si>
  <si>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</si>
  <si>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</si>
  <si>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</si>
  <si>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</si>
  <si>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</si>
  <si>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</si>
  <si>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</si>
  <si>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</si>
  <si>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</si>
  <si>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</si>
  <si>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</si>
  <si>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</si>
  <si>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</si>
  <si>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</si>
  <si>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</si>
  <si>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</si>
  <si>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</si>
  <si>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</si>
  <si>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</si>
  <si>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</si>
  <si>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</si>
  <si>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</si>
  <si>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</si>
  <si>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</si>
  <si>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</si>
  <si>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</si>
  <si>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</si>
  <si>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</si>
  <si>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</si>
  <si>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</si>
  <si>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</si>
  <si>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</si>
  <si>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</si>
  <si>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</si>
  <si>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</si>
  <si>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</si>
  <si>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</si>
  <si>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</si>
  <si>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</si>
  <si>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</si>
  <si>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</si>
  <si>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</si>
  <si>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</si>
  <si>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</si>
  <si>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</si>
  <si>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</si>
  <si>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</si>
  <si>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</si>
  <si>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</si>
  <si>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</si>
  <si>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</si>
  <si>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</si>
  <si>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</si>
  <si>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</si>
  <si>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</si>
  <si>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</si>
  <si>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</si>
  <si>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</si>
  <si>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</si>
  <si>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</si>
  <si>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</si>
  <si>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</si>
  <si>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</si>
  <si>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</si>
  <si>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</si>
  <si>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</si>
  <si>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</si>
  <si>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</si>
  <si>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</si>
  <si>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</si>
  <si>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</si>
  <si>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</si>
  <si>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</si>
  <si>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</si>
  <si>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</si>
  <si>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</si>
  <si>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</si>
  <si>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</si>
  <si>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</si>
  <si>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</si>
  <si>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</si>
  <si>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</si>
  <si>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</si>
  <si>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</si>
  <si>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</si>
  <si>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</si>
  <si>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</si>
  <si>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</si>
  <si>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</si>
  <si>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</si>
  <si>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</si>
  <si>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</si>
  <si>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</si>
  <si>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</si>
  <si>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</si>
  <si>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</si>
  <si>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</si>
  <si>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</si>
  <si>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</si>
  <si>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</si>
  <si>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</si>
  <si>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</si>
  <si>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</si>
  <si>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</si>
  <si>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</si>
  <si>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</si>
  <si>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</si>
  <si>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</si>
  <si>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</si>
  <si>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</si>
  <si>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</si>
  <si>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</si>
  <si>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</si>
  <si>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</si>
  <si>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</si>
  <si>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</si>
  <si>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</si>
  <si>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</si>
  <si>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</si>
  <si>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</si>
  <si>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</si>
  <si>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</si>
  <si>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</si>
  <si>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</si>
  <si>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</si>
  <si>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</si>
  <si>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</si>
  <si>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</si>
  <si>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</si>
  <si>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</si>
  <si>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</si>
  <si>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</si>
  <si>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</si>
  <si>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</si>
  <si>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</si>
  <si>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</si>
  <si>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</si>
  <si>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</si>
  <si>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</si>
  <si>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</si>
  <si>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</si>
  <si>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</si>
  <si>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</si>
  <si>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</si>
  <si>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</si>
  <si>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</si>
  <si>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</si>
  <si>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</si>
  <si>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</si>
  <si>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</si>
  <si>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</si>
  <si>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</si>
  <si>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</si>
  <si>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</si>
  <si>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</si>
  <si>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</si>
  <si>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</si>
  <si>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</si>
  <si>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</si>
  <si>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</si>
  <si>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</si>
  <si>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</si>
  <si>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</si>
  <si>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</si>
  <si>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</si>
  <si>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</si>
  <si>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</si>
  <si>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</si>
  <si>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</si>
  <si>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</si>
  <si>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</si>
  <si>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</si>
  <si>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</si>
  <si>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</si>
  <si>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</si>
  <si>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</si>
  <si>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</si>
  <si>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</si>
  <si>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</si>
  <si>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</si>
  <si>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</si>
  <si>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</si>
  <si>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</si>
  <si>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</si>
  <si>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</si>
  <si>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</si>
  <si>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</si>
  <si>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</si>
  <si>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</si>
  <si>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</si>
  <si>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</si>
  <si>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</si>
  <si>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</si>
  <si>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</si>
  <si>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</si>
  <si>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</si>
  <si>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</si>
  <si>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</si>
  <si>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</si>
  <si>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</si>
  <si>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</si>
  <si>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</si>
  <si>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</si>
  <si>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</si>
  <si>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</si>
  <si>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</si>
  <si>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</si>
  <si>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</si>
  <si>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</si>
  <si>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</si>
  <si>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</si>
  <si>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</si>
  <si>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</si>
  <si>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</si>
  <si>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</si>
  <si>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</si>
  <si>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</si>
  <si>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</si>
  <si>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</si>
  <si>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</si>
  <si>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</si>
  <si>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</si>
  <si>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</si>
  <si>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</si>
  <si>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</si>
  <si>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</si>
  <si>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</si>
  <si>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</si>
  <si>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</si>
  <si>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</si>
  <si>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</si>
  <si>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</si>
  <si>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</si>
  <si>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</si>
  <si>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</si>
  <si>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</si>
  <si>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</si>
  <si>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</si>
  <si>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</si>
  <si>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</si>
  <si>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</si>
  <si>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</si>
  <si>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</si>
  <si>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</si>
  <si>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</si>
  <si>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</si>
  <si>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</si>
  <si>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</si>
  <si>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</si>
  <si>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</si>
  <si>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</si>
  <si>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</si>
  <si>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</si>
  <si>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</si>
  <si>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</si>
  <si>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</si>
  <si>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</si>
  <si>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</si>
  <si>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</si>
  <si>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</si>
  <si>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</si>
  <si>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</si>
  <si>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</si>
  <si>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</si>
  <si>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</si>
  <si>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</si>
  <si>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</si>
  <si>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</si>
  <si>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</si>
  <si>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</si>
  <si>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</si>
  <si>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</si>
  <si>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</si>
  <si>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</si>
  <si>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</si>
  <si>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</si>
  <si>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</si>
  <si>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</si>
  <si>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</si>
  <si>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</si>
  <si>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</si>
  <si>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</si>
  <si>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</si>
  <si>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</si>
  <si>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</si>
  <si>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</si>
  <si>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</si>
  <si>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</si>
  <si>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</si>
  <si>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</si>
  <si>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</si>
  <si>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</si>
  <si>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</si>
  <si>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</si>
  <si>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</si>
  <si>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</si>
  <si>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</si>
  <si>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</si>
  <si>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</si>
  <si>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</si>
  <si>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</si>
  <si>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</si>
  <si>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</si>
  <si>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</si>
  <si>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</si>
  <si>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</si>
  <si>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</si>
  <si>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</si>
  <si>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</si>
  <si>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</si>
  <si>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</si>
  <si>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</si>
  <si>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</si>
  <si>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</si>
  <si>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</si>
  <si>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</si>
  <si>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</si>
  <si>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</si>
  <si>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</si>
  <si>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</si>
  <si>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</si>
  <si>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</si>
  <si>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</si>
  <si>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</si>
  <si>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</si>
  <si>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</si>
  <si>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</si>
  <si>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</si>
  <si>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</si>
  <si>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</si>
  <si>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</si>
  <si>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</si>
  <si>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</si>
  <si>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</si>
  <si>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</si>
  <si>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</si>
  <si>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</si>
  <si>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</si>
  <si>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</si>
  <si>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</si>
  <si>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</si>
  <si>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</si>
  <si>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</si>
  <si>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</si>
  <si>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</si>
  <si>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</si>
  <si>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</si>
  <si>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</si>
  <si>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</si>
  <si>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</si>
  <si>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</si>
  <si>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</si>
  <si>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</si>
  <si>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</si>
  <si>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</si>
  <si>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</si>
  <si>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</si>
  <si>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</si>
  <si>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</si>
  <si>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</si>
  <si>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</si>
  <si>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</si>
  <si>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</si>
  <si>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</si>
  <si>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</si>
  <si>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</si>
  <si>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</si>
  <si>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</si>
  <si>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</si>
  <si>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</si>
  <si>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</si>
  <si>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</si>
  <si>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</si>
  <si>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</si>
  <si>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</si>
  <si>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</si>
  <si>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</si>
  <si>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</si>
  <si>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</si>
  <si>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</si>
  <si>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</si>
  <si>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</si>
  <si>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</si>
  <si>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</si>
  <si>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</si>
  <si>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</si>
  <si>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</si>
  <si>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</si>
  <si>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</si>
  <si>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</si>
  <si>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</si>
  <si>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</si>
  <si>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</si>
  <si>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</si>
  <si>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</si>
  <si>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</si>
  <si>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</si>
  <si>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</si>
  <si>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</si>
  <si>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</si>
  <si>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</si>
  <si>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</si>
  <si>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</si>
  <si>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</si>
  <si>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</si>
  <si>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</si>
  <si>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</si>
  <si>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</si>
  <si>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</si>
  <si>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</si>
  <si>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</si>
  <si>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</si>
  <si>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</si>
  <si>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</si>
  <si>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</si>
  <si>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</si>
  <si>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</si>
  <si>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</si>
  <si>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</si>
  <si>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</si>
  <si>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</si>
  <si>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</si>
  <si>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</si>
  <si>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</si>
  <si>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</si>
  <si>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</si>
  <si>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</si>
  <si>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</si>
  <si>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</si>
  <si>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</si>
  <si>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</si>
  <si>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</si>
  <si>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</si>
  <si>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</si>
  <si>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</si>
  <si>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</si>
  <si>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</si>
  <si>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</si>
  <si>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</si>
  <si>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</si>
  <si>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</si>
  <si>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</si>
  <si>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</si>
  <si>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</si>
  <si>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</si>
  <si>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</si>
  <si>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</si>
  <si>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</si>
  <si>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</si>
  <si>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</si>
  <si>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</si>
  <si>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</si>
  <si>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</si>
  <si>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</si>
  <si>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</si>
  <si>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</si>
  <si>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</si>
  <si>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</si>
  <si>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</si>
  <si>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</si>
  <si>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</si>
  <si>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</si>
  <si>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</si>
  <si>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</si>
  <si>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</si>
  <si>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</si>
  <si>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</si>
  <si>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</si>
  <si>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</si>
  <si>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</si>
  <si>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</si>
  <si>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</si>
  <si>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</si>
  <si>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</si>
  <si>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</si>
  <si>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</si>
  <si>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</si>
  <si>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</si>
  <si>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</si>
  <si>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</si>
  <si>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</si>
  <si>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</si>
  <si>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</si>
  <si>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</si>
  <si>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</si>
  <si>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</si>
  <si>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</si>
  <si>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</si>
  <si>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</si>
  <si>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</si>
  <si>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</si>
  <si>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</si>
  <si>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</si>
  <si>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</si>
  <si>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</si>
  <si>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</si>
  <si>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</si>
  <si>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</si>
  <si>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</si>
  <si>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</si>
  <si>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</si>
  <si>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</si>
  <si>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</si>
  <si>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</si>
  <si>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</si>
  <si>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</si>
  <si>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</si>
  <si>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</si>
  <si>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</si>
  <si>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</si>
  <si>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</si>
  <si>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</si>
  <si>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</si>
  <si>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</si>
  <si>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</si>
  <si>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</si>
  <si>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</si>
  <si>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</si>
  <si>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</si>
  <si>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</si>
  <si>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</si>
  <si>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</si>
  <si>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</si>
  <si>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</si>
  <si>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</si>
  <si>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</si>
  <si>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</si>
  <si>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</si>
  <si>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</si>
  <si>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</si>
  <si>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</si>
  <si>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</si>
  <si>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</si>
  <si>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</si>
  <si>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</si>
  <si>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</si>
  <si>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</si>
  <si>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</si>
  <si>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</si>
  <si>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</si>
  <si>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</si>
  <si>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</si>
  <si>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</si>
  <si>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</si>
  <si>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</si>
  <si>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</si>
  <si>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</si>
  <si>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</si>
  <si>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</si>
  <si>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</si>
  <si>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</si>
  <si>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</si>
  <si>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</si>
  <si>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</si>
  <si>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</si>
  <si>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</si>
  <si>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</si>
  <si>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</si>
  <si>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</si>
  <si>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</si>
  <si>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</si>
  <si>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</si>
  <si>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</si>
  <si>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</si>
  <si>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</si>
  <si>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</si>
  <si>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</si>
  <si>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</si>
  <si>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</si>
  <si>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</si>
  <si>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</si>
  <si>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</si>
  <si>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</si>
  <si>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</si>
  <si>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</si>
  <si>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</si>
  <si>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</si>
  <si>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</si>
  <si>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</si>
  <si>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</si>
  <si>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</si>
  <si>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</si>
  <si>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</si>
  <si>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</si>
  <si>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</si>
  <si>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</si>
  <si>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</si>
  <si>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</si>
  <si>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</si>
  <si>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</si>
  <si>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</si>
  <si>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</si>
  <si>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</si>
  <si>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</si>
  <si>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</si>
  <si>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</si>
  <si>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</si>
  <si>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</si>
  <si>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</si>
  <si>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</si>
  <si>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</si>
  <si>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</si>
  <si>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</si>
  <si>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</si>
  <si>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</si>
  <si>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</si>
  <si>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</si>
  <si>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</si>
  <si>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</si>
  <si>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</si>
  <si>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</si>
  <si>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</si>
  <si>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</si>
  <si>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</si>
  <si>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</si>
  <si>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</si>
  <si>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</si>
  <si>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</si>
  <si>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</si>
  <si>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</si>
  <si>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</si>
  <si>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</si>
  <si>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</si>
  <si>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t>E 22m</t>
  </si>
  <si>
    <t>E 15m</t>
  </si>
  <si>
    <t>E en-but</t>
  </si>
  <si>
    <t>LISTE_MOTIFS_PENALITE</t>
  </si>
  <si>
    <t>LST_SAUTEURS</t>
  </si>
  <si>
    <t>D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</si>
  <si>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</si>
  <si>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</si>
  <si>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</si>
  <si>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</si>
  <si>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</si>
  <si>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</si>
  <si>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</si>
  <si>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30:04</t>
  </si>
  <si>
    <t>L'attaque qui suit est intéressante à montrer à la vidéo pour montrer ce qu'il</t>
  </si>
  <si>
    <t>48:25</t>
  </si>
  <si>
    <t>POUJOLS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</si>
</sst>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6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9" fillId="19" borderId="19" xfId="0" applyFont="1" applyFill="1" applyBorder="1" applyAlignment="1">
      <alignment horizontal="center" vertical="center"/>
    </xf>
    <xf numFmtId="0" fontId="59" fillId="19" borderId="44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55" fillId="33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8" fillId="37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4" totalsRowShown="0" headerRowDxfId="88" dataDxfId="87">
  <autoFilter ref="A1:F74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6"/>
    <tableColumn id="2" xr3:uid="{0C1B8A30-A3B8-DA4D-B893-C4C99FF33E90}" name="nom" dataDxfId="85"/>
    <tableColumn id="3" xr3:uid="{8AE5AF32-0026-9B41-8B0B-16B9ED0F3727}" name="prenom" dataDxfId="84"/>
    <tableColumn id="6" xr3:uid="{D5D3A7D0-7C7D-684B-8AA7-DABBCC7051CF}" name="1ère ligne" dataDxfId="83"/>
    <tableColumn id="4" xr3:uid="{4CE41A86-7158-6B42-B932-A5275F10AB48}" name="prenom NOM" dataDxfId="82">
      <calculatedColumnFormula>LstEffectif[[#This Row],[prenom]] &amp; " " &amp; LstEffectif[[#This Row],[nom]]</calculatedColumnFormula>
    </tableColumn>
    <tableColumn id="5" xr3:uid="{EB017694-E6D2-7440-91BF-61113926AB7D}" name="NOM Prénom" dataDxfId="8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0" dataDxfId="79">
  <autoFilter ref="J1:J11" xr:uid="{037D6424-D1EC-894D-B963-D36ABCA682C4}"/>
  <tableColumns count="1">
    <tableColumn id="1" xr3:uid="{63806632-B9ED-294D-800A-F2FDB2EC48D2}" name="EQUIPES_A_AFFRONTER" dataDxfId="7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9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60" dataDxfId="59">
  <autoFilter ref="A2:J3" xr:uid="{1BC259CC-2467-644D-900B-02D4F95FCC56}"/>
  <tableColumns count="10">
    <tableColumn id="1" xr3:uid="{29E94664-85C6-8341-9568-C2C37D97888A}" name="Temps video" dataDxfId="58"/>
    <tableColumn id="2" xr3:uid="{55A3C72E-11B1-DE4C-A8AA-CB6DB1EFD242}" name="Mi-temps" dataDxfId="57"/>
    <tableColumn id="3" xr3:uid="{4AE31CAA-4626-F642-B76C-C72B804D292F}" name="Lance pour" dataDxfId="56"/>
    <tableColumn id="4" xr3:uid="{1EA86226-F559-1043-9A84-6FF95B3B874A}" name="Issue" dataDxfId="55"/>
    <tableColumn id="5" xr3:uid="{2C4366BF-5214-BC47-A083-90D03DA6854F}" name="Sauteur" dataDxfId="54"/>
    <tableColumn id="6" xr3:uid="{9D288BC5-6D48-C24C-9619-DA2FF23FBD25}" name="Zone saut" dataDxfId="53"/>
    <tableColumn id="7" xr3:uid="{C5782212-F6FF-1047-ACE1-2423FE276759}" name="Ballon" dataDxfId="52"/>
    <tableColumn id="8" xr3:uid="{C5B2376F-1A1B-EE42-93FF-D1229E4F9C28}" name="Zone terrain" dataDxfId="51"/>
    <tableColumn id="9" xr3:uid="{F1D9F9BC-6535-E847-80D5-69098CD85B42}" name="Alignement" dataDxfId="50"/>
    <tableColumn id="10" xr3:uid="{40E35BB9-1748-7C41-8DA3-305B06F71737}" name="Observations" dataDxfId="49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 headerRowDxfId="48" dataDxfId="47">
  <autoFilter ref="A11:J12" xr:uid="{A1FE138B-7A57-FD4E-B0BC-4BF4203BE379}"/>
  <tableColumns count="10">
    <tableColumn id="1" xr3:uid="{9154875D-F6A2-FD43-A363-B5D480E2C8C9}" name="Temps video" dataDxfId="46"/>
    <tableColumn id="2" xr3:uid="{B3C15621-3E96-6848-870A-E1606D2022B1}" name="Mi-temps" dataDxfId="45"/>
    <tableColumn id="3" xr3:uid="{82E522EF-5DF0-A04D-AFD6-8A58284D960F}" name="Introduction pour" dataDxfId="44"/>
    <tableColumn id="4" xr3:uid="{5779EC3B-EA51-BF4B-81EB-CFE3E9CACA34}" name="Issue" dataDxfId="43"/>
    <tableColumn id="5" xr3:uid="{FFAF75C5-1430-7640-B33A-CDF548EF256F}" name="Zone longueur" dataDxfId="42"/>
    <tableColumn id="6" xr3:uid="{18D5B587-DA93-C049-940F-FA2A855A20A5}" name="Zone largeur" dataDxfId="41"/>
    <tableColumn id="7" xr3:uid="{EFF3CB7A-10D5-9D42-B368-93E6B4853022}" name="Jeu avant" dataDxfId="40"/>
    <tableColumn id="8" xr3:uid="{D9175B18-6528-4648-B15C-FF2CC25EEBE4}" name="Jeu 3/4" dataDxfId="39"/>
    <tableColumn id="9" xr3:uid="{CAE0CE17-6518-8346-8125-3B7CA02D88C1}" name="Jeu pied" dataDxfId="38"/>
    <tableColumn id="10" xr3:uid="{9D4C3BED-381E-2945-8DDD-9AF72C0A70C5}" name="Observations" dataDxfId="37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60" workbookViewId="0">
      <selection activeCell="D74" sqref="D74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 t="s">
        <v>409</v>
      </c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 ht="14">
      <c r="A74">
        <v>73</v>
      </c>
      <c r="B74" s="85" t="s">
        <v>669</v>
      </c>
      <c r="C74" s="85" t="s">
        <v>365</v>
      </c>
      <c r="D74" s="85" t="s">
        <v>409</v>
      </c>
      <c r="E74" t="str">
        <f>LstEffectif[[#This Row],[prenom]] &amp; " " &amp; LstEffectif[[#This Row],[nom]]</f>
        <v>Dylan POUJOLS</v>
      </c>
      <c r="F74" t="str">
        <f>LstEffectif[[#This Row],[nom]] &amp; " " &amp; LstEffectif[[#This Row],[prenom]]</f>
        <v>POUJOLS Dylan</v>
      </c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4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tabSelected="1" workbookViewId="0">
      <selection activeCell="C8" sqref="C8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80" t="s">
        <v>200</v>
      </c>
      <c r="C2" s="180"/>
      <c r="E2" s="181" t="str">
        <f>"FEUILLE COMPO "&amp;MATCH_NOUS</f>
        <v>FEUILLE COMPO MXV</v>
      </c>
      <c r="F2" s="182"/>
      <c r="G2" s="182"/>
      <c r="H2" s="183"/>
    </row>
    <row r="3" spans="1:8" ht="19" customHeight="1">
      <c r="B3" s="180"/>
      <c r="C3" s="180"/>
      <c r="E3" s="184"/>
      <c r="F3" s="185"/>
      <c r="G3" s="185"/>
      <c r="H3" s="186"/>
    </row>
    <row r="4" spans="1:8" ht="19" customHeight="1" thickBot="1">
      <c r="B4" s="180"/>
      <c r="C4" s="180"/>
      <c r="E4" s="187"/>
      <c r="F4" s="188"/>
      <c r="G4" s="188"/>
      <c r="H4" s="18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193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25" t="s">
        <v>124</v>
      </c>
      <c r="D4" s="199"/>
      <c r="E4" s="199"/>
      <c r="F4" s="199"/>
      <c r="G4" s="199"/>
      <c r="H4" s="199"/>
      <c r="I4" s="199"/>
      <c r="J4" s="199"/>
      <c r="K4" s="137"/>
      <c r="L4" s="230" t="s">
        <v>39</v>
      </c>
      <c r="M4" s="231"/>
      <c r="N4" s="231"/>
      <c r="O4" s="231"/>
      <c r="P4" s="231"/>
      <c r="Q4" s="231"/>
      <c r="R4" s="232"/>
      <c r="S4" s="137"/>
      <c r="T4" s="230" t="s">
        <v>55</v>
      </c>
      <c r="U4" s="231"/>
      <c r="V4" s="231"/>
      <c r="W4" s="231"/>
      <c r="X4" s="231"/>
      <c r="Y4" s="231"/>
      <c r="Z4" s="232"/>
      <c r="AA4" s="137"/>
      <c r="AB4" s="225" t="s">
        <v>607</v>
      </c>
      <c r="AC4" s="199"/>
      <c r="AD4" s="199"/>
      <c r="AE4" s="199"/>
      <c r="AF4" s="199"/>
      <c r="AG4" s="199"/>
      <c r="AH4" s="199"/>
      <c r="AI4" s="137"/>
      <c r="AJ4" s="233" t="s">
        <v>43</v>
      </c>
      <c r="AK4" s="234"/>
      <c r="AL4" s="234"/>
      <c r="AM4" s="234"/>
      <c r="AN4" s="234"/>
      <c r="AO4" s="234"/>
      <c r="AP4" s="235"/>
      <c r="AQ4" s="137"/>
      <c r="AR4" s="236" t="s">
        <v>44</v>
      </c>
      <c r="AS4" s="237"/>
      <c r="AT4" s="237"/>
      <c r="AU4" s="237"/>
      <c r="AV4" s="237"/>
      <c r="AW4" s="237"/>
      <c r="AX4" s="238"/>
      <c r="AY4" s="142"/>
      <c r="AZ4" s="137"/>
      <c r="BA4" s="138"/>
      <c r="BB4" s="173" t="s">
        <v>38</v>
      </c>
      <c r="BC4" s="137"/>
      <c r="BD4" s="167" t="s">
        <v>29</v>
      </c>
      <c r="BE4" s="137"/>
      <c r="BF4" s="167" t="s">
        <v>51</v>
      </c>
      <c r="BG4" s="137"/>
      <c r="BH4" s="167" t="s">
        <v>141</v>
      </c>
      <c r="BI4" s="137"/>
      <c r="BJ4" s="167" t="s">
        <v>30</v>
      </c>
      <c r="BK4" s="137"/>
      <c r="BL4" s="167" t="s">
        <v>31</v>
      </c>
      <c r="BM4" s="142"/>
      <c r="BN4" s="137"/>
      <c r="BO4" s="222" t="s">
        <v>660</v>
      </c>
      <c r="BP4" s="223"/>
      <c r="BQ4" s="223"/>
      <c r="BR4" s="224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213" t="s">
        <v>514</v>
      </c>
      <c r="BP7" s="214"/>
      <c r="BQ7" s="214"/>
      <c r="BR7" s="215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39" t="s">
        <v>242</v>
      </c>
      <c r="D8" s="199"/>
      <c r="E8" s="199"/>
      <c r="F8" s="199"/>
      <c r="G8" s="199"/>
      <c r="H8" s="199"/>
      <c r="I8" s="199"/>
      <c r="J8" s="137"/>
      <c r="K8" s="240"/>
      <c r="L8" s="241"/>
      <c r="M8" s="241"/>
      <c r="N8" s="241"/>
      <c r="O8" s="241"/>
      <c r="P8" s="241"/>
      <c r="Q8" s="242"/>
      <c r="R8" s="137"/>
      <c r="S8" s="201"/>
      <c r="T8" s="202"/>
      <c r="U8" s="202"/>
      <c r="V8" s="202"/>
      <c r="W8" s="202"/>
      <c r="X8" s="202"/>
      <c r="Y8" s="203"/>
      <c r="Z8" s="137"/>
      <c r="AA8" s="204"/>
      <c r="AB8" s="205"/>
      <c r="AC8" s="205"/>
      <c r="AD8" s="205"/>
      <c r="AE8" s="205"/>
      <c r="AF8" s="205"/>
      <c r="AG8" s="206"/>
      <c r="AH8" s="137"/>
      <c r="AI8" s="207"/>
      <c r="AJ8" s="208"/>
      <c r="AK8" s="208"/>
      <c r="AL8" s="208"/>
      <c r="AM8" s="208"/>
      <c r="AN8" s="208"/>
      <c r="AO8" s="209"/>
      <c r="AP8" s="137"/>
      <c r="AQ8" s="210" t="s">
        <v>605</v>
      </c>
      <c r="AR8" s="211"/>
      <c r="AS8" s="211"/>
      <c r="AT8" s="211"/>
      <c r="AU8" s="211"/>
      <c r="AV8" s="211"/>
      <c r="AW8" s="212"/>
      <c r="AX8" s="137"/>
      <c r="AY8" s="142"/>
      <c r="AZ8" s="137"/>
      <c r="BA8" s="138"/>
      <c r="BB8" s="173" t="s">
        <v>48</v>
      </c>
      <c r="BC8" s="137"/>
      <c r="BD8" s="169" t="s">
        <v>33</v>
      </c>
      <c r="BE8" s="137"/>
      <c r="BF8" s="169" t="s">
        <v>34</v>
      </c>
      <c r="BG8" s="137"/>
      <c r="BH8" s="169" t="s">
        <v>35</v>
      </c>
      <c r="BI8" s="137"/>
      <c r="BJ8" s="165" t="s">
        <v>36</v>
      </c>
      <c r="BK8" s="137"/>
      <c r="BL8" s="171" t="s">
        <v>37</v>
      </c>
      <c r="BM8" s="142"/>
      <c r="BN8" s="137"/>
      <c r="BO8" s="216"/>
      <c r="BP8" s="217"/>
      <c r="BQ8" s="217"/>
      <c r="BR8" s="218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219"/>
      <c r="BP9" s="220"/>
      <c r="BQ9" s="220"/>
      <c r="BR9" s="221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8" t="s">
        <v>18</v>
      </c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199"/>
      <c r="AX12" s="199"/>
      <c r="AY12" s="142"/>
      <c r="AZ12" s="137"/>
      <c r="BA12" s="138"/>
      <c r="BB12" s="198" t="s">
        <v>19</v>
      </c>
      <c r="BC12" s="199"/>
      <c r="BD12" s="199"/>
      <c r="BE12" s="199"/>
      <c r="BF12" s="199"/>
      <c r="BG12" s="199"/>
      <c r="BH12" s="199"/>
      <c r="BI12" s="199"/>
      <c r="BJ12" s="199"/>
      <c r="BK12" s="199"/>
      <c r="BL12" s="199"/>
      <c r="BM12" s="199"/>
      <c r="BN12" s="199"/>
      <c r="BO12" s="199"/>
      <c r="BP12" s="199"/>
      <c r="BQ12" s="199"/>
      <c r="BR12" s="199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00" t="s">
        <v>659</v>
      </c>
      <c r="D14" s="196"/>
      <c r="E14" s="196"/>
      <c r="F14" s="196"/>
      <c r="G14" s="196"/>
      <c r="H14" s="196"/>
      <c r="I14" s="197"/>
      <c r="J14" s="137"/>
      <c r="K14" s="200" t="s">
        <v>540</v>
      </c>
      <c r="L14" s="196"/>
      <c r="M14" s="196"/>
      <c r="N14" s="196"/>
      <c r="O14" s="196"/>
      <c r="P14" s="196"/>
      <c r="Q14" s="197"/>
      <c r="R14" s="137"/>
      <c r="S14" s="200" t="s">
        <v>541</v>
      </c>
      <c r="T14" s="196"/>
      <c r="U14" s="196"/>
      <c r="V14" s="196"/>
      <c r="W14" s="196"/>
      <c r="X14" s="196"/>
      <c r="Y14" s="197"/>
      <c r="Z14" s="137"/>
      <c r="AA14" s="137"/>
      <c r="AB14" s="137"/>
      <c r="AC14" s="137"/>
      <c r="AD14" s="200" t="s">
        <v>547</v>
      </c>
      <c r="AE14" s="196"/>
      <c r="AF14" s="196"/>
      <c r="AG14" s="196"/>
      <c r="AH14" s="196"/>
      <c r="AI14" s="196"/>
      <c r="AJ14" s="197"/>
      <c r="AK14" s="137"/>
      <c r="AL14" s="137"/>
      <c r="AM14" s="137"/>
      <c r="AN14" s="137"/>
      <c r="AO14" s="137"/>
      <c r="AP14" s="200" t="s">
        <v>548</v>
      </c>
      <c r="AQ14" s="196"/>
      <c r="AR14" s="196"/>
      <c r="AS14" s="196"/>
      <c r="AT14" s="196"/>
      <c r="AU14" s="196"/>
      <c r="AV14" s="197"/>
      <c r="AW14" s="137"/>
      <c r="AX14" s="137"/>
      <c r="AY14" s="142"/>
      <c r="AZ14" s="137"/>
      <c r="BA14" s="138"/>
      <c r="BB14" s="173" t="s">
        <v>265</v>
      </c>
      <c r="BC14" s="137"/>
      <c r="BD14" s="166" t="s">
        <v>22</v>
      </c>
      <c r="BE14" s="137"/>
      <c r="BF14" s="166" t="s">
        <v>20</v>
      </c>
      <c r="BG14" s="137"/>
      <c r="BH14" s="166" t="s">
        <v>23</v>
      </c>
      <c r="BI14" s="137"/>
      <c r="BJ14" s="166" t="s">
        <v>24</v>
      </c>
      <c r="BK14" s="137"/>
      <c r="BL14" s="166" t="s">
        <v>21</v>
      </c>
      <c r="BM14" s="137"/>
      <c r="BN14" s="173" t="s">
        <v>222</v>
      </c>
      <c r="BO14" s="137"/>
      <c r="BP14" s="170" t="s">
        <v>25</v>
      </c>
      <c r="BQ14" s="137"/>
      <c r="BR14" s="170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200" t="s">
        <v>542</v>
      </c>
      <c r="H16" s="196"/>
      <c r="I16" s="196"/>
      <c r="J16" s="196"/>
      <c r="K16" s="196"/>
      <c r="L16" s="196"/>
      <c r="M16" s="197"/>
      <c r="N16" s="137"/>
      <c r="O16" s="200" t="s">
        <v>543</v>
      </c>
      <c r="P16" s="196"/>
      <c r="Q16" s="196"/>
      <c r="R16" s="196"/>
      <c r="S16" s="196"/>
      <c r="T16" s="196"/>
      <c r="U16" s="19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200" t="s">
        <v>550</v>
      </c>
      <c r="AG16" s="196"/>
      <c r="AH16" s="196"/>
      <c r="AI16" s="196"/>
      <c r="AJ16" s="196"/>
      <c r="AK16" s="196"/>
      <c r="AL16" s="197"/>
      <c r="AM16" s="137"/>
      <c r="AN16" s="200" t="s">
        <v>551</v>
      </c>
      <c r="AO16" s="196"/>
      <c r="AP16" s="196"/>
      <c r="AQ16" s="196"/>
      <c r="AR16" s="196"/>
      <c r="AS16" s="196"/>
      <c r="AT16" s="197"/>
      <c r="AU16" s="137"/>
      <c r="AV16" s="137"/>
      <c r="AW16" s="137"/>
      <c r="AX16" s="137"/>
      <c r="AY16" s="142"/>
      <c r="AZ16" s="137"/>
      <c r="BA16" s="138"/>
      <c r="BB16" s="173" t="s">
        <v>221</v>
      </c>
      <c r="BC16" s="137"/>
      <c r="BD16" s="170" t="s">
        <v>25</v>
      </c>
      <c r="BE16" s="137"/>
      <c r="BF16" s="170" t="s">
        <v>26</v>
      </c>
      <c r="BG16" s="137"/>
      <c r="BH16" s="166" t="s">
        <v>45</v>
      </c>
      <c r="BI16" s="137"/>
      <c r="BJ16" s="137"/>
      <c r="BK16" s="137"/>
      <c r="BL16" s="173" t="s">
        <v>402</v>
      </c>
      <c r="BM16" s="137"/>
      <c r="BN16" s="167" t="s">
        <v>243</v>
      </c>
      <c r="BO16" s="137"/>
      <c r="BP16" s="167" t="s">
        <v>400</v>
      </c>
      <c r="BQ16" s="137"/>
      <c r="BR16" s="167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00" t="s">
        <v>544</v>
      </c>
      <c r="D18" s="196"/>
      <c r="E18" s="196"/>
      <c r="F18" s="196"/>
      <c r="G18" s="196"/>
      <c r="H18" s="196"/>
      <c r="I18" s="197"/>
      <c r="J18" s="137"/>
      <c r="K18" s="200" t="s">
        <v>546</v>
      </c>
      <c r="L18" s="196"/>
      <c r="M18" s="196"/>
      <c r="N18" s="196"/>
      <c r="O18" s="196"/>
      <c r="P18" s="196"/>
      <c r="Q18" s="197"/>
      <c r="R18" s="137"/>
      <c r="S18" s="200" t="s">
        <v>545</v>
      </c>
      <c r="T18" s="196"/>
      <c r="U18" s="196"/>
      <c r="V18" s="196"/>
      <c r="W18" s="196"/>
      <c r="X18" s="196"/>
      <c r="Y18" s="197"/>
      <c r="Z18" s="137"/>
      <c r="AA18" s="137"/>
      <c r="AB18" s="200" t="s">
        <v>549</v>
      </c>
      <c r="AC18" s="196"/>
      <c r="AD18" s="196"/>
      <c r="AE18" s="196"/>
      <c r="AF18" s="196"/>
      <c r="AG18" s="196"/>
      <c r="AH18" s="197"/>
      <c r="AI18" s="137"/>
      <c r="AJ18" s="200" t="s">
        <v>553</v>
      </c>
      <c r="AK18" s="196"/>
      <c r="AL18" s="196"/>
      <c r="AM18" s="196"/>
      <c r="AN18" s="196"/>
      <c r="AO18" s="196"/>
      <c r="AP18" s="197"/>
      <c r="AQ18" s="137"/>
      <c r="AR18" s="200" t="s">
        <v>552</v>
      </c>
      <c r="AS18" s="196"/>
      <c r="AT18" s="196"/>
      <c r="AU18" s="196"/>
      <c r="AV18" s="196"/>
      <c r="AW18" s="196"/>
      <c r="AX18" s="197"/>
      <c r="AY18" s="142"/>
      <c r="AZ18" s="137"/>
      <c r="BA18" s="138"/>
      <c r="BB18" s="173" t="s">
        <v>125</v>
      </c>
      <c r="BC18" s="137"/>
      <c r="BD18" s="170" t="s">
        <v>126</v>
      </c>
      <c r="BE18" s="137"/>
      <c r="BF18" s="170" t="s">
        <v>127</v>
      </c>
      <c r="BG18" s="137"/>
      <c r="BH18" s="170" t="s">
        <v>128</v>
      </c>
      <c r="BI18" s="137"/>
      <c r="BJ18" s="170" t="s">
        <v>129</v>
      </c>
      <c r="BK18" s="137"/>
      <c r="BL18" s="166" t="s">
        <v>10</v>
      </c>
      <c r="BM18" s="137"/>
      <c r="BN18" s="166" t="s">
        <v>27</v>
      </c>
      <c r="BO18" s="137"/>
      <c r="BP18" s="166" t="s">
        <v>218</v>
      </c>
      <c r="BQ18" s="137"/>
      <c r="BR18" s="166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195" t="s">
        <v>42</v>
      </c>
      <c r="L20" s="196"/>
      <c r="M20" s="196"/>
      <c r="N20" s="196"/>
      <c r="O20" s="196"/>
      <c r="P20" s="196"/>
      <c r="Q20" s="197"/>
      <c r="R20" s="137"/>
      <c r="S20" s="195" t="s">
        <v>153</v>
      </c>
      <c r="T20" s="196"/>
      <c r="U20" s="196"/>
      <c r="V20" s="196"/>
      <c r="W20" s="196"/>
      <c r="X20" s="196"/>
      <c r="Y20" s="197"/>
      <c r="Z20" s="137"/>
      <c r="AA20" s="137"/>
      <c r="AB20" s="195" t="s">
        <v>169</v>
      </c>
      <c r="AC20" s="196"/>
      <c r="AD20" s="196"/>
      <c r="AE20" s="196"/>
      <c r="AF20" s="196"/>
      <c r="AG20" s="196"/>
      <c r="AH20" s="197"/>
      <c r="AI20" s="137"/>
      <c r="AJ20" s="195" t="s">
        <v>32</v>
      </c>
      <c r="AK20" s="196"/>
      <c r="AL20" s="196"/>
      <c r="AM20" s="196"/>
      <c r="AN20" s="196"/>
      <c r="AO20" s="196"/>
      <c r="AP20" s="197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73" t="s">
        <v>65</v>
      </c>
      <c r="BC20" s="137"/>
      <c r="BD20" s="168" t="s">
        <v>157</v>
      </c>
      <c r="BE20" s="137"/>
      <c r="BF20" s="168" t="s">
        <v>158</v>
      </c>
      <c r="BG20" s="137"/>
      <c r="BH20" s="137"/>
      <c r="BI20" s="137"/>
      <c r="BJ20" s="173" t="s">
        <v>504</v>
      </c>
      <c r="BK20" s="137"/>
      <c r="BL20" s="168" t="s">
        <v>157</v>
      </c>
      <c r="BM20" s="137"/>
      <c r="BN20" s="168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198" t="s">
        <v>40</v>
      </c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25" t="s">
        <v>41</v>
      </c>
      <c r="D26" s="199"/>
      <c r="E26" s="199"/>
      <c r="F26" s="199"/>
      <c r="G26" s="199"/>
      <c r="H26" s="199"/>
      <c r="I26" s="199"/>
      <c r="J26" s="199"/>
      <c r="K26" s="199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26">
        <v>3.3638292141203702E-2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7"/>
      <c r="Q28" s="137"/>
      <c r="R28" s="227" t="s">
        <v>12</v>
      </c>
      <c r="S28" s="228"/>
      <c r="T28" s="228"/>
      <c r="U28" s="228"/>
      <c r="V28" s="228"/>
      <c r="W28" s="228"/>
      <c r="X28" s="229"/>
      <c r="Y28" s="137"/>
      <c r="Z28" s="227" t="s">
        <v>11</v>
      </c>
      <c r="AA28" s="228"/>
      <c r="AB28" s="228"/>
      <c r="AC28" s="228"/>
      <c r="AD28" s="228"/>
      <c r="AE28" s="228"/>
      <c r="AF28" s="229"/>
      <c r="AG28" s="137"/>
      <c r="AH28" s="227" t="s">
        <v>118</v>
      </c>
      <c r="AI28" s="228"/>
      <c r="AJ28" s="228"/>
      <c r="AK28" s="228"/>
      <c r="AL28" s="228"/>
      <c r="AM28" s="228"/>
      <c r="AN28" s="229"/>
      <c r="AO28" s="137"/>
      <c r="AP28" s="190" t="s">
        <v>13</v>
      </c>
      <c r="AQ28" s="191"/>
      <c r="AR28" s="191"/>
      <c r="AS28" s="191"/>
      <c r="AT28" s="191"/>
      <c r="AU28" s="191"/>
      <c r="AV28" s="192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43" sqref="C43"/>
    </sheetView>
    <sheetView tabSelected="1" workbookViewId="1">
      <selection activeCell="E4" sqref="A2:Q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79"/>
      <c r="J2"/>
      <c r="K2"/>
      <c r="L2" s="178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ErrorMessage="1" sqref="B2" xr:uid="{99ED57F7-07BE-574F-8954-D70313A6B7A4}">
      <formula1>LISTE_MT_JOURNAL</formula1>
    </dataValidation>
    <dataValidation type="list" allowBlank="1" showErrorMessage="1" sqref="C2" xr:uid="{A68A4B2A-F307-7F47-B3C2-F39947CC1B51}">
      <formula1>LISTE_JOUEURS_JOURNAL</formula1>
    </dataValidation>
    <dataValidation type="list" allowBlank="1" showErrorMessage="1" sqref="E2" xr:uid="{D98F28F0-89F9-6C40-A6EA-33FF1F05ECA0}">
      <formula1>LISTE_ACTIONS_JOURNAL</formula1>
    </dataValidation>
    <dataValidation type="list" allowBlank="1" showErrorMessage="1" sqref="G2" xr:uid="{41BFB8D4-5D85-C246-AE70-EA18EA1AC04B}">
      <formula1>LISTE_EQUIPES_JOURNAL</formula1>
    </dataValidation>
    <dataValidation type="list" allowBlank="1" showErrorMessage="1" sqref="F2" xr:uid="{3CF461DA-0EB6-BD48-8285-94153C58FD6C}">
      <formula1>LISTE_MOTIFS_PENALITE</formula1>
    </dataValidation>
    <dataValidation type="list" allowBlank="1" showInputMessage="1" showErrorMessage="1" sqref="D2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8"/>
  <sheetViews>
    <sheetView topLeftCell="A95" workbookViewId="0">
      <selection activeCell="D109" sqref="D10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3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5"/>
    </row>
    <row r="4" spans="2:37" s="3" customFormat="1" ht="20" customHeight="1">
      <c r="B4" s="246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8"/>
    </row>
    <row r="5" spans="2:37" s="3" customFormat="1"/>
    <row r="6" spans="2:37" ht="14" customHeight="1">
      <c r="B6" s="253" t="s">
        <v>14</v>
      </c>
      <c r="C6" s="255" t="str">
        <f>ACT_PL_NORMAL</f>
        <v>Plaquage normal</v>
      </c>
      <c r="D6" s="250"/>
      <c r="E6" s="255" t="str">
        <f>ACT_PL_OFF</f>
        <v>Plaquage offensif</v>
      </c>
      <c r="F6" s="250"/>
      <c r="G6" s="255" t="str">
        <f>ACT_PL_RATE</f>
        <v>Plaquage raté</v>
      </c>
      <c r="H6" s="250"/>
      <c r="I6" s="255" t="str">
        <f>ACT_PL_A2</f>
        <v>Plaquage à 2</v>
      </c>
      <c r="J6" s="249"/>
      <c r="K6" s="249" t="str">
        <f>ACT_PL_HAUT</f>
        <v>Plaquage haut</v>
      </c>
      <c r="L6" s="250"/>
      <c r="M6" s="249" t="s">
        <v>10</v>
      </c>
      <c r="N6" s="250"/>
      <c r="O6" s="249" t="str">
        <f>ACT_FRANCHISSEMENT</f>
        <v>Franchissement</v>
      </c>
      <c r="P6" s="250"/>
      <c r="Q6" s="249" t="str">
        <f>ACT_AVANCEE</f>
        <v>Avancée au contact</v>
      </c>
      <c r="R6" s="250"/>
      <c r="S6" s="249" t="str">
        <f>ACT_ATT_NULLE</f>
        <v>Recul ou sans progression</v>
      </c>
      <c r="T6" s="250"/>
      <c r="U6" s="282" t="s">
        <v>231</v>
      </c>
      <c r="V6" s="283"/>
      <c r="W6" s="283"/>
      <c r="X6" s="283"/>
      <c r="Y6" s="283"/>
      <c r="Z6" s="284"/>
      <c r="AF6"/>
      <c r="AG6"/>
    </row>
    <row r="7" spans="2:37" ht="13" customHeight="1">
      <c r="B7" s="254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176</v>
      </c>
      <c r="C34" s="53">
        <f>SUM(C8:C33)</f>
        <v>0</v>
      </c>
      <c r="D34" s="54">
        <f>SUM(D8:D33)</f>
        <v>0</v>
      </c>
      <c r="E34" s="53">
        <f t="shared" ref="E34:Z34" si="0">SUM(E8:E33)</f>
        <v>0</v>
      </c>
      <c r="F34" s="54">
        <f t="shared" si="0"/>
        <v>0</v>
      </c>
      <c r="G34" s="53">
        <f t="shared" si="0"/>
        <v>0</v>
      </c>
      <c r="H34" s="54">
        <f t="shared" si="0"/>
        <v>0</v>
      </c>
      <c r="I34" s="53">
        <f t="shared" si="0"/>
        <v>0</v>
      </c>
      <c r="J34" s="54">
        <f t="shared" si="0"/>
        <v>0</v>
      </c>
      <c r="K34" s="53">
        <f t="shared" si="0"/>
        <v>0</v>
      </c>
      <c r="L34" s="54">
        <f t="shared" si="0"/>
        <v>0</v>
      </c>
      <c r="M34" s="53">
        <f t="shared" si="0"/>
        <v>0</v>
      </c>
      <c r="N34" s="54">
        <f t="shared" si="0"/>
        <v>0</v>
      </c>
      <c r="O34" s="53">
        <f t="shared" ref="O34:P34" si="1">SUM(O8:O33)</f>
        <v>0</v>
      </c>
      <c r="P34" s="54">
        <f t="shared" si="1"/>
        <v>0</v>
      </c>
      <c r="Q34" s="53">
        <f t="shared" ref="Q34:T34" si="2">SUM(Q8:Q33)</f>
        <v>0</v>
      </c>
      <c r="R34" s="54">
        <f t="shared" si="2"/>
        <v>0</v>
      </c>
      <c r="S34" s="53">
        <f t="shared" si="2"/>
        <v>0</v>
      </c>
      <c r="T34" s="54">
        <f t="shared" si="2"/>
        <v>0</v>
      </c>
      <c r="U34" s="285">
        <f t="shared" si="0"/>
        <v>0</v>
      </c>
      <c r="V34" s="285">
        <f t="shared" si="0"/>
        <v>0</v>
      </c>
      <c r="W34" s="285">
        <f t="shared" si="0"/>
        <v>0</v>
      </c>
      <c r="X34" s="285">
        <f t="shared" si="0"/>
        <v>0</v>
      </c>
      <c r="Y34" s="285">
        <f t="shared" si="0"/>
        <v>0</v>
      </c>
      <c r="Z34" s="285">
        <f t="shared" si="0"/>
        <v>0</v>
      </c>
    </row>
    <row r="35" spans="2:33" s="41" customFormat="1" ht="25" customHeight="1">
      <c r="B35" s="55" t="s">
        <v>175</v>
      </c>
      <c r="C35" s="260">
        <f>C34+D34</f>
        <v>0</v>
      </c>
      <c r="D35" s="252"/>
      <c r="E35" s="251">
        <f t="shared" ref="E35" si="3">E34+F34</f>
        <v>0</v>
      </c>
      <c r="F35" s="251"/>
      <c r="G35" s="260">
        <f t="shared" ref="G35" si="4">G34+H34</f>
        <v>0</v>
      </c>
      <c r="H35" s="252"/>
      <c r="I35" s="260">
        <f>I34+J34</f>
        <v>0</v>
      </c>
      <c r="J35" s="252"/>
      <c r="K35" s="260">
        <f t="shared" ref="K35" si="5">K34+L34</f>
        <v>0</v>
      </c>
      <c r="L35" s="252"/>
      <c r="M35" s="251">
        <f t="shared" ref="M35" si="6">M34+N34</f>
        <v>0</v>
      </c>
      <c r="N35" s="252"/>
      <c r="O35" s="251">
        <f t="shared" ref="O35" si="7">O34+P34</f>
        <v>0</v>
      </c>
      <c r="P35" s="252"/>
      <c r="Q35" s="251">
        <f t="shared" ref="Q35" si="8">Q34+R34</f>
        <v>0</v>
      </c>
      <c r="R35" s="252"/>
      <c r="S35" s="251">
        <f t="shared" ref="S35" si="9">S34+T34</f>
        <v>0</v>
      </c>
      <c r="T35" s="252"/>
      <c r="U35" s="286"/>
      <c r="V35" s="286"/>
      <c r="W35" s="286"/>
      <c r="X35" s="286"/>
      <c r="Y35" s="286"/>
      <c r="Z35" s="286"/>
    </row>
    <row r="36" spans="2:33" s="3" customFormat="1"/>
    <row r="37" spans="2:33" s="3" customFormat="1"/>
    <row r="38" spans="2:33" ht="14">
      <c r="B38" s="56" t="s">
        <v>145</v>
      </c>
      <c r="C38" s="56" t="s">
        <v>210</v>
      </c>
      <c r="D38" s="106" t="s">
        <v>144</v>
      </c>
      <c r="E38" s="57" t="s">
        <v>473</v>
      </c>
      <c r="F38" s="3"/>
      <c r="G38" s="56" t="s">
        <v>620</v>
      </c>
      <c r="H38" s="149" t="s">
        <v>46</v>
      </c>
      <c r="I38" s="48" t="s">
        <v>44</v>
      </c>
      <c r="J38" s="3"/>
      <c r="K38" s="3"/>
      <c r="L38" s="255" t="s">
        <v>28</v>
      </c>
      <c r="M38" s="255" t="s">
        <v>147</v>
      </c>
      <c r="N38" s="249"/>
      <c r="O38" s="250"/>
      <c r="P38" s="250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0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147</v>
      </c>
      <c r="H39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9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9" s="3"/>
      <c r="K39" s="3"/>
      <c r="L39" s="280"/>
      <c r="M39" s="70" t="s">
        <v>153</v>
      </c>
      <c r="N39" s="66" t="s">
        <v>170</v>
      </c>
      <c r="O39" s="71" t="s">
        <v>32</v>
      </c>
      <c r="P39" s="281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0</v>
      </c>
      <c r="D40" s="105">
        <f>COUNTIFS(JournalActions[Action],ACT_TO_ADV_VOLEE,JournalActions[Mi-temps],"MT1")</f>
        <v>0</v>
      </c>
      <c r="E40" s="12">
        <f>COUNTIFS(JournalActions[Action],ACT_TO_ADV_PAS_DROIT,JournalActions[Mi-temps],"MT1")</f>
        <v>0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0</v>
      </c>
      <c r="N40" s="29">
        <f>COUNTIFS(JournalActions[Action],ACT_PEN_CONTRE_NOUS,JournalActions[Mi-temps],"MT1",JournalActions[Groupe fautif],"Trois-quarts*")</f>
        <v>0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0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0</v>
      </c>
      <c r="N41" s="12">
        <f>COUNTIFS(JournalActions[Action],ACT_PEN_CONTRE_NOUS,JournalActions[Mi-temps],"MT2",JournalActions[Groupe fautif],"Trois-quarts*")</f>
        <v>0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0</v>
      </c>
      <c r="Q41" s="3"/>
      <c r="R41" s="3"/>
      <c r="S41" s="3"/>
      <c r="T41" s="3"/>
      <c r="AE41"/>
      <c r="AF41"/>
      <c r="AG41"/>
    </row>
    <row r="42" spans="2:33" ht="14">
      <c r="B42" s="56" t="s">
        <v>146</v>
      </c>
      <c r="C42" s="56" t="s">
        <v>210</v>
      </c>
      <c r="D42" s="106" t="s">
        <v>144</v>
      </c>
      <c r="E42" s="57" t="s">
        <v>473</v>
      </c>
      <c r="F42" s="3"/>
      <c r="G42" s="255" t="s">
        <v>149</v>
      </c>
      <c r="H42" s="250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0</v>
      </c>
      <c r="D43" s="104">
        <f>COUNTIFS(JournalActions[Action],ACT_TO_NS_P,JournalActions[Mi-temps],"MT2")</f>
        <v>0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3" s="3"/>
      <c r="J43" s="3"/>
      <c r="K43" s="3"/>
      <c r="L43" s="58" t="s">
        <v>0</v>
      </c>
      <c r="M43" s="59"/>
      <c r="N43" s="60" t="s">
        <v>147</v>
      </c>
      <c r="O43" s="48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0</v>
      </c>
      <c r="D44" s="105">
        <f>COUNTIFS(JournalActions[Action],ACT_TO_ADV_VOLEE,JournalActions[Mi-temps],"MT2")</f>
        <v>0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4" s="3"/>
      <c r="J44" s="3"/>
      <c r="K44" s="3"/>
      <c r="L44" s="267" t="s">
        <v>1</v>
      </c>
      <c r="M44" s="268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0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65" t="s">
        <v>2</v>
      </c>
      <c r="M45" s="266"/>
      <c r="N45" s="13">
        <f>COUNTIFS(JournalActions[Action],ACT_PEN_CONTRE_NOUS,JournalActions[Motif penalite],"Ruck*")</f>
        <v>0</v>
      </c>
      <c r="O45" s="13">
        <f>COUNTIFS(JournalActions[Action],ACT_PEN_CONTRE_ADV,JournalActions[Motif penalite],"Ruck*")</f>
        <v>0</v>
      </c>
      <c r="P45" s="3"/>
      <c r="Q45" s="3"/>
      <c r="R45" s="3"/>
      <c r="S45" s="3"/>
      <c r="T45" s="3"/>
    </row>
    <row r="46" spans="2:33" ht="14">
      <c r="B46" s="56" t="s">
        <v>232</v>
      </c>
      <c r="C46" s="56" t="s">
        <v>210</v>
      </c>
      <c r="D46" s="57" t="s">
        <v>144</v>
      </c>
      <c r="E46" s="3"/>
      <c r="F46" s="3"/>
      <c r="G46" s="149" t="s">
        <v>574</v>
      </c>
      <c r="H46" s="153" t="s">
        <v>47</v>
      </c>
      <c r="I46" s="148" t="s">
        <v>575</v>
      </c>
      <c r="J46" s="155" t="s">
        <v>236</v>
      </c>
      <c r="K46" s="3"/>
      <c r="L46" s="267" t="s">
        <v>3</v>
      </c>
      <c r="M46" s="268"/>
      <c r="N46" s="38">
        <f>COUNTIFS(JournalActions[Action],ACT_PEN_CONTRE_NOUS,JournalActions[Motif penalite],"Hors-jeu")</f>
        <v>0</v>
      </c>
      <c r="O46" s="38">
        <f>COUNTIFS(JournalActions[Action],ACT_PEN_CONTRE_ADV,JournalActions[Motif penalite],"Hors-jeu")</f>
        <v>0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0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50">
        <v>0</v>
      </c>
      <c r="I47" s="77">
        <v>0</v>
      </c>
      <c r="J47" s="77">
        <v>0</v>
      </c>
      <c r="K47" s="3"/>
      <c r="L47" s="265" t="s">
        <v>4</v>
      </c>
      <c r="M47" s="266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0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51">
        <v>0</v>
      </c>
      <c r="I48" s="78">
        <v>0</v>
      </c>
      <c r="J48" s="78">
        <v>0</v>
      </c>
      <c r="K48" s="3"/>
      <c r="L48" s="267" t="s">
        <v>5</v>
      </c>
      <c r="M48" s="268"/>
      <c r="N48" s="38">
        <f>COUNTIFS(JournalActions[Action],ACT_PEN_CONTRE_NOUS,JournalActions[Motif penalite],"Plaquage - haut")</f>
        <v>0</v>
      </c>
      <c r="O48" s="38">
        <f>COUNTIFS(JournalActions[Action],ACT_PEN_CONTRE_ADV,JournalActions[Motif penalite],"Plaquage - haut")</f>
        <v>0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4" t="s">
        <v>236</v>
      </c>
      <c r="H49" s="152">
        <v>0</v>
      </c>
      <c r="I49" s="79">
        <v>0</v>
      </c>
      <c r="J49" s="79">
        <v>0</v>
      </c>
      <c r="K49" s="3"/>
      <c r="L49" s="265" t="s">
        <v>167</v>
      </c>
      <c r="M49" s="266"/>
      <c r="N49" s="13">
        <f>COUNTIF(JournalActions[Action],ACT_PEN_CONTRE_NOUS)-SUM(N44:N48)</f>
        <v>0</v>
      </c>
      <c r="O49" s="13">
        <f>COUNTIF(JournalActions[Action],ACT_PEN_CONTRE_ADV)-SUM(O44:O48)</f>
        <v>0</v>
      </c>
      <c r="P49" s="3"/>
      <c r="Q49" s="3"/>
      <c r="R49" s="3"/>
      <c r="S49" s="3"/>
      <c r="T49" s="3"/>
    </row>
    <row r="50" spans="2:20" ht="14">
      <c r="B50" s="56" t="s">
        <v>233</v>
      </c>
      <c r="C50" s="56" t="s">
        <v>210</v>
      </c>
      <c r="D50" s="57" t="s">
        <v>144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0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43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8" s="244"/>
      <c r="D58" s="244"/>
      <c r="E58" s="244"/>
      <c r="F58" s="244"/>
      <c r="G58" s="244"/>
      <c r="H58" s="244"/>
      <c r="I58" s="244"/>
      <c r="J58" s="244"/>
      <c r="K58" s="245"/>
      <c r="L58" s="124"/>
      <c r="M58" s="124"/>
      <c r="N58" s="124"/>
      <c r="O58" s="124"/>
      <c r="P58" s="124"/>
      <c r="Q58" s="124"/>
      <c r="R58" s="124"/>
      <c r="S58" s="124"/>
      <c r="T58" s="124"/>
    </row>
    <row r="59" spans="2:20" s="3" customFormat="1" ht="13" customHeight="1">
      <c r="B59" s="246"/>
      <c r="C59" s="247"/>
      <c r="D59" s="247"/>
      <c r="E59" s="247"/>
      <c r="F59" s="247"/>
      <c r="G59" s="247"/>
      <c r="H59" s="247"/>
      <c r="I59" s="247"/>
      <c r="J59" s="247"/>
      <c r="K59" s="248"/>
      <c r="L59" s="124"/>
      <c r="M59" s="124"/>
      <c r="N59" s="124"/>
      <c r="O59" s="124"/>
      <c r="P59" s="124"/>
      <c r="Q59" s="124"/>
      <c r="R59" s="124"/>
      <c r="S59" s="124"/>
      <c r="T59" s="124"/>
    </row>
    <row r="60" spans="2:20" s="3" customFormat="1" ht="14" thickBot="1"/>
    <row r="61" spans="2:20" s="3" customFormat="1">
      <c r="B61" s="269" t="s">
        <v>234</v>
      </c>
      <c r="C61" s="270"/>
      <c r="D61" s="270"/>
      <c r="E61" s="270"/>
      <c r="F61" s="270"/>
      <c r="G61" s="270"/>
      <c r="H61" s="270"/>
      <c r="I61" s="270"/>
      <c r="J61" s="270"/>
      <c r="K61" s="271"/>
    </row>
    <row r="62" spans="2:20" s="3" customFormat="1">
      <c r="B62" s="272"/>
      <c r="C62" s="273"/>
      <c r="D62" s="273"/>
      <c r="E62" s="273"/>
      <c r="F62" s="273"/>
      <c r="G62" s="273"/>
      <c r="H62" s="273"/>
      <c r="I62" s="273"/>
      <c r="J62" s="273"/>
      <c r="K62" s="274"/>
    </row>
    <row r="63" spans="2:20" s="3" customFormat="1" ht="14" thickBot="1">
      <c r="B63" s="275"/>
      <c r="C63" s="276"/>
      <c r="D63" s="276"/>
      <c r="E63" s="276"/>
      <c r="F63" s="276"/>
      <c r="G63" s="276"/>
      <c r="H63" s="276"/>
      <c r="I63" s="276"/>
      <c r="J63" s="276"/>
      <c r="K63" s="277"/>
    </row>
    <row r="64" spans="2:20" s="3" customFormat="1"/>
    <row r="65" spans="2:11" s="3" customFormat="1" ht="14">
      <c r="B65" s="253" t="s">
        <v>14</v>
      </c>
      <c r="C65" s="255" t="str">
        <f>ACT_TO_NS_G</f>
        <v>Touche à nous conservée</v>
      </c>
      <c r="D65" s="250"/>
      <c r="E65" s="255" t="str">
        <f>ACT_TO_ADV_VOLEE</f>
        <v>Touche à eux volée</v>
      </c>
      <c r="F65" s="250"/>
      <c r="H65" s="278" t="str">
        <f>ACT_TO_NS_P</f>
        <v>Touche à nous perdue</v>
      </c>
      <c r="I65" s="279"/>
      <c r="J65" s="278" t="str">
        <f>ACT_TO_NS_PAS_DROIT</f>
        <v>Touche à nous pas droite</v>
      </c>
      <c r="K65" s="279"/>
    </row>
    <row r="66" spans="2:11" s="3" customFormat="1" ht="14">
      <c r="B66" s="254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:B88">IFERROR(_xlfn._xlws.SORT(_xlfn._xlws.FILTER(COMPO[Nom du joueur],(COMPO[Nom du joueur]&lt;&gt;"")*(COMPO[Nom du joueur]&lt;&gt;"Collectif")*(COMPO[Nom du joueur]&lt;&gt;"?"))),"")</f>
        <v>ABADIE Emeric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ABADIE Quentin</v>
      </c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ABADIE Thomas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BARATGIN Julian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BAUP Bastien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BIFFI Pierre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BOURREC Anthony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CESCA Sacha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COURREGES Romain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DALLA ROSA Jonah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DUTREY Thomas</v>
      </c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GALLINARO Pierrick</v>
      </c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JOUNAUX Joris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KAPFER Bastien</v>
      </c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LAUDET Jean Baptiste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LOUREIRO LABAZUY Antonio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MOUDENS Alexis</v>
      </c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MULLIER Victor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RICHIARDONNE Gregory</v>
      </c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 t="str">
        <v>SALLES Fabien</v>
      </c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 t="str">
        <v>SOUVILLE Quentin</v>
      </c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 t="str">
        <v>STEFANI Titouan</v>
      </c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176</v>
      </c>
      <c r="C91" s="53">
        <f>SUM(C67:C90)</f>
        <v>0</v>
      </c>
      <c r="D91" s="54">
        <f t="shared" ref="D91" si="10">SUM(D67:D90)</f>
        <v>0</v>
      </c>
      <c r="E91" s="53">
        <f>SUM(E67:E90)</f>
        <v>0</v>
      </c>
      <c r="F91" s="54">
        <f t="shared" ref="F91" si="11">SUM(F67:F90)</f>
        <v>0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175</v>
      </c>
      <c r="C92" s="260">
        <f>C91+D91</f>
        <v>0</v>
      </c>
      <c r="D92" s="252"/>
      <c r="E92" s="260">
        <f>E91+F91</f>
        <v>0</v>
      </c>
      <c r="F92" s="252"/>
      <c r="H92" s="261">
        <f>H91+I91</f>
        <v>0</v>
      </c>
      <c r="I92" s="262"/>
      <c r="J92" s="261">
        <f>J91+K91</f>
        <v>0</v>
      </c>
      <c r="K92" s="262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5" t="s">
        <v>389</v>
      </c>
      <c r="C96" s="126" t="s">
        <v>47</v>
      </c>
      <c r="D96" s="127" t="s">
        <v>113</v>
      </c>
      <c r="F96" s="263" t="s">
        <v>390</v>
      </c>
      <c r="G96" s="264"/>
      <c r="H96" s="126" t="s">
        <v>46</v>
      </c>
      <c r="I96" s="126" t="s">
        <v>44</v>
      </c>
      <c r="J96" s="133" t="s">
        <v>236</v>
      </c>
    </row>
    <row r="97" spans="2:10" s="3" customFormat="1" ht="16">
      <c r="B97" s="128" t="s">
        <v>237</v>
      </c>
      <c r="C97" s="81">
        <v>0</v>
      </c>
      <c r="D97" s="129">
        <v>0</v>
      </c>
      <c r="F97" s="258" t="s">
        <v>237</v>
      </c>
      <c r="G97" s="259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58" t="s">
        <v>238</v>
      </c>
      <c r="G98" s="259"/>
      <c r="H98" s="81">
        <v>0</v>
      </c>
      <c r="I98" s="81">
        <v>0</v>
      </c>
      <c r="J98" s="134">
        <v>0</v>
      </c>
    </row>
    <row r="99" spans="2:10" s="3" customFormat="1" ht="16">
      <c r="B99" s="128" t="s">
        <v>239</v>
      </c>
      <c r="C99" s="81">
        <v>0</v>
      </c>
      <c r="D99" s="129">
        <v>0</v>
      </c>
      <c r="F99" s="258" t="s">
        <v>239</v>
      </c>
      <c r="G99" s="259"/>
      <c r="H99" s="81">
        <v>0</v>
      </c>
      <c r="I99" s="81">
        <v>0</v>
      </c>
      <c r="J99" s="134">
        <v>0</v>
      </c>
    </row>
    <row r="100" spans="2:10" s="3" customFormat="1" ht="16">
      <c r="B100" s="128" t="s">
        <v>240</v>
      </c>
      <c r="C100" s="81">
        <v>0</v>
      </c>
      <c r="D100" s="129">
        <v>0</v>
      </c>
      <c r="F100" s="258" t="s">
        <v>240</v>
      </c>
      <c r="G100" s="259"/>
      <c r="H100" s="81">
        <v>0</v>
      </c>
      <c r="I100" s="81">
        <v>0</v>
      </c>
      <c r="J100" s="134">
        <v>0</v>
      </c>
    </row>
    <row r="101" spans="2:10" s="3" customFormat="1" ht="17" thickBot="1">
      <c r="B101" s="130" t="s">
        <v>241</v>
      </c>
      <c r="C101" s="131">
        <v>0</v>
      </c>
      <c r="D101" s="132">
        <v>0</v>
      </c>
      <c r="F101" s="258" t="s">
        <v>391</v>
      </c>
      <c r="G101" s="259"/>
      <c r="H101" s="81">
        <v>0</v>
      </c>
      <c r="I101" s="81">
        <v>0</v>
      </c>
      <c r="J101" s="134">
        <v>0</v>
      </c>
    </row>
    <row r="102" spans="2:10" s="3" customFormat="1" ht="16">
      <c r="F102" s="258" t="s">
        <v>392</v>
      </c>
      <c r="G102" s="259"/>
      <c r="H102" s="81">
        <v>0</v>
      </c>
      <c r="I102" s="81">
        <v>0</v>
      </c>
      <c r="J102" s="134">
        <v>0</v>
      </c>
    </row>
    <row r="103" spans="2:10" s="3" customFormat="1" ht="16">
      <c r="F103" s="258" t="s">
        <v>393</v>
      </c>
      <c r="G103" s="259"/>
      <c r="H103" s="81">
        <v>0</v>
      </c>
      <c r="I103" s="81">
        <v>0</v>
      </c>
      <c r="J103" s="134">
        <v>0</v>
      </c>
    </row>
    <row r="104" spans="2:10" s="3" customFormat="1" ht="17" thickBot="1">
      <c r="F104" s="256" t="s">
        <v>394</v>
      </c>
      <c r="G104" s="257"/>
      <c r="H104" s="131">
        <v>0</v>
      </c>
      <c r="I104" s="131">
        <v>0</v>
      </c>
      <c r="J104" s="135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F97:G97"/>
    <mergeCell ref="F98:G98"/>
    <mergeCell ref="C92:D92"/>
    <mergeCell ref="E92:F92"/>
    <mergeCell ref="H92:I92"/>
    <mergeCell ref="F96:G96"/>
    <mergeCell ref="F104:G104"/>
    <mergeCell ref="F99:G99"/>
    <mergeCell ref="F100:G100"/>
    <mergeCell ref="F101:G101"/>
    <mergeCell ref="F102:G102"/>
    <mergeCell ref="F103:G103"/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</mergeCells>
  <conditionalFormatting sqref="L40:P40 B8:Z33">
    <cfRule type="expression" dxfId="76" priority="6" stopIfTrue="1">
      <formula>ISEVEN(ROW())</formula>
    </cfRule>
  </conditionalFormatting>
  <conditionalFormatting sqref="B67:B90">
    <cfRule type="expression" dxfId="75" priority="5" stopIfTrue="1">
      <formula>ISEVEN(ROW())</formula>
    </cfRule>
  </conditionalFormatting>
  <conditionalFormatting sqref="C67:D90">
    <cfRule type="expression" dxfId="74" priority="4" stopIfTrue="1">
      <formula>ISEVEN(ROW())</formula>
    </cfRule>
  </conditionalFormatting>
  <conditionalFormatting sqref="H67:I90">
    <cfRule type="expression" dxfId="73" priority="3" stopIfTrue="1">
      <formula>ISEVEN(ROW())</formula>
    </cfRule>
  </conditionalFormatting>
  <conditionalFormatting sqref="J67:K90">
    <cfRule type="expression" dxfId="72" priority="2" stopIfTrue="1">
      <formula>ISEVEN(ROW())</formula>
    </cfRule>
  </conditionalFormatting>
  <conditionalFormatting sqref="E67:F90">
    <cfRule type="expression" dxfId="71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D12" sqref="D12"/>
    </sheetView>
    <sheetView workbookViewId="1"/>
  </sheetViews>
  <sheetFormatPr baseColWidth="10" defaultRowHeight="13"/>
  <cols>
    <col min="1" max="4" width="12.83203125" customWidth="1"/>
    <col min="5" max="5" width="25.1640625" bestFit="1" customWidth="1"/>
    <col min="6" max="9" width="12.83203125" customWidth="1"/>
    <col min="10" max="10" width="103" bestFit="1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5" t="s">
        <v>444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</row>
    <row r="3" spans="1:31">
      <c r="A3" s="82"/>
      <c r="K3" s="137"/>
      <c r="L3" s="137"/>
      <c r="M3" s="137"/>
      <c r="N3" s="137"/>
      <c r="O3" s="137"/>
      <c r="P3" s="137"/>
      <c r="Q3" s="137"/>
      <c r="R3" s="137"/>
      <c r="S3" s="137"/>
      <c r="T3" s="137"/>
      <c r="AE3" s="98"/>
    </row>
    <row r="4" spans="1:31">
      <c r="A4" s="176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</row>
    <row r="5" spans="1:31">
      <c r="A5" s="109" t="s">
        <v>221</v>
      </c>
      <c r="B5" s="110" t="s">
        <v>210</v>
      </c>
      <c r="C5" s="110" t="s">
        <v>144</v>
      </c>
      <c r="D5" s="110" t="s">
        <v>473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</row>
    <row r="6" spans="1:31">
      <c r="A6" s="111" t="s">
        <v>142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</row>
    <row r="7" spans="1:31">
      <c r="A7" s="107" t="s">
        <v>172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</row>
    <row r="8" spans="1:3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</row>
    <row r="9" spans="1:3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</row>
    <row r="10" spans="1:31" ht="18">
      <c r="A10" s="175" t="s">
        <v>454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31">
      <c r="A12" s="82"/>
      <c r="G12" s="96"/>
      <c r="H12" s="96"/>
      <c r="I12" s="96"/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31">
      <c r="A13" s="176"/>
      <c r="B13" s="137"/>
      <c r="C13" s="137"/>
      <c r="D13" s="137"/>
      <c r="E13" s="137"/>
      <c r="F13" s="137"/>
      <c r="G13" s="177"/>
      <c r="H13" s="177"/>
      <c r="I13" s="17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31">
      <c r="A14" s="113" t="s">
        <v>474</v>
      </c>
      <c r="B14" s="114" t="s">
        <v>210</v>
      </c>
      <c r="C14" s="114" t="s">
        <v>144</v>
      </c>
      <c r="E14" s="137"/>
      <c r="F14" s="137"/>
      <c r="G14" s="177"/>
      <c r="H14" s="177"/>
      <c r="I14" s="17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31">
      <c r="A15" s="115" t="s">
        <v>142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7"/>
      <c r="F15" s="137"/>
      <c r="G15" s="177"/>
      <c r="H15" s="177"/>
      <c r="I15" s="17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31">
      <c r="A16" s="107" t="s">
        <v>172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7"/>
      <c r="F16" s="137"/>
      <c r="G16" s="177"/>
      <c r="H16" s="177"/>
      <c r="I16" s="17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1:20">
      <c r="A17" s="137"/>
      <c r="B17" s="137"/>
      <c r="C17" s="137"/>
      <c r="D17" s="137"/>
      <c r="E17" s="137"/>
      <c r="F17" s="137"/>
      <c r="G17" s="177"/>
      <c r="H17" s="177"/>
      <c r="I17" s="17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1:20">
      <c r="A18" s="287" t="s">
        <v>516</v>
      </c>
      <c r="B18" s="287"/>
      <c r="C18" s="137"/>
      <c r="D18" s="137"/>
      <c r="E18" s="137"/>
      <c r="F18" s="137"/>
      <c r="G18" s="177"/>
      <c r="H18" s="177"/>
      <c r="I18" s="17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1:20">
      <c r="A19" s="287"/>
      <c r="B19" s="287"/>
      <c r="C19" s="137"/>
      <c r="D19" s="137"/>
      <c r="E19" s="137"/>
      <c r="F19" s="137"/>
      <c r="G19" s="177"/>
      <c r="H19" s="177"/>
      <c r="I19" s="17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1:20">
      <c r="A20" s="137"/>
      <c r="B20" s="137"/>
      <c r="C20" s="137"/>
      <c r="D20" s="137"/>
      <c r="E20" s="137"/>
      <c r="F20" s="137"/>
      <c r="G20" s="177"/>
      <c r="H20" s="177"/>
      <c r="I20" s="17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1:20">
      <c r="A21" s="137"/>
      <c r="B21" s="137"/>
      <c r="C21" s="137"/>
      <c r="D21" s="137"/>
      <c r="E21" s="137"/>
      <c r="F21" s="137"/>
      <c r="G21" s="177"/>
      <c r="H21" s="177"/>
      <c r="I21" s="17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1:20">
      <c r="A22" s="137"/>
      <c r="B22" s="137"/>
      <c r="C22" s="137"/>
      <c r="D22" s="137"/>
      <c r="E22" s="137"/>
      <c r="F22" s="137"/>
      <c r="G22" s="177"/>
      <c r="H22" s="177"/>
      <c r="I22" s="17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1:20">
      <c r="A23" s="137"/>
      <c r="B23" s="137"/>
      <c r="C23" s="137"/>
      <c r="D23" s="137"/>
      <c r="E23" s="137"/>
      <c r="F23" s="137"/>
      <c r="G23" s="177"/>
      <c r="H23" s="177"/>
      <c r="I23" s="17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1:20">
      <c r="A24" s="137"/>
      <c r="B24" s="137"/>
      <c r="C24" s="137"/>
      <c r="D24" s="137"/>
      <c r="E24" s="137"/>
      <c r="F24" s="137"/>
      <c r="G24" s="177"/>
      <c r="H24" s="177"/>
      <c r="I24" s="17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1:20">
      <c r="A25" s="137"/>
      <c r="B25" s="137"/>
      <c r="C25" s="137"/>
      <c r="D25" s="137"/>
      <c r="E25" s="137"/>
      <c r="F25" s="137"/>
      <c r="G25" s="177"/>
      <c r="H25" s="177"/>
      <c r="I25" s="17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1:20">
      <c r="A26" s="137"/>
      <c r="B26" s="137"/>
      <c r="C26" s="137"/>
      <c r="D26" s="137"/>
      <c r="E26" s="137"/>
      <c r="F26" s="137"/>
      <c r="G26" s="177"/>
      <c r="H26" s="177"/>
      <c r="I26" s="17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1:20">
      <c r="A27" s="137"/>
      <c r="B27" s="137"/>
      <c r="C27" s="137"/>
      <c r="D27" s="137"/>
      <c r="E27" s="137"/>
      <c r="F27" s="137"/>
      <c r="G27" s="177"/>
      <c r="H27" s="177"/>
      <c r="I27" s="17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1:20">
      <c r="A28" s="137"/>
      <c r="B28" s="137"/>
      <c r="C28" s="137"/>
      <c r="D28" s="137"/>
      <c r="E28" s="137"/>
      <c r="F28" s="137"/>
      <c r="G28" s="177"/>
      <c r="H28" s="177"/>
      <c r="I28" s="17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1:20">
      <c r="A29" s="137"/>
      <c r="B29" s="137"/>
      <c r="C29" s="137"/>
      <c r="D29" s="137"/>
      <c r="E29" s="137"/>
      <c r="F29" s="137"/>
      <c r="G29" s="177"/>
      <c r="H29" s="177"/>
      <c r="I29" s="17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1:20">
      <c r="A30" s="137"/>
      <c r="B30" s="137"/>
      <c r="C30" s="137"/>
      <c r="D30" s="137"/>
      <c r="E30" s="137"/>
      <c r="F30" s="137"/>
      <c r="G30" s="177"/>
      <c r="H30" s="177"/>
      <c r="I30" s="17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1:20">
      <c r="A31" s="137"/>
      <c r="B31" s="137"/>
      <c r="C31" s="137"/>
      <c r="D31" s="137"/>
      <c r="E31" s="137"/>
      <c r="F31" s="137"/>
      <c r="G31" s="177"/>
      <c r="H31" s="177"/>
      <c r="I31" s="17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1:20">
      <c r="A32" s="137"/>
      <c r="B32" s="137"/>
      <c r="C32" s="137"/>
      <c r="D32" s="137"/>
      <c r="E32" s="137"/>
      <c r="F32" s="137"/>
      <c r="G32" s="177"/>
      <c r="H32" s="177"/>
      <c r="I32" s="17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>
      <c r="A33" s="137"/>
      <c r="B33" s="137"/>
      <c r="C33" s="137"/>
      <c r="D33" s="137"/>
      <c r="E33" s="137"/>
      <c r="F33" s="137"/>
      <c r="G33" s="177"/>
      <c r="H33" s="177"/>
      <c r="I33" s="17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>
      <c r="A34" s="137"/>
      <c r="B34" s="137"/>
      <c r="C34" s="137"/>
      <c r="D34" s="137"/>
      <c r="E34" s="137"/>
      <c r="F34" s="137"/>
      <c r="G34" s="177"/>
      <c r="H34" s="177"/>
      <c r="I34" s="17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>
      <c r="A35" s="137"/>
      <c r="B35" s="137"/>
      <c r="C35" s="137"/>
      <c r="D35" s="137"/>
      <c r="E35" s="137"/>
      <c r="F35" s="137"/>
      <c r="G35" s="177"/>
      <c r="H35" s="177"/>
      <c r="I35" s="17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</row>
    <row r="42" spans="1:20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</row>
    <row r="43" spans="1:20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</row>
    <row r="44" spans="1:20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0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</row>
    <row r="46" spans="1:20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</row>
    <row r="47" spans="1:20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</row>
    <row r="48" spans="1:20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</row>
    <row r="49" spans="1:20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</row>
    <row r="50" spans="1:20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</row>
    <row r="51" spans="1:20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</row>
    <row r="52" spans="1:20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</row>
    <row r="53" spans="1:20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</row>
    <row r="54" spans="1:20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</row>
    <row r="55" spans="1:20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</row>
    <row r="56" spans="1:20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</row>
    <row r="57" spans="1:20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</row>
    <row r="58" spans="1:20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</row>
    <row r="59" spans="1:20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</row>
    <row r="60" spans="1:20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</row>
    <row r="61" spans="1:20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</row>
    <row r="62" spans="1:20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</row>
    <row r="63" spans="1:20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</row>
    <row r="64" spans="1:20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</row>
    <row r="65" spans="1:20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</row>
    <row r="66" spans="1:20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</row>
    <row r="67" spans="1:20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</row>
    <row r="68" spans="1:20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</row>
    <row r="69" spans="1:20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</row>
    <row r="70" spans="1:20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</row>
    <row r="71" spans="1:20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</row>
    <row r="72" spans="1:20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</row>
    <row r="73" spans="1:20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</row>
    <row r="74" spans="1:20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</row>
    <row r="75" spans="1:20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</row>
    <row r="76" spans="1:20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</row>
    <row r="77" spans="1:20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</row>
    <row r="78" spans="1:20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</row>
    <row r="79" spans="1:20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</row>
    <row r="80" spans="1:20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</row>
    <row r="81" spans="1:20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</row>
    <row r="82" spans="1:20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</row>
    <row r="83" spans="1:20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</row>
    <row r="84" spans="1:20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</row>
    <row r="85" spans="1:20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</row>
    <row r="86" spans="1:20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</row>
    <row r="87" spans="1:20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</row>
    <row r="88" spans="1:20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</row>
    <row r="89" spans="1:20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</row>
    <row r="91" spans="1:20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</row>
    <row r="92" spans="1:20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</row>
    <row r="93" spans="1:20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</row>
    <row r="94" spans="1:20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</row>
    <row r="95" spans="1:20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</row>
    <row r="96" spans="1:20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</row>
    <row r="97" spans="1:20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</row>
    <row r="98" spans="1:20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</row>
    <row r="99" spans="1:20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</row>
    <row r="100" spans="1:20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</row>
    <row r="101" spans="1:20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</row>
    <row r="102" spans="1:20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</row>
    <row r="103" spans="1:20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</row>
    <row r="104" spans="1:20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</row>
    <row r="105" spans="1:20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</row>
    <row r="106" spans="1:20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</row>
    <row r="107" spans="1:20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</row>
    <row r="108" spans="1:20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</row>
    <row r="109" spans="1:20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</row>
    <row r="110" spans="1:20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</row>
    <row r="111" spans="1:20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</row>
    <row r="112" spans="1:20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</row>
    <row r="113" spans="1:20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</row>
    <row r="114" spans="1:20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</row>
    <row r="115" spans="1:20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</row>
    <row r="116" spans="1:20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</row>
    <row r="117" spans="1:20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</row>
    <row r="118" spans="1:20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</row>
    <row r="119" spans="1:20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</row>
    <row r="120" spans="1:20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</row>
    <row r="121" spans="1:20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</row>
    <row r="122" spans="1:20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</row>
    <row r="123" spans="1:20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</row>
    <row r="124" spans="1:20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</row>
    <row r="125" spans="1:20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</row>
    <row r="126" spans="1:20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</row>
    <row r="127" spans="1:20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</row>
    <row r="128" spans="1:20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</row>
    <row r="129" spans="1:20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</row>
    <row r="130" spans="1:20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</row>
    <row r="131" spans="1:20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</row>
    <row r="132" spans="1:20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</row>
    <row r="133" spans="1:20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</row>
    <row r="134" spans="1:20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</row>
    <row r="135" spans="1:20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</row>
    <row r="136" spans="1:20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</row>
    <row r="137" spans="1:20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</row>
    <row r="138" spans="1:20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</row>
    <row r="139" spans="1:20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</row>
    <row r="140" spans="1:20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</row>
    <row r="141" spans="1:20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</row>
    <row r="142" spans="1:20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</row>
    <row r="143" spans="1:20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</row>
    <row r="144" spans="1:20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</row>
    <row r="145" spans="1:20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</row>
    <row r="146" spans="1:20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</row>
    <row r="147" spans="1:20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</row>
    <row r="148" spans="1:20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</row>
    <row r="149" spans="1:20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</row>
    <row r="150" spans="1:20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</row>
    <row r="151" spans="1:20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</row>
    <row r="152" spans="1:20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</row>
    <row r="153" spans="1:20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</row>
    <row r="154" spans="1:20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</row>
    <row r="155" spans="1:20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</row>
    <row r="156" spans="1:20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</row>
    <row r="157" spans="1:20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</row>
    <row r="158" spans="1:20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</row>
    <row r="159" spans="1:20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</row>
    <row r="160" spans="1:20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</row>
    <row r="161" spans="1:20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</row>
    <row r="162" spans="1:20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</row>
    <row r="163" spans="1:20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</row>
    <row r="164" spans="1:20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</row>
    <row r="165" spans="1:20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</row>
    <row r="166" spans="1:20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</row>
    <row r="167" spans="1:20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</row>
    <row r="168" spans="1:20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</row>
    <row r="169" spans="1:20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</row>
    <row r="170" spans="1:20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</row>
    <row r="171" spans="1:20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</row>
    <row r="172" spans="1:20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</row>
    <row r="173" spans="1:20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</row>
    <row r="174" spans="1:20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</row>
    <row r="175" spans="1:20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</row>
    <row r="176" spans="1:20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</row>
    <row r="177" spans="1:20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</row>
    <row r="178" spans="1:20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</row>
    <row r="179" spans="1:20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</row>
    <row r="180" spans="1:20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</row>
    <row r="181" spans="1:20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</row>
    <row r="182" spans="1:20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</row>
    <row r="183" spans="1:20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</row>
    <row r="184" spans="1:20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</row>
    <row r="185" spans="1:20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</row>
    <row r="186" spans="1:20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</row>
    <row r="187" spans="1:20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</row>
    <row r="188" spans="1:20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</row>
    <row r="189" spans="1:20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</row>
    <row r="190" spans="1:20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</row>
    <row r="191" spans="1:20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</row>
    <row r="192" spans="1:20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</row>
    <row r="193" spans="1:33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</row>
    <row r="194" spans="1:33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</row>
    <row r="195" spans="1:33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</row>
    <row r="196" spans="1:33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</row>
    <row r="197" spans="1:33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</row>
    <row r="198" spans="1:33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</row>
    <row r="199" spans="1:33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</row>
    <row r="200" spans="1:3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657</v>
      </c>
    </row>
    <row r="201" spans="1:3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483</v>
      </c>
    </row>
    <row r="202" spans="1:3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495</v>
      </c>
    </row>
    <row r="204" spans="1:3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Z204" t="s">
        <v>424</v>
      </c>
      <c r="AB204" t="s">
        <v>433</v>
      </c>
      <c r="AC204">
        <v>5</v>
      </c>
      <c r="AG204" t="s">
        <v>484</v>
      </c>
    </row>
    <row r="205" spans="1:3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Z205" t="s">
        <v>425</v>
      </c>
      <c r="AB205" t="s">
        <v>434</v>
      </c>
      <c r="AC205">
        <v>6</v>
      </c>
      <c r="AG205" t="s">
        <v>482</v>
      </c>
    </row>
    <row r="206" spans="1:3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AB206" t="s">
        <v>435</v>
      </c>
      <c r="AC206" t="s">
        <v>439</v>
      </c>
      <c r="AG206" t="s">
        <v>493</v>
      </c>
    </row>
    <row r="207" spans="1:3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AB207" t="s">
        <v>436</v>
      </c>
      <c r="AG207" t="s">
        <v>487</v>
      </c>
    </row>
    <row r="208" spans="1:3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AB208" t="s">
        <v>437</v>
      </c>
      <c r="AG208" t="s">
        <v>494</v>
      </c>
    </row>
    <row r="209" spans="1:3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AB209" t="s">
        <v>653</v>
      </c>
      <c r="AG209" t="s">
        <v>486</v>
      </c>
    </row>
    <row r="210" spans="1:3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AB210" t="s">
        <v>654</v>
      </c>
      <c r="AG210" t="s">
        <v>481</v>
      </c>
    </row>
    <row r="211" spans="1:3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AB211" t="s">
        <v>655</v>
      </c>
      <c r="AG211" t="s">
        <v>509</v>
      </c>
    </row>
    <row r="212" spans="1:3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AG212" t="s">
        <v>511</v>
      </c>
    </row>
    <row r="213" spans="1:3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AG213" t="s">
        <v>490</v>
      </c>
    </row>
    <row r="214" spans="1:3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AG214" t="s">
        <v>489</v>
      </c>
    </row>
    <row r="215" spans="1:3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AG215" t="s">
        <v>488</v>
      </c>
    </row>
    <row r="216" spans="1:3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AG216" t="s">
        <v>479</v>
      </c>
    </row>
    <row r="217" spans="1:3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AG217" t="s">
        <v>485</v>
      </c>
    </row>
    <row r="218" spans="1:3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AG218" t="s">
        <v>510</v>
      </c>
    </row>
    <row r="219" spans="1:3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AG219" t="s">
        <v>492</v>
      </c>
    </row>
    <row r="220" spans="1:3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AG220" t="s">
        <v>491</v>
      </c>
    </row>
    <row r="221" spans="1:3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AG221" t="s">
        <v>513</v>
      </c>
    </row>
    <row r="222" spans="1:3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AG222" t="s">
        <v>512</v>
      </c>
    </row>
    <row r="223" spans="1:3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AG223" t="s">
        <v>42</v>
      </c>
    </row>
    <row r="224" spans="1:3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AG224" t="s">
        <v>32</v>
      </c>
    </row>
    <row r="225" spans="1:20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</row>
    <row r="226" spans="1:20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</row>
    <row r="227" spans="1:20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</row>
    <row r="228" spans="1:20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</row>
    <row r="229" spans="1:20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</row>
    <row r="230" spans="1:20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</row>
    <row r="231" spans="1:20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</row>
    <row r="232" spans="1:20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</row>
    <row r="233" spans="1:20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</row>
    <row r="234" spans="1:20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</row>
    <row r="235" spans="1:20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</row>
    <row r="236" spans="1:20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</row>
    <row r="237" spans="1:20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</row>
    <row r="238" spans="1:20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</row>
    <row r="239" spans="1:20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</row>
    <row r="240" spans="1:20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</row>
    <row r="241" spans="1:20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</row>
    <row r="242" spans="1:20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</row>
    <row r="243" spans="1:20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</row>
    <row r="244" spans="1:20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</row>
    <row r="245" spans="1:20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</row>
    <row r="246" spans="1:20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</row>
    <row r="247" spans="1:20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</row>
    <row r="248" spans="1:20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</row>
    <row r="249" spans="1:20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</row>
    <row r="250" spans="1:20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</row>
    <row r="251" spans="1:20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</row>
    <row r="252" spans="1:20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</row>
    <row r="253" spans="1:20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</row>
    <row r="254" spans="1:20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</row>
    <row r="255" spans="1:20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</row>
    <row r="256" spans="1:20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</row>
    <row r="257" spans="1:20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</row>
    <row r="258" spans="1:20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</row>
    <row r="259" spans="1:20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</row>
    <row r="260" spans="1:20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</row>
    <row r="261" spans="1:20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</row>
    <row r="262" spans="1:20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</row>
    <row r="263" spans="1:20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</row>
    <row r="264" spans="1:20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</row>
    <row r="265" spans="1:20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</row>
    <row r="266" spans="1:20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</row>
    <row r="267" spans="1:20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</row>
    <row r="268" spans="1:20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</row>
    <row r="269" spans="1:20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</row>
    <row r="270" spans="1:20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</row>
    <row r="271" spans="1:20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</row>
    <row r="272" spans="1:20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</row>
    <row r="273" spans="1:20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</row>
    <row r="274" spans="1:20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</row>
    <row r="275" spans="1:20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</row>
    <row r="276" spans="1:20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</row>
    <row r="277" spans="1:20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</row>
    <row r="278" spans="1:20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</row>
    <row r="279" spans="1:20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</row>
    <row r="280" spans="1:20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</row>
    <row r="281" spans="1:20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</row>
    <row r="282" spans="1:20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</row>
    <row r="283" spans="1:20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</row>
    <row r="284" spans="1:20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</row>
    <row r="285" spans="1:20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</row>
    <row r="286" spans="1:20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</row>
    <row r="287" spans="1:20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</row>
    <row r="288" spans="1:20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</row>
    <row r="289" spans="1:20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</row>
    <row r="290" spans="1:20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</row>
    <row r="291" spans="1:20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</row>
    <row r="292" spans="1:20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</row>
    <row r="293" spans="1:20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</row>
    <row r="294" spans="1:20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</row>
    <row r="295" spans="1:20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</row>
    <row r="296" spans="1:20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</row>
    <row r="297" spans="1:20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</row>
    <row r="298" spans="1:20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</row>
    <row r="299" spans="1:20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</row>
    <row r="300" spans="1:20"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</row>
  </sheetData>
  <mergeCells count="1">
    <mergeCell ref="A18:B19"/>
  </mergeCells>
  <conditionalFormatting sqref="D3">
    <cfRule type="expression" dxfId="70" priority="1" stopIfTrue="1">
      <formula>($C3&amp;$D3)="NP"</formula>
    </cfRule>
    <cfRule type="expression" dxfId="69" priority="2" stopIfTrue="1">
      <formula>($C3&amp;$D3)="EG"</formula>
    </cfRule>
  </conditionalFormatting>
  <conditionalFormatting sqref="G3">
    <cfRule type="expression" dxfId="68" priority="3" stopIfTrue="1">
      <formula>$G3="F"</formula>
    </cfRule>
    <cfRule type="expression" dxfId="67" priority="4" stopIfTrue="1">
      <formula>$G3="C"</formula>
    </cfRule>
  </conditionalFormatting>
  <conditionalFormatting sqref="A3:J3">
    <cfRule type="expression" dxfId="66" priority="5" stopIfTrue="1">
      <formula>$C3="N"</formula>
    </cfRule>
    <cfRule type="expression" dxfId="65" priority="6" stopIfTrue="1">
      <formula>$C3&lt;&gt;""</formula>
    </cfRule>
  </conditionalFormatting>
  <conditionalFormatting sqref="D12">
    <cfRule type="expression" dxfId="64" priority="7" stopIfTrue="1">
      <formula>($C12&amp;$D12)="NP"</formula>
    </cfRule>
    <cfRule type="expression" dxfId="63" priority="8" stopIfTrue="1">
      <formula>($C12&amp;$D12)="EG"</formula>
    </cfRule>
  </conditionalFormatting>
  <conditionalFormatting sqref="A12:J12">
    <cfRule type="expression" dxfId="62" priority="9" stopIfTrue="1">
      <formula>$C12="N"</formula>
    </cfRule>
    <cfRule type="expression" dxfId="61" priority="10" stopIfTrue="1">
      <formula>$C12&lt;&gt;""</formula>
    </cfRule>
  </conditionalFormatting>
  <dataValidations count="13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4 C3 C12" xr:uid="{160DAEE1-B35F-794E-8E89-9B3C5D261F9D}">
      <formula1>$W$201:$W$202</formula1>
    </dataValidation>
    <dataValidation type="list" allowBlank="1" showInputMessage="1" showErrorMessage="1" sqref="H3 H4:H5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5 E3" xr:uid="{DCF8B176-769B-B74B-9FA0-AC1825394A14}">
      <formula1>$AG$201:$AG$224</formula1>
    </dataValidation>
    <dataValidation type="list" allowBlank="1" showInputMessage="1" showErrorMessage="1" sqref="D4 D3" xr:uid="{7B56866B-A433-5C40-8523-350E76ED41BF}">
      <formula1>$X$201:$X$203</formula1>
    </dataValidation>
    <dataValidation type="list" allowBlank="1" showInputMessage="1" showErrorMessage="1" sqref="F4:F5 F3" xr:uid="{E2D9A05D-2535-F848-87FD-DA190BC2A6A6}">
      <formula1>$Z$201:$Z$205</formula1>
    </dataValidation>
    <dataValidation type="list" allowBlank="1" showInputMessage="1" showErrorMessage="1" sqref="G4:G5 G3" xr:uid="{4B4E4EC1-3EA6-C944-B5F6-4670FB2366D4}">
      <formula1>$AA$201:$AA$202</formula1>
    </dataValidation>
    <dataValidation type="list" allowBlank="1" showInputMessage="1" showErrorMessage="1" sqref="I4:I5 I3" xr:uid="{07CD3060-D2EB-C741-AAEA-69684ABFC2BF}">
      <formula1>$AC$201:$AC$206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656</v>
      </c>
      <c r="V1" t="s">
        <v>658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3" t="s">
        <v>480</v>
      </c>
      <c r="N2" t="s">
        <v>153</v>
      </c>
      <c r="Q2" s="18" t="s">
        <v>78</v>
      </c>
      <c r="R2" s="18" t="s">
        <v>8</v>
      </c>
      <c r="T2" t="s">
        <v>624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3" t="s">
        <v>492</v>
      </c>
      <c r="N3" t="s">
        <v>169</v>
      </c>
      <c r="Q3" s="21" t="s">
        <v>79</v>
      </c>
      <c r="R3" s="21" t="s">
        <v>57</v>
      </c>
      <c r="T3" t="s">
        <v>625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3" t="s">
        <v>482</v>
      </c>
      <c r="Q4" s="18" t="s">
        <v>80</v>
      </c>
      <c r="R4" s="18" t="s">
        <v>9</v>
      </c>
      <c r="T4" t="s">
        <v>626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3" t="s">
        <v>509</v>
      </c>
      <c r="Q5" s="21" t="s">
        <v>81</v>
      </c>
      <c r="R5" s="21" t="s">
        <v>82</v>
      </c>
      <c r="T5" t="s">
        <v>627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3" t="s">
        <v>483</v>
      </c>
      <c r="Q6" s="18" t="s">
        <v>83</v>
      </c>
      <c r="R6" s="18" t="s">
        <v>84</v>
      </c>
      <c r="T6" t="s">
        <v>628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3" t="s">
        <v>510</v>
      </c>
      <c r="Q7" s="21" t="s">
        <v>85</v>
      </c>
      <c r="R7" s="21" t="s">
        <v>60</v>
      </c>
      <c r="T7" t="s">
        <v>629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3" t="s">
        <v>493</v>
      </c>
      <c r="Q8" s="18" t="s">
        <v>86</v>
      </c>
      <c r="R8" s="18" t="s">
        <v>58</v>
      </c>
      <c r="T8" t="s">
        <v>630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3" t="s">
        <v>484</v>
      </c>
      <c r="Q9" s="21" t="s">
        <v>87</v>
      </c>
      <c r="R9" s="21" t="s">
        <v>61</v>
      </c>
      <c r="T9" s="15" t="s">
        <v>631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123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3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3" t="s">
        <v>487</v>
      </c>
      <c r="Q12" s="21" t="s">
        <v>219</v>
      </c>
      <c r="R12" s="21" t="s">
        <v>220</v>
      </c>
      <c r="T12" t="s">
        <v>632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123" t="s">
        <v>488</v>
      </c>
      <c r="Q13" s="20" t="s">
        <v>174</v>
      </c>
      <c r="R13" s="65" t="s">
        <v>160</v>
      </c>
      <c r="T13" s="15" t="s">
        <v>633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3" t="s">
        <v>489</v>
      </c>
      <c r="Q14" s="20" t="s">
        <v>173</v>
      </c>
      <c r="R14" s="65" t="s">
        <v>161</v>
      </c>
      <c r="T14" t="s">
        <v>634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3" t="s">
        <v>490</v>
      </c>
      <c r="Q15" s="20" t="s">
        <v>90</v>
      </c>
      <c r="R15" s="65" t="s">
        <v>52</v>
      </c>
      <c r="T15" s="15" t="s">
        <v>635</v>
      </c>
      <c r="AA15" s="15" t="s">
        <v>488</v>
      </c>
    </row>
    <row r="16" spans="1:27" ht="30" customHeight="1">
      <c r="C16" s="19"/>
      <c r="D16" s="19"/>
      <c r="I16" s="15" t="s">
        <v>120</v>
      </c>
      <c r="K16" s="123" t="s">
        <v>491</v>
      </c>
      <c r="Q16" s="20" t="s">
        <v>91</v>
      </c>
      <c r="R16" s="65" t="s">
        <v>63</v>
      </c>
      <c r="T16" t="s">
        <v>636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23" t="s">
        <v>481</v>
      </c>
      <c r="Q17" s="20" t="s">
        <v>92</v>
      </c>
      <c r="R17" s="65" t="s">
        <v>64</v>
      </c>
      <c r="T17" s="15" t="s">
        <v>637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23" t="s">
        <v>511</v>
      </c>
      <c r="Q18" s="20" t="s">
        <v>93</v>
      </c>
      <c r="R18" s="65" t="s">
        <v>65</v>
      </c>
      <c r="T18" t="s">
        <v>638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3" t="s">
        <v>512</v>
      </c>
      <c r="Q19" s="20" t="s">
        <v>94</v>
      </c>
      <c r="R19" s="65" t="s">
        <v>56</v>
      </c>
      <c r="T19" t="s">
        <v>639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3" t="s">
        <v>479</v>
      </c>
      <c r="Q20" s="20" t="s">
        <v>95</v>
      </c>
      <c r="R20" s="65" t="s">
        <v>53</v>
      </c>
      <c r="T20" t="s">
        <v>640</v>
      </c>
      <c r="AA20" t="s">
        <v>491</v>
      </c>
    </row>
    <row r="21" spans="3:27" ht="30" customHeight="1">
      <c r="C21" s="19" t="s">
        <v>205</v>
      </c>
      <c r="D21" s="19"/>
      <c r="K21" s="123" t="s">
        <v>495</v>
      </c>
      <c r="Q21" s="20" t="s">
        <v>96</v>
      </c>
      <c r="R21" s="65" t="s">
        <v>54</v>
      </c>
      <c r="T21" t="s">
        <v>641</v>
      </c>
      <c r="AA21" t="s">
        <v>513</v>
      </c>
    </row>
    <row r="22" spans="3:27" ht="30" customHeight="1">
      <c r="C22" s="19"/>
      <c r="D22" s="19"/>
      <c r="K22" s="123" t="s">
        <v>494</v>
      </c>
      <c r="Q22" s="20" t="s">
        <v>97</v>
      </c>
      <c r="R22" s="65" t="s">
        <v>49</v>
      </c>
      <c r="T22" t="s">
        <v>642</v>
      </c>
      <c r="AA22" t="s">
        <v>512</v>
      </c>
    </row>
    <row r="23" spans="3:27" ht="30" customHeight="1">
      <c r="C23" s="19"/>
      <c r="D23" s="19"/>
      <c r="K23" s="123" t="s">
        <v>513</v>
      </c>
      <c r="Q23" s="20" t="s">
        <v>98</v>
      </c>
      <c r="R23" s="65" t="s">
        <v>50</v>
      </c>
      <c r="T23" t="s">
        <v>643</v>
      </c>
      <c r="AA23" t="s">
        <v>42</v>
      </c>
    </row>
    <row r="24" spans="3:27" ht="30" customHeight="1">
      <c r="C24" s="19"/>
      <c r="D24" s="19"/>
      <c r="K24" s="123" t="s">
        <v>42</v>
      </c>
      <c r="Q24" s="20" t="s">
        <v>99</v>
      </c>
      <c r="R24" s="65" t="s">
        <v>37</v>
      </c>
      <c r="T24" t="s">
        <v>644</v>
      </c>
      <c r="AA24" t="s">
        <v>32</v>
      </c>
    </row>
    <row r="25" spans="3:27" ht="30" customHeight="1">
      <c r="K25" s="123" t="s">
        <v>32</v>
      </c>
      <c r="Q25" s="20" t="s">
        <v>130</v>
      </c>
      <c r="R25" s="65" t="s">
        <v>132</v>
      </c>
      <c r="T25" t="s">
        <v>645</v>
      </c>
    </row>
    <row r="26" spans="3:27" ht="30" customHeight="1">
      <c r="Q26" s="20" t="s">
        <v>131</v>
      </c>
      <c r="R26" s="65" t="s">
        <v>133</v>
      </c>
      <c r="T26" t="s">
        <v>646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647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648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649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650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1" t="s">
        <v>500</v>
      </c>
      <c r="R55" s="161" t="s">
        <v>502</v>
      </c>
    </row>
    <row r="56" spans="17:20" ht="30" customHeight="1">
      <c r="Q56" s="162" t="s">
        <v>501</v>
      </c>
      <c r="R56" s="162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8" t="s">
        <v>76</v>
      </c>
      <c r="D5" s="288"/>
      <c r="E5" s="288"/>
      <c r="F5" s="288"/>
      <c r="G5" s="288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424</v>
      </c>
    </row>
    <row r="3" spans="2:30">
      <c r="AD3" s="100" t="s">
        <v>470</v>
      </c>
    </row>
    <row r="4" spans="2:30" ht="20" customHeight="1">
      <c r="B4" s="101" t="s">
        <v>445</v>
      </c>
      <c r="C4" s="291" t="s">
        <v>668</v>
      </c>
      <c r="D4" s="292"/>
      <c r="E4" s="293" t="s">
        <v>11</v>
      </c>
      <c r="F4" s="293"/>
      <c r="G4" s="293"/>
      <c r="AD4" s="100" t="s">
        <v>654</v>
      </c>
    </row>
    <row r="5" spans="2:30" ht="20" customHeight="1">
      <c r="B5" s="101" t="s">
        <v>7</v>
      </c>
      <c r="C5" s="292" t="s">
        <v>46</v>
      </c>
      <c r="D5" s="292"/>
      <c r="J5" s="294" t="s">
        <v>665</v>
      </c>
      <c r="K5" s="294"/>
      <c r="L5" s="294"/>
      <c r="AD5" s="100">
        <v>4</v>
      </c>
    </row>
    <row r="6" spans="2:30" ht="20" customHeight="1">
      <c r="B6" s="101" t="s">
        <v>446</v>
      </c>
      <c r="C6" s="292" t="s">
        <v>47</v>
      </c>
      <c r="D6" s="292"/>
      <c r="J6" s="294"/>
      <c r="K6" s="294"/>
      <c r="L6" s="294"/>
    </row>
    <row r="7" spans="2:30" ht="20" customHeight="1">
      <c r="B7" s="101" t="s">
        <v>447</v>
      </c>
      <c r="C7" s="292" t="s">
        <v>604</v>
      </c>
      <c r="D7" s="292"/>
    </row>
    <row r="8" spans="2:30" ht="8" customHeight="1"/>
    <row r="9" spans="2:30" ht="20" customHeight="1">
      <c r="B9" s="156" t="s">
        <v>448</v>
      </c>
      <c r="C9" s="297" t="s">
        <v>484</v>
      </c>
      <c r="D9" s="297"/>
      <c r="E9" s="297"/>
      <c r="F9" s="297"/>
    </row>
    <row r="10" spans="2:30" ht="8" customHeight="1"/>
    <row r="11" spans="2:30" ht="20" customHeight="1">
      <c r="B11" s="156" t="s">
        <v>452</v>
      </c>
      <c r="C11" s="289">
        <v>2</v>
      </c>
      <c r="D11" s="289"/>
      <c r="E11" s="289">
        <v>3</v>
      </c>
      <c r="F11" s="289"/>
      <c r="G11" s="290">
        <v>4</v>
      </c>
      <c r="H11" s="290"/>
      <c r="I11" s="289">
        <v>5</v>
      </c>
      <c r="J11" s="289"/>
      <c r="K11" s="289">
        <v>6</v>
      </c>
      <c r="L11" s="289"/>
      <c r="M11" s="289" t="s">
        <v>439</v>
      </c>
      <c r="N11" s="289"/>
    </row>
    <row r="12" spans="2:30" ht="8" customHeight="1"/>
    <row r="13" spans="2:30" ht="20" customHeight="1">
      <c r="B13" s="156" t="s">
        <v>464</v>
      </c>
      <c r="C13" s="289" t="s">
        <v>421</v>
      </c>
      <c r="D13" s="289"/>
      <c r="E13" s="289" t="s">
        <v>422</v>
      </c>
      <c r="F13" s="289"/>
      <c r="G13" s="289" t="s">
        <v>423</v>
      </c>
      <c r="H13" s="289"/>
      <c r="I13" s="290" t="s">
        <v>424</v>
      </c>
      <c r="J13" s="290"/>
      <c r="K13" s="289" t="s">
        <v>425</v>
      </c>
      <c r="L13" s="289"/>
    </row>
    <row r="14" spans="2:30" ht="8" customHeight="1"/>
    <row r="15" spans="2:30" ht="20" customHeight="1">
      <c r="B15" s="156" t="s">
        <v>450</v>
      </c>
      <c r="C15" s="290" t="s">
        <v>470</v>
      </c>
      <c r="D15" s="290"/>
      <c r="E15" s="289" t="s">
        <v>471</v>
      </c>
      <c r="F15" s="289"/>
    </row>
    <row r="16" spans="2:30" ht="8" customHeight="1"/>
    <row r="17" spans="2:14" ht="20" customHeight="1">
      <c r="B17" s="160" t="s">
        <v>594</v>
      </c>
      <c r="C17" s="298" t="s">
        <v>600</v>
      </c>
      <c r="D17" s="298"/>
      <c r="E17" s="298"/>
      <c r="F17" s="298"/>
      <c r="G17" s="298"/>
      <c r="I17" s="298" t="s">
        <v>601</v>
      </c>
      <c r="J17" s="298"/>
      <c r="K17" s="298"/>
      <c r="L17" s="298"/>
      <c r="M17" s="298"/>
    </row>
    <row r="18" spans="2:14" ht="20" customHeight="1">
      <c r="C18" s="157" t="s">
        <v>595</v>
      </c>
      <c r="D18" s="157" t="s">
        <v>596</v>
      </c>
      <c r="E18" s="157" t="s">
        <v>597</v>
      </c>
      <c r="F18" s="157" t="s">
        <v>598</v>
      </c>
      <c r="G18" s="157" t="s">
        <v>599</v>
      </c>
      <c r="H18" s="157" t="s">
        <v>435</v>
      </c>
      <c r="I18" s="157" t="s">
        <v>599</v>
      </c>
      <c r="J18" s="157" t="s">
        <v>598</v>
      </c>
      <c r="K18" s="157" t="s">
        <v>597</v>
      </c>
      <c r="L18" s="157" t="s">
        <v>596</v>
      </c>
      <c r="M18" s="157" t="s">
        <v>595</v>
      </c>
    </row>
    <row r="19" spans="2:14" ht="20" customHeight="1">
      <c r="B19" s="156" t="s">
        <v>603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72"/>
      <c r="M19" s="158"/>
    </row>
    <row r="20" spans="2:14" ht="8" customHeight="1"/>
    <row r="21" spans="2:14" ht="20" customHeight="1">
      <c r="B21" s="156" t="s">
        <v>453</v>
      </c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</row>
    <row r="22" spans="2:14" ht="8" customHeight="1"/>
    <row r="23" spans="2:14" ht="26" customHeight="1">
      <c r="C23" s="296" t="s">
        <v>466</v>
      </c>
      <c r="D23" s="296"/>
      <c r="F23" s="293" t="s">
        <v>476</v>
      </c>
      <c r="G23" s="293"/>
      <c r="H23" s="293"/>
      <c r="I23" s="293"/>
    </row>
    <row r="24" spans="2:14" ht="26" customHeight="1"/>
    <row r="25" spans="2:14" ht="8" customHeight="1"/>
    <row r="26" spans="2:14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436</v>
      </c>
    </row>
    <row r="3" spans="2:30">
      <c r="AD3" s="100" t="s">
        <v>441</v>
      </c>
    </row>
    <row r="4" spans="2:30" ht="20" customHeight="1">
      <c r="B4" s="101" t="s">
        <v>445</v>
      </c>
      <c r="C4" s="291" t="s">
        <v>666</v>
      </c>
      <c r="D4" s="292"/>
      <c r="E4" s="293" t="s">
        <v>11</v>
      </c>
      <c r="F4" s="293"/>
      <c r="G4" s="293"/>
      <c r="AD4" s="100" t="s">
        <v>170</v>
      </c>
    </row>
    <row r="5" spans="2:30" ht="20" customHeight="1">
      <c r="B5" s="101" t="s">
        <v>7</v>
      </c>
      <c r="C5" s="292" t="s">
        <v>46</v>
      </c>
      <c r="D5" s="292"/>
      <c r="J5" s="294" t="s">
        <v>665</v>
      </c>
      <c r="K5" s="294"/>
      <c r="L5" s="294"/>
    </row>
    <row r="6" spans="2:30" ht="20" customHeight="1">
      <c r="B6" s="101" t="s">
        <v>472</v>
      </c>
      <c r="C6" s="292" t="s">
        <v>47</v>
      </c>
      <c r="D6" s="292"/>
      <c r="J6" s="294"/>
      <c r="K6" s="294"/>
      <c r="L6" s="294"/>
    </row>
    <row r="7" spans="2:30" ht="20" customHeight="1">
      <c r="B7" s="101" t="s">
        <v>447</v>
      </c>
      <c r="C7" s="292" t="s">
        <v>604</v>
      </c>
      <c r="D7" s="292"/>
    </row>
    <row r="8" spans="2:30" ht="8" customHeight="1"/>
    <row r="9" spans="2:30" ht="20" customHeight="1">
      <c r="B9" s="160" t="s">
        <v>602</v>
      </c>
      <c r="C9" s="298" t="s">
        <v>600</v>
      </c>
      <c r="D9" s="298"/>
      <c r="E9" s="298"/>
      <c r="F9" s="298"/>
      <c r="G9" s="298"/>
      <c r="I9" s="298" t="s">
        <v>601</v>
      </c>
      <c r="J9" s="298"/>
      <c r="K9" s="298"/>
      <c r="L9" s="298"/>
      <c r="M9" s="298"/>
    </row>
    <row r="10" spans="2:30" ht="20" customHeight="1">
      <c r="C10" s="157" t="s">
        <v>595</v>
      </c>
      <c r="D10" s="157" t="s">
        <v>596</v>
      </c>
      <c r="E10" s="157" t="s">
        <v>597</v>
      </c>
      <c r="F10" s="157" t="s">
        <v>598</v>
      </c>
      <c r="G10" s="157" t="s">
        <v>599</v>
      </c>
      <c r="H10" s="157" t="s">
        <v>435</v>
      </c>
      <c r="I10" s="157" t="s">
        <v>599</v>
      </c>
      <c r="J10" s="157" t="s">
        <v>598</v>
      </c>
      <c r="K10" s="157" t="s">
        <v>597</v>
      </c>
      <c r="L10" s="157" t="s">
        <v>596</v>
      </c>
      <c r="M10" s="157" t="s">
        <v>595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72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9" t="s">
        <v>461</v>
      </c>
      <c r="D15" s="289"/>
      <c r="E15" s="290" t="s">
        <v>170</v>
      </c>
      <c r="F15" s="290"/>
      <c r="G15" s="289" t="s">
        <v>462</v>
      </c>
      <c r="H15" s="289"/>
    </row>
    <row r="16" spans="2:30" ht="8" customHeight="1"/>
    <row r="17" spans="2:14" ht="20" customHeight="1">
      <c r="B17" s="156" t="s">
        <v>453</v>
      </c>
      <c r="C17" s="295" t="s">
        <v>667</v>
      </c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</row>
    <row r="18" spans="2:14" ht="8" customHeight="1"/>
    <row r="19" spans="2:14" ht="26" customHeight="1">
      <c r="C19" s="296" t="s">
        <v>466</v>
      </c>
      <c r="D19" s="296"/>
      <c r="F19" s="293" t="s">
        <v>476</v>
      </c>
      <c r="G19" s="293"/>
      <c r="H19" s="293"/>
      <c r="I19" s="293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623</v>
      </c>
    </row>
    <row r="4" spans="2:21" ht="14" customHeight="1">
      <c r="B4" s="101" t="s">
        <v>445</v>
      </c>
      <c r="C4" s="291" t="s">
        <v>517</v>
      </c>
      <c r="D4" s="292"/>
      <c r="E4" s="293" t="s">
        <v>11</v>
      </c>
      <c r="F4" s="293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</row>
    <row r="5" spans="2:21" ht="15" customHeight="1">
      <c r="B5" s="101" t="s">
        <v>7</v>
      </c>
      <c r="C5" s="292" t="s">
        <v>46</v>
      </c>
      <c r="D5" s="292"/>
      <c r="K5" s="300"/>
      <c r="L5" s="300"/>
      <c r="M5" s="300"/>
      <c r="N5" s="300"/>
      <c r="O5" s="300"/>
      <c r="P5" s="300"/>
      <c r="Q5" s="300"/>
      <c r="R5" s="300"/>
      <c r="S5" s="300"/>
      <c r="T5" s="300"/>
      <c r="U5" s="300"/>
    </row>
    <row r="6" spans="2:21">
      <c r="B6" s="101" t="s">
        <v>475</v>
      </c>
      <c r="C6" s="292" t="s">
        <v>55</v>
      </c>
      <c r="D6" s="292"/>
    </row>
    <row r="7" spans="2:21" ht="32" customHeight="1">
      <c r="K7" s="299"/>
      <c r="L7" s="302"/>
      <c r="M7" s="302"/>
      <c r="O7" s="299"/>
      <c r="P7" s="302"/>
      <c r="Q7" s="302"/>
      <c r="S7" s="299"/>
      <c r="T7" s="302"/>
      <c r="U7" s="302"/>
    </row>
    <row r="8" spans="2:21" ht="10" customHeight="1"/>
    <row r="9" spans="2:21" ht="32" customHeight="1">
      <c r="B9" s="289" t="s">
        <v>624</v>
      </c>
      <c r="C9" s="289"/>
      <c r="E9" s="289" t="s">
        <v>632</v>
      </c>
      <c r="F9" s="289"/>
      <c r="H9" s="290" t="s">
        <v>643</v>
      </c>
      <c r="I9" s="289"/>
      <c r="M9" s="299"/>
      <c r="N9" s="302"/>
      <c r="O9" s="302"/>
      <c r="Q9" s="299"/>
      <c r="R9" s="302"/>
      <c r="S9" s="302"/>
    </row>
    <row r="10" spans="2:21" ht="10" customHeight="1"/>
    <row r="11" spans="2:21" ht="32" customHeight="1">
      <c r="B11" s="289" t="s">
        <v>625</v>
      </c>
      <c r="C11" s="289"/>
      <c r="E11" s="289" t="s">
        <v>633</v>
      </c>
      <c r="F11" s="289"/>
      <c r="H11" s="289" t="s">
        <v>644</v>
      </c>
      <c r="I11" s="289"/>
      <c r="K11" s="299"/>
      <c r="L11" s="302"/>
      <c r="M11" s="302"/>
      <c r="O11" s="299"/>
      <c r="P11" s="302"/>
      <c r="Q11" s="302"/>
      <c r="S11" s="299"/>
      <c r="T11" s="302"/>
      <c r="U11" s="302"/>
    </row>
    <row r="12" spans="2:21" ht="10" customHeight="1"/>
    <row r="13" spans="2:21" ht="32" customHeight="1">
      <c r="B13" s="289" t="s">
        <v>626</v>
      </c>
      <c r="C13" s="289"/>
      <c r="E13" s="289" t="s">
        <v>634</v>
      </c>
      <c r="F13" s="289"/>
      <c r="H13" s="289" t="s">
        <v>645</v>
      </c>
      <c r="I13" s="289"/>
      <c r="M13" s="299"/>
      <c r="N13" s="302"/>
      <c r="O13" s="302"/>
    </row>
    <row r="14" spans="2:21" ht="10" customHeight="1"/>
    <row r="15" spans="2:21" ht="32" customHeight="1">
      <c r="B15" s="289" t="s">
        <v>627</v>
      </c>
      <c r="C15" s="289"/>
      <c r="E15" s="289" t="s">
        <v>635</v>
      </c>
      <c r="F15" s="289"/>
      <c r="H15" s="289" t="s">
        <v>646</v>
      </c>
      <c r="I15" s="301"/>
      <c r="P15" s="299"/>
      <c r="Q15" s="302"/>
      <c r="R15" s="302"/>
    </row>
    <row r="16" spans="2:21" ht="10" customHeight="1"/>
    <row r="17" spans="2:21" ht="32" customHeight="1">
      <c r="B17" s="289" t="s">
        <v>628</v>
      </c>
      <c r="C17" s="289"/>
      <c r="E17" s="289" t="s">
        <v>636</v>
      </c>
      <c r="F17" s="289"/>
      <c r="H17" s="289" t="s">
        <v>647</v>
      </c>
      <c r="I17" s="289"/>
      <c r="M17" s="299"/>
      <c r="N17" s="302"/>
      <c r="O17" s="302"/>
      <c r="Q17" s="299"/>
      <c r="R17" s="302"/>
      <c r="S17" s="302"/>
    </row>
    <row r="18" spans="2:21" ht="10" customHeight="1"/>
    <row r="19" spans="2:21" ht="32" customHeight="1">
      <c r="E19" s="289" t="s">
        <v>637</v>
      </c>
      <c r="F19" s="289"/>
      <c r="H19" s="289" t="s">
        <v>648</v>
      </c>
      <c r="I19" s="289"/>
      <c r="K19" s="299"/>
      <c r="L19" s="302"/>
      <c r="M19" s="302"/>
      <c r="O19" s="299"/>
      <c r="P19" s="302"/>
      <c r="Q19" s="302"/>
      <c r="S19" s="299"/>
      <c r="T19" s="302"/>
      <c r="U19" s="302"/>
    </row>
    <row r="20" spans="2:21" ht="10" customHeight="1"/>
    <row r="21" spans="2:21" ht="25" customHeight="1">
      <c r="B21" s="289" t="s">
        <v>629</v>
      </c>
      <c r="C21" s="289"/>
      <c r="E21" s="289" t="s">
        <v>638</v>
      </c>
      <c r="F21" s="289"/>
      <c r="H21" s="289" t="s">
        <v>649</v>
      </c>
      <c r="I21" s="289"/>
      <c r="K21" s="299"/>
      <c r="L21" s="302"/>
      <c r="M21" s="302"/>
      <c r="S21" s="299"/>
      <c r="T21" s="302"/>
      <c r="U21" s="302"/>
    </row>
    <row r="22" spans="2:21" ht="10" customHeight="1"/>
    <row r="23" spans="2:21" ht="25" customHeight="1">
      <c r="B23" s="289" t="s">
        <v>630</v>
      </c>
      <c r="C23" s="289"/>
      <c r="E23" s="289" t="s">
        <v>639</v>
      </c>
      <c r="F23" s="289"/>
      <c r="H23" s="289" t="s">
        <v>515</v>
      </c>
      <c r="I23" s="289"/>
      <c r="K23" s="299"/>
      <c r="L23" s="299"/>
      <c r="M23" s="299"/>
      <c r="S23" s="299"/>
      <c r="T23" s="299"/>
      <c r="U23" s="299"/>
    </row>
    <row r="24" spans="2:21" ht="10" customHeight="1"/>
    <row r="25" spans="2:21" ht="25" customHeight="1">
      <c r="B25" s="289" t="s">
        <v>631</v>
      </c>
      <c r="C25" s="289"/>
      <c r="E25" s="289" t="s">
        <v>640</v>
      </c>
      <c r="F25" s="289"/>
      <c r="H25" s="289" t="s">
        <v>156</v>
      </c>
      <c r="I25" s="289"/>
    </row>
    <row r="26" spans="2:21" ht="10" customHeight="1"/>
    <row r="27" spans="2:21" ht="25" customHeight="1">
      <c r="B27" s="289" t="s">
        <v>167</v>
      </c>
      <c r="C27" s="289"/>
      <c r="E27" s="289" t="s">
        <v>641</v>
      </c>
      <c r="F27" s="289"/>
      <c r="H27" s="289" t="s">
        <v>650</v>
      </c>
      <c r="I27" s="289"/>
    </row>
    <row r="28" spans="2:21" ht="10" customHeight="1"/>
    <row r="29" spans="2:21" ht="25" customHeight="1">
      <c r="B29" s="289" t="s">
        <v>32</v>
      </c>
      <c r="C29" s="289"/>
      <c r="E29" s="289" t="s">
        <v>642</v>
      </c>
      <c r="F29" s="289"/>
      <c r="H29" s="289" t="s">
        <v>576</v>
      </c>
      <c r="I29" s="289"/>
    </row>
    <row r="30" spans="2:21" ht="10" customHeight="1"/>
    <row r="31" spans="2:21" ht="9" customHeight="1"/>
    <row r="32" spans="2:21" ht="26" customHeight="1">
      <c r="B32" s="296" t="s">
        <v>466</v>
      </c>
      <c r="C32" s="296"/>
      <c r="D32" s="120"/>
      <c r="E32" s="293" t="s">
        <v>476</v>
      </c>
      <c r="F32" s="293"/>
      <c r="G32" s="293"/>
      <c r="H32" s="293"/>
      <c r="I32" s="120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518</v>
      </c>
      <c r="L1" s="100" t="s">
        <v>533</v>
      </c>
    </row>
    <row r="2" spans="2:12" ht="21">
      <c r="B2" s="99" t="s">
        <v>496</v>
      </c>
      <c r="J2" s="100" t="s">
        <v>519</v>
      </c>
      <c r="L2" s="100" t="s">
        <v>534</v>
      </c>
    </row>
    <row r="3" spans="2:12">
      <c r="J3" s="100" t="s">
        <v>520</v>
      </c>
      <c r="L3" s="100" t="s">
        <v>535</v>
      </c>
    </row>
    <row r="4" spans="2:12">
      <c r="B4" s="101" t="s">
        <v>445</v>
      </c>
      <c r="D4" s="136" t="s">
        <v>517</v>
      </c>
      <c r="E4" s="103" t="s">
        <v>11</v>
      </c>
      <c r="J4" s="100" t="s">
        <v>521</v>
      </c>
      <c r="L4" s="100" t="s">
        <v>536</v>
      </c>
    </row>
    <row r="5" spans="2:12">
      <c r="B5" s="117" t="s">
        <v>499</v>
      </c>
      <c r="D5" s="121"/>
      <c r="J5" s="100" t="s">
        <v>522</v>
      </c>
      <c r="L5" s="100" t="s">
        <v>537</v>
      </c>
    </row>
    <row r="6" spans="2:12">
      <c r="J6" s="100" t="s">
        <v>523</v>
      </c>
      <c r="L6" s="100" t="s">
        <v>538</v>
      </c>
    </row>
    <row r="7" spans="2:12">
      <c r="B7" s="117" t="s">
        <v>497</v>
      </c>
      <c r="D7" s="117" t="s">
        <v>498</v>
      </c>
      <c r="J7" s="100" t="s">
        <v>524</v>
      </c>
      <c r="L7" s="100" t="s">
        <v>539</v>
      </c>
    </row>
    <row r="8" spans="2:12">
      <c r="B8" s="122"/>
      <c r="D8" s="122"/>
      <c r="J8" s="100" t="s">
        <v>525</v>
      </c>
    </row>
    <row r="9" spans="2:12">
      <c r="B9" s="122"/>
      <c r="D9" s="122"/>
      <c r="J9" s="100" t="s">
        <v>526</v>
      </c>
    </row>
    <row r="10" spans="2:12">
      <c r="B10" s="122"/>
      <c r="D10" s="122"/>
      <c r="J10" s="100" t="s">
        <v>527</v>
      </c>
    </row>
    <row r="11" spans="2:12">
      <c r="B11" s="122"/>
      <c r="D11" s="122"/>
      <c r="J11" s="100" t="s">
        <v>528</v>
      </c>
    </row>
    <row r="12" spans="2:12">
      <c r="B12" s="122"/>
      <c r="D12" s="122"/>
      <c r="J12" s="100" t="s">
        <v>529</v>
      </c>
    </row>
    <row r="13" spans="2:12">
      <c r="J13" s="100" t="s">
        <v>530</v>
      </c>
    </row>
    <row r="14" spans="2:12" ht="26" customHeight="1">
      <c r="B14" s="102" t="s">
        <v>466</v>
      </c>
      <c r="C14" s="120"/>
      <c r="D14" s="103" t="s">
        <v>465</v>
      </c>
      <c r="J14" s="100" t="s">
        <v>531</v>
      </c>
    </row>
    <row r="15" spans="2:12">
      <c r="J15" s="100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570</v>
      </c>
    </row>
    <row r="4" spans="2:8">
      <c r="B4" s="101" t="s">
        <v>571</v>
      </c>
      <c r="C4" s="291" t="s">
        <v>517</v>
      </c>
      <c r="D4" s="292"/>
      <c r="G4" s="293" t="s">
        <v>11</v>
      </c>
      <c r="H4" s="293"/>
    </row>
    <row r="5" spans="2:8">
      <c r="B5" s="101" t="s">
        <v>7</v>
      </c>
      <c r="C5" s="292" t="s">
        <v>46</v>
      </c>
      <c r="D5" s="292"/>
    </row>
    <row r="7" spans="2:8" ht="22" customHeight="1">
      <c r="B7" s="303" t="s">
        <v>572</v>
      </c>
      <c r="C7" s="303"/>
      <c r="D7" s="303"/>
      <c r="E7" s="303"/>
      <c r="F7" s="303"/>
      <c r="G7" s="303"/>
      <c r="H7" s="303"/>
    </row>
    <row r="9" spans="2:8" ht="22" customHeight="1">
      <c r="B9" s="304" t="s">
        <v>651</v>
      </c>
      <c r="C9" s="304"/>
      <c r="D9" s="304"/>
      <c r="E9" s="304"/>
      <c r="F9" s="304"/>
      <c r="G9" s="304"/>
      <c r="H9" s="304"/>
    </row>
    <row r="10" spans="2:8" ht="8" customHeight="1"/>
    <row r="11" spans="2:8" ht="22" customHeight="1">
      <c r="B11" s="290" t="s">
        <v>652</v>
      </c>
      <c r="C11" s="290"/>
      <c r="D11" s="290"/>
      <c r="E11" s="290"/>
      <c r="F11" s="290"/>
      <c r="G11" s="290"/>
      <c r="H11" s="290"/>
    </row>
    <row r="12" spans="2:8" ht="8" customHeight="1"/>
    <row r="13" spans="2:8" ht="22" customHeight="1">
      <c r="B13" s="305"/>
      <c r="C13" s="305"/>
      <c r="D13" s="305"/>
      <c r="E13" s="305"/>
      <c r="F13" s="305"/>
      <c r="G13" s="305"/>
      <c r="H13" s="305"/>
    </row>
    <row r="14" spans="2:8" ht="8" customHeight="1"/>
    <row r="15" spans="2:8" ht="22" customHeight="1">
      <c r="B15" s="305"/>
      <c r="C15" s="305"/>
      <c r="D15" s="305"/>
      <c r="E15" s="305"/>
      <c r="F15" s="305"/>
      <c r="G15" s="305"/>
      <c r="H15" s="305"/>
    </row>
    <row r="16" spans="2:8" ht="8" customHeight="1"/>
    <row r="17" spans="2:8" ht="22" customHeight="1">
      <c r="B17" s="305"/>
      <c r="C17" s="305"/>
      <c r="D17" s="305"/>
      <c r="E17" s="305"/>
      <c r="F17" s="305"/>
      <c r="G17" s="305"/>
      <c r="H17" s="305"/>
    </row>
    <row r="18" spans="2:8" ht="8" customHeight="1"/>
    <row r="19" spans="2:8" ht="22" customHeight="1">
      <c r="B19" s="305"/>
      <c r="C19" s="305"/>
      <c r="D19" s="305"/>
      <c r="E19" s="305"/>
      <c r="F19" s="305"/>
      <c r="G19" s="305"/>
      <c r="H19" s="305"/>
    </row>
    <row r="20" spans="2:8" ht="8" customHeight="1"/>
    <row r="21" spans="2:8" ht="22" customHeight="1">
      <c r="B21" s="305"/>
      <c r="C21" s="305"/>
      <c r="D21" s="305"/>
      <c r="E21" s="305"/>
      <c r="F21" s="305"/>
      <c r="G21" s="305"/>
      <c r="H21" s="305"/>
    </row>
    <row r="22" spans="2:8" ht="8" customHeight="1"/>
    <row r="23" spans="2:8" ht="22" customHeight="1">
      <c r="B23" s="305"/>
      <c r="C23" s="305"/>
      <c r="D23" s="305"/>
      <c r="E23" s="305"/>
      <c r="F23" s="305"/>
      <c r="G23" s="305"/>
      <c r="H23" s="305"/>
    </row>
    <row r="24" spans="2:8" ht="8" customHeight="1"/>
    <row r="25" spans="2:8" ht="22" customHeight="1">
      <c r="B25" s="305"/>
      <c r="C25" s="305"/>
      <c r="D25" s="305"/>
      <c r="E25" s="305"/>
      <c r="F25" s="305"/>
      <c r="G25" s="305"/>
      <c r="H25" s="305"/>
    </row>
    <row r="26" spans="2:8" ht="8" customHeight="1"/>
    <row r="27" spans="2:8" ht="22" customHeight="1">
      <c r="B27" s="305"/>
      <c r="C27" s="305"/>
      <c r="D27" s="305"/>
      <c r="E27" s="305"/>
      <c r="F27" s="305"/>
      <c r="G27" s="305"/>
      <c r="H27" s="305"/>
    </row>
    <row r="28" spans="2:8" ht="8" customHeight="1"/>
    <row r="29" spans="2:8" ht="26" customHeight="1">
      <c r="B29" s="296" t="s">
        <v>466</v>
      </c>
      <c r="C29" s="296"/>
      <c r="D29" s="120"/>
      <c r="E29" s="293" t="s">
        <v>476</v>
      </c>
      <c r="F29" s="293"/>
      <c r="G29" s="293"/>
      <c r="H29" s="293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7" customWidth="1"/>
    <col min="2" max="9" width="11.83203125" style="137" customWidth="1"/>
    <col min="10" max="16384" width="10.83203125" style="137"/>
  </cols>
  <sheetData>
    <row r="2" spans="2:9" ht="18">
      <c r="B2" s="174" t="s">
        <v>661</v>
      </c>
    </row>
    <row r="4" spans="2:9">
      <c r="B4" s="306" t="s">
        <v>664</v>
      </c>
      <c r="C4" s="306"/>
      <c r="D4" s="306"/>
      <c r="E4" s="306"/>
      <c r="F4" s="306"/>
      <c r="G4" s="306"/>
      <c r="H4" s="306"/>
      <c r="I4" s="306"/>
    </row>
    <row r="5" spans="2:9">
      <c r="B5" s="306"/>
      <c r="C5" s="306"/>
      <c r="D5" s="306"/>
      <c r="E5" s="306"/>
      <c r="F5" s="306"/>
      <c r="G5" s="306"/>
      <c r="H5" s="306"/>
      <c r="I5" s="306"/>
    </row>
    <row r="7" spans="2:9" ht="22" customHeight="1">
      <c r="B7" s="307" t="s">
        <v>662</v>
      </c>
      <c r="C7" s="307"/>
      <c r="D7" s="307"/>
      <c r="F7" s="308" t="s">
        <v>663</v>
      </c>
      <c r="G7" s="308"/>
      <c r="H7" s="308"/>
      <c r="I7" s="308"/>
    </row>
    <row r="8" spans="2:9" ht="22" customHeight="1">
      <c r="B8" s="307"/>
      <c r="C8" s="307"/>
      <c r="D8" s="307"/>
      <c r="F8" s="308"/>
      <c r="G8" s="308"/>
      <c r="H8" s="308"/>
      <c r="I8" s="308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2026-10-26T10:46:43Z</dcterms:modified>
</cp:coreProperties>
</file>