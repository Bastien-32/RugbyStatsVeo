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A872C5C8-4CEA-5643-BC02-62BB4E42B97E}" xr6:coauthVersionLast="47" xr6:coauthVersionMax="47" xr10:uidLastSave="{00000000-0000-0000-0000-000000000000}"/>
  <bookViews>
    <workbookView xWindow="12620" yWindow="660" windowWidth="21520" windowHeight="18660" activeTab="2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2" l="1"/>
  <c r="O9" i="12" s="1"/>
  <c r="H42" i="12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P24" i="12" l="1"/>
  <c r="O17" i="12"/>
  <c r="O25" i="12"/>
  <c r="P31" i="12"/>
  <c r="P16" i="12"/>
  <c r="P23" i="12"/>
  <c r="P30" i="12"/>
  <c r="O14" i="12"/>
  <c r="P22" i="12"/>
  <c r="P29" i="12"/>
  <c r="P20" i="12"/>
  <c r="O29" i="12"/>
  <c r="O20" i="12"/>
  <c r="P12" i="12"/>
  <c r="P25" i="12"/>
  <c r="O18" i="12"/>
  <c r="P17" i="12"/>
  <c r="O24" i="12"/>
  <c r="O31" i="12"/>
  <c r="P14" i="12"/>
  <c r="O23" i="12"/>
  <c r="O30" i="12"/>
  <c r="P13" i="12"/>
  <c r="O13" i="12"/>
  <c r="P28" i="12"/>
  <c r="P19" i="12"/>
  <c r="O12" i="12"/>
  <c r="P26" i="12"/>
  <c r="O19" i="12"/>
  <c r="P11" i="12"/>
  <c r="O26" i="12"/>
  <c r="P18" i="12"/>
  <c r="O11" i="12"/>
  <c r="P10" i="12"/>
  <c r="O28" i="12"/>
  <c r="O22" i="12"/>
  <c r="O16" i="12"/>
  <c r="O10" i="12"/>
  <c r="P27" i="12"/>
  <c r="P21" i="12"/>
  <c r="P15" i="12"/>
  <c r="P9" i="12"/>
  <c r="O27" i="12"/>
  <c r="O21" i="12"/>
  <c r="O15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V31" i="12"/>
  <c r="U31" i="12"/>
  <c r="T31" i="12"/>
  <c r="S31" i="12"/>
  <c r="R31" i="12"/>
  <c r="V30" i="12"/>
  <c r="U30" i="12"/>
  <c r="T30" i="12"/>
  <c r="S30" i="12"/>
  <c r="R30" i="12"/>
  <c r="J60" i="12"/>
  <c r="H60" i="12"/>
  <c r="E60" i="12"/>
  <c r="C60" i="12"/>
  <c r="D84" i="12" s="1"/>
  <c r="V7" i="12"/>
  <c r="U7" i="12"/>
  <c r="T7" i="12"/>
  <c r="S7" i="12"/>
  <c r="R7" i="12"/>
  <c r="Q7" i="12"/>
  <c r="Q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Q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S11" i="12"/>
  <c r="M13" i="12"/>
  <c r="C15" i="12"/>
  <c r="L16" i="12"/>
  <c r="H18" i="12"/>
  <c r="S19" i="12"/>
  <c r="M21" i="12"/>
  <c r="C23" i="12"/>
  <c r="L24" i="12"/>
  <c r="H26" i="12"/>
  <c r="S27" i="12"/>
  <c r="M29" i="12"/>
  <c r="I63" i="12"/>
  <c r="I72" i="12"/>
  <c r="I81" i="12"/>
  <c r="G10" i="12"/>
  <c r="F13" i="12"/>
  <c r="K16" i="12"/>
  <c r="Q19" i="12"/>
  <c r="F21" i="12"/>
  <c r="V22" i="12"/>
  <c r="K24" i="12"/>
  <c r="G26" i="12"/>
  <c r="F29" i="12"/>
  <c r="D30" i="12"/>
  <c r="C30" i="12"/>
  <c r="D31" i="12"/>
  <c r="T11" i="12"/>
  <c r="E15" i="12"/>
  <c r="T19" i="12"/>
  <c r="N29" i="12"/>
  <c r="G12" i="12"/>
  <c r="G20" i="12"/>
  <c r="F23" i="12"/>
  <c r="K26" i="12"/>
  <c r="G31" i="12"/>
  <c r="H31" i="12"/>
  <c r="L10" i="12"/>
  <c r="H20" i="12"/>
  <c r="K12" i="12"/>
  <c r="V18" i="12"/>
  <c r="Q23" i="12"/>
  <c r="V26" i="12"/>
  <c r="G30" i="12"/>
  <c r="H74" i="12"/>
  <c r="H83" i="12"/>
  <c r="K82" i="12"/>
  <c r="M9" i="12"/>
  <c r="C11" i="12"/>
  <c r="L12" i="12"/>
  <c r="H14" i="12"/>
  <c r="S15" i="12"/>
  <c r="M17" i="12"/>
  <c r="C19" i="12"/>
  <c r="L20" i="12"/>
  <c r="H22" i="12"/>
  <c r="S23" i="12"/>
  <c r="M25" i="12"/>
  <c r="C27" i="12"/>
  <c r="L28" i="12"/>
  <c r="H30" i="12"/>
  <c r="I65" i="12"/>
  <c r="I74" i="12"/>
  <c r="I83" i="12"/>
  <c r="Q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T28" i="12"/>
  <c r="F28" i="12"/>
  <c r="L27" i="12"/>
  <c r="T26" i="12"/>
  <c r="F26" i="12"/>
  <c r="L25" i="12"/>
  <c r="T24" i="12"/>
  <c r="F24" i="12"/>
  <c r="L23" i="12"/>
  <c r="T22" i="12"/>
  <c r="F22" i="12"/>
  <c r="L21" i="12"/>
  <c r="T20" i="12"/>
  <c r="F20" i="12"/>
  <c r="L19" i="12"/>
  <c r="T18" i="12"/>
  <c r="F18" i="12"/>
  <c r="L17" i="12"/>
  <c r="T16" i="12"/>
  <c r="F16" i="12"/>
  <c r="L15" i="12"/>
  <c r="T14" i="12"/>
  <c r="F14" i="12"/>
  <c r="L13" i="12"/>
  <c r="T12" i="12"/>
  <c r="F12" i="12"/>
  <c r="L11" i="12"/>
  <c r="T10" i="12"/>
  <c r="F10" i="12"/>
  <c r="L9" i="12"/>
  <c r="K29" i="12"/>
  <c r="E28" i="12"/>
  <c r="K27" i="12"/>
  <c r="S26" i="12"/>
  <c r="E26" i="12"/>
  <c r="S24" i="12"/>
  <c r="E24" i="12"/>
  <c r="K23" i="12"/>
  <c r="E22" i="12"/>
  <c r="S20" i="12"/>
  <c r="K19" i="12"/>
  <c r="E18" i="12"/>
  <c r="S16" i="12"/>
  <c r="K15" i="12"/>
  <c r="E14" i="12"/>
  <c r="E12" i="12"/>
  <c r="E10" i="12"/>
  <c r="U29" i="12"/>
  <c r="G29" i="12"/>
  <c r="M28" i="12"/>
  <c r="G27" i="12"/>
  <c r="M26" i="12"/>
  <c r="G25" i="12"/>
  <c r="M24" i="12"/>
  <c r="G23" i="12"/>
  <c r="G21" i="12"/>
  <c r="M20" i="12"/>
  <c r="G19" i="12"/>
  <c r="U17" i="12"/>
  <c r="M14" i="12"/>
  <c r="U11" i="12"/>
  <c r="U9" i="12"/>
  <c r="G9" i="12"/>
  <c r="S28" i="12"/>
  <c r="K25" i="12"/>
  <c r="S22" i="12"/>
  <c r="K21" i="12"/>
  <c r="E20" i="12"/>
  <c r="S18" i="12"/>
  <c r="K17" i="12"/>
  <c r="E16" i="12"/>
  <c r="S14" i="12"/>
  <c r="K13" i="12"/>
  <c r="S12" i="12"/>
  <c r="K11" i="12"/>
  <c r="S10" i="12"/>
  <c r="K9" i="12"/>
  <c r="U27" i="12"/>
  <c r="M22" i="12"/>
  <c r="U19" i="12"/>
  <c r="G17" i="12"/>
  <c r="M10" i="12"/>
  <c r="J29" i="12"/>
  <c r="R28" i="12"/>
  <c r="D28" i="12"/>
  <c r="J27" i="12"/>
  <c r="R26" i="12"/>
  <c r="D26" i="12"/>
  <c r="J25" i="12"/>
  <c r="R24" i="12"/>
  <c r="D24" i="12"/>
  <c r="J23" i="12"/>
  <c r="R22" i="12"/>
  <c r="D22" i="12"/>
  <c r="J21" i="12"/>
  <c r="R20" i="12"/>
  <c r="D20" i="12"/>
  <c r="J19" i="12"/>
  <c r="R18" i="12"/>
  <c r="D18" i="12"/>
  <c r="J17" i="12"/>
  <c r="R16" i="12"/>
  <c r="D16" i="12"/>
  <c r="J15" i="12"/>
  <c r="R14" i="12"/>
  <c r="D14" i="12"/>
  <c r="J13" i="12"/>
  <c r="R12" i="12"/>
  <c r="D12" i="12"/>
  <c r="J11" i="12"/>
  <c r="R10" i="12"/>
  <c r="D10" i="12"/>
  <c r="J9" i="12"/>
  <c r="I29" i="12"/>
  <c r="Q28" i="12"/>
  <c r="C28" i="12"/>
  <c r="I27" i="12"/>
  <c r="Q26" i="12"/>
  <c r="C26" i="12"/>
  <c r="I25" i="12"/>
  <c r="Q24" i="12"/>
  <c r="C24" i="12"/>
  <c r="I23" i="12"/>
  <c r="Q22" i="12"/>
  <c r="C22" i="12"/>
  <c r="I21" i="12"/>
  <c r="Q20" i="12"/>
  <c r="C20" i="12"/>
  <c r="I19" i="12"/>
  <c r="Q18" i="12"/>
  <c r="C18" i="12"/>
  <c r="I17" i="12"/>
  <c r="Q16" i="12"/>
  <c r="C16" i="12"/>
  <c r="I15" i="12"/>
  <c r="Q14" i="12"/>
  <c r="C14" i="12"/>
  <c r="I13" i="12"/>
  <c r="Q12" i="12"/>
  <c r="C12" i="12"/>
  <c r="I11" i="12"/>
  <c r="Q10" i="12"/>
  <c r="C10" i="12"/>
  <c r="I9" i="12"/>
  <c r="U25" i="12"/>
  <c r="U23" i="12"/>
  <c r="U21" i="12"/>
  <c r="M18" i="12"/>
  <c r="M16" i="12"/>
  <c r="U15" i="12"/>
  <c r="G15" i="12"/>
  <c r="U13" i="12"/>
  <c r="G13" i="12"/>
  <c r="M12" i="12"/>
  <c r="G11" i="12"/>
  <c r="V29" i="12"/>
  <c r="H29" i="12"/>
  <c r="N28" i="12"/>
  <c r="V27" i="12"/>
  <c r="H27" i="12"/>
  <c r="N26" i="12"/>
  <c r="V25" i="12"/>
  <c r="H25" i="12"/>
  <c r="N24" i="12"/>
  <c r="V23" i="12"/>
  <c r="H23" i="12"/>
  <c r="N22" i="12"/>
  <c r="V21" i="12"/>
  <c r="H21" i="12"/>
  <c r="N20" i="12"/>
  <c r="V19" i="12"/>
  <c r="H19" i="12"/>
  <c r="N18" i="12"/>
  <c r="V17" i="12"/>
  <c r="H17" i="12"/>
  <c r="N16" i="12"/>
  <c r="V15" i="12"/>
  <c r="H15" i="12"/>
  <c r="N14" i="12"/>
  <c r="V13" i="12"/>
  <c r="H13" i="12"/>
  <c r="N12" i="12"/>
  <c r="V11" i="12"/>
  <c r="H11" i="12"/>
  <c r="N10" i="12"/>
  <c r="V9" i="12"/>
  <c r="H9" i="12"/>
  <c r="R29" i="12"/>
  <c r="D29" i="12"/>
  <c r="J28" i="12"/>
  <c r="R27" i="12"/>
  <c r="D27" i="12"/>
  <c r="J26" i="12"/>
  <c r="R25" i="12"/>
  <c r="D25" i="12"/>
  <c r="J24" i="12"/>
  <c r="R23" i="12"/>
  <c r="D23" i="12"/>
  <c r="J22" i="12"/>
  <c r="R21" i="12"/>
  <c r="D21" i="12"/>
  <c r="J20" i="12"/>
  <c r="R19" i="12"/>
  <c r="D19" i="12"/>
  <c r="J18" i="12"/>
  <c r="R17" i="12"/>
  <c r="D17" i="12"/>
  <c r="J16" i="12"/>
  <c r="R15" i="12"/>
  <c r="D15" i="12"/>
  <c r="J14" i="12"/>
  <c r="R13" i="12"/>
  <c r="D13" i="12"/>
  <c r="J12" i="12"/>
  <c r="R11" i="12"/>
  <c r="D11" i="12"/>
  <c r="J10" i="12"/>
  <c r="R9" i="12"/>
  <c r="D9" i="12"/>
  <c r="I10" i="12"/>
  <c r="N13" i="12"/>
  <c r="U16" i="12"/>
  <c r="I18" i="12"/>
  <c r="N21" i="12"/>
  <c r="E23" i="12"/>
  <c r="U24" i="12"/>
  <c r="I26" i="12"/>
  <c r="T27" i="12"/>
  <c r="V16" i="12"/>
  <c r="J31" i="12"/>
  <c r="I31" i="12"/>
  <c r="J30" i="12"/>
  <c r="E9" i="12"/>
  <c r="T13" i="12"/>
  <c r="U18" i="12"/>
  <c r="I20" i="12"/>
  <c r="T21" i="12"/>
  <c r="E25" i="12"/>
  <c r="U26" i="12"/>
  <c r="I28" i="12"/>
  <c r="T29" i="12"/>
  <c r="C31" i="12"/>
  <c r="I69" i="12"/>
  <c r="L31" i="12"/>
  <c r="K31" i="12"/>
  <c r="V10" i="12"/>
  <c r="Q15" i="12"/>
  <c r="K20" i="12"/>
  <c r="F25" i="12"/>
  <c r="K28" i="12"/>
  <c r="I66" i="12"/>
  <c r="I75" i="12"/>
  <c r="I84" i="12"/>
  <c r="Q11" i="12"/>
  <c r="V14" i="12"/>
  <c r="G18" i="12"/>
  <c r="Q27" i="12"/>
  <c r="C9" i="12"/>
  <c r="F9" i="12"/>
  <c r="F17" i="12"/>
  <c r="N9" i="12"/>
  <c r="U12" i="12"/>
  <c r="T15" i="12"/>
  <c r="N17" i="12"/>
  <c r="U20" i="12"/>
  <c r="I22" i="12"/>
  <c r="T23" i="12"/>
  <c r="N25" i="12"/>
  <c r="U28" i="12"/>
  <c r="I30" i="12"/>
  <c r="Q9" i="12"/>
  <c r="F11" i="12"/>
  <c r="V12" i="12"/>
  <c r="K14" i="12"/>
  <c r="G16" i="12"/>
  <c r="Q17" i="12"/>
  <c r="F19" i="12"/>
  <c r="V20" i="12"/>
  <c r="K22" i="12"/>
  <c r="G24" i="12"/>
  <c r="Q25" i="12"/>
  <c r="F27" i="12"/>
  <c r="V28" i="12"/>
  <c r="K30" i="12"/>
  <c r="H71" i="12"/>
  <c r="K10" i="12"/>
  <c r="F15" i="12"/>
  <c r="K18" i="12"/>
  <c r="Q21" i="12"/>
  <c r="V24" i="12"/>
  <c r="Q29" i="12"/>
  <c r="F84" i="12"/>
  <c r="E84" i="12"/>
  <c r="F85" i="12"/>
  <c r="E85" i="12"/>
  <c r="S13" i="12"/>
  <c r="M15" i="12"/>
  <c r="C17" i="12"/>
  <c r="L18" i="12"/>
  <c r="S21" i="12"/>
  <c r="M23" i="12"/>
  <c r="C25" i="12"/>
  <c r="L26" i="12"/>
  <c r="H28" i="12"/>
  <c r="S29" i="12"/>
  <c r="I85" i="12"/>
  <c r="H85" i="12"/>
  <c r="U10" i="12"/>
  <c r="I12" i="12"/>
  <c r="N15" i="12"/>
  <c r="E17" i="12"/>
  <c r="N23" i="12"/>
  <c r="H65" i="12"/>
  <c r="E11" i="12"/>
  <c r="I14" i="12"/>
  <c r="E19" i="12"/>
  <c r="E27" i="12"/>
  <c r="S9" i="12"/>
  <c r="M11" i="12"/>
  <c r="C13" i="12"/>
  <c r="L14" i="12"/>
  <c r="H16" i="12"/>
  <c r="S17" i="12"/>
  <c r="M19" i="12"/>
  <c r="C21" i="12"/>
  <c r="L22" i="12"/>
  <c r="H24" i="12"/>
  <c r="S25" i="12"/>
  <c r="M27" i="12"/>
  <c r="C29" i="12"/>
  <c r="L30" i="12"/>
  <c r="T9" i="12"/>
  <c r="N11" i="12"/>
  <c r="E13" i="12"/>
  <c r="U14" i="12"/>
  <c r="I16" i="12"/>
  <c r="T17" i="12"/>
  <c r="N19" i="12"/>
  <c r="E21" i="12"/>
  <c r="U22" i="12"/>
  <c r="I24" i="12"/>
  <c r="T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P8" i="12" l="1"/>
  <c r="P32" i="12" s="1"/>
  <c r="O8" i="12"/>
  <c r="O32" i="12" s="1"/>
  <c r="T8" i="12"/>
  <c r="T32" i="12" s="1"/>
  <c r="G8" i="12"/>
  <c r="G32" i="12" s="1"/>
  <c r="F8" i="12"/>
  <c r="F32" i="12" s="1"/>
  <c r="H8" i="12"/>
  <c r="H32" i="12" s="1"/>
  <c r="L8" i="12"/>
  <c r="L32" i="12" s="1"/>
  <c r="R8" i="12"/>
  <c r="R32" i="12" s="1"/>
  <c r="U8" i="12"/>
  <c r="U32" i="12" s="1"/>
  <c r="S8" i="12"/>
  <c r="S32" i="12" s="1"/>
  <c r="E8" i="12"/>
  <c r="E32" i="12" s="1"/>
  <c r="V8" i="12"/>
  <c r="V32" i="12" s="1"/>
  <c r="D8" i="12"/>
  <c r="D32" i="12" s="1"/>
  <c r="M8" i="12"/>
  <c r="M32" i="12" s="1"/>
  <c r="Q8" i="12"/>
  <c r="Q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O33" i="12" l="1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<sst xmlns="http://schemas.openxmlformats.org/spreadsheetml/2006/main" count="601" uniqueCount="458">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</sst>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35" fillId="29" borderId="101" xfId="0" applyFont="1" applyFill="1" applyBorder="1" applyAlignment="1">
      <alignment horizontal="center" vertical="center"/>
    </xf>
    <xf numFmtId="0" fontId="35" fillId="29" borderId="102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4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100542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44992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5" dataDxfId="54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3"/>
    <tableColumn id="2" xr3:uid="{0C1B8A30-A3B8-DA4D-B893-C4C99FF33E90}" name="nom" dataDxfId="52"/>
    <tableColumn id="3" xr3:uid="{8AE5AF32-0026-9B41-8B0B-16B9ED0F3727}" name="prenom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8" dataDxfId="47">
  <autoFilter ref="I1:I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2" totalsRowShown="0" headerRowDxfId="35" dataDxfId="33" headerRowBorderDxfId="34" tableBorderDxfId="32" totalsRowBorderDxfId="31">
  <autoFilter ref="Q1:R52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I12" sqref="I12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442</v>
      </c>
    </row>
    <row r="2" spans="1:9" ht="14">
      <c r="A2">
        <v>1</v>
      </c>
      <c r="B2" s="155" t="s">
        <v>324</v>
      </c>
      <c r="C2" s="155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433</v>
      </c>
    </row>
    <row r="3" spans="1:9" ht="14">
      <c r="A3">
        <v>2</v>
      </c>
      <c r="B3" s="155" t="s">
        <v>324</v>
      </c>
      <c r="C3" s="155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434</v>
      </c>
    </row>
    <row r="4" spans="1:9" ht="14">
      <c r="A4">
        <v>3</v>
      </c>
      <c r="B4" s="155" t="s">
        <v>324</v>
      </c>
      <c r="C4" s="155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435</v>
      </c>
    </row>
    <row r="5" spans="1:9" ht="14">
      <c r="A5">
        <v>4</v>
      </c>
      <c r="B5" s="155" t="s">
        <v>327</v>
      </c>
      <c r="C5" s="155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436</v>
      </c>
    </row>
    <row r="6" spans="1:9" ht="14">
      <c r="A6">
        <v>5</v>
      </c>
      <c r="B6" s="155" t="s">
        <v>329</v>
      </c>
      <c r="C6" s="155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437</v>
      </c>
    </row>
    <row r="7" spans="1:9" ht="14">
      <c r="A7">
        <v>6</v>
      </c>
      <c r="B7" s="155" t="s">
        <v>331</v>
      </c>
      <c r="C7" s="155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438</v>
      </c>
    </row>
    <row r="8" spans="1:9" ht="14">
      <c r="A8">
        <v>7</v>
      </c>
      <c r="B8" s="155" t="s">
        <v>333</v>
      </c>
      <c r="C8" s="155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439</v>
      </c>
    </row>
    <row r="9" spans="1:9" ht="14">
      <c r="A9">
        <v>8</v>
      </c>
      <c r="B9" s="155" t="s">
        <v>335</v>
      </c>
      <c r="C9" s="155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440</v>
      </c>
    </row>
    <row r="10" spans="1:9" ht="14">
      <c r="A10">
        <v>9</v>
      </c>
      <c r="B10" s="155" t="s">
        <v>337</v>
      </c>
      <c r="C10" s="155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441</v>
      </c>
    </row>
    <row r="11" spans="1:9" ht="14">
      <c r="A11">
        <v>10</v>
      </c>
      <c r="B11" s="155" t="s">
        <v>339</v>
      </c>
      <c r="C11" s="155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443</v>
      </c>
    </row>
    <row r="12" spans="1:9" ht="14">
      <c r="A12">
        <v>11</v>
      </c>
      <c r="B12" s="155" t="s">
        <v>341</v>
      </c>
      <c r="C12" s="155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5" t="s">
        <v>343</v>
      </c>
      <c r="C13" s="155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5" t="s">
        <v>345</v>
      </c>
      <c r="C14" s="155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5" t="s">
        <v>347</v>
      </c>
      <c r="C15" s="155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5" t="s">
        <v>349</v>
      </c>
      <c r="C16" s="155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5" t="s">
        <v>349</v>
      </c>
      <c r="C17" s="155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5" t="s">
        <v>352</v>
      </c>
      <c r="C18" s="155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5" t="s">
        <v>354</v>
      </c>
      <c r="C19" s="155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5" t="s">
        <v>356</v>
      </c>
      <c r="C20" s="155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5" t="s">
        <v>357</v>
      </c>
      <c r="C21" s="155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5" t="s">
        <v>359</v>
      </c>
      <c r="C22" s="155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5" t="s">
        <v>361</v>
      </c>
      <c r="C23" s="155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5" t="s">
        <v>361</v>
      </c>
      <c r="C24" s="155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5" t="s">
        <v>364</v>
      </c>
      <c r="C25" s="155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5" t="s">
        <v>366</v>
      </c>
      <c r="C26" s="155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5" t="s">
        <v>367</v>
      </c>
      <c r="C27" s="155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5" t="s">
        <v>369</v>
      </c>
      <c r="C28" s="155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5" t="s">
        <v>370</v>
      </c>
      <c r="C29" s="155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5" t="s">
        <v>372</v>
      </c>
      <c r="C30" s="155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5" t="s">
        <v>374</v>
      </c>
      <c r="C31" s="155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5" t="s">
        <v>376</v>
      </c>
      <c r="C32" s="155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5" t="s">
        <v>377</v>
      </c>
      <c r="C33" s="155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5" t="s">
        <v>378</v>
      </c>
      <c r="C34" s="155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5" t="s">
        <v>380</v>
      </c>
      <c r="C35" s="155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5" t="s">
        <v>380</v>
      </c>
      <c r="C36" s="155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5" t="s">
        <v>383</v>
      </c>
      <c r="C37" s="155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5" t="s">
        <v>384</v>
      </c>
      <c r="C38" s="155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5" t="s">
        <v>385</v>
      </c>
      <c r="C39" s="155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5" t="s">
        <v>387</v>
      </c>
      <c r="C40" s="155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5" t="s">
        <v>388</v>
      </c>
      <c r="C41" s="155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5" t="s">
        <v>390</v>
      </c>
      <c r="C42" s="155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5" t="s">
        <v>391</v>
      </c>
      <c r="C43" s="155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5" t="s">
        <v>393</v>
      </c>
      <c r="C44" s="155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5" t="s">
        <v>395</v>
      </c>
      <c r="C45" s="155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5" t="s">
        <v>397</v>
      </c>
      <c r="C46" s="155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5" t="s">
        <v>399</v>
      </c>
      <c r="C47" s="155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5" t="s">
        <v>399</v>
      </c>
      <c r="C48" s="155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5" t="s">
        <v>402</v>
      </c>
      <c r="C49" s="155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5" t="s">
        <v>404</v>
      </c>
      <c r="C50" s="155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5" t="s">
        <v>406</v>
      </c>
      <c r="C51" s="155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5" t="s">
        <v>407</v>
      </c>
      <c r="C52" s="155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5" t="s">
        <v>409</v>
      </c>
      <c r="C53" s="155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5" t="s">
        <v>410</v>
      </c>
      <c r="C54" s="155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5" t="s">
        <v>411</v>
      </c>
      <c r="C55" s="155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5" t="s">
        <v>413</v>
      </c>
      <c r="C56" s="155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5" t="s">
        <v>414</v>
      </c>
      <c r="C57" s="155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5" t="s">
        <v>416</v>
      </c>
      <c r="C58" s="155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5" t="s">
        <v>418</v>
      </c>
      <c r="C59" s="155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5" t="s">
        <v>418</v>
      </c>
      <c r="C60" s="155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5" t="s">
        <v>420</v>
      </c>
      <c r="C61" s="155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5" t="s">
        <v>422</v>
      </c>
      <c r="C62" s="155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5" t="s">
        <v>423</v>
      </c>
      <c r="C63" s="155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5" t="s">
        <v>425</v>
      </c>
      <c r="C64" s="155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5" t="s">
        <v>427</v>
      </c>
      <c r="C65" s="155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5" t="s">
        <v>428</v>
      </c>
      <c r="C66" s="155" t="s">
        <v>429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5" t="s">
        <v>430</v>
      </c>
      <c r="C67" s="155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5" t="s">
        <v>431</v>
      </c>
      <c r="C68" s="155" t="s">
        <v>432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6" sqref="C6: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19" t="s">
        <v>254</v>
      </c>
      <c r="C2" s="219"/>
      <c r="E2" s="220" t="s">
        <v>255</v>
      </c>
      <c r="F2" s="221"/>
      <c r="G2" s="221"/>
      <c r="H2" s="222"/>
    </row>
    <row r="3" spans="1:8" ht="19" customHeight="1">
      <c r="B3" s="219"/>
      <c r="C3" s="219"/>
      <c r="E3" s="223"/>
      <c r="F3" s="224"/>
      <c r="G3" s="224"/>
      <c r="H3" s="225"/>
    </row>
    <row r="4" spans="1:8" ht="19" customHeight="1" thickBot="1">
      <c r="B4" s="219"/>
      <c r="C4" s="219"/>
      <c r="E4" s="226"/>
      <c r="F4" s="227"/>
      <c r="G4" s="227"/>
      <c r="H4" s="228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443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445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446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70" zoomScaleNormal="70" workbookViewId="0">
      <selection activeCell="R30" sqref="R30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13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5"/>
      <c r="AZ1" s="16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9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3"/>
      <c r="AD3" s="189"/>
      <c r="AE3" s="179"/>
      <c r="AF3" s="179"/>
      <c r="AG3" s="179"/>
      <c r="AH3" s="179"/>
      <c r="AI3" s="188"/>
    </row>
    <row r="4" spans="1:52" ht="42" customHeight="1">
      <c r="A4" s="25"/>
      <c r="B4" s="25"/>
      <c r="C4" s="127"/>
      <c r="D4" s="214" t="s">
        <v>175</v>
      </c>
      <c r="E4" s="215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74"/>
      <c r="R4" s="168" t="s">
        <v>88</v>
      </c>
      <c r="S4" s="189"/>
      <c r="T4" s="39" t="s">
        <v>79</v>
      </c>
      <c r="U4" s="189"/>
      <c r="V4" s="39" t="s">
        <v>102</v>
      </c>
      <c r="W4" s="189"/>
      <c r="X4" s="39" t="s">
        <v>192</v>
      </c>
      <c r="Y4" s="189"/>
      <c r="Z4" s="39" t="s">
        <v>80</v>
      </c>
      <c r="AA4" s="189"/>
      <c r="AB4" s="39" t="s">
        <v>81</v>
      </c>
      <c r="AC4" s="193"/>
      <c r="AD4" s="189"/>
      <c r="AE4" s="179"/>
      <c r="AF4" s="179"/>
      <c r="AG4" s="179"/>
      <c r="AH4" s="179"/>
      <c r="AI4" s="188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86"/>
      <c r="R5" s="192"/>
      <c r="S5" s="187"/>
      <c r="T5" s="192"/>
      <c r="U5" s="187"/>
      <c r="V5" s="192"/>
      <c r="W5" s="187"/>
      <c r="X5" s="192"/>
      <c r="Y5" s="187"/>
      <c r="Z5" s="192"/>
      <c r="AA5" s="187"/>
      <c r="AB5" s="192"/>
      <c r="AC5" s="194"/>
      <c r="AD5" s="189"/>
      <c r="AE5" s="179"/>
      <c r="AF5" s="179"/>
      <c r="AG5" s="179"/>
      <c r="AH5" s="179"/>
      <c r="AI5" s="188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79"/>
      <c r="AE6" s="179"/>
      <c r="AF6" s="179"/>
      <c r="AG6" s="179"/>
      <c r="AH6" s="179"/>
      <c r="AI6" s="188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9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3"/>
      <c r="AD7" s="189"/>
      <c r="AE7" s="179"/>
      <c r="AF7" s="179"/>
      <c r="AG7" s="179"/>
      <c r="AH7" s="179"/>
      <c r="AI7" s="188"/>
    </row>
    <row r="8" spans="1:52" ht="26" customHeight="1">
      <c r="A8" s="25"/>
      <c r="B8" s="25"/>
      <c r="C8" s="141"/>
      <c r="D8" s="142" t="s">
        <v>298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74"/>
      <c r="R8" s="168" t="s">
        <v>99</v>
      </c>
      <c r="S8" s="189"/>
      <c r="T8" s="31" t="s">
        <v>83</v>
      </c>
      <c r="U8" s="189"/>
      <c r="V8" s="31" t="s">
        <v>84</v>
      </c>
      <c r="W8" s="189"/>
      <c r="X8" s="31" t="s">
        <v>85</v>
      </c>
      <c r="Y8" s="189"/>
      <c r="Z8" s="31" t="s">
        <v>86</v>
      </c>
      <c r="AA8" s="189"/>
      <c r="AB8" s="24" t="s">
        <v>87</v>
      </c>
      <c r="AC8" s="193"/>
      <c r="AD8" s="189"/>
      <c r="AE8" s="179"/>
      <c r="AF8" s="179"/>
      <c r="AG8" s="179"/>
      <c r="AH8" s="179"/>
      <c r="AI8" s="188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86"/>
      <c r="R9" s="192"/>
      <c r="S9" s="187"/>
      <c r="T9" s="192"/>
      <c r="U9" s="187"/>
      <c r="V9" s="192"/>
      <c r="W9" s="187"/>
      <c r="X9" s="192"/>
      <c r="Y9" s="187"/>
      <c r="Z9" s="192"/>
      <c r="AA9" s="187"/>
      <c r="AB9" s="192"/>
      <c r="AC9" s="194"/>
      <c r="AD9" s="189"/>
      <c r="AE9" s="179"/>
      <c r="AF9" s="179"/>
      <c r="AG9" s="179"/>
      <c r="AH9" s="179"/>
      <c r="AI9" s="188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79"/>
      <c r="AE10" s="179"/>
      <c r="AF10" s="179"/>
      <c r="AG10" s="179"/>
      <c r="AH10" s="179"/>
      <c r="AI10" s="188"/>
    </row>
    <row r="11" spans="1:52" ht="10" customHeight="1" thickTop="1">
      <c r="A11" s="25"/>
      <c r="B11" s="25" t="s">
        <v>95</v>
      </c>
      <c r="C11" s="169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1"/>
      <c r="O11" s="173"/>
      <c r="P11" s="152"/>
      <c r="Q11" s="169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</row>
    <row r="12" spans="1:52" ht="15" customHeight="1">
      <c r="A12" s="25"/>
      <c r="B12" s="25"/>
      <c r="C12" s="174"/>
      <c r="D12" s="216" t="s">
        <v>68</v>
      </c>
      <c r="E12" s="216"/>
      <c r="F12" s="216"/>
      <c r="G12" s="216"/>
      <c r="H12" s="216"/>
      <c r="I12" s="216"/>
      <c r="J12" s="216"/>
      <c r="K12" s="216"/>
      <c r="L12" s="216"/>
      <c r="M12" s="217"/>
      <c r="N12" s="218"/>
      <c r="O12" s="178"/>
      <c r="P12" s="152"/>
      <c r="Q12" s="174"/>
      <c r="R12" s="204" t="s">
        <v>69</v>
      </c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5"/>
      <c r="AH12" s="206"/>
      <c r="AI12" s="193"/>
    </row>
    <row r="13" spans="1:52">
      <c r="A13" s="25"/>
      <c r="B13" s="25"/>
      <c r="C13" s="174"/>
      <c r="D13" s="175"/>
      <c r="E13" s="179"/>
      <c r="F13" s="175"/>
      <c r="G13" s="179"/>
      <c r="H13" s="175"/>
      <c r="I13" s="179"/>
      <c r="J13" s="175"/>
      <c r="K13" s="179"/>
      <c r="L13" s="175"/>
      <c r="M13" s="179"/>
      <c r="N13" s="175"/>
      <c r="O13" s="178"/>
      <c r="P13" s="152"/>
      <c r="Q13" s="174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78"/>
    </row>
    <row r="14" spans="1:52" ht="42" customHeight="1">
      <c r="A14" s="25"/>
      <c r="B14" s="25"/>
      <c r="C14" s="181"/>
      <c r="D14" s="195">
        <v>1</v>
      </c>
      <c r="E14" s="183"/>
      <c r="F14" s="195">
        <v>2</v>
      </c>
      <c r="G14" s="183"/>
      <c r="H14" s="195">
        <v>3</v>
      </c>
      <c r="I14" s="183"/>
      <c r="J14" s="195">
        <v>4</v>
      </c>
      <c r="K14" s="183"/>
      <c r="L14" s="195">
        <v>5</v>
      </c>
      <c r="M14" s="183"/>
      <c r="N14" s="195">
        <v>6</v>
      </c>
      <c r="O14" s="184"/>
      <c r="P14" s="152"/>
      <c r="Q14" s="174"/>
      <c r="R14" s="168" t="s">
        <v>321</v>
      </c>
      <c r="S14" s="189"/>
      <c r="T14" s="29" t="s">
        <v>72</v>
      </c>
      <c r="U14" s="189"/>
      <c r="V14" s="29" t="s">
        <v>70</v>
      </c>
      <c r="W14" s="189"/>
      <c r="X14" s="29" t="s">
        <v>73</v>
      </c>
      <c r="Y14" s="189"/>
      <c r="Z14" s="29" t="s">
        <v>74</v>
      </c>
      <c r="AA14" s="189"/>
      <c r="AB14" s="29" t="s">
        <v>71</v>
      </c>
      <c r="AC14" s="189"/>
      <c r="AD14" s="179"/>
      <c r="AE14" s="179"/>
      <c r="AF14" s="268" t="s">
        <v>299</v>
      </c>
      <c r="AG14" s="269"/>
      <c r="AH14" s="270"/>
      <c r="AI14" s="193"/>
    </row>
    <row r="15" spans="1:52" ht="10" customHeight="1">
      <c r="A15" s="25"/>
      <c r="B15" s="25"/>
      <c r="C15" s="174"/>
      <c r="D15" s="182"/>
      <c r="E15" s="179"/>
      <c r="F15" s="182"/>
      <c r="G15" s="179"/>
      <c r="H15" s="182"/>
      <c r="I15" s="179"/>
      <c r="J15" s="182"/>
      <c r="K15" s="179"/>
      <c r="L15" s="182"/>
      <c r="M15" s="179"/>
      <c r="N15" s="182"/>
      <c r="O15" s="178"/>
      <c r="P15" s="152"/>
      <c r="Q15" s="174"/>
      <c r="R15" s="190"/>
      <c r="S15" s="179"/>
      <c r="T15" s="190"/>
      <c r="U15" s="179"/>
      <c r="V15" s="190"/>
      <c r="W15" s="179"/>
      <c r="X15" s="190"/>
      <c r="Y15" s="179"/>
      <c r="Z15" s="190"/>
      <c r="AA15" s="179"/>
      <c r="AB15" s="190"/>
      <c r="AC15" s="179"/>
      <c r="AD15" s="179"/>
      <c r="AE15" s="179"/>
      <c r="AF15" s="190"/>
      <c r="AG15" s="190"/>
      <c r="AH15" s="190"/>
      <c r="AI15" s="178"/>
    </row>
    <row r="16" spans="1:52" ht="42" customHeight="1">
      <c r="A16" s="25"/>
      <c r="B16" s="25"/>
      <c r="C16" s="181"/>
      <c r="D16" s="195">
        <v>7</v>
      </c>
      <c r="E16" s="183"/>
      <c r="F16" s="195">
        <v>8</v>
      </c>
      <c r="G16" s="183"/>
      <c r="H16" s="195">
        <v>9</v>
      </c>
      <c r="I16" s="183"/>
      <c r="J16" s="195">
        <v>10</v>
      </c>
      <c r="K16" s="183"/>
      <c r="L16" s="195">
        <v>11</v>
      </c>
      <c r="M16" s="183"/>
      <c r="N16" s="195">
        <v>12</v>
      </c>
      <c r="O16" s="184"/>
      <c r="P16" s="152"/>
      <c r="Q16" s="174"/>
      <c r="R16" s="168" t="s">
        <v>276</v>
      </c>
      <c r="S16" s="189"/>
      <c r="T16" s="29" t="s">
        <v>75</v>
      </c>
      <c r="U16" s="189"/>
      <c r="V16" s="29" t="s">
        <v>76</v>
      </c>
      <c r="W16" s="189"/>
      <c r="X16" s="29" t="s">
        <v>96</v>
      </c>
      <c r="Y16" s="189"/>
      <c r="Z16" s="179"/>
      <c r="AA16" s="179"/>
      <c r="AB16" s="179"/>
      <c r="AC16" s="179"/>
      <c r="AD16" s="168" t="s">
        <v>277</v>
      </c>
      <c r="AE16" s="189"/>
      <c r="AF16" s="29" t="s">
        <v>75</v>
      </c>
      <c r="AG16" s="189"/>
      <c r="AH16" s="29" t="s">
        <v>76</v>
      </c>
      <c r="AI16" s="193"/>
    </row>
    <row r="17" spans="1:35" ht="10" customHeight="1">
      <c r="A17" s="25"/>
      <c r="B17" s="25"/>
      <c r="C17" s="174"/>
      <c r="D17" s="182"/>
      <c r="E17" s="179"/>
      <c r="F17" s="182"/>
      <c r="G17" s="179"/>
      <c r="H17" s="182"/>
      <c r="I17" s="179"/>
      <c r="J17" s="182"/>
      <c r="K17" s="179"/>
      <c r="L17" s="182"/>
      <c r="M17" s="179"/>
      <c r="N17" s="182"/>
      <c r="O17" s="178"/>
      <c r="P17" s="152"/>
      <c r="Q17" s="174"/>
      <c r="R17" s="190"/>
      <c r="S17" s="179"/>
      <c r="T17" s="190"/>
      <c r="U17" s="179"/>
      <c r="V17" s="190"/>
      <c r="W17" s="179"/>
      <c r="X17" s="190"/>
      <c r="Y17" s="179"/>
      <c r="Z17" s="179"/>
      <c r="AA17" s="179"/>
      <c r="AB17" s="179"/>
      <c r="AC17" s="179"/>
      <c r="AD17" s="190"/>
      <c r="AE17" s="179"/>
      <c r="AF17" s="190"/>
      <c r="AG17" s="179"/>
      <c r="AH17" s="190"/>
      <c r="AI17" s="178"/>
    </row>
    <row r="18" spans="1:35" ht="42" customHeight="1">
      <c r="A18" s="25"/>
      <c r="B18" s="25"/>
      <c r="C18" s="181"/>
      <c r="D18" s="195">
        <v>13</v>
      </c>
      <c r="E18" s="183"/>
      <c r="F18" s="195">
        <v>14</v>
      </c>
      <c r="G18" s="183"/>
      <c r="H18" s="195">
        <v>15</v>
      </c>
      <c r="I18" s="183"/>
      <c r="J18" s="195">
        <v>16</v>
      </c>
      <c r="K18" s="183"/>
      <c r="L18" s="195">
        <v>17</v>
      </c>
      <c r="M18" s="183"/>
      <c r="N18" s="195">
        <v>18</v>
      </c>
      <c r="O18" s="184"/>
      <c r="P18" s="152"/>
      <c r="Q18" s="174"/>
      <c r="R18" s="168" t="s">
        <v>176</v>
      </c>
      <c r="S18" s="189"/>
      <c r="T18" s="29" t="s">
        <v>177</v>
      </c>
      <c r="U18" s="189"/>
      <c r="V18" s="29" t="s">
        <v>178</v>
      </c>
      <c r="W18" s="189"/>
      <c r="X18" s="29" t="s">
        <v>179</v>
      </c>
      <c r="Y18" s="189"/>
      <c r="Z18" s="29" t="s">
        <v>180</v>
      </c>
      <c r="AA18" s="189"/>
      <c r="AB18" s="29" t="s">
        <v>60</v>
      </c>
      <c r="AC18" s="189"/>
      <c r="AD18" s="29" t="s">
        <v>77</v>
      </c>
      <c r="AE18" s="189"/>
      <c r="AF18" s="29" t="s">
        <v>273</v>
      </c>
      <c r="AG18" s="189"/>
      <c r="AH18" s="29" t="s">
        <v>453</v>
      </c>
      <c r="AI18" s="193"/>
    </row>
    <row r="19" spans="1:35" s="25" customFormat="1" ht="10" customHeight="1">
      <c r="C19" s="174"/>
      <c r="D19" s="182"/>
      <c r="E19" s="179"/>
      <c r="F19" s="182"/>
      <c r="G19" s="179"/>
      <c r="H19" s="182"/>
      <c r="I19" s="179"/>
      <c r="J19" s="182"/>
      <c r="K19" s="179"/>
      <c r="L19" s="182"/>
      <c r="M19" s="179"/>
      <c r="N19" s="182"/>
      <c r="O19" s="178"/>
      <c r="P19" s="152"/>
      <c r="Q19" s="174"/>
      <c r="R19" s="190"/>
      <c r="S19" s="179"/>
      <c r="T19" s="190"/>
      <c r="U19" s="179"/>
      <c r="V19" s="190"/>
      <c r="W19" s="179"/>
      <c r="X19" s="190"/>
      <c r="Y19" s="179"/>
      <c r="Z19" s="190"/>
      <c r="AA19" s="179"/>
      <c r="AB19" s="190"/>
      <c r="AC19" s="179"/>
      <c r="AD19" s="190"/>
      <c r="AE19" s="179"/>
      <c r="AF19" s="190"/>
      <c r="AG19" s="179"/>
      <c r="AH19" s="190"/>
      <c r="AI19" s="178"/>
    </row>
    <row r="20" spans="1:35" ht="42" customHeight="1">
      <c r="A20" s="25"/>
      <c r="B20" s="25"/>
      <c r="C20" s="181"/>
      <c r="D20" s="195">
        <v>19</v>
      </c>
      <c r="E20" s="183"/>
      <c r="F20" s="195">
        <v>20</v>
      </c>
      <c r="G20" s="183"/>
      <c r="H20" s="195">
        <v>21</v>
      </c>
      <c r="I20" s="183"/>
      <c r="J20" s="195">
        <v>22</v>
      </c>
      <c r="K20" s="183"/>
      <c r="L20" s="196" t="s">
        <v>92</v>
      </c>
      <c r="M20" s="183"/>
      <c r="N20" s="196" t="s">
        <v>82</v>
      </c>
      <c r="O20" s="180"/>
      <c r="P20" s="152"/>
      <c r="Q20" s="174"/>
      <c r="R20" s="168" t="s">
        <v>116</v>
      </c>
      <c r="S20" s="189"/>
      <c r="T20" s="30" t="s">
        <v>210</v>
      </c>
      <c r="U20" s="189"/>
      <c r="V20" s="30" t="s">
        <v>211</v>
      </c>
      <c r="W20" s="189"/>
      <c r="X20" s="168" t="s">
        <v>205</v>
      </c>
      <c r="Y20" s="189"/>
      <c r="Z20" s="30" t="s">
        <v>206</v>
      </c>
      <c r="AA20" s="189"/>
      <c r="AB20" s="30" t="s">
        <v>207</v>
      </c>
      <c r="AC20" s="189"/>
      <c r="AD20" s="30" t="s">
        <v>208</v>
      </c>
      <c r="AE20" s="189"/>
      <c r="AF20" s="30" t="s">
        <v>209</v>
      </c>
      <c r="AG20" s="189"/>
      <c r="AH20" s="30" t="s">
        <v>135</v>
      </c>
      <c r="AI20" s="193"/>
    </row>
    <row r="21" spans="1:35" ht="10" customHeight="1" thickBot="1">
      <c r="A21" s="25"/>
      <c r="B21" s="25"/>
      <c r="C21" s="174"/>
      <c r="D21" s="185"/>
      <c r="E21" s="179"/>
      <c r="F21" s="185"/>
      <c r="G21" s="179"/>
      <c r="H21" s="185"/>
      <c r="I21" s="179"/>
      <c r="J21" s="185"/>
      <c r="K21" s="179"/>
      <c r="L21" s="185"/>
      <c r="M21" s="179"/>
      <c r="N21" s="197"/>
      <c r="O21" s="170"/>
      <c r="P21" s="153"/>
      <c r="Q21" s="186"/>
      <c r="R21" s="192"/>
      <c r="S21" s="187"/>
      <c r="T21" s="192"/>
      <c r="U21" s="187"/>
      <c r="V21" s="192"/>
      <c r="W21" s="187"/>
      <c r="X21" s="192"/>
      <c r="Y21" s="187"/>
      <c r="Z21" s="192"/>
      <c r="AA21" s="187"/>
      <c r="AB21" s="192"/>
      <c r="AC21" s="187"/>
      <c r="AD21" s="192"/>
      <c r="AE21" s="187"/>
      <c r="AF21" s="192"/>
      <c r="AG21" s="187"/>
      <c r="AH21" s="192"/>
      <c r="AI21" s="194"/>
    </row>
    <row r="22" spans="1:35" ht="10" customHeight="1" thickTop="1" thickBot="1">
      <c r="A22" s="25"/>
      <c r="B22" s="25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91"/>
      <c r="P22" s="25"/>
    </row>
    <row r="23" spans="1:35" ht="10" customHeight="1" thickTop="1">
      <c r="A23" s="25"/>
      <c r="B23" s="25"/>
      <c r="C23" s="169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1"/>
      <c r="O23" s="173"/>
      <c r="P23" s="25"/>
    </row>
    <row r="24" spans="1:35" ht="15" customHeight="1">
      <c r="A24" s="25"/>
      <c r="B24" s="25"/>
      <c r="C24" s="174"/>
      <c r="D24" s="207" t="s">
        <v>90</v>
      </c>
      <c r="E24" s="207"/>
      <c r="F24" s="207"/>
      <c r="G24" s="207"/>
      <c r="H24" s="207"/>
      <c r="I24" s="207"/>
      <c r="J24" s="207"/>
      <c r="K24" s="207"/>
      <c r="L24" s="207"/>
      <c r="M24" s="208"/>
      <c r="N24" s="209"/>
      <c r="O24" s="178"/>
      <c r="P24" s="25"/>
    </row>
    <row r="25" spans="1:35" s="25" customFormat="1" ht="10" customHeight="1">
      <c r="C25" s="174"/>
      <c r="D25" s="176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8"/>
    </row>
    <row r="26" spans="1:35" ht="15" customHeight="1">
      <c r="A26" s="25"/>
      <c r="B26" s="25"/>
      <c r="C26" s="198"/>
      <c r="D26" s="199" t="s">
        <v>91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8"/>
      <c r="P26" s="25"/>
    </row>
    <row r="27" spans="1:35" ht="10" customHeight="1">
      <c r="A27" s="25"/>
      <c r="B27" s="25"/>
      <c r="C27" s="174"/>
      <c r="D27" s="179"/>
      <c r="E27" s="179"/>
      <c r="F27" s="176"/>
      <c r="G27" s="179"/>
      <c r="H27" s="175"/>
      <c r="I27" s="179"/>
      <c r="J27" s="175"/>
      <c r="K27" s="179"/>
      <c r="L27" s="175"/>
      <c r="M27" s="179"/>
      <c r="N27" s="175"/>
      <c r="O27" s="178"/>
      <c r="P27" s="25"/>
    </row>
    <row r="28" spans="1:35" ht="42" customHeight="1">
      <c r="A28" s="25"/>
      <c r="B28" s="25"/>
      <c r="C28" s="174"/>
      <c r="D28" s="210">
        <v>3.0508552754629631E-2</v>
      </c>
      <c r="E28" s="211"/>
      <c r="F28" s="212"/>
      <c r="G28" s="200"/>
      <c r="H28" s="201" t="s">
        <v>62</v>
      </c>
      <c r="I28" s="183"/>
      <c r="J28" s="202" t="s">
        <v>61</v>
      </c>
      <c r="K28" s="183"/>
      <c r="L28" s="201" t="s">
        <v>169</v>
      </c>
      <c r="M28" s="183"/>
      <c r="N28" s="203" t="s">
        <v>63</v>
      </c>
      <c r="O28" s="180"/>
      <c r="P28" s="25"/>
      <c r="R28" s="25" t="s">
        <v>117</v>
      </c>
    </row>
    <row r="29" spans="1:35" ht="90" customHeight="1" thickBot="1">
      <c r="A29" s="25"/>
      <c r="B29" s="25"/>
      <c r="C29" s="174"/>
      <c r="D29" s="179"/>
      <c r="E29" s="179"/>
      <c r="F29" s="179"/>
      <c r="G29" s="179"/>
      <c r="H29" s="185"/>
      <c r="I29" s="179"/>
      <c r="J29" s="185"/>
      <c r="K29" s="179"/>
      <c r="L29" s="185"/>
      <c r="M29" s="179"/>
      <c r="N29" s="197"/>
      <c r="O29" s="170"/>
      <c r="P29" s="25"/>
    </row>
    <row r="30" spans="1:35" ht="106" customHeight="1" thickTop="1">
      <c r="A30" s="25"/>
      <c r="B30" s="25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91"/>
      <c r="P30" s="25"/>
    </row>
    <row r="31" spans="1:35" ht="10" customHeight="1">
      <c r="A31" s="25"/>
      <c r="B31" s="25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88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4"/>
      <c r="P32" s="25"/>
    </row>
    <row r="33" spans="1:21" ht="10" customHeight="1">
      <c r="A33" s="25"/>
      <c r="B33" s="25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88"/>
      <c r="P33" s="25"/>
    </row>
    <row r="34" spans="1:21" ht="15" customHeight="1">
      <c r="A34" s="25"/>
      <c r="B34" s="25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88"/>
      <c r="P34" s="25"/>
    </row>
    <row r="35" spans="1:21" ht="13" customHeight="1">
      <c r="A35" s="25"/>
      <c r="B35" s="25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88"/>
      <c r="P35" s="25"/>
    </row>
    <row r="36" spans="1:21" ht="42" customHeight="1">
      <c r="A36" s="25"/>
      <c r="B36" s="25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88"/>
      <c r="P36" s="25"/>
    </row>
    <row r="37" spans="1:21" ht="10" customHeight="1">
      <c r="A37" s="25"/>
      <c r="B37" s="25"/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88"/>
      <c r="P37" s="25"/>
    </row>
    <row r="38" spans="1:21" ht="42" customHeight="1">
      <c r="A38" s="25"/>
      <c r="B38" s="25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88"/>
      <c r="P38" s="25"/>
    </row>
    <row r="39" spans="1:21" ht="10" customHeight="1">
      <c r="A39" s="25"/>
      <c r="B39" s="25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88"/>
      <c r="P39" s="25"/>
    </row>
    <row r="40" spans="1:21" ht="42" customHeight="1">
      <c r="A40" s="25"/>
      <c r="B40" s="25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8"/>
      <c r="P40" s="25"/>
      <c r="R40" s="26"/>
      <c r="S40" s="26"/>
    </row>
    <row r="41" spans="1:21" ht="10" customHeight="1">
      <c r="A41" s="25"/>
      <c r="B41" s="25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88"/>
      <c r="P41" s="25"/>
      <c r="R41" s="26"/>
      <c r="S41" s="26"/>
    </row>
    <row r="42" spans="1:21" ht="42" customHeight="1">
      <c r="A42" s="25"/>
      <c r="B42" s="25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88"/>
      <c r="P42" s="25"/>
    </row>
    <row r="43" spans="1:21" s="25" customFormat="1" ht="10" customHeight="1"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88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4"/>
      <c r="P44" s="25"/>
    </row>
    <row r="45" spans="1:21" ht="10" customHeight="1">
      <c r="A45" s="25"/>
      <c r="B45" s="25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88"/>
      <c r="P45" s="25"/>
      <c r="Q45" s="27"/>
      <c r="T45" s="26"/>
      <c r="U45" s="26"/>
    </row>
    <row r="46" spans="1:21" ht="15" customHeight="1">
      <c r="A46" s="25"/>
      <c r="B46" s="25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88"/>
      <c r="P46" s="25"/>
      <c r="U46" s="26"/>
    </row>
    <row r="47" spans="1:21" ht="11" customHeight="1">
      <c r="A47" s="25"/>
      <c r="B47" s="25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88"/>
      <c r="P47" s="25"/>
      <c r="U47" s="26"/>
    </row>
    <row r="48" spans="1:21">
      <c r="A48" s="25"/>
      <c r="B48" s="25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88"/>
      <c r="P48" s="25"/>
      <c r="Q48" s="25" t="s">
        <v>117</v>
      </c>
      <c r="U48" s="26"/>
    </row>
    <row r="49" spans="1:18" ht="6" customHeight="1">
      <c r="A49" s="25"/>
      <c r="B49" s="25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88"/>
      <c r="P49" s="25"/>
    </row>
    <row r="50" spans="1:18" ht="42" customHeight="1">
      <c r="A50" s="25"/>
      <c r="B50" s="25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88"/>
      <c r="P50" s="25"/>
    </row>
    <row r="51" spans="1:18" ht="93" customHeight="1">
      <c r="A51" s="25"/>
      <c r="B51" s="25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7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167"/>
      <c r="J2"/>
      <c r="K2"/>
      <c r="L2" s="166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G1053"/>
  <sheetViews>
    <sheetView topLeftCell="A63" workbookViewId="0">
      <selection activeCell="H93" sqref="H93:J100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7" max="18" width="10.83203125" style="25"/>
    <col min="19" max="19" width="12.33203125" style="25" bestFit="1" customWidth="1"/>
    <col min="20" max="20" width="13.83203125" style="25" bestFit="1" customWidth="1"/>
    <col min="21" max="26" width="10.83203125" style="25"/>
    <col min="27" max="27" width="15.6640625" style="25" customWidth="1"/>
    <col min="28" max="29" width="10.83203125" style="25"/>
  </cols>
  <sheetData>
    <row r="1" spans="2:33" s="25" customFormat="1"/>
    <row r="2" spans="2:33" s="25" customFormat="1"/>
    <row r="3" spans="2:33" s="25" customFormat="1" ht="20" customHeight="1">
      <c r="B3" s="248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49"/>
      <c r="D3" s="249"/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</row>
    <row r="4" spans="2:33" s="25" customFormat="1" ht="20" customHeight="1">
      <c r="B4" s="248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</row>
    <row r="5" spans="2:33" s="25" customFormat="1"/>
    <row r="6" spans="2:33" ht="14" customHeight="1">
      <c r="B6" s="231" t="s">
        <v>64</v>
      </c>
      <c r="C6" s="233" t="str">
        <f>ACT_PL_NORMAL</f>
        <v>Plaquage normal</v>
      </c>
      <c r="D6" s="230"/>
      <c r="E6" s="233" t="str">
        <f>ACT_PL_OFF</f>
        <v>Plaquage offensif</v>
      </c>
      <c r="F6" s="230"/>
      <c r="G6" s="233" t="str">
        <f>ACT_PL_RATE</f>
        <v>Plaquage raté</v>
      </c>
      <c r="H6" s="230"/>
      <c r="I6" s="233" t="str">
        <f>ACT_PL_A2</f>
        <v>Plaquage à 2</v>
      </c>
      <c r="J6" s="229"/>
      <c r="K6" s="229" t="str">
        <f>ACT_PL_HAUT</f>
        <v>Plaquage haut</v>
      </c>
      <c r="L6" s="230"/>
      <c r="M6" s="229" t="str">
        <f>ACT_GRATTAGE</f>
        <v>Grattage</v>
      </c>
      <c r="N6" s="230"/>
      <c r="O6" s="229" t="str">
        <f>ACT_FRANCHISSEMENT</f>
        <v>Franchissement</v>
      </c>
      <c r="P6" s="230"/>
      <c r="Q6" s="234" t="s">
        <v>286</v>
      </c>
      <c r="R6" s="235"/>
      <c r="S6" s="235"/>
      <c r="T6" s="235"/>
      <c r="U6" s="235"/>
      <c r="V6" s="236"/>
      <c r="AB6"/>
      <c r="AC6"/>
    </row>
    <row r="7" spans="2:33" ht="13" customHeight="1">
      <c r="B7" s="232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95" t="str">
        <f>ACT_PEN_MAUL</f>
        <v>Maul</v>
      </c>
      <c r="R7" s="95" t="str">
        <f>ACT_PEN_HORS_JEU</f>
        <v>Hors-jeu</v>
      </c>
      <c r="S7" s="95" t="str">
        <f>ACT_PEN_PL_A_2</f>
        <v>Plaquage à 2</v>
      </c>
      <c r="T7" s="95" t="str">
        <f>ACT_PEN_PL_HAUT</f>
        <v>Plaquage haut</v>
      </c>
      <c r="U7" s="95" t="str">
        <f>ACT_PEN_RUCK</f>
        <v>Ruck</v>
      </c>
      <c r="V7" s="95" t="str">
        <f>ACT_PEN_UNKNOWN</f>
        <v>?</v>
      </c>
      <c r="AB7"/>
      <c r="AC7"/>
    </row>
    <row r="8" spans="2:33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89" t="str">
        <f>IF(COUNTIFS(JournalActions[Joueur],$B8,JournalActions[Action],ACT_PEN_CONTRE_NOUS,JournalActions[Motif penalite],Q$7)=0,"",COUNTIFS(JournalActions[Joueur],$B8,JournalActions[Action],ACT_PEN_CONTRE_NOUS,JournalActions[Motif penalite],Q$7))</f>
        <v/>
      </c>
      <c r="R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S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T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U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V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B8"/>
      <c r="AC8"/>
    </row>
    <row r="9" spans="2:33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96" t="str">
        <f>IF(COUNTIFS(JournalActions[Joueur],$B9,JournalActions[Action],ACT_PEN_CONTRE_NOUS,JournalActions[Motif penalite],Q$7)=0,"",COUNTIFS(JournalActions[Joueur],$B9,JournalActions[Action],ACT_PEN_CONTRE_NOUS,JournalActions[Motif penalite],Q$7))</f>
        <v/>
      </c>
      <c r="R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S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T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U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V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B9"/>
      <c r="AC9"/>
    </row>
    <row r="10" spans="2:33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96" t="str">
        <f>IF(COUNTIFS(JournalActions[Joueur],$B10,JournalActions[Action],ACT_PEN_CONTRE_NOUS,JournalActions[Motif penalite],Q$7)=0,"",COUNTIFS(JournalActions[Joueur],$B10,JournalActions[Action],ACT_PEN_CONTRE_NOUS,JournalActions[Motif penalite],Q$7))</f>
        <v/>
      </c>
      <c r="R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S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T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U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V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B10"/>
      <c r="AC10"/>
    </row>
    <row r="11" spans="2:33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96" t="str">
        <f>IF(COUNTIFS(JournalActions[Joueur],$B11,JournalActions[Action],ACT_PEN_CONTRE_NOUS,JournalActions[Motif penalite],Q$7)=0,"",COUNTIFS(JournalActions[Joueur],$B11,JournalActions[Action],ACT_PEN_CONTRE_NOUS,JournalActions[Motif penalite],Q$7))</f>
        <v/>
      </c>
      <c r="R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S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T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U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V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B11"/>
      <c r="AC11"/>
    </row>
    <row r="12" spans="2:33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96" t="str">
        <f>IF(COUNTIFS(JournalActions[Joueur],$B12,JournalActions[Action],ACT_PEN_CONTRE_NOUS,JournalActions[Motif penalite],Q$7)=0,"",COUNTIFS(JournalActions[Joueur],$B12,JournalActions[Action],ACT_PEN_CONTRE_NOUS,JournalActions[Motif penalite],Q$7))</f>
        <v/>
      </c>
      <c r="R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S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T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U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V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B12"/>
      <c r="AC12"/>
    </row>
    <row r="13" spans="2:33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96" t="str">
        <f>IF(COUNTIFS(JournalActions[Joueur],$B13,JournalActions[Action],ACT_PEN_CONTRE_NOUS,JournalActions[Motif penalite],Q$7)=0,"",COUNTIFS(JournalActions[Joueur],$B13,JournalActions[Action],ACT_PEN_CONTRE_NOUS,JournalActions[Motif penalite],Q$7))</f>
        <v/>
      </c>
      <c r="R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S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T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U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V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D13" s="25"/>
      <c r="AE13" s="25"/>
      <c r="AF13" s="25"/>
      <c r="AG13" s="25"/>
    </row>
    <row r="14" spans="2:33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96" t="str">
        <f>IF(COUNTIFS(JournalActions[Joueur],$B14,JournalActions[Action],ACT_PEN_CONTRE_NOUS,JournalActions[Motif penalite],Q$7)=0,"",COUNTIFS(JournalActions[Joueur],$B14,JournalActions[Action],ACT_PEN_CONTRE_NOUS,JournalActions[Motif penalite],Q$7))</f>
        <v/>
      </c>
      <c r="R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S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T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U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V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D14" s="25"/>
      <c r="AE14" s="25"/>
      <c r="AF14" s="25"/>
      <c r="AG14" s="25"/>
    </row>
    <row r="15" spans="2:33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96" t="str">
        <f>IF(COUNTIFS(JournalActions[Joueur],$B15,JournalActions[Action],ACT_PEN_CONTRE_NOUS,JournalActions[Motif penalite],Q$7)=0,"",COUNTIFS(JournalActions[Joueur],$B15,JournalActions[Action],ACT_PEN_CONTRE_NOUS,JournalActions[Motif penalite],Q$7))</f>
        <v/>
      </c>
      <c r="R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S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T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U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V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D15" s="25"/>
      <c r="AE15" s="25"/>
      <c r="AF15" s="25"/>
      <c r="AG15" s="25"/>
    </row>
    <row r="16" spans="2:33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96" t="str">
        <f>IF(COUNTIFS(JournalActions[Joueur],$B16,JournalActions[Action],ACT_PEN_CONTRE_NOUS,JournalActions[Motif penalite],Q$7)=0,"",COUNTIFS(JournalActions[Joueur],$B16,JournalActions[Action],ACT_PEN_CONTRE_NOUS,JournalActions[Motif penalite],Q$7))</f>
        <v/>
      </c>
      <c r="R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S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T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U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V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D16" s="25"/>
      <c r="AE16" s="25"/>
      <c r="AF16" s="25"/>
      <c r="AG16" s="25"/>
    </row>
    <row r="17" spans="2:33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96" t="str">
        <f>IF(COUNTIFS(JournalActions[Joueur],$B17,JournalActions[Action],ACT_PEN_CONTRE_NOUS,JournalActions[Motif penalite],Q$7)=0,"",COUNTIFS(JournalActions[Joueur],$B17,JournalActions[Action],ACT_PEN_CONTRE_NOUS,JournalActions[Motif penalite],Q$7))</f>
        <v/>
      </c>
      <c r="R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S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T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U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V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D17" s="25"/>
      <c r="AE17" s="25"/>
      <c r="AF17" s="25"/>
      <c r="AG17" s="25"/>
    </row>
    <row r="18" spans="2:33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96" t="str">
        <f>IF(COUNTIFS(JournalActions[Joueur],$B18,JournalActions[Action],ACT_PEN_CONTRE_NOUS,JournalActions[Motif penalite],Q$7)=0,"",COUNTIFS(JournalActions[Joueur],$B18,JournalActions[Action],ACT_PEN_CONTRE_NOUS,JournalActions[Motif penalite],Q$7))</f>
        <v/>
      </c>
      <c r="R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S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T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U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V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D18" s="25"/>
      <c r="AE18" s="25"/>
      <c r="AF18" s="25"/>
      <c r="AG18" s="25"/>
    </row>
    <row r="19" spans="2:33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96" t="str">
        <f>IF(COUNTIFS(JournalActions[Joueur],$B19,JournalActions[Action],ACT_PEN_CONTRE_NOUS,JournalActions[Motif penalite],Q$7)=0,"",COUNTIFS(JournalActions[Joueur],$B19,JournalActions[Action],ACT_PEN_CONTRE_NOUS,JournalActions[Motif penalite],Q$7))</f>
        <v/>
      </c>
      <c r="R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S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T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U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V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D19" s="25"/>
      <c r="AE19" s="25"/>
      <c r="AF19" s="25"/>
      <c r="AG19" s="25"/>
    </row>
    <row r="20" spans="2:33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96" t="str">
        <f>IF(COUNTIFS(JournalActions[Joueur],$B20,JournalActions[Action],ACT_PEN_CONTRE_NOUS,JournalActions[Motif penalite],Q$7)=0,"",COUNTIFS(JournalActions[Joueur],$B20,JournalActions[Action],ACT_PEN_CONTRE_NOUS,JournalActions[Motif penalite],Q$7))</f>
        <v/>
      </c>
      <c r="R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S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T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U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V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3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96" t="str">
        <f>IF(COUNTIFS(JournalActions[Joueur],$B21,JournalActions[Action],ACT_PEN_CONTRE_NOUS,JournalActions[Motif penalite],Q$7)=0,"",COUNTIFS(JournalActions[Joueur],$B21,JournalActions[Action],ACT_PEN_CONTRE_NOUS,JournalActions[Motif penalite],Q$7))</f>
        <v/>
      </c>
      <c r="R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S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T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U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V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3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96" t="str">
        <f>IF(COUNTIFS(JournalActions[Joueur],$B22,JournalActions[Action],ACT_PEN_CONTRE_NOUS,JournalActions[Motif penalite],Q$7)=0,"",COUNTIFS(JournalActions[Joueur],$B22,JournalActions[Action],ACT_PEN_CONTRE_NOUS,JournalActions[Motif penalite],Q$7))</f>
        <v/>
      </c>
      <c r="R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S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T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U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V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3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96" t="str">
        <f>IF(COUNTIFS(JournalActions[Joueur],$B23,JournalActions[Action],ACT_PEN_CONTRE_NOUS,JournalActions[Motif penalite],Q$7)=0,"",COUNTIFS(JournalActions[Joueur],$B23,JournalActions[Action],ACT_PEN_CONTRE_NOUS,JournalActions[Motif penalite],Q$7))</f>
        <v/>
      </c>
      <c r="R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S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T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U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V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3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96" t="str">
        <f>IF(COUNTIFS(JournalActions[Joueur],$B24,JournalActions[Action],ACT_PEN_CONTRE_NOUS,JournalActions[Motif penalite],Q$7)=0,"",COUNTIFS(JournalActions[Joueur],$B24,JournalActions[Action],ACT_PEN_CONTRE_NOUS,JournalActions[Motif penalite],Q$7))</f>
        <v/>
      </c>
      <c r="R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S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T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U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V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3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96" t="str">
        <f>IF(COUNTIFS(JournalActions[Joueur],$B25,JournalActions[Action],ACT_PEN_CONTRE_NOUS,JournalActions[Motif penalite],Q$7)=0,"",COUNTIFS(JournalActions[Joueur],$B25,JournalActions[Action],ACT_PEN_CONTRE_NOUS,JournalActions[Motif penalite],Q$7))</f>
        <v/>
      </c>
      <c r="R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S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T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U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V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3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96" t="str">
        <f>IF(COUNTIFS(JournalActions[Joueur],$B26,JournalActions[Action],ACT_PEN_CONTRE_NOUS,JournalActions[Motif penalite],Q$7)=0,"",COUNTIFS(JournalActions[Joueur],$B26,JournalActions[Action],ACT_PEN_CONTRE_NOUS,JournalActions[Motif penalite],Q$7))</f>
        <v/>
      </c>
      <c r="R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S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T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U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V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3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96" t="str">
        <f>IF(COUNTIFS(JournalActions[Joueur],$B27,JournalActions[Action],ACT_PEN_CONTRE_NOUS,JournalActions[Motif penalite],Q$7)=0,"",COUNTIFS(JournalActions[Joueur],$B27,JournalActions[Action],ACT_PEN_CONTRE_NOUS,JournalActions[Motif penalite],Q$7))</f>
        <v/>
      </c>
      <c r="R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S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T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U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V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3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96" t="str">
        <f>IF(COUNTIFS(JournalActions[Joueur],$B28,JournalActions[Action],ACT_PEN_CONTRE_NOUS,JournalActions[Motif penalite],Q$7)=0,"",COUNTIFS(JournalActions[Joueur],$B28,JournalActions[Action],ACT_PEN_CONTRE_NOUS,JournalActions[Motif penalite],Q$7))</f>
        <v/>
      </c>
      <c r="R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S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T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U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V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3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96" t="str">
        <f>IF(COUNTIFS(JournalActions[Joueur],$B29,JournalActions[Action],ACT_PEN_CONTRE_NOUS,JournalActions[Motif penalite],Q$7)=0,"",COUNTIFS(JournalActions[Joueur],$B29,JournalActions[Action],ACT_PEN_CONTRE_NOUS,JournalActions[Motif penalite],Q$7))</f>
        <v/>
      </c>
      <c r="R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S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T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U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V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3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96" t="str">
        <f>IF(COUNTIFS(JournalActions[Joueur],$B30,JournalActions[Action],ACT_PEN_CONTRE_NOUS,JournalActions[Motif penalite],Q$7)=0,"",COUNTIFS(JournalActions[Joueur],$B30,JournalActions[Action],ACT_PEN_CONTRE_NOUS,JournalActions[Motif penalite],Q$7))</f>
        <v/>
      </c>
      <c r="R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S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T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U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V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3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97" t="str">
        <f>IF(COUNTIFS(JournalActions[Joueur],$B31,JournalActions[Action],ACT_PEN_CONTRE_NOUS,JournalActions[Motif penalite],Q$7)=0,"",COUNTIFS(JournalActions[Joueur],$B31,JournalActions[Action],ACT_PEN_CONTRE_NOUS,JournalActions[Motif penalite],Q$7))</f>
        <v/>
      </c>
      <c r="R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S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T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U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V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3" s="25" customFormat="1" ht="22" customHeight="1">
      <c r="B32" s="80" t="s">
        <v>230</v>
      </c>
      <c r="C32" s="81">
        <f>SUM(C8:C31)</f>
        <v>0</v>
      </c>
      <c r="D32" s="82">
        <f t="shared" ref="D32:V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237">
        <f t="shared" si="0"/>
        <v>0</v>
      </c>
      <c r="R32" s="237">
        <f t="shared" si="0"/>
        <v>0</v>
      </c>
      <c r="S32" s="237">
        <f t="shared" si="0"/>
        <v>0</v>
      </c>
      <c r="T32" s="237">
        <f t="shared" si="0"/>
        <v>0</v>
      </c>
      <c r="U32" s="237">
        <f t="shared" si="0"/>
        <v>0</v>
      </c>
      <c r="V32" s="237">
        <f t="shared" si="0"/>
        <v>0</v>
      </c>
    </row>
    <row r="33" spans="2:29" s="69" customFormat="1" ht="25" customHeight="1">
      <c r="B33" s="83" t="s">
        <v>229</v>
      </c>
      <c r="C33" s="241">
        <f>C32+D32</f>
        <v>0</v>
      </c>
      <c r="D33" s="242"/>
      <c r="E33" s="243">
        <f t="shared" ref="E33" si="2">E32+F32</f>
        <v>0</v>
      </c>
      <c r="F33" s="243"/>
      <c r="G33" s="241">
        <f t="shared" ref="G33" si="3">G32+H32</f>
        <v>0</v>
      </c>
      <c r="H33" s="242"/>
      <c r="I33" s="241">
        <f>I32+J32</f>
        <v>0</v>
      </c>
      <c r="J33" s="242"/>
      <c r="K33" s="241">
        <f t="shared" ref="K33" si="4">K32+L32</f>
        <v>0</v>
      </c>
      <c r="L33" s="242"/>
      <c r="M33" s="243">
        <f t="shared" ref="M33" si="5">M32+N32</f>
        <v>0</v>
      </c>
      <c r="N33" s="242"/>
      <c r="O33" s="243">
        <f t="shared" ref="O33" si="6">O32+P32</f>
        <v>0</v>
      </c>
      <c r="P33" s="242"/>
      <c r="Q33" s="238"/>
      <c r="R33" s="238"/>
      <c r="S33" s="238"/>
      <c r="T33" s="238"/>
      <c r="U33" s="238"/>
      <c r="V33" s="238"/>
    </row>
    <row r="34" spans="2:29" s="25" customFormat="1"/>
    <row r="35" spans="2:29" s="25" customFormat="1"/>
    <row r="36" spans="2:29" ht="14">
      <c r="B36" s="84" t="s">
        <v>196</v>
      </c>
      <c r="C36" s="84" t="s">
        <v>265</v>
      </c>
      <c r="D36" s="85" t="s">
        <v>195</v>
      </c>
      <c r="E36" s="25"/>
      <c r="F36" s="25"/>
      <c r="G36" s="233" t="s">
        <v>224</v>
      </c>
      <c r="H36" s="230"/>
      <c r="J36" s="233" t="s">
        <v>78</v>
      </c>
      <c r="K36" s="233" t="s">
        <v>198</v>
      </c>
      <c r="L36" s="229"/>
      <c r="M36" s="230"/>
      <c r="N36" s="230" t="s">
        <v>225</v>
      </c>
      <c r="O36" s="25"/>
      <c r="P36" s="25"/>
      <c r="AA36"/>
      <c r="AB36"/>
      <c r="AC36"/>
    </row>
    <row r="37" spans="2:29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44"/>
      <c r="K37" s="98" t="s">
        <v>204</v>
      </c>
      <c r="L37" s="94" t="s">
        <v>223</v>
      </c>
      <c r="M37" s="99" t="s">
        <v>82</v>
      </c>
      <c r="N37" s="245"/>
      <c r="O37" s="25"/>
      <c r="P37" s="25"/>
      <c r="AA37"/>
      <c r="AB37"/>
      <c r="AC37"/>
    </row>
    <row r="38" spans="2:29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AA38"/>
      <c r="AB38"/>
      <c r="AC38"/>
    </row>
    <row r="39" spans="2:29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AA39"/>
      <c r="AB39"/>
      <c r="AC39"/>
    </row>
    <row r="40" spans="2:29" ht="14">
      <c r="B40" s="84" t="s">
        <v>197</v>
      </c>
      <c r="C40" s="84" t="s">
        <v>265</v>
      </c>
      <c r="D40" s="85" t="s">
        <v>195</v>
      </c>
      <c r="E40" s="25"/>
      <c r="F40" s="25"/>
      <c r="G40" s="233" t="s">
        <v>200</v>
      </c>
      <c r="H40" s="230"/>
      <c r="I40" s="25"/>
      <c r="J40" s="25"/>
      <c r="K40" s="25"/>
      <c r="L40" s="25"/>
      <c r="M40" s="25"/>
      <c r="N40" s="25"/>
      <c r="O40" s="25"/>
      <c r="P40" s="25"/>
    </row>
    <row r="41" spans="2:29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</row>
    <row r="42" spans="2:29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39" t="s">
        <v>31</v>
      </c>
      <c r="K42" s="240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</row>
    <row r="43" spans="2:29">
      <c r="B43" s="25"/>
      <c r="C43" s="25"/>
      <c r="D43" s="25"/>
      <c r="E43" s="25"/>
      <c r="F43" s="25"/>
      <c r="G43" s="25"/>
      <c r="H43" s="25"/>
      <c r="I43" s="25"/>
      <c r="J43" s="256" t="s">
        <v>33</v>
      </c>
      <c r="K43" s="257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</row>
    <row r="44" spans="2:29" ht="14">
      <c r="B44" s="84" t="s">
        <v>287</v>
      </c>
      <c r="C44" s="84" t="s">
        <v>265</v>
      </c>
      <c r="D44" s="85" t="s">
        <v>195</v>
      </c>
      <c r="E44" s="25"/>
      <c r="F44" s="25"/>
      <c r="G44" s="233" t="s">
        <v>291</v>
      </c>
      <c r="H44" s="230"/>
      <c r="I44" s="25"/>
      <c r="J44" s="239" t="s">
        <v>35</v>
      </c>
      <c r="K44" s="240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</row>
    <row r="45" spans="2:29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56" t="s">
        <v>37</v>
      </c>
      <c r="K45" s="257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</row>
    <row r="46" spans="2:29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39" t="s">
        <v>39</v>
      </c>
      <c r="K46" s="240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</row>
    <row r="47" spans="2:29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56" t="s">
        <v>220</v>
      </c>
      <c r="K47" s="257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</row>
    <row r="48" spans="2:29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</row>
    <row r="49" spans="2:16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</row>
    <row r="50" spans="2:16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</row>
    <row r="51" spans="2:16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</row>
    <row r="52" spans="2:16" s="25" customFormat="1"/>
    <row r="53" spans="2:16" s="25" customFormat="1"/>
    <row r="54" spans="2:16" s="25" customFormat="1"/>
    <row r="55" spans="2:16" s="25" customFormat="1" ht="14" thickBot="1"/>
    <row r="56" spans="2:16" s="25" customFormat="1">
      <c r="B56" s="258" t="s">
        <v>289</v>
      </c>
      <c r="C56" s="259"/>
      <c r="D56" s="259"/>
      <c r="E56" s="259"/>
      <c r="F56" s="259"/>
      <c r="G56" s="259"/>
      <c r="H56" s="259"/>
      <c r="I56" s="259"/>
      <c r="J56" s="259"/>
      <c r="K56" s="260"/>
    </row>
    <row r="57" spans="2:16" s="25" customFormat="1">
      <c r="B57" s="261"/>
      <c r="C57" s="262"/>
      <c r="D57" s="262"/>
      <c r="E57" s="262"/>
      <c r="F57" s="262"/>
      <c r="G57" s="262"/>
      <c r="H57" s="262"/>
      <c r="I57" s="262"/>
      <c r="J57" s="262"/>
      <c r="K57" s="263"/>
    </row>
    <row r="58" spans="2:16" s="25" customFormat="1" ht="14" thickBot="1">
      <c r="B58" s="264"/>
      <c r="C58" s="265"/>
      <c r="D58" s="265"/>
      <c r="E58" s="265"/>
      <c r="F58" s="265"/>
      <c r="G58" s="265"/>
      <c r="H58" s="265"/>
      <c r="I58" s="265"/>
      <c r="J58" s="265"/>
      <c r="K58" s="266"/>
    </row>
    <row r="59" spans="2:16" s="25" customFormat="1"/>
    <row r="60" spans="2:16" s="25" customFormat="1" ht="14">
      <c r="B60" s="231" t="s">
        <v>64</v>
      </c>
      <c r="C60" s="233" t="str">
        <f>ACT_TO_NS_G</f>
        <v>Touche à nous conservée</v>
      </c>
      <c r="D60" s="230"/>
      <c r="E60" s="233" t="str">
        <f>ACT_TO_ADV_VOLEE</f>
        <v>Touche à eux volée</v>
      </c>
      <c r="F60" s="230"/>
      <c r="H60" s="246" t="str">
        <f>ACT_TO_NS_P</f>
        <v>Touche à nous perdue</v>
      </c>
      <c r="I60" s="247"/>
      <c r="J60" s="246" t="str">
        <f>ACT_TO_NS_PAS_DROIT</f>
        <v>Touche à nous pas droite</v>
      </c>
      <c r="K60" s="247"/>
    </row>
    <row r="61" spans="2:16" s="25" customFormat="1" ht="14">
      <c r="B61" s="232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6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6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6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7">SUM(D62:D85)</f>
        <v>0</v>
      </c>
      <c r="E86" s="81">
        <f>SUM(E62:E85)</f>
        <v>0</v>
      </c>
      <c r="F86" s="82">
        <f t="shared" ref="F86" si="8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9">SUM(K62:K85)</f>
        <v>0</v>
      </c>
    </row>
    <row r="87" spans="2:11" s="25" customFormat="1" ht="16">
      <c r="B87" s="83" t="s">
        <v>229</v>
      </c>
      <c r="C87" s="241">
        <f>C86+D86</f>
        <v>0</v>
      </c>
      <c r="D87" s="242"/>
      <c r="E87" s="241">
        <f>E86+F86</f>
        <v>0</v>
      </c>
      <c r="F87" s="242"/>
      <c r="H87" s="254">
        <f>H86+I86</f>
        <v>0</v>
      </c>
      <c r="I87" s="255"/>
      <c r="J87" s="254">
        <f>J86+K86</f>
        <v>0</v>
      </c>
      <c r="K87" s="255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447</v>
      </c>
      <c r="C92" s="113" t="s">
        <v>98</v>
      </c>
      <c r="D92" s="114" t="s">
        <v>164</v>
      </c>
      <c r="F92" s="250" t="s">
        <v>448</v>
      </c>
      <c r="G92" s="251"/>
      <c r="H92" s="113" t="s">
        <v>97</v>
      </c>
      <c r="I92" s="113" t="s">
        <v>94</v>
      </c>
      <c r="J92" s="113" t="s">
        <v>292</v>
      </c>
    </row>
    <row r="93" spans="2:11" s="25" customFormat="1" ht="16">
      <c r="B93" s="115" t="s">
        <v>293</v>
      </c>
      <c r="C93" s="112">
        <v>0</v>
      </c>
      <c r="D93" s="116">
        <v>0</v>
      </c>
      <c r="F93" s="252" t="s">
        <v>293</v>
      </c>
      <c r="G93" s="253"/>
      <c r="H93" s="112">
        <v>0</v>
      </c>
      <c r="I93" s="112">
        <v>0</v>
      </c>
      <c r="J93" s="112">
        <v>0</v>
      </c>
    </row>
    <row r="94" spans="2:11" s="25" customFormat="1" ht="16">
      <c r="B94" s="115" t="s">
        <v>294</v>
      </c>
      <c r="C94" s="112">
        <v>0</v>
      </c>
      <c r="D94" s="116">
        <v>0</v>
      </c>
      <c r="F94" s="252" t="s">
        <v>294</v>
      </c>
      <c r="G94" s="253"/>
      <c r="H94" s="112">
        <v>0</v>
      </c>
      <c r="I94" s="112">
        <v>0</v>
      </c>
      <c r="J94" s="112">
        <v>0</v>
      </c>
    </row>
    <row r="95" spans="2:11" s="25" customFormat="1" ht="16">
      <c r="B95" s="115" t="s">
        <v>295</v>
      </c>
      <c r="C95" s="112">
        <v>0</v>
      </c>
      <c r="D95" s="116">
        <v>0</v>
      </c>
      <c r="F95" s="252" t="s">
        <v>295</v>
      </c>
      <c r="G95" s="253"/>
      <c r="H95" s="112">
        <v>0</v>
      </c>
      <c r="I95" s="112">
        <v>0</v>
      </c>
      <c r="J95" s="112">
        <v>0</v>
      </c>
    </row>
    <row r="96" spans="2:11" s="25" customFormat="1" ht="16">
      <c r="B96" s="115" t="s">
        <v>296</v>
      </c>
      <c r="C96" s="112">
        <v>0</v>
      </c>
      <c r="D96" s="116">
        <v>0</v>
      </c>
      <c r="F96" s="252" t="s">
        <v>296</v>
      </c>
      <c r="G96" s="253"/>
      <c r="H96" s="112">
        <v>0</v>
      </c>
      <c r="I96" s="112">
        <v>0</v>
      </c>
      <c r="J96" s="112">
        <v>0</v>
      </c>
    </row>
    <row r="97" spans="2:10" s="25" customFormat="1" ht="17" thickBot="1">
      <c r="B97" s="117" t="s">
        <v>297</v>
      </c>
      <c r="C97" s="118">
        <v>0</v>
      </c>
      <c r="D97" s="119">
        <v>0</v>
      </c>
      <c r="F97" s="252" t="s">
        <v>449</v>
      </c>
      <c r="G97" s="253"/>
      <c r="H97" s="112">
        <v>0</v>
      </c>
      <c r="I97" s="112">
        <v>0</v>
      </c>
      <c r="J97" s="112">
        <v>0</v>
      </c>
    </row>
    <row r="98" spans="2:10" s="25" customFormat="1" ht="17" thickTop="1">
      <c r="F98" s="252" t="s">
        <v>450</v>
      </c>
      <c r="G98" s="253"/>
      <c r="H98" s="112">
        <v>0</v>
      </c>
      <c r="I98" s="112">
        <v>0</v>
      </c>
      <c r="J98" s="112">
        <v>0</v>
      </c>
    </row>
    <row r="99" spans="2:10" s="25" customFormat="1" ht="16">
      <c r="F99" s="252" t="s">
        <v>451</v>
      </c>
      <c r="G99" s="253"/>
      <c r="H99" s="112">
        <v>0</v>
      </c>
      <c r="I99" s="112">
        <v>0</v>
      </c>
      <c r="J99" s="112">
        <v>0</v>
      </c>
    </row>
    <row r="100" spans="2:10" s="25" customFormat="1" ht="16">
      <c r="F100" s="252" t="s">
        <v>452</v>
      </c>
      <c r="G100" s="253"/>
      <c r="H100" s="112">
        <v>0</v>
      </c>
      <c r="I100" s="112">
        <v>0</v>
      </c>
      <c r="J100" s="112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4">
    <mergeCell ref="F99:G99"/>
    <mergeCell ref="F100:G100"/>
    <mergeCell ref="F94:G94"/>
    <mergeCell ref="F95:G95"/>
    <mergeCell ref="F96:G96"/>
    <mergeCell ref="F97:G97"/>
    <mergeCell ref="F98:G98"/>
    <mergeCell ref="O6:P6"/>
    <mergeCell ref="O33:P33"/>
    <mergeCell ref="B3:P4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Q6:V6"/>
    <mergeCell ref="Q32:Q33"/>
    <mergeCell ref="R32:R33"/>
    <mergeCell ref="S32:S33"/>
    <mergeCell ref="T32:T33"/>
    <mergeCell ref="U32:U33"/>
    <mergeCell ref="V32:V33"/>
    <mergeCell ref="K6:L6"/>
    <mergeCell ref="M6:N6"/>
    <mergeCell ref="B6:B7"/>
    <mergeCell ref="C6:D6"/>
    <mergeCell ref="E6:F6"/>
    <mergeCell ref="G6:H6"/>
    <mergeCell ref="I6:J6"/>
  </mergeCells>
  <conditionalFormatting sqref="J38:N38 B8:V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L45" workbookViewId="0">
      <selection activeCell="R52" sqref="R52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454</v>
      </c>
      <c r="R51" s="46" t="s">
        <v>457</v>
      </c>
    </row>
    <row r="52" spans="17:18" ht="30" customHeight="1">
      <c r="Q52" s="53" t="s">
        <v>455</v>
      </c>
      <c r="R52" s="53" t="s">
        <v>456</v>
      </c>
    </row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7" t="s">
        <v>127</v>
      </c>
      <c r="D5" s="267"/>
      <c r="E5" s="267"/>
      <c r="F5" s="267"/>
      <c r="G5" s="267"/>
    </row>
    <row r="6" spans="3:7" ht="14" thickBot="1"/>
    <row r="7" spans="3:7">
      <c r="C7" s="156"/>
      <c r="D7" s="157"/>
      <c r="E7" s="157"/>
      <c r="F7" s="157"/>
      <c r="G7" s="158"/>
    </row>
    <row r="8" spans="3:7">
      <c r="C8" s="159"/>
      <c r="G8" s="160"/>
    </row>
    <row r="9" spans="3:7">
      <c r="C9" s="161" t="s">
        <v>125</v>
      </c>
      <c r="D9" s="165"/>
      <c r="G9" s="160"/>
    </row>
    <row r="10" spans="3:7">
      <c r="C10" s="161"/>
      <c r="G10" s="160"/>
    </row>
    <row r="11" spans="3:7">
      <c r="C11" s="161" t="s">
        <v>126</v>
      </c>
      <c r="D11" s="165"/>
      <c r="G11" s="160"/>
    </row>
    <row r="12" spans="3:7">
      <c r="C12" s="159"/>
      <c r="G12" s="160"/>
    </row>
    <row r="13" spans="3:7" ht="14" thickBot="1">
      <c r="C13" s="162"/>
      <c r="D13" s="163"/>
      <c r="E13" s="163"/>
      <c r="F13" s="163"/>
      <c r="G13" s="164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187</vt:i4>
      </vt:variant>
    </vt:vector>
  </HeadingPairs>
  <TitlesOfParts>
    <vt:vector size="194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2026-09-14T13:35:05Z</dcterms:modified>
</cp:coreProperties>
</file>