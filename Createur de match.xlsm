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D86CE5A3-6A44-9C42-A6B7-AD19E0C4E0A9}" xr6:coauthVersionLast="47" xr6:coauthVersionMax="47" xr10:uidLastSave="{00000000-0000-0000-0000-000000000000}"/>
  <bookViews>
    <workbookView xWindow="0" yWindow="660" windowWidth="18860" windowHeight="21680" activeTab="5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Paramètres!$R$36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1" l="1"/>
  <c r="D26" i="3"/>
  <c r="E26" i="3"/>
  <c r="D25" i="3"/>
  <c r="E25" i="3"/>
  <c r="C1" i="2"/>
  <c r="M6" i="11"/>
  <c r="N30" i="11" s="1"/>
  <c r="M47" i="11"/>
  <c r="M46" i="11"/>
  <c r="M45" i="11"/>
  <c r="M44" i="11"/>
  <c r="M43" i="11"/>
  <c r="M42" i="11"/>
  <c r="L39" i="11"/>
  <c r="L38" i="11"/>
  <c r="L47" i="11"/>
  <c r="L46" i="11"/>
  <c r="L45" i="11"/>
  <c r="L44" i="11"/>
  <c r="L43" i="11"/>
  <c r="L42" i="11"/>
  <c r="M39" i="11"/>
  <c r="K39" i="11"/>
  <c r="M38" i="11"/>
  <c r="K38" i="11"/>
  <c r="D42" i="11"/>
  <c r="D41" i="11"/>
  <c r="E42" i="11"/>
  <c r="D38" i="11"/>
  <c r="D37" i="11"/>
  <c r="E38" i="11"/>
  <c r="E41" i="11"/>
  <c r="E37" i="11"/>
  <c r="H42" i="11"/>
  <c r="H38" i="11"/>
  <c r="H41" i="11"/>
  <c r="H37" i="11"/>
  <c r="K6" i="11"/>
  <c r="K30" i="11" s="1"/>
  <c r="I6" i="11"/>
  <c r="I30" i="11" s="1"/>
  <c r="G6" i="11"/>
  <c r="G31" i="11" s="1"/>
  <c r="E6" i="11"/>
  <c r="E30" i="11" s="1"/>
  <c r="C6" i="11"/>
  <c r="C30" i="11" s="1"/>
  <c r="B8" i="11" a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31" i="11" l="1"/>
  <c r="M30" i="11"/>
  <c r="L31" i="11"/>
  <c r="L30" i="11"/>
  <c r="K31" i="11"/>
  <c r="J31" i="11"/>
  <c r="J30" i="11"/>
  <c r="I31" i="11"/>
  <c r="H31" i="11"/>
  <c r="H30" i="11"/>
  <c r="G30" i="11"/>
  <c r="F31" i="11"/>
  <c r="F30" i="11"/>
  <c r="E31" i="11"/>
  <c r="D31" i="11"/>
  <c r="D30" i="11"/>
  <c r="C31" i="11"/>
  <c r="N31" i="11"/>
  <c r="N28" i="11"/>
  <c r="N25" i="11"/>
  <c r="N19" i="11"/>
  <c r="N15" i="11"/>
  <c r="N12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I9" i="11"/>
  <c r="H9" i="11"/>
  <c r="G9" i="11"/>
  <c r="N27" i="11"/>
  <c r="N23" i="11"/>
  <c r="N21" i="11"/>
  <c r="N18" i="11"/>
  <c r="N14" i="11"/>
  <c r="N11" i="11"/>
  <c r="J27" i="11"/>
  <c r="J24" i="11"/>
  <c r="J21" i="11"/>
  <c r="J17" i="11"/>
  <c r="J14" i="11"/>
  <c r="J10" i="11"/>
  <c r="I29" i="11"/>
  <c r="I26" i="11"/>
  <c r="I24" i="11"/>
  <c r="I22" i="11"/>
  <c r="I18" i="11"/>
  <c r="I13" i="11"/>
  <c r="I10" i="11"/>
  <c r="H27" i="11"/>
  <c r="H24" i="11"/>
  <c r="H23" i="11"/>
  <c r="H21" i="11"/>
  <c r="H20" i="11"/>
  <c r="H18" i="11"/>
  <c r="H16" i="11"/>
  <c r="H14" i="11"/>
  <c r="H13" i="11"/>
  <c r="H10" i="11"/>
  <c r="G28" i="11"/>
  <c r="G25" i="11"/>
  <c r="G21" i="11"/>
  <c r="G18" i="11"/>
  <c r="G15" i="11"/>
  <c r="G11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N26" i="11"/>
  <c r="N22" i="11"/>
  <c r="N16" i="11"/>
  <c r="N10" i="11"/>
  <c r="J28" i="11"/>
  <c r="J25" i="11"/>
  <c r="J22" i="11"/>
  <c r="J18" i="11"/>
  <c r="J15" i="11"/>
  <c r="J12" i="11"/>
  <c r="J9" i="11"/>
  <c r="I28" i="11"/>
  <c r="I25" i="11"/>
  <c r="I21" i="11"/>
  <c r="I19" i="11"/>
  <c r="I16" i="11"/>
  <c r="I14" i="11"/>
  <c r="I12" i="11"/>
  <c r="H28" i="11"/>
  <c r="H25" i="11"/>
  <c r="H19" i="11"/>
  <c r="H11" i="11"/>
  <c r="G29" i="11"/>
  <c r="G26" i="11"/>
  <c r="G22" i="11"/>
  <c r="G19" i="11"/>
  <c r="G16" i="11"/>
  <c r="G13" i="11"/>
  <c r="G12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N29" i="11"/>
  <c r="N24" i="11"/>
  <c r="N20" i="11"/>
  <c r="N17" i="11"/>
  <c r="N13" i="11"/>
  <c r="N9" i="11"/>
  <c r="J29" i="11"/>
  <c r="J26" i="11"/>
  <c r="J23" i="11"/>
  <c r="J20" i="11"/>
  <c r="J19" i="11"/>
  <c r="J16" i="11"/>
  <c r="J13" i="11"/>
  <c r="J11" i="11"/>
  <c r="I27" i="11"/>
  <c r="I23" i="11"/>
  <c r="I20" i="11"/>
  <c r="I17" i="11"/>
  <c r="I15" i="11"/>
  <c r="I11" i="11"/>
  <c r="H29" i="11"/>
  <c r="H26" i="11"/>
  <c r="H22" i="11"/>
  <c r="H17" i="11"/>
  <c r="H15" i="11"/>
  <c r="H12" i="11"/>
  <c r="G27" i="11"/>
  <c r="G24" i="11"/>
  <c r="G23" i="11"/>
  <c r="G20" i="11"/>
  <c r="G17" i="11"/>
  <c r="G14" i="11"/>
  <c r="G1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B8" i="11" l="1"/>
  <c r="N8" i="11" l="1"/>
  <c r="N32" i="11" s="1"/>
  <c r="H8" i="11"/>
  <c r="H32" i="11" s="1"/>
  <c r="L8" i="11"/>
  <c r="L32" i="11" s="1"/>
  <c r="D8" i="11"/>
  <c r="D32" i="11" s="1"/>
  <c r="C8" i="11"/>
  <c r="C32" i="11" s="1"/>
  <c r="J8" i="11"/>
  <c r="J32" i="11" s="1"/>
  <c r="I8" i="11"/>
  <c r="I32" i="11" s="1"/>
  <c r="I33" i="11" s="1"/>
  <c r="G8" i="11"/>
  <c r="G32" i="11" s="1"/>
  <c r="G33" i="11" s="1"/>
  <c r="F8" i="11"/>
  <c r="F32" i="11" s="1"/>
  <c r="E8" i="11"/>
  <c r="E32" i="11" s="1"/>
  <c r="E33" i="11" s="1"/>
  <c r="K8" i="11"/>
  <c r="K32" i="11" s="1"/>
  <c r="K33" i="11" s="1"/>
  <c r="M8" i="11"/>
  <c r="M32" i="11" s="1"/>
  <c r="M33" i="11" s="1"/>
  <c r="C33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<sst xmlns="http://schemas.openxmlformats.org/spreadsheetml/2006/main" count="470" uniqueCount="354">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</sst>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8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6" fillId="21" borderId="35" xfId="0" applyFont="1" applyFill="1" applyBorder="1" applyAlignment="1">
      <alignment horizontal="left" vertical="center" wrapText="1"/>
    </xf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1" fillId="24" borderId="39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6" totalsRowShown="0">
  <autoFilter ref="A1:E26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1">
      <calculatedColumnFormula>LstEffectif[[#This Row],[prenom]] &amp; " " &amp; LstEffectif[[#This Row],[nom]]</calculatedColumnFormula>
    </tableColumn>
    <tableColumn id="5" xr3:uid="{EB017694-E6D2-7440-91BF-61113926AB7D}" name="NOM Prénom" dataDxfId="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6" totalsRowShown="0" headerRowDxfId="37" dataDxfId="35" headerRowBorderDxfId="36" tableBorderDxfId="34" totalsRowBorderDxfId="33">
  <autoFilter ref="Q1:R36" xr:uid="{6D1F5F0A-5FD5-AC4E-A195-33A78A5E0E58}"/>
  <tableColumns count="2">
    <tableColumn id="1" xr3:uid="{8A0D5429-5616-B849-BD27-167A576FE99E}" name="Nom de cellule à créer" dataDxfId="32"/>
    <tableColumn id="2" xr3:uid="{19545507-672A-9F40-8818-E4C9060AA52B}" name="Libellé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0" headerRowBorderDxfId="29" tableBorderDxfId="28" totalsRowBorderDxfId="27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6" headerRowBorderDxfId="25" tableBorderDxfId="24" totalsRowBorderDxfId="23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2" dataDxfId="21">
  <autoFilter ref="I14:I20" xr:uid="{CC940AF9-E81A-F746-8EAD-392809C3CFBE}"/>
  <tableColumns count="1">
    <tableColumn id="1" xr3:uid="{816CA1DF-3681-2948-A622-26353E2B9A97}" name="LISTE_LECTEUR_VIDE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9" dataDxfId="18">
  <autoFilter ref="C1:C4" xr:uid="{61FC7709-08E5-D048-A38B-441B18CF5D35}"/>
  <tableColumns count="1">
    <tableColumn id="1" xr3:uid="{C41B523D-40DA-AF48-A2C2-015B04960B0A}" name="LIEU_MATCH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6" dataDxfId="15">
  <autoFilter ref="C6:C9" xr:uid="{86EA01CF-5567-6445-9906-AD2B60CA0A8A}"/>
  <tableColumns count="1">
    <tableColumn id="1" xr3:uid="{B57F8324-6F25-7B40-9B20-1BFDF9708631}" name="PHAS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3" dataDxfId="12">
  <autoFilter ref="C11:C14" xr:uid="{DAA9B017-78F0-D447-B788-CF8333AEAC38}"/>
  <tableColumns count="1">
    <tableColumn id="1" xr3:uid="{C5E86C3D-762A-054E-B864-5A67DBB9A8CA}" name="RESULTAT" dataDxfId="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0" dataDxfId="9">
  <autoFilter ref="C16:C20" xr:uid="{F661D9E2-619C-DA44-92C5-8A09E8E281AC}"/>
  <tableColumns count="1">
    <tableColumn id="1" xr3:uid="{ADD3AF05-089E-D149-9728-7C2A6F62FA22}" name="EQUIPE_NIV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C137"/>
  <sheetViews>
    <sheetView workbookViewId="0">
      <selection activeCell="F34" sqref="F34"/>
    </sheetView>
  </sheetViews>
  <sheetFormatPr baseColWidth="10" defaultRowHeight="13"/>
  <cols>
    <col min="1" max="1" width="8.33203125" style="141" bestFit="1" customWidth="1"/>
    <col min="2" max="2" width="17.83203125" customWidth="1"/>
    <col min="3" max="3" width="24.83203125" customWidth="1"/>
    <col min="4" max="4" width="14.1640625" style="141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9" max="25" width="10.83203125" style="29"/>
    <col min="26" max="26" width="19.1640625" style="29" hidden="1" customWidth="1"/>
    <col min="27" max="27" width="0" style="29" hidden="1" customWidth="1"/>
    <col min="28" max="419" width="10.83203125" style="29"/>
  </cols>
  <sheetData>
    <row r="1" spans="1:27" s="29" customFormat="1" ht="14" thickBot="1">
      <c r="A1" s="141"/>
      <c r="D1" s="141"/>
      <c r="Z1" s="29" t="s">
        <v>211</v>
      </c>
      <c r="AA1" s="29" t="s">
        <v>96</v>
      </c>
    </row>
    <row r="2" spans="1:27" ht="19" customHeight="1">
      <c r="B2" s="143" t="s">
        <v>330</v>
      </c>
      <c r="C2" s="143"/>
      <c r="E2" s="144" t="s">
        <v>331</v>
      </c>
      <c r="F2" s="145"/>
      <c r="G2" s="145"/>
      <c r="H2" s="146"/>
      <c r="Z2" s="29" t="s">
        <v>217</v>
      </c>
      <c r="AA2" s="29" t="s">
        <v>85</v>
      </c>
    </row>
    <row r="3" spans="1:27" ht="19" customHeight="1">
      <c r="B3" s="143"/>
      <c r="C3" s="143"/>
      <c r="E3" s="147"/>
      <c r="F3" s="148"/>
      <c r="G3" s="148"/>
      <c r="H3" s="149"/>
      <c r="Z3" s="29" t="s">
        <v>226</v>
      </c>
    </row>
    <row r="4" spans="1:27" ht="19" customHeight="1" thickBot="1">
      <c r="B4" s="143"/>
      <c r="C4" s="143"/>
      <c r="E4" s="150"/>
      <c r="F4" s="151"/>
      <c r="G4" s="151"/>
      <c r="H4" s="152"/>
      <c r="Z4" s="29" t="s">
        <v>227</v>
      </c>
    </row>
    <row r="5" spans="1:27" s="29" customFormat="1">
      <c r="A5" s="141"/>
      <c r="D5" s="141"/>
      <c r="Z5" s="29" t="s">
        <v>224</v>
      </c>
    </row>
    <row r="6" spans="1:27">
      <c r="B6" s="108" t="s">
        <v>301</v>
      </c>
      <c r="C6" s="109" t="s">
        <v>300</v>
      </c>
      <c r="E6" t="s">
        <v>140</v>
      </c>
      <c r="F6" t="s">
        <v>141</v>
      </c>
      <c r="G6" t="s">
        <v>268</v>
      </c>
      <c r="H6" t="s">
        <v>267</v>
      </c>
      <c r="Z6" s="29" t="s">
        <v>212</v>
      </c>
    </row>
    <row r="7" spans="1:27">
      <c r="B7" s="29"/>
      <c r="C7" s="29"/>
      <c r="E7">
        <v>1</v>
      </c>
      <c r="G7" t="s">
        <v>270</v>
      </c>
      <c r="Z7" s="29" t="s">
        <v>218</v>
      </c>
    </row>
    <row r="8" spans="1:27">
      <c r="B8" s="108" t="s">
        <v>339</v>
      </c>
      <c r="C8" s="109">
        <v>46290</v>
      </c>
      <c r="E8">
        <v>2</v>
      </c>
      <c r="G8" t="s">
        <v>270</v>
      </c>
      <c r="Z8" s="29" t="s">
        <v>228</v>
      </c>
    </row>
    <row r="9" spans="1:27">
      <c r="B9" s="29"/>
      <c r="C9" s="29"/>
      <c r="E9">
        <v>3</v>
      </c>
      <c r="G9" t="s">
        <v>270</v>
      </c>
      <c r="Z9" s="29" t="s">
        <v>208</v>
      </c>
    </row>
    <row r="10" spans="1:27">
      <c r="B10" s="108" t="s">
        <v>302</v>
      </c>
      <c r="C10" s="109" t="s">
        <v>313</v>
      </c>
      <c r="E10">
        <v>4</v>
      </c>
      <c r="G10" t="s">
        <v>270</v>
      </c>
      <c r="Z10" s="29" t="s">
        <v>209</v>
      </c>
    </row>
    <row r="11" spans="1:27">
      <c r="B11" s="29"/>
      <c r="C11" s="29"/>
      <c r="E11">
        <v>5</v>
      </c>
      <c r="G11" t="s">
        <v>270</v>
      </c>
      <c r="Z11" s="29" t="s">
        <v>219</v>
      </c>
    </row>
    <row r="12" spans="1:27">
      <c r="B12" s="108" t="s">
        <v>338</v>
      </c>
      <c r="C12" s="109" t="s">
        <v>317</v>
      </c>
      <c r="E12">
        <v>6</v>
      </c>
      <c r="G12" t="s">
        <v>270</v>
      </c>
      <c r="Z12" s="29" t="s">
        <v>229</v>
      </c>
    </row>
    <row r="13" spans="1:27">
      <c r="B13" s="29"/>
      <c r="C13" s="29"/>
      <c r="E13">
        <v>7</v>
      </c>
      <c r="G13" t="s">
        <v>270</v>
      </c>
      <c r="Z13" s="29" t="s">
        <v>221</v>
      </c>
    </row>
    <row r="14" spans="1:27">
      <c r="B14" s="108" t="s">
        <v>303</v>
      </c>
      <c r="C14" s="109" t="s">
        <v>298</v>
      </c>
      <c r="E14">
        <v>8</v>
      </c>
      <c r="G14" t="s">
        <v>270</v>
      </c>
      <c r="Z14" s="29" t="s">
        <v>220</v>
      </c>
    </row>
    <row r="15" spans="1:27">
      <c r="B15" s="29"/>
      <c r="C15" s="142"/>
      <c r="E15" s="100">
        <v>9</v>
      </c>
      <c r="F15" s="100"/>
      <c r="G15" s="100" t="s">
        <v>288</v>
      </c>
      <c r="H15" s="100"/>
      <c r="Z15" s="29" t="s">
        <v>210</v>
      </c>
    </row>
    <row r="16" spans="1:27">
      <c r="B16" s="108" t="s">
        <v>304</v>
      </c>
      <c r="C16" s="110">
        <v>1</v>
      </c>
      <c r="E16">
        <v>10</v>
      </c>
      <c r="G16" t="s">
        <v>288</v>
      </c>
      <c r="Z16" s="29" t="s">
        <v>216</v>
      </c>
    </row>
    <row r="17" spans="1:26">
      <c r="B17" s="29"/>
      <c r="C17" s="29"/>
      <c r="E17">
        <v>11</v>
      </c>
      <c r="G17" t="s">
        <v>288</v>
      </c>
      <c r="Z17" s="29" t="s">
        <v>215</v>
      </c>
    </row>
    <row r="18" spans="1:26">
      <c r="B18" s="108" t="s">
        <v>305</v>
      </c>
      <c r="C18" s="109" t="s">
        <v>322</v>
      </c>
      <c r="E18">
        <v>12</v>
      </c>
      <c r="G18" t="s">
        <v>288</v>
      </c>
      <c r="Z18" s="29" t="s">
        <v>223</v>
      </c>
    </row>
    <row r="19" spans="1:26">
      <c r="B19" s="29"/>
      <c r="C19" s="142"/>
      <c r="E19">
        <v>13</v>
      </c>
      <c r="G19" t="s">
        <v>288</v>
      </c>
      <c r="Z19" s="29" t="s">
        <v>213</v>
      </c>
    </row>
    <row r="20" spans="1:26">
      <c r="B20" s="108" t="s">
        <v>337</v>
      </c>
      <c r="C20" s="109" t="s">
        <v>333</v>
      </c>
      <c r="E20">
        <v>14</v>
      </c>
      <c r="G20" t="s">
        <v>288</v>
      </c>
      <c r="Z20" s="29" t="s">
        <v>214</v>
      </c>
    </row>
    <row r="21" spans="1:26">
      <c r="B21" s="29"/>
      <c r="C21" s="29"/>
      <c r="E21" s="95">
        <v>15</v>
      </c>
      <c r="F21" s="95"/>
      <c r="G21" s="95" t="s">
        <v>288</v>
      </c>
      <c r="H21" s="95"/>
      <c r="Z21" s="29" t="s">
        <v>222</v>
      </c>
    </row>
    <row r="22" spans="1:26">
      <c r="B22" s="29"/>
      <c r="C22" s="29"/>
      <c r="E22">
        <v>16</v>
      </c>
      <c r="Z22" s="29" t="s">
        <v>225</v>
      </c>
    </row>
    <row r="23" spans="1:26">
      <c r="B23" s="29"/>
      <c r="C23" s="29"/>
      <c r="E23">
        <v>17</v>
      </c>
      <c r="Z23" s="29" t="s">
        <v>96</v>
      </c>
    </row>
    <row r="24" spans="1:26">
      <c r="B24" s="29"/>
      <c r="C24" s="29"/>
      <c r="E24">
        <v>18</v>
      </c>
      <c r="Z24" s="29" t="s">
        <v>85</v>
      </c>
    </row>
    <row r="25" spans="1:26">
      <c r="B25" s="29"/>
      <c r="C25" s="29"/>
      <c r="E25">
        <v>19</v>
      </c>
    </row>
    <row r="26" spans="1:26">
      <c r="B26" s="29"/>
      <c r="C26" s="29"/>
      <c r="E26">
        <v>20</v>
      </c>
    </row>
    <row r="27" spans="1:26">
      <c r="B27" s="29"/>
      <c r="C27" s="29"/>
      <c r="E27">
        <v>21</v>
      </c>
    </row>
    <row r="28" spans="1:26">
      <c r="B28" s="29"/>
      <c r="C28" s="29"/>
      <c r="E28">
        <v>22</v>
      </c>
    </row>
    <row r="29" spans="1:26" s="29" customFormat="1">
      <c r="A29" s="141"/>
      <c r="D29" s="141"/>
    </row>
    <row r="30" spans="1:26" s="29" customFormat="1">
      <c r="A30" s="141"/>
      <c r="D30" s="141"/>
    </row>
    <row r="31" spans="1:26" s="29" customFormat="1">
      <c r="A31" s="141"/>
      <c r="D31" s="141"/>
    </row>
    <row r="32" spans="1:26" s="29" customFormat="1">
      <c r="A32" s="141"/>
      <c r="D32" s="141"/>
    </row>
    <row r="33" spans="1:4" s="29" customFormat="1">
      <c r="A33" s="141"/>
      <c r="D33" s="141"/>
    </row>
    <row r="34" spans="1:4" s="29" customFormat="1">
      <c r="A34" s="141"/>
      <c r="D34" s="141"/>
    </row>
    <row r="35" spans="1:4" s="29" customFormat="1">
      <c r="A35" s="141"/>
      <c r="D35" s="141"/>
    </row>
    <row r="36" spans="1:4" s="29" customFormat="1">
      <c r="A36" s="141"/>
      <c r="D36" s="141"/>
    </row>
    <row r="37" spans="1:4" s="29" customFormat="1">
      <c r="A37" s="141"/>
      <c r="D37" s="141"/>
    </row>
    <row r="38" spans="1:4" s="29" customFormat="1">
      <c r="A38" s="141"/>
      <c r="D38" s="141"/>
    </row>
    <row r="39" spans="1:4" s="29" customFormat="1">
      <c r="A39" s="141"/>
      <c r="D39" s="141"/>
    </row>
    <row r="40" spans="1:4" s="29" customFormat="1">
      <c r="A40" s="141"/>
      <c r="D40" s="141"/>
    </row>
    <row r="41" spans="1:4" s="29" customFormat="1">
      <c r="A41" s="141"/>
      <c r="D41" s="141"/>
    </row>
    <row r="42" spans="1:4" s="29" customFormat="1">
      <c r="A42" s="141"/>
      <c r="D42" s="141"/>
    </row>
    <row r="43" spans="1:4" s="29" customFormat="1">
      <c r="A43" s="141"/>
      <c r="D43" s="141"/>
    </row>
    <row r="44" spans="1:4" s="29" customFormat="1">
      <c r="A44" s="141"/>
      <c r="D44" s="141"/>
    </row>
    <row r="45" spans="1:4" s="29" customFormat="1">
      <c r="A45" s="141"/>
      <c r="D45" s="141"/>
    </row>
    <row r="46" spans="1:4" s="29" customFormat="1">
      <c r="A46" s="141"/>
      <c r="D46" s="141"/>
    </row>
    <row r="47" spans="1:4" s="29" customFormat="1">
      <c r="A47" s="141"/>
      <c r="D47" s="141"/>
    </row>
    <row r="48" spans="1:4" s="29" customFormat="1">
      <c r="A48" s="141"/>
      <c r="D48" s="141"/>
    </row>
    <row r="49" spans="1:4" s="29" customFormat="1">
      <c r="A49" s="141"/>
      <c r="D49" s="141"/>
    </row>
    <row r="50" spans="1:4" s="29" customFormat="1">
      <c r="A50" s="141"/>
      <c r="D50" s="141"/>
    </row>
    <row r="51" spans="1:4" s="29" customFormat="1">
      <c r="A51" s="141"/>
      <c r="D51" s="141"/>
    </row>
    <row r="52" spans="1:4" s="29" customFormat="1">
      <c r="A52" s="141"/>
      <c r="D52" s="141"/>
    </row>
    <row r="53" spans="1:4" s="29" customFormat="1">
      <c r="A53" s="141"/>
      <c r="D53" s="141"/>
    </row>
    <row r="54" spans="1:4" s="29" customFormat="1">
      <c r="A54" s="141"/>
      <c r="D54" s="141"/>
    </row>
    <row r="55" spans="1:4" s="29" customFormat="1">
      <c r="A55" s="141"/>
      <c r="D55" s="141"/>
    </row>
    <row r="56" spans="1:4" s="29" customFormat="1">
      <c r="A56" s="141"/>
      <c r="D56" s="141"/>
    </row>
    <row r="57" spans="1:4" s="29" customFormat="1">
      <c r="A57" s="141"/>
      <c r="D57" s="141"/>
    </row>
    <row r="58" spans="1:4" s="29" customFormat="1">
      <c r="A58" s="141"/>
      <c r="D58" s="141"/>
    </row>
    <row r="59" spans="1:4" s="29" customFormat="1" hidden="1">
      <c r="A59" s="141"/>
      <c r="B59" s="29" t="s">
        <v>306</v>
      </c>
      <c r="C59" s="29" t="s">
        <v>351</v>
      </c>
      <c r="D59" s="141"/>
    </row>
    <row r="60" spans="1:4" s="29" customFormat="1">
      <c r="A60" s="141"/>
      <c r="D60" s="141"/>
    </row>
    <row r="61" spans="1:4" s="29" customFormat="1">
      <c r="A61" s="141"/>
      <c r="D61" s="141"/>
    </row>
    <row r="62" spans="1:4" s="29" customFormat="1">
      <c r="A62" s="141"/>
      <c r="D62" s="141"/>
    </row>
    <row r="63" spans="1:4" s="29" customFormat="1">
      <c r="A63" s="141"/>
      <c r="D63" s="141"/>
    </row>
    <row r="64" spans="1:4" s="29" customFormat="1">
      <c r="A64" s="141"/>
      <c r="D64" s="141"/>
    </row>
    <row r="65" spans="1:4" s="29" customFormat="1">
      <c r="A65" s="141"/>
      <c r="D65" s="141"/>
    </row>
    <row r="66" spans="1:4" s="29" customFormat="1">
      <c r="A66" s="141"/>
      <c r="D66" s="141"/>
    </row>
    <row r="67" spans="1:4" s="29" customFormat="1">
      <c r="A67" s="141"/>
      <c r="D67" s="141"/>
    </row>
    <row r="68" spans="1:4" s="29" customFormat="1">
      <c r="A68" s="141"/>
      <c r="D68" s="141"/>
    </row>
    <row r="69" spans="1:4" s="29" customFormat="1">
      <c r="A69" s="141"/>
      <c r="D69" s="141"/>
    </row>
    <row r="70" spans="1:4" s="29" customFormat="1">
      <c r="A70" s="141"/>
      <c r="D70" s="141"/>
    </row>
    <row r="71" spans="1:4" s="29" customFormat="1">
      <c r="A71" s="141"/>
      <c r="D71" s="141"/>
    </row>
    <row r="72" spans="1:4" s="29" customFormat="1">
      <c r="A72" s="141"/>
      <c r="D72" s="141"/>
    </row>
    <row r="73" spans="1:4" s="29" customFormat="1">
      <c r="A73" s="141"/>
      <c r="D73" s="141"/>
    </row>
    <row r="74" spans="1:4" s="29" customFormat="1">
      <c r="A74" s="141"/>
      <c r="D74" s="141"/>
    </row>
    <row r="75" spans="1:4" s="29" customFormat="1">
      <c r="A75" s="141"/>
      <c r="D75" s="141"/>
    </row>
    <row r="76" spans="1:4" s="29" customFormat="1">
      <c r="A76" s="141"/>
      <c r="D76" s="141"/>
    </row>
    <row r="77" spans="1:4" s="29" customFormat="1">
      <c r="A77" s="141"/>
      <c r="D77" s="141"/>
    </row>
    <row r="78" spans="1:4" s="29" customFormat="1">
      <c r="A78" s="141"/>
      <c r="D78" s="141"/>
    </row>
    <row r="79" spans="1:4" s="29" customFormat="1">
      <c r="A79" s="141"/>
      <c r="D79" s="141"/>
    </row>
    <row r="80" spans="1:4" s="29" customFormat="1">
      <c r="A80" s="141"/>
      <c r="D80" s="141"/>
    </row>
    <row r="81" spans="1:4" s="29" customFormat="1">
      <c r="A81" s="141"/>
      <c r="D81" s="141"/>
    </row>
    <row r="82" spans="1:4" s="29" customFormat="1">
      <c r="A82" s="141"/>
      <c r="D82" s="141"/>
    </row>
    <row r="83" spans="1:4" s="29" customFormat="1">
      <c r="A83" s="141"/>
      <c r="D83" s="141"/>
    </row>
    <row r="84" spans="1:4" s="29" customFormat="1">
      <c r="A84" s="141"/>
      <c r="D84" s="141"/>
    </row>
    <row r="85" spans="1:4" s="29" customFormat="1">
      <c r="A85" s="141"/>
      <c r="D85" s="141"/>
    </row>
    <row r="86" spans="1:4" s="29" customFormat="1">
      <c r="A86" s="141"/>
      <c r="D86" s="141"/>
    </row>
    <row r="87" spans="1:4" s="29" customFormat="1">
      <c r="A87" s="141"/>
      <c r="D87" s="141"/>
    </row>
    <row r="88" spans="1:4" s="29" customFormat="1">
      <c r="A88" s="141"/>
      <c r="D88" s="141"/>
    </row>
    <row r="89" spans="1:4" s="29" customFormat="1">
      <c r="A89" s="141"/>
      <c r="D89" s="141"/>
    </row>
    <row r="90" spans="1:4" s="29" customFormat="1">
      <c r="A90" s="141"/>
      <c r="D90" s="141"/>
    </row>
    <row r="91" spans="1:4" s="29" customFormat="1">
      <c r="A91" s="141"/>
      <c r="D91" s="141"/>
    </row>
    <row r="92" spans="1:4" s="29" customFormat="1">
      <c r="A92" s="141"/>
      <c r="D92" s="141"/>
    </row>
    <row r="93" spans="1:4" s="29" customFormat="1">
      <c r="A93" s="141"/>
      <c r="D93" s="141"/>
    </row>
    <row r="94" spans="1:4" s="29" customFormat="1">
      <c r="A94" s="141"/>
      <c r="D94" s="141"/>
    </row>
    <row r="95" spans="1:4" s="29" customFormat="1">
      <c r="A95" s="141"/>
      <c r="D95" s="141"/>
    </row>
    <row r="96" spans="1:4" s="29" customFormat="1">
      <c r="A96" s="141"/>
      <c r="D96" s="141"/>
    </row>
    <row r="97" spans="1:4" s="29" customFormat="1">
      <c r="A97" s="141"/>
      <c r="D97" s="141"/>
    </row>
    <row r="98" spans="1:4" s="29" customFormat="1">
      <c r="A98" s="141"/>
      <c r="D98" s="141"/>
    </row>
    <row r="99" spans="1:4" s="29" customFormat="1">
      <c r="A99" s="141"/>
      <c r="D99" s="141"/>
    </row>
    <row r="100" spans="1:4" s="29" customFormat="1">
      <c r="A100" s="141"/>
      <c r="D100" s="141"/>
    </row>
    <row r="101" spans="1:4" s="29" customFormat="1">
      <c r="A101" s="141"/>
      <c r="D101" s="141"/>
    </row>
    <row r="102" spans="1:4" s="29" customFormat="1">
      <c r="A102" s="141"/>
      <c r="D102" s="141"/>
    </row>
    <row r="103" spans="1:4" s="29" customFormat="1">
      <c r="A103" s="141"/>
      <c r="D103" s="141"/>
    </row>
    <row r="104" spans="1:4" s="29" customFormat="1">
      <c r="A104" s="141"/>
      <c r="D104" s="141"/>
    </row>
    <row r="105" spans="1:4" s="29" customFormat="1">
      <c r="A105" s="141"/>
      <c r="D105" s="141"/>
    </row>
    <row r="106" spans="1:4" s="29" customFormat="1">
      <c r="A106" s="141"/>
      <c r="D106" s="141"/>
    </row>
    <row r="107" spans="1:4" s="29" customFormat="1">
      <c r="A107" s="141"/>
      <c r="D107" s="141"/>
    </row>
    <row r="108" spans="1:4" s="29" customFormat="1">
      <c r="A108" s="141"/>
      <c r="D108" s="141"/>
    </row>
    <row r="109" spans="1:4" s="29" customFormat="1">
      <c r="A109" s="141"/>
      <c r="D109" s="141"/>
    </row>
    <row r="110" spans="1:4" s="29" customFormat="1">
      <c r="A110" s="141"/>
      <c r="D110" s="141"/>
    </row>
    <row r="111" spans="1:4" s="29" customFormat="1">
      <c r="A111" s="141"/>
      <c r="D111" s="141"/>
    </row>
    <row r="112" spans="1:4" s="29" customFormat="1">
      <c r="A112" s="141"/>
      <c r="D112" s="141"/>
    </row>
    <row r="113" spans="1:4" s="29" customFormat="1">
      <c r="A113" s="141"/>
      <c r="D113" s="141"/>
    </row>
    <row r="114" spans="1:4" s="29" customFormat="1">
      <c r="A114" s="141"/>
      <c r="D114" s="141"/>
    </row>
    <row r="115" spans="1:4" s="29" customFormat="1">
      <c r="A115" s="141"/>
      <c r="D115" s="141"/>
    </row>
    <row r="116" spans="1:4" s="29" customFormat="1">
      <c r="A116" s="141"/>
      <c r="D116" s="141"/>
    </row>
    <row r="117" spans="1:4" s="29" customFormat="1">
      <c r="A117" s="141"/>
      <c r="D117" s="141"/>
    </row>
    <row r="118" spans="1:4" s="29" customFormat="1">
      <c r="A118" s="141"/>
      <c r="D118" s="141"/>
    </row>
    <row r="119" spans="1:4" s="29" customFormat="1">
      <c r="A119" s="141"/>
      <c r="D119" s="141"/>
    </row>
    <row r="120" spans="1:4" s="29" customFormat="1">
      <c r="A120" s="141"/>
      <c r="D120" s="141"/>
    </row>
    <row r="121" spans="1:4" s="29" customFormat="1">
      <c r="A121" s="141"/>
      <c r="D121" s="141"/>
    </row>
    <row r="122" spans="1:4" s="29" customFormat="1">
      <c r="A122" s="141"/>
      <c r="D122" s="141"/>
    </row>
    <row r="123" spans="1:4" s="29" customFormat="1">
      <c r="A123" s="141"/>
      <c r="D123" s="141"/>
    </row>
    <row r="124" spans="1:4" s="29" customFormat="1">
      <c r="A124" s="141"/>
      <c r="D124" s="141"/>
    </row>
    <row r="125" spans="1:4" s="29" customFormat="1">
      <c r="A125" s="141"/>
      <c r="D125" s="141"/>
    </row>
    <row r="126" spans="1:4" s="29" customFormat="1">
      <c r="A126" s="141"/>
      <c r="D126" s="141"/>
    </row>
    <row r="127" spans="1:4" s="29" customFormat="1">
      <c r="A127" s="141"/>
      <c r="D127" s="141"/>
    </row>
    <row r="128" spans="1:4" s="29" customFormat="1">
      <c r="A128" s="141"/>
      <c r="D128" s="141"/>
    </row>
    <row r="129" spans="1:4" s="29" customFormat="1">
      <c r="A129" s="141"/>
      <c r="D129" s="141"/>
    </row>
    <row r="130" spans="1:4" s="29" customFormat="1">
      <c r="A130" s="141"/>
      <c r="D130" s="141"/>
    </row>
    <row r="131" spans="1:4" s="29" customFormat="1">
      <c r="A131" s="141"/>
      <c r="D131" s="141"/>
    </row>
    <row r="132" spans="1:4" s="29" customFormat="1">
      <c r="A132" s="141"/>
      <c r="D132" s="141"/>
    </row>
    <row r="133" spans="1:4" s="29" customFormat="1">
      <c r="A133" s="141"/>
      <c r="D133" s="141"/>
    </row>
    <row r="134" spans="1:4" s="29" customFormat="1">
      <c r="A134" s="141"/>
      <c r="D134" s="141"/>
    </row>
    <row r="135" spans="1:4" s="29" customFormat="1">
      <c r="A135" s="141"/>
      <c r="D135" s="141"/>
    </row>
    <row r="136" spans="1:4" s="29" customFormat="1">
      <c r="A136" s="141"/>
      <c r="D136" s="141"/>
    </row>
    <row r="137" spans="1:4" s="29" customFormat="1">
      <c r="A137" s="141"/>
      <c r="D137" s="141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60" zoomScaleNormal="60" workbookViewId="0">
      <selection activeCell="J18" sqref="J18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139</v>
      </c>
      <c r="C1" s="153" t="str">
        <f>"Match "&amp;IF('Compo'!C14="Aller","A",IF('Compo'!C14="Retour","R","PF"))&amp;'Compo'!C16&amp;IF('Compo'!C12="Extérieur"," : "&amp;'Compo'!C10&amp;" / MXV"," : MXV / "&amp;'Compo'!C10)</f>
        <v>Match A1 : MXV / US Eauze</v>
      </c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60" t="s">
        <v>241</v>
      </c>
      <c r="E4" s="160"/>
      <c r="F4" s="39" t="s">
        <v>93</v>
      </c>
      <c r="G4" s="65"/>
      <c r="H4" s="39" t="s">
        <v>128</v>
      </c>
      <c r="I4" s="30"/>
      <c r="J4" s="70"/>
      <c r="K4" s="70"/>
      <c r="L4" s="32" t="s">
        <v>115</v>
      </c>
      <c r="M4" s="70"/>
      <c r="N4" s="32" t="s">
        <v>116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117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54" t="s">
        <v>70</v>
      </c>
      <c r="E8" s="154"/>
      <c r="F8" s="155"/>
      <c r="G8" s="155"/>
      <c r="H8" s="155"/>
      <c r="I8" s="155"/>
      <c r="J8" s="155"/>
      <c r="K8" s="155"/>
      <c r="L8" s="155"/>
      <c r="M8" s="155"/>
      <c r="N8" s="155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86</v>
      </c>
      <c r="E12" s="25"/>
      <c r="F12" s="33" t="s">
        <v>76</v>
      </c>
      <c r="G12" s="25"/>
      <c r="H12" s="33" t="s">
        <v>77</v>
      </c>
      <c r="I12" s="28"/>
      <c r="J12" s="33" t="s">
        <v>118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78</v>
      </c>
      <c r="E14" s="25"/>
      <c r="F14" s="33" t="s">
        <v>79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242</v>
      </c>
      <c r="E16" s="65"/>
      <c r="F16" s="33" t="s">
        <v>243</v>
      </c>
      <c r="G16" s="65"/>
      <c r="H16" s="33" t="s">
        <v>244</v>
      </c>
      <c r="I16" s="65"/>
      <c r="J16" s="33" t="s">
        <v>245</v>
      </c>
      <c r="K16" s="65"/>
      <c r="L16" s="33" t="s">
        <v>246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242</v>
      </c>
      <c r="E18" s="65"/>
      <c r="F18" s="33" t="s">
        <v>60</v>
      </c>
      <c r="G18" s="65"/>
      <c r="H18" s="38" t="s">
        <v>80</v>
      </c>
      <c r="I18" s="65"/>
      <c r="J18" s="33" t="s">
        <v>353</v>
      </c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138</v>
      </c>
      <c r="E20" s="25"/>
      <c r="F20" s="34" t="s">
        <v>276</v>
      </c>
      <c r="G20" s="25"/>
      <c r="H20" s="34" t="s">
        <v>277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271</v>
      </c>
      <c r="E22" s="65"/>
      <c r="F22" s="34" t="s">
        <v>272</v>
      </c>
      <c r="G22" s="65"/>
      <c r="H22" s="34" t="s">
        <v>273</v>
      </c>
      <c r="I22" s="65"/>
      <c r="J22" s="34" t="s">
        <v>274</v>
      </c>
      <c r="K22" s="64"/>
      <c r="L22" s="34" t="s">
        <v>275</v>
      </c>
      <c r="M22" s="65"/>
      <c r="N22" s="34" t="s">
        <v>179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92</v>
      </c>
      <c r="E24" s="25"/>
      <c r="F24" s="52" t="s">
        <v>82</v>
      </c>
      <c r="G24" s="25"/>
      <c r="H24" s="52" t="s">
        <v>124</v>
      </c>
      <c r="I24" s="25"/>
      <c r="J24" s="52" t="s">
        <v>258</v>
      </c>
      <c r="K24" s="25"/>
      <c r="L24" s="52" t="s">
        <v>83</v>
      </c>
      <c r="M24" s="25"/>
      <c r="N24" s="52" t="s">
        <v>84</v>
      </c>
      <c r="O24" s="82"/>
      <c r="P24" s="29"/>
      <c r="R24" s="29" t="s">
        <v>139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121</v>
      </c>
      <c r="E26" s="25"/>
      <c r="F26" s="35" t="s">
        <v>87</v>
      </c>
      <c r="G26" s="25"/>
      <c r="H26" s="35" t="s">
        <v>88</v>
      </c>
      <c r="I26" s="25"/>
      <c r="J26" s="35" t="s">
        <v>89</v>
      </c>
      <c r="K26" s="25"/>
      <c r="L26" s="35" t="s">
        <v>90</v>
      </c>
      <c r="M26" s="28"/>
      <c r="N26" s="27" t="s">
        <v>91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1"/>
      <c r="D30" s="158" t="s">
        <v>68</v>
      </c>
      <c r="E30" s="158"/>
      <c r="F30" s="159"/>
      <c r="G30" s="159"/>
      <c r="H30" s="159"/>
      <c r="I30" s="159"/>
      <c r="J30" s="159"/>
      <c r="K30" s="159"/>
      <c r="L30" s="159"/>
      <c r="M30" s="159"/>
      <c r="N30" s="159"/>
      <c r="O30" s="112"/>
      <c r="P30" s="29"/>
    </row>
    <row r="31" spans="1:18" ht="13" customHeight="1">
      <c r="A31" s="29"/>
      <c r="B31" s="29"/>
      <c r="C31" s="111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2"/>
      <c r="P31" s="29"/>
    </row>
    <row r="32" spans="1:18" ht="42" customHeight="1">
      <c r="A32" s="29"/>
      <c r="B32" s="29"/>
      <c r="C32" s="111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2"/>
      <c r="P32" s="29"/>
    </row>
    <row r="33" spans="1:21" ht="10" customHeight="1">
      <c r="A33" s="29"/>
      <c r="B33" s="29"/>
      <c r="C33" s="111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2"/>
      <c r="P33" s="29"/>
    </row>
    <row r="34" spans="1:21" ht="42" customHeight="1">
      <c r="A34" s="29"/>
      <c r="B34" s="29"/>
      <c r="C34" s="111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2"/>
      <c r="P34" s="29"/>
    </row>
    <row r="35" spans="1:21" ht="10" customHeight="1">
      <c r="A35" s="29"/>
      <c r="B35" s="29"/>
      <c r="C35" s="111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2"/>
      <c r="P35" s="29"/>
    </row>
    <row r="36" spans="1:21" ht="42" customHeight="1">
      <c r="A36" s="29"/>
      <c r="B36" s="29"/>
      <c r="C36" s="111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2"/>
      <c r="P36" s="29"/>
      <c r="R36" s="30"/>
      <c r="S36" s="30"/>
    </row>
    <row r="37" spans="1:21" ht="10" customHeight="1">
      <c r="A37" s="29"/>
      <c r="B37" s="29"/>
      <c r="C37" s="111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2"/>
      <c r="P37" s="29"/>
      <c r="R37" s="30"/>
      <c r="S37" s="30"/>
    </row>
    <row r="38" spans="1:21" ht="42" customHeight="1">
      <c r="A38" s="29"/>
      <c r="B38" s="29"/>
      <c r="C38" s="111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96</v>
      </c>
      <c r="M38" s="86"/>
      <c r="N38" s="85" t="s">
        <v>85</v>
      </c>
      <c r="O38" s="112"/>
      <c r="P38" s="29"/>
    </row>
    <row r="39" spans="1:21" s="29" customFormat="1" ht="10" customHeight="1" thickBo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5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54" t="s">
        <v>94</v>
      </c>
      <c r="E42" s="154"/>
      <c r="F42" s="155"/>
      <c r="G42" s="155"/>
      <c r="H42" s="155"/>
      <c r="I42" s="155"/>
      <c r="J42" s="155"/>
      <c r="K42" s="155"/>
      <c r="L42" s="155"/>
      <c r="M42" s="155"/>
      <c r="N42" s="155"/>
      <c r="O42" s="117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8" t="s">
        <v>95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139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9"/>
      <c r="M45" s="119"/>
      <c r="N45" s="70"/>
      <c r="O45" s="74"/>
      <c r="P45" s="29"/>
    </row>
    <row r="46" spans="1:21" ht="42" customHeight="1">
      <c r="A46" s="29"/>
      <c r="B46" s="29"/>
      <c r="C46" s="73"/>
      <c r="D46" s="156">
        <v>1.5064825567129628E-2</v>
      </c>
      <c r="E46" s="157"/>
      <c r="F46" s="157"/>
      <c r="G46" s="70"/>
      <c r="H46" s="40" t="s">
        <v>62</v>
      </c>
      <c r="J46" s="36" t="s">
        <v>61</v>
      </c>
      <c r="K46" s="70"/>
      <c r="L46" s="40" t="s">
        <v>235</v>
      </c>
      <c r="M46" s="119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76"/>
      <c r="P47" s="29"/>
      <c r="R47" s="29" t="s">
        <v>139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117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5"/>
      <c r="M409" s="125"/>
    </row>
    <row r="410" spans="12:13" s="29" customFormat="1">
      <c r="L410" s="125"/>
      <c r="M410" s="125"/>
    </row>
    <row r="411" spans="12:13" s="29" customFormat="1">
      <c r="L411" s="125"/>
      <c r="M411" s="125"/>
    </row>
    <row r="412" spans="12:13" s="29" customFormat="1">
      <c r="L412" s="125"/>
      <c r="M412" s="125"/>
    </row>
    <row r="413" spans="12:13" s="29" customFormat="1">
      <c r="L413" s="125"/>
      <c r="M413" s="125"/>
    </row>
    <row r="414" spans="12:13" s="29" customFormat="1">
      <c r="L414" s="125"/>
      <c r="M414" s="125"/>
    </row>
    <row r="415" spans="12:13" s="29" customFormat="1">
      <c r="L415" s="125"/>
      <c r="M415" s="125"/>
    </row>
    <row r="416" spans="12:13" s="29" customFormat="1">
      <c r="L416" s="125"/>
      <c r="M416" s="125"/>
    </row>
    <row r="417" spans="12:29" s="29" customFormat="1">
      <c r="L417" s="125"/>
      <c r="M417" s="125"/>
    </row>
    <row r="418" spans="12:29" s="29" customFormat="1">
      <c r="L418" s="125"/>
      <c r="M418" s="125"/>
    </row>
    <row r="419" spans="12:29" s="29" customFormat="1">
      <c r="L419" s="125"/>
      <c r="M419" s="125"/>
    </row>
    <row r="420" spans="12:29" s="29" customFormat="1">
      <c r="L420" s="125"/>
      <c r="M420" s="125"/>
    </row>
    <row r="421" spans="12:29" s="29" customFormat="1">
      <c r="L421" s="125"/>
      <c r="M421" s="125"/>
    </row>
    <row r="422" spans="12:29" s="29" customFormat="1">
      <c r="L422" s="125"/>
      <c r="M422" s="125"/>
    </row>
    <row r="423" spans="12:29" s="29" customFormat="1">
      <c r="L423" s="125"/>
      <c r="M423" s="125"/>
    </row>
    <row r="424" spans="12:29" s="29" customFormat="1">
      <c r="L424" s="125"/>
      <c r="M424" s="125"/>
    </row>
    <row r="425" spans="12:29" s="29" customFormat="1">
      <c r="L425" s="125"/>
      <c r="M425" s="125"/>
    </row>
    <row r="426" spans="12:29" s="29" customFormat="1">
      <c r="L426" s="125"/>
      <c r="M426" s="125"/>
    </row>
    <row r="427" spans="12:29" s="29" customFormat="1">
      <c r="L427" s="125"/>
      <c r="M427" s="125"/>
      <c r="Y427" s="124"/>
      <c r="Z427" s="124"/>
      <c r="AA427" s="124"/>
      <c r="AC427" s="124"/>
    </row>
    <row r="428" spans="12:29" s="29" customFormat="1">
      <c r="L428" s="125"/>
      <c r="M428" s="125"/>
    </row>
    <row r="429" spans="12:29" s="29" customFormat="1">
      <c r="L429" s="125"/>
      <c r="M429" s="125"/>
    </row>
    <row r="430" spans="12:29" s="29" customFormat="1">
      <c r="L430" s="125"/>
      <c r="M430" s="125"/>
    </row>
    <row r="431" spans="12:29" s="29" customFormat="1">
      <c r="L431" s="125"/>
      <c r="M431" s="125"/>
    </row>
    <row r="432" spans="12:29" s="29" customFormat="1">
      <c r="L432" s="125"/>
      <c r="M432" s="125"/>
    </row>
    <row r="433" spans="12:13" s="29" customFormat="1">
      <c r="L433" s="125"/>
      <c r="M433" s="125"/>
    </row>
    <row r="434" spans="12:13" s="29" customFormat="1">
      <c r="L434" s="125"/>
      <c r="M434" s="125"/>
    </row>
    <row r="435" spans="12:13" s="29" customFormat="1">
      <c r="L435" s="125"/>
      <c r="M435" s="125"/>
    </row>
    <row r="436" spans="12:13" s="29" customFormat="1">
      <c r="L436" s="125"/>
      <c r="M436" s="125"/>
    </row>
    <row r="437" spans="12:13" s="29" customFormat="1">
      <c r="L437" s="125"/>
      <c r="M437" s="125"/>
    </row>
    <row r="438" spans="12:13" s="29" customFormat="1">
      <c r="L438" s="125"/>
      <c r="M438" s="125"/>
    </row>
    <row r="439" spans="12:13" s="29" customFormat="1">
      <c r="L439" s="125"/>
      <c r="M439" s="125"/>
    </row>
    <row r="440" spans="12:13" s="29" customFormat="1">
      <c r="L440" s="125"/>
      <c r="M440" s="125"/>
    </row>
    <row r="441" spans="12:13" s="29" customFormat="1">
      <c r="L441" s="125"/>
      <c r="M441" s="125"/>
    </row>
    <row r="442" spans="12:13" s="29" customFormat="1">
      <c r="L442" s="125"/>
      <c r="M442" s="125"/>
    </row>
    <row r="443" spans="12:13" s="29" customFormat="1">
      <c r="L443" s="125"/>
      <c r="M443" s="125"/>
    </row>
    <row r="444" spans="12:13" s="29" customFormat="1">
      <c r="L444" s="125"/>
      <c r="M444" s="125"/>
    </row>
    <row r="445" spans="12:13" s="29" customFormat="1">
      <c r="L445" s="125"/>
      <c r="M445" s="125"/>
    </row>
    <row r="446" spans="12:13" s="29" customFormat="1">
      <c r="L446" s="125"/>
      <c r="M446" s="125"/>
    </row>
    <row r="447" spans="12:13" s="29" customFormat="1">
      <c r="L447" s="125"/>
      <c r="M447" s="125"/>
    </row>
    <row r="448" spans="12:13" s="29" customFormat="1">
      <c r="L448" s="125"/>
      <c r="M448" s="125"/>
    </row>
    <row r="449" spans="12:13" s="29" customFormat="1">
      <c r="L449" s="125"/>
      <c r="M449" s="125"/>
    </row>
    <row r="450" spans="12:13" s="29" customFormat="1">
      <c r="L450" s="125"/>
      <c r="M450" s="125"/>
    </row>
    <row r="451" spans="12:13" s="29" customFormat="1">
      <c r="L451" s="125"/>
      <c r="M451" s="125"/>
    </row>
    <row r="452" spans="12:13" s="29" customFormat="1">
      <c r="L452" s="125"/>
      <c r="M452" s="125"/>
    </row>
    <row r="453" spans="12:13" s="29" customFormat="1">
      <c r="L453" s="125"/>
      <c r="M453" s="125"/>
    </row>
    <row r="454" spans="12:13" s="29" customFormat="1">
      <c r="L454" s="125"/>
      <c r="M454" s="125"/>
    </row>
    <row r="455" spans="12:13" s="29" customFormat="1">
      <c r="L455" s="125"/>
      <c r="M455" s="125"/>
    </row>
    <row r="456" spans="12:13" s="29" customFormat="1">
      <c r="L456" s="125"/>
      <c r="M456" s="125"/>
    </row>
    <row r="457" spans="12:13" s="29" customFormat="1">
      <c r="L457" s="125"/>
      <c r="M457" s="125"/>
    </row>
    <row r="458" spans="12:13" s="29" customFormat="1">
      <c r="L458" s="125"/>
      <c r="M458" s="125"/>
    </row>
    <row r="459" spans="12:13" s="29" customFormat="1">
      <c r="L459" s="125"/>
      <c r="M459" s="125"/>
    </row>
    <row r="460" spans="12:13" s="29" customFormat="1">
      <c r="L460" s="125"/>
      <c r="M460" s="125"/>
    </row>
    <row r="461" spans="12:13" s="29" customFormat="1">
      <c r="L461" s="125"/>
      <c r="M461" s="125"/>
    </row>
    <row r="462" spans="12:13" s="29" customFormat="1">
      <c r="L462" s="125"/>
      <c r="M462" s="125"/>
    </row>
    <row r="463" spans="12:13" s="29" customFormat="1">
      <c r="L463" s="125"/>
      <c r="M463" s="125"/>
    </row>
    <row r="464" spans="12:13" s="29" customFormat="1">
      <c r="L464" s="125"/>
      <c r="M464" s="125"/>
    </row>
    <row r="465" spans="12:13" s="29" customFormat="1">
      <c r="L465" s="125"/>
      <c r="M465" s="125"/>
    </row>
    <row r="466" spans="12:13" s="29" customFormat="1">
      <c r="L466" s="125"/>
      <c r="M466" s="125"/>
    </row>
    <row r="467" spans="12:13" s="29" customFormat="1">
      <c r="L467" s="125"/>
      <c r="M467" s="125"/>
    </row>
    <row r="468" spans="12:13" s="29" customFormat="1">
      <c r="L468" s="125"/>
      <c r="M468" s="125"/>
    </row>
    <row r="469" spans="12:13" s="29" customFormat="1">
      <c r="L469" s="125"/>
      <c r="M469" s="125"/>
    </row>
    <row r="470" spans="12:13" s="29" customFormat="1">
      <c r="L470" s="125"/>
      <c r="M470" s="125"/>
    </row>
    <row r="471" spans="12:13" s="29" customFormat="1">
      <c r="L471" s="125"/>
      <c r="M471" s="125"/>
    </row>
    <row r="472" spans="12:13" s="29" customFormat="1">
      <c r="L472" s="125"/>
      <c r="M472" s="125"/>
    </row>
    <row r="473" spans="12:13" s="29" customFormat="1">
      <c r="L473" s="125"/>
      <c r="M473" s="125"/>
    </row>
    <row r="474" spans="12:13" s="29" customFormat="1">
      <c r="L474" s="125"/>
      <c r="M474" s="125"/>
    </row>
    <row r="475" spans="12:13" s="29" customFormat="1">
      <c r="L475" s="125"/>
      <c r="M475" s="125"/>
    </row>
    <row r="476" spans="12:13" s="29" customFormat="1">
      <c r="L476" s="125"/>
      <c r="M476" s="125"/>
    </row>
    <row r="477" spans="12:13" s="29" customFormat="1">
      <c r="L477" s="125"/>
      <c r="M477" s="125"/>
    </row>
    <row r="478" spans="12:13" s="29" customFormat="1">
      <c r="L478" s="125"/>
      <c r="M478" s="125"/>
    </row>
    <row r="479" spans="12:13" s="29" customFormat="1">
      <c r="L479" s="125"/>
      <c r="M479" s="125"/>
    </row>
    <row r="480" spans="12:13" s="29" customFormat="1">
      <c r="L480" s="125"/>
      <c r="M480" s="125"/>
    </row>
    <row r="481" spans="12:13" s="29" customFormat="1">
      <c r="L481" s="125"/>
      <c r="M481" s="125"/>
    </row>
    <row r="482" spans="12:13" s="29" customFormat="1">
      <c r="L482" s="125"/>
      <c r="M482" s="125"/>
    </row>
    <row r="483" spans="12:13" s="29" customFormat="1">
      <c r="L483" s="125"/>
      <c r="M483" s="125"/>
    </row>
    <row r="484" spans="12:13" s="29" customFormat="1">
      <c r="L484" s="125"/>
      <c r="M484" s="125"/>
    </row>
    <row r="485" spans="12:13" s="29" customFormat="1">
      <c r="L485" s="125"/>
      <c r="M485" s="125"/>
    </row>
    <row r="486" spans="12:13" s="29" customFormat="1">
      <c r="L486" s="125"/>
      <c r="M486" s="125"/>
    </row>
    <row r="487" spans="12:13" s="29" customFormat="1">
      <c r="L487" s="125"/>
      <c r="M487" s="125"/>
    </row>
    <row r="488" spans="12:13" s="29" customFormat="1">
      <c r="L488" s="125"/>
      <c r="M488" s="125"/>
    </row>
    <row r="489" spans="12:13" s="29" customFormat="1">
      <c r="L489" s="125"/>
      <c r="M489" s="125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229"/>
  <sheetViews>
    <sheetView workbookViewId="0">
      <selection activeCell="G16" sqref="G1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345</v>
      </c>
      <c r="B1" t="s">
        <v>57</v>
      </c>
      <c r="C1" t="s">
        <v>64</v>
      </c>
      <c r="D1" t="s">
        <v>285</v>
      </c>
      <c r="E1" t="s">
        <v>65</v>
      </c>
      <c r="F1" t="s">
        <v>342</v>
      </c>
      <c r="G1" t="s">
        <v>260</v>
      </c>
      <c r="H1" t="s">
        <v>66</v>
      </c>
      <c r="I1" t="s">
        <v>67</v>
      </c>
      <c r="J1" t="s">
        <v>324</v>
      </c>
      <c r="K1" t="s">
        <v>325</v>
      </c>
      <c r="L1" t="s">
        <v>326</v>
      </c>
      <c r="M1" t="s">
        <v>128</v>
      </c>
      <c r="N1" t="s">
        <v>327</v>
      </c>
      <c r="O1" t="s">
        <v>328</v>
      </c>
      <c r="P1" t="s">
        <v>340</v>
      </c>
      <c r="Q1" t="s">
        <v>343</v>
      </c>
    </row>
    <row r="2" spans="1:17">
      <c r="A2" s="41"/>
      <c r="I2" s="122"/>
      <c r="L2" s="121"/>
    </row>
    <row r="3" spans="1:17" s="29" customFormat="1"/>
    <row r="4" spans="1:17" s="29" customFormat="1"/>
    <row r="5" spans="1:17" s="29" customFormat="1"/>
    <row r="6" spans="1:17" s="29" customFormat="1"/>
    <row r="7" spans="1:17" s="29" customFormat="1"/>
    <row r="8" spans="1:17" s="29" customFormat="1"/>
    <row r="9" spans="1:17" s="29" customFormat="1"/>
    <row r="10" spans="1:17" s="29" customFormat="1"/>
    <row r="11" spans="1:17" s="29" customFormat="1"/>
    <row r="12" spans="1:17" s="29" customFormat="1"/>
    <row r="13" spans="1:17" s="29" customFormat="1"/>
    <row r="14" spans="1:17" s="29" customFormat="1"/>
    <row r="15" spans="1:17" s="29" customFormat="1"/>
    <row r="16" spans="1:17" s="29" customFormat="1"/>
    <row r="17" s="29" customFormat="1"/>
    <row r="18" s="29" customFormat="1"/>
    <row r="19" s="29" customFormat="1"/>
    <row r="20" s="29" customFormat="1"/>
    <row r="21" s="29" customFormat="1"/>
    <row r="22" s="29" customFormat="1"/>
    <row r="23" s="29" customFormat="1"/>
    <row r="24" s="29" customFormat="1"/>
    <row r="25" s="29" customFormat="1"/>
    <row r="26" s="29" customFormat="1"/>
    <row r="27" s="29" customFormat="1"/>
    <row r="28" s="29" customFormat="1"/>
    <row r="29" s="29" customFormat="1"/>
    <row r="30" s="29" customFormat="1"/>
    <row r="31" s="29" customFormat="1"/>
    <row r="32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="29" customFormat="1"/>
    <row r="1218" s="29" customFormat="1"/>
    <row r="1219" s="29" customFormat="1"/>
    <row r="1220" s="29" customFormat="1"/>
    <row r="1221" s="29" customFormat="1"/>
    <row r="1222" s="29" customFormat="1"/>
    <row r="1223" s="29" customFormat="1"/>
    <row r="1224" s="29" customFormat="1"/>
    <row r="1225" s="29" customFormat="1"/>
    <row r="1226" s="29" customFormat="1"/>
    <row r="1227" s="29" customFormat="1"/>
    <row r="1228" s="29" customFormat="1"/>
    <row r="1229" s="29" customFormat="1"/>
  </sheetData>
  <dataValidations count="4">
    <dataValidation type="list" allowBlank="1" showErrorMessage="1" sqref="B2" xr:uid="{8416C147-CD2E-3641-8104-DE965153615E}">
      <formula1>LISTE_MT_JOURNAL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3999B3-88B1-174C-8F8F-709CA46830B0}">
          <x14:formula1>
            <xm:f>'Compo'!$AA$1:$AA$2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72"/>
  <sheetViews>
    <sheetView workbookViewId="0">
      <selection activeCell="B5" sqref="B5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15" max="31" width="10.83203125" style="29"/>
  </cols>
  <sheetData>
    <row r="1" spans="2:14" s="29" customFormat="1"/>
    <row r="2" spans="2:14" s="29" customFormat="1"/>
    <row r="3" spans="2:14" s="29" customFormat="1">
      <c r="B3" s="165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Eauze Première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7"/>
    </row>
    <row r="4" spans="2:14" s="29" customFormat="1">
      <c r="B4" s="168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s="29" customFormat="1"/>
    <row r="6" spans="2:14" ht="14" customHeight="1">
      <c r="B6" s="171" t="s">
        <v>64</v>
      </c>
      <c r="C6" s="163" t="str">
        <f>ACT_PL_NORMAL</f>
        <v>Plaquage normal</v>
      </c>
      <c r="D6" s="161"/>
      <c r="E6" s="163" t="str">
        <f>ACT_PL_OFF</f>
        <v>Plaquage offensif</v>
      </c>
      <c r="F6" s="161"/>
      <c r="G6" s="163" t="str">
        <f>ACT_PL_RATE</f>
        <v>Plaquage raté</v>
      </c>
      <c r="H6" s="161"/>
      <c r="I6" s="163" t="str">
        <f>ACT_PL_A2</f>
        <v>Plaquage à 2</v>
      </c>
      <c r="J6" s="173"/>
      <c r="K6" s="173" t="str">
        <f>ACT_PL_HAUT</f>
        <v>Plaquage haut</v>
      </c>
      <c r="L6" s="161"/>
      <c r="M6" s="173" t="str">
        <f>ACT_GRATTAGE</f>
        <v>Grattage</v>
      </c>
      <c r="N6" s="161"/>
    </row>
    <row r="7" spans="2:14" ht="13" customHeight="1">
      <c r="B7" s="172"/>
      <c r="C7" s="127" t="s">
        <v>119</v>
      </c>
      <c r="D7" s="128" t="s">
        <v>116</v>
      </c>
      <c r="E7" s="129" t="s">
        <v>119</v>
      </c>
      <c r="F7" s="129" t="s">
        <v>116</v>
      </c>
      <c r="G7" s="127" t="s">
        <v>119</v>
      </c>
      <c r="H7" s="128" t="s">
        <v>116</v>
      </c>
      <c r="I7" s="127" t="s">
        <v>119</v>
      </c>
      <c r="J7" s="128" t="s">
        <v>116</v>
      </c>
      <c r="K7" s="127" t="s">
        <v>119</v>
      </c>
      <c r="L7" s="128" t="s">
        <v>116</v>
      </c>
      <c r="M7" s="129" t="s">
        <v>119</v>
      </c>
      <c r="N7" s="128" t="s">
        <v>116</v>
      </c>
    </row>
    <row r="8" spans="2:14">
      <c r="B8" s="93" t="str" cm="1">
        <f t="array" ref="B8:B29">_xlfn._xlws.SORT(_xlfn._xlws.FILTER('Compo'!Z1:Z30,('Compo'!Z1:Z30&lt;&gt;"")*('Compo'!Z1:Z30&lt;&gt;"Collectif")*('Compo'!Z1:Z30&lt;&gt;"?")))</f>
        <v>ABADIE  Emeric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</row>
    <row r="9" spans="2:14">
      <c r="B9" s="93" t="str">
        <v>BAQUE Lucas</v>
      </c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</row>
    <row r="10" spans="2:14">
      <c r="B10" s="93" t="str">
        <v>BARATGIN xx</v>
      </c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</row>
    <row r="11" spans="2:14">
      <c r="B11" s="93" t="str">
        <v>BARTHIE Sébastien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</row>
    <row r="12" spans="2:14">
      <c r="B12" s="93" t="str">
        <v>BAUP Bastien</v>
      </c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</row>
    <row r="13" spans="2:14">
      <c r="B13" s="93" t="str">
        <v>BAYLE Jean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</row>
    <row r="14" spans="2:14">
      <c r="B14" s="93" t="str">
        <v>BOURREC Anthony</v>
      </c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</row>
    <row r="15" spans="2:14">
      <c r="B15" s="93" t="str">
        <v>CASTERA Tom</v>
      </c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</row>
    <row r="16" spans="2:14">
      <c r="B16" s="93" t="str">
        <v>DALLA ROSA Jonah</v>
      </c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</row>
    <row r="17" spans="2:14">
      <c r="B17" s="93" t="str">
        <v>DASTUGUE Thomas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</row>
    <row r="18" spans="2:14">
      <c r="B18" s="93" t="str">
        <v>FAULONG Marius</v>
      </c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</row>
    <row r="19" spans="2:14">
      <c r="B19" s="93" t="str">
        <v>JOUNAUX Joris</v>
      </c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</row>
    <row r="20" spans="2:14">
      <c r="B20" s="93" t="str">
        <v>KAPFER Bastien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</row>
    <row r="21" spans="2:14">
      <c r="B21" s="93" t="str">
        <v>LAUDET Jean-Baptiste</v>
      </c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</row>
    <row r="22" spans="2:14">
      <c r="B22" s="93" t="str">
        <v>MICHELIN Paul</v>
      </c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</row>
    <row r="23" spans="2:14">
      <c r="B23" s="93" t="str">
        <v>MONLOR Yohan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</row>
    <row r="24" spans="2:14">
      <c r="B24" s="93" t="str">
        <v>PIQUEMIL xx</v>
      </c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</row>
    <row r="25" spans="2:14">
      <c r="B25" s="93" t="str">
        <v>ROBERT Jimmy</v>
      </c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</row>
    <row r="26" spans="2:14">
      <c r="B26" s="93" t="str">
        <v>ROUSSEL xx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</row>
    <row r="27" spans="2:14">
      <c r="B27" s="93" t="str">
        <v>SALLES Dorian</v>
      </c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</row>
    <row r="28" spans="2:14">
      <c r="B28" s="93" t="str">
        <v>SALLES Fabien</v>
      </c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</row>
    <row r="29" spans="2:14">
      <c r="B29" s="93" t="str">
        <v>STEFANI Titouan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</row>
    <row r="30" spans="2:14">
      <c r="B30" s="91" t="s">
        <v>96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</row>
    <row r="31" spans="2:14">
      <c r="B31" s="92" t="s">
        <v>85</v>
      </c>
      <c r="C31" s="97" t="str">
        <f>IF(COUNTIFS(JournalActions[Joueur],$B31,JournalActions[Action],$C$6,JournalActions[Mi-temps],C$7)=0,"",COUNTIFS(JournalActions[Joueur],$B31,JournalActions[Action],$C$6,JournalActions[Mi-temps],C$7))</f>
        <v/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</row>
    <row r="32" spans="2:14" s="29" customFormat="1" ht="22" customHeight="1">
      <c r="B32" s="130" t="s">
        <v>296</v>
      </c>
      <c r="C32" s="131">
        <f>SUM(C8:C31)</f>
        <v>0</v>
      </c>
      <c r="D32" s="132">
        <f t="shared" ref="D32:N32" si="0">SUM(D8:D31)</f>
        <v>0</v>
      </c>
      <c r="E32" s="131">
        <f t="shared" si="0"/>
        <v>0</v>
      </c>
      <c r="F32" s="132">
        <f t="shared" si="0"/>
        <v>0</v>
      </c>
      <c r="G32" s="131">
        <f t="shared" si="0"/>
        <v>0</v>
      </c>
      <c r="H32" s="132">
        <f t="shared" si="0"/>
        <v>0</v>
      </c>
      <c r="I32" s="131">
        <f t="shared" si="0"/>
        <v>0</v>
      </c>
      <c r="J32" s="132">
        <f t="shared" si="0"/>
        <v>0</v>
      </c>
      <c r="K32" s="131">
        <f t="shared" si="0"/>
        <v>0</v>
      </c>
      <c r="L32" s="132">
        <f t="shared" si="0"/>
        <v>0</v>
      </c>
      <c r="M32" s="131">
        <f t="shared" si="0"/>
        <v>0</v>
      </c>
      <c r="N32" s="132">
        <f t="shared" si="0"/>
        <v>0</v>
      </c>
    </row>
    <row r="33" spans="2:14" s="107" customFormat="1" ht="25" customHeight="1">
      <c r="B33" s="133" t="s">
        <v>295</v>
      </c>
      <c r="C33" s="178">
        <f>C32+D32</f>
        <v>0</v>
      </c>
      <c r="D33" s="175"/>
      <c r="E33" s="174">
        <f t="shared" ref="E33" si="1">E32+F32</f>
        <v>0</v>
      </c>
      <c r="F33" s="174"/>
      <c r="G33" s="178">
        <f t="shared" ref="G33" si="2">G32+H32</f>
        <v>0</v>
      </c>
      <c r="H33" s="175"/>
      <c r="I33" s="178">
        <f>I32+J32</f>
        <v>0</v>
      </c>
      <c r="J33" s="175"/>
      <c r="K33" s="178">
        <f t="shared" ref="K33" si="3">K32+L32</f>
        <v>0</v>
      </c>
      <c r="L33" s="175"/>
      <c r="M33" s="174">
        <f t="shared" ref="M33" si="4">M32+N32</f>
        <v>0</v>
      </c>
      <c r="N33" s="175"/>
    </row>
    <row r="34" spans="2:14" s="29" customFormat="1"/>
    <row r="35" spans="2:14" s="29" customFormat="1"/>
    <row r="36" spans="2:14" ht="14">
      <c r="B36" s="29"/>
      <c r="C36" s="134" t="s">
        <v>262</v>
      </c>
      <c r="D36" s="134" t="s">
        <v>341</v>
      </c>
      <c r="E36" s="135" t="s">
        <v>261</v>
      </c>
      <c r="F36" s="29"/>
      <c r="G36" s="163" t="s">
        <v>290</v>
      </c>
      <c r="H36" s="161"/>
      <c r="J36" s="163" t="s">
        <v>81</v>
      </c>
      <c r="K36" s="163" t="s">
        <v>264</v>
      </c>
      <c r="L36" s="161"/>
      <c r="M36" s="161" t="s">
        <v>291</v>
      </c>
      <c r="N36" s="29"/>
    </row>
    <row r="37" spans="2:14" ht="14">
      <c r="B37" s="29"/>
      <c r="C37" s="102" t="s">
        <v>259</v>
      </c>
      <c r="D37" s="102">
        <f>COUNTIFS(JournalActions[Action],ACT_TO_NS_G,JournalActions[Mi-temps],"MT1")</f>
        <v>0</v>
      </c>
      <c r="E37" s="103">
        <f>COUNTIFS(JournalActions[Action],ACT_TO_NS_P,JournalActions[Mi-temps],"MT1")
+COUNTIFS(JournalActions[Action],ACT_TO_NS_PAS_DROIT,JournalActions[Mi-temps],"MT1")</f>
        <v>0</v>
      </c>
      <c r="F37" s="29"/>
      <c r="G37" s="102" t="s">
        <v>264</v>
      </c>
      <c r="H37" s="10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9"/>
      <c r="J37" s="164"/>
      <c r="K37" s="127" t="s">
        <v>270</v>
      </c>
      <c r="L37" s="128" t="s">
        <v>289</v>
      </c>
      <c r="M37" s="162"/>
      <c r="N37" s="29"/>
    </row>
    <row r="38" spans="2:14">
      <c r="B38" s="29"/>
      <c r="C38" s="47" t="s">
        <v>292</v>
      </c>
      <c r="D38" s="47">
        <f>COUNTIFS(JournalActions[Action],ACT_TO_ADV_PERDUE,JournalActions[Mi-temps],"MT1")</f>
        <v>0</v>
      </c>
      <c r="E38" s="49">
        <f>COUNTIFS(JournalActions[Possession],ACT_TO_ADV_VOLEE,JournalActions[Joueur],"MT1")</f>
        <v>0</v>
      </c>
      <c r="F38" s="29"/>
      <c r="G38" s="47" t="s">
        <v>265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9"/>
      <c r="J38" s="98" t="s">
        <v>119</v>
      </c>
      <c r="K38" s="139">
        <f>COUNTIFS(JournalActions[Action],ACT_PEN_CONTRE_NOUS,JournalActions[Mi-temps],"MT1",JournalActions[Groupe fautif],"Avant")</f>
        <v>0</v>
      </c>
      <c r="L38" s="99">
        <f>COUNTIFS(JournalActions[Action],ACT_PEN_CONTRE_NOUS,JournalActions[Mi-temps],"MT1",JournalActions[Groupe fautif],"Trois-quarts")</f>
        <v>0</v>
      </c>
      <c r="M38" s="99">
        <f>COUNTIFS(JournalActions[Action],ACT_PEN_CONTRE_ADV,JournalActions[Mi-temps],"MT1")</f>
        <v>0</v>
      </c>
      <c r="N38" s="29"/>
    </row>
    <row r="39" spans="2:14">
      <c r="B39" s="29"/>
      <c r="C39" s="29"/>
      <c r="D39" s="29"/>
      <c r="E39" s="29"/>
      <c r="F39" s="29"/>
      <c r="G39" s="29"/>
      <c r="H39" s="29"/>
      <c r="I39" s="29"/>
      <c r="J39" s="47" t="s">
        <v>116</v>
      </c>
      <c r="K39" s="140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fautif],"Trois-quarts")</f>
        <v>0</v>
      </c>
      <c r="M39" s="49">
        <f>COUNTIFS(JournalActions[Action],ACT_PEN_CONTRE_ADV,JournalActions[Mi-temps],"MT2")</f>
        <v>0</v>
      </c>
      <c r="N39" s="29"/>
    </row>
    <row r="40" spans="2:14" ht="14">
      <c r="B40" s="29"/>
      <c r="C40" s="134" t="s">
        <v>263</v>
      </c>
      <c r="D40" s="134" t="s">
        <v>341</v>
      </c>
      <c r="E40" s="135" t="s">
        <v>261</v>
      </c>
      <c r="F40" s="29"/>
      <c r="G40" s="163" t="s">
        <v>266</v>
      </c>
      <c r="H40" s="161"/>
      <c r="I40" s="29"/>
      <c r="J40" s="29"/>
      <c r="K40" s="29"/>
      <c r="L40" s="29"/>
      <c r="M40" s="29"/>
      <c r="N40" s="29"/>
    </row>
    <row r="41" spans="2:14" ht="14">
      <c r="B41" s="29"/>
      <c r="C41" s="102" t="s">
        <v>259</v>
      </c>
      <c r="D41" s="102">
        <f>COUNTIFS(JournalActions[Action],ACT_TO_NS_G,JournalActions[Mi-temps],"MT2")</f>
        <v>0</v>
      </c>
      <c r="E41" s="103">
        <f>COUNTIFS(JournalActions[Action],ACT_TO_NS_P,JournalActions[Mi-temps],"MT2")
+COUNTIFS(JournalActions[Action],ACT_TO_NS_PAS_DROIT,JournalActions[Mi-temps],"MT2")</f>
        <v>0</v>
      </c>
      <c r="F41" s="29"/>
      <c r="G41" s="102" t="s">
        <v>264</v>
      </c>
      <c r="H41" s="10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9"/>
      <c r="J41" s="136" t="s">
        <v>29</v>
      </c>
      <c r="K41" s="137"/>
      <c r="L41" s="138" t="s">
        <v>264</v>
      </c>
      <c r="M41" s="126" t="s">
        <v>291</v>
      </c>
      <c r="N41" s="29"/>
    </row>
    <row r="42" spans="2:14">
      <c r="B42" s="29"/>
      <c r="C42" s="47" t="s">
        <v>292</v>
      </c>
      <c r="D42" s="47">
        <f>COUNTIFS(JournalActions[Action],ACT_TO_ADV_PERDUE,JournalActions[Mi-temps],"MT2")</f>
        <v>0</v>
      </c>
      <c r="E42" s="49">
        <f>COUNTIFS(JournalActions[Possession],ACT_TO_ADV_VOLEE,JournalActions[Joueur],"MT2")</f>
        <v>0</v>
      </c>
      <c r="F42" s="29"/>
      <c r="G42" s="47" t="s">
        <v>265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9"/>
      <c r="J42" s="179" t="s">
        <v>31</v>
      </c>
      <c r="K42" s="180"/>
      <c r="L42" s="104">
        <f>COUNTIFS(JournalActions[Action],ACT_PEN_CONTRE_NOUS,JournalActions[Motif penalite],ACT_PEN_MAUL)</f>
        <v>0</v>
      </c>
      <c r="M42" s="104">
        <f>COUNTIFS(JournalActions[Action],ACT_PEN_CONTRE_ADV,JournalActions[Motif penalite],ACT_PEN_MAUL)</f>
        <v>0</v>
      </c>
      <c r="N42" s="29"/>
    </row>
    <row r="43" spans="2:14">
      <c r="B43" s="29"/>
      <c r="C43" s="29"/>
      <c r="D43" s="29"/>
      <c r="E43" s="29"/>
      <c r="F43" s="29"/>
      <c r="G43" s="29"/>
      <c r="H43" s="29"/>
      <c r="I43" s="29"/>
      <c r="J43" s="176" t="s">
        <v>33</v>
      </c>
      <c r="K43" s="177"/>
      <c r="L43" s="50">
        <f>COUNTIFS(JournalActions[Action],ACT_PEN_CONTRE_NOUS,JournalActions[Motif penalite],ACT_PEN_RUCK)</f>
        <v>0</v>
      </c>
      <c r="M43" s="50">
        <f>COUNTIFS(JournalActions[Action],ACT_PEN_CONTRE_ADV,JournalActions[Motif penalite],ACT_PEN_RUCK)</f>
        <v>0</v>
      </c>
      <c r="N43" s="29"/>
    </row>
    <row r="44" spans="2:14">
      <c r="B44" s="29"/>
      <c r="C44" s="29"/>
      <c r="D44" s="29"/>
      <c r="E44" s="29"/>
      <c r="F44" s="29"/>
      <c r="G44" s="29"/>
      <c r="H44" s="29"/>
      <c r="I44" s="29"/>
      <c r="J44" s="179" t="s">
        <v>35</v>
      </c>
      <c r="K44" s="180"/>
      <c r="L44" s="104">
        <f>COUNTIFS(JournalActions[Action],ACT_PEN_CONTRE_NOUS,JournalActions[Motif penalite],ACT_PEN_HORS_JEU)</f>
        <v>0</v>
      </c>
      <c r="M44" s="104">
        <f>COUNTIFS(JournalActions[Action],ACT_PEN_CONTRE_ADV,JournalActions[Motif penalite],ACT_PEN_HORS_JEU)</f>
        <v>0</v>
      </c>
      <c r="N44" s="29"/>
    </row>
    <row r="45" spans="2:14">
      <c r="B45" s="29"/>
      <c r="C45" s="29"/>
      <c r="D45" s="29"/>
      <c r="E45" s="29"/>
      <c r="F45" s="29"/>
      <c r="G45" s="29"/>
      <c r="H45" s="29"/>
      <c r="I45" s="29"/>
      <c r="J45" s="176" t="s">
        <v>37</v>
      </c>
      <c r="K45" s="177"/>
      <c r="L45" s="50">
        <f>COUNTIFS(JournalActions[Action],ACT_PEN_CONTRE_NOUS,JournalActions[Motif penalite],ACT_PEN_PL_A_2)</f>
        <v>0</v>
      </c>
      <c r="M45" s="50">
        <f>COUNTIFS(JournalActions[Action],ACT_PEN_CONTRE_ADV,JournalActions[Motif penalite],ACT_PEN_PL_A_2)</f>
        <v>0</v>
      </c>
      <c r="N45" s="29"/>
    </row>
    <row r="46" spans="2:14">
      <c r="B46" s="29"/>
      <c r="C46" s="29"/>
      <c r="D46" s="29"/>
      <c r="E46" s="29"/>
      <c r="F46" s="29"/>
      <c r="G46" s="29"/>
      <c r="H46" s="29"/>
      <c r="I46" s="29"/>
      <c r="J46" s="179" t="s">
        <v>39</v>
      </c>
      <c r="K46" s="180"/>
      <c r="L46" s="104">
        <f>COUNTIFS(JournalActions[Action],ACT_PEN_CONTRE_NOUS,JournalActions[Motif penalite],ACT_PEN_PL_HAUT)</f>
        <v>0</v>
      </c>
      <c r="M46" s="104">
        <f>COUNTIFS(JournalActions[Action],ACT_PEN_CONTRE_ADV,JournalActions[Motif penalite],ACT_PEN_PL_HAUT)</f>
        <v>0</v>
      </c>
      <c r="N46" s="29"/>
    </row>
    <row r="47" spans="2:14">
      <c r="B47" s="29"/>
      <c r="C47" s="29"/>
      <c r="D47" s="29"/>
      <c r="E47" s="29"/>
      <c r="F47" s="29"/>
      <c r="G47" s="29"/>
      <c r="H47" s="29"/>
      <c r="I47" s="29"/>
      <c r="J47" s="176" t="s">
        <v>286</v>
      </c>
      <c r="K47" s="177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0</v>
      </c>
      <c r="N47" s="29"/>
    </row>
    <row r="48" spans="2:14">
      <c r="B48" s="29"/>
      <c r="C48" s="29"/>
      <c r="D48" s="29"/>
      <c r="E48" s="29"/>
      <c r="F48" s="29"/>
      <c r="G48" s="29"/>
      <c r="H48" s="29"/>
      <c r="I48" s="29"/>
      <c r="J48" s="106" t="s">
        <v>45</v>
      </c>
      <c r="K48" s="29"/>
      <c r="L48" s="29"/>
      <c r="M48" s="29"/>
      <c r="N48" s="29"/>
    </row>
    <row r="49" spans="2:14">
      <c r="B49" s="29"/>
      <c r="C49" s="29"/>
      <c r="D49" s="29"/>
      <c r="E49" s="29"/>
      <c r="F49" s="29"/>
      <c r="G49" s="29"/>
      <c r="H49" s="29"/>
      <c r="I49" s="29"/>
      <c r="K49" s="105"/>
      <c r="L49" s="29"/>
      <c r="M49" s="29"/>
      <c r="N49" s="29"/>
    </row>
    <row r="50" spans="2:14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/>
    <row r="56" spans="2:14" s="29" customFormat="1"/>
    <row r="57" spans="2:14" s="29" customFormat="1"/>
    <row r="58" spans="2:14" s="29" customFormat="1"/>
    <row r="59" spans="2:14" s="29" customFormat="1"/>
    <row r="60" spans="2:14" s="29" customFormat="1"/>
    <row r="61" spans="2:14" s="29" customFormat="1"/>
    <row r="62" spans="2:14" s="29" customFormat="1"/>
    <row r="63" spans="2:14" s="29" customFormat="1"/>
    <row r="64" spans="2:1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</sheetData>
  <mergeCells count="25">
    <mergeCell ref="J47:K47"/>
    <mergeCell ref="C33:D33"/>
    <mergeCell ref="E33:F33"/>
    <mergeCell ref="G33:H33"/>
    <mergeCell ref="I33:J33"/>
    <mergeCell ref="K33:L33"/>
    <mergeCell ref="J42:K42"/>
    <mergeCell ref="J43:K43"/>
    <mergeCell ref="J44:K44"/>
    <mergeCell ref="J45:K45"/>
    <mergeCell ref="J46:K46"/>
    <mergeCell ref="G40:H40"/>
    <mergeCell ref="G36:H36"/>
    <mergeCell ref="K36:L36"/>
    <mergeCell ref="M36:M37"/>
    <mergeCell ref="J36:J37"/>
    <mergeCell ref="B3:N4"/>
    <mergeCell ref="B6:B7"/>
    <mergeCell ref="C6:D6"/>
    <mergeCell ref="E6:F6"/>
    <mergeCell ref="G6:H6"/>
    <mergeCell ref="I6:J6"/>
    <mergeCell ref="M6:N6"/>
    <mergeCell ref="M33:N33"/>
    <mergeCell ref="K6:L6"/>
  </mergeCells>
  <phoneticPr fontId="21" type="noConversion"/>
  <conditionalFormatting sqref="B8:N31">
    <cfRule type="expression" dxfId="3" priority="2" stopIfTrue="1">
      <formula>ISEVEN(ROW())</formula>
    </cfRule>
  </conditionalFormatting>
  <conditionalFormatting sqref="J38:M38">
    <cfRule type="expression" dxfId="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G10" sqref="G10"/>
    </sheetView>
  </sheetViews>
  <sheetFormatPr baseColWidth="10" defaultRowHeight="13"/>
  <cols>
    <col min="1" max="1" width="6.6640625" hidden="1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144</v>
      </c>
      <c r="B1" t="s">
        <v>145</v>
      </c>
      <c r="C1" t="s">
        <v>146</v>
      </c>
      <c r="D1" t="s">
        <v>147</v>
      </c>
      <c r="E1" t="s">
        <v>207</v>
      </c>
    </row>
    <row r="2" spans="1:5">
      <c r="A2">
        <v>1</v>
      </c>
      <c r="B2" t="s">
        <v>152</v>
      </c>
      <c r="C2" t="s">
        <v>151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103</v>
      </c>
      <c r="C3" t="s">
        <v>157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112</v>
      </c>
      <c r="C4" t="s">
        <v>155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113</v>
      </c>
      <c r="C5" t="s">
        <v>165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110</v>
      </c>
      <c r="C6" t="s">
        <v>161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99</v>
      </c>
      <c r="C7" t="s">
        <v>153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104</v>
      </c>
      <c r="C8" t="s">
        <v>158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142</v>
      </c>
      <c r="C9" t="s">
        <v>166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143</v>
      </c>
      <c r="C10" t="s">
        <v>148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97</v>
      </c>
      <c r="C11" t="s">
        <v>150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105</v>
      </c>
      <c r="C12" t="s">
        <v>159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114</v>
      </c>
      <c r="C13" t="s">
        <v>167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107</v>
      </c>
      <c r="C14" t="s">
        <v>161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106</v>
      </c>
      <c r="C15" t="s">
        <v>160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98</v>
      </c>
      <c r="C16" t="s">
        <v>149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102</v>
      </c>
      <c r="C17" t="s">
        <v>156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101</v>
      </c>
      <c r="C18" t="s">
        <v>155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109</v>
      </c>
      <c r="C19" t="s">
        <v>163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100</v>
      </c>
      <c r="C20" t="s">
        <v>155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108</v>
      </c>
      <c r="C21" t="s">
        <v>162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108</v>
      </c>
      <c r="C22" t="s">
        <v>154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111</v>
      </c>
      <c r="C23" t="s">
        <v>164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152</v>
      </c>
      <c r="C24" t="s">
        <v>168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348</v>
      </c>
      <c r="C25" t="s">
        <v>349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350</v>
      </c>
      <c r="C26" t="s">
        <v>349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/>
    <row r="28" spans="1:5" s="29" customFormat="1"/>
    <row r="29" spans="1:5" s="29" customFormat="1"/>
    <row r="30" spans="1:5" s="29" customFormat="1"/>
    <row r="31" spans="1:5" s="29" customFormat="1"/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abSelected="1" topLeftCell="K15" workbookViewId="0">
      <selection activeCell="R36" sqref="R36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308</v>
      </c>
      <c r="C1" s="53" t="s">
        <v>316</v>
      </c>
      <c r="D1" s="53"/>
      <c r="F1" s="60" t="s">
        <v>205</v>
      </c>
      <c r="G1" s="61" t="s">
        <v>206</v>
      </c>
      <c r="I1" s="83" t="s">
        <v>233</v>
      </c>
      <c r="K1" s="60" t="s">
        <v>231</v>
      </c>
      <c r="N1" t="s">
        <v>269</v>
      </c>
      <c r="Q1" s="83" t="s">
        <v>172</v>
      </c>
      <c r="R1" s="83" t="s">
        <v>234</v>
      </c>
    </row>
    <row r="2" spans="1:18" ht="30" customHeight="1">
      <c r="A2" t="s">
        <v>329</v>
      </c>
      <c r="C2" s="57" t="s">
        <v>297</v>
      </c>
      <c r="D2" s="57"/>
      <c r="F2" s="55" t="s">
        <v>195</v>
      </c>
      <c r="G2" s="39"/>
      <c r="I2" s="56" t="s">
        <v>120</v>
      </c>
      <c r="K2" s="55" t="s">
        <v>211</v>
      </c>
      <c r="N2" t="s">
        <v>270</v>
      </c>
      <c r="Q2" s="56" t="s">
        <v>173</v>
      </c>
      <c r="R2" s="56" t="s">
        <v>58</v>
      </c>
    </row>
    <row r="3" spans="1:18" ht="30" customHeight="1">
      <c r="A3" t="s">
        <v>309</v>
      </c>
      <c r="C3" s="57" t="s">
        <v>307</v>
      </c>
      <c r="D3" s="57"/>
      <c r="F3" s="58" t="s">
        <v>196</v>
      </c>
      <c r="G3" s="32"/>
      <c r="I3" s="84" t="s">
        <v>230</v>
      </c>
      <c r="K3" s="58" t="s">
        <v>209</v>
      </c>
      <c r="N3" t="s">
        <v>288</v>
      </c>
      <c r="Q3" s="59" t="s">
        <v>174</v>
      </c>
      <c r="R3" s="59" t="s">
        <v>130</v>
      </c>
    </row>
    <row r="4" spans="1:18" ht="30" customHeight="1">
      <c r="A4" t="s">
        <v>310</v>
      </c>
      <c r="C4" s="57" t="s">
        <v>317</v>
      </c>
      <c r="D4" s="57"/>
      <c r="F4" s="55" t="s">
        <v>197</v>
      </c>
      <c r="G4" s="33"/>
      <c r="K4" s="55" t="s">
        <v>210</v>
      </c>
      <c r="Q4" s="56" t="s">
        <v>175</v>
      </c>
      <c r="R4" s="56" t="s">
        <v>59</v>
      </c>
    </row>
    <row r="5" spans="1:18" ht="30" customHeight="1">
      <c r="A5" t="s">
        <v>311</v>
      </c>
      <c r="C5" s="57"/>
      <c r="D5" s="57"/>
      <c r="F5" s="58" t="s">
        <v>198</v>
      </c>
      <c r="G5" s="34"/>
      <c r="I5" s="83" t="s">
        <v>232</v>
      </c>
      <c r="K5" s="58" t="s">
        <v>211</v>
      </c>
      <c r="Q5" s="59" t="s">
        <v>176</v>
      </c>
      <c r="R5" s="59" t="s">
        <v>177</v>
      </c>
    </row>
    <row r="6" spans="1:18" ht="30" customHeight="1">
      <c r="A6" t="s">
        <v>312</v>
      </c>
      <c r="C6" s="57" t="s">
        <v>318</v>
      </c>
      <c r="D6" s="57"/>
      <c r="F6" s="55" t="s">
        <v>200</v>
      </c>
      <c r="G6" s="35"/>
      <c r="I6" s="56" t="s">
        <v>119</v>
      </c>
      <c r="K6" s="55" t="s">
        <v>212</v>
      </c>
      <c r="Q6" s="56" t="s">
        <v>178</v>
      </c>
      <c r="R6" s="56" t="s">
        <v>179</v>
      </c>
    </row>
    <row r="7" spans="1:18" ht="30" customHeight="1">
      <c r="A7" t="s">
        <v>313</v>
      </c>
      <c r="C7" s="57" t="s">
        <v>298</v>
      </c>
      <c r="D7" s="57"/>
      <c r="F7" s="58" t="s">
        <v>199</v>
      </c>
      <c r="G7" s="52"/>
      <c r="I7" s="84" t="s">
        <v>116</v>
      </c>
      <c r="K7" s="58" t="s">
        <v>213</v>
      </c>
      <c r="Q7" s="59" t="s">
        <v>180</v>
      </c>
      <c r="R7" s="59" t="s">
        <v>133</v>
      </c>
    </row>
    <row r="8" spans="1:18" ht="30" customHeight="1">
      <c r="A8" s="53" t="s">
        <v>314</v>
      </c>
      <c r="C8" s="57" t="s">
        <v>319</v>
      </c>
      <c r="D8" s="57"/>
      <c r="F8" s="55" t="s">
        <v>201</v>
      </c>
      <c r="G8" s="27"/>
      <c r="K8" s="55" t="s">
        <v>214</v>
      </c>
      <c r="Q8" s="56" t="s">
        <v>181</v>
      </c>
      <c r="R8" s="56" t="s">
        <v>131</v>
      </c>
    </row>
    <row r="9" spans="1:18" s="53" customFormat="1" ht="30" customHeight="1">
      <c r="A9" t="s">
        <v>315</v>
      </c>
      <c r="C9" s="57" t="s">
        <v>320</v>
      </c>
      <c r="D9" s="57"/>
      <c r="F9" s="58" t="s">
        <v>202</v>
      </c>
      <c r="G9" s="36"/>
      <c r="K9" s="58" t="s">
        <v>215</v>
      </c>
      <c r="Q9" s="59" t="s">
        <v>182</v>
      </c>
      <c r="R9" s="59" t="s">
        <v>134</v>
      </c>
    </row>
    <row r="10" spans="1:18" ht="30" customHeight="1">
      <c r="C10" s="57"/>
      <c r="D10" s="57"/>
      <c r="F10" s="55" t="s">
        <v>203</v>
      </c>
      <c r="G10" s="37"/>
      <c r="I10" s="123" t="s">
        <v>344</v>
      </c>
      <c r="K10" s="55" t="s">
        <v>216</v>
      </c>
      <c r="Q10" s="56" t="s">
        <v>183</v>
      </c>
      <c r="R10" s="56" t="s">
        <v>132</v>
      </c>
    </row>
    <row r="11" spans="1:18" s="53" customFormat="1" ht="30" customHeight="1">
      <c r="C11" s="57" t="s">
        <v>321</v>
      </c>
      <c r="D11" s="57"/>
      <c r="F11" s="58"/>
      <c r="K11" s="58" t="s">
        <v>217</v>
      </c>
      <c r="Q11" s="59" t="s">
        <v>184</v>
      </c>
      <c r="R11" s="59" t="s">
        <v>135</v>
      </c>
    </row>
    <row r="12" spans="1:18" ht="30" customHeight="1">
      <c r="C12" s="57" t="s">
        <v>299</v>
      </c>
      <c r="D12" s="57"/>
      <c r="F12" s="55" t="s">
        <v>204</v>
      </c>
      <c r="G12" s="38"/>
      <c r="K12" s="55" t="s">
        <v>218</v>
      </c>
      <c r="Q12" s="56" t="s">
        <v>294</v>
      </c>
      <c r="R12" s="56" t="s">
        <v>279</v>
      </c>
    </row>
    <row r="13" spans="1:18" s="53" customFormat="1" ht="30" customHeight="1">
      <c r="C13" s="57" t="s">
        <v>322</v>
      </c>
      <c r="D13" s="57"/>
      <c r="K13" s="58" t="s">
        <v>219</v>
      </c>
      <c r="Q13" s="59" t="s">
        <v>293</v>
      </c>
      <c r="R13" s="59" t="s">
        <v>280</v>
      </c>
    </row>
    <row r="14" spans="1:18" ht="30" customHeight="1">
      <c r="C14" s="57" t="s">
        <v>323</v>
      </c>
      <c r="D14" s="57"/>
      <c r="I14" s="54" t="s">
        <v>240</v>
      </c>
      <c r="K14" s="55" t="s">
        <v>220</v>
      </c>
      <c r="Q14" s="59" t="s">
        <v>185</v>
      </c>
      <c r="R14" s="59" t="s">
        <v>125</v>
      </c>
    </row>
    <row r="15" spans="1:18" s="53" customFormat="1" ht="30" customHeight="1">
      <c r="C15" s="57"/>
      <c r="D15" s="57"/>
      <c r="I15" s="53" t="s">
        <v>236</v>
      </c>
      <c r="K15" s="58" t="s">
        <v>221</v>
      </c>
      <c r="Q15" s="59" t="s">
        <v>186</v>
      </c>
      <c r="R15" s="59" t="s">
        <v>136</v>
      </c>
    </row>
    <row r="16" spans="1:18" ht="30" customHeight="1">
      <c r="C16" s="57" t="s">
        <v>332</v>
      </c>
      <c r="D16" s="57"/>
      <c r="I16" s="53" t="s">
        <v>237</v>
      </c>
      <c r="K16" s="55" t="s">
        <v>222</v>
      </c>
      <c r="Q16" s="56" t="s">
        <v>187</v>
      </c>
      <c r="R16" s="56" t="s">
        <v>137</v>
      </c>
    </row>
    <row r="17" spans="3:18" s="53" customFormat="1" ht="30" customHeight="1">
      <c r="C17" s="57" t="s">
        <v>333</v>
      </c>
      <c r="D17" s="57"/>
      <c r="I17" s="53" t="s">
        <v>238</v>
      </c>
      <c r="K17" s="58" t="s">
        <v>223</v>
      </c>
      <c r="Q17" s="59" t="s">
        <v>188</v>
      </c>
      <c r="R17" s="59" t="s">
        <v>138</v>
      </c>
    </row>
    <row r="18" spans="3:18" ht="30" customHeight="1">
      <c r="C18" s="57" t="s">
        <v>334</v>
      </c>
      <c r="D18" s="57"/>
      <c r="I18" s="53" t="s">
        <v>239</v>
      </c>
      <c r="K18" s="55" t="s">
        <v>224</v>
      </c>
      <c r="Q18" s="56" t="s">
        <v>189</v>
      </c>
      <c r="R18" s="56" t="s">
        <v>129</v>
      </c>
    </row>
    <row r="19" spans="3:18" ht="30" customHeight="1">
      <c r="C19" s="57" t="s">
        <v>335</v>
      </c>
      <c r="D19" s="57"/>
      <c r="I19" s="53" t="s">
        <v>346</v>
      </c>
      <c r="K19" s="58" t="s">
        <v>225</v>
      </c>
      <c r="Q19" s="59" t="s">
        <v>190</v>
      </c>
      <c r="R19" s="59" t="s">
        <v>126</v>
      </c>
    </row>
    <row r="20" spans="3:18" ht="30" customHeight="1">
      <c r="C20" s="57" t="s">
        <v>336</v>
      </c>
      <c r="D20" s="57"/>
      <c r="I20" s="53" t="s">
        <v>347</v>
      </c>
      <c r="K20" s="55" t="s">
        <v>226</v>
      </c>
      <c r="Q20" s="56" t="s">
        <v>191</v>
      </c>
      <c r="R20" s="56" t="s">
        <v>127</v>
      </c>
    </row>
    <row r="21" spans="3:18" ht="30" customHeight="1">
      <c r="C21" s="57"/>
      <c r="D21" s="57"/>
      <c r="K21" s="58" t="s">
        <v>227</v>
      </c>
      <c r="Q21" s="59" t="s">
        <v>192</v>
      </c>
      <c r="R21" s="59" t="s">
        <v>122</v>
      </c>
    </row>
    <row r="22" spans="3:18" ht="30" customHeight="1">
      <c r="C22" s="57"/>
      <c r="D22" s="57"/>
      <c r="K22" s="55" t="s">
        <v>228</v>
      </c>
      <c r="Q22" s="56" t="s">
        <v>193</v>
      </c>
      <c r="R22" s="56" t="s">
        <v>123</v>
      </c>
    </row>
    <row r="23" spans="3:18" ht="30" customHeight="1">
      <c r="C23" s="57"/>
      <c r="D23" s="57"/>
      <c r="K23" s="58" t="s">
        <v>229</v>
      </c>
      <c r="Q23" s="59" t="s">
        <v>194</v>
      </c>
      <c r="R23" s="59" t="s">
        <v>91</v>
      </c>
    </row>
    <row r="24" spans="3:18" ht="30" customHeight="1">
      <c r="C24" s="57"/>
      <c r="D24" s="57"/>
      <c r="K24" s="55" t="s">
        <v>96</v>
      </c>
      <c r="Q24" s="56" t="s">
        <v>247</v>
      </c>
      <c r="R24" s="56" t="s">
        <v>249</v>
      </c>
    </row>
    <row r="25" spans="3:18" ht="30" customHeight="1">
      <c r="K25" s="58" t="s">
        <v>85</v>
      </c>
      <c r="Q25" s="59" t="s">
        <v>248</v>
      </c>
      <c r="R25" s="59" t="s">
        <v>250</v>
      </c>
    </row>
    <row r="26" spans="3:18" ht="30" customHeight="1">
      <c r="Q26" s="59" t="s">
        <v>251</v>
      </c>
      <c r="R26" s="59" t="s">
        <v>252</v>
      </c>
    </row>
    <row r="27" spans="3:18" ht="30" customHeight="1">
      <c r="Q27" s="59" t="s">
        <v>253</v>
      </c>
      <c r="R27" s="59" t="s">
        <v>254</v>
      </c>
    </row>
    <row r="28" spans="3:18" ht="30" customHeight="1">
      <c r="Q28" s="56" t="s">
        <v>255</v>
      </c>
      <c r="R28" s="56" t="s">
        <v>60</v>
      </c>
    </row>
    <row r="29" spans="3:18" ht="30" customHeight="1">
      <c r="Q29" s="59" t="s">
        <v>256</v>
      </c>
      <c r="R29" s="59" t="s">
        <v>257</v>
      </c>
    </row>
    <row r="30" spans="3:18" ht="30" customHeight="1">
      <c r="Q30" s="101" t="s">
        <v>278</v>
      </c>
      <c r="R30" s="101" t="s">
        <v>272</v>
      </c>
    </row>
    <row r="31" spans="3:18" ht="30" customHeight="1">
      <c r="Q31" s="59" t="s">
        <v>281</v>
      </c>
      <c r="R31" s="59" t="s">
        <v>273</v>
      </c>
    </row>
    <row r="32" spans="3:18" ht="30" customHeight="1">
      <c r="Q32" s="59" t="s">
        <v>282</v>
      </c>
      <c r="R32" s="59" t="s">
        <v>274</v>
      </c>
    </row>
    <row r="33" spans="17:18" ht="30" customHeight="1">
      <c r="Q33" s="59" t="s">
        <v>283</v>
      </c>
      <c r="R33" s="59" t="s">
        <v>177</v>
      </c>
    </row>
    <row r="34" spans="17:18" ht="30" customHeight="1">
      <c r="Q34" s="101" t="s">
        <v>284</v>
      </c>
      <c r="R34" s="101" t="s">
        <v>179</v>
      </c>
    </row>
    <row r="35" spans="17:18" ht="30" customHeight="1">
      <c r="Q35" s="59" t="s">
        <v>287</v>
      </c>
      <c r="R35" s="59" t="s">
        <v>85</v>
      </c>
    </row>
    <row r="36" spans="17:18" ht="30" customHeight="1">
      <c r="Q36" s="101" t="s">
        <v>352</v>
      </c>
      <c r="R36" s="101" t="s">
        <v>353</v>
      </c>
    </row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30" sqref="I30"/>
    </sheetView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171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169</v>
      </c>
      <c r="I28" s="50"/>
      <c r="K28" s="46"/>
    </row>
    <row r="29" spans="8:11">
      <c r="H29" s="51"/>
      <c r="K29" s="46"/>
    </row>
    <row r="30" spans="8:11">
      <c r="H30" s="51" t="s">
        <v>170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144</vt:i4>
      </vt:variant>
    </vt:vector>
  </HeadingPairs>
  <TitlesOfParts>
    <vt:vector size="15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2026-08-03T16:39:37Z</dcterms:modified>
</cp:coreProperties>
</file>