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xr:revisionPtr revIDLastSave="0" documentId="13_ncr:1_{4925E433-5183-264F-9132-392E0FE9109E}" xr6:coauthVersionLast="47" xr6:coauthVersionMax="47" xr10:uidLastSave="{00000000-0000-0000-0000-000000000000}"/>
  <bookViews>
    <workbookView xWindow="11460" yWindow="660" windowWidth="23100" windowHeight="17220" xr2:uid="{1E5C896C-F332-E148-BC32-5F8B49356FF5}"/>
    <workbookView xWindow="10920" yWindow="14500" windowWidth="23640" windowHeight="7840" activeTab="3" xr2:uid="{F1B9606C-296E-034A-B033-0A5934677F42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state="hidden" r:id="rId7"/>
    <sheet name="Popup" sheetId="8" state="hidden" r:id="rId8"/>
    <sheet name="Popup touche" sheetId="19" state="hidden" r:id="rId9"/>
    <sheet name="Popup melee" sheetId="20" state="hidden" r:id="rId10"/>
    <sheet name="Popup penalite" sheetId="21" state="hidden" r:id="rId11"/>
    <sheet name="Popup remplacement" sheetId="26" state="hidden" r:id="rId12"/>
    <sheet name="Popup retour carton" sheetId="27" state="hidden" r:id="rId13"/>
    <sheet name="Popup possession" sheetId="28" state="hidden" r:id="rId14"/>
  </sheets>
  <functionGroups builtInGroupCount="19"/>
  <definedNames>
    <definedName name="_xleta.T" hidden="1" xlm="1">#NAME?</definedName>
    <definedName name="ACT_ARRACHAGE">Paramètres!$R$37</definedName>
    <definedName name="ACT_ARRACHAGE_ADV">Paramètres!$R$70</definedName>
    <definedName name="ACT_ARRACHAGE_NS">Paramètres!$R$69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Paramètres!$R$43</definedName>
    <definedName name="ACT_CF_CONTRE_ADV">Paramètres!$R$55</definedName>
    <definedName name="ACT_CF_CONTRE_NOUS">Paramètres!$R$56</definedName>
    <definedName name="ACT_CONTRE_RUCK">Paramètres!$R$30</definedName>
    <definedName name="ACT_CONTRE_RUCK_ADV">Paramètres!$R$68</definedName>
    <definedName name="ACT_CONTRE_RUCK_NS">Paramètres!$R$67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GRATTAGE_ADV">Paramètres!$R$66</definedName>
    <definedName name="ACT_GRATTAGE_NS">Paramètres!$R$65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RETOUR_CARTON_BLANC_ADV">Paramètres!$R$62</definedName>
    <definedName name="ACT_RETOUR_CARTON_BLANC_NS">Paramètres!$R$61</definedName>
    <definedName name="ACT_RETOUR_CARTON_BLEU_ADV">Paramètres!$R$64</definedName>
    <definedName name="ACT_RETOUR_CARTON_BLEU_NS">Paramètres!$R$63</definedName>
    <definedName name="ACT_RETOUR_CARTON_JAUNE_ADV">Paramètres!$R$60</definedName>
    <definedName name="ACT_RETOUR_CARTON_JAUNE_NS">Paramètres!$R$59</definedName>
    <definedName name="ACT_RETOUR_CARTON_ROUGE_ADV">Paramètres!$R$58</definedName>
    <definedName name="ACT_RETOUR_CARTON_ROUGE_NS">Paramètres!$R$57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vidéo'!$T$4</definedName>
    <definedName name="BTN_ARRACHAGE">'Saisie vidéo'!$BP$18</definedName>
    <definedName name="BTN_ARRET_DU_JEU">'Saisie vidéo'!$BL$8</definedName>
    <definedName name="BTN_ATT_NULLE">'Saisie vidéo'!$BR$16</definedName>
    <definedName name="BTN_AVANCEE">'Saisie vidéo'!$BP$16</definedName>
    <definedName name="BTN_CARTON_BLANC">'Saisie vidéo'!$AA$8</definedName>
    <definedName name="BTN_CARTON_BLEU">'Saisie vidéo'!$AI$8</definedName>
    <definedName name="BTN_CARTON_JAUNE">'Saisie vidéo'!$S$8</definedName>
    <definedName name="BTN_CARTON_ROUGE">'Saisie vidéo'!$K$8</definedName>
    <definedName name="BTN_CF_CONTRE_ADV">'Saisie vidéo'!$BL$20</definedName>
    <definedName name="BTN_CF_CONTRE_NOUS">'Saisie vidéo'!$BN$20</definedName>
    <definedName name="BTN_CHRONO_MINUS_5_SEC">'Saisie vidéo'!$R$28</definedName>
    <definedName name="BTN_CHRONO_PLAY_PAUSE">'Saisie vidéo'!$Z$28</definedName>
    <definedName name="BTN_CHRONO_PLUS_5_SEC">'Saisie vidéo'!$AH$28</definedName>
    <definedName name="BTN_CHRONO_RESET">'Saisie vidéo'!$AP$28</definedName>
    <definedName name="BTN_CONTRE_RUCK">'Saisie vidéo'!$BN$18</definedName>
    <definedName name="BTN_EN_AVANT">'Saisie vidéo'!$BD$18</definedName>
    <definedName name="BTN_FRANCHISSEMENT">'Saisie vidéo'!$BN$16</definedName>
    <definedName name="BTN_GRATTAGE">'Saisie vidéo'!$BL$18</definedName>
    <definedName name="BTN_JEU_AU_PIED">'Saisie vidéo'!$BF$18</definedName>
    <definedName name="BTN_JO_1">'Saisie vidéo'!$C$14</definedName>
    <definedName name="BTN_JO_10">'Saisie vidéo'!$AP$14</definedName>
    <definedName name="BTN_JO_11">'Saisie vidéo'!$AB$18</definedName>
    <definedName name="BTN_JO_12">'Saisie vidéo'!$AF$16</definedName>
    <definedName name="BTN_JO_13">'Saisie vidéo'!$AN$16</definedName>
    <definedName name="BTN_JO_14">'Saisie vidéo'!$AR$18</definedName>
    <definedName name="BTN_JO_15">'Saisie vidéo'!$AJ$18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vidéo'!$K$14</definedName>
    <definedName name="BTN_JO_20">'Saisie vidéo'!$F$20</definedName>
    <definedName name="BTN_JO_21">'Saisie vidéo'!$H$20</definedName>
    <definedName name="BTN_JO_22">'Saisie vidéo'!$J$20</definedName>
    <definedName name="BTN_JO_3">'Saisie vidéo'!$S$14</definedName>
    <definedName name="BTN_JO_4">'Saisie vidéo'!$G$16</definedName>
    <definedName name="BTN_JO_5">'Saisie vidéo'!$O$16</definedName>
    <definedName name="BTN_JO_6">'Saisie vidéo'!$C$18</definedName>
    <definedName name="BTN_JO_7">'Saisie vidéo'!$S$18</definedName>
    <definedName name="BTN_JO_8">'Saisie vidéo'!$K$18</definedName>
    <definedName name="BTN_JO_9">'Saisie vidéo'!$AD$14</definedName>
    <definedName name="BTN_JO_AVANT">'Saisie vidéo'!$S$20</definedName>
    <definedName name="BTN_JO_COLLECTIF">'Saisie vidéo'!$K$20</definedName>
    <definedName name="BTN_JO_NON_IDENTIFIE">'Saisie vidéo'!$AJ$20</definedName>
    <definedName name="BTN_JO_TROIS_QUARTS">'Saisie vidéo'!$AB$20</definedName>
    <definedName name="BTN_ME_G">'Saisie vidéo'!$BP$14</definedName>
    <definedName name="BTN_ME_P">'Saisie vidéo'!$BR$14</definedName>
    <definedName name="BTN_MT1">'Saisie vidéo'!$AJ$4</definedName>
    <definedName name="BTN_MT2">'Saisie vidéo'!$AR$4</definedName>
    <definedName name="BTN_NOUS">'Saisie vidéo'!$L$4</definedName>
    <definedName name="BTN_PARKING">'Saisie vidéo'!$A$1</definedName>
    <definedName name="BTN_PEN_CONTRE_ADV">'Saisie vidéo'!$BD$20</definedName>
    <definedName name="BTN_PEN_CONTRE_NOUS">'Saisie vidéo'!$BF$20</definedName>
    <definedName name="BTN_PL_A2">'Saisie vidéo'!$BJ$14</definedName>
    <definedName name="BTN_PL_HAUT">'Saisie vidéo'!$BL$14</definedName>
    <definedName name="BTN_PL_NORMAL">'Saisie vidéo'!$BF$14</definedName>
    <definedName name="BTN_PL_OFF">'Saisie vidéo'!$BD$14</definedName>
    <definedName name="BTN_PL_RATE">'Saisie vidéo'!$BH$14</definedName>
    <definedName name="BTN_PTS_DROP">'Saisie vidéo'!$BL$4</definedName>
    <definedName name="BTN_PTS_ESSAI">'Saisie vidéo'!$BD$4</definedName>
    <definedName name="BTN_PTS_ESSAI_PEN">'Saisie vidéo'!$BF$4</definedName>
    <definedName name="BTN_PTS_PENALITE">'Saisie vidéo'!$BJ$4</definedName>
    <definedName name="BTN_PTS_TRANSFO">'Saisie vidéo'!$BH$4</definedName>
    <definedName name="BTN_RECEPTION_ADV">'Saisie vidéo'!$BJ$18</definedName>
    <definedName name="BTN_RECEPTION_NOUS">'Saisie vidéo'!$BH$18</definedName>
    <definedName name="BTN_REMPLACEMENT">'Saisie vidéo'!$BO$7</definedName>
    <definedName name="BTN_REPRISE_A_LA_MAIN">'Saisie vidéo'!$BJ$8</definedName>
    <definedName name="BTN_REPRISE_MELEE">'Saisie vidéo'!$BF$8</definedName>
    <definedName name="BTN_REPRISE_RENVOI">'Saisie vidéo'!$BH$8</definedName>
    <definedName name="BTN_REPRISE_TOUCHE">'Saisie vidéo'!$BD$8</definedName>
    <definedName name="BTN_RETOUR_CARTON">'Saisie vidéo'!$AQ$8</definedName>
    <definedName name="BTN_SENS_JEU">'Saisie vidéo'!$BO$4</definedName>
    <definedName name="BTN_TO_G">'Saisie vidéo'!$BD$16</definedName>
    <definedName name="BTN_TO_P">'Saisie vidéo'!$BF$16</definedName>
    <definedName name="BTN_TO_PAS_DROIT">'Saisie vidéo'!$BH$16</definedName>
    <definedName name="BTN_TURNOVER">'Saisie vidéo'!$BR$18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vidéo'!$C$28</definedName>
    <definedName name="EQUIPE_NIV">LstEquipesClub[EQUIPE_NIV]</definedName>
    <definedName name="EQUIPES_POULE">LstEquipesPoule[EQUIPES_A_AFFRONTER]</definedName>
    <definedName name="LBL_ATTITUDES">'Saisie vidéo'!$BL$16</definedName>
    <definedName name="LBL_CARTONS">'Saisie vidéo'!$C$8</definedName>
    <definedName name="LBL_CHGT_POSS_1">'Saisie vidéo'!$BB$18</definedName>
    <definedName name="LBL_CHGT_POSS_2">'Saisie vidéo'!$C$26</definedName>
    <definedName name="LBL_COUP_FRANC">'Saisie vidéo'!$BJ$20</definedName>
    <definedName name="LBL_MELEES">'Saisie vidéo'!$BN$14</definedName>
    <definedName name="LBL_MI_TEMPS">'Saisie vidéo'!$AB$4</definedName>
    <definedName name="LBL_PENALITE">'Saisie vidéo'!$BB$20</definedName>
    <definedName name="LBL_PLAQUAGES">'Saisie vidéo'!$BB$14</definedName>
    <definedName name="LBL_POINTS">'Saisie vidéo'!$BB$4</definedName>
    <definedName name="LBL_POSITION_VIDEO">'Saisie vidéo'!$C$26</definedName>
    <definedName name="LBL_POSSESSION">'Saisie vidéo'!$C$4</definedName>
    <definedName name="LBL_REPRISE_JEU">'Saisie vidéo'!$BB$8</definedName>
    <definedName name="LBL_TOUCHES">'Saisie vidéo'!$BB$16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Paramètres!$T$2:$T$51</definedName>
    <definedName name="LISTE_MT_JOURNAL">Paramètres!$I$6:$I$7</definedName>
    <definedName name="LST_JOUEURS">LstEffectif[NOM Prénom]</definedName>
    <definedName name="LST_TM_ALIGNEMENT">'Touches Melees'!$AC$201:$AC$206</definedName>
    <definedName name="LST_TM_BALLON">'Touches Melees'!$AA$201:$AA$202</definedName>
    <definedName name="LST_TM_BALLON_LONG">'Touches Melees'!$AF$201:$AF$202</definedName>
    <definedName name="LST_TM_ISSUE_MELEE">'Touches Melees'!$Y$201:$Y$202</definedName>
    <definedName name="LST_TM_ISSUE_TOUCHE">'Touches Melees'!$X$201:$X$203</definedName>
    <definedName name="LST_TM_LANCE_POUR">'Touches Melees'!$W$201:$W$202</definedName>
    <definedName name="LST_TM_UTILISATION">'Touches Melees'!$AE$201:$AE$203</definedName>
    <definedName name="LST_TM_ZONE_LARGEUR">'Touches Melees'!$AD$201:$AD$203</definedName>
    <definedName name="LST_TM_ZONE_LONGUEUR">'Touches Melees'!$AB$201:$AB$211</definedName>
    <definedName name="LST_TM_ZONE_SAUT">'Touches Melees'!$Z$201:$Z$205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vidéo'!$C$13:$AX$21</definedName>
    <definedName name="PEN_ANNULER">'Popup penalite'!$B$32</definedName>
    <definedName name="PEN_CONTEXTE">'Popup penalite'!$C$4:$C$6</definedName>
    <definedName name="PEN_JOUEURS">'Popup penalite'!$K$7:$U$31</definedName>
    <definedName name="PEN_MOTIFS">'Popup penalite'!$B$7:$I$31</definedName>
    <definedName name="PEN_PLAY_PAUSE">'Popup penalite'!$E$4</definedName>
    <definedName name="PEN_VALIDER">'Popup penalite'!$E$32</definedName>
    <definedName name="PHASE">LstPhases[PHASE]</definedName>
    <definedName name="POPUP_ADD_PLAYER">Popup!$C$7:$F$13</definedName>
    <definedName name="POPUP_ME_ANNULER">'Popup melee'!$C$19</definedName>
    <definedName name="POPUP_ME_CHAMPS">'Popup melee'!$AD$2:$AD$4,'Popup melee'!$C$17:$N$17</definedName>
    <definedName name="POPUP_ME_CONTEXTE">'Popup melee'!$C$4:$C$7</definedName>
    <definedName name="POPUP_ME_OBS">'Popup melee'!$C$17:$N$17</definedName>
    <definedName name="POPUP_ME_PLAY_PAUSE">'Popup melee'!$E$4</definedName>
    <definedName name="POPUP_ME_SENS_JEU">'Popup melee'!$J$5:$L$6</definedName>
    <definedName name="POPUP_ME_UTILISATION">'Popup melee'!$AD$4</definedName>
    <definedName name="POPUP_ME_VALIDER">'Popup melee'!$F$19</definedName>
    <definedName name="POPUP_ME_ZONE_LARGEUR">'Popup melee'!$AD$3</definedName>
    <definedName name="POPUP_ME_ZONE_LONGUEUR">'Popup melee'!$AD$2</definedName>
    <definedName name="POPUP_NOM">Popup!$D$9</definedName>
    <definedName name="POPUP_POSS_CHANGER">'Popup possession'!$F$7:$I$8</definedName>
    <definedName name="POPUP_POSS_GARDER">'Popup possession'!$B$7:$D$8</definedName>
    <definedName name="POPUP_POSS_QUESTION">'Popup possession'!$B$4:$I$5</definedName>
    <definedName name="POPUP_PRENOM">Popup!$D$11</definedName>
    <definedName name="POPUP_TO_ALIGNEMENT">'Popup touche'!$AD$5</definedName>
    <definedName name="POPUP_TO_ANNULER">'Popup touche'!$C$23</definedName>
    <definedName name="POPUP_TO_BALLON">'Popup touche'!$AD$3</definedName>
    <definedName name="POPUP_TO_CHAMPS">'Popup touche'!$C$9:$F$9,'Popup touche'!$AD$2:$AD$5,'Popup touche'!$C$21:$N$21</definedName>
    <definedName name="POPUP_TO_CONTEXTE">'Popup touche'!$C$4:$C$7</definedName>
    <definedName name="POPUP_TO_OBS">'Popup touche'!$C$21:$N$21</definedName>
    <definedName name="POPUP_TO_PLAY_PAUSE">'Popup touche'!$E$4</definedName>
    <definedName name="POPUP_TO_SAUTEUR">'Popup touche'!$C$9:$F$9</definedName>
    <definedName name="POPUP_TO_SENS_JEU">'Popup touche'!$J$5:$L$6</definedName>
    <definedName name="POPUP_TO_VALIDER">'Popup touche'!$F$23</definedName>
    <definedName name="POPUP_TO_ZONE_SAUT">'Popup touche'!$AD$2</definedName>
    <definedName name="POPUP_TO_ZONE_TERRAIN">'Popup touche'!$AD$4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PLAY_PAUSE">'Popup remplacement'!$E$4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RET_ANNULER">'Popup retour carton'!$B$29</definedName>
    <definedName name="RET_CONTEXTE">'Popup retour carton'!$C$4:$C$5</definedName>
    <definedName name="RET_LISTE">'Popup retour carton'!$B$9:$H$27</definedName>
    <definedName name="RET_PLAY_PAUSE">'Popup retour carton'!$G$4</definedName>
    <definedName name="RET_VALIDER">'Popup retour carton'!$E$29</definedName>
    <definedName name="SENS_JEU">Paramètres!$V$1</definedName>
    <definedName name="STAT_DUREES_ANCRE">'Stats match'!$B$96</definedName>
    <definedName name="STAT_POSSESSION_ANCRE">'Stats match'!$H$46</definedName>
    <definedName name="STAT_TEMPS_EFFECTIF_MT1">'Stats match'!$J$47</definedName>
    <definedName name="STAT_TEMPS_EFFECTIF_MT2">'Stats match'!$J$48</definedName>
    <definedName name="STAT_TEMPS_EFFECTIF_TOTAL">'Stats match'!$J$49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vidéo'!$C$24</definedName>
    <definedName name="TITRE_PALETTE_ACTIONS">'Saisie vidéo'!$BB$12</definedName>
    <definedName name="TITRE_PALETTE_JOUEURS">'Saisie vidéo'!$C$12</definedName>
    <definedName name="TM_BTN_EXPORT">'Touches Melees'!$A$18</definedName>
    <definedName name="TM_RECAP_MELEES">'Touches Melees'!$A$14</definedName>
    <definedName name="TM_RECAP_TOUCHES">'Touches Melees'!$A$5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" i="18" l="1"/>
  <c r="B16" i="18"/>
  <c r="C15" i="18"/>
  <c r="B15" i="18"/>
  <c r="D7" i="18"/>
  <c r="C7" i="18"/>
  <c r="B7" i="18"/>
  <c r="D6" i="18"/>
  <c r="C6" i="18"/>
  <c r="B6" i="18"/>
  <c r="Z31" i="12"/>
  <c r="Y31" i="12"/>
  <c r="X31" i="12"/>
  <c r="W31" i="12"/>
  <c r="V31" i="12"/>
  <c r="N31" i="12"/>
  <c r="M31" i="12"/>
  <c r="Z30" i="12"/>
  <c r="Y30" i="12"/>
  <c r="X30" i="12"/>
  <c r="W30" i="12"/>
  <c r="V30" i="12"/>
  <c r="N30" i="12"/>
  <c r="M30" i="12"/>
  <c r="B1" i="2"/>
  <c r="I40" i="12"/>
  <c r="I39" i="12"/>
  <c r="N33" i="12"/>
  <c r="M33" i="12"/>
  <c r="N32" i="12"/>
  <c r="M32" i="12"/>
  <c r="D43" i="12"/>
  <c r="D44" i="12"/>
  <c r="E43" i="12"/>
  <c r="E39" i="12"/>
  <c r="D40" i="12"/>
  <c r="D39" i="12"/>
  <c r="B58" i="12"/>
  <c r="O48" i="12"/>
  <c r="N48" i="12"/>
  <c r="O47" i="12"/>
  <c r="N47" i="12"/>
  <c r="O46" i="12"/>
  <c r="N46" i="12"/>
  <c r="O45" i="12"/>
  <c r="N45" i="12"/>
  <c r="O44" i="12"/>
  <c r="N44" i="12"/>
  <c r="B67" i="12" a="1"/>
  <c r="B67" i="12" s="1"/>
  <c r="B8" i="12" a="1"/>
  <c r="B8" i="12" s="1"/>
  <c r="M8" i="12" s="1"/>
  <c r="B3" i="12"/>
  <c r="E2" i="7"/>
  <c r="E40" i="12"/>
  <c r="E44" i="12"/>
  <c r="N8" i="12" l="1"/>
  <c r="N14" i="12"/>
  <c r="N20" i="12"/>
  <c r="N26" i="12"/>
  <c r="N9" i="12"/>
  <c r="N15" i="12"/>
  <c r="N21" i="12"/>
  <c r="N27" i="12"/>
  <c r="N13" i="12"/>
  <c r="N19" i="12"/>
  <c r="N25" i="12"/>
  <c r="M14" i="12"/>
  <c r="M20" i="12"/>
  <c r="M26" i="12"/>
  <c r="M10" i="12"/>
  <c r="M16" i="12"/>
  <c r="M22" i="12"/>
  <c r="M28" i="12"/>
  <c r="N10" i="12"/>
  <c r="N16" i="12"/>
  <c r="N22" i="12"/>
  <c r="N28" i="12"/>
  <c r="M11" i="12"/>
  <c r="M17" i="12"/>
  <c r="M23" i="12"/>
  <c r="M29" i="12"/>
  <c r="N11" i="12"/>
  <c r="N17" i="12"/>
  <c r="N23" i="12"/>
  <c r="N29" i="12"/>
  <c r="M12" i="12"/>
  <c r="M18" i="12"/>
  <c r="M24" i="12"/>
  <c r="N12" i="12"/>
  <c r="N18" i="12"/>
  <c r="N24" i="12"/>
  <c r="M13" i="12"/>
  <c r="M19" i="12"/>
  <c r="M25" i="12"/>
  <c r="M9" i="12"/>
  <c r="M15" i="12"/>
  <c r="M21" i="12"/>
  <c r="M27" i="12"/>
  <c r="N49" i="12"/>
  <c r="O49" i="12"/>
  <c r="S6" i="12"/>
  <c r="Q6" i="12"/>
  <c r="O6" i="12"/>
  <c r="H44" i="12"/>
  <c r="H43" i="12"/>
  <c r="H40" i="12"/>
  <c r="H39" i="12"/>
  <c r="T30" i="12" l="1"/>
  <c r="T31" i="12"/>
  <c r="S31" i="12"/>
  <c r="S30" i="12"/>
  <c r="P31" i="12"/>
  <c r="P30" i="12"/>
  <c r="O31" i="12"/>
  <c r="O30" i="12"/>
  <c r="R33" i="12"/>
  <c r="R30" i="12"/>
  <c r="Q30" i="12"/>
  <c r="R31" i="12"/>
  <c r="Q31" i="12"/>
  <c r="T32" i="12"/>
  <c r="Q32" i="12"/>
  <c r="S33" i="12"/>
  <c r="S32" i="12"/>
  <c r="R32" i="12"/>
  <c r="T33" i="12"/>
  <c r="Q33" i="12"/>
  <c r="P33" i="12"/>
  <c r="P32" i="12"/>
  <c r="O33" i="12"/>
  <c r="O32" i="12"/>
  <c r="D52" i="12" l="1"/>
  <c r="C52" i="12"/>
  <c r="D51" i="12"/>
  <c r="C51" i="12"/>
  <c r="D48" i="12"/>
  <c r="C48" i="12"/>
  <c r="D47" i="12"/>
  <c r="C47" i="12"/>
  <c r="C44" i="12"/>
  <c r="C43" i="12"/>
  <c r="P41" i="12"/>
  <c r="O41" i="12"/>
  <c r="N41" i="12"/>
  <c r="M41" i="12"/>
  <c r="P40" i="12"/>
  <c r="O40" i="12"/>
  <c r="N40" i="12"/>
  <c r="M40" i="12"/>
  <c r="C40" i="12"/>
  <c r="C39" i="12"/>
  <c r="Z33" i="12"/>
  <c r="Y33" i="12"/>
  <c r="X33" i="12"/>
  <c r="W33" i="12"/>
  <c r="V33" i="12"/>
  <c r="Z32" i="12"/>
  <c r="Y32" i="12"/>
  <c r="X32" i="12"/>
  <c r="W32" i="12"/>
  <c r="V32" i="12"/>
  <c r="J65" i="12"/>
  <c r="H65" i="12"/>
  <c r="E65" i="12"/>
  <c r="C65" i="12"/>
  <c r="D89" i="12" s="1"/>
  <c r="Z7" i="12"/>
  <c r="Y7" i="12"/>
  <c r="X7" i="12"/>
  <c r="W7" i="12"/>
  <c r="V7" i="12"/>
  <c r="U7" i="12"/>
  <c r="K6" i="12"/>
  <c r="I6" i="12"/>
  <c r="G6" i="12"/>
  <c r="E6" i="12"/>
  <c r="C6" i="12"/>
  <c r="D31" i="12" l="1"/>
  <c r="D30" i="12"/>
  <c r="C31" i="12"/>
  <c r="C30" i="12"/>
  <c r="J31" i="12"/>
  <c r="J30" i="12"/>
  <c r="I30" i="12"/>
  <c r="I31" i="12"/>
  <c r="H31" i="12"/>
  <c r="H30" i="12"/>
  <c r="G31" i="12"/>
  <c r="G30" i="12"/>
  <c r="U32" i="12"/>
  <c r="U30" i="12"/>
  <c r="U31" i="12"/>
  <c r="F32" i="12"/>
  <c r="F31" i="12"/>
  <c r="F30" i="12"/>
  <c r="E31" i="12"/>
  <c r="E30" i="12"/>
  <c r="K31" i="12"/>
  <c r="K30" i="12"/>
  <c r="L31" i="12"/>
  <c r="L30" i="12"/>
  <c r="S29" i="12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5" i="12"/>
  <c r="G22" i="12"/>
  <c r="U33" i="12"/>
  <c r="H73" i="12"/>
  <c r="D81" i="12"/>
  <c r="C88" i="12"/>
  <c r="E33" i="12"/>
  <c r="I73" i="12"/>
  <c r="C82" i="12"/>
  <c r="D88" i="12"/>
  <c r="F33" i="12"/>
  <c r="H74" i="12"/>
  <c r="D82" i="12"/>
  <c r="C90" i="12"/>
  <c r="H68" i="12"/>
  <c r="C75" i="12"/>
  <c r="H82" i="12"/>
  <c r="D90" i="12"/>
  <c r="C69" i="12"/>
  <c r="D75" i="12"/>
  <c r="I82" i="12"/>
  <c r="D69" i="12"/>
  <c r="C76" i="12"/>
  <c r="H83" i="12"/>
  <c r="C70" i="12"/>
  <c r="D76" i="12"/>
  <c r="C84" i="12"/>
  <c r="D70" i="12"/>
  <c r="C78" i="12"/>
  <c r="D84" i="12"/>
  <c r="C72" i="12"/>
  <c r="D78" i="12"/>
  <c r="C85" i="12"/>
  <c r="D72" i="12"/>
  <c r="C79" i="12"/>
  <c r="D85" i="12"/>
  <c r="C73" i="12"/>
  <c r="D79" i="12"/>
  <c r="C87" i="12"/>
  <c r="D73" i="12"/>
  <c r="C81" i="12"/>
  <c r="D87" i="12"/>
  <c r="H77" i="12"/>
  <c r="H86" i="12"/>
  <c r="H10" i="12"/>
  <c r="W11" i="12"/>
  <c r="C15" i="12"/>
  <c r="L16" i="12"/>
  <c r="H18" i="12"/>
  <c r="W19" i="12"/>
  <c r="C23" i="12"/>
  <c r="L24" i="12"/>
  <c r="H26" i="12"/>
  <c r="W27" i="12"/>
  <c r="I68" i="12"/>
  <c r="I77" i="12"/>
  <c r="I86" i="12"/>
  <c r="G10" i="12"/>
  <c r="F13" i="12"/>
  <c r="K16" i="12"/>
  <c r="U19" i="12"/>
  <c r="F21" i="12"/>
  <c r="Z22" i="12"/>
  <c r="K24" i="12"/>
  <c r="G26" i="12"/>
  <c r="F29" i="12"/>
  <c r="D32" i="12"/>
  <c r="C32" i="12"/>
  <c r="D33" i="12"/>
  <c r="X11" i="12"/>
  <c r="E15" i="12"/>
  <c r="X19" i="12"/>
  <c r="G12" i="12"/>
  <c r="G20" i="12"/>
  <c r="F23" i="12"/>
  <c r="K26" i="12"/>
  <c r="G33" i="12"/>
  <c r="H33" i="12"/>
  <c r="L10" i="12"/>
  <c r="H20" i="12"/>
  <c r="K12" i="12"/>
  <c r="Z18" i="12"/>
  <c r="U23" i="12"/>
  <c r="Z26" i="12"/>
  <c r="G32" i="12"/>
  <c r="H79" i="12"/>
  <c r="H88" i="12"/>
  <c r="K87" i="12"/>
  <c r="C11" i="12"/>
  <c r="L12" i="12"/>
  <c r="H14" i="12"/>
  <c r="W15" i="12"/>
  <c r="C19" i="12"/>
  <c r="L20" i="12"/>
  <c r="H22" i="12"/>
  <c r="W23" i="12"/>
  <c r="C27" i="12"/>
  <c r="L28" i="12"/>
  <c r="H32" i="12"/>
  <c r="I70" i="12"/>
  <c r="I79" i="12"/>
  <c r="I88" i="12"/>
  <c r="U13" i="12"/>
  <c r="G28" i="12"/>
  <c r="H12" i="12"/>
  <c r="I83" i="12"/>
  <c r="K90" i="12"/>
  <c r="J90" i="12"/>
  <c r="K89" i="12"/>
  <c r="J89" i="12"/>
  <c r="G14" i="12"/>
  <c r="H71" i="12"/>
  <c r="H80" i="12"/>
  <c r="H89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G27" i="12"/>
  <c r="G25" i="12"/>
  <c r="G23" i="12"/>
  <c r="G21" i="12"/>
  <c r="G19" i="12"/>
  <c r="Y17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Y19" i="12"/>
  <c r="G17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Y15" i="12"/>
  <c r="G15" i="12"/>
  <c r="Y13" i="12"/>
  <c r="G13" i="12"/>
  <c r="G11" i="12"/>
  <c r="Z29" i="12"/>
  <c r="H29" i="12"/>
  <c r="Z27" i="12"/>
  <c r="H27" i="12"/>
  <c r="Z25" i="12"/>
  <c r="H25" i="12"/>
  <c r="Z23" i="12"/>
  <c r="H23" i="12"/>
  <c r="Z21" i="12"/>
  <c r="H21" i="12"/>
  <c r="Z19" i="12"/>
  <c r="H19" i="12"/>
  <c r="Z17" i="12"/>
  <c r="H17" i="12"/>
  <c r="Z15" i="12"/>
  <c r="H15" i="12"/>
  <c r="Z13" i="12"/>
  <c r="H13" i="12"/>
  <c r="Z11" i="12"/>
  <c r="H11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Y16" i="12"/>
  <c r="I18" i="12"/>
  <c r="E23" i="12"/>
  <c r="Y24" i="12"/>
  <c r="I26" i="12"/>
  <c r="X27" i="12"/>
  <c r="Z16" i="12"/>
  <c r="J33" i="12"/>
  <c r="I33" i="12"/>
  <c r="J32" i="12"/>
  <c r="E9" i="12"/>
  <c r="X13" i="12"/>
  <c r="Y18" i="12"/>
  <c r="I20" i="12"/>
  <c r="X21" i="12"/>
  <c r="E25" i="12"/>
  <c r="Y26" i="12"/>
  <c r="I28" i="12"/>
  <c r="X29" i="12"/>
  <c r="C33" i="12"/>
  <c r="I74" i="12"/>
  <c r="L33" i="12"/>
  <c r="K33" i="12"/>
  <c r="Z10" i="12"/>
  <c r="U15" i="12"/>
  <c r="K20" i="12"/>
  <c r="F25" i="12"/>
  <c r="K28" i="12"/>
  <c r="I71" i="12"/>
  <c r="I80" i="12"/>
  <c r="I89" i="12"/>
  <c r="U11" i="12"/>
  <c r="Z14" i="12"/>
  <c r="G18" i="12"/>
  <c r="U27" i="12"/>
  <c r="C9" i="12"/>
  <c r="F9" i="12"/>
  <c r="F17" i="12"/>
  <c r="Y12" i="12"/>
  <c r="X15" i="12"/>
  <c r="Y20" i="12"/>
  <c r="I22" i="12"/>
  <c r="X23" i="12"/>
  <c r="Y28" i="12"/>
  <c r="I32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2" i="12"/>
  <c r="H76" i="12"/>
  <c r="K10" i="12"/>
  <c r="F15" i="12"/>
  <c r="K18" i="12"/>
  <c r="U21" i="12"/>
  <c r="Z24" i="12"/>
  <c r="U29" i="12"/>
  <c r="F89" i="12"/>
  <c r="E89" i="12"/>
  <c r="F90" i="12"/>
  <c r="E90" i="12"/>
  <c r="W13" i="12"/>
  <c r="C17" i="12"/>
  <c r="L18" i="12"/>
  <c r="W21" i="12"/>
  <c r="C25" i="12"/>
  <c r="L26" i="12"/>
  <c r="H28" i="12"/>
  <c r="W29" i="12"/>
  <c r="I90" i="12"/>
  <c r="H90" i="12"/>
  <c r="Y10" i="12"/>
  <c r="I12" i="12"/>
  <c r="E17" i="12"/>
  <c r="H70" i="12"/>
  <c r="E11" i="12"/>
  <c r="I14" i="12"/>
  <c r="E19" i="12"/>
  <c r="E27" i="12"/>
  <c r="W9" i="12"/>
  <c r="C13" i="12"/>
  <c r="L14" i="12"/>
  <c r="H16" i="12"/>
  <c r="W17" i="12"/>
  <c r="C21" i="12"/>
  <c r="L22" i="12"/>
  <c r="H24" i="12"/>
  <c r="W25" i="12"/>
  <c r="C29" i="12"/>
  <c r="L32" i="12"/>
  <c r="X9" i="12"/>
  <c r="E13" i="12"/>
  <c r="Y14" i="12"/>
  <c r="I16" i="12"/>
  <c r="X17" i="12"/>
  <c r="E21" i="12"/>
  <c r="Y22" i="12"/>
  <c r="I24" i="12"/>
  <c r="X25" i="12"/>
  <c r="E29" i="12"/>
  <c r="I76" i="12"/>
  <c r="I85" i="12"/>
  <c r="J68" i="12"/>
  <c r="E70" i="12"/>
  <c r="J71" i="12"/>
  <c r="E73" i="12"/>
  <c r="J74" i="12"/>
  <c r="E76" i="12"/>
  <c r="J77" i="12"/>
  <c r="E79" i="12"/>
  <c r="J80" i="12"/>
  <c r="E82" i="12"/>
  <c r="J83" i="12"/>
  <c r="E85" i="12"/>
  <c r="J86" i="12"/>
  <c r="E88" i="12"/>
  <c r="K68" i="12"/>
  <c r="F70" i="12"/>
  <c r="K71" i="12"/>
  <c r="F73" i="12"/>
  <c r="K74" i="12"/>
  <c r="F76" i="12"/>
  <c r="K77" i="12"/>
  <c r="F79" i="12"/>
  <c r="K80" i="12"/>
  <c r="F82" i="12"/>
  <c r="K83" i="12"/>
  <c r="F85" i="12"/>
  <c r="K86" i="12"/>
  <c r="F88" i="12"/>
  <c r="E69" i="12"/>
  <c r="J70" i="12"/>
  <c r="J73" i="12"/>
  <c r="J76" i="12"/>
  <c r="E78" i="12"/>
  <c r="J79" i="12"/>
  <c r="E81" i="12"/>
  <c r="J82" i="12"/>
  <c r="E84" i="12"/>
  <c r="J85" i="12"/>
  <c r="E87" i="12"/>
  <c r="J88" i="12"/>
  <c r="F69" i="12"/>
  <c r="K70" i="12"/>
  <c r="F72" i="12"/>
  <c r="K73" i="12"/>
  <c r="F75" i="12"/>
  <c r="K76" i="12"/>
  <c r="F78" i="12"/>
  <c r="K79" i="12"/>
  <c r="F81" i="12"/>
  <c r="K82" i="12"/>
  <c r="F84" i="12"/>
  <c r="K85" i="12"/>
  <c r="F87" i="12"/>
  <c r="K88" i="12"/>
  <c r="E75" i="12"/>
  <c r="C68" i="12"/>
  <c r="H69" i="12"/>
  <c r="C71" i="12"/>
  <c r="H72" i="12"/>
  <c r="C74" i="12"/>
  <c r="H75" i="12"/>
  <c r="C77" i="12"/>
  <c r="H78" i="12"/>
  <c r="C80" i="12"/>
  <c r="H81" i="12"/>
  <c r="C83" i="12"/>
  <c r="H84" i="12"/>
  <c r="C86" i="12"/>
  <c r="H87" i="12"/>
  <c r="C89" i="12"/>
  <c r="E72" i="12"/>
  <c r="D68" i="12"/>
  <c r="I69" i="12"/>
  <c r="D71" i="12"/>
  <c r="I72" i="12"/>
  <c r="D74" i="12"/>
  <c r="I75" i="12"/>
  <c r="D77" i="12"/>
  <c r="I78" i="12"/>
  <c r="D80" i="12"/>
  <c r="I81" i="12"/>
  <c r="D83" i="12"/>
  <c r="I84" i="12"/>
  <c r="D86" i="12"/>
  <c r="I87" i="12"/>
  <c r="E68" i="12"/>
  <c r="J69" i="12"/>
  <c r="E71" i="12"/>
  <c r="J72" i="12"/>
  <c r="E74" i="12"/>
  <c r="J75" i="12"/>
  <c r="E77" i="12"/>
  <c r="J78" i="12"/>
  <c r="E80" i="12"/>
  <c r="J81" i="12"/>
  <c r="E83" i="12"/>
  <c r="J84" i="12"/>
  <c r="E86" i="12"/>
  <c r="J87" i="12"/>
  <c r="E32" i="12"/>
  <c r="F68" i="12"/>
  <c r="K69" i="12"/>
  <c r="F71" i="12"/>
  <c r="K72" i="12"/>
  <c r="F74" i="12"/>
  <c r="K75" i="12"/>
  <c r="F77" i="12"/>
  <c r="K78" i="12"/>
  <c r="F80" i="12"/>
  <c r="K81" i="12"/>
  <c r="F83" i="12"/>
  <c r="K84" i="12"/>
  <c r="F86" i="12"/>
  <c r="T8" i="12" l="1"/>
  <c r="T34" i="12" s="1"/>
  <c r="R8" i="12"/>
  <c r="R34" i="12" s="1"/>
  <c r="S8" i="12"/>
  <c r="S34" i="12" s="1"/>
  <c r="Q8" i="12"/>
  <c r="Q34" i="12" s="1"/>
  <c r="P8" i="12"/>
  <c r="P34" i="12" s="1"/>
  <c r="O8" i="12"/>
  <c r="O34" i="12" s="1"/>
  <c r="X8" i="12"/>
  <c r="X34" i="12" s="1"/>
  <c r="G8" i="12"/>
  <c r="G34" i="12" s="1"/>
  <c r="F8" i="12"/>
  <c r="F34" i="12" s="1"/>
  <c r="H8" i="12"/>
  <c r="H34" i="12" s="1"/>
  <c r="L8" i="12"/>
  <c r="L34" i="12" s="1"/>
  <c r="V8" i="12"/>
  <c r="V34" i="12" s="1"/>
  <c r="Y8" i="12"/>
  <c r="Y34" i="12" s="1"/>
  <c r="W8" i="12"/>
  <c r="W34" i="12" s="1"/>
  <c r="E8" i="12"/>
  <c r="E34" i="12" s="1"/>
  <c r="Z8" i="12"/>
  <c r="Z34" i="12" s="1"/>
  <c r="D8" i="12"/>
  <c r="D34" i="12" s="1"/>
  <c r="M34" i="12"/>
  <c r="U8" i="12"/>
  <c r="U34" i="12" s="1"/>
  <c r="C8" i="12"/>
  <c r="C34" i="12" s="1"/>
  <c r="N34" i="12"/>
  <c r="J8" i="12"/>
  <c r="J34" i="12" s="1"/>
  <c r="K8" i="12"/>
  <c r="K34" i="12" s="1"/>
  <c r="I8" i="12"/>
  <c r="I34" i="12" s="1"/>
  <c r="D67" i="12"/>
  <c r="D91" i="12" s="1"/>
  <c r="C67" i="12"/>
  <c r="C91" i="12" s="1"/>
  <c r="J67" i="12"/>
  <c r="J91" i="12" s="1"/>
  <c r="K67" i="12"/>
  <c r="K91" i="12" s="1"/>
  <c r="F67" i="12"/>
  <c r="F91" i="12" s="1"/>
  <c r="E67" i="12"/>
  <c r="E91" i="12" s="1"/>
  <c r="I67" i="12"/>
  <c r="I91" i="12" s="1"/>
  <c r="H67" i="12"/>
  <c r="H91" i="12" s="1"/>
  <c r="Q35" i="12" l="1"/>
  <c r="S35" i="12"/>
  <c r="O35" i="12"/>
  <c r="I35" i="12"/>
  <c r="E92" i="12"/>
  <c r="M35" i="12"/>
  <c r="K35" i="12"/>
  <c r="C92" i="12"/>
  <c r="G35" i="12"/>
  <c r="E35" i="12"/>
  <c r="J92" i="12"/>
  <c r="H92" i="12"/>
  <c r="C35" i="1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<sst xmlns="http://schemas.openxmlformats.org/spreadsheetml/2006/main" count="728" uniqueCount="496">
  <si>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</si>
  <si>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</si>
  <si>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</si>
  <si>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</si>
  <si>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</si>
  <si>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</si>
  <si>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</si>
  <si>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</si>
  <si>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</si>
  <si>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</si>
  <si>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</si>
  <si>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</si>
  <si>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</si>
  <si>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</si>
  <si>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</si>
  <si>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</si>
  <si>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</si>
  <si>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</si>
  <si>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</si>
  <si>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</si>
  <si>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</si>
  <si>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</si>
  <si>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</si>
  <si>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</si>
  <si>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</si>
  <si>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</si>
  <si>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</si>
  <si>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</si>
  <si>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</si>
  <si>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</si>
  <si>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</si>
  <si>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</si>
  <si>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</si>
  <si>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</si>
  <si>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</si>
  <si>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</si>
  <si>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</si>
  <si>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</si>
  <si>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</si>
  <si>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</si>
  <si>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</si>
  <si>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</si>
  <si>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</si>
  <si>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</si>
  <si>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</si>
  <si>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</si>
  <si>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</si>
  <si>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</si>
  <si>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</si>
  <si>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</si>
  <si>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</si>
  <si>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</si>
  <si>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</si>
  <si>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</si>
  <si>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</si>
  <si>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</si>
  <si>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</si>
  <si>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</si>
  <si>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</si>
  <si>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</si>
  <si>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</si>
  <si>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</si>
  <si>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</si>
  <si>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</si>
  <si>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</si>
  <si>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</si>
  <si>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</si>
  <si>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</si>
  <si>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</si>
  <si>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</si>
  <si>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</si>
  <si>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</si>
  <si>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</si>
  <si>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</si>
  <si>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</si>
  <si>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</si>
  <si>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</si>
  <si>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</si>
  <si>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</si>
  <si>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</si>
  <si>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</si>
  <si>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</si>
  <si>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</si>
  <si>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</si>
  <si>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</si>
  <si>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</si>
  <si>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</si>
  <si>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</si>
  <si>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</si>
  <si>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</si>
  <si>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</si>
  <si>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</si>
  <si>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</si>
  <si>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</si>
  <si>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</si>
  <si>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</si>
  <si>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</si>
  <si>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</si>
  <si>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</si>
  <si>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</si>
  <si>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</si>
  <si>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</si>
  <si>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</si>
  <si>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</si>
  <si>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</si>
  <si>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</si>
  <si>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</si>
  <si>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</si>
  <si>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</si>
  <si>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</si>
  <si>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</si>
  <si>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</si>
  <si>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</si>
  <si>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</si>
  <si>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</si>
  <si>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</si>
  <si>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</si>
  <si>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</si>
  <si>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</si>
  <si>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</si>
  <si>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</si>
  <si>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</si>
  <si>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</si>
  <si>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</si>
  <si>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</si>
  <si>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</si>
  <si>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</si>
  <si>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</si>
  <si>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</si>
  <si>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</si>
  <si>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</si>
  <si>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</si>
  <si>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</si>
  <si>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</si>
  <si>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</si>
  <si>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</si>
  <si>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</si>
  <si>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</si>
  <si>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</si>
  <si>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</si>
  <si>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</si>
  <si>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</si>
  <si>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</si>
  <si>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</si>
  <si>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</si>
  <si>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</si>
  <si>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</si>
  <si>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</si>
  <si>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</si>
  <si>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</si>
  <si>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</si>
  <si>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</si>
  <si>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</si>
  <si>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</si>
  <si>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</si>
  <si>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</si>
  <si>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</si>
  <si>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</si>
  <si>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</si>
  <si>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</si>
  <si>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</si>
  <si>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</si>
  <si>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</si>
  <si>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</si>
  <si>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</si>
  <si>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</si>
  <si>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</si>
  <si>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</si>
  <si>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</si>
  <si>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</si>
  <si>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</si>
  <si>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</si>
  <si>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</si>
  <si>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</si>
  <si>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</si>
  <si>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</si>
  <si>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</si>
  <si>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</si>
  <si>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</si>
  <si>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</si>
  <si>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</si>
  <si>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</si>
  <si>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</si>
  <si>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</si>
  <si>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</si>
  <si>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</si>
  <si>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</si>
  <si>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</si>
  <si>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</si>
  <si>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</si>
  <si>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</si>
  <si>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</si>
  <si>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</si>
  <si>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</si>
  <si>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</si>
  <si>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</si>
  <si>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</si>
  <si>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</si>
  <si>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</si>
  <si>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</si>
  <si>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</si>
  <si>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</si>
  <si>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</si>
  <si>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</si>
  <si>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</si>
  <si>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</si>
  <si>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</si>
  <si>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</si>
  <si>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</si>
  <si>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</si>
  <si>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</si>
  <si>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</si>
  <si>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</si>
  <si>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</si>
  <si>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</si>
  <si>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</si>
  <si>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</si>
  <si>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</si>
  <si>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</si>
  <si>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</si>
  <si>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</si>
  <si>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</si>
  <si>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</si>
  <si>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</si>
  <si>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</si>
  <si>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</si>
  <si>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</si>
  <si>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</si>
  <si>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</si>
  <si>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</si>
  <si>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</si>
  <si>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</si>
  <si>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</si>
  <si>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</si>
  <si>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</si>
  <si>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</si>
  <si>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</si>
  <si>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</si>
  <si>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</si>
  <si>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</si>
  <si>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</si>
  <si>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</si>
  <si>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</si>
  <si>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</si>
  <si>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</si>
  <si>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</si>
  <si>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</si>
  <si>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</si>
  <si>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</si>
  <si>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</si>
  <si>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</si>
  <si>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</si>
  <si>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</si>
  <si>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</si>
  <si>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</si>
  <si>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</si>
  <si>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</si>
  <si>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</si>
  <si>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</si>
  <si>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</si>
  <si>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</si>
  <si>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</si>
  <si>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</si>
  <si>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</si>
  <si>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EQUIPES_A_AFFRONTER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</si>
  <si>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</si>
  <si>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</si>
  <si>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</si>
  <si>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</si>
  <si>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</si>
  <si>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</si>
  <si>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</si>
  <si>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</si>
  <si>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</si>
  <si>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</si>
  <si>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</si>
  <si>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</si>
  <si>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</si>
  <si>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</si>
  <si>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</si>
  <si>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</si>
  <si>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</si>
  <si>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</si>
  <si>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</si>
  <si>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</si>
  <si>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</si>
  <si>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</si>
  <si>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</si>
  <si>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</si>
  <si>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</si>
  <si>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</si>
  <si>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</si>
  <si>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</si>
  <si>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</si>
  <si>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</si>
  <si>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</si>
  <si>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</si>
  <si>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</si>
  <si>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</si>
  <si>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</si>
  <si>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</si>
  <si>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</si>
  <si>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</si>
  <si>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</si>
  <si>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</si>
  <si>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</si>
  <si>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</si>
  <si>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</si>
  <si>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</si>
  <si>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</si>
  <si>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</si>
  <si>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</si>
  <si>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</si>
  <si>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</si>
  <si>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</si>
  <si>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</si>
  <si>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</si>
  <si>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</si>
  <si>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</si>
  <si>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</si>
  <si>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</si>
  <si>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</si>
  <si>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</si>
  <si>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</si>
  <si>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</si>
  <si>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</si>
  <si>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</si>
  <si>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</si>
  <si>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</si>
  <si>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</si>
  <si>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</si>
  <si>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</si>
  <si>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</si>
  <si>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</si>
  <si>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</si>
  <si>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</si>
  <si>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</si>
  <si>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</si>
  <si>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</si>
  <si>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</si>
  <si>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</si>
  <si>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</si>
  <si>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</si>
  <si>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</si>
  <si>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</si>
  <si>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</si>
  <si>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</si>
  <si>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</si>
  <si>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</si>
  <si>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</si>
  <si>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</si>
  <si>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</si>
  <si>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</si>
  <si>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</si>
  <si>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</si>
  <si>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LOUREIRO LABAZUY Antonio</t>
  </si>
  <si>
    <t>ABADIE Quentin</t>
  </si>
  <si>
    <t>DALLA ROSA Jonah</t>
  </si>
  <si>
    <t>BAUP Bastien</t>
  </si>
  <si>
    <t>ABADIE Emeric</t>
  </si>
  <si>
    <t>BARATGIN Julian</t>
  </si>
  <si>
    <t>MOUDENS Alexis</t>
  </si>
  <si>
    <t>COURREGES Romain</t>
  </si>
  <si>
    <t>BOURREC Anthony</t>
  </si>
  <si>
    <t>LAUDET Jean Baptiste</t>
  </si>
  <si>
    <t>KAPFER Bastien</t>
  </si>
  <si>
    <t>JOUNAUX Joris</t>
  </si>
  <si>
    <t>SALLES Fabien</t>
  </si>
  <si>
    <t>RICHIARDONNE Gregory</t>
  </si>
  <si>
    <t>BIFFI Pierre</t>
  </si>
  <si>
    <t>CESCA Sacha</t>
  </si>
  <si>
    <t>ABADIE Thomas</t>
  </si>
  <si>
    <t>REMPLACEMENT</t>
  </si>
  <si>
    <t>Joueur sortant</t>
  </si>
  <si>
    <t>Joueur entrant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</si>
  <si>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</si>
  <si>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</si>
  <si>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</si>
  <si>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</si>
  <si>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</si>
  <si>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</si>
  <si>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</si>
  <si>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DUTREY Thomas</t>
  </si>
  <si>
    <t>MULLIER Victor</t>
  </si>
  <si>
    <t>GALLINARO Pierrick</t>
  </si>
  <si>
    <t>STEFANI Titouan</t>
  </si>
  <si>
    <t>SOUVILLE Quentin</t>
  </si>
  <si>
    <t>Remplacement</t>
  </si>
  <si>
    <t>Passage à vide</t>
  </si>
  <si>
    <t>EXPORTER
LA FEUILLE</t>
  </si>
  <si>
    <t>ACT_RETOUR_CARTON_ROUGE_NS</t>
  </si>
  <si>
    <t>Retour de carton rouge - nous</t>
  </si>
  <si>
    <t>ACT_RETOUR_CARTON_ROUGE_ADV</t>
  </si>
  <si>
    <t>Retour de carton rouge - adversaire</t>
  </si>
  <si>
    <t>ACT_RETOUR_CARTON_JAUNE_NS</t>
  </si>
  <si>
    <t>Retour de carton jaune - nous</t>
  </si>
  <si>
    <t>ACT_RETOUR_CARTON_JAUNE_ADV</t>
  </si>
  <si>
    <t>Retour de carton jaune - adversaire</t>
  </si>
  <si>
    <t>ACT_RETOUR_CARTON_BLANC_NS</t>
  </si>
  <si>
    <t>Retour de carton blanc - nous</t>
  </si>
  <si>
    <t>ACT_RETOUR_CARTON_BLANC_ADV</t>
  </si>
  <si>
    <t>Retour de carton blanc - adversaire</t>
  </si>
  <si>
    <t>ACT_RETOUR_CARTON_BLEU_NS</t>
  </si>
  <si>
    <t>Retour de carton bleu - nous</t>
  </si>
  <si>
    <t>ACT_RETOUR_CARTON_BLEU_ADV</t>
  </si>
  <si>
    <t>Retour de carton bleu - adversaire</t>
  </si>
  <si>
    <t>RETOUR DE CARTON</t>
  </si>
  <si>
    <t>Temps vidéo</t>
  </si>
  <si>
    <t>CARTONS EN COURS  -  plusieurs choix possibles</t>
  </si>
  <si>
    <t>Jeu effectif</t>
  </si>
  <si>
    <t>Eux</t>
  </si>
  <si>
    <t>10m de plus - contestation</t>
  </si>
  <si>
    <t>Melee - Mise en place trop longue</t>
  </si>
  <si>
    <t>Melee - Engagement anticipé</t>
  </si>
  <si>
    <t>Melee - Poussée anticipée</t>
  </si>
  <si>
    <t>Melee - Introduction irreguliere</t>
  </si>
  <si>
    <t>Melee - Talonnage irregulier</t>
  </si>
  <si>
    <t>Touche - Mise en place trop longue</t>
  </si>
  <si>
    <t>Touche - Alignement irregulier</t>
  </si>
  <si>
    <t>Touche - Lancer non conforme</t>
  </si>
  <si>
    <t>Touche - Saut ou soutien premature</t>
  </si>
  <si>
    <t>Touche - Sauteur mal redescendu</t>
  </si>
  <si>
    <t>Touche - Soutient devant sauteur retombée</t>
  </si>
  <si>
    <t>Touche - Lancer dans les 5 m</t>
  </si>
  <si>
    <t>Ruck - Fausse sortie</t>
  </si>
  <si>
    <t>Perte de temps</t>
  </si>
  <si>
    <t>Jeu à la main - mauvaise remise en jeu</t>
  </si>
  <si>
    <t>Ecran</t>
  </si>
  <si>
    <t>Jeu-rapide 10m de plus</t>
  </si>
  <si>
    <t>ZONE TERRAIN</t>
  </si>
  <si>
    <t>en-but</t>
  </si>
  <si>
    <t>15m</t>
  </si>
  <si>
    <t>22m</t>
  </si>
  <si>
    <t>30m</t>
  </si>
  <si>
    <t>40m</t>
  </si>
  <si>
    <t>NOTRE CAMP</t>
  </si>
  <si>
    <t>CAMP ADVERSE</t>
  </si>
  <si>
    <t>ZONE DE JEU</t>
  </si>
  <si>
    <t>Zone de touche</t>
  </si>
  <si>
    <t>Retour carton</t>
  </si>
  <si>
    <t>Mi-temps :</t>
  </si>
  <si>
    <t>ACT_GRATTAGE_NS</t>
  </si>
  <si>
    <t>Grattage - récupération du ballon</t>
  </si>
  <si>
    <t>ACT_GRATTAGE_ADV</t>
  </si>
  <si>
    <t>Grattage - perte du ballon</t>
  </si>
  <si>
    <t>ACT_CONTRE_RUCK_NS</t>
  </si>
  <si>
    <t>Contre-ruck - récupération du ballon</t>
  </si>
  <si>
    <t>ACT_CONTRE_RUCK_ADV</t>
  </si>
  <si>
    <t>Contre-ruck - perte du ballon</t>
  </si>
  <si>
    <t>ACT_ARRACHAGE_NS</t>
  </si>
  <si>
    <t>Arrachage - récupération du ballon</t>
  </si>
  <si>
    <t>ACT_ARRACHAGE_ADV</t>
  </si>
  <si>
    <t>Arrachage - perte du ballon</t>
  </si>
  <si>
    <t>Score</t>
  </si>
  <si>
    <t>PENALITE</t>
  </si>
  <si>
    <t>En-avant volontaire</t>
  </si>
  <si>
    <t>En-avant repris devant</t>
  </si>
  <si>
    <t>Maul - Entrer sur le côté</t>
  </si>
  <si>
    <t>Maul - Ecroulement</t>
  </si>
  <si>
    <t>Melee - Poussee avant introduction</t>
  </si>
  <si>
    <t>Touche - Saisie bras sauteur</t>
  </si>
  <si>
    <t>Touche - Plaquage sauteur avant retombée</t>
  </si>
  <si>
    <t>Touche - Poussée avant retombée sauteur</t>
  </si>
  <si>
    <t>Parle arbitre</t>
  </si>
  <si>
    <t>Ruck - Va au-delà</t>
  </si>
  <si>
    <t>Ruck - Soutient couché sur porteur</t>
  </si>
  <si>
    <t>Ruck - Retard soutient</t>
  </si>
  <si>
    <t>Ruck - Garde le ballon au sol</t>
  </si>
  <si>
    <t>Ruck - Déblayage sur le coté</t>
  </si>
  <si>
    <t>Ruck - Saisie relayeur</t>
  </si>
  <si>
    <t>Ruck - Talonnage à la main</t>
  </si>
  <si>
    <t>Ruck - Plaqueur qui ne sort pas</t>
  </si>
  <si>
    <t>Ruck - 4 appuis</t>
  </si>
  <si>
    <t>Ruck - Gratteur ne relâche pas</t>
  </si>
  <si>
    <t>Brutalité</t>
  </si>
  <si>
    <t>Plaquage - à 2</t>
  </si>
  <si>
    <t>Plaquage - haut</t>
  </si>
  <si>
    <t>Plaquage - sans ballon</t>
  </si>
  <si>
    <t>Plaquage - à retardement</t>
  </si>
  <si>
    <t>Plaquage - en l'air</t>
  </si>
  <si>
    <t>Porteur roule au sol</t>
  </si>
  <si>
    <t>10m de plus</t>
  </si>
  <si>
    <t>E 22m</t>
  </si>
  <si>
    <t>E 15m</t>
  </si>
  <si>
    <t>E en-but</t>
  </si>
  <si>
    <t>LISTE_MOTIFS_PENALITE</t>
  </si>
  <si>
    <t>LST_SAUTEURS</t>
  </si>
  <si>
    <t>D</t>
  </si>
  <si>
    <r>
      <t xml:space="preserve">Sens de jeu de votre équipe
</t>
    </r>
    <r>
      <rPr>
        <b/>
        <sz val="22"/>
        <color theme="1"/>
        <rFont val="Arial"/>
        <family val="2"/>
      </rPr>
      <t>➡</t>
    </r>
  </si>
  <si>
    <t>REPRISE SUR TOUCHE</t>
  </si>
  <si>
    <t>Ne change pas de main
(Echap)</t>
  </si>
  <si>
    <t>Change de main
(Entree)</t>
  </si>
  <si>
    <t>La possession est actuellement sur Nous.
Quelle équipe aura la possession sur cette phase ?
Ne change pas de main : Nous     -     Change de main : l'adversaire</t>
  </si>
  <si>
    <r>
      <t xml:space="preserve">Sens de jeu de votre équipe
</t>
    </r>
    <r>
      <rPr>
        <sz val="18"/>
        <color theme="1"/>
        <rFont val="Calibri"/>
        <family val="2"/>
      </rPr>
      <t>➡</t>
    </r>
  </si>
  <si>
    <t>Melee - Poussée après talonnage</t>
  </si>
  <si>
    <t>JOUEUR FAUTIF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</si>
</sst>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\ hh:mm:ss"/>
    <numFmt numFmtId="165" formatCode="[m]:ss"/>
    <numFmt numFmtId="166" formatCode="dd/mm/yyyy"/>
    <numFmt numFmtId="167" formatCode="dd/mm/yyyy\ hh:mm"/>
  </numFmts>
  <fonts count="59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1"/>
      <name val="Carlito"/>
    </font>
    <font>
      <b/>
      <sz val="18"/>
      <color theme="1"/>
      <name val="Arial"/>
      <family val="2"/>
    </font>
    <font>
      <sz val="10"/>
      <color rgb="FF000000"/>
      <name val="Calibri"/>
      <family val="2"/>
    </font>
    <font>
      <b/>
      <sz val="14"/>
      <color rgb="FF000000"/>
      <name val="Calibri"/>
      <family val="2"/>
    </font>
    <font>
      <b/>
      <sz val="9"/>
      <color rgb="FF0070C0"/>
      <name val="Calibri"/>
      <family val="2"/>
    </font>
    <font>
      <i/>
      <sz val="9"/>
      <color theme="1"/>
      <name val="Calibri"/>
      <family val="2"/>
    </font>
    <font>
      <b/>
      <sz val="9"/>
      <color rgb="FF000000"/>
      <name val="Arial"/>
      <family val="2"/>
    </font>
    <font>
      <b/>
      <sz val="22"/>
      <color theme="1"/>
      <name val="Arial"/>
      <family val="2"/>
    </font>
    <font>
      <sz val="9"/>
      <color theme="1"/>
      <name val="Calibri"/>
      <family val="2"/>
    </font>
    <font>
      <sz val="18"/>
      <color theme="1"/>
      <name val="Calibri"/>
      <family val="2"/>
    </font>
    <font>
      <b/>
      <sz val="14"/>
      <color rgb="FF1F4E78"/>
      <name val="Arial"/>
      <family val="2"/>
    </font>
    <font>
      <sz val="11"/>
      <color theme="1"/>
      <name val="Arial"/>
      <family val="2"/>
    </font>
    <font>
      <b/>
      <sz val="9"/>
      <color rgb="FFFFFFFF"/>
      <name val="Arial"/>
      <family val="2"/>
    </font>
    <font>
      <sz val="10"/>
      <color rgb="FF000000"/>
      <name val="Arial"/>
      <family val="2"/>
    </font>
  </fonts>
  <fills count="46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C6E0B4"/>
        <bgColor indexed="64"/>
      </patternFill>
    </fill>
    <fill>
      <patternFill patternType="solid">
        <fgColor rgb="FFCAEDFB"/>
        <bgColor indexed="64"/>
      </patternFill>
    </fill>
    <fill>
      <patternFill patternType="solid">
        <fgColor rgb="FF000000"/>
        <bgColor indexed="64"/>
      </patternFill>
    </fill>
  </fills>
  <borders count="6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310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21" fillId="22" borderId="17" xfId="0" applyFont="1" applyFill="1" applyBorder="1" applyAlignment="1">
      <alignment horizontal="center" vertical="center" wrapText="1"/>
    </xf>
    <xf numFmtId="0" fontId="22" fillId="0" borderId="18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1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19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3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1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7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165" fontId="31" fillId="24" borderId="20" xfId="0" applyNumberFormat="1" applyFont="1" applyFill="1" applyBorder="1"/>
    <xf numFmtId="0" fontId="27" fillId="0" borderId="10" xfId="0" applyFont="1" applyBorder="1"/>
    <xf numFmtId="0" fontId="35" fillId="30" borderId="34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4" xfId="0" applyFill="1" applyBorder="1" applyAlignment="1">
      <alignment horizontal="center" vertical="center" wrapText="1"/>
    </xf>
    <xf numFmtId="0" fontId="0" fillId="17" borderId="34" xfId="0" applyFill="1" applyBorder="1" applyAlignment="1">
      <alignment horizontal="center" vertical="center" wrapText="1"/>
    </xf>
    <xf numFmtId="0" fontId="36" fillId="0" borderId="0" xfId="0" applyFont="1" applyAlignment="1">
      <alignment wrapText="1"/>
    </xf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39" xfId="0" applyFill="1" applyBorder="1"/>
    <xf numFmtId="0" fontId="0" fillId="17" borderId="38" xfId="0" applyFill="1" applyBorder="1" applyAlignment="1">
      <alignment horizontal="right"/>
    </xf>
    <xf numFmtId="0" fontId="0" fillId="17" borderId="40" xfId="0" applyFill="1" applyBorder="1"/>
    <xf numFmtId="0" fontId="0" fillId="17" borderId="41" xfId="0" applyFill="1" applyBorder="1"/>
    <xf numFmtId="0" fontId="0" fillId="17" borderId="42" xfId="0" applyFill="1" applyBorder="1"/>
    <xf numFmtId="0" fontId="0" fillId="17" borderId="34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16" fontId="0" fillId="0" borderId="0" xfId="0" applyNumberFormat="1"/>
    <xf numFmtId="0" fontId="39" fillId="16" borderId="0" xfId="0" applyFont="1" applyFill="1"/>
    <xf numFmtId="0" fontId="40" fillId="16" borderId="0" xfId="0" applyFont="1" applyFill="1"/>
    <xf numFmtId="0" fontId="41" fillId="16" borderId="0" xfId="0" applyFont="1" applyFill="1"/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0" fontId="0" fillId="25" borderId="0" xfId="0" applyFill="1"/>
    <xf numFmtId="0" fontId="0" fillId="17" borderId="13" xfId="0" applyFill="1" applyBorder="1"/>
    <xf numFmtId="0" fontId="23" fillId="24" borderId="44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2" fillId="16" borderId="0" xfId="0" applyFont="1" applyFill="1"/>
    <xf numFmtId="0" fontId="31" fillId="13" borderId="3" xfId="0" applyFont="1" applyFill="1" applyBorder="1" applyAlignment="1">
      <alignment horizontal="center" vertical="center"/>
    </xf>
    <xf numFmtId="0" fontId="44" fillId="32" borderId="34" xfId="0" applyFont="1" applyFill="1" applyBorder="1" applyAlignment="1">
      <alignment horizontal="center" vertical="center" wrapText="1"/>
    </xf>
    <xf numFmtId="0" fontId="43" fillId="16" borderId="0" xfId="0" applyFont="1" applyFill="1" applyAlignment="1">
      <alignment horizontal="center" vertical="center"/>
    </xf>
    <xf numFmtId="0" fontId="42" fillId="16" borderId="43" xfId="0" applyFont="1" applyFill="1" applyBorder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29" fillId="42" borderId="0" xfId="0" applyFont="1" applyFill="1" applyAlignment="1">
      <alignment vertical="center" wrapText="1"/>
    </xf>
    <xf numFmtId="0" fontId="32" fillId="29" borderId="46" xfId="0" applyFont="1" applyFill="1" applyBorder="1" applyAlignment="1">
      <alignment horizontal="center" vertical="center"/>
    </xf>
    <xf numFmtId="0" fontId="34" fillId="30" borderId="47" xfId="0" applyFont="1" applyFill="1" applyBorder="1" applyAlignment="1">
      <alignment horizontal="center" vertical="center"/>
    </xf>
    <xf numFmtId="0" fontId="34" fillId="16" borderId="48" xfId="0" applyFont="1" applyFill="1" applyBorder="1" applyAlignment="1">
      <alignment horizontal="center" vertical="center"/>
    </xf>
    <xf numFmtId="0" fontId="33" fillId="29" borderId="49" xfId="0" applyFont="1" applyFill="1" applyBorder="1" applyAlignment="1">
      <alignment horizontal="center" vertical="center"/>
    </xf>
    <xf numFmtId="0" fontId="35" fillId="16" borderId="50" xfId="0" applyFont="1" applyFill="1" applyBorder="1" applyAlignment="1">
      <alignment horizontal="center" vertical="center"/>
    </xf>
    <xf numFmtId="0" fontId="33" fillId="29" borderId="51" xfId="0" applyFont="1" applyFill="1" applyBorder="1" applyAlignment="1">
      <alignment horizontal="center" vertical="center"/>
    </xf>
    <xf numFmtId="0" fontId="35" fillId="30" borderId="52" xfId="0" applyFont="1" applyFill="1" applyBorder="1" applyAlignment="1">
      <alignment horizontal="center" vertical="center"/>
    </xf>
    <xf numFmtId="0" fontId="35" fillId="16" borderId="53" xfId="0" applyFont="1" applyFill="1" applyBorder="1" applyAlignment="1">
      <alignment horizontal="center" vertical="center"/>
    </xf>
    <xf numFmtId="0" fontId="34" fillId="30" borderId="48" xfId="0" applyFont="1" applyFill="1" applyBorder="1" applyAlignment="1">
      <alignment horizontal="center" vertical="center"/>
    </xf>
    <xf numFmtId="0" fontId="35" fillId="30" borderId="50" xfId="0" applyFont="1" applyFill="1" applyBorder="1" applyAlignment="1">
      <alignment horizontal="center" vertical="center"/>
    </xf>
    <xf numFmtId="0" fontId="35" fillId="30" borderId="53" xfId="0" applyFont="1" applyFill="1" applyBorder="1" applyAlignment="1">
      <alignment horizontal="center" vertical="center"/>
    </xf>
    <xf numFmtId="0" fontId="0" fillId="16" borderId="0" xfId="0" applyFill="1"/>
    <xf numFmtId="0" fontId="0" fillId="16" borderId="38" xfId="0" applyFill="1" applyBorder="1"/>
    <xf numFmtId="0" fontId="0" fillId="16" borderId="35" xfId="0" applyFill="1" applyBorder="1"/>
    <xf numFmtId="0" fontId="0" fillId="16" borderId="36" xfId="0" applyFill="1" applyBorder="1"/>
    <xf numFmtId="0" fontId="0" fillId="16" borderId="37" xfId="0" applyFill="1" applyBorder="1"/>
    <xf numFmtId="0" fontId="0" fillId="16" borderId="39" xfId="0" applyFill="1" applyBorder="1"/>
    <xf numFmtId="0" fontId="0" fillId="16" borderId="40" xfId="0" applyFill="1" applyBorder="1"/>
    <xf numFmtId="0" fontId="0" fillId="16" borderId="41" xfId="0" applyFill="1" applyBorder="1"/>
    <xf numFmtId="0" fontId="0" fillId="16" borderId="42" xfId="0" applyFill="1" applyBorder="1"/>
    <xf numFmtId="0" fontId="0" fillId="40" borderId="34" xfId="0" applyFill="1" applyBorder="1" applyAlignment="1">
      <alignment horizontal="center" vertical="center"/>
    </xf>
    <xf numFmtId="0" fontId="0" fillId="39" borderId="34" xfId="0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165" fontId="0" fillId="25" borderId="60" xfId="0" applyNumberFormat="1" applyFill="1" applyBorder="1"/>
    <xf numFmtId="165" fontId="0" fillId="17" borderId="61" xfId="0" applyNumberFormat="1" applyFill="1" applyBorder="1"/>
    <xf numFmtId="165" fontId="31" fillId="24" borderId="62" xfId="0" applyNumberFormat="1" applyFont="1" applyFill="1" applyBorder="1"/>
    <xf numFmtId="0" fontId="23" fillId="24" borderId="59" xfId="0" applyFont="1" applyFill="1" applyBorder="1" applyAlignment="1">
      <alignment horizontal="center" vertical="center"/>
    </xf>
    <xf numFmtId="0" fontId="31" fillId="24" borderId="19" xfId="0" applyFont="1" applyFill="1" applyBorder="1" applyAlignment="1">
      <alignment horizontal="right"/>
    </xf>
    <xf numFmtId="0" fontId="23" fillId="24" borderId="63" xfId="0" applyFont="1" applyFill="1" applyBorder="1" applyAlignment="1">
      <alignment horizontal="center" vertical="center"/>
    </xf>
    <xf numFmtId="0" fontId="40" fillId="16" borderId="0" xfId="0" applyFont="1" applyFill="1" applyAlignment="1">
      <alignment horizontal="right" vertical="center"/>
    </xf>
    <xf numFmtId="0" fontId="50" fillId="16" borderId="0" xfId="0" applyFont="1" applyFill="1" applyAlignment="1">
      <alignment horizontal="center"/>
    </xf>
    <xf numFmtId="0" fontId="47" fillId="43" borderId="64" xfId="0" applyFont="1" applyFill="1" applyBorder="1" applyAlignment="1">
      <alignment horizontal="center" vertical="center"/>
    </xf>
    <xf numFmtId="0" fontId="47" fillId="12" borderId="64" xfId="0" applyFont="1" applyFill="1" applyBorder="1" applyAlignment="1">
      <alignment horizontal="center" vertical="center"/>
    </xf>
    <xf numFmtId="0" fontId="49" fillId="16" borderId="0" xfId="0" applyFont="1" applyFill="1" applyAlignment="1">
      <alignment horizontal="right" vertical="center"/>
    </xf>
    <xf numFmtId="0" fontId="45" fillId="0" borderId="6" xfId="0" applyFont="1" applyBorder="1" applyAlignment="1">
      <alignment horizontal="left" vertical="center" wrapText="1"/>
    </xf>
    <xf numFmtId="0" fontId="45" fillId="0" borderId="18" xfId="0" applyFont="1" applyBorder="1" applyAlignment="1">
      <alignment horizontal="left" vertical="center" wrapText="1"/>
    </xf>
    <xf numFmtId="0" fontId="0" fillId="25" borderId="7" xfId="0" applyFill="1" applyBorder="1"/>
    <xf numFmtId="0" fontId="0" fillId="25" borderId="9" xfId="0" applyFill="1" applyBorder="1"/>
    <xf numFmtId="0" fontId="2" fillId="12" borderId="34" xfId="0" applyFont="1" applyFill="1" applyBorder="1" applyAlignment="1">
      <alignment horizontal="center" vertical="center" wrapText="1"/>
    </xf>
    <xf numFmtId="0" fontId="2" fillId="23" borderId="34" xfId="0" applyFont="1" applyFill="1" applyBorder="1" applyAlignment="1">
      <alignment horizontal="center" vertical="center" wrapText="1"/>
    </xf>
    <xf numFmtId="0" fontId="2" fillId="14" borderId="34" xfId="0" applyFont="1" applyFill="1" applyBorder="1" applyAlignment="1">
      <alignment horizontal="center" vertical="center" wrapText="1"/>
    </xf>
    <xf numFmtId="0" fontId="16" fillId="15" borderId="34" xfId="0" applyFont="1" applyFill="1" applyBorder="1" applyAlignment="1">
      <alignment horizontal="center" vertical="center" wrapText="1"/>
    </xf>
    <xf numFmtId="0" fontId="16" fillId="12" borderId="34" xfId="0" applyFont="1" applyFill="1" applyBorder="1" applyAlignment="1">
      <alignment horizontal="center" vertical="center" wrapText="1"/>
    </xf>
    <xf numFmtId="0" fontId="16" fillId="11" borderId="34" xfId="0" applyFont="1" applyFill="1" applyBorder="1" applyAlignment="1">
      <alignment horizontal="center" vertical="center" wrapText="1"/>
    </xf>
    <xf numFmtId="0" fontId="3" fillId="9" borderId="0" xfId="0" applyFont="1" applyFill="1" applyAlignment="1">
      <alignment horizontal="center" vertical="center" wrapText="1"/>
    </xf>
    <xf numFmtId="0" fontId="55" fillId="16" borderId="0" xfId="0" applyFont="1" applyFill="1"/>
    <xf numFmtId="0" fontId="38" fillId="16" borderId="0" xfId="0" applyFont="1" applyFill="1"/>
    <xf numFmtId="165" fontId="0" fillId="16" borderId="0" xfId="0" applyNumberFormat="1" applyFill="1"/>
    <xf numFmtId="0" fontId="0" fillId="16" borderId="0" xfId="0" applyFill="1" applyAlignment="1">
      <alignment horizontal="center"/>
    </xf>
    <xf numFmtId="0" fontId="42" fillId="33" borderId="0" xfId="0" applyFont="1" applyFill="1" applyAlignment="1">
      <alignment horizontal="center"/>
    </xf>
    <xf numFmtId="0" fontId="16" fillId="23" borderId="34" xfId="0" applyFont="1" applyFill="1" applyBorder="1" applyAlignment="1">
      <alignment horizontal="center" vertical="center" wrapText="1"/>
    </xf>
    <xf numFmtId="0" fontId="16" fillId="14" borderId="34" xfId="0" applyFont="1" applyFill="1" applyBorder="1" applyAlignment="1">
      <alignment horizontal="center" vertical="center" wrapText="1"/>
    </xf>
    <xf numFmtId="0" fontId="28" fillId="13" borderId="0" xfId="0" applyFont="1" applyFill="1" applyAlignment="1">
      <alignment horizontal="center" vertical="center" wrapText="1"/>
    </xf>
    <xf numFmtId="0" fontId="20" fillId="0" borderId="2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18" fillId="10" borderId="7" xfId="0" applyFont="1" applyFill="1" applyBorder="1" applyAlignment="1">
      <alignment horizontal="center" vertical="center" wrapText="1"/>
    </xf>
    <xf numFmtId="0" fontId="18" fillId="10" borderId="8" xfId="0" applyFont="1" applyFill="1" applyBorder="1" applyAlignment="1">
      <alignment horizontal="center" vertical="center" wrapText="1"/>
    </xf>
    <xf numFmtId="0" fontId="18" fillId="10" borderId="9" xfId="0" applyFont="1" applyFill="1" applyBorder="1" applyAlignment="1">
      <alignment horizontal="center" vertical="center" wrapText="1"/>
    </xf>
    <xf numFmtId="0" fontId="18" fillId="10" borderId="10" xfId="0" applyFont="1" applyFill="1" applyBorder="1" applyAlignment="1">
      <alignment horizontal="center" vertical="center" wrapText="1"/>
    </xf>
    <xf numFmtId="0" fontId="18" fillId="10" borderId="0" xfId="0" applyFont="1" applyFill="1" applyAlignment="1">
      <alignment horizontal="center" vertical="center" wrapText="1"/>
    </xf>
    <xf numFmtId="0" fontId="18" fillId="10" borderId="11" xfId="0" applyFont="1" applyFill="1" applyBorder="1" applyAlignment="1">
      <alignment horizontal="center" vertical="center" wrapText="1"/>
    </xf>
    <xf numFmtId="0" fontId="18" fillId="10" borderId="12" xfId="0" applyFont="1" applyFill="1" applyBorder="1" applyAlignment="1">
      <alignment horizontal="center" vertical="center" wrapText="1"/>
    </xf>
    <xf numFmtId="0" fontId="18" fillId="10" borderId="13" xfId="0" applyFont="1" applyFill="1" applyBorder="1" applyAlignment="1">
      <alignment horizontal="center" vertical="center" wrapText="1"/>
    </xf>
    <xf numFmtId="0" fontId="18" fillId="10" borderId="14" xfId="0" applyFont="1" applyFill="1" applyBorder="1" applyAlignment="1">
      <alignment horizontal="center" vertical="center" wrapText="1"/>
    </xf>
    <xf numFmtId="0" fontId="18" fillId="10" borderId="19" xfId="0" applyFont="1" applyFill="1" applyBorder="1" applyAlignment="1">
      <alignment horizontal="center" vertical="center" wrapText="1"/>
    </xf>
    <xf numFmtId="0" fontId="18" fillId="10" borderId="44" xfId="0" applyFont="1" applyFill="1" applyBorder="1" applyAlignment="1">
      <alignment horizontal="center" vertical="center" wrapText="1"/>
    </xf>
    <xf numFmtId="0" fontId="18" fillId="10" borderId="20" xfId="0" applyFont="1" applyFill="1" applyBorder="1" applyAlignment="1">
      <alignment horizontal="center" vertical="center" wrapText="1"/>
    </xf>
    <xf numFmtId="0" fontId="2" fillId="16" borderId="0" xfId="0" applyFont="1" applyFill="1" applyAlignment="1">
      <alignment horizontal="center" vertical="center" wrapText="1"/>
    </xf>
    <xf numFmtId="0" fontId="0" fillId="16" borderId="0" xfId="0" applyFill="1" applyAlignment="1">
      <alignment horizontal="center" vertical="center" wrapText="1"/>
    </xf>
    <xf numFmtId="165" fontId="46" fillId="44" borderId="19" xfId="0" applyNumberFormat="1" applyFont="1" applyFill="1" applyBorder="1" applyAlignment="1">
      <alignment horizontal="center" vertical="center" wrapText="1"/>
    </xf>
    <xf numFmtId="0" fontId="0" fillId="44" borderId="44" xfId="0" applyFill="1" applyBorder="1" applyAlignment="1">
      <alignment horizontal="center" vertical="center" wrapText="1"/>
    </xf>
    <xf numFmtId="0" fontId="0" fillId="44" borderId="20" xfId="0" applyFill="1" applyBorder="1" applyAlignment="1">
      <alignment horizontal="center" vertical="center" wrapText="1"/>
    </xf>
    <xf numFmtId="0" fontId="18" fillId="18" borderId="19" xfId="0" applyFont="1" applyFill="1" applyBorder="1" applyAlignment="1">
      <alignment horizontal="center" vertical="center" wrapText="1"/>
    </xf>
    <xf numFmtId="0" fontId="18" fillId="18" borderId="44" xfId="0" applyFont="1" applyFill="1" applyBorder="1" applyAlignment="1">
      <alignment horizontal="center" vertical="center" wrapText="1"/>
    </xf>
    <xf numFmtId="0" fontId="18" fillId="18" borderId="20" xfId="0" applyFont="1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57" fillId="45" borderId="19" xfId="0" applyFont="1" applyFill="1" applyBorder="1" applyAlignment="1">
      <alignment horizontal="center" vertical="center"/>
    </xf>
    <xf numFmtId="0" fontId="57" fillId="45" borderId="44" xfId="0" applyFont="1" applyFill="1" applyBorder="1" applyAlignment="1">
      <alignment horizontal="center" vertical="center"/>
    </xf>
    <xf numFmtId="0" fontId="57" fillId="45" borderId="20" xfId="0" applyFont="1" applyFill="1" applyBorder="1" applyAlignment="1">
      <alignment horizontal="center" vertical="center"/>
    </xf>
    <xf numFmtId="0" fontId="51" fillId="10" borderId="19" xfId="0" applyFont="1" applyFill="1" applyBorder="1" applyAlignment="1">
      <alignment horizontal="center" vertical="center" wrapText="1"/>
    </xf>
    <xf numFmtId="0" fontId="51" fillId="10" borderId="44" xfId="0" applyFont="1" applyFill="1" applyBorder="1" applyAlignment="1">
      <alignment horizontal="center" vertical="center" wrapText="1"/>
    </xf>
    <xf numFmtId="0" fontId="51" fillId="10" borderId="20" xfId="0" applyFont="1" applyFill="1" applyBorder="1" applyAlignment="1">
      <alignment horizontal="center" vertical="center" wrapText="1"/>
    </xf>
    <xf numFmtId="0" fontId="0" fillId="19" borderId="19" xfId="0" applyFill="1" applyBorder="1" applyAlignment="1">
      <alignment horizontal="center" vertical="center"/>
    </xf>
    <xf numFmtId="0" fontId="0" fillId="19" borderId="44" xfId="0" applyFill="1" applyBorder="1" applyAlignment="1">
      <alignment horizontal="center" vertical="center"/>
    </xf>
    <xf numFmtId="0" fontId="0" fillId="19" borderId="20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3" borderId="19" xfId="0" applyFont="1" applyFill="1" applyBorder="1" applyAlignment="1">
      <alignment horizontal="center" vertical="center"/>
    </xf>
    <xf numFmtId="0" fontId="3" fillId="13" borderId="44" xfId="0" applyFont="1" applyFill="1" applyBorder="1" applyAlignment="1">
      <alignment horizontal="center" vertical="center"/>
    </xf>
    <xf numFmtId="0" fontId="3" fillId="13" borderId="20" xfId="0" applyFont="1" applyFill="1" applyBorder="1" applyAlignment="1">
      <alignment horizontal="center" vertical="center"/>
    </xf>
    <xf numFmtId="0" fontId="0" fillId="16" borderId="19" xfId="0" applyFill="1" applyBorder="1" applyAlignment="1">
      <alignment horizontal="center" vertical="center" wrapText="1"/>
    </xf>
    <xf numFmtId="0" fontId="0" fillId="16" borderId="44" xfId="0" applyFill="1" applyBorder="1" applyAlignment="1">
      <alignment horizontal="center" vertical="center" wrapText="1"/>
    </xf>
    <xf numFmtId="0" fontId="0" fillId="16" borderId="20" xfId="0" applyFill="1" applyBorder="1" applyAlignment="1">
      <alignment horizontal="center" vertical="center" wrapText="1"/>
    </xf>
    <xf numFmtId="0" fontId="44" fillId="32" borderId="19" xfId="0" applyFont="1" applyFill="1" applyBorder="1" applyAlignment="1">
      <alignment horizontal="center" vertical="center" wrapText="1"/>
    </xf>
    <xf numFmtId="0" fontId="44" fillId="32" borderId="44" xfId="0" applyFont="1" applyFill="1" applyBorder="1" applyAlignment="1">
      <alignment horizontal="center" vertical="center" wrapText="1"/>
    </xf>
    <xf numFmtId="0" fontId="44" fillId="32" borderId="20" xfId="0" applyFont="1" applyFill="1" applyBorder="1" applyAlignment="1">
      <alignment horizontal="center" vertical="center" wrapText="1"/>
    </xf>
    <xf numFmtId="0" fontId="2" fillId="15" borderId="19" xfId="0" applyFont="1" applyFill="1" applyBorder="1" applyAlignment="1">
      <alignment horizontal="center" vertical="center" wrapText="1"/>
    </xf>
    <xf numFmtId="0" fontId="2" fillId="15" borderId="44" xfId="0" applyFont="1" applyFill="1" applyBorder="1" applyAlignment="1">
      <alignment horizontal="center" vertical="center" wrapText="1"/>
    </xf>
    <xf numFmtId="0" fontId="2" fillId="15" borderId="20" xfId="0" applyFont="1" applyFill="1" applyBorder="1" applyAlignment="1">
      <alignment horizontal="center" vertical="center" wrapText="1"/>
    </xf>
    <xf numFmtId="0" fontId="46" fillId="44" borderId="19" xfId="0" applyFont="1" applyFill="1" applyBorder="1" applyAlignment="1">
      <alignment horizontal="center" vertical="center" wrapText="1"/>
    </xf>
    <xf numFmtId="0" fontId="3" fillId="13" borderId="19" xfId="0" applyFont="1" applyFill="1" applyBorder="1" applyAlignment="1">
      <alignment horizontal="center" vertical="center" wrapText="1"/>
    </xf>
    <xf numFmtId="0" fontId="3" fillId="13" borderId="44" xfId="0" applyFont="1" applyFill="1" applyBorder="1" applyAlignment="1">
      <alignment horizontal="center" vertical="center" wrapText="1"/>
    </xf>
    <xf numFmtId="0" fontId="3" fillId="13" borderId="20" xfId="0" applyFont="1" applyFill="1" applyBorder="1" applyAlignment="1">
      <alignment horizontal="center" vertical="center" wrapText="1"/>
    </xf>
    <xf numFmtId="0" fontId="14" fillId="24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44" borderId="19" xfId="0" applyFill="1" applyBorder="1" applyAlignment="1">
      <alignment horizontal="center" vertical="center" wrapText="1"/>
    </xf>
    <xf numFmtId="0" fontId="23" fillId="24" borderId="9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0" fillId="25" borderId="19" xfId="0" applyFill="1" applyBorder="1" applyAlignment="1">
      <alignment horizontal="left"/>
    </xf>
    <xf numFmtId="0" fontId="0" fillId="25" borderId="20" xfId="0" applyFill="1" applyBorder="1" applyAlignment="1">
      <alignment horizontal="left"/>
    </xf>
    <xf numFmtId="0" fontId="26" fillId="24" borderId="22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0" fillId="17" borderId="19" xfId="0" applyFill="1" applyBorder="1" applyAlignment="1">
      <alignment horizontal="left"/>
    </xf>
    <xf numFmtId="0" fontId="0" fillId="17" borderId="20" xfId="0" applyFill="1" applyBorder="1" applyAlignment="1">
      <alignment horizontal="left"/>
    </xf>
    <xf numFmtId="0" fontId="30" fillId="17" borderId="25" xfId="0" applyFont="1" applyFill="1" applyBorder="1" applyAlignment="1">
      <alignment horizontal="center" vertical="center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29" fillId="27" borderId="7" xfId="0" applyFont="1" applyFill="1" applyBorder="1" applyAlignment="1">
      <alignment horizontal="center" vertical="center" wrapText="1"/>
    </xf>
    <xf numFmtId="0" fontId="29" fillId="27" borderId="8" xfId="0" applyFont="1" applyFill="1" applyBorder="1" applyAlignment="1">
      <alignment horizontal="center" vertical="center" wrapText="1"/>
    </xf>
    <xf numFmtId="0" fontId="29" fillId="27" borderId="9" xfId="0" applyFont="1" applyFill="1" applyBorder="1" applyAlignment="1">
      <alignment horizontal="center" vertical="center" wrapText="1"/>
    </xf>
    <xf numFmtId="0" fontId="29" fillId="27" borderId="12" xfId="0" applyFont="1" applyFill="1" applyBorder="1" applyAlignment="1">
      <alignment horizontal="center" vertical="center" wrapText="1"/>
    </xf>
    <xf numFmtId="0" fontId="29" fillId="27" borderId="13" xfId="0" applyFont="1" applyFill="1" applyBorder="1" applyAlignment="1">
      <alignment horizontal="center" vertical="center" wrapText="1"/>
    </xf>
    <xf numFmtId="0" fontId="29" fillId="27" borderId="14" xfId="0" applyFont="1" applyFill="1" applyBorder="1" applyAlignment="1">
      <alignment horizontal="center" vertical="center" wrapText="1"/>
    </xf>
    <xf numFmtId="0" fontId="33" fillId="29" borderId="56" xfId="0" applyFont="1" applyFill="1" applyBorder="1" applyAlignment="1">
      <alignment horizontal="center" vertical="center"/>
    </xf>
    <xf numFmtId="0" fontId="33" fillId="29" borderId="20" xfId="0" applyFont="1" applyFill="1" applyBorder="1" applyAlignment="1">
      <alignment horizontal="center" vertical="center"/>
    </xf>
    <xf numFmtId="0" fontId="32" fillId="29" borderId="54" xfId="0" applyFont="1" applyFill="1" applyBorder="1" applyAlignment="1">
      <alignment horizontal="center" vertical="center"/>
    </xf>
    <xf numFmtId="0" fontId="32" fillId="29" borderId="55" xfId="0" applyFont="1" applyFill="1" applyBorder="1" applyAlignment="1">
      <alignment horizontal="center" vertical="center"/>
    </xf>
    <xf numFmtId="0" fontId="33" fillId="29" borderId="57" xfId="0" applyFont="1" applyFill="1" applyBorder="1" applyAlignment="1">
      <alignment horizontal="center" vertical="center"/>
    </xf>
    <xf numFmtId="0" fontId="33" fillId="29" borderId="58" xfId="0" applyFont="1" applyFill="1" applyBorder="1" applyAlignment="1">
      <alignment horizontal="center" vertical="center"/>
    </xf>
    <xf numFmtId="0" fontId="3" fillId="36" borderId="45" xfId="0" applyFont="1" applyFill="1" applyBorder="1" applyAlignment="1">
      <alignment horizontal="center" vertical="center" wrapText="1"/>
    </xf>
    <xf numFmtId="0" fontId="15" fillId="17" borderId="0" xfId="0" applyFont="1" applyFill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0" fontId="40" fillId="16" borderId="43" xfId="0" applyFont="1" applyFill="1" applyBorder="1" applyAlignment="1">
      <alignment horizontal="center"/>
    </xf>
    <xf numFmtId="0" fontId="47" fillId="14" borderId="43" xfId="0" applyFont="1" applyFill="1" applyBorder="1" applyAlignment="1">
      <alignment horizontal="center" vertical="center"/>
    </xf>
    <xf numFmtId="0" fontId="49" fillId="16" borderId="0" xfId="0" applyFont="1" applyFill="1" applyAlignment="1">
      <alignment horizontal="center"/>
    </xf>
    <xf numFmtId="0" fontId="42" fillId="33" borderId="0" xfId="0" applyFont="1" applyFill="1" applyAlignment="1">
      <alignment horizontal="center"/>
    </xf>
    <xf numFmtId="0" fontId="53" fillId="33" borderId="43" xfId="0" applyFont="1" applyFill="1" applyBorder="1" applyAlignment="1">
      <alignment horizontal="center" vertical="center" wrapText="1"/>
    </xf>
    <xf numFmtId="0" fontId="40" fillId="16" borderId="0" xfId="0" applyFont="1" applyFill="1" applyAlignment="1">
      <alignment horizontal="center" vertical="center"/>
    </xf>
    <xf numFmtId="0" fontId="33" fillId="41" borderId="0" xfId="0" applyFont="1" applyFill="1" applyAlignment="1">
      <alignment horizontal="center" vertical="center"/>
    </xf>
    <xf numFmtId="0" fontId="56" fillId="16" borderId="0" xfId="0" applyFont="1" applyFill="1" applyAlignment="1">
      <alignment horizontal="left" vertical="center" wrapText="1"/>
    </xf>
    <xf numFmtId="0" fontId="2" fillId="33" borderId="43" xfId="0" applyFont="1" applyFill="1" applyBorder="1" applyAlignment="1">
      <alignment horizontal="center" vertical="center" wrapText="1"/>
    </xf>
    <xf numFmtId="0" fontId="3" fillId="34" borderId="0" xfId="0" applyFont="1" applyFill="1" applyAlignment="1">
      <alignment horizontal="center" vertical="center" wrapText="1"/>
    </xf>
    <xf numFmtId="0" fontId="0" fillId="44" borderId="44" xfId="0" applyFont="1" applyFill="1" applyBorder="1" applyAlignment="1">
      <alignment horizontal="center" vertical="center" wrapText="1"/>
    </xf>
    <xf numFmtId="0" fontId="0" fillId="44" borderId="20" xfId="0" applyFont="1" applyFill="1" applyBorder="1" applyAlignment="1">
      <alignment horizontal="center" vertical="center" wrapText="1"/>
    </xf>
    <xf numFmtId="166" fontId="0" fillId="0" borderId="0" xfId="0" applyNumberFormat="1"/>
    <xf numFmtId="167" fontId="0" fillId="0" borderId="0" xfId="0" applyNumberFormat="1"/>
    <xf numFmtId="0" fontId="40" fillId="14" borderId="43" xfId="0" applyFont="1" applyFill="1" applyBorder="1" applyAlignment="1">
      <alignment horizontal="center" vertical="center"/>
    </xf>
    <xf numFmtId="0" fontId="48" fillId="37" borderId="43" xfId="0" applyFont="1" applyFill="1" applyBorder="1" applyAlignment="1">
      <alignment horizontal="center" vertical="center" wrapText="1"/>
    </xf>
    <xf numFmtId="0" fontId="58" fillId="31" borderId="19" xfId="0" applyFont="1" applyFill="1" applyBorder="1" applyAlignment="1">
      <alignment horizontal="center" vertical="center" wrapText="1"/>
    </xf>
    <xf numFmtId="0" fontId="58" fillId="31" borderId="44" xfId="0" applyFont="1" applyFill="1" applyBorder="1" applyAlignment="1">
      <alignment horizontal="center" vertical="center" wrapText="1"/>
    </xf>
    <xf numFmtId="0" fontId="58" fillId="31" borderId="20" xfId="0" applyFont="1" applyFill="1" applyBorder="1" applyAlignment="1">
      <alignment horizontal="center" vertical="center" wrapText="1"/>
    </xf>
    <xf numFmtId="0" fontId="8" fillId="44" borderId="19" xfId="0" applyFont="1" applyFill="1" applyBorder="1" applyAlignment="1">
      <alignment horizontal="center" vertical="center" wrapText="1"/>
    </xf>
    <xf numFmtId="0" fontId="58" fillId="44" borderId="44" xfId="0" applyFont="1" applyFill="1" applyBorder="1" applyAlignment="1">
      <alignment horizontal="center" vertical="center" wrapText="1"/>
    </xf>
    <xf numFmtId="0" fontId="58" fillId="44" borderId="20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horizontal="center" vertical="center" wrapText="1"/>
    </xf>
    <xf numFmtId="0" fontId="40" fillId="37" borderId="43" xfId="0" applyFont="1" applyFill="1" applyBorder="1" applyAlignment="1">
      <alignment horizontal="center" vertical="center" wrapText="1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92"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67" formatCode="dd/mm/yyyy\ hh:mm"/>
    </dxf>
    <dxf>
      <numFmt numFmtId="165" formatCode="[m]:ss"/>
    </dxf>
    <dxf>
      <numFmt numFmtId="166" formatCode="dd/mm/yyyy"/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numFmt numFmtId="165" formatCode="[m]:ss"/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numFmt numFmtId="165" formatCode="[m]:ss"/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D9EAF8"/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match'!$B$97:$B$101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match'!$C$97:$C$101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ED-B146-A99A-1C542D26BA8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match'!$B$97:$B$101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match'!$D$97:$D$101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ED-B146-A99A-1C542D26B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6551936"/>
        <c:axId val="1126548800"/>
      </c:barChart>
      <c:catAx>
        <c:axId val="112655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26548800"/>
        <c:crosses val="autoZero"/>
        <c:auto val="1"/>
        <c:lblAlgn val="ctr"/>
        <c:lblOffset val="100"/>
        <c:noMultiLvlLbl val="0"/>
      </c:catAx>
      <c:valAx>
        <c:axId val="11265488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26551936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28</xdr:row>
      <xdr:rowOff>222250</xdr:rowOff>
    </xdr:from>
    <xdr:to>
      <xdr:col>17</xdr:col>
      <xdr:colOff>50800</xdr:colOff>
      <xdr:row>28</xdr:row>
      <xdr:rowOff>920750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254000" y="701675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21</xdr:col>
      <xdr:colOff>25400</xdr:colOff>
      <xdr:row>28</xdr:row>
      <xdr:rowOff>177800</xdr:rowOff>
    </xdr:from>
    <xdr:to>
      <xdr:col>48</xdr:col>
      <xdr:colOff>63500</xdr:colOff>
      <xdr:row>28</xdr:row>
      <xdr:rowOff>1117600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451100" y="6972300"/>
          <a:ext cx="3124200" cy="9398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19</xdr:col>
      <xdr:colOff>76200</xdr:colOff>
      <xdr:row>28</xdr:row>
      <xdr:rowOff>279400</xdr:rowOff>
    </xdr:from>
    <xdr:to>
      <xdr:col>21</xdr:col>
      <xdr:colOff>29583</xdr:colOff>
      <xdr:row>28</xdr:row>
      <xdr:rowOff>453136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273300" y="7073900"/>
          <a:ext cx="181983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0</xdr:row>
      <xdr:rowOff>0</xdr:rowOff>
    </xdr:from>
    <xdr:to>
      <xdr:col>56</xdr:col>
      <xdr:colOff>0</xdr:colOff>
      <xdr:row>1</xdr:row>
      <xdr:rowOff>12700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>
          <a:spLocks/>
        </xdr:cNvSpPr>
      </xdr:nvSpPr>
      <xdr:spPr>
        <a:xfrm>
          <a:off x="7531100" y="0"/>
          <a:ext cx="558800" cy="508000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53</xdr:row>
      <xdr:rowOff>25399</xdr:rowOff>
    </xdr:from>
    <xdr:to>
      <xdr:col>8</xdr:col>
      <xdr:colOff>482600</xdr:colOff>
      <xdr:row>56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113</xdr:row>
      <xdr:rowOff>0</xdr:rowOff>
    </xdr:from>
    <xdr:to>
      <xdr:col>7</xdr:col>
      <xdr:colOff>647700</xdr:colOff>
      <xdr:row>136</xdr:row>
      <xdr:rowOff>12700</xdr:rowOff>
    </xdr:to>
    <xdr:graphicFrame macro="">
      <xdr:nvGraphicFramePr>
        <xdr:cNvPr id="3" name="GRAPHIQUE_SEQUENCES_POSSESSION">
          <a:extLst>
            <a:ext uri="{FF2B5EF4-FFF2-40B4-BE49-F238E27FC236}">
              <a16:creationId xmlns:a16="http://schemas.microsoft.com/office/drawing/2014/main" id="{B6BE3CFF-08A2-1053-FD33-0294D85981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2" insertRow="1" totalsRowShown="0" headerRowDxfId="91" dataDxfId="90">
  <autoFilter ref="A1:F2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89"/>
    <tableColumn id="2" xr3:uid="{0C1B8A30-A3B8-DA4D-B893-C4C99FF33E90}" name="nom" dataDxfId="88"/>
    <tableColumn id="3" xr3:uid="{8AE5AF32-0026-9B41-8B0B-16B9ED0F3727}" name="prenom" dataDxfId="87"/>
    <tableColumn id="6" xr3:uid="{D5D3A7D0-7C7D-684B-8AA7-DABBCC7051CF}" name="1ère ligne" dataDxfId="86"/>
    <tableColumn id="4" xr3:uid="{4CE41A86-7158-6B42-B932-A5275F10AB48}" name="prenom NOM" dataDxfId="85"/>
    <tableColumn id="5" xr3:uid="{EB017694-E6D2-7440-91BF-61113926AB7D}" name="NOM Prénom" dataDxfId="8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2" insertRow="1" totalsRowShown="0" headerRowDxfId="83" dataDxfId="82">
  <autoFilter ref="J1:J2" xr:uid="{037D6424-D1EC-894D-B963-D36ABCA682C4}"/>
  <tableColumns count="1">
    <tableColumn id="1" xr3:uid="{63806632-B9ED-294D-800A-F2FDB2EC48D2}" name="EQUIPES_A_AFFRONTER" dataDxfId="8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80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totalsRowShown="0">
  <autoFilter ref="A1:Q2" xr:uid="{274E98FB-BCE1-0347-AD79-C8025C407DEC}"/>
  <tableColumns count="17">
    <tableColumn id="1" xr3:uid="{1C6F1113-17EB-A449-86BF-30B1CE9CAC0A}" name="temps video" dataDxfId="17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16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18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3" insertRow="1" totalsRowShown="0" headerRowDxfId="79" dataDxfId="78">
  <autoFilter ref="A2:J3" xr:uid="{1BC259CC-2467-644D-900B-02D4F95FCC56}"/>
  <tableColumns count="10">
    <tableColumn id="1" xr3:uid="{29E94664-85C6-8341-9568-C2C37D97888A}" name="Temps video" dataDxfId="77"/>
    <tableColumn id="2" xr3:uid="{55A3C72E-11B1-DE4C-A8AA-CB6DB1EFD242}" name="Mi-temps" dataDxfId="76"/>
    <tableColumn id="3" xr3:uid="{4AE31CAA-4626-F642-B76C-C72B804D292F}" name="Lance pour" dataDxfId="75"/>
    <tableColumn id="4" xr3:uid="{1EA86226-F559-1043-9A84-6FF95B3B874A}" name="Issue" dataDxfId="74"/>
    <tableColumn id="5" xr3:uid="{2C4366BF-5214-BC47-A083-90D03DA6854F}" name="Sauteur" dataDxfId="73"/>
    <tableColumn id="6" xr3:uid="{9D288BC5-6D48-C24C-9619-DA2FF23FBD25}" name="Zone saut" dataDxfId="72"/>
    <tableColumn id="7" xr3:uid="{C5782212-F6FF-1047-ACE1-2423FE276759}" name="Ballon" dataDxfId="71"/>
    <tableColumn id="8" xr3:uid="{C5B2376F-1A1B-EE42-93FF-D1229E4F9C28}" name="Zone terrain" dataDxfId="70"/>
    <tableColumn id="9" xr3:uid="{F1D9F9BC-6535-E847-80D5-69098CD85B42}" name="Alignement" dataDxfId="69"/>
    <tableColumn id="10" xr3:uid="{40E35BB9-1748-7C41-8DA3-305B06F71737}" name="Observations" dataDxfId="68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A11:J12" totalsRowShown="0" headerRowDxfId="67" dataDxfId="66">
  <autoFilter ref="A11:J12" xr:uid="{A1FE138B-7A57-FD4E-B0BC-4BF4203BE379}"/>
  <tableColumns count="10">
    <tableColumn id="1" xr3:uid="{9154875D-F6A2-FD43-A363-B5D480E2C8C9}" name="Temps video" dataDxfId="65"/>
    <tableColumn id="2" xr3:uid="{B3C15621-3E96-6848-870A-E1606D2022B1}" name="Mi-temps" dataDxfId="64"/>
    <tableColumn id="3" xr3:uid="{82E522EF-5DF0-A04D-AFD6-8A58284D960F}" name="Introduction pour" dataDxfId="63"/>
    <tableColumn id="4" xr3:uid="{5779EC3B-EA51-BF4B-81EB-CFE3E9CACA34}" name="Issue" dataDxfId="62"/>
    <tableColumn id="5" xr3:uid="{FFAF75C5-1430-7640-B33A-CDF548EF256F}" name="Zone longueur" dataDxfId="61"/>
    <tableColumn id="6" xr3:uid="{18D5B587-DA93-C049-940F-FA2A855A20A5}" name="Zone largeur" dataDxfId="60"/>
    <tableColumn id="7" xr3:uid="{EFF3CB7A-10D5-9D42-B368-93E6B4853022}" name="Jeu avant" dataDxfId="59"/>
    <tableColumn id="8" xr3:uid="{D9175B18-6528-4648-B15C-FF2CC25EEBE4}" name="Jeu 3/4" dataDxfId="58"/>
    <tableColumn id="9" xr3:uid="{CAE0CE17-6518-8346-8125-3B7CA02D88C1}" name="Jeu pied" dataDxfId="57"/>
    <tableColumn id="10" xr3:uid="{9D4C3BED-381E-2945-8DDD-9AF72C0A70C5}" name="Observations" dataDxfId="56"/>
  </tableColumns>
  <tableStyleInfo name="TableStyleMedium3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70" totalsRowShown="0" headerRowDxfId="55" dataDxfId="53" headerRowBorderDxfId="54" tableBorderDxfId="52" totalsRowBorderDxfId="51">
  <autoFilter ref="Q1:R70" xr:uid="{6D1F5F0A-5FD5-AC4E-A195-33A78A5E0E58}"/>
  <tableColumns count="2">
    <tableColumn id="1" xr3:uid="{8A0D5429-5616-B849-BD27-167A576FE99E}" name="Nom de cellule à créer" dataDxfId="50"/>
    <tableColumn id="2" xr3:uid="{19545507-672A-9F40-8818-E4C9060AA52B}" name="Libellé" dataDxfId="4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48" headerRowBorderDxfId="47" tableBorderDxfId="46" totalsRowBorderDxfId="45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44" headerRowBorderDxfId="43" tableBorderDxfId="42" totalsRowBorderDxfId="41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40" dataDxfId="39">
  <autoFilter ref="I14:I20" xr:uid="{CC940AF9-E81A-F746-8EAD-392809C3CFBE}"/>
  <tableColumns count="1">
    <tableColumn id="1" xr3:uid="{816CA1DF-3681-2948-A622-26353E2B9A97}" name="LISTE_LECTEUR_VIDEO" dataDxfId="3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37" dataDxfId="36">
  <autoFilter ref="C1:C4" xr:uid="{61FC7709-08E5-D048-A38B-441B18CF5D35}"/>
  <tableColumns count="1">
    <tableColumn id="1" xr3:uid="{C41B523D-40DA-AF48-A2C2-015B04960B0A}" name="LIEU_MATCH" dataDxfId="3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34" dataDxfId="33">
  <autoFilter ref="C6:C10" xr:uid="{86EA01CF-5567-6445-9906-AD2B60CA0A8A}"/>
  <tableColumns count="1">
    <tableColumn id="1" xr3:uid="{B57F8324-6F25-7B40-9B20-1BFDF9708631}" name="PHASE" dataDxfId="3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31" dataDxfId="30">
  <autoFilter ref="C12:C15" xr:uid="{DAA9B017-78F0-D447-B788-CF8333AEAC38}"/>
  <tableColumns count="1">
    <tableColumn id="1" xr3:uid="{C5E86C3D-762A-054E-B864-5A67DBB9A8CA}" name="RESULTAT" dataDxfId="2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28" dataDxfId="27">
  <autoFilter ref="C17:C21" xr:uid="{F661D9E2-619C-DA44-92C5-8A09E8E281AC}"/>
  <tableColumns count="1">
    <tableColumn id="1" xr3:uid="{ADD3AF05-089E-D149-9728-7C2A6F62FA22}" name="EQUIPE_NIV" dataDxfId="26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3" totalsRowShown="0" headerRowDxfId="25" dataDxfId="23" headerRowBorderDxfId="24" tableBorderDxfId="22" totalsRowBorderDxfId="21">
  <autoFilter ref="K1:K3" xr:uid="{391966D0-8F83-3948-82BB-835638F7D3FE}"/>
  <tableColumns count="1">
    <tableColumn id="1" xr3:uid="{F45BF991-6668-F741-B07C-7905B99AC752}" name="LISTE_JOUEURS_JOURNAL" dataDxfId="20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5:K8" totalsRowShown="0" headerRowDxfId="19">
  <autoFilter ref="K5:K8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abSelected="1" topLeftCell="B1" workbookViewId="0">
      <selection activeCell="G97" sqref="G97"/>
    </sheetView>
    <sheetView topLeftCell="B1" workbookViewId="1"/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69</v>
      </c>
      <c r="B1" s="96" t="s">
        <v>70</v>
      </c>
      <c r="C1" s="96" t="s">
        <v>71</v>
      </c>
      <c r="D1" s="96" t="s">
        <v>284</v>
      </c>
      <c r="E1" s="96" t="s">
        <v>72</v>
      </c>
      <c r="F1" s="96" t="s">
        <v>111</v>
      </c>
      <c r="J1" t="s">
        <v>264</v>
      </c>
    </row>
    <row r="2" spans="1:10">
      <c r="B2" s="85"/>
      <c r="C2" s="85"/>
      <c r="D2" s="85"/>
      <c r="J2"/>
    </row>
    <row r="3" spans="1:10">
      <c r="A3" s="135"/>
      <c r="B3" s="135"/>
      <c r="C3" s="135"/>
      <c r="D3" s="135"/>
      <c r="E3" s="135"/>
      <c r="F3" s="135"/>
      <c r="J3" s="135"/>
    </row>
    <row r="4" spans="1:10">
      <c r="A4" s="135"/>
      <c r="B4" s="135"/>
      <c r="C4" s="135"/>
      <c r="D4" s="135"/>
      <c r="E4" s="135"/>
      <c r="F4" s="135"/>
      <c r="J4" s="135"/>
    </row>
    <row r="5" spans="1:10">
      <c r="A5" s="135"/>
      <c r="B5" s="135"/>
      <c r="C5" s="135"/>
      <c r="D5" s="135"/>
      <c r="E5" s="135"/>
      <c r="F5" s="135"/>
      <c r="J5" s="135"/>
    </row>
    <row r="6" spans="1:10">
      <c r="A6" s="135"/>
      <c r="B6" s="135"/>
      <c r="C6" s="135"/>
      <c r="D6" s="135"/>
      <c r="E6" s="135"/>
      <c r="F6" s="135"/>
      <c r="J6" s="135"/>
    </row>
    <row r="7" spans="1:10">
      <c r="A7" s="135"/>
      <c r="B7" s="135"/>
      <c r="C7" s="135"/>
      <c r="D7" s="135"/>
      <c r="E7" s="135"/>
      <c r="F7" s="135"/>
      <c r="J7" s="135"/>
    </row>
    <row r="8" spans="1:10">
      <c r="A8" s="135"/>
      <c r="B8" s="135"/>
      <c r="C8" s="135"/>
      <c r="D8" s="135"/>
      <c r="E8" s="135"/>
      <c r="F8" s="135"/>
      <c r="J8" s="135"/>
    </row>
    <row r="9" spans="1:10">
      <c r="A9" s="135"/>
      <c r="B9" s="135"/>
      <c r="C9" s="135"/>
      <c r="D9" s="135"/>
      <c r="E9" s="135"/>
      <c r="F9" s="135"/>
      <c r="J9" s="135"/>
    </row>
    <row r="10" spans="1:10">
      <c r="A10" s="135"/>
      <c r="B10" s="135"/>
      <c r="C10" s="135"/>
      <c r="D10" s="135"/>
      <c r="E10" s="135"/>
      <c r="F10" s="135"/>
      <c r="J10" s="135"/>
    </row>
    <row r="11" spans="1:10">
      <c r="A11" s="135"/>
      <c r="B11" s="135"/>
      <c r="C11" s="135"/>
      <c r="D11" s="135"/>
      <c r="E11" s="135"/>
      <c r="F11" s="135"/>
      <c r="J11" s="135"/>
    </row>
    <row r="12" spans="1:10">
      <c r="A12" s="135"/>
      <c r="B12" s="135"/>
      <c r="C12" s="135"/>
      <c r="D12" s="135"/>
      <c r="E12" s="135"/>
      <c r="F12" s="135"/>
    </row>
    <row r="13" spans="1:10">
      <c r="A13" s="135"/>
      <c r="B13" s="135"/>
      <c r="C13" s="135"/>
      <c r="D13" s="135"/>
      <c r="E13" s="135"/>
      <c r="F13" s="135"/>
    </row>
    <row r="14" spans="1:10">
      <c r="A14" s="135"/>
      <c r="B14" s="135"/>
      <c r="C14" s="135"/>
      <c r="D14" s="135"/>
      <c r="E14" s="135"/>
      <c r="F14" s="135"/>
    </row>
    <row r="15" spans="1:10">
      <c r="A15" s="135"/>
      <c r="B15" s="135"/>
      <c r="C15" s="135"/>
      <c r="D15" s="135"/>
      <c r="E15" s="135"/>
      <c r="F15" s="135"/>
    </row>
    <row r="16" spans="1:10">
      <c r="A16" s="135"/>
      <c r="B16" s="135"/>
      <c r="C16" s="135"/>
      <c r="D16" s="135"/>
      <c r="E16" s="135"/>
      <c r="F16" s="135"/>
    </row>
    <row r="17" spans="1:6">
      <c r="A17" s="135"/>
      <c r="B17" s="135"/>
      <c r="C17" s="135"/>
      <c r="D17" s="135"/>
      <c r="E17" s="135"/>
      <c r="F17" s="135"/>
    </row>
    <row r="18" spans="1:6">
      <c r="A18" s="135"/>
      <c r="B18" s="135"/>
      <c r="C18" s="135"/>
      <c r="D18" s="135"/>
      <c r="E18" s="135"/>
      <c r="F18" s="135"/>
    </row>
    <row r="19" spans="1:6">
      <c r="A19" s="135"/>
      <c r="B19" s="135"/>
      <c r="C19" s="135"/>
      <c r="D19" s="135"/>
      <c r="E19" s="135"/>
      <c r="F19" s="135"/>
    </row>
    <row r="20" spans="1:6">
      <c r="A20" s="135"/>
      <c r="B20" s="135"/>
      <c r="C20" s="135"/>
      <c r="D20" s="135"/>
      <c r="E20" s="135"/>
      <c r="F20" s="135"/>
    </row>
    <row r="21" spans="1:6">
      <c r="A21" s="135"/>
      <c r="B21" s="135"/>
      <c r="C21" s="135"/>
      <c r="D21" s="135"/>
      <c r="E21" s="135"/>
      <c r="F21" s="135"/>
    </row>
    <row r="22" spans="1:6">
      <c r="A22" s="135"/>
      <c r="B22" s="135"/>
      <c r="C22" s="135"/>
      <c r="D22" s="135"/>
      <c r="E22" s="135"/>
      <c r="F22" s="135"/>
    </row>
    <row r="23" spans="1:6">
      <c r="A23" s="135"/>
      <c r="B23" s="135"/>
      <c r="C23" s="135"/>
      <c r="D23" s="135"/>
      <c r="E23" s="135"/>
      <c r="F23" s="135"/>
    </row>
    <row r="24" spans="1:6">
      <c r="A24" s="135"/>
      <c r="B24" s="135"/>
      <c r="C24" s="135"/>
      <c r="D24" s="135"/>
      <c r="E24" s="135"/>
      <c r="F24" s="135"/>
    </row>
    <row r="25" spans="1:6">
      <c r="A25" s="135"/>
      <c r="B25" s="135"/>
      <c r="C25" s="135"/>
      <c r="D25" s="135"/>
      <c r="E25" s="135"/>
      <c r="F25" s="135"/>
    </row>
    <row r="26" spans="1:6" ht="12" customHeight="1">
      <c r="A26" s="135"/>
      <c r="B26" s="135"/>
      <c r="C26" s="135"/>
      <c r="D26" s="135"/>
      <c r="E26" s="135"/>
      <c r="F26" s="135"/>
    </row>
    <row r="27" spans="1:6" s="3" customFormat="1">
      <c r="A27" s="135"/>
      <c r="B27" s="135"/>
      <c r="C27" s="135"/>
      <c r="D27" s="135"/>
      <c r="E27" s="135"/>
      <c r="F27" s="135"/>
    </row>
    <row r="28" spans="1:6" s="3" customFormat="1">
      <c r="A28" s="135"/>
      <c r="B28" s="135"/>
      <c r="C28" s="135"/>
      <c r="D28" s="135"/>
      <c r="E28" s="135"/>
      <c r="F28" s="135"/>
    </row>
    <row r="29" spans="1:6" s="3" customFormat="1">
      <c r="A29" s="135"/>
      <c r="B29" s="135"/>
      <c r="C29" s="135"/>
      <c r="D29" s="135"/>
      <c r="E29" s="135"/>
      <c r="F29" s="135"/>
    </row>
    <row r="30" spans="1:6" s="3" customFormat="1">
      <c r="A30" s="135"/>
      <c r="B30" s="135"/>
      <c r="C30" s="135"/>
      <c r="D30" s="135"/>
      <c r="E30" s="135"/>
      <c r="F30" s="135"/>
    </row>
    <row r="31" spans="1:6" s="3" customFormat="1">
      <c r="A31" s="135"/>
      <c r="B31" s="135"/>
      <c r="C31" s="135"/>
      <c r="D31" s="135"/>
      <c r="E31" s="135"/>
      <c r="F31" s="135"/>
    </row>
    <row r="32" spans="1:6" s="3" customFormat="1">
      <c r="A32" s="135"/>
      <c r="B32" s="135"/>
      <c r="C32" s="135"/>
      <c r="D32" s="135"/>
      <c r="E32" s="135"/>
      <c r="F32" s="135"/>
    </row>
    <row r="33" spans="1:6" s="3" customFormat="1">
      <c r="A33" s="135"/>
      <c r="B33" s="135"/>
      <c r="C33" s="135"/>
      <c r="D33" s="135"/>
      <c r="E33" s="135"/>
      <c r="F33" s="135"/>
    </row>
    <row r="34" spans="1:6" s="3" customFormat="1">
      <c r="A34" s="135"/>
      <c r="B34" s="135"/>
      <c r="C34" s="135"/>
      <c r="D34" s="135"/>
      <c r="E34" s="135"/>
      <c r="F34" s="135"/>
    </row>
    <row r="35" spans="1:6" s="3" customFormat="1">
      <c r="A35" s="135"/>
      <c r="B35" s="135"/>
      <c r="C35" s="135"/>
      <c r="D35" s="135"/>
      <c r="E35" s="135"/>
      <c r="F35" s="135"/>
    </row>
    <row r="36" spans="1:6" s="3" customFormat="1">
      <c r="A36" s="135"/>
      <c r="B36" s="135"/>
      <c r="C36" s="135"/>
      <c r="D36" s="135"/>
      <c r="E36" s="135"/>
      <c r="F36" s="135"/>
    </row>
    <row r="37" spans="1:6" s="3" customFormat="1">
      <c r="A37" s="135"/>
      <c r="B37" s="135"/>
      <c r="C37" s="135"/>
      <c r="D37" s="135"/>
      <c r="E37" s="135"/>
      <c r="F37" s="135"/>
    </row>
    <row r="38" spans="1:6" s="3" customFormat="1">
      <c r="A38" s="135"/>
      <c r="B38" s="135"/>
      <c r="C38" s="135"/>
      <c r="D38" s="135"/>
      <c r="E38" s="135"/>
      <c r="F38" s="135"/>
    </row>
    <row r="39" spans="1:6" s="3" customFormat="1">
      <c r="A39" s="135"/>
      <c r="B39" s="135"/>
      <c r="C39" s="135"/>
      <c r="D39" s="135"/>
      <c r="E39" s="135"/>
      <c r="F39" s="135"/>
    </row>
    <row r="40" spans="1:6" s="3" customFormat="1">
      <c r="A40" s="135"/>
      <c r="B40" s="135"/>
      <c r="C40" s="135"/>
      <c r="D40" s="135"/>
      <c r="E40" s="135"/>
      <c r="F40" s="135"/>
    </row>
    <row r="41" spans="1:6" s="3" customFormat="1">
      <c r="A41" s="135"/>
      <c r="B41" s="135"/>
      <c r="C41" s="135"/>
      <c r="D41" s="135"/>
      <c r="E41" s="135"/>
      <c r="F41" s="135"/>
    </row>
    <row r="42" spans="1:6" s="3" customFormat="1">
      <c r="A42" s="135"/>
      <c r="B42" s="135"/>
      <c r="C42" s="135"/>
      <c r="D42" s="135"/>
      <c r="E42" s="135"/>
      <c r="F42" s="135"/>
    </row>
    <row r="43" spans="1:6" s="3" customFormat="1">
      <c r="A43" s="135"/>
      <c r="B43" s="135"/>
      <c r="C43" s="135"/>
      <c r="D43" s="135"/>
      <c r="E43" s="135"/>
      <c r="F43" s="135"/>
    </row>
    <row r="44" spans="1:6" s="3" customFormat="1">
      <c r="A44" s="135"/>
      <c r="B44" s="135"/>
      <c r="C44" s="135"/>
      <c r="D44" s="135"/>
      <c r="E44" s="135"/>
      <c r="F44" s="135"/>
    </row>
    <row r="45" spans="1:6" s="3" customFormat="1">
      <c r="A45" s="135"/>
      <c r="B45" s="135"/>
      <c r="C45" s="135"/>
      <c r="D45" s="135"/>
      <c r="E45" s="135"/>
      <c r="F45" s="135"/>
    </row>
    <row r="46" spans="1:6" s="3" customFormat="1">
      <c r="A46" s="135"/>
      <c r="B46" s="135"/>
      <c r="C46" s="135"/>
      <c r="D46" s="135"/>
      <c r="E46" s="135"/>
      <c r="F46" s="135"/>
    </row>
    <row r="47" spans="1:6" s="3" customFormat="1">
      <c r="A47" s="135"/>
      <c r="B47" s="135"/>
      <c r="C47" s="135"/>
      <c r="D47" s="135"/>
      <c r="E47" s="135"/>
      <c r="F47" s="135"/>
    </row>
    <row r="48" spans="1:6" s="3" customFormat="1">
      <c r="A48" s="135"/>
      <c r="B48" s="135"/>
      <c r="C48" s="135"/>
      <c r="D48" s="135"/>
      <c r="E48" s="135"/>
      <c r="F48" s="135"/>
    </row>
    <row r="49" spans="1:6" s="3" customFormat="1">
      <c r="A49" s="135"/>
      <c r="B49" s="135"/>
      <c r="C49" s="135"/>
      <c r="D49" s="135"/>
      <c r="E49" s="135"/>
      <c r="F49" s="135"/>
    </row>
    <row r="50" spans="1:6" s="3" customFormat="1">
      <c r="A50" s="135"/>
      <c r="B50" s="135"/>
      <c r="C50" s="135"/>
      <c r="D50" s="135"/>
      <c r="E50" s="135"/>
      <c r="F50" s="135"/>
    </row>
    <row r="51" spans="1:6" s="3" customFormat="1">
      <c r="A51" s="135"/>
      <c r="B51" s="135"/>
      <c r="C51" s="135"/>
      <c r="D51" s="135"/>
      <c r="E51" s="135"/>
      <c r="F51" s="135"/>
    </row>
    <row r="52" spans="1:6" s="3" customFormat="1">
      <c r="A52" s="135"/>
      <c r="B52" s="135"/>
      <c r="C52" s="135"/>
      <c r="D52" s="135"/>
      <c r="E52" s="135"/>
      <c r="F52" s="135"/>
    </row>
    <row r="53" spans="1:6" s="3" customFormat="1">
      <c r="A53" s="135"/>
      <c r="B53" s="135"/>
      <c r="C53" s="135"/>
      <c r="D53" s="135"/>
      <c r="E53" s="135"/>
      <c r="F53" s="135"/>
    </row>
    <row r="54" spans="1:6" s="3" customFormat="1">
      <c r="A54" s="135"/>
      <c r="B54" s="135"/>
      <c r="C54" s="135"/>
      <c r="D54" s="135"/>
      <c r="E54" s="135"/>
      <c r="F54" s="135"/>
    </row>
    <row r="55" spans="1:6" s="3" customFormat="1">
      <c r="A55" s="135"/>
      <c r="B55" s="135"/>
      <c r="C55" s="135"/>
      <c r="D55" s="135"/>
      <c r="E55" s="135"/>
      <c r="F55" s="135"/>
    </row>
    <row r="56" spans="1:6" s="3" customFormat="1">
      <c r="A56" s="135"/>
      <c r="B56" s="135"/>
      <c r="C56" s="135"/>
      <c r="D56" s="135"/>
      <c r="E56" s="135"/>
      <c r="F56" s="135"/>
    </row>
    <row r="57" spans="1:6" s="3" customFormat="1">
      <c r="A57" s="135"/>
      <c r="B57" s="135"/>
      <c r="C57" s="135"/>
      <c r="D57" s="135"/>
      <c r="E57" s="135"/>
      <c r="F57" s="135"/>
    </row>
    <row r="58" spans="1:6" s="3" customFormat="1">
      <c r="A58" s="135"/>
      <c r="B58" s="135"/>
      <c r="C58" s="135"/>
      <c r="D58" s="135"/>
      <c r="E58" s="135"/>
      <c r="F58" s="135"/>
    </row>
    <row r="59" spans="1:6" s="3" customFormat="1">
      <c r="A59" s="135"/>
      <c r="B59" s="135"/>
      <c r="C59" s="135"/>
      <c r="D59" s="135"/>
      <c r="E59" s="135"/>
      <c r="F59" s="135"/>
    </row>
    <row r="60" spans="1:6" s="3" customFormat="1">
      <c r="A60" s="135"/>
      <c r="B60" s="135"/>
      <c r="C60" s="135"/>
      <c r="D60" s="135"/>
      <c r="E60" s="135"/>
      <c r="F60" s="135"/>
    </row>
    <row r="61" spans="1:6" s="3" customFormat="1">
      <c r="A61" s="135"/>
      <c r="B61" s="135"/>
      <c r="C61" s="135"/>
      <c r="D61" s="135"/>
      <c r="E61" s="135"/>
      <c r="F61" s="135"/>
    </row>
    <row r="62" spans="1:6" s="3" customFormat="1">
      <c r="A62" s="135"/>
      <c r="B62" s="135"/>
      <c r="C62" s="135"/>
      <c r="D62" s="135"/>
      <c r="E62" s="135"/>
      <c r="F62" s="135"/>
    </row>
    <row r="63" spans="1:6" s="3" customFormat="1">
      <c r="A63" s="135"/>
      <c r="B63" s="135"/>
      <c r="C63" s="135"/>
      <c r="D63" s="135"/>
      <c r="E63" s="135"/>
      <c r="F63" s="135"/>
    </row>
    <row r="64" spans="1:6" s="3" customFormat="1">
      <c r="A64" s="135"/>
      <c r="B64" s="135"/>
      <c r="C64" s="135"/>
      <c r="D64" s="135"/>
      <c r="E64" s="135"/>
      <c r="F64" s="135"/>
    </row>
    <row r="65" spans="1:6" s="3" customFormat="1">
      <c r="A65" s="135"/>
      <c r="B65" s="135"/>
      <c r="C65" s="135"/>
      <c r="D65" s="135"/>
      <c r="E65" s="135"/>
      <c r="F65" s="135"/>
    </row>
    <row r="66" spans="1:6" s="3" customFormat="1">
      <c r="A66" s="135"/>
      <c r="B66" s="135"/>
      <c r="C66" s="135"/>
      <c r="D66" s="135"/>
      <c r="E66" s="135"/>
      <c r="F66" s="135"/>
    </row>
    <row r="67" spans="1:6" s="3" customFormat="1">
      <c r="A67" s="135"/>
      <c r="B67" s="135"/>
      <c r="C67" s="135"/>
      <c r="D67" s="135"/>
      <c r="E67" s="135"/>
      <c r="F67" s="135"/>
    </row>
    <row r="68" spans="1:6" s="3" customFormat="1">
      <c r="A68" s="135"/>
      <c r="B68" s="135"/>
      <c r="C68" s="135"/>
      <c r="D68" s="135"/>
      <c r="E68" s="135"/>
      <c r="F68" s="135"/>
    </row>
    <row r="69" spans="1:6" s="3" customFormat="1">
      <c r="A69" s="135"/>
      <c r="B69" s="135"/>
      <c r="C69" s="135"/>
      <c r="D69" s="135"/>
      <c r="E69" s="135"/>
      <c r="F69" s="135"/>
    </row>
    <row r="70" spans="1:6" s="3" customFormat="1">
      <c r="A70" s="135"/>
      <c r="B70" s="135"/>
      <c r="C70" s="135"/>
      <c r="D70" s="135"/>
      <c r="E70" s="135"/>
      <c r="F70" s="135"/>
    </row>
    <row r="71" spans="1:6" s="3" customFormat="1">
      <c r="A71" s="135"/>
      <c r="B71" s="135"/>
      <c r="C71" s="135"/>
      <c r="D71" s="135"/>
      <c r="E71" s="135"/>
      <c r="F71" s="135"/>
    </row>
    <row r="72" spans="1:6" s="3" customFormat="1">
      <c r="A72" s="135"/>
      <c r="B72" s="135"/>
      <c r="C72" s="135"/>
      <c r="D72" s="135"/>
      <c r="E72" s="135"/>
      <c r="F72" s="135"/>
    </row>
    <row r="73" spans="1:6" s="3" customFormat="1">
      <c r="A73" s="135"/>
      <c r="B73" s="135"/>
      <c r="C73" s="135"/>
      <c r="D73" s="135"/>
      <c r="E73" s="135"/>
      <c r="F73" s="135"/>
    </row>
    <row r="74" spans="1:6" s="3" customFormat="1">
      <c r="A74" s="135"/>
      <c r="B74" s="135"/>
      <c r="C74" s="135"/>
      <c r="D74" s="135"/>
      <c r="E74" s="135"/>
      <c r="F74" s="135"/>
    </row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/>
    <row r="301" spans="1:6" s="3" customFormat="1"/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" xr:uid="{0FA0F834-317F-4C42-A1D9-EEF2FDF7CF9C}">
      <formula1>OUI_NON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U137"/>
  <sheetViews>
    <sheetView workbookViewId="0">
      <selection activeCell="D41" sqref="D41"/>
    </sheetView>
    <sheetView workbookViewId="1"/>
  </sheetViews>
  <sheetFormatPr baseColWidth="10" defaultRowHeight="13"/>
  <cols>
    <col min="1" max="1" width="8.33203125" style="63" bestFit="1" customWidth="1"/>
    <col min="2" max="2" width="17.83203125" customWidth="1"/>
    <col min="3" max="3" width="24.83203125" customWidth="1"/>
    <col min="4" max="4" width="14.1640625" style="63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</cols>
  <sheetData>
    <row r="1" spans="1:385" s="3" customFormat="1" ht="14" thickBot="1">
      <c r="A1" s="63"/>
      <c r="D1" s="63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</row>
    <row r="2" spans="1:385" ht="19" customHeight="1">
      <c r="B2" s="177" t="s">
        <v>199</v>
      </c>
      <c r="C2" s="177"/>
      <c r="E2" s="178" t="str">
        <f>"FEUILLE COMPO "&amp;MATCH_NOUS</f>
        <v xml:space="preserve">FEUILLE COMPO </v>
      </c>
      <c r="F2" s="179"/>
      <c r="G2" s="179"/>
      <c r="H2" s="180"/>
    </row>
    <row r="3" spans="1:385" ht="19" customHeight="1">
      <c r="B3" s="177"/>
      <c r="C3" s="177"/>
      <c r="E3" s="181"/>
      <c r="F3" s="182"/>
      <c r="G3" s="182"/>
      <c r="H3" s="183"/>
    </row>
    <row r="4" spans="1:385" ht="19" customHeight="1" thickBot="1">
      <c r="B4" s="177"/>
      <c r="C4" s="177"/>
      <c r="E4" s="184"/>
      <c r="F4" s="185"/>
      <c r="G4" s="185"/>
      <c r="H4" s="186"/>
    </row>
    <row r="5" spans="1:385" s="3" customFormat="1">
      <c r="A5" s="63"/>
      <c r="D5" s="63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</row>
    <row r="6" spans="1:385">
      <c r="B6" s="42" t="s">
        <v>179</v>
      </c>
      <c r="C6" s="43"/>
      <c r="E6" t="s">
        <v>67</v>
      </c>
      <c r="F6" t="s">
        <v>68</v>
      </c>
      <c r="G6" t="s">
        <v>150</v>
      </c>
      <c r="H6" t="s">
        <v>149</v>
      </c>
    </row>
    <row r="7" spans="1:385">
      <c r="B7" s="3"/>
      <c r="C7" s="3"/>
      <c r="E7">
        <v>1</v>
      </c>
      <c r="G7" t="s">
        <v>152</v>
      </c>
    </row>
    <row r="8" spans="1:385">
      <c r="B8" s="42" t="s">
        <v>207</v>
      </c>
      <c r="C8" s="43"/>
      <c r="E8">
        <v>2</v>
      </c>
      <c r="G8" t="s">
        <v>152</v>
      </c>
    </row>
    <row r="9" spans="1:385">
      <c r="B9" s="3"/>
      <c r="C9" s="3"/>
      <c r="E9">
        <v>3</v>
      </c>
      <c r="G9" t="s">
        <v>152</v>
      </c>
    </row>
    <row r="10" spans="1:385">
      <c r="B10" s="42" t="s">
        <v>381</v>
      </c>
      <c r="C10" s="43"/>
      <c r="E10">
        <v>4</v>
      </c>
      <c r="G10" t="s">
        <v>152</v>
      </c>
    </row>
    <row r="11" spans="1:385">
      <c r="B11" s="3"/>
      <c r="C11" s="3"/>
      <c r="E11">
        <v>5</v>
      </c>
      <c r="G11" t="s">
        <v>152</v>
      </c>
    </row>
    <row r="12" spans="1:385">
      <c r="B12" s="42" t="s">
        <v>180</v>
      </c>
      <c r="C12" s="43"/>
      <c r="E12">
        <v>6</v>
      </c>
      <c r="G12" t="s">
        <v>152</v>
      </c>
    </row>
    <row r="13" spans="1:385">
      <c r="B13" s="3"/>
      <c r="C13" s="3"/>
      <c r="E13">
        <v>7</v>
      </c>
      <c r="G13" t="s">
        <v>152</v>
      </c>
    </row>
    <row r="14" spans="1:385">
      <c r="B14" s="42" t="s">
        <v>206</v>
      </c>
      <c r="C14" s="43"/>
      <c r="E14">
        <v>8</v>
      </c>
      <c r="G14" t="s">
        <v>152</v>
      </c>
    </row>
    <row r="15" spans="1:385">
      <c r="B15" s="3"/>
      <c r="C15" s="3"/>
      <c r="E15" s="35">
        <v>9</v>
      </c>
      <c r="F15" s="35"/>
      <c r="G15" s="35" t="s">
        <v>168</v>
      </c>
      <c r="H15" s="35"/>
    </row>
    <row r="16" spans="1:385">
      <c r="B16" s="42" t="s">
        <v>181</v>
      </c>
      <c r="C16" s="43"/>
      <c r="E16">
        <v>10</v>
      </c>
      <c r="G16" t="s">
        <v>168</v>
      </c>
    </row>
    <row r="17" spans="1:385">
      <c r="B17" s="3"/>
      <c r="C17" s="64"/>
      <c r="E17">
        <v>11</v>
      </c>
      <c r="G17" t="s">
        <v>168</v>
      </c>
    </row>
    <row r="18" spans="1:385">
      <c r="B18" s="42" t="s">
        <v>182</v>
      </c>
      <c r="C18" s="44"/>
      <c r="E18">
        <v>12</v>
      </c>
      <c r="G18" t="s">
        <v>168</v>
      </c>
    </row>
    <row r="19" spans="1:385">
      <c r="B19" s="3"/>
      <c r="C19" s="3"/>
      <c r="E19">
        <v>13</v>
      </c>
      <c r="G19" t="s">
        <v>168</v>
      </c>
    </row>
    <row r="20" spans="1:385">
      <c r="B20" s="42" t="s">
        <v>183</v>
      </c>
      <c r="C20" s="43"/>
      <c r="E20">
        <v>14</v>
      </c>
      <c r="G20" t="s">
        <v>168</v>
      </c>
    </row>
    <row r="21" spans="1:385">
      <c r="B21" s="3"/>
      <c r="C21" s="64"/>
      <c r="E21" s="30">
        <v>15</v>
      </c>
      <c r="F21" s="30"/>
      <c r="G21" s="30" t="s">
        <v>168</v>
      </c>
      <c r="H21" s="30"/>
    </row>
    <row r="22" spans="1:385">
      <c r="B22" s="42" t="s">
        <v>205</v>
      </c>
      <c r="C22" s="43"/>
      <c r="E22">
        <v>16</v>
      </c>
      <c r="G22" t="s">
        <v>152</v>
      </c>
    </row>
    <row r="23" spans="1:385">
      <c r="B23" s="3"/>
      <c r="C23" s="3"/>
      <c r="E23">
        <v>17</v>
      </c>
      <c r="G23" t="s">
        <v>152</v>
      </c>
    </row>
    <row r="24" spans="1:385">
      <c r="B24" s="3"/>
      <c r="C24" s="3"/>
      <c r="E24">
        <v>18</v>
      </c>
      <c r="G24" t="s">
        <v>152</v>
      </c>
    </row>
    <row r="25" spans="1:385">
      <c r="B25" s="3"/>
      <c r="C25" s="3"/>
      <c r="E25">
        <v>19</v>
      </c>
      <c r="G25" t="s">
        <v>152</v>
      </c>
    </row>
    <row r="26" spans="1:385">
      <c r="B26" s="3"/>
      <c r="C26" s="3"/>
      <c r="E26">
        <v>20</v>
      </c>
      <c r="G26" t="s">
        <v>168</v>
      </c>
    </row>
    <row r="27" spans="1:385">
      <c r="B27" s="3"/>
      <c r="C27" s="3"/>
      <c r="E27">
        <v>21</v>
      </c>
      <c r="G27" t="s">
        <v>168</v>
      </c>
    </row>
    <row r="28" spans="1:385">
      <c r="B28" s="3"/>
      <c r="C28" s="3"/>
      <c r="E28">
        <v>22</v>
      </c>
      <c r="G28" t="s">
        <v>168</v>
      </c>
    </row>
    <row r="29" spans="1:385" s="3" customFormat="1" hidden="1">
      <c r="A29" s="63"/>
      <c r="D29" s="63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</row>
    <row r="30" spans="1:385" s="3" customFormat="1">
      <c r="A30" s="63"/>
      <c r="D30" s="63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</row>
    <row r="31" spans="1:385" s="3" customFormat="1">
      <c r="A31" s="63"/>
      <c r="D31" s="63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</row>
    <row r="32" spans="1:385" s="3" customFormat="1">
      <c r="A32" s="63"/>
      <c r="D32" s="63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</row>
    <row r="33" spans="1:385" s="3" customFormat="1">
      <c r="A33" s="63"/>
      <c r="D33" s="6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</row>
    <row r="34" spans="1:385" s="3" customFormat="1">
      <c r="A34" s="63"/>
      <c r="D34" s="63"/>
      <c r="F34" s="97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</row>
    <row r="35" spans="1:385" s="3" customFormat="1">
      <c r="A35" s="63"/>
      <c r="D35" s="63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</row>
    <row r="36" spans="1:385" s="3" customFormat="1">
      <c r="A36" s="63"/>
      <c r="D36" s="63"/>
      <c r="F36" s="3" t="s">
        <v>66</v>
      </c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</row>
    <row r="37" spans="1:385" s="3" customFormat="1">
      <c r="A37" s="63"/>
      <c r="D37" s="63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</row>
    <row r="38" spans="1:385" s="3" customFormat="1">
      <c r="A38" s="63"/>
      <c r="D38" s="63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</row>
    <row r="39" spans="1:385" s="3" customFormat="1">
      <c r="A39" s="63"/>
      <c r="D39" s="63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</row>
    <row r="40" spans="1:385" s="3" customFormat="1">
      <c r="A40" s="63"/>
      <c r="D40" s="63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</row>
    <row r="41" spans="1:385" s="3" customFormat="1">
      <c r="A41" s="63"/>
      <c r="D41" s="63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</row>
    <row r="42" spans="1:385" s="3" customFormat="1">
      <c r="A42" s="63"/>
      <c r="D42" s="63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</row>
    <row r="43" spans="1:385" s="3" customFormat="1">
      <c r="A43" s="63"/>
      <c r="D43" s="6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</row>
    <row r="44" spans="1:385" s="3" customFormat="1">
      <c r="A44" s="63"/>
      <c r="D44" s="63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</row>
    <row r="45" spans="1:385" s="3" customFormat="1">
      <c r="A45" s="63"/>
      <c r="D45" s="63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</row>
    <row r="46" spans="1:385" s="3" customFormat="1">
      <c r="A46" s="63"/>
      <c r="D46" s="63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</row>
    <row r="47" spans="1:385" s="3" customFormat="1">
      <c r="A47" s="63"/>
      <c r="D47" s="63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</row>
    <row r="48" spans="1:385" s="3" customFormat="1">
      <c r="A48" s="63"/>
      <c r="D48" s="63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</row>
    <row r="49" spans="1:385" s="3" customFormat="1">
      <c r="A49" s="63"/>
      <c r="D49" s="63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</row>
    <row r="50" spans="1:385" s="3" customFormat="1">
      <c r="A50" s="63"/>
      <c r="D50" s="63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</row>
    <row r="51" spans="1:385" s="3" customFormat="1">
      <c r="A51" s="63"/>
      <c r="D51" s="63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</row>
    <row r="52" spans="1:385" s="3" customFormat="1">
      <c r="A52" s="63"/>
      <c r="D52" s="63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</row>
    <row r="53" spans="1:385" s="3" customFormat="1">
      <c r="A53" s="63"/>
      <c r="D53" s="6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</row>
    <row r="54" spans="1:385" s="3" customFormat="1">
      <c r="A54" s="63"/>
      <c r="D54" s="63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</row>
    <row r="55" spans="1:385" s="3" customFormat="1">
      <c r="A55" s="63"/>
      <c r="D55" s="63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</row>
    <row r="56" spans="1:385" s="3" customFormat="1">
      <c r="A56" s="63"/>
      <c r="D56" s="63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</row>
    <row r="57" spans="1:385" s="3" customFormat="1">
      <c r="A57" s="63"/>
      <c r="D57" s="63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</row>
    <row r="58" spans="1:385" s="3" customFormat="1">
      <c r="A58" s="63"/>
      <c r="D58" s="63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</row>
    <row r="59" spans="1:385" s="3" customFormat="1" hidden="1">
      <c r="A59" s="63"/>
      <c r="B59" s="3" t="s">
        <v>184</v>
      </c>
      <c r="D59" s="63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</row>
    <row r="60" spans="1:385" s="3" customFormat="1">
      <c r="A60" s="63"/>
      <c r="D60" s="63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</row>
    <row r="61" spans="1:385" s="3" customFormat="1">
      <c r="A61" s="63"/>
      <c r="D61" s="63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</row>
    <row r="62" spans="1:385" s="3" customFormat="1">
      <c r="A62" s="63"/>
      <c r="D62" s="63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</row>
    <row r="63" spans="1:385" s="3" customFormat="1">
      <c r="A63" s="63"/>
      <c r="D63" s="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</row>
    <row r="64" spans="1:385" s="3" customFormat="1">
      <c r="A64" s="63"/>
      <c r="D64" s="63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</row>
    <row r="65" spans="1:385" s="3" customFormat="1">
      <c r="A65" s="63"/>
      <c r="D65" s="63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</row>
    <row r="66" spans="1:385" s="3" customFormat="1">
      <c r="A66" s="63"/>
      <c r="D66" s="63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</row>
    <row r="67" spans="1:385" s="3" customFormat="1">
      <c r="A67" s="63"/>
      <c r="D67" s="63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</row>
    <row r="68" spans="1:385" s="3" customFormat="1">
      <c r="A68" s="63"/>
      <c r="D68" s="63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</row>
    <row r="69" spans="1:385" s="3" customFormat="1">
      <c r="A69" s="63"/>
      <c r="D69" s="63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</row>
    <row r="70" spans="1:385" s="3" customFormat="1">
      <c r="A70" s="63"/>
      <c r="D70" s="63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</row>
    <row r="71" spans="1:385" s="3" customFormat="1">
      <c r="A71" s="63"/>
      <c r="D71" s="63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</row>
    <row r="72" spans="1:385" s="3" customFormat="1">
      <c r="A72" s="63"/>
      <c r="D72" s="63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</row>
    <row r="73" spans="1:385" s="3" customFormat="1">
      <c r="A73" s="63"/>
      <c r="D73" s="6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</row>
    <row r="74" spans="1:385" s="3" customFormat="1">
      <c r="A74" s="63"/>
      <c r="D74" s="63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</row>
    <row r="75" spans="1:385" s="3" customFormat="1">
      <c r="A75" s="63"/>
      <c r="D75" s="63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</row>
    <row r="76" spans="1:385" s="3" customFormat="1">
      <c r="A76" s="63"/>
      <c r="D76" s="63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</row>
    <row r="77" spans="1:385" s="3" customFormat="1">
      <c r="A77" s="63"/>
      <c r="D77" s="63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</row>
    <row r="78" spans="1:385" s="3" customFormat="1">
      <c r="A78" s="63"/>
      <c r="D78" s="63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</row>
    <row r="79" spans="1:385" s="3" customFormat="1">
      <c r="A79" s="63"/>
      <c r="D79" s="63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</row>
    <row r="80" spans="1:385" s="3" customFormat="1">
      <c r="A80" s="63"/>
      <c r="D80" s="63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</row>
    <row r="81" spans="1:385" s="3" customFormat="1">
      <c r="A81" s="63"/>
      <c r="D81" s="63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</row>
    <row r="82" spans="1:385" s="3" customFormat="1">
      <c r="A82" s="63"/>
      <c r="D82" s="63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</row>
    <row r="83" spans="1:385" s="3" customFormat="1">
      <c r="A83" s="63"/>
      <c r="D83" s="6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</row>
    <row r="84" spans="1:385" s="3" customFormat="1">
      <c r="A84" s="63"/>
      <c r="D84" s="63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</row>
    <row r="85" spans="1:385" s="3" customFormat="1">
      <c r="A85" s="63"/>
      <c r="D85" s="63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</row>
    <row r="86" spans="1:385" s="3" customFormat="1">
      <c r="A86" s="63"/>
      <c r="D86" s="63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</row>
    <row r="87" spans="1:385" s="3" customFormat="1">
      <c r="A87" s="63"/>
      <c r="D87" s="63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</row>
    <row r="88" spans="1:385" s="3" customFormat="1">
      <c r="A88" s="63"/>
      <c r="D88" s="63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</row>
    <row r="89" spans="1:385" s="3" customFormat="1">
      <c r="A89" s="63"/>
      <c r="D89" s="63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</row>
    <row r="90" spans="1:385" s="3" customFormat="1">
      <c r="A90" s="63"/>
      <c r="D90" s="63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</row>
    <row r="91" spans="1:385" s="3" customFormat="1">
      <c r="A91" s="63"/>
      <c r="D91" s="63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</row>
    <row r="92" spans="1:385" s="3" customFormat="1">
      <c r="A92" s="63"/>
      <c r="D92" s="63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</row>
    <row r="93" spans="1:385" s="3" customFormat="1">
      <c r="A93" s="63"/>
      <c r="D93" s="6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</row>
    <row r="94" spans="1:385" s="3" customFormat="1">
      <c r="A94" s="63"/>
      <c r="D94" s="63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</row>
    <row r="95" spans="1:385" s="3" customFormat="1">
      <c r="A95" s="63"/>
      <c r="D95" s="63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</row>
    <row r="96" spans="1:385" s="3" customFormat="1">
      <c r="A96" s="63"/>
      <c r="D96" s="63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</row>
    <row r="97" spans="1:385" s="3" customFormat="1">
      <c r="A97" s="63"/>
      <c r="D97" s="63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</row>
    <row r="98" spans="1:385" s="3" customFormat="1">
      <c r="A98" s="63"/>
      <c r="D98" s="63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</row>
    <row r="99" spans="1:385" s="3" customFormat="1">
      <c r="A99" s="63"/>
      <c r="D99" s="63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</row>
    <row r="100" spans="1:385" s="3" customFormat="1">
      <c r="A100" s="63"/>
      <c r="D100" s="63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</row>
    <row r="101" spans="1:385" s="3" customFormat="1">
      <c r="A101" s="63"/>
      <c r="D101" s="63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</row>
    <row r="102" spans="1:385" s="3" customFormat="1">
      <c r="A102" s="63"/>
      <c r="D102" s="63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</row>
    <row r="103" spans="1:385" s="3" customFormat="1">
      <c r="A103" s="63"/>
      <c r="D103" s="6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</row>
    <row r="104" spans="1:385" s="3" customFormat="1">
      <c r="A104" s="63"/>
      <c r="D104" s="63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</row>
    <row r="105" spans="1:385" s="3" customFormat="1">
      <c r="A105" s="63"/>
      <c r="D105" s="63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</row>
    <row r="106" spans="1:385" s="3" customFormat="1">
      <c r="A106" s="63"/>
      <c r="D106" s="63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</row>
    <row r="107" spans="1:385" s="3" customFormat="1">
      <c r="A107" s="63"/>
      <c r="D107" s="63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</row>
    <row r="108" spans="1:385" s="3" customFormat="1">
      <c r="A108" s="63"/>
      <c r="D108" s="63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</row>
    <row r="109" spans="1:385" s="3" customFormat="1">
      <c r="A109" s="63"/>
      <c r="D109" s="63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</row>
    <row r="110" spans="1:385" s="3" customFormat="1">
      <c r="A110" s="63"/>
      <c r="D110" s="63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</row>
    <row r="111" spans="1:385" s="3" customFormat="1">
      <c r="A111" s="63"/>
      <c r="D111" s="63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</row>
    <row r="112" spans="1:385" s="3" customFormat="1">
      <c r="A112" s="63"/>
      <c r="D112" s="63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</row>
    <row r="113" spans="1:385" s="3" customFormat="1">
      <c r="A113" s="63"/>
      <c r="D113" s="6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</row>
    <row r="114" spans="1:385" s="3" customFormat="1">
      <c r="A114" s="63"/>
      <c r="D114" s="63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</row>
    <row r="115" spans="1:385" s="3" customFormat="1">
      <c r="A115" s="63"/>
      <c r="D115" s="63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</row>
    <row r="116" spans="1:385" s="3" customFormat="1">
      <c r="A116" s="63"/>
      <c r="D116" s="63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</row>
    <row r="117" spans="1:385" s="3" customFormat="1">
      <c r="A117" s="63"/>
      <c r="D117" s="63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</row>
    <row r="118" spans="1:385" s="3" customFormat="1">
      <c r="A118" s="63"/>
      <c r="D118" s="63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</row>
    <row r="119" spans="1:385" s="3" customFormat="1">
      <c r="A119" s="63"/>
      <c r="D119" s="63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</row>
    <row r="120" spans="1:385" s="3" customFormat="1">
      <c r="A120" s="63"/>
      <c r="D120" s="63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</row>
    <row r="121" spans="1:385" s="3" customFormat="1">
      <c r="A121" s="63"/>
      <c r="D121" s="63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</row>
    <row r="122" spans="1:385" s="3" customFormat="1">
      <c r="A122" s="63"/>
      <c r="D122" s="63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</row>
    <row r="123" spans="1:385" s="3" customFormat="1">
      <c r="A123" s="63"/>
      <c r="D123" s="6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</row>
    <row r="124" spans="1:385" s="3" customFormat="1">
      <c r="A124" s="63"/>
      <c r="D124" s="63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</row>
    <row r="125" spans="1:385" s="3" customFormat="1">
      <c r="A125" s="63"/>
      <c r="D125" s="63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</row>
    <row r="126" spans="1:385" s="3" customFormat="1">
      <c r="A126" s="63"/>
      <c r="D126" s="63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</row>
    <row r="127" spans="1:385" s="3" customFormat="1">
      <c r="A127" s="63"/>
      <c r="D127" s="63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</row>
    <row r="128" spans="1:385" s="3" customFormat="1">
      <c r="A128" s="63"/>
      <c r="D128" s="63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</row>
    <row r="129" spans="1:385" s="3" customFormat="1">
      <c r="A129" s="63"/>
      <c r="D129" s="63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</row>
    <row r="130" spans="1:385" s="3" customFormat="1">
      <c r="A130" s="63"/>
      <c r="D130" s="63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</row>
    <row r="131" spans="1:385" s="3" customFormat="1">
      <c r="A131" s="63"/>
      <c r="D131" s="63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</row>
    <row r="132" spans="1:385" s="3" customFormat="1">
      <c r="A132" s="63"/>
      <c r="D132" s="63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</row>
    <row r="133" spans="1:385" s="3" customFormat="1">
      <c r="A133" s="63"/>
      <c r="D133" s="6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</row>
    <row r="134" spans="1:385" s="3" customFormat="1">
      <c r="A134" s="63"/>
      <c r="D134" s="63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</row>
    <row r="135" spans="1:385" s="3" customFormat="1">
      <c r="A135" s="63"/>
      <c r="D135" s="63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</row>
    <row r="136" spans="1:385" s="3" customFormat="1">
      <c r="A136" s="63"/>
      <c r="D136" s="63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</row>
    <row r="137" spans="1:385" s="3" customFormat="1">
      <c r="A137" s="63"/>
      <c r="D137" s="63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zoomScale="90" zoomScaleNormal="90" workbookViewId="0">
      <selection activeCell="BF28" sqref="BF28"/>
    </sheetView>
    <sheetView workbookViewId="1"/>
  </sheetViews>
  <sheetFormatPr baseColWidth="10" defaultColWidth="10.83203125" defaultRowHeight="13" customHeight="1"/>
  <cols>
    <col min="1" max="1" width="1.83203125" customWidth="1"/>
    <col min="2" max="16" width="1.5" customWidth="1"/>
    <col min="17" max="51" width="1.5" style="3" customWidth="1"/>
    <col min="52" max="52" width="1.83203125" style="3" customWidth="1"/>
    <col min="53" max="53" width="2.6640625" style="3" customWidth="1"/>
    <col min="54" max="54" width="12.5" style="3" customWidth="1"/>
    <col min="55" max="55" width="1.83203125" style="3" customWidth="1"/>
    <col min="56" max="56" width="10.83203125" style="3" customWidth="1"/>
    <col min="57" max="57" width="1.83203125" style="3" customWidth="1"/>
    <col min="58" max="58" width="10.83203125" style="3" customWidth="1"/>
    <col min="59" max="59" width="1.83203125" style="3" customWidth="1"/>
    <col min="60" max="60" width="10.83203125" style="3" customWidth="1"/>
    <col min="61" max="61" width="1.83203125" style="3" customWidth="1"/>
    <col min="62" max="62" width="10.83203125" style="3" customWidth="1"/>
    <col min="63" max="63" width="1.83203125" style="3" customWidth="1"/>
    <col min="64" max="64" width="10.83203125" style="3" customWidth="1"/>
    <col min="65" max="65" width="1.83203125" style="3" customWidth="1"/>
    <col min="66" max="66" width="10.83203125" style="3" customWidth="1"/>
    <col min="67" max="67" width="1.83203125" style="3" customWidth="1"/>
    <col min="68" max="68" width="12.83203125" style="3" customWidth="1"/>
    <col min="69" max="69" width="1.83203125" style="3" customWidth="1"/>
    <col min="70" max="70" width="10.83203125" style="3" customWidth="1"/>
    <col min="71" max="71" width="1.83203125" style="3" customWidth="1"/>
    <col min="72" max="695" width="10.83203125" style="3"/>
  </cols>
  <sheetData>
    <row r="1" spans="1:88" ht="39" customHeight="1">
      <c r="A1" s="135"/>
      <c r="B1" s="234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 xml:space="preserve">Match PF  :  / </v>
      </c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235"/>
      <c r="R1" s="235"/>
      <c r="S1" s="235"/>
      <c r="T1" s="235"/>
      <c r="U1" s="235"/>
      <c r="V1" s="235"/>
      <c r="W1" s="235"/>
      <c r="X1" s="235"/>
      <c r="Y1" s="235"/>
      <c r="Z1" s="235"/>
      <c r="AA1" s="235"/>
      <c r="AB1" s="235"/>
      <c r="AC1" s="235"/>
      <c r="AD1" s="235"/>
      <c r="AE1" s="235"/>
      <c r="AF1" s="235"/>
      <c r="AG1" s="235"/>
      <c r="AH1" s="235"/>
      <c r="AI1" s="235"/>
      <c r="AJ1" s="235"/>
      <c r="AK1" s="235"/>
      <c r="AL1" s="235"/>
      <c r="AM1" s="235"/>
      <c r="AN1" s="235"/>
      <c r="AO1" s="235"/>
      <c r="AP1" s="235"/>
      <c r="AQ1" s="235"/>
      <c r="AR1" s="235"/>
      <c r="AS1" s="235"/>
      <c r="AT1" s="235"/>
      <c r="AU1" s="235"/>
      <c r="AV1" s="235"/>
      <c r="AW1" s="235"/>
      <c r="AX1" s="235"/>
      <c r="AY1" s="235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135"/>
      <c r="BU1" s="135"/>
      <c r="BV1" s="135"/>
      <c r="BW1" s="135"/>
      <c r="BX1" s="135"/>
      <c r="BY1" s="135"/>
      <c r="BZ1" s="135"/>
      <c r="CA1" s="135"/>
      <c r="CB1" s="135"/>
      <c r="CC1" s="135"/>
      <c r="CD1" s="135"/>
      <c r="CE1" s="135"/>
      <c r="CF1" s="135"/>
      <c r="CG1" s="135"/>
      <c r="CH1" s="135"/>
      <c r="CI1" s="135"/>
      <c r="CJ1" s="135"/>
    </row>
    <row r="2" spans="1:88" ht="10" customHeight="1" thickBot="1">
      <c r="A2" s="135"/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  <c r="S2" s="135"/>
      <c r="T2" s="135"/>
      <c r="U2" s="135"/>
      <c r="V2" s="135"/>
      <c r="W2" s="135"/>
      <c r="X2" s="135"/>
      <c r="Y2" s="135"/>
      <c r="Z2" s="135"/>
      <c r="AA2" s="135"/>
      <c r="AB2" s="135"/>
      <c r="AC2" s="135"/>
      <c r="AD2" s="135"/>
      <c r="AE2" s="135"/>
      <c r="AF2" s="135"/>
      <c r="AG2" s="135"/>
      <c r="AH2" s="135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5"/>
      <c r="AV2" s="135"/>
      <c r="AW2" s="135"/>
      <c r="AX2" s="135"/>
      <c r="AY2" s="135"/>
      <c r="AZ2" s="135"/>
      <c r="BA2" s="135"/>
      <c r="BB2" s="135"/>
      <c r="BC2" s="135"/>
      <c r="BD2" s="135"/>
      <c r="BE2" s="135"/>
      <c r="BF2" s="135"/>
      <c r="BG2" s="135"/>
      <c r="BH2" s="135"/>
      <c r="BI2" s="135"/>
      <c r="BJ2" s="135"/>
      <c r="BK2" s="135"/>
      <c r="BL2" s="135"/>
      <c r="BM2" s="135"/>
      <c r="BN2" s="135"/>
      <c r="BO2" s="135"/>
      <c r="BP2" s="135"/>
      <c r="BQ2" s="135"/>
      <c r="BR2" s="135"/>
      <c r="BS2" s="135"/>
      <c r="BT2" s="135"/>
      <c r="BU2" s="135"/>
      <c r="BV2" s="135"/>
      <c r="BW2" s="135"/>
      <c r="BX2" s="135"/>
      <c r="BY2" s="135"/>
      <c r="BZ2" s="135"/>
      <c r="CA2" s="135"/>
      <c r="CB2" s="135"/>
      <c r="CC2" s="135"/>
      <c r="CD2" s="135"/>
      <c r="CE2" s="135"/>
      <c r="CF2" s="135"/>
      <c r="CG2" s="135"/>
      <c r="CH2" s="135"/>
      <c r="CI2" s="135"/>
      <c r="CJ2" s="135"/>
    </row>
    <row r="3" spans="1:88" ht="10" customHeight="1">
      <c r="A3" s="135"/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  <c r="AE3" s="138"/>
      <c r="AF3" s="138"/>
      <c r="AG3" s="138"/>
      <c r="AH3" s="138"/>
      <c r="AI3" s="138"/>
      <c r="AJ3" s="138"/>
      <c r="AK3" s="138"/>
      <c r="AL3" s="138"/>
      <c r="AM3" s="138"/>
      <c r="AN3" s="138"/>
      <c r="AO3" s="138"/>
      <c r="AP3" s="138"/>
      <c r="AQ3" s="138"/>
      <c r="AR3" s="138"/>
      <c r="AS3" s="138"/>
      <c r="AT3" s="138"/>
      <c r="AU3" s="138"/>
      <c r="AV3" s="138"/>
      <c r="AW3" s="138"/>
      <c r="AX3" s="138"/>
      <c r="AY3" s="139"/>
      <c r="AZ3" s="135"/>
      <c r="BA3" s="137"/>
      <c r="BB3" s="138"/>
      <c r="BC3" s="138"/>
      <c r="BD3" s="138"/>
      <c r="BE3" s="138"/>
      <c r="BF3" s="138"/>
      <c r="BG3" s="138"/>
      <c r="BH3" s="138"/>
      <c r="BI3" s="138"/>
      <c r="BJ3" s="138"/>
      <c r="BK3" s="138"/>
      <c r="BL3" s="138"/>
      <c r="BM3" s="139"/>
      <c r="BN3" s="135"/>
      <c r="BO3" s="135"/>
      <c r="BP3" s="135"/>
      <c r="BQ3" s="135"/>
      <c r="BR3" s="135"/>
      <c r="BS3" s="135"/>
      <c r="BT3" s="135"/>
      <c r="BU3" s="135"/>
      <c r="BV3" s="135"/>
      <c r="BW3" s="135"/>
      <c r="BX3" s="135"/>
      <c r="BY3" s="135"/>
      <c r="BZ3" s="135"/>
      <c r="CA3" s="135"/>
      <c r="CB3" s="135"/>
      <c r="CC3" s="135"/>
      <c r="CD3" s="135"/>
      <c r="CE3" s="135"/>
      <c r="CF3" s="135"/>
      <c r="CG3" s="135"/>
      <c r="CH3" s="135"/>
      <c r="CI3" s="135"/>
      <c r="CJ3" s="135"/>
    </row>
    <row r="4" spans="1:88" ht="42" customHeight="1">
      <c r="A4" s="135"/>
      <c r="B4" s="136"/>
      <c r="C4" s="199" t="s">
        <v>123</v>
      </c>
      <c r="D4" s="200"/>
      <c r="E4" s="200"/>
      <c r="F4" s="200"/>
      <c r="G4" s="200"/>
      <c r="H4" s="200"/>
      <c r="I4" s="200"/>
      <c r="J4" s="200"/>
      <c r="K4" s="135"/>
      <c r="L4" s="211" t="s">
        <v>39</v>
      </c>
      <c r="M4" s="212"/>
      <c r="N4" s="212"/>
      <c r="O4" s="212"/>
      <c r="P4" s="212"/>
      <c r="Q4" s="212"/>
      <c r="R4" s="213"/>
      <c r="S4" s="135"/>
      <c r="T4" s="208" t="s">
        <v>55</v>
      </c>
      <c r="U4" s="209"/>
      <c r="V4" s="209"/>
      <c r="W4" s="209"/>
      <c r="X4" s="209"/>
      <c r="Y4" s="209"/>
      <c r="Z4" s="210"/>
      <c r="AA4" s="135"/>
      <c r="AB4" s="199" t="s">
        <v>440</v>
      </c>
      <c r="AC4" s="200"/>
      <c r="AD4" s="200"/>
      <c r="AE4" s="200"/>
      <c r="AF4" s="200"/>
      <c r="AG4" s="200"/>
      <c r="AH4" s="200"/>
      <c r="AI4" s="135"/>
      <c r="AJ4" s="208" t="s">
        <v>43</v>
      </c>
      <c r="AK4" s="209"/>
      <c r="AL4" s="209"/>
      <c r="AM4" s="209"/>
      <c r="AN4" s="209"/>
      <c r="AO4" s="209"/>
      <c r="AP4" s="210"/>
      <c r="AQ4" s="135"/>
      <c r="AR4" s="214" t="s">
        <v>44</v>
      </c>
      <c r="AS4" s="215"/>
      <c r="AT4" s="215"/>
      <c r="AU4" s="215"/>
      <c r="AV4" s="215"/>
      <c r="AW4" s="215"/>
      <c r="AX4" s="216"/>
      <c r="AY4" s="140"/>
      <c r="AZ4" s="135"/>
      <c r="BA4" s="136"/>
      <c r="BB4" s="169" t="s">
        <v>38</v>
      </c>
      <c r="BC4" s="135"/>
      <c r="BD4" s="164" t="s">
        <v>29</v>
      </c>
      <c r="BE4" s="135"/>
      <c r="BF4" s="164" t="s">
        <v>51</v>
      </c>
      <c r="BG4" s="135"/>
      <c r="BH4" s="164" t="s">
        <v>140</v>
      </c>
      <c r="BI4" s="135"/>
      <c r="BJ4" s="164" t="s">
        <v>30</v>
      </c>
      <c r="BK4" s="135"/>
      <c r="BL4" s="164" t="s">
        <v>31</v>
      </c>
      <c r="BM4" s="140"/>
      <c r="BN4" s="135"/>
      <c r="BO4" s="196" t="s">
        <v>488</v>
      </c>
      <c r="BP4" s="197"/>
      <c r="BQ4" s="197"/>
      <c r="BR4" s="198"/>
      <c r="BS4" s="135"/>
      <c r="BT4" s="135"/>
      <c r="BU4" s="135"/>
      <c r="BV4" s="135"/>
      <c r="BW4" s="135"/>
      <c r="BX4" s="135"/>
      <c r="BY4" s="135"/>
      <c r="BZ4" s="135"/>
      <c r="CA4" s="135"/>
      <c r="CB4" s="135"/>
      <c r="CC4" s="135"/>
      <c r="CD4" s="135"/>
      <c r="CE4" s="135"/>
      <c r="CF4" s="135"/>
      <c r="CG4" s="135"/>
      <c r="CH4" s="135"/>
      <c r="CI4" s="135"/>
      <c r="CJ4" s="135"/>
    </row>
    <row r="5" spans="1:88" ht="10" customHeight="1" thickBot="1">
      <c r="A5" s="135"/>
      <c r="B5" s="141"/>
      <c r="C5" s="142"/>
      <c r="D5" s="142"/>
      <c r="E5" s="142"/>
      <c r="F5" s="142"/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142"/>
      <c r="U5" s="142"/>
      <c r="V5" s="142"/>
      <c r="W5" s="142"/>
      <c r="X5" s="142"/>
      <c r="Y5" s="142"/>
      <c r="Z5" s="142"/>
      <c r="AA5" s="142"/>
      <c r="AB5" s="142"/>
      <c r="AC5" s="142"/>
      <c r="AD5" s="142"/>
      <c r="AE5" s="142"/>
      <c r="AF5" s="142"/>
      <c r="AG5" s="142"/>
      <c r="AH5" s="142"/>
      <c r="AI5" s="142"/>
      <c r="AJ5" s="142"/>
      <c r="AK5" s="142"/>
      <c r="AL5" s="142"/>
      <c r="AM5" s="142"/>
      <c r="AN5" s="142"/>
      <c r="AO5" s="142"/>
      <c r="AP5" s="142"/>
      <c r="AQ5" s="142"/>
      <c r="AR5" s="142"/>
      <c r="AS5" s="142"/>
      <c r="AT5" s="142"/>
      <c r="AU5" s="142"/>
      <c r="AV5" s="142"/>
      <c r="AW5" s="142"/>
      <c r="AX5" s="142"/>
      <c r="AY5" s="143"/>
      <c r="AZ5" s="135"/>
      <c r="BA5" s="141"/>
      <c r="BB5" s="142"/>
      <c r="BC5" s="142"/>
      <c r="BD5" s="142"/>
      <c r="BE5" s="142"/>
      <c r="BF5" s="142"/>
      <c r="BG5" s="142"/>
      <c r="BH5" s="142"/>
      <c r="BI5" s="142"/>
      <c r="BJ5" s="142"/>
      <c r="BK5" s="142"/>
      <c r="BL5" s="142"/>
      <c r="BM5" s="143"/>
      <c r="BN5" s="135"/>
      <c r="BO5" s="135"/>
      <c r="BP5" s="135"/>
      <c r="BQ5" s="135"/>
      <c r="BR5" s="135"/>
      <c r="BS5" s="135"/>
      <c r="BT5" s="135"/>
      <c r="BU5" s="135"/>
      <c r="BV5" s="135"/>
      <c r="BW5" s="135"/>
      <c r="BX5" s="135"/>
      <c r="BY5" s="135"/>
      <c r="BZ5" s="135"/>
      <c r="CA5" s="135"/>
      <c r="CB5" s="135"/>
      <c r="CC5" s="135"/>
      <c r="CD5" s="135"/>
      <c r="CE5" s="135"/>
      <c r="CF5" s="135"/>
      <c r="CG5" s="135"/>
      <c r="CH5" s="135"/>
      <c r="CI5" s="135"/>
      <c r="CJ5" s="135"/>
    </row>
    <row r="6" spans="1:88" ht="10" customHeight="1" thickBot="1">
      <c r="A6" s="135"/>
      <c r="B6" s="135"/>
      <c r="C6" s="135"/>
      <c r="D6" s="135"/>
      <c r="E6" s="135"/>
      <c r="F6" s="135"/>
      <c r="G6" s="135"/>
      <c r="H6" s="135"/>
      <c r="I6" s="135"/>
      <c r="J6" s="135"/>
      <c r="K6" s="135"/>
      <c r="L6" s="135"/>
      <c r="M6" s="135"/>
      <c r="N6" s="135"/>
      <c r="O6" s="135"/>
      <c r="P6" s="135"/>
      <c r="Q6" s="135"/>
      <c r="R6" s="135"/>
      <c r="S6" s="135"/>
      <c r="T6" s="135"/>
      <c r="U6" s="135"/>
      <c r="V6" s="135"/>
      <c r="W6" s="135"/>
      <c r="X6" s="135"/>
      <c r="Y6" s="135"/>
      <c r="Z6" s="135"/>
      <c r="AA6" s="135"/>
      <c r="AB6" s="135"/>
      <c r="AC6" s="135"/>
      <c r="AD6" s="135"/>
      <c r="AE6" s="135"/>
      <c r="AF6" s="135"/>
      <c r="AG6" s="135"/>
      <c r="AH6" s="135"/>
      <c r="AI6" s="135"/>
      <c r="AJ6" s="135"/>
      <c r="AK6" s="135"/>
      <c r="AL6" s="135"/>
      <c r="AM6" s="135"/>
      <c r="AN6" s="135"/>
      <c r="AO6" s="135"/>
      <c r="AP6" s="135"/>
      <c r="AQ6" s="135"/>
      <c r="AR6" s="135"/>
      <c r="AS6" s="135"/>
      <c r="AT6" s="135"/>
      <c r="AU6" s="135"/>
      <c r="AV6" s="135"/>
      <c r="AW6" s="135"/>
      <c r="AX6" s="135"/>
      <c r="AY6" s="135"/>
      <c r="AZ6" s="135"/>
      <c r="BA6" s="135"/>
      <c r="BB6" s="135"/>
      <c r="BC6" s="135"/>
      <c r="BD6" s="135"/>
      <c r="BE6" s="135"/>
      <c r="BF6" s="135"/>
      <c r="BG6" s="135"/>
      <c r="BH6" s="135"/>
      <c r="BI6" s="135"/>
      <c r="BJ6" s="135"/>
      <c r="BK6" s="135"/>
      <c r="BL6" s="135"/>
      <c r="BM6" s="135"/>
      <c r="BN6" s="135"/>
      <c r="BO6" s="135"/>
      <c r="BP6" s="135"/>
      <c r="BQ6" s="135"/>
      <c r="BR6" s="135"/>
      <c r="BS6" s="135"/>
      <c r="BT6" s="135"/>
      <c r="BU6" s="135"/>
      <c r="BV6" s="135"/>
      <c r="BW6" s="135"/>
      <c r="BX6" s="135"/>
      <c r="BY6" s="135"/>
      <c r="BZ6" s="135"/>
      <c r="CA6" s="135"/>
      <c r="CB6" s="135"/>
      <c r="CC6" s="135"/>
      <c r="CD6" s="135"/>
      <c r="CE6" s="135"/>
      <c r="CF6" s="135"/>
      <c r="CG6" s="135"/>
      <c r="CH6" s="135"/>
      <c r="CI6" s="135"/>
      <c r="CJ6" s="135"/>
    </row>
    <row r="7" spans="1:88" ht="10" customHeight="1">
      <c r="A7" s="135"/>
      <c r="B7" s="137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AQ7" s="138"/>
      <c r="AR7" s="138"/>
      <c r="AS7" s="138"/>
      <c r="AT7" s="138"/>
      <c r="AU7" s="138"/>
      <c r="AV7" s="138"/>
      <c r="AW7" s="138"/>
      <c r="AX7" s="138"/>
      <c r="AY7" s="139"/>
      <c r="AZ7" s="135"/>
      <c r="BA7" s="137"/>
      <c r="BB7" s="138"/>
      <c r="BC7" s="138"/>
      <c r="BD7" s="138"/>
      <c r="BE7" s="138"/>
      <c r="BF7" s="138"/>
      <c r="BG7" s="138"/>
      <c r="BH7" s="138"/>
      <c r="BI7" s="138"/>
      <c r="BJ7" s="138"/>
      <c r="BK7" s="138"/>
      <c r="BL7" s="138"/>
      <c r="BM7" s="139"/>
      <c r="BN7" s="135"/>
      <c r="BO7" s="187" t="s">
        <v>387</v>
      </c>
      <c r="BP7" s="188"/>
      <c r="BQ7" s="188"/>
      <c r="BR7" s="189"/>
      <c r="BS7" s="135"/>
      <c r="BT7" s="135"/>
      <c r="BU7" s="135"/>
      <c r="BV7" s="135"/>
      <c r="BW7" s="135"/>
      <c r="BX7" s="135"/>
      <c r="BY7" s="135"/>
      <c r="BZ7" s="135"/>
      <c r="CA7" s="135"/>
      <c r="CB7" s="135"/>
      <c r="CC7" s="135"/>
      <c r="CD7" s="135"/>
      <c r="CE7" s="135"/>
      <c r="CF7" s="135"/>
      <c r="CG7" s="135"/>
      <c r="CH7" s="135"/>
      <c r="CI7" s="135"/>
      <c r="CJ7" s="135"/>
    </row>
    <row r="8" spans="1:88" ht="26" customHeight="1">
      <c r="A8" s="135"/>
      <c r="B8" s="136"/>
      <c r="C8" s="217" t="s">
        <v>240</v>
      </c>
      <c r="D8" s="200"/>
      <c r="E8" s="200"/>
      <c r="F8" s="200"/>
      <c r="G8" s="200"/>
      <c r="H8" s="200"/>
      <c r="I8" s="200"/>
      <c r="J8" s="135"/>
      <c r="K8" s="218"/>
      <c r="L8" s="219"/>
      <c r="M8" s="219"/>
      <c r="N8" s="219"/>
      <c r="O8" s="219"/>
      <c r="P8" s="219"/>
      <c r="Q8" s="220"/>
      <c r="R8" s="135"/>
      <c r="S8" s="302"/>
      <c r="T8" s="303"/>
      <c r="U8" s="303"/>
      <c r="V8" s="303"/>
      <c r="W8" s="303"/>
      <c r="X8" s="303"/>
      <c r="Y8" s="304"/>
      <c r="Z8" s="135"/>
      <c r="AA8" s="221"/>
      <c r="AB8" s="222"/>
      <c r="AC8" s="222"/>
      <c r="AD8" s="222"/>
      <c r="AE8" s="222"/>
      <c r="AF8" s="222"/>
      <c r="AG8" s="223"/>
      <c r="AH8" s="135"/>
      <c r="AI8" s="224"/>
      <c r="AJ8" s="225"/>
      <c r="AK8" s="225"/>
      <c r="AL8" s="225"/>
      <c r="AM8" s="225"/>
      <c r="AN8" s="225"/>
      <c r="AO8" s="226"/>
      <c r="AP8" s="135"/>
      <c r="AQ8" s="227" t="s">
        <v>439</v>
      </c>
      <c r="AR8" s="228"/>
      <c r="AS8" s="228"/>
      <c r="AT8" s="228"/>
      <c r="AU8" s="228"/>
      <c r="AV8" s="228"/>
      <c r="AW8" s="229"/>
      <c r="AX8" s="135"/>
      <c r="AY8" s="140"/>
      <c r="AZ8" s="135"/>
      <c r="BA8" s="136"/>
      <c r="BB8" s="169" t="s">
        <v>48</v>
      </c>
      <c r="BC8" s="135"/>
      <c r="BD8" s="166" t="s">
        <v>33</v>
      </c>
      <c r="BE8" s="135"/>
      <c r="BF8" s="166" t="s">
        <v>34</v>
      </c>
      <c r="BG8" s="135"/>
      <c r="BH8" s="166" t="s">
        <v>35</v>
      </c>
      <c r="BI8" s="135"/>
      <c r="BJ8" s="166" t="s">
        <v>36</v>
      </c>
      <c r="BK8" s="135"/>
      <c r="BL8" s="168" t="s">
        <v>37</v>
      </c>
      <c r="BM8" s="140"/>
      <c r="BN8" s="135"/>
      <c r="BO8" s="190"/>
      <c r="BP8" s="191"/>
      <c r="BQ8" s="191"/>
      <c r="BR8" s="192"/>
      <c r="BS8" s="135"/>
      <c r="BT8" s="135"/>
      <c r="BU8" s="135"/>
      <c r="BV8" s="135"/>
      <c r="BW8" s="135"/>
      <c r="BX8" s="135"/>
      <c r="BY8" s="135"/>
      <c r="BZ8" s="135"/>
      <c r="CA8" s="135"/>
      <c r="CB8" s="135"/>
      <c r="CC8" s="135"/>
      <c r="CD8" s="135"/>
      <c r="CE8" s="135"/>
      <c r="CF8" s="135"/>
      <c r="CG8" s="135"/>
      <c r="CH8" s="135"/>
      <c r="CI8" s="135"/>
      <c r="CJ8" s="135"/>
    </row>
    <row r="9" spans="1:88" ht="10" customHeight="1" thickBot="1">
      <c r="A9" s="135"/>
      <c r="B9" s="141"/>
      <c r="C9" s="142"/>
      <c r="D9" s="142"/>
      <c r="E9" s="142"/>
      <c r="F9" s="142"/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142"/>
      <c r="S9" s="142"/>
      <c r="T9" s="142"/>
      <c r="U9" s="142"/>
      <c r="V9" s="142"/>
      <c r="W9" s="142"/>
      <c r="X9" s="142"/>
      <c r="Y9" s="142"/>
      <c r="Z9" s="142"/>
      <c r="AA9" s="142"/>
      <c r="AB9" s="142"/>
      <c r="AC9" s="142"/>
      <c r="AD9" s="142"/>
      <c r="AE9" s="142"/>
      <c r="AF9" s="142"/>
      <c r="AG9" s="142"/>
      <c r="AH9" s="142"/>
      <c r="AI9" s="142"/>
      <c r="AJ9" s="142"/>
      <c r="AK9" s="142"/>
      <c r="AL9" s="142"/>
      <c r="AM9" s="142"/>
      <c r="AN9" s="142"/>
      <c r="AO9" s="142"/>
      <c r="AP9" s="142"/>
      <c r="AQ9" s="142"/>
      <c r="AR9" s="142"/>
      <c r="AS9" s="142"/>
      <c r="AT9" s="142"/>
      <c r="AU9" s="142"/>
      <c r="AV9" s="142"/>
      <c r="AW9" s="142"/>
      <c r="AX9" s="142"/>
      <c r="AY9" s="143"/>
      <c r="AZ9" s="135"/>
      <c r="BA9" s="141"/>
      <c r="BB9" s="142"/>
      <c r="BC9" s="142"/>
      <c r="BD9" s="142"/>
      <c r="BE9" s="142"/>
      <c r="BF9" s="142"/>
      <c r="BG9" s="142"/>
      <c r="BH9" s="142"/>
      <c r="BI9" s="142"/>
      <c r="BJ9" s="142"/>
      <c r="BK9" s="142"/>
      <c r="BL9" s="142"/>
      <c r="BM9" s="143"/>
      <c r="BN9" s="135"/>
      <c r="BO9" s="193"/>
      <c r="BP9" s="194"/>
      <c r="BQ9" s="194"/>
      <c r="BR9" s="195"/>
      <c r="BS9" s="135"/>
      <c r="BT9" s="135"/>
      <c r="BU9" s="135"/>
      <c r="BV9" s="135"/>
      <c r="BW9" s="135"/>
      <c r="BX9" s="135"/>
      <c r="BY9" s="135"/>
      <c r="BZ9" s="135"/>
      <c r="CA9" s="135"/>
      <c r="CB9" s="135"/>
      <c r="CC9" s="135"/>
      <c r="CD9" s="135"/>
      <c r="CE9" s="135"/>
      <c r="CF9" s="135"/>
      <c r="CG9" s="135"/>
      <c r="CH9" s="135"/>
      <c r="CI9" s="135"/>
      <c r="CJ9" s="135"/>
    </row>
    <row r="10" spans="1:88" ht="10" customHeight="1" thickBot="1">
      <c r="A10" s="135"/>
      <c r="B10" s="135"/>
      <c r="C10" s="135"/>
      <c r="D10" s="135"/>
      <c r="E10" s="135"/>
      <c r="F10" s="135"/>
      <c r="G10" s="135"/>
      <c r="H10" s="135"/>
      <c r="I10" s="135"/>
      <c r="J10" s="135"/>
      <c r="K10" s="135"/>
      <c r="L10" s="135"/>
      <c r="M10" s="135"/>
      <c r="N10" s="135"/>
      <c r="O10" s="135"/>
      <c r="P10" s="135"/>
      <c r="Q10" s="135"/>
      <c r="R10" s="135"/>
      <c r="S10" s="135"/>
      <c r="T10" s="135"/>
      <c r="U10" s="135"/>
      <c r="V10" s="135"/>
      <c r="W10" s="135"/>
      <c r="X10" s="135"/>
      <c r="Y10" s="135"/>
      <c r="Z10" s="135"/>
      <c r="AA10" s="135"/>
      <c r="AB10" s="135"/>
      <c r="AC10" s="135"/>
      <c r="AD10" s="135"/>
      <c r="AE10" s="135"/>
      <c r="AF10" s="135"/>
      <c r="AG10" s="135"/>
      <c r="AH10" s="135"/>
      <c r="AI10" s="135"/>
      <c r="AJ10" s="135"/>
      <c r="AK10" s="135"/>
      <c r="AL10" s="135"/>
      <c r="AM10" s="135"/>
      <c r="AN10" s="135"/>
      <c r="AO10" s="135"/>
      <c r="AP10" s="135"/>
      <c r="AQ10" s="135"/>
      <c r="AR10" s="135"/>
      <c r="AS10" s="135"/>
      <c r="AT10" s="135"/>
      <c r="AU10" s="135"/>
      <c r="AV10" s="135"/>
      <c r="AW10" s="135"/>
      <c r="AX10" s="135"/>
      <c r="AY10" s="135"/>
      <c r="AZ10" s="135"/>
      <c r="BA10" s="135"/>
      <c r="BB10" s="135"/>
      <c r="BC10" s="135"/>
      <c r="BD10" s="135"/>
      <c r="BE10" s="135"/>
      <c r="BF10" s="135"/>
      <c r="BG10" s="135"/>
      <c r="BH10" s="135"/>
      <c r="BI10" s="135"/>
      <c r="BJ10" s="135"/>
      <c r="BK10" s="135"/>
      <c r="BL10" s="135"/>
      <c r="BM10" s="135"/>
      <c r="BN10" s="135"/>
      <c r="BO10" s="135"/>
      <c r="BP10" s="135"/>
      <c r="BQ10" s="135"/>
      <c r="BR10" s="135"/>
      <c r="BS10" s="135"/>
      <c r="BT10" s="135"/>
      <c r="BU10" s="135"/>
      <c r="BV10" s="135"/>
      <c r="BW10" s="135"/>
      <c r="BX10" s="135"/>
      <c r="BY10" s="135"/>
      <c r="BZ10" s="135"/>
      <c r="CA10" s="135"/>
      <c r="CB10" s="135"/>
      <c r="CC10" s="135"/>
      <c r="CD10" s="135"/>
      <c r="CE10" s="135"/>
      <c r="CF10" s="135"/>
      <c r="CG10" s="135"/>
      <c r="CH10" s="135"/>
      <c r="CI10" s="135"/>
      <c r="CJ10" s="135"/>
    </row>
    <row r="11" spans="1:88" ht="10" customHeight="1">
      <c r="A11" s="135"/>
      <c r="B11" s="137"/>
      <c r="C11" s="138"/>
      <c r="D11" s="138"/>
      <c r="E11" s="138"/>
      <c r="F11" s="138"/>
      <c r="G11" s="138"/>
      <c r="H11" s="138"/>
      <c r="I11" s="138"/>
      <c r="J11" s="138"/>
      <c r="K11" s="138"/>
      <c r="L11" s="138"/>
      <c r="M11" s="138"/>
      <c r="N11" s="138"/>
      <c r="O11" s="138"/>
      <c r="P11" s="138"/>
      <c r="Q11" s="138"/>
      <c r="R11" s="138"/>
      <c r="S11" s="138"/>
      <c r="T11" s="138"/>
      <c r="U11" s="138"/>
      <c r="V11" s="138"/>
      <c r="W11" s="138"/>
      <c r="X11" s="138"/>
      <c r="Y11" s="138"/>
      <c r="Z11" s="138"/>
      <c r="AA11" s="138"/>
      <c r="AB11" s="138"/>
      <c r="AC11" s="138"/>
      <c r="AD11" s="138"/>
      <c r="AE11" s="138"/>
      <c r="AF11" s="138"/>
      <c r="AG11" s="138"/>
      <c r="AH11" s="138"/>
      <c r="AI11" s="138"/>
      <c r="AJ11" s="138"/>
      <c r="AK11" s="138"/>
      <c r="AL11" s="138"/>
      <c r="AM11" s="138"/>
      <c r="AN11" s="138"/>
      <c r="AO11" s="138"/>
      <c r="AP11" s="138"/>
      <c r="AQ11" s="138"/>
      <c r="AR11" s="138"/>
      <c r="AS11" s="138"/>
      <c r="AT11" s="138"/>
      <c r="AU11" s="138"/>
      <c r="AV11" s="138"/>
      <c r="AW11" s="138"/>
      <c r="AX11" s="138"/>
      <c r="AY11" s="139"/>
      <c r="AZ11" s="135"/>
      <c r="BA11" s="137"/>
      <c r="BB11" s="138"/>
      <c r="BC11" s="138"/>
      <c r="BD11" s="138"/>
      <c r="BE11" s="138"/>
      <c r="BF11" s="138"/>
      <c r="BG11" s="138"/>
      <c r="BH11" s="138"/>
      <c r="BI11" s="138"/>
      <c r="BJ11" s="138"/>
      <c r="BK11" s="138"/>
      <c r="BL11" s="138"/>
      <c r="BM11" s="138"/>
      <c r="BN11" s="138"/>
      <c r="BO11" s="138"/>
      <c r="BP11" s="138"/>
      <c r="BQ11" s="138"/>
      <c r="BR11" s="138"/>
      <c r="BS11" s="139"/>
      <c r="BT11" s="135"/>
      <c r="BU11" s="135"/>
      <c r="BV11" s="135"/>
      <c r="BW11" s="135"/>
      <c r="BX11" s="135"/>
      <c r="BY11" s="135"/>
      <c r="BZ11" s="135"/>
      <c r="CA11" s="135"/>
      <c r="CB11" s="135"/>
      <c r="CC11" s="135"/>
      <c r="CD11" s="135"/>
      <c r="CE11" s="135"/>
      <c r="CF11" s="135"/>
      <c r="CG11" s="135"/>
      <c r="CH11" s="135"/>
      <c r="CI11" s="135"/>
      <c r="CJ11" s="135"/>
    </row>
    <row r="12" spans="1:88" ht="15" customHeight="1">
      <c r="A12" s="135"/>
      <c r="B12" s="136"/>
      <c r="C12" s="207" t="s">
        <v>18</v>
      </c>
      <c r="D12" s="200"/>
      <c r="E12" s="200"/>
      <c r="F12" s="200"/>
      <c r="G12" s="200"/>
      <c r="H12" s="200"/>
      <c r="I12" s="200"/>
      <c r="J12" s="200"/>
      <c r="K12" s="200"/>
      <c r="L12" s="200"/>
      <c r="M12" s="200"/>
      <c r="N12" s="200"/>
      <c r="O12" s="200"/>
      <c r="P12" s="200"/>
      <c r="Q12" s="200"/>
      <c r="R12" s="200"/>
      <c r="S12" s="200"/>
      <c r="T12" s="200"/>
      <c r="U12" s="200"/>
      <c r="V12" s="200"/>
      <c r="W12" s="200"/>
      <c r="X12" s="200"/>
      <c r="Y12" s="200"/>
      <c r="Z12" s="200"/>
      <c r="AA12" s="200"/>
      <c r="AB12" s="200"/>
      <c r="AC12" s="200"/>
      <c r="AD12" s="200"/>
      <c r="AE12" s="200"/>
      <c r="AF12" s="200"/>
      <c r="AG12" s="200"/>
      <c r="AH12" s="200"/>
      <c r="AI12" s="200"/>
      <c r="AJ12" s="200"/>
      <c r="AK12" s="200"/>
      <c r="AL12" s="200"/>
      <c r="AM12" s="200"/>
      <c r="AN12" s="200"/>
      <c r="AO12" s="200"/>
      <c r="AP12" s="200"/>
      <c r="AQ12" s="200"/>
      <c r="AR12" s="200"/>
      <c r="AS12" s="200"/>
      <c r="AT12" s="200"/>
      <c r="AU12" s="200"/>
      <c r="AV12" s="200"/>
      <c r="AW12" s="200"/>
      <c r="AX12" s="200"/>
      <c r="AY12" s="140"/>
      <c r="AZ12" s="135"/>
      <c r="BA12" s="136"/>
      <c r="BB12" s="207" t="s">
        <v>19</v>
      </c>
      <c r="BC12" s="200"/>
      <c r="BD12" s="200"/>
      <c r="BE12" s="200"/>
      <c r="BF12" s="200"/>
      <c r="BG12" s="200"/>
      <c r="BH12" s="200"/>
      <c r="BI12" s="200"/>
      <c r="BJ12" s="200"/>
      <c r="BK12" s="200"/>
      <c r="BL12" s="200"/>
      <c r="BM12" s="200"/>
      <c r="BN12" s="200"/>
      <c r="BO12" s="200"/>
      <c r="BP12" s="200"/>
      <c r="BQ12" s="200"/>
      <c r="BR12" s="200"/>
      <c r="BS12" s="140"/>
      <c r="BT12" s="135"/>
      <c r="BU12" s="135"/>
      <c r="BV12" s="135"/>
      <c r="BW12" s="135"/>
      <c r="BX12" s="135"/>
      <c r="BY12" s="135"/>
      <c r="BZ12" s="135"/>
      <c r="CA12" s="135"/>
      <c r="CB12" s="135"/>
      <c r="CC12" s="135"/>
      <c r="CD12" s="135"/>
      <c r="CE12" s="135"/>
      <c r="CF12" s="135"/>
      <c r="CG12" s="135"/>
      <c r="CH12" s="135"/>
      <c r="CI12" s="135"/>
      <c r="CJ12" s="135"/>
    </row>
    <row r="13" spans="1:88" ht="13" customHeight="1">
      <c r="A13" s="135"/>
      <c r="B13" s="136"/>
      <c r="C13" s="135"/>
      <c r="D13" s="135"/>
      <c r="E13" s="135"/>
      <c r="F13" s="135"/>
      <c r="G13" s="135"/>
      <c r="H13" s="135"/>
      <c r="I13" s="135"/>
      <c r="J13" s="135"/>
      <c r="K13" s="135"/>
      <c r="L13" s="135"/>
      <c r="M13" s="135"/>
      <c r="N13" s="135"/>
      <c r="O13" s="135"/>
      <c r="P13" s="135"/>
      <c r="Q13" s="135"/>
      <c r="R13" s="135"/>
      <c r="S13" s="135"/>
      <c r="T13" s="135"/>
      <c r="U13" s="135"/>
      <c r="V13" s="135"/>
      <c r="W13" s="135"/>
      <c r="X13" s="135"/>
      <c r="Y13" s="135"/>
      <c r="Z13" s="135"/>
      <c r="AA13" s="135"/>
      <c r="AB13" s="135"/>
      <c r="AC13" s="135"/>
      <c r="AD13" s="135"/>
      <c r="AE13" s="135"/>
      <c r="AF13" s="135"/>
      <c r="AG13" s="135"/>
      <c r="AH13" s="135"/>
      <c r="AI13" s="135"/>
      <c r="AJ13" s="135"/>
      <c r="AK13" s="135"/>
      <c r="AL13" s="135"/>
      <c r="AM13" s="135"/>
      <c r="AN13" s="135"/>
      <c r="AO13" s="135"/>
      <c r="AP13" s="135"/>
      <c r="AQ13" s="135"/>
      <c r="AR13" s="135"/>
      <c r="AS13" s="135"/>
      <c r="AT13" s="135"/>
      <c r="AU13" s="135"/>
      <c r="AV13" s="135"/>
      <c r="AW13" s="135"/>
      <c r="AX13" s="135"/>
      <c r="AY13" s="140"/>
      <c r="AZ13" s="135"/>
      <c r="BA13" s="136"/>
      <c r="BB13" s="135"/>
      <c r="BC13" s="135"/>
      <c r="BD13" s="135"/>
      <c r="BE13" s="135"/>
      <c r="BF13" s="135"/>
      <c r="BG13" s="135"/>
      <c r="BH13" s="135"/>
      <c r="BI13" s="135"/>
      <c r="BJ13" s="135"/>
      <c r="BK13" s="135"/>
      <c r="BL13" s="135"/>
      <c r="BM13" s="135"/>
      <c r="BN13" s="135"/>
      <c r="BO13" s="135"/>
      <c r="BP13" s="135"/>
      <c r="BQ13" s="135"/>
      <c r="BR13" s="135"/>
      <c r="BS13" s="140"/>
      <c r="BT13" s="135"/>
      <c r="BU13" s="135"/>
      <c r="BV13" s="135"/>
      <c r="BW13" s="135"/>
      <c r="BX13" s="135"/>
      <c r="BY13" s="135"/>
      <c r="BZ13" s="135"/>
      <c r="CA13" s="135"/>
      <c r="CB13" s="135"/>
      <c r="CC13" s="135"/>
      <c r="CD13" s="135"/>
      <c r="CE13" s="135"/>
      <c r="CF13" s="135"/>
      <c r="CG13" s="135"/>
      <c r="CH13" s="135"/>
      <c r="CI13" s="135"/>
      <c r="CJ13" s="135"/>
    </row>
    <row r="14" spans="1:88" ht="42" customHeight="1">
      <c r="A14" s="135"/>
      <c r="B14" s="136"/>
      <c r="C14" s="230">
        <v>1</v>
      </c>
      <c r="D14" s="296"/>
      <c r="E14" s="296"/>
      <c r="F14" s="296"/>
      <c r="G14" s="296"/>
      <c r="H14" s="296"/>
      <c r="I14" s="297"/>
      <c r="J14" s="135"/>
      <c r="K14" s="230">
        <v>2</v>
      </c>
      <c r="L14" s="296"/>
      <c r="M14" s="296"/>
      <c r="N14" s="296"/>
      <c r="O14" s="296"/>
      <c r="P14" s="296"/>
      <c r="Q14" s="297"/>
      <c r="R14" s="135"/>
      <c r="S14" s="230">
        <v>3</v>
      </c>
      <c r="T14" s="296"/>
      <c r="U14" s="296"/>
      <c r="V14" s="296"/>
      <c r="W14" s="296"/>
      <c r="X14" s="296"/>
      <c r="Y14" s="297"/>
      <c r="Z14" s="135"/>
      <c r="AA14" s="135"/>
      <c r="AB14" s="135"/>
      <c r="AC14" s="135"/>
      <c r="AD14" s="230">
        <v>9</v>
      </c>
      <c r="AE14" s="296"/>
      <c r="AF14" s="296"/>
      <c r="AG14" s="296"/>
      <c r="AH14" s="296"/>
      <c r="AI14" s="296"/>
      <c r="AJ14" s="297"/>
      <c r="AK14" s="135"/>
      <c r="AL14" s="135"/>
      <c r="AM14" s="135"/>
      <c r="AN14" s="135"/>
      <c r="AO14" s="135"/>
      <c r="AP14" s="230">
        <v>10</v>
      </c>
      <c r="AQ14" s="296"/>
      <c r="AR14" s="296"/>
      <c r="AS14" s="296"/>
      <c r="AT14" s="296"/>
      <c r="AU14" s="296"/>
      <c r="AV14" s="297"/>
      <c r="AW14" s="135"/>
      <c r="AX14" s="135"/>
      <c r="AY14" s="140"/>
      <c r="AZ14" s="135"/>
      <c r="BA14" s="136"/>
      <c r="BB14" s="169" t="s">
        <v>263</v>
      </c>
      <c r="BC14" s="135"/>
      <c r="BD14" s="163" t="s">
        <v>22</v>
      </c>
      <c r="BE14" s="135"/>
      <c r="BF14" s="163" t="s">
        <v>20</v>
      </c>
      <c r="BG14" s="135"/>
      <c r="BH14" s="163" t="s">
        <v>23</v>
      </c>
      <c r="BI14" s="135"/>
      <c r="BJ14" s="163" t="s">
        <v>24</v>
      </c>
      <c r="BK14" s="135"/>
      <c r="BL14" s="163" t="s">
        <v>21</v>
      </c>
      <c r="BM14" s="135"/>
      <c r="BN14" s="169" t="s">
        <v>221</v>
      </c>
      <c r="BO14" s="135"/>
      <c r="BP14" s="167" t="s">
        <v>25</v>
      </c>
      <c r="BQ14" s="135"/>
      <c r="BR14" s="167" t="s">
        <v>26</v>
      </c>
      <c r="BS14" s="140"/>
      <c r="BT14" s="135"/>
      <c r="BU14" s="135"/>
      <c r="BV14" s="135"/>
      <c r="BW14" s="135"/>
      <c r="BX14" s="135"/>
      <c r="BY14" s="135"/>
      <c r="BZ14" s="135"/>
      <c r="CA14" s="135"/>
      <c r="CB14" s="135"/>
      <c r="CC14" s="135"/>
      <c r="CD14" s="135"/>
      <c r="CE14" s="135"/>
      <c r="CF14" s="135"/>
      <c r="CG14" s="135"/>
      <c r="CH14" s="135"/>
      <c r="CI14" s="135"/>
      <c r="CJ14" s="135"/>
    </row>
    <row r="15" spans="1:88" ht="10" customHeight="1">
      <c r="A15" s="135"/>
      <c r="B15" s="136"/>
      <c r="C15" s="135"/>
      <c r="D15" s="135"/>
      <c r="E15" s="135"/>
      <c r="F15" s="135"/>
      <c r="G15" s="135"/>
      <c r="H15" s="135"/>
      <c r="I15" s="135"/>
      <c r="J15" s="135"/>
      <c r="K15" s="135"/>
      <c r="L15" s="135"/>
      <c r="M15" s="135"/>
      <c r="N15" s="135"/>
      <c r="O15" s="135"/>
      <c r="P15" s="135"/>
      <c r="Q15" s="135"/>
      <c r="R15" s="135"/>
      <c r="S15" s="135"/>
      <c r="T15" s="135"/>
      <c r="U15" s="135"/>
      <c r="V15" s="135"/>
      <c r="W15" s="135"/>
      <c r="X15" s="135"/>
      <c r="Y15" s="135"/>
      <c r="Z15" s="135"/>
      <c r="AA15" s="135"/>
      <c r="AB15" s="135"/>
      <c r="AC15" s="135"/>
      <c r="AD15" s="135"/>
      <c r="AE15" s="135"/>
      <c r="AF15" s="135"/>
      <c r="AG15" s="135"/>
      <c r="AH15" s="135"/>
      <c r="AI15" s="135"/>
      <c r="AJ15" s="135"/>
      <c r="AK15" s="135"/>
      <c r="AL15" s="135"/>
      <c r="AM15" s="135"/>
      <c r="AN15" s="135"/>
      <c r="AO15" s="135"/>
      <c r="AP15" s="135"/>
      <c r="AQ15" s="135"/>
      <c r="AR15" s="135"/>
      <c r="AS15" s="135"/>
      <c r="AT15" s="135"/>
      <c r="AU15" s="135"/>
      <c r="AV15" s="135"/>
      <c r="AW15" s="135"/>
      <c r="AX15" s="135"/>
      <c r="AY15" s="140"/>
      <c r="AZ15" s="135"/>
      <c r="BA15" s="136"/>
      <c r="BB15" s="135"/>
      <c r="BC15" s="135"/>
      <c r="BD15" s="135"/>
      <c r="BE15" s="135"/>
      <c r="BF15" s="135"/>
      <c r="BG15" s="135"/>
      <c r="BH15" s="135"/>
      <c r="BI15" s="135"/>
      <c r="BJ15" s="135"/>
      <c r="BK15" s="135"/>
      <c r="BL15" s="135"/>
      <c r="BM15" s="135"/>
      <c r="BN15" s="135"/>
      <c r="BO15" s="135"/>
      <c r="BP15" s="135"/>
      <c r="BQ15" s="135"/>
      <c r="BR15" s="135"/>
      <c r="BS15" s="140"/>
      <c r="BT15" s="135"/>
      <c r="BU15" s="135"/>
      <c r="BV15" s="135"/>
      <c r="BW15" s="135"/>
      <c r="BX15" s="135"/>
      <c r="BY15" s="135"/>
      <c r="BZ15" s="135"/>
      <c r="CA15" s="135"/>
      <c r="CB15" s="135"/>
      <c r="CC15" s="135"/>
      <c r="CD15" s="135"/>
      <c r="CE15" s="135"/>
      <c r="CF15" s="135"/>
      <c r="CG15" s="135"/>
      <c r="CH15" s="135"/>
      <c r="CI15" s="135"/>
      <c r="CJ15" s="135"/>
    </row>
    <row r="16" spans="1:88" ht="42" customHeight="1">
      <c r="A16" s="135"/>
      <c r="B16" s="136"/>
      <c r="C16" s="135"/>
      <c r="D16" s="135"/>
      <c r="E16" s="135"/>
      <c r="F16" s="135"/>
      <c r="G16" s="230">
        <v>4</v>
      </c>
      <c r="H16" s="296"/>
      <c r="I16" s="296"/>
      <c r="J16" s="296"/>
      <c r="K16" s="296"/>
      <c r="L16" s="296"/>
      <c r="M16" s="297"/>
      <c r="N16" s="135"/>
      <c r="O16" s="230">
        <v>5</v>
      </c>
      <c r="P16" s="296"/>
      <c r="Q16" s="296"/>
      <c r="R16" s="296"/>
      <c r="S16" s="296"/>
      <c r="T16" s="296"/>
      <c r="U16" s="297"/>
      <c r="V16" s="135"/>
      <c r="W16" s="135"/>
      <c r="X16" s="135"/>
      <c r="Y16" s="135"/>
      <c r="Z16" s="135"/>
      <c r="AA16" s="135"/>
      <c r="AB16" s="135"/>
      <c r="AC16" s="135"/>
      <c r="AD16" s="135"/>
      <c r="AE16" s="135"/>
      <c r="AF16" s="305">
        <v>12</v>
      </c>
      <c r="AG16" s="306"/>
      <c r="AH16" s="306"/>
      <c r="AI16" s="306"/>
      <c r="AJ16" s="306"/>
      <c r="AK16" s="306"/>
      <c r="AL16" s="307"/>
      <c r="AM16" s="135"/>
      <c r="AN16" s="230">
        <v>13</v>
      </c>
      <c r="AO16" s="296"/>
      <c r="AP16" s="296"/>
      <c r="AQ16" s="296"/>
      <c r="AR16" s="296"/>
      <c r="AS16" s="296"/>
      <c r="AT16" s="297"/>
      <c r="AU16" s="135"/>
      <c r="AV16" s="135"/>
      <c r="AW16" s="135"/>
      <c r="AX16" s="135"/>
      <c r="AY16" s="140"/>
      <c r="AZ16" s="135"/>
      <c r="BA16" s="136"/>
      <c r="BB16" s="169" t="s">
        <v>220</v>
      </c>
      <c r="BC16" s="135"/>
      <c r="BD16" s="167" t="s">
        <v>25</v>
      </c>
      <c r="BE16" s="135"/>
      <c r="BF16" s="167" t="s">
        <v>26</v>
      </c>
      <c r="BG16" s="135"/>
      <c r="BH16" s="163" t="s">
        <v>45</v>
      </c>
      <c r="BI16" s="135"/>
      <c r="BJ16" s="135"/>
      <c r="BK16" s="135"/>
      <c r="BL16" s="169" t="s">
        <v>279</v>
      </c>
      <c r="BM16" s="135"/>
      <c r="BN16" s="175" t="s">
        <v>241</v>
      </c>
      <c r="BO16" s="135"/>
      <c r="BP16" s="175" t="s">
        <v>277</v>
      </c>
      <c r="BQ16" s="135"/>
      <c r="BR16" s="175" t="s">
        <v>278</v>
      </c>
      <c r="BS16" s="140"/>
      <c r="BT16" s="135"/>
      <c r="BU16" s="135"/>
      <c r="BV16" s="135"/>
      <c r="BW16" s="135"/>
      <c r="BX16" s="135"/>
      <c r="BY16" s="135"/>
      <c r="BZ16" s="135"/>
      <c r="CA16" s="135"/>
      <c r="CB16" s="135"/>
      <c r="CC16" s="135"/>
      <c r="CD16" s="135"/>
      <c r="CE16" s="135"/>
      <c r="CF16" s="135"/>
      <c r="CG16" s="135"/>
      <c r="CH16" s="135"/>
      <c r="CI16" s="135"/>
      <c r="CJ16" s="135"/>
    </row>
    <row r="17" spans="1:88" ht="10" customHeight="1">
      <c r="A17" s="135"/>
      <c r="B17" s="136"/>
      <c r="C17" s="135"/>
      <c r="D17" s="135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5"/>
      <c r="R17" s="135"/>
      <c r="S17" s="135"/>
      <c r="T17" s="135"/>
      <c r="U17" s="135"/>
      <c r="V17" s="135"/>
      <c r="W17" s="135"/>
      <c r="X17" s="135"/>
      <c r="Y17" s="135"/>
      <c r="Z17" s="135"/>
      <c r="AA17" s="135"/>
      <c r="AB17" s="135"/>
      <c r="AC17" s="135"/>
      <c r="AD17" s="135"/>
      <c r="AE17" s="135"/>
      <c r="AF17" s="135"/>
      <c r="AG17" s="135"/>
      <c r="AH17" s="135"/>
      <c r="AI17" s="135"/>
      <c r="AJ17" s="135"/>
      <c r="AK17" s="135"/>
      <c r="AL17" s="135"/>
      <c r="AM17" s="135"/>
      <c r="AN17" s="135"/>
      <c r="AO17" s="135"/>
      <c r="AP17" s="135"/>
      <c r="AQ17" s="135"/>
      <c r="AR17" s="135"/>
      <c r="AS17" s="135"/>
      <c r="AT17" s="135"/>
      <c r="AU17" s="135"/>
      <c r="AV17" s="135"/>
      <c r="AW17" s="135"/>
      <c r="AX17" s="135"/>
      <c r="AY17" s="140"/>
      <c r="AZ17" s="135"/>
      <c r="BA17" s="136"/>
      <c r="BB17" s="135"/>
      <c r="BC17" s="135"/>
      <c r="BD17" s="135"/>
      <c r="BE17" s="135"/>
      <c r="BF17" s="135"/>
      <c r="BG17" s="135"/>
      <c r="BH17" s="135"/>
      <c r="BI17" s="135"/>
      <c r="BJ17" s="135"/>
      <c r="BK17" s="135"/>
      <c r="BL17" s="135"/>
      <c r="BM17" s="135"/>
      <c r="BN17" s="135"/>
      <c r="BO17" s="135"/>
      <c r="BP17" s="135"/>
      <c r="BQ17" s="135"/>
      <c r="BR17" s="135"/>
      <c r="BS17" s="140"/>
      <c r="BT17" s="135"/>
      <c r="BU17" s="135"/>
      <c r="BV17" s="135"/>
      <c r="BW17" s="135"/>
      <c r="BX17" s="135"/>
      <c r="BY17" s="135"/>
      <c r="BZ17" s="135"/>
      <c r="CA17" s="135"/>
      <c r="CB17" s="135"/>
      <c r="CC17" s="135"/>
      <c r="CD17" s="135"/>
      <c r="CE17" s="135"/>
      <c r="CF17" s="135"/>
      <c r="CG17" s="135"/>
      <c r="CH17" s="135"/>
      <c r="CI17" s="135"/>
      <c r="CJ17" s="135"/>
    </row>
    <row r="18" spans="1:88" ht="42" customHeight="1">
      <c r="A18" s="135"/>
      <c r="B18" s="136"/>
      <c r="C18" s="230">
        <v>6</v>
      </c>
      <c r="D18" s="296"/>
      <c r="E18" s="296"/>
      <c r="F18" s="296"/>
      <c r="G18" s="296"/>
      <c r="H18" s="296"/>
      <c r="I18" s="297"/>
      <c r="J18" s="135"/>
      <c r="K18" s="230">
        <v>8</v>
      </c>
      <c r="L18" s="296"/>
      <c r="M18" s="296"/>
      <c r="N18" s="296"/>
      <c r="O18" s="296"/>
      <c r="P18" s="296"/>
      <c r="Q18" s="297"/>
      <c r="R18" s="135"/>
      <c r="S18" s="230">
        <v>7</v>
      </c>
      <c r="T18" s="296"/>
      <c r="U18" s="296"/>
      <c r="V18" s="296"/>
      <c r="W18" s="296"/>
      <c r="X18" s="296"/>
      <c r="Y18" s="297"/>
      <c r="Z18" s="135"/>
      <c r="AA18" s="135"/>
      <c r="AB18" s="230">
        <v>11</v>
      </c>
      <c r="AC18" s="296"/>
      <c r="AD18" s="296"/>
      <c r="AE18" s="296"/>
      <c r="AF18" s="296"/>
      <c r="AG18" s="296"/>
      <c r="AH18" s="297"/>
      <c r="AI18" s="135"/>
      <c r="AJ18" s="230">
        <v>15</v>
      </c>
      <c r="AK18" s="296"/>
      <c r="AL18" s="296"/>
      <c r="AM18" s="296"/>
      <c r="AN18" s="296"/>
      <c r="AO18" s="296"/>
      <c r="AP18" s="297"/>
      <c r="AQ18" s="135"/>
      <c r="AR18" s="230">
        <v>14</v>
      </c>
      <c r="AS18" s="296"/>
      <c r="AT18" s="296"/>
      <c r="AU18" s="296"/>
      <c r="AV18" s="296"/>
      <c r="AW18" s="296"/>
      <c r="AX18" s="297"/>
      <c r="AY18" s="140"/>
      <c r="AZ18" s="135"/>
      <c r="BA18" s="136"/>
      <c r="BB18" s="169" t="s">
        <v>124</v>
      </c>
      <c r="BC18" s="135"/>
      <c r="BD18" s="167" t="s">
        <v>125</v>
      </c>
      <c r="BE18" s="135"/>
      <c r="BF18" s="167" t="s">
        <v>126</v>
      </c>
      <c r="BG18" s="135"/>
      <c r="BH18" s="167" t="s">
        <v>127</v>
      </c>
      <c r="BI18" s="135"/>
      <c r="BJ18" s="167" t="s">
        <v>128</v>
      </c>
      <c r="BK18" s="135"/>
      <c r="BL18" s="163" t="s">
        <v>10</v>
      </c>
      <c r="BM18" s="135"/>
      <c r="BN18" s="163" t="s">
        <v>27</v>
      </c>
      <c r="BO18" s="135"/>
      <c r="BP18" s="163" t="s">
        <v>217</v>
      </c>
      <c r="BQ18" s="135"/>
      <c r="BR18" s="163" t="s">
        <v>272</v>
      </c>
      <c r="BS18" s="140"/>
      <c r="BT18" s="135"/>
      <c r="BU18" s="135"/>
      <c r="BV18" s="135"/>
      <c r="BW18" s="135"/>
      <c r="BX18" s="135"/>
      <c r="BY18" s="135"/>
      <c r="BZ18" s="135"/>
      <c r="CA18" s="135"/>
      <c r="CB18" s="135"/>
      <c r="CC18" s="135"/>
      <c r="CD18" s="135"/>
      <c r="CE18" s="135"/>
      <c r="CF18" s="135"/>
      <c r="CG18" s="135"/>
      <c r="CH18" s="135"/>
      <c r="CI18" s="135"/>
      <c r="CJ18" s="135"/>
    </row>
    <row r="19" spans="1:88" s="3" customFormat="1" ht="10" customHeight="1">
      <c r="A19" s="135"/>
      <c r="B19" s="136"/>
      <c r="C19" s="135"/>
      <c r="D19" s="135"/>
      <c r="E19" s="135"/>
      <c r="F19" s="135"/>
      <c r="G19" s="135"/>
      <c r="H19" s="135"/>
      <c r="I19" s="135"/>
      <c r="J19" s="135"/>
      <c r="K19" s="135"/>
      <c r="L19" s="135"/>
      <c r="M19" s="135"/>
      <c r="N19" s="135"/>
      <c r="O19" s="135"/>
      <c r="P19" s="135"/>
      <c r="Q19" s="135"/>
      <c r="R19" s="135"/>
      <c r="S19" s="135"/>
      <c r="T19" s="135"/>
      <c r="U19" s="135"/>
      <c r="V19" s="135"/>
      <c r="W19" s="135"/>
      <c r="X19" s="135"/>
      <c r="Y19" s="135"/>
      <c r="Z19" s="135"/>
      <c r="AA19" s="135"/>
      <c r="AB19" s="135"/>
      <c r="AC19" s="135"/>
      <c r="AD19" s="135"/>
      <c r="AE19" s="135"/>
      <c r="AF19" s="135"/>
      <c r="AG19" s="135"/>
      <c r="AH19" s="135"/>
      <c r="AI19" s="135"/>
      <c r="AJ19" s="135"/>
      <c r="AK19" s="135"/>
      <c r="AL19" s="135"/>
      <c r="AM19" s="135"/>
      <c r="AN19" s="135"/>
      <c r="AO19" s="135"/>
      <c r="AP19" s="135"/>
      <c r="AQ19" s="135"/>
      <c r="AR19" s="135"/>
      <c r="AS19" s="135"/>
      <c r="AT19" s="135"/>
      <c r="AU19" s="135"/>
      <c r="AV19" s="135"/>
      <c r="AW19" s="135"/>
      <c r="AX19" s="135"/>
      <c r="AY19" s="140"/>
      <c r="AZ19" s="135"/>
      <c r="BA19" s="136"/>
      <c r="BB19" s="135"/>
      <c r="BC19" s="135"/>
      <c r="BD19" s="135"/>
      <c r="BE19" s="135"/>
      <c r="BF19" s="135"/>
      <c r="BG19" s="135"/>
      <c r="BH19" s="135"/>
      <c r="BI19" s="135"/>
      <c r="BJ19" s="135"/>
      <c r="BK19" s="135"/>
      <c r="BL19" s="135"/>
      <c r="BM19" s="135"/>
      <c r="BN19" s="135"/>
      <c r="BO19" s="135"/>
      <c r="BP19" s="135"/>
      <c r="BQ19" s="135"/>
      <c r="BR19" s="135"/>
      <c r="BS19" s="140"/>
      <c r="BT19" s="135"/>
      <c r="BU19" s="135"/>
      <c r="BV19" s="135"/>
      <c r="BW19" s="135"/>
      <c r="BX19" s="135"/>
      <c r="BY19" s="135"/>
      <c r="BZ19" s="135"/>
      <c r="CA19" s="135"/>
      <c r="CB19" s="135"/>
      <c r="CC19" s="135"/>
      <c r="CD19" s="135"/>
      <c r="CE19" s="135"/>
      <c r="CF19" s="135"/>
      <c r="CG19" s="135"/>
      <c r="CH19" s="135"/>
      <c r="CI19" s="135"/>
      <c r="CJ19" s="135"/>
    </row>
    <row r="20" spans="1:88" ht="42" customHeight="1">
      <c r="A20" s="135"/>
      <c r="B20" s="136"/>
      <c r="C20" s="135"/>
      <c r="D20" s="135"/>
      <c r="E20" s="135"/>
      <c r="F20" s="135"/>
      <c r="G20" s="135"/>
      <c r="H20" s="135"/>
      <c r="I20" s="135"/>
      <c r="J20" s="135"/>
      <c r="K20" s="236" t="s">
        <v>42</v>
      </c>
      <c r="L20" s="202"/>
      <c r="M20" s="202"/>
      <c r="N20" s="202"/>
      <c r="O20" s="202"/>
      <c r="P20" s="202"/>
      <c r="Q20" s="203"/>
      <c r="R20" s="135"/>
      <c r="S20" s="236" t="s">
        <v>152</v>
      </c>
      <c r="T20" s="202"/>
      <c r="U20" s="202"/>
      <c r="V20" s="202"/>
      <c r="W20" s="202"/>
      <c r="X20" s="202"/>
      <c r="Y20" s="203"/>
      <c r="Z20" s="135"/>
      <c r="AA20" s="135"/>
      <c r="AB20" s="236" t="s">
        <v>168</v>
      </c>
      <c r="AC20" s="202"/>
      <c r="AD20" s="202"/>
      <c r="AE20" s="202"/>
      <c r="AF20" s="202"/>
      <c r="AG20" s="202"/>
      <c r="AH20" s="203"/>
      <c r="AI20" s="135"/>
      <c r="AJ20" s="236" t="s">
        <v>32</v>
      </c>
      <c r="AK20" s="202"/>
      <c r="AL20" s="202"/>
      <c r="AM20" s="202"/>
      <c r="AN20" s="202"/>
      <c r="AO20" s="202"/>
      <c r="AP20" s="203"/>
      <c r="AQ20" s="135"/>
      <c r="AR20" s="135"/>
      <c r="AS20" s="135"/>
      <c r="AT20" s="135"/>
      <c r="AU20" s="135"/>
      <c r="AV20" s="135"/>
      <c r="AW20" s="135"/>
      <c r="AX20" s="135"/>
      <c r="AY20" s="140"/>
      <c r="AZ20" s="135"/>
      <c r="BA20" s="136"/>
      <c r="BB20" s="169" t="s">
        <v>65</v>
      </c>
      <c r="BC20" s="135"/>
      <c r="BD20" s="176" t="s">
        <v>156</v>
      </c>
      <c r="BE20" s="135"/>
      <c r="BF20" s="176" t="s">
        <v>157</v>
      </c>
      <c r="BG20" s="135"/>
      <c r="BH20" s="135"/>
      <c r="BI20" s="135"/>
      <c r="BJ20" s="169" t="s">
        <v>380</v>
      </c>
      <c r="BK20" s="135"/>
      <c r="BL20" s="165" t="s">
        <v>156</v>
      </c>
      <c r="BM20" s="135"/>
      <c r="BN20" s="176" t="s">
        <v>157</v>
      </c>
      <c r="BO20" s="135"/>
      <c r="BP20" s="135"/>
      <c r="BQ20" s="135"/>
      <c r="BR20" s="135"/>
      <c r="BS20" s="140"/>
      <c r="BT20" s="135"/>
      <c r="BU20" s="135"/>
      <c r="BV20" s="135"/>
      <c r="BW20" s="135"/>
      <c r="BX20" s="135"/>
      <c r="BY20" s="135"/>
      <c r="BZ20" s="135"/>
      <c r="CA20" s="135"/>
      <c r="CB20" s="135"/>
      <c r="CC20" s="135"/>
      <c r="CD20" s="135"/>
      <c r="CE20" s="135"/>
      <c r="CF20" s="135"/>
      <c r="CG20" s="135"/>
      <c r="CH20" s="135"/>
      <c r="CI20" s="135"/>
      <c r="CJ20" s="135"/>
    </row>
    <row r="21" spans="1:88" ht="10" customHeight="1" thickBot="1">
      <c r="A21" s="135"/>
      <c r="B21" s="141"/>
      <c r="C21" s="142"/>
      <c r="D21" s="142"/>
      <c r="E21" s="142"/>
      <c r="F21" s="142"/>
      <c r="G21" s="142"/>
      <c r="H21" s="142"/>
      <c r="I21" s="142"/>
      <c r="J21" s="142"/>
      <c r="K21" s="142"/>
      <c r="L21" s="142"/>
      <c r="M21" s="142"/>
      <c r="N21" s="142"/>
      <c r="O21" s="142"/>
      <c r="P21" s="142"/>
      <c r="Q21" s="142"/>
      <c r="R21" s="142"/>
      <c r="S21" s="142"/>
      <c r="T21" s="142"/>
      <c r="U21" s="142"/>
      <c r="V21" s="142"/>
      <c r="W21" s="142"/>
      <c r="X21" s="142"/>
      <c r="Y21" s="142"/>
      <c r="Z21" s="142"/>
      <c r="AA21" s="142"/>
      <c r="AB21" s="142"/>
      <c r="AC21" s="142"/>
      <c r="AD21" s="142"/>
      <c r="AE21" s="142"/>
      <c r="AF21" s="142"/>
      <c r="AG21" s="142"/>
      <c r="AH21" s="142"/>
      <c r="AI21" s="142"/>
      <c r="AJ21" s="142"/>
      <c r="AK21" s="142"/>
      <c r="AL21" s="142"/>
      <c r="AM21" s="142"/>
      <c r="AN21" s="142"/>
      <c r="AO21" s="142"/>
      <c r="AP21" s="142"/>
      <c r="AQ21" s="142"/>
      <c r="AR21" s="142"/>
      <c r="AS21" s="142"/>
      <c r="AT21" s="142"/>
      <c r="AU21" s="142"/>
      <c r="AV21" s="142"/>
      <c r="AW21" s="142"/>
      <c r="AX21" s="142"/>
      <c r="AY21" s="143"/>
      <c r="AZ21" s="135"/>
      <c r="BA21" s="141"/>
      <c r="BB21" s="142"/>
      <c r="BC21" s="142"/>
      <c r="BD21" s="142"/>
      <c r="BE21" s="142"/>
      <c r="BF21" s="142"/>
      <c r="BG21" s="142"/>
      <c r="BH21" s="142"/>
      <c r="BI21" s="142"/>
      <c r="BJ21" s="142"/>
      <c r="BK21" s="142"/>
      <c r="BL21" s="142"/>
      <c r="BM21" s="142"/>
      <c r="BN21" s="142"/>
      <c r="BO21" s="142"/>
      <c r="BP21" s="142"/>
      <c r="BQ21" s="142"/>
      <c r="BR21" s="142"/>
      <c r="BS21" s="143"/>
      <c r="BT21" s="135"/>
      <c r="BU21" s="135"/>
      <c r="BV21" s="135"/>
      <c r="BW21" s="135"/>
      <c r="BX21" s="135"/>
      <c r="BY21" s="135"/>
      <c r="BZ21" s="135"/>
      <c r="CA21" s="135"/>
      <c r="CB21" s="135"/>
      <c r="CC21" s="135"/>
      <c r="CD21" s="135"/>
      <c r="CE21" s="135"/>
      <c r="CF21" s="135"/>
      <c r="CG21" s="135"/>
      <c r="CH21" s="135"/>
      <c r="CI21" s="135"/>
      <c r="CJ21" s="135"/>
    </row>
    <row r="22" spans="1:88" ht="10" customHeight="1" thickBot="1">
      <c r="A22" s="135"/>
      <c r="B22" s="135"/>
      <c r="C22" s="135"/>
      <c r="D22" s="135"/>
      <c r="E22" s="135"/>
      <c r="F22" s="135"/>
      <c r="G22" s="135"/>
      <c r="H22" s="135"/>
      <c r="I22" s="135"/>
      <c r="J22" s="135"/>
      <c r="K22" s="135"/>
      <c r="L22" s="135"/>
      <c r="M22" s="135"/>
      <c r="N22" s="135"/>
      <c r="O22" s="135"/>
      <c r="P22" s="135"/>
      <c r="Q22" s="135"/>
      <c r="R22" s="135"/>
      <c r="S22" s="135"/>
      <c r="T22" s="135"/>
      <c r="U22" s="135"/>
      <c r="V22" s="135"/>
      <c r="W22" s="135"/>
      <c r="X22" s="135"/>
      <c r="Y22" s="135"/>
      <c r="Z22" s="135"/>
      <c r="AA22" s="135"/>
      <c r="AB22" s="135"/>
      <c r="AC22" s="135"/>
      <c r="AD22" s="135"/>
      <c r="AE22" s="135"/>
      <c r="AF22" s="135"/>
      <c r="AG22" s="135"/>
      <c r="AH22" s="135"/>
      <c r="AI22" s="135"/>
      <c r="AJ22" s="135"/>
      <c r="AK22" s="135"/>
      <c r="AL22" s="135"/>
      <c r="AM22" s="135"/>
      <c r="AN22" s="135"/>
      <c r="AO22" s="135"/>
      <c r="AP22" s="135"/>
      <c r="AQ22" s="135"/>
      <c r="AR22" s="135"/>
      <c r="AS22" s="135"/>
      <c r="AT22" s="135"/>
      <c r="AU22" s="135"/>
      <c r="AV22" s="135"/>
      <c r="AW22" s="135"/>
      <c r="AX22" s="135"/>
      <c r="AY22" s="135"/>
      <c r="AZ22" s="135"/>
      <c r="BA22" s="135"/>
      <c r="BB22" s="135"/>
      <c r="BC22" s="135"/>
      <c r="BD22" s="135"/>
      <c r="BE22" s="135"/>
      <c r="BF22" s="135"/>
      <c r="BG22" s="135"/>
      <c r="BH22" s="135"/>
      <c r="BI22" s="135"/>
      <c r="BJ22" s="135"/>
      <c r="BK22" s="135"/>
      <c r="BL22" s="135"/>
      <c r="BM22" s="135"/>
      <c r="BN22" s="135"/>
      <c r="BO22" s="135"/>
      <c r="BP22" s="135"/>
      <c r="BQ22" s="135"/>
      <c r="BR22" s="135"/>
      <c r="BS22" s="135"/>
      <c r="BT22" s="135"/>
      <c r="BU22" s="135"/>
      <c r="BV22" s="135"/>
      <c r="BW22" s="135"/>
      <c r="BX22" s="135"/>
      <c r="BY22" s="135"/>
      <c r="BZ22" s="135"/>
      <c r="CA22" s="135"/>
      <c r="CB22" s="135"/>
      <c r="CC22" s="135"/>
      <c r="CD22" s="135"/>
      <c r="CE22" s="135"/>
      <c r="CF22" s="135"/>
      <c r="CG22" s="135"/>
      <c r="CH22" s="135"/>
      <c r="CI22" s="135"/>
      <c r="CJ22" s="135"/>
    </row>
    <row r="23" spans="1:88" ht="10" customHeight="1">
      <c r="A23" s="135"/>
      <c r="B23" s="137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  <c r="AC23" s="138"/>
      <c r="AD23" s="138"/>
      <c r="AE23" s="138"/>
      <c r="AF23" s="138"/>
      <c r="AG23" s="138"/>
      <c r="AH23" s="138"/>
      <c r="AI23" s="138"/>
      <c r="AJ23" s="138"/>
      <c r="AK23" s="138"/>
      <c r="AL23" s="138"/>
      <c r="AM23" s="138"/>
      <c r="AN23" s="138"/>
      <c r="AO23" s="138"/>
      <c r="AP23" s="138"/>
      <c r="AQ23" s="138"/>
      <c r="AR23" s="138"/>
      <c r="AS23" s="138"/>
      <c r="AT23" s="138"/>
      <c r="AU23" s="138"/>
      <c r="AV23" s="138"/>
      <c r="AW23" s="138"/>
      <c r="AX23" s="138"/>
      <c r="AY23" s="139"/>
      <c r="AZ23" s="135"/>
      <c r="BA23" s="135"/>
      <c r="BB23" s="135"/>
      <c r="BC23" s="135"/>
      <c r="BD23" s="135"/>
      <c r="BE23" s="135"/>
      <c r="BF23" s="135"/>
      <c r="BG23" s="135"/>
      <c r="BH23" s="135"/>
      <c r="BI23" s="135"/>
      <c r="BJ23" s="135"/>
      <c r="BK23" s="135"/>
      <c r="BL23" s="135"/>
      <c r="BM23" s="135"/>
      <c r="BN23" s="135"/>
      <c r="BO23" s="135"/>
      <c r="BP23" s="135"/>
      <c r="BQ23" s="135"/>
      <c r="BR23" s="135"/>
      <c r="BS23" s="135"/>
      <c r="BT23" s="135"/>
      <c r="BU23" s="135"/>
      <c r="BV23" s="135"/>
      <c r="BW23" s="135"/>
      <c r="BX23" s="135"/>
      <c r="BY23" s="135"/>
      <c r="BZ23" s="135"/>
      <c r="CA23" s="135"/>
      <c r="CB23" s="135"/>
      <c r="CC23" s="135"/>
      <c r="CD23" s="135"/>
      <c r="CE23" s="135"/>
      <c r="CF23" s="135"/>
      <c r="CG23" s="135"/>
      <c r="CH23" s="135"/>
      <c r="CI23" s="135"/>
      <c r="CJ23" s="135"/>
    </row>
    <row r="24" spans="1:88" ht="15" customHeight="1">
      <c r="A24" s="135"/>
      <c r="B24" s="136"/>
      <c r="C24" s="207" t="s">
        <v>40</v>
      </c>
      <c r="D24" s="200"/>
      <c r="E24" s="200"/>
      <c r="F24" s="200"/>
      <c r="G24" s="200"/>
      <c r="H24" s="200"/>
      <c r="I24" s="200"/>
      <c r="J24" s="200"/>
      <c r="K24" s="200"/>
      <c r="L24" s="200"/>
      <c r="M24" s="200"/>
      <c r="N24" s="200"/>
      <c r="O24" s="200"/>
      <c r="P24" s="200"/>
      <c r="Q24" s="200"/>
      <c r="R24" s="200"/>
      <c r="S24" s="200"/>
      <c r="T24" s="200"/>
      <c r="U24" s="200"/>
      <c r="V24" s="200"/>
      <c r="W24" s="200"/>
      <c r="X24" s="200"/>
      <c r="Y24" s="200"/>
      <c r="Z24" s="200"/>
      <c r="AA24" s="200"/>
      <c r="AB24" s="200"/>
      <c r="AC24" s="200"/>
      <c r="AD24" s="200"/>
      <c r="AE24" s="200"/>
      <c r="AF24" s="200"/>
      <c r="AG24" s="200"/>
      <c r="AH24" s="200"/>
      <c r="AI24" s="200"/>
      <c r="AJ24" s="200"/>
      <c r="AK24" s="200"/>
      <c r="AL24" s="200"/>
      <c r="AM24" s="200"/>
      <c r="AN24" s="200"/>
      <c r="AO24" s="200"/>
      <c r="AP24" s="200"/>
      <c r="AQ24" s="200"/>
      <c r="AR24" s="200"/>
      <c r="AS24" s="200"/>
      <c r="AT24" s="200"/>
      <c r="AU24" s="200"/>
      <c r="AV24" s="200"/>
      <c r="AW24" s="200"/>
      <c r="AX24" s="200"/>
      <c r="AY24" s="140"/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35"/>
      <c r="BM24" s="135"/>
      <c r="BN24" s="135"/>
      <c r="BO24" s="135"/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35"/>
      <c r="CC24" s="135"/>
      <c r="CD24" s="135"/>
      <c r="CE24" s="135"/>
      <c r="CF24" s="135"/>
      <c r="CG24" s="135"/>
      <c r="CH24" s="135"/>
      <c r="CI24" s="135"/>
      <c r="CJ24" s="135"/>
    </row>
    <row r="25" spans="1:88" s="3" customFormat="1" ht="10" customHeight="1">
      <c r="A25" s="135"/>
      <c r="B25" s="136"/>
      <c r="C25" s="135"/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5"/>
      <c r="R25" s="135"/>
      <c r="S25" s="135"/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5"/>
      <c r="AG25" s="135"/>
      <c r="AH25" s="135"/>
      <c r="AI25" s="135"/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5"/>
      <c r="AW25" s="135"/>
      <c r="AX25" s="135"/>
      <c r="AY25" s="140"/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5"/>
      <c r="BM25" s="135"/>
      <c r="BN25" s="135"/>
      <c r="BO25" s="135"/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5"/>
      <c r="CC25" s="135"/>
      <c r="CD25" s="135"/>
      <c r="CE25" s="135"/>
      <c r="CF25" s="135"/>
      <c r="CG25" s="135"/>
      <c r="CH25" s="135"/>
      <c r="CI25" s="135"/>
      <c r="CJ25" s="135"/>
    </row>
    <row r="26" spans="1:88" ht="15" customHeight="1">
      <c r="A26" s="135"/>
      <c r="B26" s="136"/>
      <c r="C26" s="199" t="s">
        <v>41</v>
      </c>
      <c r="D26" s="200"/>
      <c r="E26" s="200"/>
      <c r="F26" s="200"/>
      <c r="G26" s="200"/>
      <c r="H26" s="200"/>
      <c r="I26" s="200"/>
      <c r="J26" s="200"/>
      <c r="K26" s="200"/>
      <c r="L26" s="135"/>
      <c r="M26" s="135"/>
      <c r="N26" s="135"/>
      <c r="O26" s="135"/>
      <c r="P26" s="135"/>
      <c r="Q26" s="135"/>
      <c r="R26" s="135"/>
      <c r="S26" s="135"/>
      <c r="T26" s="135"/>
      <c r="U26" s="135"/>
      <c r="V26" s="135"/>
      <c r="W26" s="135"/>
      <c r="X26" s="135"/>
      <c r="Y26" s="135"/>
      <c r="Z26" s="135"/>
      <c r="AA26" s="135"/>
      <c r="AB26" s="135"/>
      <c r="AC26" s="135"/>
      <c r="AD26" s="135"/>
      <c r="AE26" s="135"/>
      <c r="AF26" s="135"/>
      <c r="AG26" s="135"/>
      <c r="AH26" s="135"/>
      <c r="AI26" s="135"/>
      <c r="AJ26" s="135"/>
      <c r="AK26" s="135"/>
      <c r="AL26" s="135"/>
      <c r="AM26" s="135"/>
      <c r="AN26" s="135"/>
      <c r="AO26" s="135"/>
      <c r="AP26" s="135"/>
      <c r="AQ26" s="135"/>
      <c r="AR26" s="135"/>
      <c r="AS26" s="135"/>
      <c r="AT26" s="135"/>
      <c r="AU26" s="135"/>
      <c r="AV26" s="135"/>
      <c r="AW26" s="135"/>
      <c r="AX26" s="135"/>
      <c r="AY26" s="140"/>
      <c r="AZ26" s="135"/>
      <c r="BA26" s="135"/>
      <c r="BB26" s="135"/>
      <c r="BC26" s="135"/>
      <c r="BD26" s="135"/>
      <c r="BE26" s="135"/>
      <c r="BF26" s="135"/>
      <c r="BG26" s="135"/>
      <c r="BH26" s="135"/>
      <c r="BI26" s="135"/>
      <c r="BJ26" s="135"/>
      <c r="BK26" s="135"/>
      <c r="BL26" s="135"/>
      <c r="BM26" s="135"/>
      <c r="BN26" s="135"/>
      <c r="BO26" s="135"/>
      <c r="BP26" s="135"/>
      <c r="BQ26" s="135"/>
      <c r="BR26" s="135"/>
      <c r="BS26" s="135"/>
      <c r="BT26" s="135"/>
      <c r="BU26" s="135"/>
      <c r="BV26" s="135"/>
      <c r="BW26" s="135"/>
      <c r="BX26" s="135"/>
      <c r="BY26" s="135"/>
      <c r="BZ26" s="135"/>
      <c r="CA26" s="135"/>
      <c r="CB26" s="135"/>
      <c r="CC26" s="135"/>
      <c r="CD26" s="135"/>
      <c r="CE26" s="135"/>
      <c r="CF26" s="135"/>
      <c r="CG26" s="135"/>
      <c r="CH26" s="135"/>
      <c r="CI26" s="135"/>
      <c r="CJ26" s="135"/>
    </row>
    <row r="27" spans="1:88" ht="10" customHeight="1">
      <c r="A27" s="135"/>
      <c r="B27" s="136"/>
      <c r="C27" s="135"/>
      <c r="D27" s="135"/>
      <c r="E27" s="135"/>
      <c r="F27" s="135"/>
      <c r="G27" s="135"/>
      <c r="H27" s="135"/>
      <c r="I27" s="135"/>
      <c r="J27" s="135"/>
      <c r="K27" s="135"/>
      <c r="L27" s="135"/>
      <c r="M27" s="135"/>
      <c r="N27" s="135"/>
      <c r="O27" s="135"/>
      <c r="P27" s="135"/>
      <c r="Q27" s="135"/>
      <c r="R27" s="135"/>
      <c r="S27" s="135"/>
      <c r="T27" s="135"/>
      <c r="U27" s="135"/>
      <c r="V27" s="135"/>
      <c r="W27" s="135"/>
      <c r="X27" s="135"/>
      <c r="Y27" s="135"/>
      <c r="Z27" s="135"/>
      <c r="AA27" s="135"/>
      <c r="AB27" s="135"/>
      <c r="AC27" s="135"/>
      <c r="AD27" s="135"/>
      <c r="AE27" s="135"/>
      <c r="AF27" s="135"/>
      <c r="AG27" s="135"/>
      <c r="AH27" s="135"/>
      <c r="AI27" s="135"/>
      <c r="AJ27" s="135"/>
      <c r="AK27" s="135"/>
      <c r="AL27" s="135"/>
      <c r="AM27" s="135"/>
      <c r="AN27" s="135"/>
      <c r="AO27" s="135"/>
      <c r="AP27" s="135"/>
      <c r="AQ27" s="135"/>
      <c r="AR27" s="135"/>
      <c r="AS27" s="135"/>
      <c r="AT27" s="135"/>
      <c r="AU27" s="135"/>
      <c r="AV27" s="135"/>
      <c r="AW27" s="135"/>
      <c r="AX27" s="135"/>
      <c r="AY27" s="140"/>
      <c r="AZ27" s="135"/>
      <c r="BA27" s="135"/>
      <c r="BB27" s="135"/>
      <c r="BC27" s="135"/>
      <c r="BD27" s="135"/>
      <c r="BE27" s="135"/>
      <c r="BF27" s="135"/>
      <c r="BG27" s="135"/>
      <c r="BH27" s="135"/>
      <c r="BI27" s="135"/>
      <c r="BJ27" s="135"/>
      <c r="BK27" s="135"/>
      <c r="BL27" s="135"/>
      <c r="BM27" s="135"/>
      <c r="BN27" s="135"/>
      <c r="BO27" s="135"/>
      <c r="BP27" s="135"/>
      <c r="BQ27" s="135"/>
      <c r="BR27" s="135"/>
      <c r="BS27" s="135"/>
      <c r="BT27" s="135"/>
      <c r="BU27" s="135"/>
      <c r="BV27" s="135"/>
      <c r="BW27" s="135"/>
      <c r="BX27" s="135"/>
      <c r="BY27" s="135"/>
      <c r="BZ27" s="135"/>
      <c r="CA27" s="135"/>
      <c r="CB27" s="135"/>
      <c r="CC27" s="135"/>
      <c r="CD27" s="135"/>
      <c r="CE27" s="135"/>
      <c r="CF27" s="135"/>
      <c r="CG27" s="135"/>
      <c r="CH27" s="135"/>
      <c r="CI27" s="135"/>
      <c r="CJ27" s="135"/>
    </row>
    <row r="28" spans="1:88" ht="42" customHeight="1">
      <c r="A28" s="135"/>
      <c r="B28" s="136"/>
      <c r="C28" s="201">
        <v>4.8383190509259264E-3</v>
      </c>
      <c r="D28" s="202"/>
      <c r="E28" s="202"/>
      <c r="F28" s="202"/>
      <c r="G28" s="202"/>
      <c r="H28" s="202"/>
      <c r="I28" s="202"/>
      <c r="J28" s="202"/>
      <c r="K28" s="202"/>
      <c r="L28" s="202"/>
      <c r="M28" s="202"/>
      <c r="N28" s="202"/>
      <c r="O28" s="202"/>
      <c r="P28" s="203"/>
      <c r="Q28" s="135"/>
      <c r="R28" s="204" t="s">
        <v>12</v>
      </c>
      <c r="S28" s="205"/>
      <c r="T28" s="205"/>
      <c r="U28" s="205"/>
      <c r="V28" s="205"/>
      <c r="W28" s="205"/>
      <c r="X28" s="206"/>
      <c r="Y28" s="135"/>
      <c r="Z28" s="204" t="s">
        <v>11</v>
      </c>
      <c r="AA28" s="205"/>
      <c r="AB28" s="205"/>
      <c r="AC28" s="205"/>
      <c r="AD28" s="205"/>
      <c r="AE28" s="205"/>
      <c r="AF28" s="206"/>
      <c r="AG28" s="135"/>
      <c r="AH28" s="204" t="s">
        <v>117</v>
      </c>
      <c r="AI28" s="205"/>
      <c r="AJ28" s="205"/>
      <c r="AK28" s="205"/>
      <c r="AL28" s="205"/>
      <c r="AM28" s="205"/>
      <c r="AN28" s="206"/>
      <c r="AO28" s="135"/>
      <c r="AP28" s="231" t="s">
        <v>13</v>
      </c>
      <c r="AQ28" s="232"/>
      <c r="AR28" s="232"/>
      <c r="AS28" s="232"/>
      <c r="AT28" s="232"/>
      <c r="AU28" s="232"/>
      <c r="AV28" s="233"/>
      <c r="AW28" s="135"/>
      <c r="AX28" s="135"/>
      <c r="AY28" s="140"/>
      <c r="AZ28" s="135"/>
      <c r="BA28" s="135"/>
      <c r="BB28" s="135"/>
      <c r="BC28" s="135"/>
      <c r="BD28" s="135"/>
      <c r="BE28" s="135"/>
      <c r="BF28" s="135"/>
      <c r="BG28" s="135"/>
      <c r="BH28" s="135"/>
      <c r="BI28" s="135"/>
      <c r="BJ28" s="135"/>
      <c r="BK28" s="135"/>
      <c r="BL28" s="135"/>
      <c r="BM28" s="135"/>
      <c r="BN28" s="135"/>
      <c r="BO28" s="135"/>
      <c r="BP28" s="135"/>
      <c r="BQ28" s="135"/>
      <c r="BR28" s="135"/>
      <c r="BS28" s="135"/>
      <c r="BT28" s="135"/>
      <c r="BU28" s="135"/>
      <c r="BV28" s="135"/>
      <c r="BW28" s="135"/>
      <c r="BX28" s="135"/>
      <c r="BY28" s="135"/>
      <c r="BZ28" s="135"/>
      <c r="CA28" s="135"/>
      <c r="CB28" s="135"/>
      <c r="CC28" s="135"/>
      <c r="CD28" s="135"/>
      <c r="CE28" s="135"/>
      <c r="CF28" s="135"/>
      <c r="CG28" s="135"/>
      <c r="CH28" s="135"/>
      <c r="CI28" s="135"/>
      <c r="CJ28" s="135"/>
    </row>
    <row r="29" spans="1:88" ht="90" customHeight="1" thickBot="1">
      <c r="A29" s="135"/>
      <c r="B29" s="141"/>
      <c r="C29" s="142"/>
      <c r="D29" s="142"/>
      <c r="E29" s="142"/>
      <c r="F29" s="142"/>
      <c r="G29" s="142"/>
      <c r="H29" s="142"/>
      <c r="I29" s="142"/>
      <c r="J29" s="142"/>
      <c r="K29" s="142"/>
      <c r="L29" s="142"/>
      <c r="M29" s="142"/>
      <c r="N29" s="142"/>
      <c r="O29" s="142"/>
      <c r="P29" s="142"/>
      <c r="Q29" s="142"/>
      <c r="R29" s="142"/>
      <c r="S29" s="142"/>
      <c r="T29" s="142"/>
      <c r="U29" s="142"/>
      <c r="V29" s="142"/>
      <c r="W29" s="142"/>
      <c r="X29" s="142"/>
      <c r="Y29" s="142"/>
      <c r="Z29" s="142"/>
      <c r="AA29" s="142"/>
      <c r="AB29" s="142"/>
      <c r="AC29" s="142"/>
      <c r="AD29" s="142"/>
      <c r="AE29" s="142"/>
      <c r="AF29" s="142"/>
      <c r="AG29" s="142"/>
      <c r="AH29" s="142"/>
      <c r="AI29" s="142"/>
      <c r="AJ29" s="142"/>
      <c r="AK29" s="142"/>
      <c r="AL29" s="142"/>
      <c r="AM29" s="142"/>
      <c r="AN29" s="142"/>
      <c r="AO29" s="142"/>
      <c r="AP29" s="142"/>
      <c r="AQ29" s="142"/>
      <c r="AR29" s="142"/>
      <c r="AS29" s="142"/>
      <c r="AT29" s="142"/>
      <c r="AU29" s="142"/>
      <c r="AV29" s="142"/>
      <c r="AW29" s="142"/>
      <c r="AX29" s="142"/>
      <c r="AY29" s="143"/>
      <c r="AZ29" s="135"/>
      <c r="BA29" s="135"/>
      <c r="BB29" s="135"/>
      <c r="BC29" s="135"/>
      <c r="BD29" s="135"/>
      <c r="BE29" s="135"/>
      <c r="BF29" s="135"/>
      <c r="BG29" s="135"/>
      <c r="BH29" s="135"/>
      <c r="BI29" s="135"/>
      <c r="BJ29" s="135"/>
      <c r="BK29" s="135"/>
      <c r="BL29" s="135"/>
      <c r="BM29" s="135"/>
      <c r="BN29" s="135"/>
      <c r="BO29" s="135"/>
      <c r="BP29" s="135"/>
      <c r="BQ29" s="135"/>
      <c r="BR29" s="135"/>
      <c r="BS29" s="135"/>
      <c r="BT29" s="135"/>
      <c r="BU29" s="135"/>
      <c r="BV29" s="135"/>
      <c r="BW29" s="135"/>
      <c r="BX29" s="135"/>
      <c r="BY29" s="135"/>
      <c r="BZ29" s="135"/>
      <c r="CA29" s="135"/>
      <c r="CB29" s="135"/>
      <c r="CC29" s="135"/>
      <c r="CD29" s="135"/>
      <c r="CE29" s="135"/>
      <c r="CF29" s="135"/>
      <c r="CG29" s="135"/>
      <c r="CH29" s="135"/>
      <c r="CI29" s="135"/>
      <c r="CJ29" s="135"/>
    </row>
    <row r="30" spans="1:88" ht="106" customHeight="1">
      <c r="A30" s="135"/>
      <c r="B30" s="135"/>
      <c r="C30" s="135"/>
      <c r="D30" s="135"/>
      <c r="E30" s="135"/>
      <c r="F30" s="135"/>
      <c r="G30" s="135"/>
      <c r="H30" s="135"/>
      <c r="I30" s="135"/>
      <c r="J30" s="135"/>
      <c r="K30" s="135"/>
      <c r="L30" s="135"/>
      <c r="M30" s="135"/>
      <c r="N30" s="135"/>
      <c r="O30" s="135"/>
      <c r="P30" s="135"/>
      <c r="Q30" s="135"/>
      <c r="R30" s="135"/>
      <c r="S30" s="135"/>
      <c r="T30" s="135"/>
      <c r="U30" s="135"/>
      <c r="V30" s="135"/>
      <c r="W30" s="135"/>
      <c r="X30" s="135"/>
      <c r="Y30" s="135"/>
      <c r="Z30" s="135"/>
      <c r="AA30" s="135"/>
      <c r="AB30" s="135"/>
      <c r="AC30" s="135"/>
      <c r="AD30" s="135"/>
      <c r="AE30" s="135"/>
      <c r="AF30" s="135"/>
      <c r="AG30" s="135"/>
      <c r="AH30" s="135"/>
      <c r="AI30" s="135"/>
      <c r="AJ30" s="135"/>
      <c r="AK30" s="135"/>
      <c r="AL30" s="135"/>
      <c r="AM30" s="135"/>
      <c r="AN30" s="135"/>
      <c r="AO30" s="135"/>
      <c r="AP30" s="135"/>
      <c r="AQ30" s="135"/>
      <c r="AR30" s="135"/>
      <c r="AS30" s="135"/>
      <c r="AT30" s="135"/>
      <c r="AU30" s="135"/>
      <c r="AV30" s="135"/>
      <c r="AW30" s="135"/>
      <c r="AX30" s="135"/>
      <c r="AY30" s="135"/>
      <c r="AZ30" s="135"/>
      <c r="BA30" s="135"/>
      <c r="BB30" s="135"/>
      <c r="BC30" s="135"/>
      <c r="BD30" s="135"/>
      <c r="BE30" s="135"/>
      <c r="BF30" s="135"/>
      <c r="BG30" s="135"/>
      <c r="BH30" s="135"/>
      <c r="BI30" s="135"/>
      <c r="BJ30" s="135"/>
      <c r="BK30" s="135"/>
      <c r="BL30" s="135"/>
      <c r="BM30" s="135"/>
      <c r="BN30" s="135"/>
      <c r="BO30" s="135"/>
      <c r="BP30" s="135"/>
      <c r="BQ30" s="135"/>
      <c r="BR30" s="135"/>
      <c r="BS30" s="135"/>
      <c r="BT30" s="135"/>
      <c r="BU30" s="135"/>
      <c r="BV30" s="135"/>
      <c r="BW30" s="135"/>
      <c r="BX30" s="135"/>
      <c r="BY30" s="135"/>
      <c r="BZ30" s="135"/>
      <c r="CA30" s="135"/>
      <c r="CB30" s="135"/>
      <c r="CC30" s="135"/>
      <c r="CD30" s="135"/>
      <c r="CE30" s="135"/>
      <c r="CF30" s="135"/>
      <c r="CG30" s="135"/>
      <c r="CH30" s="135"/>
      <c r="CI30" s="135"/>
      <c r="CJ30" s="135"/>
    </row>
    <row r="31" spans="1:88" ht="10" customHeight="1">
      <c r="A31" s="135"/>
      <c r="B31" s="135"/>
      <c r="C31" s="135"/>
      <c r="D31" s="135"/>
      <c r="E31" s="135"/>
      <c r="F31" s="135"/>
      <c r="G31" s="135"/>
      <c r="H31" s="135"/>
      <c r="I31" s="135"/>
      <c r="J31" s="135"/>
      <c r="K31" s="135"/>
      <c r="L31" s="135"/>
      <c r="M31" s="135"/>
      <c r="N31" s="135"/>
      <c r="O31" s="135"/>
      <c r="P31" s="135"/>
      <c r="Q31" s="135"/>
      <c r="R31" s="135"/>
      <c r="S31" s="135"/>
      <c r="T31" s="135"/>
      <c r="U31" s="135"/>
      <c r="V31" s="135"/>
      <c r="W31" s="135"/>
      <c r="X31" s="135"/>
      <c r="Y31" s="135"/>
      <c r="Z31" s="135"/>
      <c r="AA31" s="135"/>
      <c r="AB31" s="135"/>
      <c r="AC31" s="135"/>
      <c r="AD31" s="135"/>
      <c r="AE31" s="135"/>
      <c r="AF31" s="135"/>
      <c r="AG31" s="135"/>
      <c r="AH31" s="135"/>
      <c r="AI31" s="135"/>
      <c r="AJ31" s="135"/>
      <c r="AK31" s="135"/>
      <c r="AL31" s="135"/>
      <c r="AM31" s="135"/>
      <c r="AN31" s="135"/>
      <c r="AO31" s="135"/>
      <c r="AP31" s="135"/>
      <c r="AQ31" s="135"/>
      <c r="AR31" s="135"/>
      <c r="AS31" s="135"/>
      <c r="AT31" s="135"/>
      <c r="AU31" s="135"/>
      <c r="AV31" s="135"/>
      <c r="AW31" s="135"/>
      <c r="AX31" s="135"/>
      <c r="AY31" s="135"/>
      <c r="AZ31" s="135"/>
      <c r="BA31" s="135"/>
      <c r="BB31" s="135"/>
      <c r="BC31" s="135"/>
      <c r="BD31" s="135"/>
      <c r="BE31" s="135"/>
      <c r="BF31" s="135"/>
      <c r="BG31" s="135"/>
      <c r="BH31" s="135"/>
      <c r="BI31" s="135"/>
      <c r="BJ31" s="135"/>
      <c r="BK31" s="135"/>
      <c r="BL31" s="135"/>
      <c r="BM31" s="135"/>
      <c r="BN31" s="135"/>
      <c r="BO31" s="135"/>
      <c r="BP31" s="135"/>
      <c r="BQ31" s="135"/>
      <c r="BR31" s="135"/>
      <c r="BS31" s="135"/>
      <c r="BT31" s="135"/>
      <c r="BU31" s="135"/>
      <c r="BV31" s="135"/>
      <c r="BW31" s="135"/>
      <c r="BX31" s="135"/>
      <c r="BY31" s="135"/>
      <c r="BZ31" s="135"/>
      <c r="CA31" s="135"/>
      <c r="CB31" s="135"/>
      <c r="CC31" s="135"/>
      <c r="CD31" s="135"/>
      <c r="CE31" s="135"/>
      <c r="CF31" s="135"/>
      <c r="CG31" s="135"/>
      <c r="CH31" s="135"/>
      <c r="CI31" s="135"/>
      <c r="CJ31" s="135"/>
    </row>
    <row r="32" spans="1:88" ht="10" customHeight="1">
      <c r="A32" s="135"/>
      <c r="B32" s="135"/>
      <c r="C32" s="135"/>
      <c r="D32" s="135"/>
      <c r="E32" s="135"/>
      <c r="F32" s="135"/>
      <c r="G32" s="135"/>
      <c r="H32" s="135"/>
      <c r="I32" s="135"/>
      <c r="J32" s="135"/>
      <c r="K32" s="135"/>
      <c r="L32" s="135"/>
      <c r="M32" s="135"/>
      <c r="N32" s="135"/>
      <c r="O32" s="135"/>
      <c r="P32" s="135"/>
      <c r="Q32" s="135"/>
      <c r="R32" s="135"/>
      <c r="S32" s="135"/>
      <c r="T32" s="135"/>
      <c r="U32" s="135"/>
      <c r="V32" s="135"/>
      <c r="W32" s="135"/>
      <c r="X32" s="135"/>
      <c r="Y32" s="135"/>
      <c r="Z32" s="135"/>
      <c r="AA32" s="135"/>
      <c r="AB32" s="135"/>
      <c r="AC32" s="135"/>
      <c r="AD32" s="135"/>
      <c r="AE32" s="135"/>
      <c r="AF32" s="135"/>
      <c r="AG32" s="135"/>
      <c r="AH32" s="135"/>
      <c r="AI32" s="135"/>
      <c r="AJ32" s="135"/>
      <c r="AK32" s="135"/>
      <c r="AL32" s="135"/>
      <c r="AM32" s="135"/>
      <c r="AN32" s="135"/>
      <c r="AO32" s="135"/>
      <c r="AP32" s="135"/>
      <c r="AQ32" s="135"/>
      <c r="AR32" s="135"/>
      <c r="AS32" s="135"/>
      <c r="AT32" s="135"/>
      <c r="AU32" s="135"/>
      <c r="AV32" s="135"/>
      <c r="AW32" s="135"/>
      <c r="AX32" s="135"/>
      <c r="AY32" s="135"/>
      <c r="AZ32" s="135"/>
      <c r="BA32" s="135"/>
      <c r="BB32" s="135"/>
      <c r="BC32" s="135"/>
      <c r="BD32" s="135"/>
      <c r="BE32" s="135"/>
      <c r="BF32" s="135"/>
      <c r="BG32" s="135"/>
      <c r="BH32" s="135"/>
      <c r="BI32" s="135"/>
      <c r="BJ32" s="135"/>
      <c r="BK32" s="135"/>
      <c r="BL32" s="135"/>
      <c r="BM32" s="135"/>
      <c r="BN32" s="135"/>
      <c r="BO32" s="135"/>
      <c r="BP32" s="135"/>
      <c r="BQ32" s="135"/>
      <c r="BR32" s="135"/>
      <c r="BS32" s="135"/>
      <c r="BT32" s="135"/>
      <c r="BU32" s="135"/>
      <c r="BV32" s="135"/>
      <c r="BW32" s="135"/>
      <c r="BX32" s="135"/>
      <c r="BY32" s="135"/>
      <c r="BZ32" s="135"/>
      <c r="CA32" s="135"/>
      <c r="CB32" s="135"/>
      <c r="CC32" s="135"/>
      <c r="CD32" s="135"/>
      <c r="CE32" s="135"/>
      <c r="CF32" s="135"/>
      <c r="CG32" s="135"/>
      <c r="CH32" s="135"/>
      <c r="CI32" s="135"/>
      <c r="CJ32" s="135"/>
    </row>
    <row r="33" spans="1:88" ht="15" customHeight="1">
      <c r="A33" s="135"/>
      <c r="B33" s="135"/>
      <c r="C33" s="135"/>
      <c r="D33" s="135"/>
      <c r="E33" s="135"/>
      <c r="F33" s="135"/>
      <c r="G33" s="135"/>
      <c r="H33" s="135"/>
      <c r="I33" s="135"/>
      <c r="J33" s="135"/>
      <c r="K33" s="135"/>
      <c r="L33" s="135"/>
      <c r="M33" s="135"/>
      <c r="N33" s="135"/>
      <c r="O33" s="135"/>
      <c r="P33" s="135"/>
      <c r="Q33" s="135"/>
      <c r="R33" s="135"/>
      <c r="S33" s="135"/>
      <c r="T33" s="135"/>
      <c r="U33" s="135"/>
      <c r="V33" s="135"/>
      <c r="W33" s="135"/>
      <c r="X33" s="135"/>
      <c r="Y33" s="135"/>
      <c r="Z33" s="135"/>
      <c r="AA33" s="135"/>
      <c r="AB33" s="135"/>
      <c r="AC33" s="135"/>
      <c r="AD33" s="135"/>
      <c r="AE33" s="135"/>
      <c r="AF33" s="135"/>
      <c r="AG33" s="135"/>
      <c r="AH33" s="135"/>
      <c r="AI33" s="135"/>
      <c r="AJ33" s="135"/>
      <c r="AK33" s="135"/>
      <c r="AL33" s="135"/>
      <c r="AM33" s="135"/>
      <c r="AN33" s="135"/>
      <c r="AO33" s="135"/>
      <c r="AP33" s="135"/>
      <c r="AQ33" s="135"/>
      <c r="AR33" s="135"/>
      <c r="AS33" s="135"/>
      <c r="AT33" s="135"/>
      <c r="AU33" s="135"/>
      <c r="AV33" s="135"/>
      <c r="AW33" s="135"/>
      <c r="AX33" s="135"/>
      <c r="AY33" s="135"/>
      <c r="AZ33" s="135"/>
      <c r="BA33" s="135"/>
      <c r="BB33" s="135"/>
      <c r="BC33" s="135"/>
      <c r="BD33" s="135"/>
      <c r="BE33" s="135"/>
      <c r="BF33" s="135"/>
      <c r="BG33" s="135"/>
      <c r="BH33" s="135"/>
      <c r="BI33" s="135"/>
      <c r="BJ33" s="135"/>
      <c r="BK33" s="135"/>
      <c r="BL33" s="135"/>
      <c r="BM33" s="135"/>
      <c r="BN33" s="135"/>
      <c r="BO33" s="135"/>
      <c r="BP33" s="135"/>
      <c r="BQ33" s="135"/>
      <c r="BR33" s="135"/>
      <c r="BS33" s="135"/>
      <c r="BT33" s="135"/>
      <c r="BU33" s="135"/>
      <c r="BV33" s="135"/>
      <c r="BW33" s="135"/>
      <c r="BX33" s="135"/>
      <c r="BY33" s="135"/>
      <c r="BZ33" s="135"/>
      <c r="CA33" s="135"/>
      <c r="CB33" s="135"/>
      <c r="CC33" s="135"/>
      <c r="CD33" s="135"/>
      <c r="CE33" s="135"/>
      <c r="CF33" s="135"/>
      <c r="CG33" s="135"/>
      <c r="CH33" s="135"/>
      <c r="CI33" s="135"/>
      <c r="CJ33" s="135"/>
    </row>
    <row r="34" spans="1:88" ht="15" customHeight="1">
      <c r="A34" s="135"/>
      <c r="B34" s="135"/>
      <c r="C34" s="135"/>
      <c r="D34" s="135"/>
      <c r="E34" s="135"/>
      <c r="F34" s="135"/>
      <c r="G34" s="135"/>
      <c r="H34" s="135"/>
      <c r="I34" s="135"/>
      <c r="J34" s="135"/>
      <c r="K34" s="135"/>
      <c r="L34" s="135"/>
      <c r="M34" s="135"/>
      <c r="N34" s="135"/>
      <c r="O34" s="135"/>
      <c r="P34" s="135"/>
      <c r="Q34" s="135"/>
      <c r="R34" s="135"/>
      <c r="S34" s="135"/>
      <c r="T34" s="135"/>
      <c r="U34" s="135"/>
      <c r="V34" s="135"/>
      <c r="W34" s="135"/>
      <c r="X34" s="135"/>
      <c r="Y34" s="135"/>
      <c r="Z34" s="135"/>
      <c r="AA34" s="135"/>
      <c r="AB34" s="135"/>
      <c r="AC34" s="135"/>
      <c r="AD34" s="135"/>
      <c r="AE34" s="135"/>
      <c r="AF34" s="135"/>
      <c r="AG34" s="135"/>
      <c r="AH34" s="135"/>
      <c r="AI34" s="135"/>
      <c r="AJ34" s="135"/>
      <c r="AK34" s="135"/>
      <c r="AL34" s="135"/>
      <c r="AM34" s="135"/>
      <c r="AN34" s="135"/>
      <c r="AO34" s="135"/>
      <c r="AP34" s="135"/>
      <c r="AQ34" s="135"/>
      <c r="AR34" s="135"/>
      <c r="AS34" s="135"/>
      <c r="AT34" s="135"/>
      <c r="AU34" s="135"/>
      <c r="AV34" s="135"/>
      <c r="AW34" s="135"/>
      <c r="AX34" s="135"/>
      <c r="AY34" s="135"/>
      <c r="AZ34" s="135"/>
      <c r="BA34" s="135"/>
      <c r="BB34" s="135"/>
      <c r="BC34" s="135"/>
      <c r="BD34" s="135"/>
      <c r="BE34" s="135"/>
      <c r="BF34" s="135"/>
      <c r="BG34" s="135"/>
      <c r="BH34" s="135"/>
      <c r="BI34" s="135"/>
      <c r="BJ34" s="135"/>
      <c r="BK34" s="135"/>
      <c r="BL34" s="135"/>
      <c r="BM34" s="135"/>
      <c r="BN34" s="135"/>
      <c r="BO34" s="135"/>
      <c r="BP34" s="135"/>
      <c r="BQ34" s="135"/>
      <c r="BR34" s="135"/>
      <c r="BS34" s="135"/>
      <c r="BT34" s="135"/>
      <c r="BU34" s="135"/>
      <c r="BV34" s="135"/>
      <c r="BW34" s="135"/>
      <c r="BX34" s="135"/>
      <c r="BY34" s="135"/>
      <c r="BZ34" s="135"/>
      <c r="CA34" s="135"/>
      <c r="CB34" s="135"/>
      <c r="CC34" s="135"/>
      <c r="CD34" s="135"/>
      <c r="CE34" s="135"/>
      <c r="CF34" s="135"/>
      <c r="CG34" s="135"/>
      <c r="CH34" s="135"/>
      <c r="CI34" s="135"/>
      <c r="CJ34" s="135"/>
    </row>
    <row r="35" spans="1:88" ht="15" customHeight="1">
      <c r="A35" s="135"/>
      <c r="B35" s="135"/>
      <c r="C35" s="135"/>
      <c r="D35" s="135"/>
      <c r="E35" s="135"/>
      <c r="F35" s="135"/>
      <c r="G35" s="135"/>
      <c r="H35" s="135"/>
      <c r="I35" s="135"/>
      <c r="J35" s="135"/>
      <c r="K35" s="135"/>
      <c r="L35" s="135"/>
      <c r="M35" s="135"/>
      <c r="N35" s="135"/>
      <c r="O35" s="135"/>
      <c r="P35" s="135"/>
      <c r="Q35" s="135"/>
      <c r="R35" s="135"/>
      <c r="S35" s="135"/>
      <c r="T35" s="135"/>
      <c r="U35" s="135"/>
      <c r="V35" s="135"/>
      <c r="W35" s="135"/>
      <c r="X35" s="135"/>
      <c r="Y35" s="135"/>
      <c r="Z35" s="135"/>
      <c r="AA35" s="135"/>
      <c r="AB35" s="135"/>
      <c r="AC35" s="135"/>
      <c r="AD35" s="135"/>
      <c r="AE35" s="135"/>
      <c r="AF35" s="135"/>
      <c r="AG35" s="135"/>
      <c r="AH35" s="135"/>
      <c r="AI35" s="135"/>
      <c r="AJ35" s="135"/>
      <c r="AK35" s="135"/>
      <c r="AL35" s="135"/>
      <c r="AM35" s="135"/>
      <c r="AN35" s="135"/>
      <c r="AO35" s="135"/>
      <c r="AP35" s="135"/>
      <c r="AQ35" s="135"/>
      <c r="AR35" s="135"/>
      <c r="AS35" s="135"/>
      <c r="AT35" s="135"/>
      <c r="AU35" s="135"/>
      <c r="AV35" s="135"/>
      <c r="AW35" s="135"/>
      <c r="AX35" s="135"/>
      <c r="AY35" s="135"/>
      <c r="AZ35" s="135"/>
      <c r="BA35" s="135"/>
      <c r="BB35" s="135"/>
      <c r="BC35" s="135"/>
      <c r="BD35" s="135"/>
      <c r="BE35" s="135"/>
      <c r="BF35" s="135"/>
      <c r="BG35" s="135"/>
      <c r="BH35" s="135"/>
      <c r="BI35" s="135"/>
      <c r="BJ35" s="135"/>
      <c r="BK35" s="135"/>
      <c r="BL35" s="135"/>
      <c r="BM35" s="135"/>
      <c r="BN35" s="135"/>
      <c r="BO35" s="135"/>
      <c r="BP35" s="135"/>
      <c r="BQ35" s="135"/>
      <c r="BR35" s="135"/>
      <c r="BS35" s="135"/>
      <c r="BT35" s="135"/>
      <c r="BU35" s="135"/>
      <c r="BV35" s="135"/>
      <c r="BW35" s="135"/>
      <c r="BX35" s="135"/>
      <c r="BY35" s="135"/>
      <c r="BZ35" s="135"/>
      <c r="CA35" s="135"/>
      <c r="CB35" s="135"/>
      <c r="CC35" s="135"/>
      <c r="CD35" s="135"/>
      <c r="CE35" s="135"/>
      <c r="CF35" s="135"/>
      <c r="CG35" s="135"/>
      <c r="CH35" s="135"/>
      <c r="CI35" s="135"/>
      <c r="CJ35" s="135"/>
    </row>
    <row r="36" spans="1:88" ht="15" customHeight="1">
      <c r="A36" s="135"/>
      <c r="B36" s="135"/>
      <c r="C36" s="135"/>
      <c r="D36" s="135"/>
      <c r="E36" s="135"/>
      <c r="F36" s="135"/>
      <c r="G36" s="135"/>
      <c r="H36" s="135"/>
      <c r="I36" s="135"/>
      <c r="J36" s="135"/>
      <c r="K36" s="135"/>
      <c r="L36" s="135"/>
      <c r="M36" s="135"/>
      <c r="N36" s="135"/>
      <c r="O36" s="135"/>
      <c r="P36" s="135"/>
      <c r="Q36" s="135"/>
      <c r="R36" s="135"/>
      <c r="S36" s="135"/>
      <c r="T36" s="135"/>
      <c r="U36" s="135"/>
      <c r="V36" s="135"/>
      <c r="W36" s="135"/>
      <c r="X36" s="135"/>
      <c r="Y36" s="135"/>
      <c r="Z36" s="135"/>
      <c r="AA36" s="135"/>
      <c r="AB36" s="135"/>
      <c r="AC36" s="135"/>
      <c r="AD36" s="135"/>
      <c r="AE36" s="135"/>
      <c r="AF36" s="135"/>
      <c r="AG36" s="135"/>
      <c r="AH36" s="135"/>
      <c r="AI36" s="135"/>
      <c r="AJ36" s="135"/>
      <c r="AK36" s="135"/>
      <c r="AL36" s="135"/>
      <c r="AM36" s="135"/>
      <c r="AN36" s="135"/>
      <c r="AO36" s="135"/>
      <c r="AP36" s="135"/>
      <c r="AQ36" s="135"/>
      <c r="AR36" s="135"/>
      <c r="AS36" s="135"/>
      <c r="AT36" s="135"/>
      <c r="AU36" s="135"/>
      <c r="AV36" s="135"/>
      <c r="AW36" s="135"/>
      <c r="AX36" s="135"/>
      <c r="AY36" s="135"/>
      <c r="AZ36" s="135"/>
      <c r="BA36" s="135"/>
      <c r="BB36" s="135"/>
      <c r="BC36" s="135"/>
      <c r="BD36" s="135"/>
      <c r="BE36" s="135"/>
      <c r="BF36" s="135"/>
      <c r="BG36" s="135"/>
      <c r="BH36" s="135"/>
      <c r="BI36" s="135"/>
      <c r="BJ36" s="135"/>
      <c r="BK36" s="135"/>
      <c r="BL36" s="135"/>
      <c r="BM36" s="135"/>
      <c r="BN36" s="135"/>
      <c r="BO36" s="135"/>
      <c r="BP36" s="135"/>
      <c r="BQ36" s="135"/>
      <c r="BR36" s="135"/>
      <c r="BS36" s="135"/>
      <c r="BT36" s="135"/>
      <c r="BU36" s="135"/>
      <c r="BV36" s="135"/>
      <c r="BW36" s="135"/>
      <c r="BX36" s="135"/>
      <c r="BY36" s="135"/>
      <c r="BZ36" s="135"/>
      <c r="CA36" s="135"/>
      <c r="CB36" s="135"/>
      <c r="CC36" s="135"/>
      <c r="CD36" s="135"/>
      <c r="CE36" s="135"/>
      <c r="CF36" s="135"/>
      <c r="CG36" s="135"/>
      <c r="CH36" s="135"/>
      <c r="CI36" s="135"/>
      <c r="CJ36" s="135"/>
    </row>
    <row r="37" spans="1:88" ht="15" customHeight="1">
      <c r="A37" s="135"/>
      <c r="B37" s="135"/>
      <c r="C37" s="135"/>
      <c r="D37" s="135"/>
      <c r="E37" s="135"/>
      <c r="F37" s="135"/>
      <c r="G37" s="135"/>
      <c r="H37" s="135"/>
      <c r="I37" s="135"/>
      <c r="J37" s="135"/>
      <c r="K37" s="135"/>
      <c r="L37" s="135"/>
      <c r="M37" s="135"/>
      <c r="N37" s="135"/>
      <c r="O37" s="135"/>
      <c r="P37" s="135"/>
      <c r="Q37" s="135"/>
      <c r="R37" s="135"/>
      <c r="S37" s="135"/>
      <c r="T37" s="135"/>
      <c r="U37" s="135"/>
      <c r="V37" s="135"/>
      <c r="W37" s="135"/>
      <c r="X37" s="135"/>
      <c r="Y37" s="135"/>
      <c r="Z37" s="135"/>
      <c r="AA37" s="135"/>
      <c r="AB37" s="135"/>
      <c r="AC37" s="135"/>
      <c r="AD37" s="135"/>
      <c r="AE37" s="135"/>
      <c r="AF37" s="135"/>
      <c r="AG37" s="135"/>
      <c r="AH37" s="135"/>
      <c r="AI37" s="135"/>
      <c r="AJ37" s="135"/>
      <c r="AK37" s="135"/>
      <c r="AL37" s="135"/>
      <c r="AM37" s="135"/>
      <c r="AN37" s="135"/>
      <c r="AO37" s="135"/>
      <c r="AP37" s="135"/>
      <c r="AQ37" s="135"/>
      <c r="AR37" s="135"/>
      <c r="AS37" s="135"/>
      <c r="AT37" s="135"/>
      <c r="AU37" s="135"/>
      <c r="AV37" s="135"/>
      <c r="AW37" s="135"/>
      <c r="AX37" s="135"/>
      <c r="AY37" s="135"/>
      <c r="AZ37" s="135"/>
      <c r="BA37" s="135"/>
      <c r="BB37" s="135"/>
      <c r="BC37" s="135"/>
      <c r="BD37" s="135"/>
      <c r="BE37" s="135"/>
      <c r="BF37" s="135"/>
      <c r="BG37" s="135"/>
      <c r="BH37" s="135"/>
      <c r="BI37" s="135"/>
      <c r="BJ37" s="135"/>
      <c r="BK37" s="135"/>
      <c r="BL37" s="135"/>
      <c r="BM37" s="135"/>
      <c r="BN37" s="135"/>
      <c r="BO37" s="135"/>
      <c r="BP37" s="135"/>
      <c r="BQ37" s="135"/>
      <c r="BR37" s="135"/>
      <c r="BS37" s="135"/>
      <c r="BT37" s="135"/>
      <c r="BU37" s="135"/>
      <c r="BV37" s="135"/>
      <c r="BW37" s="135"/>
      <c r="BX37" s="135"/>
      <c r="BY37" s="135"/>
      <c r="BZ37" s="135"/>
      <c r="CA37" s="135"/>
      <c r="CB37" s="135"/>
      <c r="CC37" s="135"/>
      <c r="CD37" s="135"/>
      <c r="CE37" s="135"/>
      <c r="CF37" s="135"/>
      <c r="CG37" s="135"/>
      <c r="CH37" s="135"/>
      <c r="CI37" s="135"/>
      <c r="CJ37" s="135"/>
    </row>
    <row r="38" spans="1:88" ht="15" customHeight="1">
      <c r="A38" s="135"/>
      <c r="B38" s="135"/>
      <c r="C38" s="135"/>
      <c r="D38" s="135"/>
      <c r="E38" s="135"/>
      <c r="F38" s="135"/>
      <c r="G38" s="135"/>
      <c r="H38" s="135"/>
      <c r="I38" s="135"/>
      <c r="J38" s="135"/>
      <c r="K38" s="135"/>
      <c r="L38" s="135"/>
      <c r="M38" s="135"/>
      <c r="N38" s="135"/>
      <c r="O38" s="135"/>
      <c r="P38" s="135"/>
      <c r="Q38" s="135"/>
      <c r="R38" s="135"/>
      <c r="S38" s="135"/>
      <c r="T38" s="135"/>
      <c r="U38" s="135"/>
      <c r="V38" s="135"/>
      <c r="W38" s="135"/>
      <c r="X38" s="135"/>
      <c r="Y38" s="135"/>
      <c r="Z38" s="135"/>
      <c r="AA38" s="135"/>
      <c r="AB38" s="135"/>
      <c r="AC38" s="135"/>
      <c r="AD38" s="135"/>
      <c r="AE38" s="135"/>
      <c r="AF38" s="135"/>
      <c r="AG38" s="135"/>
      <c r="AH38" s="135"/>
      <c r="AI38" s="135"/>
      <c r="AJ38" s="135"/>
      <c r="AK38" s="135"/>
      <c r="AL38" s="135"/>
      <c r="AM38" s="135"/>
      <c r="AN38" s="135"/>
      <c r="AO38" s="135"/>
      <c r="AP38" s="135"/>
      <c r="AQ38" s="135"/>
      <c r="AR38" s="135"/>
      <c r="AS38" s="135"/>
      <c r="AT38" s="135"/>
      <c r="AU38" s="135"/>
      <c r="AV38" s="135"/>
      <c r="AW38" s="135"/>
      <c r="AX38" s="135"/>
      <c r="AY38" s="135"/>
      <c r="AZ38" s="135"/>
      <c r="BA38" s="135"/>
      <c r="BB38" s="135"/>
      <c r="BC38" s="135"/>
      <c r="BD38" s="135"/>
      <c r="BE38" s="135"/>
      <c r="BF38" s="135"/>
      <c r="BG38" s="135"/>
      <c r="BH38" s="135"/>
      <c r="BI38" s="135"/>
      <c r="BJ38" s="135"/>
      <c r="BK38" s="135"/>
      <c r="BL38" s="135"/>
      <c r="BM38" s="135"/>
      <c r="BN38" s="135"/>
      <c r="BO38" s="135"/>
      <c r="BP38" s="135"/>
      <c r="BQ38" s="135"/>
      <c r="BR38" s="135"/>
      <c r="BS38" s="135"/>
      <c r="BT38" s="135"/>
      <c r="BU38" s="135"/>
      <c r="BV38" s="135"/>
      <c r="BW38" s="135"/>
      <c r="BX38" s="135"/>
      <c r="BY38" s="135"/>
      <c r="BZ38" s="135"/>
      <c r="CA38" s="135"/>
      <c r="CB38" s="135"/>
      <c r="CC38" s="135"/>
      <c r="CD38" s="135"/>
      <c r="CE38" s="135"/>
      <c r="CF38" s="135"/>
      <c r="CG38" s="135"/>
      <c r="CH38" s="135"/>
      <c r="CI38" s="135"/>
      <c r="CJ38" s="135"/>
    </row>
    <row r="39" spans="1:88" ht="15" customHeight="1">
      <c r="A39" s="135"/>
      <c r="B39" s="135"/>
      <c r="C39" s="135"/>
      <c r="D39" s="135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  <c r="S39" s="135"/>
      <c r="T39" s="135"/>
      <c r="U39" s="135"/>
      <c r="V39" s="135"/>
      <c r="W39" s="135"/>
      <c r="X39" s="135"/>
      <c r="Y39" s="135"/>
      <c r="Z39" s="135"/>
      <c r="AA39" s="135"/>
      <c r="AB39" s="135"/>
      <c r="AC39" s="135"/>
      <c r="AD39" s="135"/>
      <c r="AE39" s="135"/>
      <c r="AF39" s="135"/>
      <c r="AG39" s="135"/>
      <c r="AH39" s="135"/>
      <c r="AI39" s="135"/>
      <c r="AJ39" s="135"/>
      <c r="AK39" s="135"/>
      <c r="AL39" s="135"/>
      <c r="AM39" s="135"/>
      <c r="AN39" s="135"/>
      <c r="AO39" s="135"/>
      <c r="AP39" s="135"/>
      <c r="AQ39" s="135"/>
      <c r="AR39" s="135"/>
      <c r="AS39" s="135"/>
      <c r="AT39" s="135"/>
      <c r="AU39" s="135"/>
      <c r="AV39" s="135"/>
      <c r="AW39" s="135"/>
      <c r="AX39" s="135"/>
      <c r="AY39" s="135"/>
      <c r="AZ39" s="135"/>
      <c r="BA39" s="135"/>
      <c r="BB39" s="135"/>
      <c r="BC39" s="135"/>
      <c r="BD39" s="135"/>
      <c r="BE39" s="135"/>
      <c r="BF39" s="135"/>
      <c r="BG39" s="135"/>
      <c r="BH39" s="135"/>
      <c r="BI39" s="135"/>
      <c r="BJ39" s="135"/>
      <c r="BK39" s="135"/>
      <c r="BL39" s="135"/>
      <c r="BM39" s="135"/>
      <c r="BN39" s="135"/>
      <c r="BO39" s="135"/>
      <c r="BP39" s="135"/>
      <c r="BQ39" s="135"/>
      <c r="BR39" s="135"/>
      <c r="BS39" s="135"/>
      <c r="BT39" s="135"/>
      <c r="BU39" s="135"/>
      <c r="BV39" s="135"/>
      <c r="BW39" s="135"/>
      <c r="BX39" s="135"/>
      <c r="BY39" s="135"/>
      <c r="BZ39" s="135"/>
      <c r="CA39" s="135"/>
      <c r="CB39" s="135"/>
      <c r="CC39" s="135"/>
      <c r="CD39" s="135"/>
      <c r="CE39" s="135"/>
      <c r="CF39" s="135"/>
      <c r="CG39" s="135"/>
      <c r="CH39" s="135"/>
      <c r="CI39" s="135"/>
      <c r="CJ39" s="135"/>
    </row>
    <row r="40" spans="1:88" ht="15" customHeight="1">
      <c r="A40" s="135"/>
      <c r="B40" s="135"/>
      <c r="C40" s="135"/>
      <c r="D40" s="135"/>
      <c r="E40" s="135"/>
      <c r="F40" s="135"/>
      <c r="G40" s="135"/>
      <c r="H40" s="135"/>
      <c r="I40" s="135"/>
      <c r="J40" s="135"/>
      <c r="K40" s="135"/>
      <c r="L40" s="135"/>
      <c r="M40" s="135"/>
      <c r="N40" s="135"/>
      <c r="O40" s="135"/>
      <c r="P40" s="135"/>
      <c r="Q40" s="135"/>
      <c r="R40" s="135"/>
      <c r="S40" s="135"/>
      <c r="T40" s="135"/>
      <c r="U40" s="135"/>
      <c r="V40" s="135"/>
      <c r="W40" s="135"/>
      <c r="X40" s="135"/>
      <c r="Y40" s="135"/>
      <c r="Z40" s="135"/>
      <c r="AA40" s="135"/>
      <c r="AB40" s="135"/>
      <c r="AC40" s="135"/>
      <c r="AD40" s="135"/>
      <c r="AE40" s="135"/>
      <c r="AF40" s="135"/>
      <c r="AG40" s="135"/>
      <c r="AH40" s="135"/>
      <c r="AI40" s="135"/>
      <c r="AJ40" s="135"/>
      <c r="AK40" s="135"/>
      <c r="AL40" s="135"/>
      <c r="AM40" s="135"/>
      <c r="AN40" s="135"/>
      <c r="AO40" s="135"/>
      <c r="AP40" s="135"/>
      <c r="AQ40" s="135"/>
      <c r="AR40" s="135"/>
      <c r="AS40" s="135"/>
      <c r="AT40" s="135"/>
      <c r="AU40" s="135"/>
      <c r="AV40" s="135"/>
      <c r="AW40" s="135"/>
      <c r="AX40" s="135"/>
      <c r="AY40" s="135"/>
      <c r="AZ40" s="135"/>
      <c r="BA40" s="135"/>
      <c r="BB40" s="135"/>
      <c r="BC40" s="135"/>
      <c r="BD40" s="135"/>
      <c r="BE40" s="135"/>
      <c r="BF40" s="135"/>
      <c r="BG40" s="135"/>
      <c r="BH40" s="135"/>
      <c r="BI40" s="135"/>
      <c r="BJ40" s="135"/>
      <c r="BK40" s="135"/>
      <c r="BL40" s="135"/>
      <c r="BM40" s="135"/>
      <c r="BN40" s="135"/>
      <c r="BO40" s="135"/>
      <c r="BP40" s="135"/>
      <c r="BQ40" s="135"/>
      <c r="BR40" s="135"/>
      <c r="BS40" s="135"/>
      <c r="BT40" s="135"/>
      <c r="BU40" s="135"/>
      <c r="BV40" s="135"/>
      <c r="BW40" s="135"/>
      <c r="BX40" s="135"/>
      <c r="BY40" s="135"/>
      <c r="BZ40" s="135"/>
      <c r="CA40" s="135"/>
      <c r="CB40" s="135"/>
      <c r="CC40" s="135"/>
      <c r="CD40" s="135"/>
      <c r="CE40" s="135"/>
      <c r="CF40" s="135"/>
      <c r="CG40" s="135"/>
      <c r="CH40" s="135"/>
      <c r="CI40" s="135"/>
      <c r="CJ40" s="135"/>
    </row>
    <row r="41" spans="1:88" ht="15" customHeight="1">
      <c r="A41" s="135"/>
      <c r="B41" s="135"/>
      <c r="C41" s="135"/>
      <c r="D41" s="135"/>
      <c r="E41" s="135"/>
      <c r="F41" s="135"/>
      <c r="G41" s="135"/>
      <c r="H41" s="135"/>
      <c r="I41" s="135"/>
      <c r="J41" s="135"/>
      <c r="K41" s="135"/>
      <c r="L41" s="135"/>
      <c r="M41" s="135"/>
      <c r="N41" s="135"/>
      <c r="O41" s="135"/>
      <c r="P41" s="135"/>
      <c r="Q41" s="135"/>
      <c r="R41" s="135"/>
      <c r="S41" s="135"/>
      <c r="T41" s="135"/>
      <c r="U41" s="135"/>
      <c r="V41" s="135"/>
      <c r="W41" s="135"/>
      <c r="X41" s="135"/>
      <c r="Y41" s="135"/>
      <c r="Z41" s="135"/>
      <c r="AA41" s="135"/>
      <c r="AB41" s="135"/>
      <c r="AC41" s="135"/>
      <c r="AD41" s="135"/>
      <c r="AE41" s="135"/>
      <c r="AF41" s="135"/>
      <c r="AG41" s="135"/>
      <c r="AH41" s="135"/>
      <c r="AI41" s="135"/>
      <c r="AJ41" s="135"/>
      <c r="AK41" s="135"/>
      <c r="AL41" s="135"/>
      <c r="AM41" s="135"/>
      <c r="AN41" s="135"/>
      <c r="AO41" s="135"/>
      <c r="AP41" s="135"/>
      <c r="AQ41" s="135"/>
      <c r="AR41" s="135"/>
      <c r="AS41" s="135"/>
      <c r="AT41" s="135"/>
      <c r="AU41" s="135"/>
      <c r="AV41" s="135"/>
      <c r="AW41" s="135"/>
      <c r="AX41" s="135"/>
      <c r="AY41" s="135"/>
      <c r="AZ41" s="135"/>
      <c r="BA41" s="135"/>
      <c r="BB41" s="135"/>
      <c r="BC41" s="135"/>
      <c r="BD41" s="135"/>
      <c r="BE41" s="135"/>
      <c r="BF41" s="135"/>
      <c r="BG41" s="135"/>
      <c r="BH41" s="135"/>
      <c r="BI41" s="135"/>
      <c r="BJ41" s="135"/>
      <c r="BK41" s="135"/>
      <c r="BL41" s="135"/>
      <c r="BM41" s="135"/>
      <c r="BN41" s="135"/>
      <c r="BO41" s="135"/>
      <c r="BP41" s="135"/>
      <c r="BQ41" s="135"/>
      <c r="BR41" s="135"/>
      <c r="BS41" s="135"/>
      <c r="BT41" s="135"/>
      <c r="BU41" s="135"/>
      <c r="BV41" s="135"/>
      <c r="BW41" s="135"/>
      <c r="BX41" s="135"/>
      <c r="BY41" s="135"/>
      <c r="BZ41" s="135"/>
      <c r="CA41" s="135"/>
      <c r="CB41" s="135"/>
      <c r="CC41" s="135"/>
      <c r="CD41" s="135"/>
      <c r="CE41" s="135"/>
      <c r="CF41" s="135"/>
      <c r="CG41" s="135"/>
      <c r="CH41" s="135"/>
      <c r="CI41" s="135"/>
      <c r="CJ41" s="135"/>
    </row>
    <row r="42" spans="1:88" ht="15" customHeight="1">
      <c r="A42" s="135"/>
      <c r="B42" s="135"/>
      <c r="C42" s="135"/>
      <c r="D42" s="135"/>
      <c r="E42" s="135"/>
      <c r="F42" s="135"/>
      <c r="G42" s="135"/>
      <c r="H42" s="135"/>
      <c r="I42" s="135"/>
      <c r="J42" s="135"/>
      <c r="K42" s="135"/>
      <c r="L42" s="135"/>
      <c r="M42" s="135"/>
      <c r="N42" s="135"/>
      <c r="O42" s="135"/>
      <c r="P42" s="135"/>
      <c r="Q42" s="135"/>
      <c r="R42" s="135"/>
      <c r="S42" s="135"/>
      <c r="T42" s="135"/>
      <c r="U42" s="135"/>
      <c r="V42" s="135"/>
      <c r="W42" s="135"/>
      <c r="X42" s="135"/>
      <c r="Y42" s="135"/>
      <c r="Z42" s="135"/>
      <c r="AA42" s="135"/>
      <c r="AB42" s="135"/>
      <c r="AC42" s="135"/>
      <c r="AD42" s="135"/>
      <c r="AE42" s="135"/>
      <c r="AF42" s="135"/>
      <c r="AG42" s="135"/>
      <c r="AH42" s="135"/>
      <c r="AI42" s="135"/>
      <c r="AJ42" s="135"/>
      <c r="AK42" s="135"/>
      <c r="AL42" s="135"/>
      <c r="AM42" s="135"/>
      <c r="AN42" s="135"/>
      <c r="AO42" s="135"/>
      <c r="AP42" s="135"/>
      <c r="AQ42" s="135"/>
      <c r="AR42" s="135"/>
      <c r="AS42" s="135"/>
      <c r="AT42" s="135"/>
      <c r="AU42" s="135"/>
      <c r="AV42" s="135"/>
      <c r="AW42" s="135"/>
      <c r="AX42" s="135"/>
      <c r="AY42" s="135"/>
      <c r="AZ42" s="135"/>
      <c r="BA42" s="135"/>
      <c r="BB42" s="135"/>
      <c r="BC42" s="135"/>
      <c r="BD42" s="135"/>
      <c r="BE42" s="135"/>
      <c r="BF42" s="135"/>
      <c r="BG42" s="135"/>
      <c r="BH42" s="135"/>
      <c r="BI42" s="135"/>
      <c r="BJ42" s="135"/>
      <c r="BK42" s="135"/>
      <c r="BL42" s="135"/>
      <c r="BM42" s="135"/>
      <c r="BN42" s="135"/>
      <c r="BO42" s="135"/>
      <c r="BP42" s="135"/>
      <c r="BQ42" s="135"/>
      <c r="BR42" s="135"/>
      <c r="BS42" s="135"/>
      <c r="BT42" s="135"/>
      <c r="BU42" s="135"/>
      <c r="BV42" s="135"/>
      <c r="BW42" s="135"/>
      <c r="BX42" s="135"/>
      <c r="BY42" s="135"/>
      <c r="BZ42" s="135"/>
      <c r="CA42" s="135"/>
      <c r="CB42" s="135"/>
      <c r="CC42" s="135"/>
      <c r="CD42" s="135"/>
      <c r="CE42" s="135"/>
      <c r="CF42" s="135"/>
      <c r="CG42" s="135"/>
      <c r="CH42" s="135"/>
      <c r="CI42" s="135"/>
      <c r="CJ42" s="135"/>
    </row>
    <row r="43" spans="1:88" s="3" customFormat="1" ht="15" customHeight="1">
      <c r="A43" s="135"/>
      <c r="B43" s="135"/>
      <c r="C43" s="135"/>
      <c r="D43" s="135"/>
      <c r="E43" s="135"/>
      <c r="F43" s="135"/>
      <c r="G43" s="135"/>
      <c r="H43" s="135"/>
      <c r="I43" s="135"/>
      <c r="J43" s="135"/>
      <c r="K43" s="135"/>
      <c r="L43" s="135"/>
      <c r="M43" s="135"/>
      <c r="N43" s="135"/>
      <c r="O43" s="135"/>
      <c r="P43" s="135"/>
      <c r="Q43" s="135"/>
      <c r="R43" s="135"/>
      <c r="S43" s="135"/>
      <c r="T43" s="135"/>
      <c r="U43" s="135"/>
      <c r="V43" s="135"/>
      <c r="W43" s="135"/>
      <c r="X43" s="135"/>
      <c r="Y43" s="135"/>
      <c r="Z43" s="135"/>
      <c r="AA43" s="135"/>
      <c r="AB43" s="135"/>
      <c r="AC43" s="135"/>
      <c r="AD43" s="135"/>
      <c r="AE43" s="135"/>
      <c r="AF43" s="135"/>
      <c r="AG43" s="135"/>
      <c r="AH43" s="135"/>
      <c r="AI43" s="135"/>
      <c r="AJ43" s="135"/>
      <c r="AK43" s="135"/>
      <c r="AL43" s="135"/>
      <c r="AM43" s="135"/>
      <c r="AN43" s="135"/>
      <c r="AO43" s="135"/>
      <c r="AP43" s="135"/>
      <c r="AQ43" s="135"/>
      <c r="AR43" s="135"/>
      <c r="AS43" s="135"/>
      <c r="AT43" s="135"/>
      <c r="AU43" s="135"/>
      <c r="AV43" s="135"/>
      <c r="AW43" s="135"/>
      <c r="AX43" s="135"/>
      <c r="AY43" s="135"/>
      <c r="AZ43" s="135"/>
      <c r="BA43" s="135"/>
      <c r="BB43" s="135"/>
      <c r="BC43" s="135"/>
      <c r="BD43" s="135"/>
      <c r="BE43" s="135"/>
      <c r="BF43" s="135"/>
      <c r="BG43" s="135"/>
      <c r="BH43" s="135"/>
      <c r="BI43" s="135"/>
      <c r="BJ43" s="135"/>
      <c r="BK43" s="135"/>
      <c r="BL43" s="135"/>
      <c r="BM43" s="135"/>
      <c r="BN43" s="135"/>
      <c r="BO43" s="135"/>
      <c r="BP43" s="135"/>
      <c r="BQ43" s="135"/>
      <c r="BR43" s="135"/>
      <c r="BS43" s="135"/>
      <c r="BT43" s="135"/>
      <c r="BU43" s="135"/>
      <c r="BV43" s="135"/>
      <c r="BW43" s="135"/>
      <c r="BX43" s="135"/>
      <c r="BY43" s="135"/>
      <c r="BZ43" s="135"/>
      <c r="CA43" s="135"/>
      <c r="CB43" s="135"/>
      <c r="CC43" s="135"/>
      <c r="CD43" s="135"/>
      <c r="CE43" s="135"/>
      <c r="CF43" s="135"/>
      <c r="CG43" s="135"/>
      <c r="CH43" s="135"/>
      <c r="CI43" s="135"/>
      <c r="CJ43" s="135"/>
    </row>
    <row r="44" spans="1:88" ht="15" customHeight="1">
      <c r="A44" s="135"/>
      <c r="B44" s="135"/>
      <c r="C44" s="135"/>
      <c r="D44" s="135"/>
      <c r="E44" s="135"/>
      <c r="F44" s="135"/>
      <c r="G44" s="135"/>
      <c r="H44" s="135"/>
      <c r="I44" s="135"/>
      <c r="J44" s="135"/>
      <c r="K44" s="135"/>
      <c r="L44" s="135"/>
      <c r="M44" s="135"/>
      <c r="N44" s="135"/>
      <c r="O44" s="135"/>
      <c r="P44" s="135"/>
      <c r="Q44" s="135"/>
      <c r="R44" s="135"/>
      <c r="S44" s="135"/>
      <c r="T44" s="135"/>
      <c r="U44" s="135"/>
      <c r="V44" s="135"/>
      <c r="W44" s="135"/>
      <c r="X44" s="135"/>
      <c r="Y44" s="135"/>
      <c r="Z44" s="135"/>
      <c r="AA44" s="135"/>
      <c r="AB44" s="135"/>
      <c r="AC44" s="135"/>
      <c r="AD44" s="135"/>
      <c r="AE44" s="135"/>
      <c r="AF44" s="135"/>
      <c r="AG44" s="135"/>
      <c r="AH44" s="135"/>
      <c r="AI44" s="135"/>
      <c r="AJ44" s="135"/>
      <c r="AK44" s="135"/>
      <c r="AL44" s="135"/>
      <c r="AM44" s="135"/>
      <c r="AN44" s="135"/>
      <c r="AO44" s="135"/>
      <c r="AP44" s="135"/>
      <c r="AQ44" s="135"/>
      <c r="AR44" s="135"/>
      <c r="AS44" s="135"/>
      <c r="AT44" s="135"/>
      <c r="AU44" s="135"/>
      <c r="AV44" s="135"/>
      <c r="AW44" s="135"/>
      <c r="AX44" s="135"/>
      <c r="AY44" s="135"/>
      <c r="AZ44" s="135"/>
      <c r="BA44" s="135"/>
      <c r="BB44" s="135"/>
      <c r="BC44" s="135"/>
      <c r="BD44" s="135"/>
      <c r="BE44" s="135"/>
      <c r="BF44" s="135"/>
      <c r="BG44" s="135"/>
      <c r="BH44" s="135"/>
      <c r="BI44" s="135"/>
      <c r="BJ44" s="135"/>
      <c r="BK44" s="135"/>
      <c r="BL44" s="135"/>
      <c r="BM44" s="135"/>
      <c r="BN44" s="135"/>
      <c r="BO44" s="135"/>
      <c r="BP44" s="135"/>
      <c r="BQ44" s="135"/>
      <c r="BR44" s="135"/>
      <c r="BS44" s="135"/>
      <c r="BT44" s="135"/>
      <c r="BU44" s="135"/>
      <c r="BV44" s="135"/>
      <c r="BW44" s="135"/>
      <c r="BX44" s="135"/>
      <c r="BY44" s="135"/>
      <c r="BZ44" s="135"/>
      <c r="CA44" s="135"/>
      <c r="CB44" s="135"/>
      <c r="CC44" s="135"/>
      <c r="CD44" s="135"/>
      <c r="CE44" s="135"/>
      <c r="CF44" s="135"/>
      <c r="CG44" s="135"/>
      <c r="CH44" s="135"/>
      <c r="CI44" s="135"/>
      <c r="CJ44" s="135"/>
    </row>
    <row r="45" spans="1:88" ht="15" customHeight="1">
      <c r="A45" s="135"/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  <c r="AC45" s="135"/>
      <c r="AD45" s="135"/>
      <c r="AE45" s="135"/>
      <c r="AF45" s="135"/>
      <c r="AG45" s="135"/>
      <c r="AH45" s="135"/>
      <c r="AI45" s="135"/>
      <c r="AJ45" s="135"/>
      <c r="AK45" s="135"/>
      <c r="AL45" s="135"/>
      <c r="AM45" s="135"/>
      <c r="AN45" s="135"/>
      <c r="AO45" s="135"/>
      <c r="AP45" s="135"/>
      <c r="AQ45" s="135"/>
      <c r="AR45" s="135"/>
      <c r="AS45" s="135"/>
      <c r="AT45" s="135"/>
      <c r="AU45" s="135"/>
      <c r="AV45" s="135"/>
      <c r="AW45" s="135"/>
      <c r="AX45" s="135"/>
      <c r="AY45" s="135"/>
      <c r="AZ45" s="135"/>
      <c r="BA45" s="135"/>
      <c r="BB45" s="135"/>
      <c r="BC45" s="135"/>
      <c r="BD45" s="135"/>
      <c r="BE45" s="135"/>
      <c r="BF45" s="135"/>
      <c r="BG45" s="135"/>
      <c r="BH45" s="135"/>
      <c r="BI45" s="135"/>
      <c r="BJ45" s="135"/>
      <c r="BK45" s="135"/>
      <c r="BL45" s="135"/>
      <c r="BM45" s="135"/>
      <c r="BN45" s="135"/>
      <c r="BO45" s="135"/>
      <c r="BP45" s="135"/>
      <c r="BQ45" s="135"/>
      <c r="BR45" s="135"/>
      <c r="BS45" s="135"/>
      <c r="BT45" s="135"/>
      <c r="BU45" s="135"/>
      <c r="BV45" s="135"/>
      <c r="BW45" s="135"/>
      <c r="BX45" s="135"/>
      <c r="BY45" s="135"/>
      <c r="BZ45" s="135"/>
      <c r="CA45" s="135"/>
      <c r="CB45" s="135"/>
      <c r="CC45" s="135"/>
      <c r="CD45" s="135"/>
      <c r="CE45" s="135"/>
      <c r="CF45" s="135"/>
      <c r="CG45" s="135"/>
      <c r="CH45" s="135"/>
      <c r="CI45" s="135"/>
      <c r="CJ45" s="135"/>
    </row>
    <row r="46" spans="1:88" ht="15" customHeight="1">
      <c r="A46" s="135"/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  <c r="AC46" s="135"/>
      <c r="AD46" s="135"/>
      <c r="AE46" s="135"/>
      <c r="AF46" s="135"/>
      <c r="AG46" s="135"/>
      <c r="AH46" s="135"/>
      <c r="AI46" s="135"/>
      <c r="AJ46" s="135"/>
      <c r="AK46" s="135"/>
      <c r="AL46" s="135"/>
      <c r="AM46" s="135"/>
      <c r="AN46" s="135"/>
      <c r="AO46" s="135"/>
      <c r="AP46" s="135"/>
      <c r="AQ46" s="135"/>
      <c r="AR46" s="135"/>
      <c r="AS46" s="135"/>
      <c r="AT46" s="135"/>
      <c r="AU46" s="135"/>
      <c r="AV46" s="135"/>
      <c r="AW46" s="135"/>
      <c r="AX46" s="135"/>
      <c r="AY46" s="135"/>
      <c r="AZ46" s="135"/>
      <c r="BA46" s="135"/>
      <c r="BB46" s="135"/>
      <c r="BC46" s="135"/>
      <c r="BD46" s="135"/>
      <c r="BE46" s="135"/>
      <c r="BF46" s="135"/>
      <c r="BG46" s="135"/>
      <c r="BH46" s="135"/>
      <c r="BI46" s="135"/>
      <c r="BJ46" s="135"/>
      <c r="BK46" s="135"/>
      <c r="BL46" s="135"/>
      <c r="BM46" s="135"/>
      <c r="BN46" s="135"/>
      <c r="BO46" s="135"/>
      <c r="BP46" s="135"/>
      <c r="BQ46" s="135"/>
      <c r="BR46" s="135"/>
      <c r="BS46" s="135"/>
      <c r="BT46" s="135"/>
      <c r="BU46" s="135"/>
      <c r="BV46" s="135"/>
      <c r="BW46" s="135"/>
      <c r="BX46" s="135"/>
      <c r="BY46" s="135"/>
      <c r="BZ46" s="135"/>
      <c r="CA46" s="135"/>
      <c r="CB46" s="135"/>
      <c r="CC46" s="135"/>
      <c r="CD46" s="135"/>
      <c r="CE46" s="135"/>
      <c r="CF46" s="135"/>
      <c r="CG46" s="135"/>
      <c r="CH46" s="135"/>
      <c r="CI46" s="135"/>
      <c r="CJ46" s="135"/>
    </row>
    <row r="47" spans="1:88" ht="15" customHeight="1">
      <c r="A47" s="135"/>
      <c r="B47" s="135"/>
      <c r="C47" s="135"/>
      <c r="D47" s="135"/>
      <c r="E47" s="135"/>
      <c r="F47" s="135"/>
      <c r="G47" s="135"/>
      <c r="H47" s="135"/>
      <c r="I47" s="135"/>
      <c r="J47" s="135"/>
      <c r="K47" s="135"/>
      <c r="L47" s="135"/>
      <c r="M47" s="135"/>
      <c r="N47" s="135"/>
      <c r="O47" s="135"/>
      <c r="P47" s="135"/>
      <c r="Q47" s="135"/>
      <c r="R47" s="135"/>
      <c r="S47" s="135"/>
      <c r="T47" s="135"/>
      <c r="U47" s="135"/>
      <c r="V47" s="135"/>
      <c r="W47" s="135"/>
      <c r="X47" s="135"/>
      <c r="Y47" s="135"/>
      <c r="Z47" s="135"/>
      <c r="AA47" s="135"/>
      <c r="AB47" s="135"/>
      <c r="AC47" s="135"/>
      <c r="AD47" s="135"/>
      <c r="AE47" s="135"/>
      <c r="AF47" s="135"/>
      <c r="AG47" s="135"/>
      <c r="AH47" s="135"/>
      <c r="AI47" s="135"/>
      <c r="AJ47" s="135"/>
      <c r="AK47" s="135"/>
      <c r="AL47" s="135"/>
      <c r="AM47" s="135"/>
      <c r="AN47" s="135"/>
      <c r="AO47" s="135"/>
      <c r="AP47" s="135"/>
      <c r="AQ47" s="135"/>
      <c r="AR47" s="135"/>
      <c r="AS47" s="135"/>
      <c r="AT47" s="135"/>
      <c r="AU47" s="135"/>
      <c r="AV47" s="135"/>
      <c r="AW47" s="135"/>
      <c r="AX47" s="135"/>
      <c r="AY47" s="135"/>
      <c r="AZ47" s="135"/>
      <c r="BA47" s="135"/>
      <c r="BB47" s="135"/>
      <c r="BC47" s="135"/>
      <c r="BD47" s="135"/>
      <c r="BE47" s="135"/>
      <c r="BF47" s="135"/>
      <c r="BG47" s="135"/>
      <c r="BH47" s="135"/>
      <c r="BI47" s="135"/>
      <c r="BJ47" s="135"/>
      <c r="BK47" s="135"/>
      <c r="BL47" s="135"/>
      <c r="BM47" s="135"/>
      <c r="BN47" s="135"/>
      <c r="BO47" s="135"/>
      <c r="BP47" s="135"/>
      <c r="BQ47" s="135"/>
      <c r="BR47" s="135"/>
      <c r="BS47" s="135"/>
      <c r="BT47" s="135"/>
      <c r="BU47" s="135"/>
      <c r="BV47" s="135"/>
      <c r="BW47" s="135"/>
      <c r="BX47" s="135"/>
      <c r="BY47" s="135"/>
      <c r="BZ47" s="135"/>
      <c r="CA47" s="135"/>
      <c r="CB47" s="135"/>
      <c r="CC47" s="135"/>
      <c r="CD47" s="135"/>
      <c r="CE47" s="135"/>
      <c r="CF47" s="135"/>
      <c r="CG47" s="135"/>
      <c r="CH47" s="135"/>
      <c r="CI47" s="135"/>
      <c r="CJ47" s="135"/>
    </row>
    <row r="48" spans="1:88" ht="15" customHeight="1">
      <c r="A48" s="135"/>
      <c r="B48" s="135"/>
      <c r="C48" s="135"/>
      <c r="D48" s="135"/>
      <c r="E48" s="135"/>
      <c r="F48" s="135"/>
      <c r="G48" s="135"/>
      <c r="H48" s="135"/>
      <c r="I48" s="135"/>
      <c r="J48" s="135"/>
      <c r="K48" s="135"/>
      <c r="L48" s="135"/>
      <c r="M48" s="135"/>
      <c r="N48" s="135"/>
      <c r="O48" s="135"/>
      <c r="P48" s="135"/>
      <c r="Q48" s="135"/>
      <c r="R48" s="135"/>
      <c r="S48" s="135"/>
      <c r="T48" s="135"/>
      <c r="U48" s="135"/>
      <c r="V48" s="135"/>
      <c r="W48" s="135"/>
      <c r="X48" s="135"/>
      <c r="Y48" s="135"/>
      <c r="Z48" s="135"/>
      <c r="AA48" s="135"/>
      <c r="AB48" s="135"/>
      <c r="AC48" s="135"/>
      <c r="AD48" s="135"/>
      <c r="AE48" s="135"/>
      <c r="AF48" s="135"/>
      <c r="AG48" s="135"/>
      <c r="AH48" s="135"/>
      <c r="AI48" s="135"/>
      <c r="AJ48" s="135"/>
      <c r="AK48" s="135"/>
      <c r="AL48" s="135"/>
      <c r="AM48" s="135"/>
      <c r="AN48" s="135"/>
      <c r="AO48" s="135"/>
      <c r="AP48" s="135"/>
      <c r="AQ48" s="135"/>
      <c r="AR48" s="135"/>
      <c r="AS48" s="135"/>
      <c r="AT48" s="135"/>
      <c r="AU48" s="135"/>
      <c r="AV48" s="135"/>
      <c r="AW48" s="135"/>
      <c r="AX48" s="135"/>
      <c r="AY48" s="135"/>
      <c r="AZ48" s="135"/>
      <c r="BA48" s="135"/>
      <c r="BB48" s="135"/>
      <c r="BC48" s="135"/>
      <c r="BD48" s="135"/>
      <c r="BE48" s="135"/>
      <c r="BF48" s="135"/>
      <c r="BG48" s="135"/>
      <c r="BH48" s="135"/>
      <c r="BI48" s="135"/>
      <c r="BJ48" s="135"/>
      <c r="BK48" s="135"/>
      <c r="BL48" s="135"/>
      <c r="BM48" s="135"/>
      <c r="BN48" s="135"/>
      <c r="BO48" s="135"/>
      <c r="BP48" s="135"/>
      <c r="BQ48" s="135"/>
      <c r="BR48" s="135"/>
      <c r="BS48" s="135"/>
      <c r="BT48" s="135"/>
      <c r="BU48" s="135"/>
      <c r="BV48" s="135"/>
      <c r="BW48" s="135"/>
      <c r="BX48" s="135"/>
      <c r="BY48" s="135"/>
      <c r="BZ48" s="135"/>
      <c r="CA48" s="135"/>
      <c r="CB48" s="135"/>
      <c r="CC48" s="135"/>
      <c r="CD48" s="135"/>
      <c r="CE48" s="135"/>
      <c r="CF48" s="135"/>
      <c r="CG48" s="135"/>
      <c r="CH48" s="135"/>
      <c r="CI48" s="135"/>
      <c r="CJ48" s="135"/>
    </row>
    <row r="49" spans="1:88" ht="15" customHeight="1">
      <c r="A49" s="135"/>
      <c r="B49" s="135"/>
      <c r="C49" s="135"/>
      <c r="D49" s="135"/>
      <c r="E49" s="135"/>
      <c r="F49" s="135"/>
      <c r="G49" s="135"/>
      <c r="H49" s="135"/>
      <c r="I49" s="135"/>
      <c r="J49" s="135"/>
      <c r="K49" s="135"/>
      <c r="L49" s="135"/>
      <c r="M49" s="135"/>
      <c r="N49" s="135"/>
      <c r="O49" s="135"/>
      <c r="P49" s="135"/>
      <c r="Q49" s="135"/>
      <c r="R49" s="135"/>
      <c r="S49" s="135"/>
      <c r="T49" s="135"/>
      <c r="U49" s="135"/>
      <c r="V49" s="135"/>
      <c r="W49" s="135"/>
      <c r="X49" s="135"/>
      <c r="Y49" s="135"/>
      <c r="Z49" s="135"/>
      <c r="AA49" s="135"/>
      <c r="AB49" s="135"/>
      <c r="AC49" s="135"/>
      <c r="AD49" s="135"/>
      <c r="AE49" s="135"/>
      <c r="AF49" s="135"/>
      <c r="AG49" s="135"/>
      <c r="AH49" s="135"/>
      <c r="AI49" s="135"/>
      <c r="AJ49" s="135"/>
      <c r="AK49" s="135"/>
      <c r="AL49" s="135"/>
      <c r="AM49" s="135"/>
      <c r="AN49" s="135"/>
      <c r="AO49" s="135"/>
      <c r="AP49" s="135"/>
      <c r="AQ49" s="135"/>
      <c r="AR49" s="135"/>
      <c r="AS49" s="135"/>
      <c r="AT49" s="135"/>
      <c r="AU49" s="135"/>
      <c r="AV49" s="135"/>
      <c r="AW49" s="135"/>
      <c r="AX49" s="135"/>
      <c r="AY49" s="135"/>
      <c r="AZ49" s="135"/>
      <c r="BA49" s="135"/>
      <c r="BB49" s="135"/>
      <c r="BC49" s="135"/>
      <c r="BD49" s="135"/>
      <c r="BE49" s="135"/>
      <c r="BF49" s="135"/>
      <c r="BG49" s="135"/>
      <c r="BH49" s="135"/>
      <c r="BI49" s="135"/>
      <c r="BJ49" s="135"/>
      <c r="BK49" s="135"/>
      <c r="BL49" s="135"/>
      <c r="BM49" s="135"/>
      <c r="BN49" s="135"/>
      <c r="BO49" s="135"/>
      <c r="BP49" s="135"/>
      <c r="BQ49" s="135"/>
      <c r="BR49" s="135"/>
      <c r="BS49" s="135"/>
      <c r="BT49" s="135"/>
      <c r="BU49" s="135"/>
      <c r="BV49" s="135"/>
      <c r="BW49" s="135"/>
      <c r="BX49" s="135"/>
      <c r="BY49" s="135"/>
      <c r="BZ49" s="135"/>
      <c r="CA49" s="135"/>
      <c r="CB49" s="135"/>
      <c r="CC49" s="135"/>
      <c r="CD49" s="135"/>
      <c r="CE49" s="135"/>
      <c r="CF49" s="135"/>
      <c r="CG49" s="135"/>
      <c r="CH49" s="135"/>
      <c r="CI49" s="135"/>
      <c r="CJ49" s="135"/>
    </row>
    <row r="50" spans="1:88" ht="15" customHeight="1">
      <c r="A50" s="135"/>
      <c r="B50" s="135"/>
      <c r="C50" s="135"/>
      <c r="D50" s="135"/>
      <c r="E50" s="135"/>
      <c r="F50" s="135"/>
      <c r="G50" s="135"/>
      <c r="H50" s="135"/>
      <c r="I50" s="135"/>
      <c r="J50" s="135"/>
      <c r="K50" s="135"/>
      <c r="L50" s="135"/>
      <c r="M50" s="135"/>
      <c r="N50" s="135"/>
      <c r="O50" s="135"/>
      <c r="P50" s="135"/>
      <c r="Q50" s="135"/>
      <c r="R50" s="135"/>
      <c r="S50" s="135"/>
      <c r="T50" s="135"/>
      <c r="U50" s="135"/>
      <c r="V50" s="135"/>
      <c r="W50" s="135"/>
      <c r="X50" s="135"/>
      <c r="Y50" s="135"/>
      <c r="Z50" s="135"/>
      <c r="AA50" s="135"/>
      <c r="AB50" s="135"/>
      <c r="AC50" s="135"/>
      <c r="AD50" s="135"/>
      <c r="AE50" s="135"/>
      <c r="AF50" s="135"/>
      <c r="AG50" s="135"/>
      <c r="AH50" s="135"/>
      <c r="AI50" s="135"/>
      <c r="AJ50" s="135"/>
      <c r="AK50" s="135"/>
      <c r="AL50" s="135"/>
      <c r="AM50" s="135"/>
      <c r="AN50" s="135"/>
      <c r="AO50" s="135"/>
      <c r="AP50" s="135"/>
      <c r="AQ50" s="135"/>
      <c r="AR50" s="135"/>
      <c r="AS50" s="135"/>
      <c r="AT50" s="135"/>
      <c r="AU50" s="135"/>
      <c r="AV50" s="135"/>
      <c r="AW50" s="135"/>
      <c r="AX50" s="135"/>
      <c r="AY50" s="135"/>
      <c r="AZ50" s="135"/>
      <c r="BA50" s="135"/>
      <c r="BB50" s="135"/>
      <c r="BC50" s="135"/>
      <c r="BD50" s="135"/>
      <c r="BE50" s="135"/>
      <c r="BF50" s="135"/>
      <c r="BG50" s="135"/>
      <c r="BH50" s="135"/>
      <c r="BI50" s="135"/>
      <c r="BJ50" s="135"/>
      <c r="BK50" s="135"/>
      <c r="BL50" s="135"/>
      <c r="BM50" s="135"/>
      <c r="BN50" s="135"/>
      <c r="BO50" s="135"/>
      <c r="BP50" s="135"/>
      <c r="BQ50" s="135"/>
      <c r="BR50" s="135"/>
      <c r="BS50" s="135"/>
      <c r="BT50" s="135"/>
      <c r="BU50" s="135"/>
      <c r="BV50" s="135"/>
      <c r="BW50" s="135"/>
      <c r="BX50" s="135"/>
      <c r="BY50" s="135"/>
      <c r="BZ50" s="135"/>
      <c r="CA50" s="135"/>
      <c r="CB50" s="135"/>
      <c r="CC50" s="135"/>
      <c r="CD50" s="135"/>
      <c r="CE50" s="135"/>
      <c r="CF50" s="135"/>
      <c r="CG50" s="135"/>
      <c r="CH50" s="135"/>
      <c r="CI50" s="135"/>
      <c r="CJ50" s="135"/>
    </row>
    <row r="51" spans="1:88" ht="15" customHeight="1">
      <c r="A51" s="135"/>
      <c r="B51" s="135"/>
      <c r="C51" s="135"/>
      <c r="D51" s="135"/>
      <c r="E51" s="135"/>
      <c r="F51" s="135"/>
      <c r="G51" s="135"/>
      <c r="H51" s="135"/>
      <c r="I51" s="135"/>
      <c r="J51" s="135"/>
      <c r="K51" s="135"/>
      <c r="L51" s="135"/>
      <c r="M51" s="135"/>
      <c r="N51" s="135"/>
      <c r="O51" s="135"/>
      <c r="P51" s="135"/>
      <c r="Q51" s="135"/>
      <c r="R51" s="135"/>
      <c r="S51" s="135"/>
      <c r="T51" s="135"/>
      <c r="U51" s="135"/>
      <c r="V51" s="135"/>
      <c r="W51" s="135"/>
      <c r="X51" s="135"/>
      <c r="Y51" s="135"/>
      <c r="Z51" s="135"/>
      <c r="AA51" s="135"/>
      <c r="AB51" s="135"/>
      <c r="AC51" s="135"/>
      <c r="AD51" s="135"/>
      <c r="AE51" s="135"/>
      <c r="AF51" s="135"/>
      <c r="AG51" s="135"/>
      <c r="AH51" s="135"/>
      <c r="AI51" s="135"/>
      <c r="AJ51" s="135"/>
      <c r="AK51" s="135"/>
      <c r="AL51" s="135"/>
      <c r="AM51" s="135"/>
      <c r="AN51" s="135"/>
      <c r="AO51" s="135"/>
      <c r="AP51" s="135"/>
      <c r="AQ51" s="135"/>
      <c r="AR51" s="135"/>
      <c r="AS51" s="135"/>
      <c r="AT51" s="135"/>
      <c r="AU51" s="135"/>
      <c r="AV51" s="135"/>
      <c r="AW51" s="135"/>
      <c r="AX51" s="135"/>
      <c r="AY51" s="135"/>
      <c r="AZ51" s="135"/>
      <c r="BA51" s="135"/>
      <c r="BB51" s="135"/>
      <c r="BC51" s="135"/>
      <c r="BD51" s="135"/>
      <c r="BE51" s="135"/>
      <c r="BF51" s="135"/>
      <c r="BG51" s="135"/>
      <c r="BH51" s="135"/>
      <c r="BI51" s="135"/>
      <c r="BJ51" s="135"/>
      <c r="BK51" s="135"/>
      <c r="BL51" s="135"/>
      <c r="BM51" s="135"/>
      <c r="BN51" s="135"/>
      <c r="BO51" s="135"/>
      <c r="BP51" s="135"/>
      <c r="BQ51" s="135"/>
      <c r="BR51" s="135"/>
      <c r="BS51" s="135"/>
      <c r="BT51" s="135"/>
      <c r="BU51" s="135"/>
      <c r="BV51" s="135"/>
      <c r="BW51" s="135"/>
      <c r="BX51" s="135"/>
      <c r="BY51" s="135"/>
      <c r="BZ51" s="135"/>
      <c r="CA51" s="135"/>
      <c r="CB51" s="135"/>
      <c r="CC51" s="135"/>
      <c r="CD51" s="135"/>
      <c r="CE51" s="135"/>
      <c r="CF51" s="135"/>
      <c r="CG51" s="135"/>
      <c r="CH51" s="135"/>
      <c r="CI51" s="135"/>
      <c r="CJ51" s="135"/>
    </row>
    <row r="52" spans="1:88" ht="15" customHeight="1">
      <c r="A52" s="135"/>
      <c r="B52" s="135"/>
      <c r="C52" s="135"/>
      <c r="D52" s="135"/>
      <c r="E52" s="135"/>
      <c r="F52" s="135"/>
      <c r="G52" s="135"/>
      <c r="H52" s="135"/>
      <c r="I52" s="135"/>
      <c r="J52" s="135"/>
      <c r="K52" s="135"/>
      <c r="L52" s="135"/>
      <c r="M52" s="135"/>
      <c r="N52" s="135"/>
      <c r="O52" s="135"/>
      <c r="P52" s="135"/>
      <c r="Q52" s="135"/>
      <c r="R52" s="135"/>
      <c r="S52" s="135"/>
      <c r="T52" s="135"/>
      <c r="U52" s="135"/>
      <c r="V52" s="135"/>
      <c r="W52" s="135"/>
      <c r="X52" s="135"/>
      <c r="Y52" s="135"/>
      <c r="Z52" s="135"/>
      <c r="AA52" s="135"/>
      <c r="AB52" s="135"/>
      <c r="AC52" s="135"/>
      <c r="AD52" s="135"/>
      <c r="AE52" s="135"/>
      <c r="AF52" s="135"/>
      <c r="AG52" s="135"/>
      <c r="AH52" s="135"/>
      <c r="AI52" s="135"/>
      <c r="AJ52" s="135"/>
      <c r="AK52" s="135"/>
      <c r="AL52" s="135"/>
      <c r="AM52" s="135"/>
      <c r="AN52" s="135"/>
      <c r="AO52" s="135"/>
      <c r="AP52" s="135"/>
      <c r="AQ52" s="135"/>
      <c r="AR52" s="135"/>
      <c r="AS52" s="135"/>
      <c r="AT52" s="135"/>
      <c r="AU52" s="135"/>
      <c r="AV52" s="135"/>
      <c r="AW52" s="135"/>
      <c r="AX52" s="135"/>
      <c r="AY52" s="135"/>
      <c r="AZ52" s="135"/>
      <c r="BA52" s="135"/>
      <c r="BB52" s="135"/>
      <c r="BC52" s="135"/>
      <c r="BD52" s="135"/>
      <c r="BE52" s="135"/>
      <c r="BF52" s="135"/>
      <c r="BG52" s="135"/>
      <c r="BH52" s="135"/>
      <c r="BI52" s="135"/>
      <c r="BJ52" s="135"/>
      <c r="BK52" s="135"/>
      <c r="BL52" s="135"/>
      <c r="BM52" s="135"/>
      <c r="BN52" s="135"/>
      <c r="BO52" s="135"/>
      <c r="BP52" s="135"/>
      <c r="BQ52" s="135"/>
      <c r="BR52" s="135"/>
      <c r="BS52" s="135"/>
      <c r="BT52" s="135"/>
      <c r="BU52" s="135"/>
      <c r="BV52" s="135"/>
      <c r="BW52" s="135"/>
      <c r="BX52" s="135"/>
      <c r="BY52" s="135"/>
      <c r="BZ52" s="135"/>
      <c r="CA52" s="135"/>
      <c r="CB52" s="135"/>
      <c r="CC52" s="135"/>
      <c r="CD52" s="135"/>
      <c r="CE52" s="135"/>
      <c r="CF52" s="135"/>
      <c r="CG52" s="135"/>
      <c r="CH52" s="135"/>
      <c r="CI52" s="135"/>
      <c r="CJ52" s="135"/>
    </row>
    <row r="53" spans="1:88" s="3" customFormat="1" ht="15" customHeight="1">
      <c r="A53" s="135"/>
      <c r="B53" s="135"/>
      <c r="C53" s="135"/>
      <c r="D53" s="135"/>
      <c r="E53" s="135"/>
      <c r="F53" s="135"/>
      <c r="G53" s="135"/>
      <c r="H53" s="135"/>
      <c r="I53" s="135"/>
      <c r="J53" s="135"/>
      <c r="K53" s="135"/>
      <c r="L53" s="135"/>
      <c r="M53" s="135"/>
      <c r="N53" s="135"/>
      <c r="O53" s="135"/>
      <c r="P53" s="135"/>
      <c r="Q53" s="135"/>
      <c r="R53" s="135"/>
      <c r="S53" s="135"/>
      <c r="T53" s="135"/>
      <c r="U53" s="135"/>
      <c r="V53" s="135"/>
      <c r="W53" s="135"/>
      <c r="X53" s="135"/>
      <c r="Y53" s="135"/>
      <c r="Z53" s="135"/>
      <c r="AA53" s="135"/>
      <c r="AB53" s="135"/>
      <c r="AC53" s="135"/>
      <c r="AD53" s="135"/>
      <c r="AE53" s="135"/>
      <c r="AF53" s="135"/>
      <c r="AG53" s="135"/>
      <c r="AH53" s="135"/>
      <c r="AI53" s="135"/>
      <c r="AJ53" s="135"/>
      <c r="AK53" s="135"/>
      <c r="AL53" s="135"/>
      <c r="AM53" s="135"/>
      <c r="AN53" s="135"/>
      <c r="AO53" s="135"/>
      <c r="AP53" s="135"/>
      <c r="AQ53" s="135"/>
      <c r="AR53" s="135"/>
      <c r="AS53" s="135"/>
      <c r="AT53" s="135"/>
      <c r="AU53" s="135"/>
      <c r="AV53" s="135"/>
      <c r="AW53" s="135"/>
      <c r="AX53" s="135"/>
      <c r="AY53" s="135"/>
      <c r="AZ53" s="135"/>
      <c r="BA53" s="135"/>
      <c r="BB53" s="135"/>
      <c r="BC53" s="135"/>
      <c r="BD53" s="135"/>
      <c r="BE53" s="135"/>
      <c r="BF53" s="135"/>
      <c r="BG53" s="135"/>
      <c r="BH53" s="135"/>
      <c r="BI53" s="135"/>
      <c r="BJ53" s="135"/>
      <c r="BK53" s="135"/>
      <c r="BL53" s="135"/>
      <c r="BM53" s="135"/>
      <c r="BN53" s="135"/>
      <c r="BO53" s="135"/>
      <c r="BP53" s="135"/>
      <c r="BQ53" s="135"/>
      <c r="BR53" s="135"/>
      <c r="BS53" s="135"/>
      <c r="BT53" s="135"/>
      <c r="BU53" s="135"/>
      <c r="BV53" s="135"/>
      <c r="BW53" s="135"/>
      <c r="BX53" s="135"/>
      <c r="BY53" s="135"/>
      <c r="BZ53" s="135"/>
      <c r="CA53" s="135"/>
      <c r="CB53" s="135"/>
      <c r="CC53" s="135"/>
      <c r="CD53" s="135"/>
      <c r="CE53" s="135"/>
      <c r="CF53" s="135"/>
      <c r="CG53" s="135"/>
      <c r="CH53" s="135"/>
      <c r="CI53" s="135"/>
      <c r="CJ53" s="135"/>
    </row>
    <row r="54" spans="1:88" s="3" customFormat="1" ht="13" customHeight="1">
      <c r="A54" s="135"/>
      <c r="B54" s="135"/>
      <c r="C54" s="135"/>
      <c r="D54" s="135"/>
      <c r="E54" s="135"/>
      <c r="F54" s="135"/>
      <c r="G54" s="135"/>
      <c r="H54" s="135"/>
      <c r="I54" s="135"/>
      <c r="J54" s="135"/>
      <c r="K54" s="135"/>
      <c r="L54" s="135"/>
      <c r="M54" s="135"/>
      <c r="N54" s="135"/>
      <c r="O54" s="135"/>
      <c r="P54" s="135"/>
      <c r="Q54" s="135"/>
      <c r="R54" s="135"/>
      <c r="S54" s="135"/>
      <c r="T54" s="135"/>
      <c r="U54" s="135"/>
      <c r="V54" s="135"/>
      <c r="W54" s="135"/>
      <c r="X54" s="135"/>
      <c r="Y54" s="135"/>
      <c r="Z54" s="135"/>
      <c r="AA54" s="135"/>
      <c r="AB54" s="135"/>
      <c r="AC54" s="135"/>
      <c r="AD54" s="135"/>
      <c r="AE54" s="135"/>
      <c r="AF54" s="135"/>
      <c r="AG54" s="135"/>
      <c r="AH54" s="135"/>
      <c r="AI54" s="135"/>
      <c r="AJ54" s="135"/>
      <c r="AK54" s="135"/>
      <c r="AL54" s="135"/>
      <c r="AM54" s="135"/>
      <c r="AN54" s="135"/>
      <c r="AO54" s="135"/>
      <c r="AP54" s="135"/>
      <c r="AQ54" s="135"/>
      <c r="AR54" s="135"/>
      <c r="AS54" s="135"/>
      <c r="AT54" s="135"/>
      <c r="AU54" s="135"/>
      <c r="AV54" s="135"/>
      <c r="AW54" s="135"/>
      <c r="AX54" s="135"/>
      <c r="AY54" s="135"/>
      <c r="AZ54" s="135"/>
      <c r="BA54" s="135"/>
      <c r="BB54" s="135"/>
      <c r="BC54" s="135"/>
      <c r="BD54" s="135"/>
      <c r="BE54" s="135"/>
      <c r="BF54" s="135"/>
      <c r="BG54" s="135"/>
      <c r="BH54" s="135"/>
      <c r="BI54" s="135"/>
      <c r="BJ54" s="135"/>
      <c r="BK54" s="135"/>
      <c r="BL54" s="135"/>
      <c r="BM54" s="135"/>
      <c r="BN54" s="135"/>
      <c r="BO54" s="135"/>
      <c r="BP54" s="135"/>
      <c r="BQ54" s="135"/>
      <c r="BR54" s="135"/>
      <c r="BS54" s="135"/>
      <c r="BT54" s="135"/>
      <c r="BU54" s="135"/>
      <c r="BV54" s="135"/>
      <c r="BW54" s="135"/>
      <c r="BX54" s="135"/>
      <c r="BY54" s="135"/>
      <c r="BZ54" s="135"/>
      <c r="CA54" s="135"/>
      <c r="CB54" s="135"/>
      <c r="CC54" s="135"/>
      <c r="CD54" s="135"/>
      <c r="CE54" s="135"/>
      <c r="CF54" s="135"/>
      <c r="CG54" s="135"/>
      <c r="CH54" s="135"/>
      <c r="CI54" s="135"/>
      <c r="CJ54" s="135"/>
    </row>
    <row r="55" spans="1:88" s="3" customFormat="1" ht="13" customHeight="1">
      <c r="A55" s="135"/>
      <c r="B55" s="135"/>
      <c r="C55" s="135"/>
      <c r="D55" s="135"/>
      <c r="E55" s="135"/>
      <c r="F55" s="135"/>
      <c r="G55" s="135"/>
      <c r="H55" s="135"/>
      <c r="I55" s="135"/>
      <c r="J55" s="135"/>
      <c r="K55" s="135"/>
      <c r="L55" s="135"/>
      <c r="M55" s="135"/>
      <c r="N55" s="135"/>
      <c r="O55" s="135"/>
      <c r="P55" s="135"/>
      <c r="Q55" s="135"/>
      <c r="R55" s="135"/>
      <c r="S55" s="135"/>
      <c r="T55" s="135"/>
      <c r="U55" s="135"/>
      <c r="V55" s="135"/>
      <c r="W55" s="135"/>
      <c r="X55" s="135"/>
      <c r="Y55" s="135"/>
      <c r="Z55" s="135"/>
      <c r="AA55" s="135"/>
      <c r="AB55" s="135"/>
      <c r="AC55" s="135"/>
      <c r="AD55" s="135"/>
      <c r="AE55" s="135"/>
      <c r="AF55" s="135"/>
      <c r="AG55" s="135"/>
      <c r="AH55" s="135"/>
      <c r="AI55" s="135"/>
      <c r="AJ55" s="135"/>
      <c r="AK55" s="135"/>
      <c r="AL55" s="135"/>
      <c r="AM55" s="135"/>
      <c r="AN55" s="135"/>
      <c r="AO55" s="135"/>
      <c r="AP55" s="135"/>
      <c r="AQ55" s="135"/>
      <c r="AR55" s="135"/>
      <c r="AS55" s="135"/>
      <c r="AT55" s="135"/>
      <c r="AU55" s="135"/>
      <c r="AV55" s="135"/>
      <c r="AW55" s="135"/>
      <c r="AX55" s="135"/>
      <c r="AY55" s="135"/>
      <c r="AZ55" s="135"/>
      <c r="BA55" s="135"/>
      <c r="BB55" s="135"/>
      <c r="BC55" s="135"/>
      <c r="BD55" s="135"/>
      <c r="BE55" s="135"/>
      <c r="BF55" s="135"/>
      <c r="BG55" s="135"/>
      <c r="BH55" s="135"/>
      <c r="BI55" s="135"/>
      <c r="BJ55" s="135"/>
      <c r="BK55" s="135"/>
      <c r="BL55" s="135"/>
      <c r="BM55" s="135"/>
      <c r="BN55" s="135"/>
      <c r="BO55" s="135"/>
      <c r="BP55" s="135"/>
      <c r="BQ55" s="135"/>
      <c r="BR55" s="135"/>
      <c r="BS55" s="135"/>
      <c r="BT55" s="135"/>
      <c r="BU55" s="135"/>
      <c r="BV55" s="135"/>
      <c r="BW55" s="135"/>
      <c r="BX55" s="135"/>
      <c r="BY55" s="135"/>
      <c r="BZ55" s="135"/>
      <c r="CA55" s="135"/>
      <c r="CB55" s="135"/>
      <c r="CC55" s="135"/>
      <c r="CD55" s="135"/>
      <c r="CE55" s="135"/>
      <c r="CF55" s="135"/>
      <c r="CG55" s="135"/>
      <c r="CH55" s="135"/>
      <c r="CI55" s="135"/>
      <c r="CJ55" s="135"/>
    </row>
    <row r="56" spans="1:88" s="3" customFormat="1" ht="13" customHeight="1">
      <c r="A56" s="135"/>
      <c r="B56" s="135"/>
      <c r="C56" s="135"/>
      <c r="D56" s="135"/>
      <c r="E56" s="135"/>
      <c r="F56" s="135"/>
      <c r="G56" s="135"/>
      <c r="H56" s="135"/>
      <c r="I56" s="135"/>
      <c r="J56" s="135"/>
      <c r="K56" s="135"/>
      <c r="L56" s="135"/>
      <c r="M56" s="135"/>
      <c r="N56" s="135"/>
      <c r="O56" s="135"/>
      <c r="P56" s="135"/>
      <c r="Q56" s="135"/>
      <c r="R56" s="135"/>
      <c r="S56" s="135"/>
      <c r="T56" s="135"/>
      <c r="U56" s="135"/>
      <c r="V56" s="135"/>
      <c r="W56" s="135"/>
      <c r="X56" s="135"/>
      <c r="Y56" s="135"/>
      <c r="Z56" s="135"/>
      <c r="AA56" s="135"/>
      <c r="AB56" s="135"/>
      <c r="AC56" s="135"/>
      <c r="AD56" s="135"/>
      <c r="AE56" s="135"/>
      <c r="AF56" s="135"/>
      <c r="AG56" s="135"/>
      <c r="AH56" s="135"/>
      <c r="AI56" s="135"/>
      <c r="AJ56" s="135"/>
      <c r="AK56" s="135"/>
      <c r="AL56" s="135"/>
      <c r="AM56" s="135"/>
      <c r="AN56" s="135"/>
      <c r="AO56" s="135"/>
      <c r="AP56" s="135"/>
      <c r="AQ56" s="135"/>
      <c r="AR56" s="135"/>
      <c r="AS56" s="135"/>
      <c r="AT56" s="135"/>
      <c r="AU56" s="135"/>
      <c r="AV56" s="135"/>
      <c r="AW56" s="135"/>
      <c r="AX56" s="135"/>
      <c r="AY56" s="135"/>
      <c r="AZ56" s="135"/>
      <c r="BA56" s="135"/>
      <c r="BB56" s="135"/>
      <c r="BC56" s="135"/>
      <c r="BD56" s="135"/>
      <c r="BE56" s="135"/>
      <c r="BF56" s="135"/>
      <c r="BG56" s="135"/>
      <c r="BH56" s="135"/>
      <c r="BI56" s="135"/>
      <c r="BJ56" s="135"/>
      <c r="BK56" s="135"/>
      <c r="BL56" s="135"/>
      <c r="BM56" s="135"/>
      <c r="BN56" s="135"/>
      <c r="BO56" s="135"/>
      <c r="BP56" s="135"/>
      <c r="BQ56" s="135"/>
      <c r="BR56" s="135"/>
      <c r="BS56" s="135"/>
      <c r="BT56" s="135"/>
      <c r="BU56" s="135"/>
      <c r="BV56" s="135"/>
      <c r="BW56" s="135"/>
      <c r="BX56" s="135"/>
      <c r="BY56" s="135"/>
      <c r="BZ56" s="135"/>
      <c r="CA56" s="135"/>
      <c r="CB56" s="135"/>
      <c r="CC56" s="135"/>
      <c r="CD56" s="135"/>
      <c r="CE56" s="135"/>
      <c r="CF56" s="135"/>
      <c r="CG56" s="135"/>
      <c r="CH56" s="135"/>
      <c r="CI56" s="135"/>
      <c r="CJ56" s="135"/>
    </row>
    <row r="57" spans="1:88" s="3" customFormat="1" ht="13" customHeight="1">
      <c r="A57" s="135"/>
      <c r="B57" s="135"/>
      <c r="C57" s="135"/>
      <c r="D57" s="135"/>
      <c r="E57" s="135"/>
      <c r="F57" s="135"/>
      <c r="G57" s="135"/>
      <c r="H57" s="135"/>
      <c r="I57" s="135"/>
      <c r="J57" s="135"/>
      <c r="K57" s="135"/>
      <c r="L57" s="135"/>
      <c r="M57" s="135"/>
      <c r="N57" s="135"/>
      <c r="O57" s="135"/>
      <c r="P57" s="135"/>
      <c r="Q57" s="135"/>
      <c r="R57" s="135"/>
      <c r="S57" s="135"/>
      <c r="T57" s="135"/>
      <c r="U57" s="135"/>
      <c r="V57" s="135"/>
      <c r="W57" s="135"/>
      <c r="X57" s="135"/>
      <c r="Y57" s="135"/>
      <c r="Z57" s="135"/>
      <c r="AA57" s="135"/>
      <c r="AB57" s="135"/>
      <c r="AC57" s="135"/>
      <c r="AD57" s="135"/>
      <c r="AE57" s="135"/>
      <c r="AF57" s="135"/>
      <c r="AG57" s="135"/>
      <c r="AH57" s="135"/>
      <c r="AI57" s="135"/>
      <c r="AJ57" s="135"/>
      <c r="AK57" s="135"/>
      <c r="AL57" s="135"/>
      <c r="AM57" s="135"/>
      <c r="AN57" s="135"/>
      <c r="AO57" s="135"/>
      <c r="AP57" s="135"/>
      <c r="AQ57" s="135"/>
      <c r="AR57" s="135"/>
      <c r="AS57" s="135"/>
      <c r="AT57" s="135"/>
      <c r="AU57" s="135"/>
      <c r="AV57" s="135"/>
      <c r="AW57" s="135"/>
      <c r="AX57" s="135"/>
      <c r="AY57" s="135"/>
      <c r="AZ57" s="135"/>
      <c r="BA57" s="135"/>
      <c r="BB57" s="135"/>
      <c r="BC57" s="135"/>
      <c r="BD57" s="135"/>
      <c r="BE57" s="135"/>
      <c r="BF57" s="135"/>
      <c r="BG57" s="135"/>
      <c r="BH57" s="135"/>
      <c r="BI57" s="135"/>
      <c r="BJ57" s="135"/>
      <c r="BK57" s="135"/>
      <c r="BL57" s="135"/>
      <c r="BM57" s="135"/>
      <c r="BN57" s="135"/>
      <c r="BO57" s="135"/>
      <c r="BP57" s="135"/>
      <c r="BQ57" s="135"/>
      <c r="BR57" s="135"/>
      <c r="BS57" s="135"/>
      <c r="BT57" s="135"/>
      <c r="BU57" s="135"/>
      <c r="BV57" s="135"/>
      <c r="BW57" s="135"/>
      <c r="BX57" s="135"/>
      <c r="BY57" s="135"/>
      <c r="BZ57" s="135"/>
      <c r="CA57" s="135"/>
      <c r="CB57" s="135"/>
      <c r="CC57" s="135"/>
      <c r="CD57" s="135"/>
      <c r="CE57" s="135"/>
      <c r="CF57" s="135"/>
      <c r="CG57" s="135"/>
      <c r="CH57" s="135"/>
      <c r="CI57" s="135"/>
      <c r="CJ57" s="135"/>
    </row>
    <row r="58" spans="1:88" s="3" customFormat="1" ht="13" customHeight="1">
      <c r="A58" s="135"/>
      <c r="B58" s="135"/>
      <c r="C58" s="135"/>
      <c r="D58" s="135"/>
      <c r="E58" s="135"/>
      <c r="F58" s="135"/>
      <c r="G58" s="135"/>
      <c r="H58" s="135"/>
      <c r="I58" s="135"/>
      <c r="J58" s="135"/>
      <c r="K58" s="135"/>
      <c r="L58" s="135"/>
      <c r="M58" s="135"/>
      <c r="N58" s="135"/>
      <c r="O58" s="135"/>
      <c r="P58" s="135"/>
      <c r="Q58" s="135"/>
      <c r="R58" s="135"/>
      <c r="S58" s="135"/>
      <c r="T58" s="135"/>
      <c r="U58" s="135"/>
      <c r="V58" s="135"/>
      <c r="W58" s="135"/>
      <c r="X58" s="135"/>
      <c r="Y58" s="135"/>
      <c r="Z58" s="135"/>
      <c r="AA58" s="135"/>
      <c r="AB58" s="135"/>
      <c r="AC58" s="135"/>
      <c r="AD58" s="135"/>
      <c r="AE58" s="135"/>
      <c r="AF58" s="135"/>
      <c r="AG58" s="135"/>
      <c r="AH58" s="135"/>
      <c r="AI58" s="135"/>
      <c r="AJ58" s="135"/>
      <c r="AK58" s="135"/>
      <c r="AL58" s="135"/>
      <c r="AM58" s="135"/>
      <c r="AN58" s="135"/>
      <c r="AO58" s="135"/>
      <c r="AP58" s="135"/>
      <c r="AQ58" s="135"/>
      <c r="AR58" s="135"/>
      <c r="AS58" s="135"/>
      <c r="AT58" s="135"/>
      <c r="AU58" s="135"/>
      <c r="AV58" s="135"/>
      <c r="AW58" s="135"/>
      <c r="AX58" s="135"/>
      <c r="AY58" s="135"/>
      <c r="AZ58" s="135"/>
      <c r="BA58" s="135"/>
      <c r="BB58" s="135"/>
      <c r="BC58" s="135"/>
      <c r="BD58" s="135"/>
      <c r="BE58" s="135"/>
      <c r="BF58" s="135"/>
      <c r="BG58" s="135"/>
      <c r="BH58" s="135"/>
      <c r="BI58" s="135"/>
      <c r="BJ58" s="135"/>
      <c r="BK58" s="135"/>
      <c r="BL58" s="135"/>
      <c r="BM58" s="135"/>
      <c r="BN58" s="135"/>
      <c r="BO58" s="135"/>
      <c r="BP58" s="135"/>
      <c r="BQ58" s="135"/>
      <c r="BR58" s="135"/>
      <c r="BS58" s="135"/>
      <c r="BT58" s="135"/>
      <c r="BU58" s="135"/>
      <c r="BV58" s="135"/>
      <c r="BW58" s="135"/>
      <c r="BX58" s="135"/>
      <c r="BY58" s="135"/>
      <c r="BZ58" s="135"/>
      <c r="CA58" s="135"/>
      <c r="CB58" s="135"/>
      <c r="CC58" s="135"/>
      <c r="CD58" s="135"/>
      <c r="CE58" s="135"/>
      <c r="CF58" s="135"/>
      <c r="CG58" s="135"/>
      <c r="CH58" s="135"/>
      <c r="CI58" s="135"/>
      <c r="CJ58" s="135"/>
    </row>
    <row r="59" spans="1:88" s="3" customFormat="1" ht="13" customHeight="1">
      <c r="A59" s="135"/>
      <c r="B59" s="135"/>
      <c r="C59" s="135"/>
      <c r="D59" s="135"/>
      <c r="E59" s="135"/>
      <c r="F59" s="135"/>
      <c r="G59" s="135"/>
      <c r="H59" s="135"/>
      <c r="I59" s="135"/>
      <c r="J59" s="135"/>
      <c r="K59" s="135"/>
      <c r="L59" s="135"/>
      <c r="M59" s="135"/>
      <c r="N59" s="135"/>
      <c r="O59" s="135"/>
      <c r="P59" s="135"/>
      <c r="Q59" s="135"/>
      <c r="R59" s="135"/>
      <c r="S59" s="135"/>
      <c r="T59" s="135"/>
      <c r="U59" s="135"/>
      <c r="V59" s="135"/>
      <c r="W59" s="135"/>
      <c r="X59" s="135"/>
      <c r="Y59" s="135"/>
      <c r="Z59" s="135"/>
      <c r="AA59" s="135"/>
      <c r="AB59" s="135"/>
      <c r="AC59" s="135"/>
      <c r="AD59" s="135"/>
      <c r="AE59" s="135"/>
      <c r="AF59" s="135"/>
      <c r="AG59" s="135"/>
      <c r="AH59" s="135"/>
      <c r="AI59" s="135"/>
      <c r="AJ59" s="135"/>
      <c r="AK59" s="135"/>
      <c r="AL59" s="135"/>
      <c r="AM59" s="135"/>
      <c r="AN59" s="135"/>
      <c r="AO59" s="135"/>
      <c r="AP59" s="135"/>
      <c r="AQ59" s="135"/>
      <c r="AR59" s="135"/>
      <c r="AS59" s="135"/>
      <c r="AT59" s="135"/>
      <c r="AU59" s="135"/>
      <c r="AV59" s="135"/>
      <c r="AW59" s="135"/>
      <c r="AX59" s="135"/>
      <c r="AY59" s="135"/>
      <c r="AZ59" s="135"/>
      <c r="BA59" s="135"/>
      <c r="BB59" s="135"/>
      <c r="BC59" s="135"/>
      <c r="BD59" s="135"/>
      <c r="BE59" s="135"/>
      <c r="BF59" s="135"/>
      <c r="BG59" s="135"/>
      <c r="BH59" s="135"/>
      <c r="BI59" s="135"/>
      <c r="BJ59" s="135"/>
      <c r="BK59" s="135"/>
      <c r="BL59" s="135"/>
      <c r="BM59" s="135"/>
      <c r="BN59" s="135"/>
      <c r="BO59" s="135"/>
      <c r="BP59" s="135"/>
      <c r="BQ59" s="135"/>
      <c r="BR59" s="135"/>
      <c r="BS59" s="135"/>
      <c r="BT59" s="135"/>
      <c r="BU59" s="135"/>
      <c r="BV59" s="135"/>
      <c r="BW59" s="135"/>
      <c r="BX59" s="135"/>
      <c r="BY59" s="135"/>
      <c r="BZ59" s="135"/>
      <c r="CA59" s="135"/>
      <c r="CB59" s="135"/>
      <c r="CC59" s="135"/>
      <c r="CD59" s="135"/>
      <c r="CE59" s="135"/>
      <c r="CF59" s="135"/>
      <c r="CG59" s="135"/>
      <c r="CH59" s="135"/>
      <c r="CI59" s="135"/>
      <c r="CJ59" s="135"/>
    </row>
    <row r="60" spans="1:88" s="3" customFormat="1" ht="13" customHeight="1">
      <c r="A60" s="135"/>
      <c r="B60" s="135"/>
      <c r="C60" s="135"/>
      <c r="D60" s="135"/>
      <c r="E60" s="135"/>
      <c r="F60" s="135"/>
      <c r="G60" s="135"/>
      <c r="H60" s="135"/>
      <c r="I60" s="135"/>
      <c r="J60" s="135"/>
      <c r="K60" s="135"/>
      <c r="L60" s="135"/>
      <c r="M60" s="135"/>
      <c r="N60" s="135"/>
      <c r="O60" s="135"/>
      <c r="P60" s="135"/>
      <c r="Q60" s="135"/>
      <c r="R60" s="135"/>
      <c r="S60" s="135"/>
      <c r="T60" s="135"/>
      <c r="U60" s="135"/>
      <c r="V60" s="135"/>
      <c r="W60" s="135"/>
      <c r="X60" s="135"/>
      <c r="Y60" s="135"/>
      <c r="Z60" s="135"/>
      <c r="AA60" s="135"/>
      <c r="AB60" s="135"/>
      <c r="AC60" s="135"/>
      <c r="AD60" s="135"/>
      <c r="AE60" s="135"/>
      <c r="AF60" s="135"/>
      <c r="AG60" s="135"/>
      <c r="AH60" s="135"/>
      <c r="AI60" s="135"/>
      <c r="AJ60" s="135"/>
      <c r="AK60" s="135"/>
      <c r="AL60" s="135"/>
      <c r="AM60" s="135"/>
      <c r="AN60" s="135"/>
      <c r="AO60" s="135"/>
      <c r="AP60" s="135"/>
      <c r="AQ60" s="135"/>
      <c r="AR60" s="135"/>
      <c r="AS60" s="135"/>
      <c r="AT60" s="135"/>
      <c r="AU60" s="135"/>
      <c r="AV60" s="135"/>
      <c r="AW60" s="135"/>
      <c r="AX60" s="135"/>
      <c r="AY60" s="135"/>
      <c r="AZ60" s="135"/>
      <c r="BA60" s="135"/>
      <c r="BB60" s="135"/>
      <c r="BC60" s="135"/>
      <c r="BD60" s="135"/>
      <c r="BE60" s="135"/>
      <c r="BF60" s="135"/>
      <c r="BG60" s="135"/>
      <c r="BH60" s="135"/>
      <c r="BI60" s="135"/>
      <c r="BJ60" s="135"/>
      <c r="BK60" s="135"/>
      <c r="BL60" s="135"/>
      <c r="BM60" s="135"/>
      <c r="BN60" s="135"/>
      <c r="BO60" s="135"/>
      <c r="BP60" s="135"/>
      <c r="BQ60" s="135"/>
      <c r="BR60" s="135"/>
      <c r="BS60" s="135"/>
      <c r="BT60" s="135"/>
      <c r="BU60" s="135"/>
      <c r="BV60" s="135"/>
      <c r="BW60" s="135"/>
      <c r="BX60" s="135"/>
      <c r="BY60" s="135"/>
      <c r="BZ60" s="135"/>
      <c r="CA60" s="135"/>
      <c r="CB60" s="135"/>
      <c r="CC60" s="135"/>
      <c r="CD60" s="135"/>
      <c r="CE60" s="135"/>
      <c r="CF60" s="135"/>
      <c r="CG60" s="135"/>
      <c r="CH60" s="135"/>
      <c r="CI60" s="135"/>
      <c r="CJ60" s="135"/>
    </row>
    <row r="61" spans="1:88" s="3" customFormat="1" ht="13" customHeight="1"/>
    <row r="62" spans="1:88" s="3" customFormat="1" ht="13" customHeight="1"/>
    <row r="63" spans="1:88" s="3" customFormat="1" ht="13" customHeight="1"/>
    <row r="64" spans="1:88" s="3" customFormat="1" ht="13" customHeight="1"/>
    <row r="65" s="3" customFormat="1" ht="13" customHeight="1"/>
    <row r="66" s="3" customFormat="1" ht="13" customHeight="1"/>
    <row r="67" s="3" customFormat="1" ht="13" customHeight="1"/>
    <row r="68" s="3" customFormat="1" ht="13" customHeight="1"/>
    <row r="69" s="3" customFormat="1" ht="13" customHeight="1"/>
    <row r="70" s="3" customFormat="1" ht="13" customHeight="1"/>
    <row r="71" s="3" customFormat="1" ht="13" customHeight="1"/>
    <row r="72" s="3" customFormat="1" ht="13" customHeight="1"/>
    <row r="73" s="3" customFormat="1" ht="13" customHeight="1"/>
    <row r="74" s="3" customFormat="1" ht="13" customHeight="1"/>
    <row r="75" s="3" customFormat="1" ht="13" customHeight="1"/>
    <row r="76" s="3" customFormat="1" ht="13" customHeight="1"/>
    <row r="77" s="3" customFormat="1" ht="13" customHeight="1"/>
    <row r="78" s="3" customFormat="1" ht="13" customHeight="1"/>
    <row r="79" s="3" customFormat="1" ht="13" customHeight="1"/>
    <row r="80" s="3" customFormat="1" ht="13" customHeight="1"/>
    <row r="81" s="3" customFormat="1" ht="13" customHeight="1"/>
    <row r="82" s="3" customFormat="1" ht="13" customHeight="1"/>
    <row r="83" s="3" customFormat="1" ht="13" customHeight="1"/>
    <row r="84" s="3" customFormat="1" ht="13" customHeight="1"/>
    <row r="85" s="3" customFormat="1" ht="13" customHeight="1"/>
    <row r="86" s="3" customFormat="1" ht="13" customHeight="1"/>
    <row r="87" s="3" customFormat="1" ht="13" customHeight="1"/>
    <row r="88" s="3" customFormat="1" ht="13" customHeight="1"/>
    <row r="89" s="3" customFormat="1" ht="13" customHeight="1"/>
    <row r="90" s="3" customFormat="1" ht="13" customHeight="1"/>
    <row r="91" s="3" customFormat="1" ht="13" customHeight="1"/>
    <row r="92" s="3" customFormat="1" ht="13" customHeight="1"/>
    <row r="93" s="3" customFormat="1" ht="13" customHeight="1"/>
    <row r="94" s="3" customFormat="1" ht="13" customHeight="1"/>
    <row r="95" s="3" customFormat="1" ht="13" customHeight="1"/>
    <row r="96" s="3" customFormat="1" ht="13" customHeight="1"/>
    <row r="97" s="3" customFormat="1" ht="13" customHeight="1"/>
    <row r="98" s="3" customFormat="1" ht="13" customHeight="1"/>
    <row r="99" s="3" customFormat="1" ht="13" customHeight="1"/>
    <row r="100" s="3" customFormat="1" ht="13" customHeight="1"/>
    <row r="101" s="3" customFormat="1" ht="13" customHeight="1"/>
    <row r="102" s="3" customFormat="1" ht="13" customHeight="1"/>
    <row r="103" s="3" customFormat="1" ht="13" customHeight="1"/>
    <row r="104" s="3" customFormat="1" ht="13" customHeight="1"/>
    <row r="105" s="3" customFormat="1" ht="13" customHeight="1"/>
    <row r="106" s="3" customFormat="1" ht="13" customHeight="1"/>
    <row r="107" s="3" customFormat="1" ht="13" customHeight="1"/>
    <row r="108" s="3" customFormat="1" ht="13" customHeight="1"/>
    <row r="109" s="3" customFormat="1" ht="13" customHeight="1"/>
    <row r="110" s="3" customFormat="1" ht="13" customHeight="1"/>
    <row r="111" s="3" customFormat="1" ht="13" customHeight="1"/>
    <row r="112" s="3" customFormat="1" ht="13" customHeight="1"/>
    <row r="113" s="3" customFormat="1" ht="13" customHeight="1"/>
    <row r="114" s="3" customFormat="1" ht="13" customHeight="1"/>
    <row r="115" s="3" customFormat="1" ht="13" customHeight="1"/>
    <row r="116" s="3" customFormat="1" ht="13" customHeight="1"/>
    <row r="117" s="3" customFormat="1" ht="13" customHeight="1"/>
    <row r="118" s="3" customFormat="1" ht="13" customHeight="1"/>
    <row r="119" s="3" customFormat="1" ht="13" customHeight="1"/>
    <row r="120" s="3" customFormat="1" ht="13" customHeight="1"/>
    <row r="121" s="3" customFormat="1" ht="13" customHeight="1"/>
    <row r="122" s="3" customFormat="1" ht="13" customHeight="1"/>
    <row r="123" s="3" customFormat="1" ht="13" customHeight="1"/>
    <row r="124" s="3" customFormat="1" ht="13" customHeight="1"/>
    <row r="125" s="3" customFormat="1" ht="13" customHeight="1"/>
    <row r="126" s="3" customFormat="1" ht="13" customHeight="1"/>
    <row r="127" s="3" customFormat="1" ht="13" customHeight="1"/>
    <row r="128" s="3" customFormat="1" ht="13" customHeight="1"/>
    <row r="129" s="3" customFormat="1" ht="13" customHeight="1"/>
    <row r="130" s="3" customFormat="1" ht="13" customHeight="1"/>
    <row r="131" s="3" customFormat="1" ht="13" customHeight="1"/>
    <row r="132" s="3" customFormat="1" ht="13" customHeight="1"/>
    <row r="133" s="3" customFormat="1" ht="13" customHeight="1"/>
    <row r="134" s="3" customFormat="1" ht="13" customHeight="1"/>
    <row r="135" s="3" customFormat="1" ht="13" customHeight="1"/>
    <row r="136" s="3" customFormat="1" ht="13" customHeight="1"/>
    <row r="137" s="3" customFormat="1" ht="13" customHeight="1"/>
    <row r="138" s="3" customFormat="1" ht="13" customHeight="1"/>
    <row r="139" s="3" customFormat="1" ht="13" customHeight="1"/>
    <row r="140" s="3" customFormat="1" ht="13" customHeight="1"/>
    <row r="141" s="3" customFormat="1" ht="13" customHeight="1"/>
    <row r="142" s="3" customFormat="1" ht="13" customHeight="1"/>
    <row r="143" s="3" customFormat="1" ht="13" customHeight="1"/>
    <row r="144" s="3" customFormat="1" ht="13" customHeight="1"/>
    <row r="145" s="3" customFormat="1" ht="13" customHeight="1"/>
    <row r="146" s="3" customFormat="1" ht="13" customHeight="1"/>
    <row r="147" s="3" customFormat="1" ht="13" customHeight="1"/>
    <row r="148" s="3" customFormat="1" ht="13" customHeight="1"/>
    <row r="149" s="3" customFormat="1" ht="13" customHeight="1"/>
    <row r="150" s="3" customFormat="1" ht="13" customHeight="1"/>
    <row r="151" s="3" customFormat="1" ht="13" customHeight="1"/>
    <row r="152" s="3" customFormat="1" ht="13" customHeight="1"/>
    <row r="153" s="3" customFormat="1" ht="13" customHeight="1"/>
    <row r="154" s="3" customFormat="1" ht="13" customHeight="1"/>
    <row r="155" s="3" customFormat="1" ht="13" customHeight="1"/>
    <row r="156" s="3" customFormat="1" ht="13" customHeight="1"/>
    <row r="157" s="3" customFormat="1" ht="13" customHeight="1"/>
    <row r="158" s="3" customFormat="1" ht="13" customHeight="1"/>
    <row r="159" s="3" customFormat="1" ht="13" customHeight="1"/>
    <row r="160" s="3" customFormat="1" ht="13" customHeight="1"/>
    <row r="161" s="3" customFormat="1" ht="13" customHeight="1"/>
    <row r="162" s="3" customFormat="1" ht="13" customHeight="1"/>
    <row r="163" s="3" customFormat="1" ht="13" customHeight="1"/>
    <row r="164" s="3" customFormat="1" ht="13" customHeight="1"/>
    <row r="165" s="3" customFormat="1" ht="13" customHeight="1"/>
    <row r="166" s="3" customFormat="1" ht="13" customHeight="1"/>
    <row r="167" s="3" customFormat="1" ht="13" customHeight="1"/>
    <row r="168" s="3" customFormat="1" ht="13" customHeight="1"/>
    <row r="169" s="3" customFormat="1" ht="13" customHeight="1"/>
    <row r="170" s="3" customFormat="1" ht="13" customHeight="1"/>
    <row r="171" s="3" customFormat="1" ht="13" customHeight="1"/>
    <row r="172" s="3" customFormat="1" ht="13" customHeight="1"/>
    <row r="173" s="3" customFormat="1" ht="13" customHeight="1"/>
    <row r="174" s="3" customFormat="1" ht="13" customHeight="1"/>
    <row r="175" s="3" customFormat="1" ht="13" customHeight="1"/>
    <row r="176" s="3" customFormat="1" ht="13" customHeight="1"/>
    <row r="177" s="3" customFormat="1" ht="13" customHeight="1"/>
    <row r="178" s="3" customFormat="1" ht="13" customHeight="1"/>
    <row r="179" s="3" customFormat="1" ht="13" customHeight="1"/>
    <row r="180" s="3" customFormat="1" ht="13" customHeight="1"/>
    <row r="181" s="3" customFormat="1" ht="13" customHeight="1"/>
    <row r="182" s="3" customFormat="1" ht="13" customHeight="1"/>
    <row r="183" s="3" customFormat="1" ht="13" customHeight="1"/>
    <row r="184" s="3" customFormat="1" ht="13" customHeight="1"/>
    <row r="185" s="3" customFormat="1" ht="13" customHeight="1"/>
    <row r="186" s="3" customFormat="1" ht="13" customHeight="1"/>
    <row r="187" s="3" customFormat="1" ht="13" customHeight="1"/>
    <row r="188" s="3" customFormat="1" ht="13" customHeight="1"/>
    <row r="189" s="3" customFormat="1" ht="13" customHeight="1"/>
    <row r="190" s="3" customFormat="1" ht="13" customHeight="1"/>
    <row r="191" s="3" customFormat="1" ht="13" customHeight="1"/>
    <row r="192" s="3" customFormat="1" ht="13" customHeight="1"/>
    <row r="193" s="3" customFormat="1" ht="13" customHeight="1"/>
    <row r="194" s="3" customFormat="1" ht="13" customHeight="1"/>
    <row r="195" s="3" customFormat="1" ht="13" customHeight="1"/>
    <row r="196" s="3" customFormat="1" ht="13" customHeight="1"/>
    <row r="197" s="3" customFormat="1" ht="13" customHeight="1"/>
    <row r="198" s="3" customFormat="1" ht="13" customHeight="1"/>
    <row r="199" s="3" customFormat="1" ht="13" customHeight="1"/>
    <row r="200" s="3" customFormat="1" ht="13" customHeight="1"/>
    <row r="201" s="3" customFormat="1" ht="13" customHeight="1"/>
    <row r="202" s="3" customFormat="1" ht="13" customHeight="1"/>
    <row r="203" s="3" customFormat="1" ht="13" customHeight="1"/>
    <row r="204" s="3" customFormat="1" ht="13" customHeight="1"/>
    <row r="205" s="3" customFormat="1" ht="13" customHeight="1"/>
    <row r="206" s="3" customFormat="1" ht="13" customHeight="1"/>
    <row r="207" s="3" customFormat="1" ht="13" customHeight="1"/>
    <row r="208" s="3" customFormat="1" ht="13" customHeight="1"/>
    <row r="209" s="3" customFormat="1" ht="13" customHeight="1"/>
    <row r="210" s="3" customFormat="1" ht="13" customHeight="1"/>
    <row r="211" s="3" customFormat="1" ht="13" customHeight="1"/>
    <row r="212" s="3" customFormat="1" ht="13" customHeight="1"/>
    <row r="213" s="3" customFormat="1" ht="13" customHeight="1"/>
    <row r="214" s="3" customFormat="1" ht="13" customHeight="1"/>
    <row r="215" s="3" customFormat="1" ht="13" customHeight="1"/>
    <row r="216" s="3" customFormat="1" ht="13" customHeight="1"/>
    <row r="217" s="3" customFormat="1" ht="13" customHeight="1"/>
    <row r="218" s="3" customFormat="1" ht="13" customHeight="1"/>
    <row r="219" s="3" customFormat="1" ht="13" customHeight="1"/>
    <row r="220" s="3" customFormat="1" ht="13" customHeight="1"/>
    <row r="221" s="3" customFormat="1" ht="13" customHeight="1"/>
    <row r="222" s="3" customFormat="1" ht="13" customHeight="1"/>
    <row r="223" s="3" customFormat="1" ht="13" customHeight="1"/>
    <row r="224" s="3" customFormat="1" ht="13" customHeight="1"/>
    <row r="225" s="3" customFormat="1" ht="13" customHeight="1"/>
    <row r="226" s="3" customFormat="1" ht="13" customHeight="1"/>
    <row r="227" s="3" customFormat="1" ht="13" customHeight="1"/>
    <row r="228" s="3" customFormat="1" ht="13" customHeight="1"/>
    <row r="229" s="3" customFormat="1" ht="13" customHeight="1"/>
    <row r="230" s="3" customFormat="1" ht="13" customHeight="1"/>
    <row r="231" s="3" customFormat="1" ht="13" customHeight="1"/>
    <row r="232" s="3" customFormat="1" ht="13" customHeight="1"/>
    <row r="233" s="3" customFormat="1" ht="13" customHeight="1"/>
    <row r="234" s="3" customFormat="1" ht="13" customHeight="1"/>
    <row r="235" s="3" customFormat="1" ht="13" customHeight="1"/>
    <row r="236" s="3" customFormat="1" ht="13" customHeight="1"/>
    <row r="237" s="3" customFormat="1" ht="13" customHeight="1"/>
    <row r="238" s="3" customFormat="1" ht="13" customHeight="1"/>
    <row r="239" s="3" customFormat="1" ht="13" customHeight="1"/>
    <row r="240" s="3" customFormat="1" ht="13" customHeight="1"/>
    <row r="241" s="3" customFormat="1" ht="13" customHeight="1"/>
    <row r="242" s="3" customFormat="1" ht="13" customHeight="1"/>
    <row r="243" s="3" customFormat="1" ht="13" customHeight="1"/>
    <row r="244" s="3" customFormat="1" ht="13" customHeight="1"/>
    <row r="245" s="3" customFormat="1" ht="13" customHeight="1"/>
    <row r="246" s="3" customFormat="1" ht="13" customHeight="1"/>
    <row r="247" s="3" customFormat="1" ht="13" customHeight="1"/>
    <row r="248" s="3" customFormat="1" ht="13" customHeight="1"/>
    <row r="249" s="3" customFormat="1" ht="13" customHeight="1"/>
    <row r="250" s="3" customFormat="1" ht="13" customHeight="1"/>
    <row r="251" s="3" customFormat="1" ht="13" customHeight="1"/>
    <row r="252" s="3" customFormat="1" ht="13" customHeight="1"/>
    <row r="253" s="3" customFormat="1" ht="13" customHeight="1"/>
    <row r="254" s="3" customFormat="1" ht="13" customHeight="1"/>
    <row r="255" s="3" customFormat="1" ht="13" customHeight="1"/>
    <row r="256" s="3" customFormat="1" ht="13" customHeight="1"/>
    <row r="257" s="3" customFormat="1" ht="13" customHeight="1"/>
    <row r="258" s="3" customFormat="1" ht="13" customHeight="1"/>
    <row r="259" s="3" customFormat="1" ht="13" customHeight="1"/>
    <row r="260" s="3" customFormat="1" ht="13" customHeight="1"/>
    <row r="261" s="3" customFormat="1" ht="13" customHeight="1"/>
    <row r="262" s="3" customFormat="1" ht="13" customHeight="1"/>
    <row r="263" s="3" customFormat="1" ht="13" customHeight="1"/>
    <row r="264" s="3" customFormat="1" ht="13" customHeight="1"/>
    <row r="265" s="3" customFormat="1" ht="13" customHeight="1"/>
    <row r="266" s="3" customFormat="1" ht="13" customHeight="1"/>
    <row r="267" s="3" customFormat="1" ht="13" customHeight="1"/>
    <row r="268" s="3" customFormat="1" ht="13" customHeight="1"/>
    <row r="269" s="3" customFormat="1" ht="13" customHeight="1"/>
    <row r="270" s="3" customFormat="1" ht="13" customHeight="1"/>
    <row r="271" s="3" customFormat="1" ht="13" customHeight="1"/>
    <row r="272" s="3" customFormat="1" ht="13" customHeight="1"/>
    <row r="273" s="3" customFormat="1" ht="13" customHeight="1"/>
    <row r="274" s="3" customFormat="1" ht="13" customHeight="1"/>
    <row r="275" s="3" customFormat="1" ht="13" customHeight="1"/>
    <row r="276" s="3" customFormat="1" ht="13" customHeight="1"/>
    <row r="277" s="3" customFormat="1" ht="13" customHeight="1"/>
    <row r="278" s="3" customFormat="1" ht="13" customHeight="1"/>
    <row r="279" s="3" customFormat="1" ht="13" customHeight="1"/>
    <row r="280" s="3" customFormat="1" ht="13" customHeight="1"/>
    <row r="281" s="3" customFormat="1" ht="13" customHeight="1"/>
    <row r="282" s="3" customFormat="1" ht="13" customHeight="1"/>
    <row r="283" s="3" customFormat="1" ht="13" customHeight="1"/>
    <row r="284" s="3" customFormat="1" ht="13" customHeight="1"/>
    <row r="285" s="3" customFormat="1" ht="13" customHeight="1"/>
    <row r="286" s="3" customFormat="1" ht="13" customHeight="1"/>
    <row r="287" s="3" customFormat="1" ht="13" customHeight="1"/>
    <row r="288" s="3" customFormat="1" ht="13" customHeight="1"/>
    <row r="289" s="3" customFormat="1" ht="13" customHeight="1"/>
    <row r="290" s="3" customFormat="1" ht="13" customHeight="1"/>
    <row r="291" s="3" customFormat="1" ht="13" customHeight="1"/>
    <row r="292" s="3" customFormat="1" ht="13" customHeight="1"/>
    <row r="293" s="3" customFormat="1" ht="13" customHeight="1"/>
    <row r="294" s="3" customFormat="1" ht="13" customHeight="1"/>
    <row r="295" s="3" customFormat="1" ht="13" customHeight="1"/>
    <row r="296" s="3" customFormat="1" ht="13" customHeight="1"/>
    <row r="297" s="3" customFormat="1" ht="13" customHeight="1"/>
    <row r="298" s="3" customFormat="1" ht="13" customHeight="1"/>
    <row r="299" s="3" customFormat="1" ht="13" customHeight="1"/>
    <row r="300" s="3" customFormat="1" ht="13" customHeight="1"/>
    <row r="301" s="3" customFormat="1" ht="13" customHeight="1"/>
    <row r="302" s="3" customFormat="1" ht="13" customHeight="1"/>
    <row r="303" s="3" customFormat="1" ht="13" customHeight="1"/>
    <row r="304" s="3" customFormat="1" ht="13" customHeight="1"/>
    <row r="305" s="3" customFormat="1" ht="13" customHeight="1"/>
    <row r="306" s="3" customFormat="1" ht="13" customHeight="1"/>
    <row r="307" s="3" customFormat="1" ht="13" customHeight="1"/>
    <row r="308" s="3" customFormat="1" ht="13" customHeight="1"/>
    <row r="309" s="3" customFormat="1" ht="13" customHeight="1"/>
    <row r="310" s="3" customFormat="1" ht="13" customHeight="1"/>
    <row r="311" s="3" customFormat="1" ht="13" customHeight="1"/>
    <row r="312" s="3" customFormat="1" ht="13" customHeight="1"/>
    <row r="313" s="3" customFormat="1" ht="13" customHeight="1"/>
    <row r="314" s="3" customFormat="1" ht="13" customHeight="1"/>
    <row r="315" s="3" customFormat="1" ht="13" customHeight="1"/>
    <row r="316" s="3" customFormat="1" ht="13" customHeight="1"/>
    <row r="317" s="3" customFormat="1" ht="13" customHeight="1"/>
    <row r="318" s="3" customFormat="1" ht="13" customHeight="1"/>
    <row r="319" s="3" customFormat="1" ht="13" customHeight="1"/>
    <row r="320" s="3" customFormat="1" ht="13" customHeight="1"/>
    <row r="321" s="3" customFormat="1" ht="13" customHeight="1"/>
    <row r="322" s="3" customFormat="1" ht="13" customHeight="1"/>
    <row r="323" s="3" customFormat="1" ht="13" customHeight="1"/>
    <row r="324" s="3" customFormat="1" ht="13" customHeight="1"/>
    <row r="325" s="3" customFormat="1" ht="13" customHeight="1"/>
    <row r="326" s="3" customFormat="1" ht="13" customHeight="1"/>
    <row r="327" s="3" customFormat="1" ht="13" customHeight="1"/>
    <row r="328" s="3" customFormat="1" ht="13" customHeight="1"/>
    <row r="329" s="3" customFormat="1" ht="13" customHeight="1"/>
    <row r="330" s="3" customFormat="1" ht="13" customHeight="1"/>
    <row r="331" s="3" customFormat="1" ht="13" customHeight="1"/>
    <row r="332" s="3" customFormat="1" ht="13" customHeight="1"/>
    <row r="333" s="3" customFormat="1" ht="13" customHeight="1"/>
    <row r="334" s="3" customFormat="1" ht="13" customHeight="1"/>
    <row r="335" s="3" customFormat="1" ht="13" customHeight="1"/>
    <row r="336" s="3" customFormat="1" ht="13" customHeight="1"/>
    <row r="337" s="3" customFormat="1" ht="13" customHeight="1"/>
    <row r="338" s="3" customFormat="1" ht="13" customHeight="1"/>
    <row r="339" s="3" customFormat="1" ht="13" customHeight="1"/>
    <row r="340" s="3" customFormat="1" ht="13" customHeight="1"/>
    <row r="341" s="3" customFormat="1" ht="13" customHeight="1"/>
    <row r="342" s="3" customFormat="1" ht="13" customHeight="1"/>
    <row r="343" s="3" customFormat="1" ht="13" customHeight="1"/>
    <row r="344" s="3" customFormat="1" ht="13" customHeight="1"/>
    <row r="345" s="3" customFormat="1" ht="13" customHeight="1"/>
    <row r="346" s="3" customFormat="1" ht="13" customHeight="1"/>
    <row r="347" s="3" customFormat="1" ht="13" customHeight="1"/>
    <row r="348" s="3" customFormat="1" ht="13" customHeight="1"/>
    <row r="349" s="3" customFormat="1" ht="13" customHeight="1"/>
    <row r="350" s="3" customFormat="1" ht="13" customHeight="1"/>
    <row r="351" s="3" customFormat="1" ht="13" customHeight="1"/>
    <row r="352" s="3" customFormat="1" ht="13" customHeight="1"/>
    <row r="353" s="3" customFormat="1" ht="13" customHeight="1"/>
    <row r="354" s="3" customFormat="1" ht="13" customHeight="1"/>
    <row r="355" s="3" customFormat="1" ht="13" customHeight="1"/>
    <row r="356" s="3" customFormat="1" ht="13" customHeight="1"/>
    <row r="357" s="3" customFormat="1" ht="13" customHeight="1"/>
    <row r="358" s="3" customFormat="1" ht="13" customHeight="1"/>
    <row r="359" s="3" customFormat="1" ht="13" customHeight="1"/>
    <row r="360" s="3" customFormat="1" ht="13" customHeight="1"/>
    <row r="361" s="3" customFormat="1" ht="13" customHeight="1"/>
    <row r="362" s="3" customFormat="1" ht="13" customHeight="1"/>
    <row r="363" s="3" customFormat="1" ht="13" customHeight="1"/>
    <row r="364" s="3" customFormat="1" ht="13" customHeight="1"/>
    <row r="365" s="3" customFormat="1" ht="13" customHeight="1"/>
    <row r="366" s="3" customFormat="1" ht="13" customHeight="1"/>
    <row r="367" s="3" customFormat="1" ht="13" customHeight="1"/>
    <row r="368" s="3" customFormat="1" ht="13" customHeight="1"/>
    <row r="369" s="3" customFormat="1" ht="13" customHeight="1"/>
    <row r="370" s="3" customFormat="1" ht="13" customHeight="1"/>
    <row r="371" s="3" customFormat="1" ht="13" customHeight="1"/>
    <row r="372" s="3" customFormat="1" ht="13" customHeight="1"/>
    <row r="373" s="3" customFormat="1" ht="13" customHeight="1"/>
    <row r="374" s="3" customFormat="1" ht="13" customHeight="1"/>
    <row r="375" s="3" customFormat="1" ht="13" customHeight="1"/>
    <row r="376" s="3" customFormat="1" ht="13" customHeight="1"/>
    <row r="377" s="3" customFormat="1" ht="13" customHeight="1"/>
    <row r="378" s="3" customFormat="1" ht="13" customHeight="1"/>
    <row r="379" s="3" customFormat="1" ht="13" customHeight="1"/>
    <row r="380" s="3" customFormat="1" ht="13" customHeight="1"/>
    <row r="381" s="3" customFormat="1" ht="13" customHeight="1"/>
    <row r="382" s="3" customFormat="1" ht="13" customHeight="1"/>
    <row r="383" s="3" customFormat="1" ht="13" customHeight="1"/>
    <row r="384" s="3" customFormat="1" ht="13" customHeight="1"/>
    <row r="385" s="3" customFormat="1" ht="13" customHeight="1"/>
    <row r="386" s="3" customFormat="1" ht="13" customHeight="1"/>
    <row r="387" s="3" customFormat="1" ht="13" customHeight="1"/>
    <row r="388" s="3" customFormat="1" ht="13" customHeight="1"/>
    <row r="389" s="3" customFormat="1" ht="13" customHeight="1"/>
    <row r="390" s="3" customFormat="1" ht="13" customHeight="1"/>
    <row r="391" s="3" customFormat="1" ht="13" customHeight="1"/>
    <row r="392" s="3" customFormat="1" ht="13" customHeight="1"/>
    <row r="393" s="3" customFormat="1" ht="13" customHeight="1"/>
    <row r="394" s="3" customFormat="1" ht="13" customHeight="1"/>
    <row r="395" s="3" customFormat="1" ht="13" customHeight="1"/>
    <row r="396" s="3" customFormat="1" ht="13" customHeight="1"/>
    <row r="397" s="3" customFormat="1" ht="13" customHeight="1"/>
    <row r="398" s="3" customFormat="1" ht="13" customHeight="1"/>
    <row r="399" s="3" customFormat="1" ht="13" customHeight="1"/>
    <row r="400" s="3" customFormat="1" ht="13" customHeight="1"/>
    <row r="401" spans="12:13" s="3" customFormat="1" ht="13" customHeight="1"/>
    <row r="402" spans="12:13" s="3" customFormat="1" ht="13" customHeight="1"/>
    <row r="403" spans="12:13" s="3" customFormat="1" ht="13" customHeight="1"/>
    <row r="404" spans="12:13" s="3" customFormat="1" ht="13" customHeight="1"/>
    <row r="405" spans="12:13" s="3" customFormat="1" ht="13" customHeight="1"/>
    <row r="406" spans="12:13" s="3" customFormat="1" ht="13" customHeight="1"/>
    <row r="407" spans="12:13" s="3" customFormat="1" ht="13" customHeight="1"/>
    <row r="408" spans="12:13" s="3" customFormat="1" ht="13" customHeight="1"/>
    <row r="409" spans="12:13" s="3" customFormat="1" ht="13" customHeight="1"/>
    <row r="410" spans="12:13" s="3" customFormat="1" ht="13" customHeight="1"/>
    <row r="411" spans="12:13" s="3" customFormat="1" ht="13" customHeight="1"/>
    <row r="412" spans="12:13" s="3" customFormat="1" ht="13" customHeight="1"/>
    <row r="413" spans="12:13" s="3" customFormat="1" ht="13" customHeight="1">
      <c r="L413" s="47"/>
      <c r="M413" s="47"/>
    </row>
    <row r="414" spans="12:13" s="3" customFormat="1" ht="13" customHeight="1">
      <c r="L414" s="47"/>
      <c r="M414" s="47"/>
    </row>
    <row r="415" spans="12:13" s="3" customFormat="1" ht="13" customHeight="1">
      <c r="L415" s="47"/>
      <c r="M415" s="47"/>
    </row>
    <row r="416" spans="12:13" s="3" customFormat="1" ht="13" customHeight="1">
      <c r="L416" s="47"/>
      <c r="M416" s="47"/>
    </row>
    <row r="417" spans="12:29" s="3" customFormat="1" ht="13" customHeight="1">
      <c r="L417" s="47"/>
      <c r="M417" s="47"/>
    </row>
    <row r="418" spans="12:29" s="3" customFormat="1" ht="13" customHeight="1">
      <c r="L418" s="47"/>
      <c r="M418" s="47"/>
    </row>
    <row r="419" spans="12:29" s="3" customFormat="1" ht="13" customHeight="1">
      <c r="L419" s="47"/>
      <c r="M419" s="47"/>
    </row>
    <row r="420" spans="12:29" s="3" customFormat="1" ht="13" customHeight="1">
      <c r="L420" s="47"/>
      <c r="M420" s="47"/>
    </row>
    <row r="421" spans="12:29" s="3" customFormat="1" ht="13" customHeight="1">
      <c r="L421" s="47"/>
      <c r="M421" s="47"/>
    </row>
    <row r="422" spans="12:29" s="3" customFormat="1" ht="13" customHeight="1">
      <c r="L422" s="47"/>
      <c r="M422" s="47"/>
    </row>
    <row r="423" spans="12:29" s="3" customFormat="1" ht="13" customHeight="1">
      <c r="L423" s="47"/>
      <c r="M423" s="47"/>
    </row>
    <row r="424" spans="12:29" s="3" customFormat="1" ht="13" customHeight="1">
      <c r="L424" s="47"/>
      <c r="M424" s="47"/>
    </row>
    <row r="425" spans="12:29" s="3" customFormat="1" ht="13" customHeight="1">
      <c r="L425" s="47"/>
      <c r="M425" s="47"/>
    </row>
    <row r="426" spans="12:29" s="3" customFormat="1" ht="13" customHeight="1">
      <c r="L426" s="47"/>
      <c r="M426" s="47"/>
    </row>
    <row r="427" spans="12:29" s="3" customFormat="1" ht="13" customHeight="1">
      <c r="L427" s="47"/>
      <c r="M427" s="47"/>
    </row>
    <row r="428" spans="12:29" s="3" customFormat="1" ht="13" customHeight="1">
      <c r="L428" s="47"/>
      <c r="M428" s="47"/>
    </row>
    <row r="429" spans="12:29" s="3" customFormat="1" ht="13" customHeight="1">
      <c r="L429" s="47"/>
      <c r="M429" s="47"/>
    </row>
    <row r="430" spans="12:29" s="3" customFormat="1" ht="13" customHeight="1">
      <c r="L430" s="47"/>
      <c r="M430" s="47"/>
    </row>
    <row r="431" spans="12:29" s="3" customFormat="1" ht="13" customHeight="1">
      <c r="L431" s="47"/>
      <c r="M431" s="47"/>
      <c r="Y431" s="46"/>
      <c r="Z431" s="46"/>
      <c r="AA431" s="46"/>
      <c r="AC431" s="46"/>
    </row>
    <row r="432" spans="12:29" s="3" customFormat="1" ht="13" customHeight="1">
      <c r="L432" s="47"/>
      <c r="M432" s="47"/>
    </row>
    <row r="433" spans="12:13" s="3" customFormat="1" ht="13" customHeight="1">
      <c r="L433" s="47"/>
      <c r="M433" s="47"/>
    </row>
    <row r="434" spans="12:13" s="3" customFormat="1" ht="13" customHeight="1">
      <c r="L434" s="47"/>
      <c r="M434" s="47"/>
    </row>
    <row r="435" spans="12:13" s="3" customFormat="1" ht="13" customHeight="1">
      <c r="L435" s="47"/>
      <c r="M435" s="47"/>
    </row>
    <row r="436" spans="12:13" s="3" customFormat="1" ht="13" customHeight="1">
      <c r="L436" s="47"/>
      <c r="M436" s="47"/>
    </row>
    <row r="437" spans="12:13" s="3" customFormat="1" ht="13" customHeight="1">
      <c r="L437" s="47"/>
      <c r="M437" s="47"/>
    </row>
    <row r="438" spans="12:13" s="3" customFormat="1" ht="13" customHeight="1">
      <c r="L438" s="47"/>
      <c r="M438" s="47"/>
    </row>
    <row r="439" spans="12:13" s="3" customFormat="1" ht="13" customHeight="1">
      <c r="L439" s="47"/>
      <c r="M439" s="47"/>
    </row>
    <row r="440" spans="12:13" s="3" customFormat="1" ht="13" customHeight="1">
      <c r="L440" s="47"/>
      <c r="M440" s="47"/>
    </row>
    <row r="441" spans="12:13" s="3" customFormat="1" ht="13" customHeight="1">
      <c r="L441" s="47"/>
      <c r="M441" s="47"/>
    </row>
    <row r="442" spans="12:13" s="3" customFormat="1" ht="13" customHeight="1">
      <c r="L442" s="47"/>
      <c r="M442" s="47"/>
    </row>
    <row r="443" spans="12:13" s="3" customFormat="1" ht="13" customHeight="1">
      <c r="L443" s="47"/>
      <c r="M443" s="47"/>
    </row>
    <row r="444" spans="12:13" s="3" customFormat="1" ht="13" customHeight="1">
      <c r="L444" s="47"/>
      <c r="M444" s="47"/>
    </row>
    <row r="445" spans="12:13" s="3" customFormat="1" ht="13" customHeight="1">
      <c r="L445" s="47"/>
      <c r="M445" s="47"/>
    </row>
    <row r="446" spans="12:13" s="3" customFormat="1" ht="13" customHeight="1">
      <c r="L446" s="47"/>
      <c r="M446" s="47"/>
    </row>
    <row r="447" spans="12:13" s="3" customFormat="1" ht="13" customHeight="1">
      <c r="L447" s="47"/>
      <c r="M447" s="47"/>
    </row>
    <row r="448" spans="12:13" s="3" customFormat="1" ht="13" customHeight="1">
      <c r="L448" s="47"/>
      <c r="M448" s="47"/>
    </row>
    <row r="449" spans="12:13" s="3" customFormat="1" ht="13" customHeight="1">
      <c r="L449" s="47"/>
      <c r="M449" s="47"/>
    </row>
    <row r="450" spans="12:13" s="3" customFormat="1" ht="13" customHeight="1">
      <c r="L450" s="47"/>
      <c r="M450" s="47"/>
    </row>
    <row r="451" spans="12:13" s="3" customFormat="1" ht="13" customHeight="1">
      <c r="L451" s="47"/>
      <c r="M451" s="47"/>
    </row>
    <row r="452" spans="12:13" s="3" customFormat="1" ht="13" customHeight="1">
      <c r="L452" s="47"/>
      <c r="M452" s="47"/>
    </row>
    <row r="453" spans="12:13" s="3" customFormat="1" ht="13" customHeight="1">
      <c r="L453" s="47"/>
      <c r="M453" s="47"/>
    </row>
    <row r="454" spans="12:13" s="3" customFormat="1" ht="13" customHeight="1">
      <c r="L454" s="47"/>
      <c r="M454" s="47"/>
    </row>
    <row r="455" spans="12:13" s="3" customFormat="1" ht="13" customHeight="1">
      <c r="L455" s="47"/>
      <c r="M455" s="47"/>
    </row>
    <row r="456" spans="12:13" s="3" customFormat="1" ht="13" customHeight="1">
      <c r="L456" s="47"/>
      <c r="M456" s="47"/>
    </row>
    <row r="457" spans="12:13" s="3" customFormat="1" ht="13" customHeight="1">
      <c r="L457" s="47"/>
      <c r="M457" s="47"/>
    </row>
    <row r="458" spans="12:13" s="3" customFormat="1" ht="13" customHeight="1">
      <c r="L458" s="47"/>
      <c r="M458" s="47"/>
    </row>
    <row r="459" spans="12:13" s="3" customFormat="1" ht="13" customHeight="1">
      <c r="L459" s="47"/>
      <c r="M459" s="47"/>
    </row>
    <row r="460" spans="12:13" s="3" customFormat="1" ht="13" customHeight="1">
      <c r="L460" s="47"/>
      <c r="M460" s="47"/>
    </row>
    <row r="461" spans="12:13" s="3" customFormat="1" ht="13" customHeight="1">
      <c r="L461" s="47"/>
      <c r="M461" s="47"/>
    </row>
    <row r="462" spans="12:13" s="3" customFormat="1" ht="13" customHeight="1">
      <c r="L462" s="47"/>
      <c r="M462" s="47"/>
    </row>
    <row r="463" spans="12:13" s="3" customFormat="1" ht="13" customHeight="1">
      <c r="L463" s="47"/>
      <c r="M463" s="47"/>
    </row>
    <row r="464" spans="12:13" s="3" customFormat="1" ht="13" customHeight="1">
      <c r="L464" s="47"/>
      <c r="M464" s="47"/>
    </row>
    <row r="465" spans="12:13" s="3" customFormat="1" ht="13" customHeight="1">
      <c r="L465" s="47"/>
      <c r="M465" s="47"/>
    </row>
    <row r="466" spans="12:13" s="3" customFormat="1" ht="13" customHeight="1">
      <c r="L466" s="47"/>
      <c r="M466" s="47"/>
    </row>
    <row r="467" spans="12:13" s="3" customFormat="1" ht="13" customHeight="1">
      <c r="L467" s="47"/>
      <c r="M467" s="47"/>
    </row>
    <row r="468" spans="12:13" s="3" customFormat="1" ht="13" customHeight="1">
      <c r="L468" s="47"/>
      <c r="M468" s="47"/>
    </row>
    <row r="469" spans="12:13" s="3" customFormat="1" ht="13" customHeight="1">
      <c r="L469" s="47"/>
      <c r="M469" s="47"/>
    </row>
    <row r="470" spans="12:13" s="3" customFormat="1" ht="13" customHeight="1">
      <c r="L470" s="47"/>
      <c r="M470" s="47"/>
    </row>
    <row r="471" spans="12:13" s="3" customFormat="1" ht="13" customHeight="1">
      <c r="L471" s="47"/>
      <c r="M471" s="47"/>
    </row>
    <row r="472" spans="12:13" s="3" customFormat="1" ht="13" customHeight="1">
      <c r="L472" s="47"/>
      <c r="M472" s="47"/>
    </row>
    <row r="473" spans="12:13" s="3" customFormat="1" ht="13" customHeight="1">
      <c r="L473" s="47"/>
      <c r="M473" s="47"/>
    </row>
    <row r="474" spans="12:13" s="3" customFormat="1" ht="13" customHeight="1">
      <c r="L474" s="47"/>
      <c r="M474" s="47"/>
    </row>
    <row r="475" spans="12:13" s="3" customFormat="1" ht="13" customHeight="1">
      <c r="L475" s="47"/>
      <c r="M475" s="47"/>
    </row>
    <row r="476" spans="12:13" s="3" customFormat="1" ht="13" customHeight="1">
      <c r="L476" s="47"/>
      <c r="M476" s="47"/>
    </row>
    <row r="477" spans="12:13" s="3" customFormat="1" ht="13" customHeight="1">
      <c r="L477" s="47"/>
      <c r="M477" s="47"/>
    </row>
    <row r="478" spans="12:13" s="3" customFormat="1" ht="13" customHeight="1">
      <c r="L478" s="47"/>
      <c r="M478" s="47"/>
    </row>
    <row r="479" spans="12:13" s="3" customFormat="1" ht="13" customHeight="1">
      <c r="L479" s="47"/>
      <c r="M479" s="47"/>
    </row>
    <row r="480" spans="12:13" s="3" customFormat="1" ht="13" customHeight="1">
      <c r="L480" s="47"/>
      <c r="M480" s="47"/>
    </row>
    <row r="481" spans="12:13" s="3" customFormat="1" ht="13" customHeight="1">
      <c r="L481" s="47"/>
      <c r="M481" s="47"/>
    </row>
    <row r="482" spans="12:13" s="3" customFormat="1" ht="13" customHeight="1">
      <c r="L482" s="47"/>
      <c r="M482" s="47"/>
    </row>
    <row r="483" spans="12:13" s="3" customFormat="1" ht="13" customHeight="1">
      <c r="L483" s="47"/>
      <c r="M483" s="47"/>
    </row>
    <row r="484" spans="12:13" s="3" customFormat="1" ht="13" customHeight="1">
      <c r="L484" s="47"/>
      <c r="M484" s="47"/>
    </row>
    <row r="485" spans="12:13" s="3" customFormat="1" ht="13" customHeight="1">
      <c r="L485" s="47"/>
      <c r="M485" s="47"/>
    </row>
    <row r="486" spans="12:13" s="3" customFormat="1" ht="13" customHeight="1">
      <c r="L486" s="47"/>
      <c r="M486" s="47"/>
    </row>
    <row r="487" spans="12:13" s="3" customFormat="1" ht="13" customHeight="1">
      <c r="L487" s="47"/>
      <c r="M487" s="47"/>
    </row>
    <row r="488" spans="12:13" s="3" customFormat="1" ht="13" customHeight="1">
      <c r="L488" s="47"/>
      <c r="M488" s="47"/>
    </row>
    <row r="489" spans="12:13" s="3" customFormat="1" ht="13" customHeight="1">
      <c r="L489" s="47"/>
      <c r="M489" s="47"/>
    </row>
    <row r="490" spans="12:13" s="3" customFormat="1" ht="13" customHeight="1">
      <c r="L490" s="47"/>
      <c r="M490" s="47"/>
    </row>
    <row r="491" spans="12:13" s="3" customFormat="1" ht="13" customHeight="1">
      <c r="L491" s="47"/>
      <c r="M491" s="47"/>
    </row>
    <row r="492" spans="12:13" s="3" customFormat="1" ht="13" customHeight="1">
      <c r="L492" s="47"/>
      <c r="M492" s="47"/>
    </row>
    <row r="493" spans="12:13" s="3" customFormat="1" ht="13" customHeight="1">
      <c r="L493" s="47"/>
      <c r="M493" s="47"/>
    </row>
    <row r="494" spans="12:13" ht="13" customHeight="1">
      <c r="L494" s="1"/>
      <c r="M494" s="1"/>
    </row>
    <row r="495" spans="12:13" ht="13" customHeight="1">
      <c r="L495" s="1"/>
      <c r="M495" s="1"/>
    </row>
    <row r="496" spans="12:13" ht="13" customHeight="1">
      <c r="L496" s="1"/>
      <c r="M496" s="1"/>
    </row>
    <row r="497" spans="12:13" ht="13" customHeight="1">
      <c r="L497" s="1"/>
      <c r="M497" s="1"/>
    </row>
    <row r="498" spans="12:13" ht="13" customHeight="1">
      <c r="L498" s="1"/>
      <c r="M498" s="1"/>
    </row>
    <row r="499" spans="12:13" ht="13" customHeight="1">
      <c r="L499" s="1"/>
      <c r="M499" s="1"/>
    </row>
    <row r="500" spans="12:13" ht="13" customHeight="1">
      <c r="L500" s="1"/>
      <c r="M500" s="1"/>
    </row>
    <row r="501" spans="12:13" ht="13" customHeight="1">
      <c r="L501" s="1"/>
      <c r="M501" s="1"/>
    </row>
    <row r="502" spans="12:13" ht="13" customHeight="1">
      <c r="L502" s="1"/>
      <c r="M502" s="1"/>
    </row>
    <row r="503" spans="12:13" ht="13" customHeight="1">
      <c r="L503" s="1"/>
      <c r="M503" s="1"/>
    </row>
    <row r="504" spans="12:13" ht="13" customHeight="1">
      <c r="L504" s="1"/>
      <c r="M504" s="1"/>
    </row>
    <row r="505" spans="12:13" ht="13" customHeight="1">
      <c r="L505" s="1"/>
      <c r="M505" s="1"/>
    </row>
    <row r="506" spans="12:13" ht="13" customHeight="1">
      <c r="L506" s="1"/>
      <c r="M506" s="1"/>
    </row>
    <row r="507" spans="12:13" ht="13" customHeight="1">
      <c r="L507" s="1"/>
      <c r="M507" s="1"/>
    </row>
    <row r="508" spans="12:13" ht="13" customHeight="1">
      <c r="L508" s="1"/>
      <c r="M508" s="1"/>
    </row>
    <row r="509" spans="12:13" ht="13" customHeight="1">
      <c r="L509" s="1"/>
      <c r="M509" s="1"/>
    </row>
    <row r="510" spans="12:13" ht="13" customHeight="1">
      <c r="L510" s="1"/>
      <c r="M510" s="1"/>
    </row>
    <row r="511" spans="12:13" ht="13" customHeight="1">
      <c r="L511" s="1"/>
      <c r="M511" s="1"/>
    </row>
    <row r="512" spans="12:13" ht="13" customHeight="1">
      <c r="L512" s="1"/>
      <c r="M512" s="1"/>
    </row>
    <row r="513" spans="12:13" ht="13" customHeight="1">
      <c r="L513" s="1"/>
      <c r="M513" s="1"/>
    </row>
    <row r="514" spans="12:13" ht="13" customHeight="1">
      <c r="L514" s="1"/>
      <c r="M514" s="1"/>
    </row>
    <row r="515" spans="12:13" ht="13" customHeight="1">
      <c r="L515" s="1"/>
      <c r="M515" s="1"/>
    </row>
    <row r="516" spans="12:13" ht="13" customHeight="1">
      <c r="L516" s="1"/>
      <c r="M516" s="1"/>
    </row>
    <row r="517" spans="12:13" ht="13" customHeight="1">
      <c r="L517" s="1"/>
      <c r="M517" s="1"/>
    </row>
    <row r="518" spans="12:13" ht="13" customHeight="1">
      <c r="L518" s="1"/>
      <c r="M518" s="1"/>
    </row>
    <row r="519" spans="12:13" ht="13" customHeight="1">
      <c r="L519" s="1"/>
      <c r="M519" s="1"/>
    </row>
    <row r="520" spans="12:13" ht="13" customHeight="1">
      <c r="L520" s="1"/>
      <c r="M520" s="1"/>
    </row>
    <row r="521" spans="12:13" ht="13" customHeight="1">
      <c r="L521" s="1"/>
      <c r="M521" s="1"/>
    </row>
    <row r="522" spans="12:13" ht="13" customHeight="1">
      <c r="L522" s="1"/>
      <c r="M522" s="1"/>
    </row>
    <row r="523" spans="12:13" ht="13" customHeight="1">
      <c r="L523" s="1"/>
      <c r="M523" s="1"/>
    </row>
    <row r="524" spans="12:13" ht="13" customHeight="1">
      <c r="L524" s="1"/>
      <c r="M524" s="1"/>
    </row>
    <row r="525" spans="12:13" ht="13" customHeight="1">
      <c r="L525" s="1"/>
      <c r="M525" s="1"/>
    </row>
    <row r="526" spans="12:13" ht="13" customHeight="1">
      <c r="L526" s="1"/>
      <c r="M526" s="1"/>
    </row>
    <row r="527" spans="12:13" ht="13" customHeight="1">
      <c r="L527" s="1"/>
      <c r="M527" s="1"/>
    </row>
    <row r="528" spans="12:13" ht="13" customHeight="1">
      <c r="L528" s="1"/>
      <c r="M528" s="1"/>
    </row>
    <row r="529" spans="12:13" ht="13" customHeight="1">
      <c r="L529" s="1"/>
      <c r="M529" s="1"/>
    </row>
    <row r="530" spans="12:13" ht="13" customHeight="1">
      <c r="L530" s="1"/>
      <c r="M530" s="1"/>
    </row>
    <row r="531" spans="12:13" ht="13" customHeight="1">
      <c r="L531" s="1"/>
      <c r="M531" s="1"/>
    </row>
    <row r="532" spans="12:13" ht="13" customHeight="1">
      <c r="L532" s="1"/>
      <c r="M532" s="1"/>
    </row>
    <row r="533" spans="12:13" ht="13" customHeight="1">
      <c r="L533" s="1"/>
      <c r="M533" s="1"/>
    </row>
    <row r="534" spans="12:13" ht="13" customHeight="1">
      <c r="L534" s="1"/>
      <c r="M534" s="1"/>
    </row>
    <row r="535" spans="12:13" ht="13" customHeight="1">
      <c r="L535" s="1"/>
      <c r="M535" s="1"/>
    </row>
    <row r="536" spans="12:13" ht="13" customHeight="1">
      <c r="L536" s="1"/>
      <c r="M536" s="1"/>
    </row>
    <row r="537" spans="12:13" ht="13" customHeight="1">
      <c r="L537" s="1"/>
      <c r="M537" s="1"/>
    </row>
    <row r="538" spans="12:13" ht="13" customHeight="1">
      <c r="L538" s="1"/>
      <c r="M538" s="1"/>
    </row>
    <row r="539" spans="12:13" ht="13" customHeight="1">
      <c r="L539" s="1"/>
      <c r="M539" s="1"/>
    </row>
    <row r="540" spans="12:13" ht="13" customHeight="1">
      <c r="L540" s="1"/>
      <c r="M540" s="1"/>
    </row>
    <row r="541" spans="12:13" ht="13" customHeight="1">
      <c r="L541" s="1"/>
      <c r="M541" s="1"/>
    </row>
    <row r="542" spans="12:13" ht="13" customHeight="1">
      <c r="L542" s="1"/>
      <c r="M542" s="1"/>
    </row>
    <row r="543" spans="12:13" ht="13" customHeight="1">
      <c r="L543" s="1"/>
      <c r="M543" s="1"/>
    </row>
    <row r="544" spans="12:13" ht="13" customHeight="1">
      <c r="L544" s="1"/>
      <c r="M544" s="1"/>
    </row>
    <row r="545" spans="12:13" ht="13" customHeight="1">
      <c r="L545" s="1"/>
      <c r="M545" s="1"/>
    </row>
    <row r="546" spans="12:13" ht="13" customHeight="1">
      <c r="L546" s="1"/>
      <c r="M546" s="1"/>
    </row>
    <row r="547" spans="12:13" ht="13" customHeight="1">
      <c r="L547" s="1"/>
      <c r="M547" s="1"/>
    </row>
    <row r="548" spans="12:13" ht="13" customHeight="1">
      <c r="L548" s="1"/>
      <c r="M548" s="1"/>
    </row>
    <row r="549" spans="12:13" ht="13" customHeight="1">
      <c r="L549" s="1"/>
      <c r="M549" s="1"/>
    </row>
    <row r="550" spans="12:13" ht="13" customHeight="1">
      <c r="L550" s="1"/>
      <c r="M550" s="1"/>
    </row>
    <row r="551" spans="12:13" ht="13" customHeight="1">
      <c r="L551" s="1"/>
      <c r="M551" s="1"/>
    </row>
    <row r="552" spans="12:13" ht="13" customHeight="1">
      <c r="L552" s="1"/>
      <c r="M552" s="1"/>
    </row>
    <row r="553" spans="12:13" ht="13" customHeight="1">
      <c r="L553" s="1"/>
      <c r="M553" s="1"/>
    </row>
    <row r="554" spans="12:13" ht="13" customHeight="1">
      <c r="L554" s="1"/>
      <c r="M554" s="1"/>
    </row>
    <row r="555" spans="12:13" ht="13" customHeight="1">
      <c r="L555" s="1"/>
      <c r="M555" s="1"/>
    </row>
    <row r="556" spans="12:13" ht="13" customHeight="1">
      <c r="L556" s="1"/>
      <c r="M556" s="1"/>
    </row>
    <row r="557" spans="12:13" ht="13" customHeight="1">
      <c r="L557" s="1"/>
      <c r="M557" s="1"/>
    </row>
    <row r="558" spans="12:13" ht="13" customHeight="1">
      <c r="L558" s="1"/>
      <c r="M558" s="1"/>
    </row>
    <row r="559" spans="12:13" ht="13" customHeight="1">
      <c r="L559" s="1"/>
      <c r="M559" s="1"/>
    </row>
    <row r="560" spans="12:13" ht="13" customHeight="1">
      <c r="L560" s="1"/>
      <c r="M560" s="1"/>
    </row>
    <row r="561" spans="12:13" ht="13" customHeight="1">
      <c r="L561" s="1"/>
      <c r="M561" s="1"/>
    </row>
    <row r="562" spans="12:13" ht="13" customHeight="1">
      <c r="L562" s="1"/>
      <c r="M562" s="1"/>
    </row>
    <row r="563" spans="12:13" ht="13" customHeight="1">
      <c r="L563" s="1"/>
      <c r="M563" s="1"/>
    </row>
    <row r="564" spans="12:13" ht="13" customHeight="1">
      <c r="L564" s="1"/>
      <c r="M564" s="1"/>
    </row>
    <row r="565" spans="12:13" ht="13" customHeight="1">
      <c r="L565" s="1"/>
      <c r="M565" s="1"/>
    </row>
    <row r="566" spans="12:13" ht="13" customHeight="1">
      <c r="L566" s="1"/>
      <c r="M566" s="1"/>
    </row>
    <row r="567" spans="12:13" ht="13" customHeight="1">
      <c r="L567" s="1"/>
      <c r="M567" s="1"/>
    </row>
    <row r="568" spans="12:13" ht="13" customHeight="1">
      <c r="L568" s="1"/>
      <c r="M568" s="1"/>
    </row>
    <row r="569" spans="12:13" ht="13" customHeight="1">
      <c r="L569" s="1"/>
      <c r="M569" s="1"/>
    </row>
    <row r="570" spans="12:13" ht="13" customHeight="1">
      <c r="L570" s="1"/>
      <c r="M570" s="1"/>
    </row>
    <row r="571" spans="12:13" ht="13" customHeight="1">
      <c r="L571" s="1"/>
      <c r="M571" s="1"/>
    </row>
    <row r="572" spans="12:13" ht="13" customHeight="1">
      <c r="L572" s="1"/>
      <c r="M572" s="1"/>
    </row>
    <row r="573" spans="12:13" ht="13" customHeight="1">
      <c r="L573" s="1"/>
      <c r="M573" s="1"/>
    </row>
    <row r="574" spans="12:13" ht="13" customHeight="1">
      <c r="L574" s="1"/>
      <c r="M574" s="1"/>
    </row>
    <row r="575" spans="12:13" ht="13" customHeight="1">
      <c r="L575" s="1"/>
      <c r="M575" s="1"/>
    </row>
    <row r="576" spans="12:13" ht="13" customHeight="1">
      <c r="L576" s="1"/>
      <c r="M576" s="1"/>
    </row>
    <row r="577" spans="12:13" ht="13" customHeight="1">
      <c r="L577" s="1"/>
      <c r="M577" s="1"/>
    </row>
    <row r="578" spans="12:13" ht="13" customHeight="1">
      <c r="L578" s="1"/>
      <c r="M578" s="1"/>
    </row>
    <row r="579" spans="12:13" ht="13" customHeight="1">
      <c r="L579" s="1"/>
      <c r="M579" s="1"/>
    </row>
    <row r="580" spans="12:13" ht="13" customHeight="1">
      <c r="L580" s="1"/>
      <c r="M580" s="1"/>
    </row>
    <row r="581" spans="12:13" ht="13" customHeight="1">
      <c r="L581" s="1"/>
      <c r="M581" s="1"/>
    </row>
    <row r="582" spans="12:13" ht="13" customHeight="1">
      <c r="L582" s="1"/>
      <c r="M582" s="1"/>
    </row>
    <row r="583" spans="12:13" ht="13" customHeight="1">
      <c r="L583" s="1"/>
      <c r="M583" s="1"/>
    </row>
    <row r="584" spans="12:13" ht="13" customHeight="1">
      <c r="L584" s="1"/>
      <c r="M584" s="1"/>
    </row>
    <row r="585" spans="12:13" ht="13" customHeight="1">
      <c r="L585" s="1"/>
      <c r="M585" s="1"/>
    </row>
    <row r="586" spans="12:13" ht="13" customHeight="1">
      <c r="L586" s="1"/>
      <c r="M586" s="1"/>
    </row>
    <row r="587" spans="12:13" ht="13" customHeight="1">
      <c r="L587" s="1"/>
      <c r="M587" s="1"/>
    </row>
    <row r="588" spans="12:13" ht="13" customHeight="1">
      <c r="L588" s="1"/>
      <c r="M588" s="1"/>
    </row>
    <row r="589" spans="12:13" ht="13" customHeight="1">
      <c r="L589" s="1"/>
      <c r="M589" s="1"/>
    </row>
    <row r="590" spans="12:13" ht="13" customHeight="1">
      <c r="L590" s="1"/>
      <c r="M590" s="1"/>
    </row>
    <row r="591" spans="12:13" ht="13" customHeight="1">
      <c r="L591" s="1"/>
      <c r="M591" s="1"/>
    </row>
    <row r="592" spans="12:13" ht="13" customHeight="1">
      <c r="L592" s="1"/>
      <c r="M592" s="1"/>
    </row>
    <row r="593" spans="12:13" ht="13" customHeight="1">
      <c r="L593" s="1"/>
      <c r="M593" s="1"/>
    </row>
    <row r="594" spans="12:13" ht="13" customHeight="1">
      <c r="L594" s="1"/>
      <c r="M594" s="1"/>
    </row>
    <row r="595" spans="12:13" ht="13" customHeight="1">
      <c r="L595" s="1"/>
      <c r="M595" s="1"/>
    </row>
    <row r="596" spans="12:13" ht="13" customHeight="1">
      <c r="L596" s="1"/>
      <c r="M596" s="1"/>
    </row>
    <row r="597" spans="12:13" ht="13" customHeight="1">
      <c r="L597" s="1"/>
      <c r="M597" s="1"/>
    </row>
    <row r="598" spans="12:13" ht="13" customHeight="1">
      <c r="L598" s="1"/>
      <c r="M598" s="1"/>
    </row>
    <row r="599" spans="12:13" ht="13" customHeight="1">
      <c r="L599" s="1"/>
      <c r="M599" s="1"/>
    </row>
    <row r="600" spans="12:13" ht="13" customHeight="1">
      <c r="L600" s="1"/>
      <c r="M600" s="1"/>
    </row>
    <row r="601" spans="12:13" ht="13" customHeight="1">
      <c r="L601" s="1"/>
      <c r="M601" s="1"/>
    </row>
    <row r="602" spans="12:13" ht="13" customHeight="1">
      <c r="L602" s="1"/>
      <c r="M602" s="1"/>
    </row>
    <row r="603" spans="12:13" ht="13" customHeight="1">
      <c r="L603" s="1"/>
      <c r="M603" s="1"/>
    </row>
    <row r="604" spans="12:13" ht="13" customHeight="1">
      <c r="L604" s="1"/>
      <c r="M604" s="1"/>
    </row>
    <row r="605" spans="12:13" ht="13" customHeight="1">
      <c r="L605" s="1"/>
      <c r="M605" s="1"/>
    </row>
    <row r="606" spans="12:13" ht="13" customHeight="1">
      <c r="L606" s="1"/>
      <c r="M606" s="1"/>
    </row>
    <row r="607" spans="12:13" ht="13" customHeight="1">
      <c r="L607" s="1"/>
      <c r="M607" s="1"/>
    </row>
    <row r="608" spans="12:13" ht="13" customHeight="1">
      <c r="L608" s="1"/>
      <c r="M608" s="1"/>
    </row>
    <row r="609" spans="12:13" ht="13" customHeight="1">
      <c r="L609" s="1"/>
      <c r="M609" s="1"/>
    </row>
    <row r="610" spans="12:13" ht="13" customHeight="1">
      <c r="L610" s="1"/>
      <c r="M610" s="1"/>
    </row>
    <row r="611" spans="12:13" ht="13" customHeight="1">
      <c r="L611" s="1"/>
      <c r="M611" s="1"/>
    </row>
    <row r="612" spans="12:13" ht="13" customHeight="1">
      <c r="L612" s="1"/>
      <c r="M612" s="1"/>
    </row>
    <row r="613" spans="12:13" ht="13" customHeight="1">
      <c r="L613" s="1"/>
      <c r="M613" s="1"/>
    </row>
    <row r="614" spans="12:13" ht="13" customHeight="1">
      <c r="L614" s="1"/>
      <c r="M614" s="1"/>
    </row>
    <row r="615" spans="12:13" ht="13" customHeight="1">
      <c r="L615" s="1"/>
      <c r="M615" s="1"/>
    </row>
    <row r="616" spans="12:13" ht="13" customHeight="1">
      <c r="L616" s="1"/>
      <c r="M616" s="1"/>
    </row>
    <row r="617" spans="12:13" ht="13" customHeight="1">
      <c r="L617" s="1"/>
      <c r="M617" s="1"/>
    </row>
    <row r="618" spans="12:13" ht="13" customHeight="1">
      <c r="L618" s="1"/>
      <c r="M618" s="1"/>
    </row>
    <row r="619" spans="12:13" ht="13" customHeight="1">
      <c r="L619" s="1"/>
      <c r="M619" s="1"/>
    </row>
    <row r="620" spans="12:13" ht="13" customHeight="1">
      <c r="L620" s="1"/>
      <c r="M620" s="1"/>
    </row>
    <row r="621" spans="12:13" ht="13" customHeight="1">
      <c r="L621" s="1"/>
      <c r="M621" s="1"/>
    </row>
    <row r="622" spans="12:13" ht="13" customHeight="1">
      <c r="L622" s="1"/>
      <c r="M622" s="1"/>
    </row>
    <row r="623" spans="12:13" ht="13" customHeight="1">
      <c r="L623" s="1"/>
      <c r="M623" s="1"/>
    </row>
    <row r="624" spans="12:13" ht="13" customHeight="1">
      <c r="L624" s="1"/>
      <c r="M624" s="1"/>
    </row>
    <row r="625" spans="12:13" ht="13" customHeight="1">
      <c r="L625" s="1"/>
      <c r="M625" s="1"/>
    </row>
    <row r="626" spans="12:13" ht="13" customHeight="1">
      <c r="L626" s="1"/>
      <c r="M626" s="1"/>
    </row>
    <row r="627" spans="12:13" ht="13" customHeight="1">
      <c r="L627" s="1"/>
      <c r="M627" s="1"/>
    </row>
    <row r="628" spans="12:13" ht="13" customHeight="1">
      <c r="L628" s="1"/>
      <c r="M628" s="1"/>
    </row>
    <row r="629" spans="12:13" ht="13" customHeight="1">
      <c r="L629" s="1"/>
      <c r="M629" s="1"/>
    </row>
    <row r="630" spans="12:13" ht="13" customHeight="1">
      <c r="L630" s="1"/>
      <c r="M630" s="1"/>
    </row>
    <row r="631" spans="12:13" ht="13" customHeight="1">
      <c r="L631" s="1"/>
      <c r="M631" s="1"/>
    </row>
    <row r="632" spans="12:13" ht="13" customHeight="1">
      <c r="L632" s="1"/>
      <c r="M632" s="1"/>
    </row>
    <row r="633" spans="12:13" ht="13" customHeight="1">
      <c r="L633" s="1"/>
      <c r="M633" s="1"/>
    </row>
    <row r="634" spans="12:13" ht="13" customHeight="1">
      <c r="L634" s="1"/>
      <c r="M634" s="1"/>
    </row>
    <row r="635" spans="12:13" ht="13" customHeight="1">
      <c r="L635" s="1"/>
      <c r="M635" s="1"/>
    </row>
    <row r="636" spans="12:13" ht="13" customHeight="1">
      <c r="L636" s="1"/>
      <c r="M636" s="1"/>
    </row>
    <row r="637" spans="12:13" ht="13" customHeight="1">
      <c r="L637" s="1"/>
      <c r="M637" s="1"/>
    </row>
    <row r="638" spans="12:13" ht="13" customHeight="1">
      <c r="L638" s="1"/>
      <c r="M638" s="1"/>
    </row>
    <row r="639" spans="12:13" ht="13" customHeight="1">
      <c r="L639" s="1"/>
      <c r="M639" s="1"/>
    </row>
    <row r="640" spans="12:13" ht="13" customHeight="1">
      <c r="L640" s="1"/>
      <c r="M640" s="1"/>
    </row>
    <row r="641" spans="12:13" ht="13" customHeight="1">
      <c r="L641" s="1"/>
      <c r="M641" s="1"/>
    </row>
    <row r="642" spans="12:13" ht="13" customHeight="1">
      <c r="L642" s="1"/>
      <c r="M642" s="1"/>
    </row>
    <row r="643" spans="12:13" ht="13" customHeight="1">
      <c r="L643" s="1"/>
      <c r="M643" s="1"/>
    </row>
    <row r="644" spans="12:13" ht="13" customHeight="1">
      <c r="L644" s="1"/>
      <c r="M644" s="1"/>
    </row>
    <row r="645" spans="12:13" ht="13" customHeight="1">
      <c r="L645" s="1"/>
      <c r="M645" s="1"/>
    </row>
    <row r="646" spans="12:13" ht="13" customHeight="1">
      <c r="L646" s="1"/>
      <c r="M646" s="1"/>
    </row>
    <row r="647" spans="12:13" ht="13" customHeight="1">
      <c r="L647" s="1"/>
      <c r="M647" s="1"/>
    </row>
    <row r="648" spans="12:13" ht="13" customHeight="1">
      <c r="L648" s="1"/>
      <c r="M648" s="1"/>
    </row>
    <row r="649" spans="12:13" ht="13" customHeight="1">
      <c r="L649" s="1"/>
      <c r="M649" s="1"/>
    </row>
    <row r="650" spans="12:13" ht="13" customHeight="1">
      <c r="L650" s="1"/>
      <c r="M650" s="1"/>
    </row>
    <row r="651" spans="12:13" ht="13" customHeight="1">
      <c r="L651" s="1"/>
      <c r="M651" s="1"/>
    </row>
    <row r="652" spans="12:13" ht="13" customHeight="1">
      <c r="L652" s="1"/>
      <c r="M652" s="1"/>
    </row>
    <row r="653" spans="12:13" ht="13" customHeight="1">
      <c r="L653" s="1"/>
      <c r="M653" s="1"/>
    </row>
    <row r="654" spans="12:13" ht="13" customHeight="1">
      <c r="L654" s="1"/>
      <c r="M654" s="1"/>
    </row>
    <row r="655" spans="12:13" ht="13" customHeight="1">
      <c r="L655" s="1"/>
      <c r="M655" s="1"/>
    </row>
    <row r="656" spans="12:13" ht="13" customHeight="1">
      <c r="L656" s="1"/>
      <c r="M656" s="1"/>
    </row>
    <row r="657" spans="12:13" ht="13" customHeight="1">
      <c r="L657" s="1"/>
      <c r="M657" s="1"/>
    </row>
    <row r="658" spans="12:13" ht="13" customHeight="1">
      <c r="L658" s="1"/>
      <c r="M658" s="1"/>
    </row>
    <row r="659" spans="12:13" ht="13" customHeight="1">
      <c r="L659" s="1"/>
      <c r="M659" s="1"/>
    </row>
    <row r="660" spans="12:13" ht="13" customHeight="1">
      <c r="L660" s="1"/>
      <c r="M660" s="1"/>
    </row>
    <row r="661" spans="12:13" ht="13" customHeight="1">
      <c r="L661" s="1"/>
      <c r="M661" s="1"/>
    </row>
    <row r="662" spans="12:13" ht="13" customHeight="1">
      <c r="L662" s="1"/>
      <c r="M662" s="1"/>
    </row>
    <row r="663" spans="12:13" ht="13" customHeight="1">
      <c r="L663" s="1"/>
      <c r="M663" s="1"/>
    </row>
    <row r="664" spans="12:13" ht="13" customHeight="1">
      <c r="L664" s="1"/>
      <c r="M664" s="1"/>
    </row>
    <row r="665" spans="12:13" ht="13" customHeight="1">
      <c r="L665" s="1"/>
      <c r="M665" s="1"/>
    </row>
    <row r="666" spans="12:13" ht="13" customHeight="1">
      <c r="L666" s="1"/>
      <c r="M666" s="1"/>
    </row>
    <row r="667" spans="12:13" ht="13" customHeight="1">
      <c r="L667" s="1"/>
      <c r="M667" s="1"/>
    </row>
    <row r="668" spans="12:13" ht="13" customHeight="1">
      <c r="L668" s="1"/>
      <c r="M668" s="1"/>
    </row>
    <row r="669" spans="12:13" ht="13" customHeight="1">
      <c r="L669" s="1"/>
      <c r="M669" s="1"/>
    </row>
    <row r="670" spans="12:13" ht="13" customHeight="1">
      <c r="L670" s="1"/>
      <c r="M670" s="1"/>
    </row>
    <row r="671" spans="12:13" ht="13" customHeight="1">
      <c r="L671" s="1"/>
      <c r="M671" s="1"/>
    </row>
    <row r="672" spans="12:13" ht="13" customHeight="1">
      <c r="L672" s="1"/>
      <c r="M672" s="1"/>
    </row>
    <row r="673" spans="12:13" ht="13" customHeight="1">
      <c r="L673" s="1"/>
      <c r="M673" s="1"/>
    </row>
    <row r="674" spans="12:13" ht="13" customHeight="1">
      <c r="L674" s="1"/>
      <c r="M674" s="1"/>
    </row>
    <row r="675" spans="12:13" ht="13" customHeight="1">
      <c r="L675" s="1"/>
      <c r="M675" s="1"/>
    </row>
    <row r="676" spans="12:13" ht="13" customHeight="1">
      <c r="L676" s="1"/>
      <c r="M676" s="1"/>
    </row>
    <row r="677" spans="12:13" ht="13" customHeight="1">
      <c r="L677" s="1"/>
      <c r="M677" s="1"/>
    </row>
    <row r="678" spans="12:13" ht="13" customHeight="1">
      <c r="L678" s="1"/>
      <c r="M678" s="1"/>
    </row>
    <row r="679" spans="12:13" ht="13" customHeight="1">
      <c r="L679" s="1"/>
      <c r="M679" s="1"/>
    </row>
    <row r="680" spans="12:13" ht="13" customHeight="1">
      <c r="L680" s="1"/>
      <c r="M680" s="1"/>
    </row>
    <row r="681" spans="12:13" ht="13" customHeight="1">
      <c r="L681" s="1"/>
      <c r="M681" s="1"/>
    </row>
    <row r="682" spans="12:13" ht="13" customHeight="1">
      <c r="L682" s="1"/>
      <c r="M682" s="1"/>
    </row>
    <row r="683" spans="12:13" ht="13" customHeight="1">
      <c r="L683" s="1"/>
      <c r="M683" s="1"/>
    </row>
    <row r="684" spans="12:13" ht="13" customHeight="1">
      <c r="L684" s="1"/>
      <c r="M684" s="1"/>
    </row>
    <row r="685" spans="12:13" ht="13" customHeight="1">
      <c r="L685" s="1"/>
      <c r="M685" s="1"/>
    </row>
    <row r="686" spans="12:13" ht="13" customHeight="1">
      <c r="L686" s="1"/>
      <c r="M686" s="1"/>
    </row>
    <row r="687" spans="12:13" ht="13" customHeight="1">
      <c r="L687" s="1"/>
      <c r="M687" s="1"/>
    </row>
    <row r="688" spans="12:13" ht="13" customHeight="1">
      <c r="L688" s="1"/>
      <c r="M688" s="1"/>
    </row>
    <row r="689" spans="12:13" ht="13" customHeight="1">
      <c r="L689" s="1"/>
      <c r="M689" s="1"/>
    </row>
    <row r="690" spans="12:13" ht="13" customHeight="1">
      <c r="L690" s="1"/>
      <c r="M690" s="1"/>
    </row>
    <row r="691" spans="12:13" ht="13" customHeight="1">
      <c r="L691" s="1"/>
      <c r="M691" s="1"/>
    </row>
    <row r="692" spans="12:13" ht="13" customHeight="1">
      <c r="L692" s="1"/>
      <c r="M692" s="1"/>
    </row>
    <row r="693" spans="12:13" ht="13" customHeight="1">
      <c r="L693" s="1"/>
      <c r="M693" s="1"/>
    </row>
    <row r="694" spans="12:13" ht="13" customHeight="1">
      <c r="L694" s="1"/>
      <c r="M694" s="1"/>
    </row>
    <row r="695" spans="12:13" ht="13" customHeight="1">
      <c r="L695" s="1"/>
      <c r="M695" s="1"/>
    </row>
    <row r="696" spans="12:13" ht="13" customHeight="1">
      <c r="L696" s="1"/>
      <c r="M696" s="1"/>
    </row>
    <row r="697" spans="12:13" ht="13" customHeight="1">
      <c r="L697" s="1"/>
      <c r="M697" s="1"/>
    </row>
    <row r="698" spans="12:13" ht="13" customHeight="1">
      <c r="L698" s="1"/>
      <c r="M698" s="1"/>
    </row>
    <row r="699" spans="12:13" ht="13" customHeight="1">
      <c r="L699" s="1"/>
      <c r="M699" s="1"/>
    </row>
    <row r="700" spans="12:13" ht="13" customHeight="1">
      <c r="L700" s="1"/>
      <c r="M700" s="1"/>
    </row>
    <row r="701" spans="12:13" ht="13" customHeight="1">
      <c r="L701" s="1"/>
      <c r="M701" s="1"/>
    </row>
    <row r="702" spans="12:13" ht="13" customHeight="1">
      <c r="L702" s="1"/>
      <c r="M702" s="1"/>
    </row>
    <row r="703" spans="12:13" ht="13" customHeight="1">
      <c r="L703" s="1"/>
      <c r="M703" s="1"/>
    </row>
    <row r="704" spans="12:13" ht="13" customHeight="1">
      <c r="L704" s="1"/>
      <c r="M704" s="1"/>
    </row>
    <row r="705" spans="12:13" ht="13" customHeight="1">
      <c r="L705" s="1"/>
      <c r="M705" s="1"/>
    </row>
    <row r="706" spans="12:13" ht="13" customHeight="1">
      <c r="L706" s="1"/>
      <c r="M706" s="1"/>
    </row>
    <row r="707" spans="12:13" ht="13" customHeight="1">
      <c r="L707" s="1"/>
      <c r="M707" s="1"/>
    </row>
    <row r="708" spans="12:13" ht="13" customHeight="1">
      <c r="L708" s="1"/>
      <c r="M708" s="1"/>
    </row>
    <row r="709" spans="12:13" ht="13" customHeight="1">
      <c r="L709" s="1"/>
      <c r="M709" s="1"/>
    </row>
    <row r="710" spans="12:13" ht="13" customHeight="1">
      <c r="L710" s="1"/>
      <c r="M710" s="1"/>
    </row>
    <row r="711" spans="12:13" ht="13" customHeight="1">
      <c r="L711" s="1"/>
      <c r="M711" s="1"/>
    </row>
    <row r="712" spans="12:13" ht="13" customHeight="1">
      <c r="L712" s="1"/>
      <c r="M712" s="1"/>
    </row>
    <row r="713" spans="12:13" ht="13" customHeight="1">
      <c r="L713" s="1"/>
      <c r="M713" s="1"/>
    </row>
    <row r="714" spans="12:13" ht="13" customHeight="1">
      <c r="L714" s="1"/>
      <c r="M714" s="1"/>
    </row>
    <row r="715" spans="12:13" ht="13" customHeight="1">
      <c r="L715" s="1"/>
      <c r="M715" s="1"/>
    </row>
    <row r="716" spans="12:13" ht="13" customHeight="1">
      <c r="L716" s="1"/>
      <c r="M716" s="1"/>
    </row>
    <row r="717" spans="12:13" ht="13" customHeight="1">
      <c r="L717" s="1"/>
      <c r="M717" s="1"/>
    </row>
    <row r="718" spans="12:13" ht="13" customHeight="1">
      <c r="L718" s="1"/>
      <c r="M718" s="1"/>
    </row>
    <row r="719" spans="12:13" ht="13" customHeight="1">
      <c r="L719" s="1"/>
      <c r="M719" s="1"/>
    </row>
    <row r="720" spans="12:13" ht="13" customHeight="1">
      <c r="L720" s="1"/>
      <c r="M720" s="1"/>
    </row>
    <row r="721" spans="12:13" ht="13" customHeight="1">
      <c r="L721" s="1"/>
      <c r="M721" s="1"/>
    </row>
    <row r="722" spans="12:13" ht="13" customHeight="1">
      <c r="L722" s="1"/>
      <c r="M722" s="1"/>
    </row>
    <row r="723" spans="12:13" ht="13" customHeight="1">
      <c r="L723" s="1"/>
      <c r="M723" s="1"/>
    </row>
    <row r="724" spans="12:13" ht="13" customHeight="1">
      <c r="L724" s="1"/>
      <c r="M724" s="1"/>
    </row>
    <row r="725" spans="12:13" ht="13" customHeight="1">
      <c r="L725" s="1"/>
      <c r="M725" s="1"/>
    </row>
    <row r="726" spans="12:13" ht="13" customHeight="1">
      <c r="L726" s="1"/>
      <c r="M726" s="1"/>
    </row>
    <row r="727" spans="12:13" ht="13" customHeight="1">
      <c r="L727" s="1"/>
      <c r="M727" s="1"/>
    </row>
    <row r="728" spans="12:13" ht="13" customHeight="1">
      <c r="L728" s="1"/>
      <c r="M728" s="1"/>
    </row>
    <row r="729" spans="12:13" ht="13" customHeight="1">
      <c r="L729" s="1"/>
      <c r="M729" s="1"/>
    </row>
    <row r="730" spans="12:13" ht="13" customHeight="1">
      <c r="L730" s="1"/>
      <c r="M730" s="1"/>
    </row>
    <row r="731" spans="12:13" ht="13" customHeight="1">
      <c r="L731" s="1"/>
      <c r="M731" s="1"/>
    </row>
    <row r="732" spans="12:13" ht="13" customHeight="1">
      <c r="L732" s="1"/>
      <c r="M732" s="1"/>
    </row>
    <row r="733" spans="12:13" ht="13" customHeight="1">
      <c r="L733" s="1"/>
      <c r="M733" s="1"/>
    </row>
    <row r="734" spans="12:13" ht="13" customHeight="1">
      <c r="L734" s="1"/>
      <c r="M734" s="1"/>
    </row>
    <row r="735" spans="12:13" ht="13" customHeight="1">
      <c r="L735" s="1"/>
      <c r="M735" s="1"/>
    </row>
    <row r="736" spans="12:13" ht="13" customHeight="1">
      <c r="L736" s="1"/>
      <c r="M736" s="1"/>
    </row>
    <row r="737" spans="12:13" ht="13" customHeight="1">
      <c r="L737" s="1"/>
      <c r="M737" s="1"/>
    </row>
    <row r="738" spans="12:13" ht="13" customHeight="1">
      <c r="L738" s="1"/>
      <c r="M738" s="1"/>
    </row>
    <row r="739" spans="12:13" ht="13" customHeight="1">
      <c r="L739" s="1"/>
      <c r="M739" s="1"/>
    </row>
    <row r="740" spans="12:13" ht="13" customHeight="1">
      <c r="L740" s="1"/>
      <c r="M740" s="1"/>
    </row>
    <row r="741" spans="12:13" ht="13" customHeight="1">
      <c r="L741" s="1"/>
      <c r="M741" s="1"/>
    </row>
    <row r="742" spans="12:13" ht="13" customHeight="1">
      <c r="L742" s="1"/>
      <c r="M742" s="1"/>
    </row>
    <row r="743" spans="12:13" ht="13" customHeight="1">
      <c r="L743" s="1"/>
      <c r="M743" s="1"/>
    </row>
    <row r="744" spans="12:13" ht="13" customHeight="1">
      <c r="L744" s="1"/>
      <c r="M744" s="1"/>
    </row>
    <row r="745" spans="12:13" ht="13" customHeight="1">
      <c r="L745" s="1"/>
      <c r="M745" s="1"/>
    </row>
    <row r="746" spans="12:13" ht="13" customHeight="1">
      <c r="L746" s="1"/>
      <c r="M746" s="1"/>
    </row>
    <row r="747" spans="12:13" ht="13" customHeight="1">
      <c r="L747" s="1"/>
      <c r="M747" s="1"/>
    </row>
    <row r="748" spans="12:13" ht="13" customHeight="1">
      <c r="L748" s="1"/>
      <c r="M748" s="1"/>
    </row>
    <row r="749" spans="12:13" ht="13" customHeight="1">
      <c r="L749" s="1"/>
      <c r="M749" s="1"/>
    </row>
    <row r="750" spans="12:13" ht="13" customHeight="1">
      <c r="L750" s="1"/>
      <c r="M750" s="1"/>
    </row>
    <row r="751" spans="12:13" ht="13" customHeight="1">
      <c r="L751" s="1"/>
      <c r="M751" s="1"/>
    </row>
    <row r="752" spans="12:13" ht="13" customHeight="1">
      <c r="L752" s="1"/>
      <c r="M752" s="1"/>
    </row>
    <row r="753" spans="12:13" ht="13" customHeight="1">
      <c r="L753" s="1"/>
      <c r="M753" s="1"/>
    </row>
    <row r="754" spans="12:13" ht="13" customHeight="1">
      <c r="L754" s="1"/>
      <c r="M754" s="1"/>
    </row>
    <row r="755" spans="12:13" ht="13" customHeight="1">
      <c r="L755" s="1"/>
      <c r="M755" s="1"/>
    </row>
    <row r="756" spans="12:13" ht="13" customHeight="1">
      <c r="L756" s="1"/>
      <c r="M756" s="1"/>
    </row>
    <row r="757" spans="12:13" ht="13" customHeight="1">
      <c r="L757" s="1"/>
      <c r="M757" s="1"/>
    </row>
    <row r="758" spans="12:13" ht="13" customHeight="1">
      <c r="L758" s="1"/>
      <c r="M758" s="1"/>
    </row>
    <row r="759" spans="12:13" ht="13" customHeight="1">
      <c r="L759" s="1"/>
      <c r="M759" s="1"/>
    </row>
    <row r="760" spans="12:13" ht="13" customHeight="1">
      <c r="L760" s="1"/>
      <c r="M760" s="1"/>
    </row>
    <row r="761" spans="12:13" ht="13" customHeight="1">
      <c r="L761" s="1"/>
      <c r="M761" s="1"/>
    </row>
    <row r="762" spans="12:13" ht="13" customHeight="1">
      <c r="L762" s="1"/>
      <c r="M762" s="1"/>
    </row>
    <row r="763" spans="12:13" ht="13" customHeight="1">
      <c r="L763" s="1"/>
      <c r="M763" s="1"/>
    </row>
    <row r="764" spans="12:13" ht="13" customHeight="1">
      <c r="L764" s="1"/>
      <c r="M764" s="1"/>
    </row>
    <row r="765" spans="12:13" ht="13" customHeight="1">
      <c r="L765" s="1"/>
      <c r="M765" s="1"/>
    </row>
    <row r="766" spans="12:13" ht="13" customHeight="1">
      <c r="L766" s="1"/>
      <c r="M766" s="1"/>
    </row>
    <row r="767" spans="12:13" ht="13" customHeight="1">
      <c r="L767" s="1"/>
      <c r="M767" s="1"/>
    </row>
    <row r="768" spans="12:13" ht="13" customHeight="1">
      <c r="L768" s="1"/>
      <c r="M768" s="1"/>
    </row>
    <row r="769" spans="12:13" ht="13" customHeight="1">
      <c r="L769" s="1"/>
      <c r="M769" s="1"/>
    </row>
    <row r="770" spans="12:13" ht="13" customHeight="1">
      <c r="L770" s="1"/>
      <c r="M770" s="1"/>
    </row>
    <row r="771" spans="12:13" ht="13" customHeight="1">
      <c r="L771" s="1"/>
      <c r="M771" s="1"/>
    </row>
    <row r="772" spans="12:13" ht="13" customHeight="1">
      <c r="L772" s="1"/>
      <c r="M772" s="1"/>
    </row>
    <row r="773" spans="12:13" ht="13" customHeight="1">
      <c r="L773" s="1"/>
      <c r="M773" s="1"/>
    </row>
    <row r="774" spans="12:13" ht="13" customHeight="1">
      <c r="L774" s="1"/>
      <c r="M774" s="1"/>
    </row>
    <row r="775" spans="12:13" ht="13" customHeight="1">
      <c r="L775" s="1"/>
      <c r="M775" s="1"/>
    </row>
    <row r="776" spans="12:13" ht="13" customHeight="1">
      <c r="L776" s="1"/>
      <c r="M776" s="1"/>
    </row>
    <row r="777" spans="12:13" ht="13" customHeight="1">
      <c r="L777" s="1"/>
      <c r="M777" s="1"/>
    </row>
    <row r="778" spans="12:13" ht="13" customHeight="1">
      <c r="L778" s="1"/>
      <c r="M778" s="1"/>
    </row>
    <row r="779" spans="12:13" ht="13" customHeight="1">
      <c r="L779" s="1"/>
      <c r="M779" s="1"/>
    </row>
    <row r="780" spans="12:13" ht="13" customHeight="1">
      <c r="L780" s="1"/>
      <c r="M780" s="1"/>
    </row>
    <row r="781" spans="12:13" ht="13" customHeight="1">
      <c r="L781" s="1"/>
      <c r="M781" s="1"/>
    </row>
    <row r="782" spans="12:13" ht="13" customHeight="1">
      <c r="L782" s="1"/>
      <c r="M782" s="1"/>
    </row>
    <row r="783" spans="12:13" ht="13" customHeight="1">
      <c r="L783" s="1"/>
      <c r="M783" s="1"/>
    </row>
    <row r="784" spans="12:13" ht="13" customHeight="1">
      <c r="L784" s="1"/>
      <c r="M784" s="1"/>
    </row>
    <row r="785" spans="12:13" ht="13" customHeight="1">
      <c r="L785" s="1"/>
      <c r="M785" s="1"/>
    </row>
    <row r="786" spans="12:13" ht="13" customHeight="1">
      <c r="L786" s="1"/>
      <c r="M786" s="1"/>
    </row>
    <row r="787" spans="12:13" ht="13" customHeight="1">
      <c r="L787" s="1"/>
      <c r="M787" s="1"/>
    </row>
    <row r="788" spans="12:13" ht="13" customHeight="1">
      <c r="L788" s="1"/>
      <c r="M788" s="1"/>
    </row>
    <row r="789" spans="12:13" ht="13" customHeight="1">
      <c r="L789" s="1"/>
      <c r="M789" s="1"/>
    </row>
    <row r="790" spans="12:13" ht="13" customHeight="1">
      <c r="L790" s="1"/>
      <c r="M790" s="1"/>
    </row>
    <row r="791" spans="12:13" ht="13" customHeight="1">
      <c r="L791" s="1"/>
      <c r="M791" s="1"/>
    </row>
    <row r="792" spans="12:13" ht="13" customHeight="1">
      <c r="L792" s="1"/>
      <c r="M792" s="1"/>
    </row>
    <row r="793" spans="12:13" ht="13" customHeight="1">
      <c r="L793" s="1"/>
      <c r="M793" s="1"/>
    </row>
    <row r="794" spans="12:13" ht="13" customHeight="1">
      <c r="L794" s="1"/>
      <c r="M794" s="1"/>
    </row>
    <row r="795" spans="12:13" ht="13" customHeight="1">
      <c r="L795" s="1"/>
      <c r="M795" s="1"/>
    </row>
    <row r="796" spans="12:13" ht="13" customHeight="1">
      <c r="L796" s="1"/>
      <c r="M796" s="1"/>
    </row>
    <row r="797" spans="12:13" ht="13" customHeight="1">
      <c r="L797" s="1"/>
      <c r="M797" s="1"/>
    </row>
    <row r="798" spans="12:13" ht="13" customHeight="1">
      <c r="L798" s="1"/>
      <c r="M798" s="1"/>
    </row>
    <row r="799" spans="12:13" ht="13" customHeight="1">
      <c r="L799" s="1"/>
      <c r="M799" s="1"/>
    </row>
    <row r="800" spans="12:13" ht="13" customHeight="1">
      <c r="L800" s="1"/>
      <c r="M800" s="1"/>
    </row>
    <row r="801" spans="12:13" ht="13" customHeight="1">
      <c r="L801" s="1"/>
      <c r="M801" s="1"/>
    </row>
    <row r="802" spans="12:13" ht="13" customHeight="1">
      <c r="L802" s="1"/>
      <c r="M802" s="1"/>
    </row>
    <row r="803" spans="12:13" ht="13" customHeight="1">
      <c r="L803" s="1"/>
      <c r="M803" s="1"/>
    </row>
    <row r="804" spans="12:13" ht="13" customHeight="1">
      <c r="L804" s="1"/>
      <c r="M804" s="1"/>
    </row>
    <row r="805" spans="12:13" ht="13" customHeight="1">
      <c r="L805" s="1"/>
      <c r="M805" s="1"/>
    </row>
    <row r="806" spans="12:13" ht="13" customHeight="1">
      <c r="L806" s="1"/>
      <c r="M806" s="1"/>
    </row>
    <row r="807" spans="12:13" ht="13" customHeight="1">
      <c r="L807" s="1"/>
      <c r="M807" s="1"/>
    </row>
    <row r="808" spans="12:13" ht="13" customHeight="1">
      <c r="L808" s="1"/>
      <c r="M808" s="1"/>
    </row>
    <row r="809" spans="12:13" ht="13" customHeight="1">
      <c r="L809" s="1"/>
      <c r="M809" s="1"/>
    </row>
    <row r="810" spans="12:13" ht="13" customHeight="1">
      <c r="L810" s="1"/>
      <c r="M810" s="1"/>
    </row>
    <row r="811" spans="12:13" ht="13" customHeight="1">
      <c r="L811" s="1"/>
      <c r="M811" s="1"/>
    </row>
    <row r="812" spans="12:13" ht="13" customHeight="1">
      <c r="L812" s="1"/>
      <c r="M812" s="1"/>
    </row>
    <row r="813" spans="12:13" ht="13" customHeight="1">
      <c r="L813" s="1"/>
      <c r="M813" s="1"/>
    </row>
    <row r="814" spans="12:13" ht="13" customHeight="1">
      <c r="L814" s="1"/>
      <c r="M814" s="1"/>
    </row>
    <row r="815" spans="12:13" ht="13" customHeight="1">
      <c r="L815" s="1"/>
      <c r="M815" s="1"/>
    </row>
    <row r="816" spans="12:13" ht="13" customHeight="1">
      <c r="L816" s="1"/>
      <c r="M816" s="1"/>
    </row>
    <row r="817" spans="12:13" ht="13" customHeight="1">
      <c r="L817" s="1"/>
      <c r="M817" s="1"/>
    </row>
    <row r="818" spans="12:13" ht="13" customHeight="1">
      <c r="L818" s="1"/>
      <c r="M818" s="1"/>
    </row>
    <row r="819" spans="12:13" ht="13" customHeight="1">
      <c r="L819" s="1"/>
      <c r="M819" s="1"/>
    </row>
    <row r="820" spans="12:13" ht="13" customHeight="1">
      <c r="L820" s="1"/>
      <c r="M820" s="1"/>
    </row>
    <row r="821" spans="12:13" ht="13" customHeight="1">
      <c r="L821" s="1"/>
      <c r="M821" s="1"/>
    </row>
    <row r="822" spans="12:13" ht="13" customHeight="1">
      <c r="L822" s="1"/>
      <c r="M822" s="1"/>
    </row>
    <row r="823" spans="12:13" ht="13" customHeight="1">
      <c r="L823" s="1"/>
      <c r="M823" s="1"/>
    </row>
    <row r="824" spans="12:13" ht="13" customHeight="1">
      <c r="L824" s="1"/>
      <c r="M824" s="1"/>
    </row>
    <row r="825" spans="12:13" ht="13" customHeight="1">
      <c r="L825" s="1"/>
      <c r="M825" s="1"/>
    </row>
    <row r="826" spans="12:13" ht="13" customHeight="1">
      <c r="L826" s="1"/>
      <c r="M826" s="1"/>
    </row>
    <row r="827" spans="12:13" ht="13" customHeight="1">
      <c r="L827" s="1"/>
      <c r="M827" s="1"/>
    </row>
    <row r="828" spans="12:13" ht="13" customHeight="1">
      <c r="L828" s="1"/>
      <c r="M828" s="1"/>
    </row>
    <row r="829" spans="12:13" ht="13" customHeight="1">
      <c r="L829" s="1"/>
      <c r="M829" s="1"/>
    </row>
    <row r="830" spans="12:13" ht="13" customHeight="1">
      <c r="L830" s="1"/>
      <c r="M830" s="1"/>
    </row>
    <row r="831" spans="12:13" ht="13" customHeight="1">
      <c r="L831" s="1"/>
      <c r="M831" s="1"/>
    </row>
    <row r="832" spans="12:13" ht="13" customHeight="1">
      <c r="L832" s="1"/>
      <c r="M832" s="1"/>
    </row>
    <row r="833" spans="12:13" ht="13" customHeight="1">
      <c r="L833" s="1"/>
      <c r="M833" s="1"/>
    </row>
    <row r="834" spans="12:13" ht="13" customHeight="1">
      <c r="L834" s="1"/>
      <c r="M834" s="1"/>
    </row>
    <row r="835" spans="12:13" ht="13" customHeight="1">
      <c r="L835" s="1"/>
      <c r="M835" s="1"/>
    </row>
    <row r="836" spans="12:13" ht="13" customHeight="1">
      <c r="L836" s="1"/>
      <c r="M836" s="1"/>
    </row>
    <row r="837" spans="12:13" ht="13" customHeight="1">
      <c r="L837" s="1"/>
      <c r="M837" s="1"/>
    </row>
    <row r="838" spans="12:13" ht="13" customHeight="1">
      <c r="L838" s="1"/>
      <c r="M838" s="1"/>
    </row>
    <row r="839" spans="12:13" ht="13" customHeight="1">
      <c r="L839" s="1"/>
      <c r="M839" s="1"/>
    </row>
    <row r="840" spans="12:13" ht="13" customHeight="1">
      <c r="L840" s="1"/>
      <c r="M840" s="1"/>
    </row>
    <row r="841" spans="12:13" ht="13" customHeight="1">
      <c r="L841" s="1"/>
      <c r="M841" s="1"/>
    </row>
    <row r="842" spans="12:13" ht="13" customHeight="1">
      <c r="L842" s="1"/>
      <c r="M842" s="1"/>
    </row>
    <row r="843" spans="12:13" ht="13" customHeight="1">
      <c r="L843" s="1"/>
      <c r="M843" s="1"/>
    </row>
    <row r="844" spans="12:13" ht="13" customHeight="1">
      <c r="L844" s="1"/>
      <c r="M844" s="1"/>
    </row>
    <row r="845" spans="12:13" ht="13" customHeight="1">
      <c r="L845" s="1"/>
      <c r="M845" s="1"/>
    </row>
    <row r="846" spans="12:13" ht="13" customHeight="1">
      <c r="L846" s="1"/>
      <c r="M846" s="1"/>
    </row>
    <row r="847" spans="12:13" ht="13" customHeight="1">
      <c r="L847" s="1"/>
      <c r="M847" s="1"/>
    </row>
    <row r="848" spans="12:13" ht="13" customHeight="1">
      <c r="L848" s="1"/>
      <c r="M848" s="1"/>
    </row>
    <row r="849" spans="12:13" ht="13" customHeight="1">
      <c r="L849" s="1"/>
      <c r="M849" s="1"/>
    </row>
    <row r="850" spans="12:13" ht="13" customHeight="1">
      <c r="L850" s="1"/>
      <c r="M850" s="1"/>
    </row>
    <row r="851" spans="12:13" ht="13" customHeight="1">
      <c r="L851" s="1"/>
      <c r="M851" s="1"/>
    </row>
    <row r="852" spans="12:13" ht="13" customHeight="1">
      <c r="L852" s="1"/>
      <c r="M852" s="1"/>
    </row>
    <row r="853" spans="12:13" ht="13" customHeight="1">
      <c r="L853" s="1"/>
      <c r="M853" s="1"/>
    </row>
    <row r="854" spans="12:13" ht="13" customHeight="1">
      <c r="L854" s="1"/>
      <c r="M854" s="1"/>
    </row>
    <row r="855" spans="12:13" ht="13" customHeight="1">
      <c r="L855" s="1"/>
      <c r="M855" s="1"/>
    </row>
    <row r="856" spans="12:13" ht="13" customHeight="1">
      <c r="L856" s="1"/>
      <c r="M856" s="1"/>
    </row>
    <row r="857" spans="12:13" ht="13" customHeight="1">
      <c r="L857" s="1"/>
      <c r="M857" s="1"/>
    </row>
    <row r="858" spans="12:13" ht="13" customHeight="1">
      <c r="L858" s="1"/>
      <c r="M858" s="1"/>
    </row>
    <row r="859" spans="12:13" ht="13" customHeight="1">
      <c r="L859" s="1"/>
      <c r="M859" s="1"/>
    </row>
    <row r="860" spans="12:13" ht="13" customHeight="1">
      <c r="L860" s="1"/>
      <c r="M860" s="1"/>
    </row>
    <row r="861" spans="12:13" ht="13" customHeight="1">
      <c r="L861" s="1"/>
      <c r="M861" s="1"/>
    </row>
    <row r="862" spans="12:13" ht="13" customHeight="1">
      <c r="L862" s="1"/>
      <c r="M862" s="1"/>
    </row>
    <row r="863" spans="12:13" ht="13" customHeight="1">
      <c r="L863" s="1"/>
      <c r="M863" s="1"/>
    </row>
    <row r="864" spans="12:13" ht="13" customHeight="1">
      <c r="L864" s="1"/>
      <c r="M864" s="1"/>
    </row>
    <row r="865" spans="12:13" ht="13" customHeight="1">
      <c r="L865" s="1"/>
      <c r="M865" s="1"/>
    </row>
    <row r="866" spans="12:13" ht="13" customHeight="1">
      <c r="L866" s="1"/>
      <c r="M866" s="1"/>
    </row>
    <row r="867" spans="12:13" ht="13" customHeight="1">
      <c r="L867" s="1"/>
      <c r="M867" s="1"/>
    </row>
    <row r="868" spans="12:13" ht="13" customHeight="1">
      <c r="L868" s="1"/>
      <c r="M868" s="1"/>
    </row>
    <row r="869" spans="12:13" ht="13" customHeight="1">
      <c r="L869" s="1"/>
      <c r="M869" s="1"/>
    </row>
    <row r="870" spans="12:13" ht="13" customHeight="1">
      <c r="L870" s="1"/>
      <c r="M870" s="1"/>
    </row>
    <row r="871" spans="12:13" ht="13" customHeight="1">
      <c r="L871" s="1"/>
      <c r="M871" s="1"/>
    </row>
    <row r="872" spans="12:13" ht="13" customHeight="1">
      <c r="L872" s="1"/>
      <c r="M872" s="1"/>
    </row>
    <row r="873" spans="12:13" ht="13" customHeight="1">
      <c r="L873" s="1"/>
      <c r="M873" s="1"/>
    </row>
    <row r="874" spans="12:13" ht="13" customHeight="1">
      <c r="L874" s="1"/>
      <c r="M874" s="1"/>
    </row>
    <row r="875" spans="12:13" ht="13" customHeight="1">
      <c r="L875" s="1"/>
      <c r="M875" s="1"/>
    </row>
    <row r="876" spans="12:13" ht="13" customHeight="1">
      <c r="L876" s="1"/>
      <c r="M876" s="1"/>
    </row>
    <row r="877" spans="12:13" ht="13" customHeight="1">
      <c r="L877" s="1"/>
      <c r="M877" s="1"/>
    </row>
    <row r="878" spans="12:13" ht="13" customHeight="1">
      <c r="L878" s="1"/>
      <c r="M878" s="1"/>
    </row>
    <row r="879" spans="12:13" ht="13" customHeight="1">
      <c r="L879" s="1"/>
      <c r="M879" s="1"/>
    </row>
    <row r="880" spans="12:13" ht="13" customHeight="1">
      <c r="L880" s="1"/>
      <c r="M880" s="1"/>
    </row>
    <row r="881" spans="12:13" ht="13" customHeight="1">
      <c r="L881" s="1"/>
      <c r="M881" s="1"/>
    </row>
    <row r="882" spans="12:13" ht="13" customHeight="1">
      <c r="L882" s="1"/>
      <c r="M882" s="1"/>
    </row>
    <row r="883" spans="12:13" ht="13" customHeight="1">
      <c r="L883" s="1"/>
      <c r="M883" s="1"/>
    </row>
    <row r="884" spans="12:13" ht="13" customHeight="1">
      <c r="L884" s="1"/>
      <c r="M884" s="1"/>
    </row>
    <row r="885" spans="12:13" ht="13" customHeight="1">
      <c r="L885" s="1"/>
      <c r="M885" s="1"/>
    </row>
    <row r="886" spans="12:13" ht="13" customHeight="1">
      <c r="L886" s="1"/>
      <c r="M886" s="1"/>
    </row>
    <row r="887" spans="12:13" ht="13" customHeight="1">
      <c r="L887" s="1"/>
      <c r="M887" s="1"/>
    </row>
    <row r="888" spans="12:13" ht="13" customHeight="1">
      <c r="L888" s="1"/>
      <c r="M888" s="1"/>
    </row>
    <row r="889" spans="12:13" ht="13" customHeight="1">
      <c r="L889" s="1"/>
      <c r="M889" s="1"/>
    </row>
    <row r="890" spans="12:13" ht="13" customHeight="1">
      <c r="L890" s="1"/>
      <c r="M890" s="1"/>
    </row>
    <row r="891" spans="12:13" ht="13" customHeight="1">
      <c r="L891" s="1"/>
      <c r="M891" s="1"/>
    </row>
    <row r="892" spans="12:13" ht="13" customHeight="1">
      <c r="L892" s="1"/>
      <c r="M892" s="1"/>
    </row>
    <row r="893" spans="12:13" ht="13" customHeight="1">
      <c r="L893" s="1"/>
      <c r="M893" s="1"/>
    </row>
    <row r="894" spans="12:13" ht="13" customHeight="1">
      <c r="L894" s="1"/>
      <c r="M894" s="1"/>
    </row>
    <row r="895" spans="12:13" ht="13" customHeight="1">
      <c r="L895" s="1"/>
      <c r="M895" s="1"/>
    </row>
    <row r="896" spans="12:13" ht="13" customHeight="1">
      <c r="L896" s="1"/>
      <c r="M896" s="1"/>
    </row>
    <row r="897" spans="12:13" ht="13" customHeight="1">
      <c r="L897" s="1"/>
      <c r="M897" s="1"/>
    </row>
    <row r="898" spans="12:13" ht="13" customHeight="1">
      <c r="L898" s="1"/>
      <c r="M898" s="1"/>
    </row>
    <row r="899" spans="12:13" ht="13" customHeight="1">
      <c r="L899" s="1"/>
      <c r="M899" s="1"/>
    </row>
    <row r="900" spans="12:13" ht="13" customHeight="1">
      <c r="L900" s="1"/>
      <c r="M900" s="1"/>
    </row>
    <row r="901" spans="12:13" ht="13" customHeight="1">
      <c r="L901" s="1"/>
      <c r="M901" s="1"/>
    </row>
    <row r="902" spans="12:13" ht="13" customHeight="1">
      <c r="L902" s="1"/>
      <c r="M902" s="1"/>
    </row>
    <row r="903" spans="12:13" ht="13" customHeight="1">
      <c r="L903" s="1"/>
      <c r="M903" s="1"/>
    </row>
    <row r="904" spans="12:13" ht="13" customHeight="1">
      <c r="L904" s="1"/>
      <c r="M904" s="1"/>
    </row>
    <row r="905" spans="12:13" ht="13" customHeight="1">
      <c r="L905" s="1"/>
      <c r="M905" s="1"/>
    </row>
    <row r="906" spans="12:13" ht="13" customHeight="1">
      <c r="L906" s="1"/>
      <c r="M906" s="1"/>
    </row>
    <row r="907" spans="12:13" ht="13" customHeight="1">
      <c r="L907" s="1"/>
      <c r="M907" s="1"/>
    </row>
    <row r="908" spans="12:13" ht="13" customHeight="1">
      <c r="L908" s="1"/>
      <c r="M908" s="1"/>
    </row>
    <row r="909" spans="12:13" ht="13" customHeight="1">
      <c r="L909" s="1"/>
      <c r="M909" s="1"/>
    </row>
    <row r="910" spans="12:13" ht="13" customHeight="1">
      <c r="L910" s="1"/>
      <c r="M910" s="1"/>
    </row>
    <row r="911" spans="12:13" ht="13" customHeight="1">
      <c r="L911" s="1"/>
      <c r="M911" s="1"/>
    </row>
    <row r="912" spans="12:13" ht="13" customHeight="1">
      <c r="L912" s="1"/>
      <c r="M912" s="1"/>
    </row>
    <row r="913" spans="12:13" ht="13" customHeight="1">
      <c r="L913" s="1"/>
      <c r="M913" s="1"/>
    </row>
    <row r="914" spans="12:13" ht="13" customHeight="1">
      <c r="L914" s="1"/>
      <c r="M914" s="1"/>
    </row>
    <row r="915" spans="12:13" ht="13" customHeight="1">
      <c r="L915" s="1"/>
      <c r="M915" s="1"/>
    </row>
    <row r="916" spans="12:13" ht="13" customHeight="1">
      <c r="L916" s="1"/>
      <c r="M916" s="1"/>
    </row>
    <row r="917" spans="12:13" ht="13" customHeight="1">
      <c r="L917" s="1"/>
      <c r="M917" s="1"/>
    </row>
    <row r="918" spans="12:13" ht="13" customHeight="1">
      <c r="L918" s="1"/>
      <c r="M918" s="1"/>
    </row>
    <row r="919" spans="12:13" ht="13" customHeight="1">
      <c r="L919" s="1"/>
      <c r="M919" s="1"/>
    </row>
    <row r="920" spans="12:13" ht="13" customHeight="1">
      <c r="L920" s="1"/>
      <c r="M920" s="1"/>
    </row>
    <row r="921" spans="12:13" ht="13" customHeight="1">
      <c r="L921" s="1"/>
      <c r="M921" s="1"/>
    </row>
    <row r="922" spans="12:13" ht="13" customHeight="1">
      <c r="L922" s="1"/>
      <c r="M922" s="1"/>
    </row>
    <row r="923" spans="12:13" ht="13" customHeight="1">
      <c r="L923" s="1"/>
      <c r="M923" s="1"/>
    </row>
    <row r="924" spans="12:13" ht="13" customHeight="1">
      <c r="L924" s="1"/>
      <c r="M924" s="1"/>
    </row>
    <row r="925" spans="12:13" ht="13" customHeight="1">
      <c r="L925" s="1"/>
      <c r="M925" s="1"/>
    </row>
    <row r="926" spans="12:13" ht="13" customHeight="1">
      <c r="L926" s="1"/>
      <c r="M926" s="1"/>
    </row>
    <row r="927" spans="12:13" ht="13" customHeight="1">
      <c r="L927" s="1"/>
      <c r="M927" s="1"/>
    </row>
    <row r="928" spans="12:13" ht="13" customHeight="1">
      <c r="L928" s="1"/>
      <c r="M928" s="1"/>
    </row>
    <row r="929" spans="12:13" ht="13" customHeight="1">
      <c r="L929" s="1"/>
      <c r="M929" s="1"/>
    </row>
    <row r="930" spans="12:13" ht="13" customHeight="1">
      <c r="L930" s="1"/>
      <c r="M930" s="1"/>
    </row>
    <row r="931" spans="12:13" ht="13" customHeight="1">
      <c r="L931" s="1"/>
      <c r="M931" s="1"/>
    </row>
    <row r="932" spans="12:13" ht="13" customHeight="1">
      <c r="L932" s="1"/>
      <c r="M932" s="1"/>
    </row>
    <row r="933" spans="12:13" ht="13" customHeight="1">
      <c r="L933" s="1"/>
      <c r="M933" s="1"/>
    </row>
    <row r="934" spans="12:13" ht="13" customHeight="1">
      <c r="L934" s="1"/>
      <c r="M934" s="1"/>
    </row>
    <row r="935" spans="12:13" ht="13" customHeight="1">
      <c r="L935" s="1"/>
      <c r="M935" s="1"/>
    </row>
    <row r="936" spans="12:13" ht="13" customHeight="1">
      <c r="L936" s="1"/>
      <c r="M936" s="1"/>
    </row>
    <row r="937" spans="12:13" ht="13" customHeight="1">
      <c r="L937" s="1"/>
      <c r="M937" s="1"/>
    </row>
    <row r="938" spans="12:13" ht="13" customHeight="1">
      <c r="L938" s="1"/>
      <c r="M938" s="1"/>
    </row>
    <row r="939" spans="12:13" ht="13" customHeight="1">
      <c r="L939" s="1"/>
      <c r="M939" s="1"/>
    </row>
    <row r="940" spans="12:13" ht="13" customHeight="1">
      <c r="L940" s="1"/>
      <c r="M940" s="1"/>
    </row>
    <row r="941" spans="12:13" ht="13" customHeight="1">
      <c r="L941" s="1"/>
      <c r="M941" s="1"/>
    </row>
    <row r="942" spans="12:13" ht="13" customHeight="1">
      <c r="L942" s="1"/>
      <c r="M942" s="1"/>
    </row>
    <row r="943" spans="12:13" ht="13" customHeight="1">
      <c r="L943" s="1"/>
      <c r="M943" s="1"/>
    </row>
    <row r="944" spans="12:13" ht="13" customHeight="1">
      <c r="L944" s="1"/>
      <c r="M944" s="1"/>
    </row>
    <row r="945" spans="12:13" ht="13" customHeight="1">
      <c r="L945" s="1"/>
      <c r="M945" s="1"/>
    </row>
    <row r="946" spans="12:13" ht="13" customHeight="1">
      <c r="L946" s="1"/>
      <c r="M946" s="1"/>
    </row>
    <row r="947" spans="12:13" ht="13" customHeight="1">
      <c r="L947" s="1"/>
      <c r="M947" s="1"/>
    </row>
    <row r="948" spans="12:13" ht="13" customHeight="1">
      <c r="L948" s="1"/>
      <c r="M948" s="1"/>
    </row>
    <row r="949" spans="12:13" ht="13" customHeight="1">
      <c r="L949" s="1"/>
      <c r="M949" s="1"/>
    </row>
    <row r="950" spans="12:13" ht="13" customHeight="1">
      <c r="L950" s="1"/>
      <c r="M950" s="1"/>
    </row>
    <row r="951" spans="12:13" ht="13" customHeight="1">
      <c r="L951" s="1"/>
      <c r="M951" s="1"/>
    </row>
    <row r="952" spans="12:13" ht="13" customHeight="1">
      <c r="L952" s="1"/>
      <c r="M952" s="1"/>
    </row>
    <row r="953" spans="12:13" ht="13" customHeight="1">
      <c r="L953" s="1"/>
      <c r="M953" s="1"/>
    </row>
    <row r="954" spans="12:13" ht="13" customHeight="1">
      <c r="L954" s="1"/>
      <c r="M954" s="1"/>
    </row>
    <row r="955" spans="12:13" ht="13" customHeight="1">
      <c r="L955" s="1"/>
      <c r="M955" s="1"/>
    </row>
    <row r="956" spans="12:13" ht="13" customHeight="1">
      <c r="L956" s="1"/>
      <c r="M956" s="1"/>
    </row>
    <row r="957" spans="12:13" ht="13" customHeight="1">
      <c r="L957" s="1"/>
      <c r="M957" s="1"/>
    </row>
    <row r="958" spans="12:13" ht="13" customHeight="1">
      <c r="L958" s="1"/>
      <c r="M958" s="1"/>
    </row>
    <row r="959" spans="12:13" ht="13" customHeight="1">
      <c r="L959" s="1"/>
      <c r="M959" s="1"/>
    </row>
    <row r="960" spans="12:13" ht="13" customHeight="1">
      <c r="L960" s="1"/>
      <c r="M960" s="1"/>
    </row>
    <row r="961" spans="12:13" ht="13" customHeight="1">
      <c r="L961" s="1"/>
      <c r="M961" s="1"/>
    </row>
    <row r="962" spans="12:13" ht="13" customHeight="1">
      <c r="L962" s="1"/>
      <c r="M962" s="1"/>
    </row>
    <row r="963" spans="12:13" ht="13" customHeight="1">
      <c r="L963" s="1"/>
      <c r="M963" s="1"/>
    </row>
    <row r="964" spans="12:13" ht="13" customHeight="1">
      <c r="L964" s="1"/>
      <c r="M964" s="1"/>
    </row>
    <row r="965" spans="12:13" ht="13" customHeight="1">
      <c r="L965" s="1"/>
      <c r="M965" s="1"/>
    </row>
    <row r="966" spans="12:13" ht="13" customHeight="1">
      <c r="L966" s="1"/>
      <c r="M966" s="1"/>
    </row>
    <row r="967" spans="12:13" ht="13" customHeight="1">
      <c r="L967" s="1"/>
      <c r="M967" s="1"/>
    </row>
    <row r="968" spans="12:13" ht="13" customHeight="1">
      <c r="L968" s="1"/>
      <c r="M968" s="1"/>
    </row>
    <row r="969" spans="12:13" ht="13" customHeight="1">
      <c r="L969" s="1"/>
      <c r="M969" s="1"/>
    </row>
    <row r="970" spans="12:13" ht="13" customHeight="1">
      <c r="L970" s="1"/>
      <c r="M970" s="1"/>
    </row>
    <row r="971" spans="12:13" ht="13" customHeight="1">
      <c r="L971" s="1"/>
      <c r="M971" s="1"/>
    </row>
    <row r="972" spans="12:13" ht="13" customHeight="1">
      <c r="L972" s="1"/>
      <c r="M972" s="1"/>
    </row>
    <row r="973" spans="12:13" ht="13" customHeight="1">
      <c r="L973" s="1"/>
      <c r="M973" s="1"/>
    </row>
    <row r="974" spans="12:13" ht="13" customHeight="1">
      <c r="L974" s="1"/>
      <c r="M974" s="1"/>
    </row>
    <row r="975" spans="12:13" ht="13" customHeight="1">
      <c r="L975" s="1"/>
      <c r="M975" s="1"/>
    </row>
    <row r="976" spans="12:13" ht="13" customHeight="1">
      <c r="L976" s="1"/>
      <c r="M976" s="1"/>
    </row>
    <row r="977" spans="12:13" ht="13" customHeight="1">
      <c r="L977" s="1"/>
      <c r="M977" s="1"/>
    </row>
    <row r="978" spans="12:13" ht="13" customHeight="1">
      <c r="L978" s="1"/>
      <c r="M978" s="1"/>
    </row>
    <row r="979" spans="12:13" ht="13" customHeight="1">
      <c r="L979" s="1"/>
      <c r="M979" s="1"/>
    </row>
    <row r="980" spans="12:13" ht="13" customHeight="1">
      <c r="L980" s="1"/>
      <c r="M980" s="1"/>
    </row>
    <row r="981" spans="12:13" ht="13" customHeight="1">
      <c r="L981" s="1"/>
      <c r="M981" s="1"/>
    </row>
    <row r="982" spans="12:13" ht="13" customHeight="1">
      <c r="L982" s="1"/>
      <c r="M982" s="1"/>
    </row>
    <row r="983" spans="12:13" ht="13" customHeight="1">
      <c r="L983" s="1"/>
      <c r="M983" s="1"/>
    </row>
    <row r="984" spans="12:13" ht="13" customHeight="1">
      <c r="L984" s="1"/>
      <c r="M984" s="1"/>
    </row>
    <row r="985" spans="12:13" ht="13" customHeight="1">
      <c r="L985" s="1"/>
      <c r="M985" s="1"/>
    </row>
    <row r="986" spans="12:13" ht="13" customHeight="1">
      <c r="L986" s="1"/>
      <c r="M986" s="1"/>
    </row>
    <row r="987" spans="12:13" ht="13" customHeight="1">
      <c r="L987" s="1"/>
      <c r="M987" s="1"/>
    </row>
    <row r="988" spans="12:13" ht="13" customHeight="1">
      <c r="L988" s="1"/>
      <c r="M988" s="1"/>
    </row>
    <row r="989" spans="12:13" ht="13" customHeight="1">
      <c r="L989" s="1"/>
      <c r="M989" s="1"/>
    </row>
    <row r="990" spans="12:13" ht="13" customHeight="1">
      <c r="L990" s="1"/>
      <c r="M990" s="1"/>
    </row>
    <row r="991" spans="12:13" ht="13" customHeight="1">
      <c r="L991" s="1"/>
      <c r="M991" s="1"/>
    </row>
    <row r="992" spans="12:13" ht="13" customHeight="1">
      <c r="L992" s="1"/>
      <c r="M992" s="1"/>
    </row>
    <row r="993" spans="12:13" ht="13" customHeight="1">
      <c r="L993" s="1"/>
      <c r="M993" s="1"/>
    </row>
    <row r="994" spans="12:13" ht="13" customHeight="1">
      <c r="L994" s="1"/>
      <c r="M994" s="1"/>
    </row>
    <row r="995" spans="12:13" ht="13" customHeight="1">
      <c r="L995" s="1"/>
      <c r="M995" s="1"/>
    </row>
    <row r="996" spans="12:13" ht="13" customHeight="1">
      <c r="L996" s="1"/>
      <c r="M996" s="1"/>
    </row>
    <row r="997" spans="12:13" ht="13" customHeight="1">
      <c r="L997" s="1"/>
      <c r="M997" s="1"/>
    </row>
    <row r="998" spans="12:13" ht="13" customHeight="1">
      <c r="L998" s="1"/>
      <c r="M998" s="1"/>
    </row>
    <row r="999" spans="12:13" ht="13" customHeight="1">
      <c r="L999" s="1"/>
      <c r="M999" s="1"/>
    </row>
    <row r="1000" spans="12:13" ht="13" customHeight="1">
      <c r="L1000" s="1"/>
      <c r="M1000" s="1"/>
    </row>
    <row r="1001" spans="12:13" ht="13" customHeight="1">
      <c r="L1001" s="1"/>
      <c r="M1001" s="1"/>
    </row>
    <row r="1002" spans="12:13" ht="13" customHeight="1">
      <c r="L1002" s="1"/>
      <c r="M1002" s="1"/>
    </row>
    <row r="1003" spans="12:13" ht="13" customHeight="1">
      <c r="L1003" s="1"/>
      <c r="M1003" s="1"/>
    </row>
    <row r="1004" spans="12:13" ht="13" customHeight="1">
      <c r="L1004" s="1"/>
      <c r="M1004" s="1"/>
    </row>
    <row r="1005" spans="12:13" ht="13" customHeight="1">
      <c r="L1005" s="1"/>
      <c r="M1005" s="1"/>
    </row>
    <row r="1006" spans="12:13" ht="13" customHeight="1">
      <c r="L1006" s="1"/>
      <c r="M1006" s="1"/>
    </row>
    <row r="1007" spans="12:13" ht="13" customHeight="1">
      <c r="L1007" s="1"/>
      <c r="M1007" s="1"/>
    </row>
    <row r="1008" spans="12:13" ht="13" customHeight="1">
      <c r="L1008" s="1"/>
      <c r="M1008" s="1"/>
    </row>
    <row r="1009" spans="12:13" ht="13" customHeight="1">
      <c r="L1009" s="1"/>
      <c r="M1009" s="1"/>
    </row>
    <row r="1010" spans="12:13" ht="13" customHeight="1">
      <c r="L1010" s="1"/>
      <c r="M1010" s="1"/>
    </row>
    <row r="1011" spans="12:13" ht="13" customHeight="1">
      <c r="L1011" s="1"/>
      <c r="M1011" s="1"/>
    </row>
    <row r="1012" spans="12:13" ht="13" customHeight="1">
      <c r="L1012" s="1"/>
      <c r="M1012" s="1"/>
    </row>
    <row r="1013" spans="12:13" ht="13" customHeight="1">
      <c r="L1013" s="1"/>
      <c r="M1013" s="1"/>
    </row>
    <row r="1014" spans="12:13" ht="13" customHeight="1">
      <c r="L1014" s="1"/>
      <c r="M1014" s="1"/>
    </row>
    <row r="1015" spans="12:13" ht="13" customHeight="1">
      <c r="L1015" s="1"/>
      <c r="M1015" s="1"/>
    </row>
    <row r="1016" spans="12:13" ht="13" customHeight="1">
      <c r="L1016" s="1"/>
      <c r="M1016" s="1"/>
    </row>
    <row r="1017" spans="12:13" ht="13" customHeight="1">
      <c r="L1017" s="1"/>
      <c r="M1017" s="1"/>
    </row>
    <row r="1018" spans="12:13" ht="13" customHeight="1">
      <c r="L1018" s="1"/>
      <c r="M1018" s="1"/>
    </row>
    <row r="1019" spans="12:13" ht="13" customHeight="1">
      <c r="L1019" s="1"/>
      <c r="M1019" s="1"/>
    </row>
    <row r="1020" spans="12:13" ht="13" customHeight="1">
      <c r="L1020" s="1"/>
      <c r="M1020" s="1"/>
    </row>
    <row r="1021" spans="12:13" ht="13" customHeight="1">
      <c r="L1021" s="1"/>
      <c r="M1021" s="1"/>
    </row>
    <row r="1022" spans="12:13" ht="13" customHeight="1">
      <c r="L1022" s="1"/>
      <c r="M1022" s="1"/>
    </row>
    <row r="1023" spans="12:13" ht="13" customHeight="1">
      <c r="L1023" s="1"/>
      <c r="M1023" s="1"/>
    </row>
    <row r="1024" spans="12:13" ht="13" customHeight="1">
      <c r="L1024" s="1"/>
      <c r="M1024" s="1"/>
    </row>
    <row r="1025" spans="12:13" ht="13" customHeight="1">
      <c r="L1025" s="1"/>
      <c r="M1025" s="1"/>
    </row>
    <row r="1026" spans="12:13" ht="13" customHeight="1">
      <c r="L1026" s="1"/>
      <c r="M1026" s="1"/>
    </row>
    <row r="1027" spans="12:13" ht="13" customHeight="1">
      <c r="L1027" s="1"/>
      <c r="M1027" s="1"/>
    </row>
    <row r="1028" spans="12:13" ht="13" customHeight="1">
      <c r="L1028" s="1"/>
      <c r="M1028" s="1"/>
    </row>
    <row r="1029" spans="12:13" ht="13" customHeight="1">
      <c r="L1029" s="1"/>
      <c r="M1029" s="1"/>
    </row>
    <row r="1030" spans="12:13" ht="13" customHeight="1">
      <c r="L1030" s="1"/>
      <c r="M1030" s="1"/>
    </row>
    <row r="1031" spans="12:13" ht="13" customHeight="1">
      <c r="L1031" s="1"/>
      <c r="M1031" s="1"/>
    </row>
    <row r="1032" spans="12:13" ht="13" customHeight="1">
      <c r="L1032" s="1"/>
      <c r="M1032" s="1"/>
    </row>
    <row r="1033" spans="12:13" ht="13" customHeight="1">
      <c r="L1033" s="1"/>
      <c r="M1033" s="1"/>
    </row>
    <row r="1034" spans="12:13" ht="13" customHeight="1">
      <c r="L1034" s="1"/>
      <c r="M1034" s="1"/>
    </row>
    <row r="1035" spans="12:13" ht="13" customHeight="1">
      <c r="L1035" s="1"/>
      <c r="M1035" s="1"/>
    </row>
    <row r="1036" spans="12:13" ht="13" customHeight="1">
      <c r="L1036" s="1"/>
      <c r="M1036" s="1"/>
    </row>
    <row r="1037" spans="12:13" ht="13" customHeight="1">
      <c r="L1037" s="1"/>
      <c r="M1037" s="1"/>
    </row>
    <row r="1038" spans="12:13" ht="13" customHeight="1">
      <c r="L1038" s="1"/>
      <c r="M1038" s="1"/>
    </row>
    <row r="1039" spans="12:13" ht="13" customHeight="1">
      <c r="L1039" s="1"/>
      <c r="M1039" s="1"/>
    </row>
    <row r="1040" spans="12:13" ht="13" customHeight="1">
      <c r="L1040" s="1"/>
      <c r="M1040" s="1"/>
    </row>
    <row r="1041" spans="12:13" ht="13" customHeight="1">
      <c r="L1041" s="1"/>
      <c r="M1041" s="1"/>
    </row>
    <row r="1042" spans="12:13" ht="13" customHeight="1">
      <c r="L1042" s="1"/>
      <c r="M1042" s="1"/>
    </row>
    <row r="1043" spans="12:13" ht="13" customHeight="1">
      <c r="L1043" s="1"/>
      <c r="M1043" s="1"/>
    </row>
    <row r="1044" spans="12:13" ht="13" customHeight="1">
      <c r="L1044" s="1"/>
      <c r="M1044" s="1"/>
    </row>
    <row r="1045" spans="12:13" ht="13" customHeight="1">
      <c r="L1045" s="1"/>
      <c r="M1045" s="1"/>
    </row>
    <row r="1046" spans="12:13" ht="13" customHeight="1">
      <c r="L1046" s="1"/>
      <c r="M1046" s="1"/>
    </row>
    <row r="1047" spans="12:13" ht="13" customHeight="1">
      <c r="L1047" s="1"/>
      <c r="M1047" s="1"/>
    </row>
    <row r="1048" spans="12:13" ht="13" customHeight="1">
      <c r="L1048" s="1"/>
      <c r="M1048" s="1"/>
    </row>
    <row r="1049" spans="12:13" ht="13" customHeight="1">
      <c r="L1049" s="1"/>
      <c r="M1049" s="1"/>
    </row>
    <row r="1050" spans="12:13" ht="13" customHeight="1">
      <c r="L1050" s="1"/>
      <c r="M1050" s="1"/>
    </row>
    <row r="1051" spans="12:13" ht="13" customHeight="1">
      <c r="L1051" s="1"/>
      <c r="M1051" s="1"/>
    </row>
    <row r="1052" spans="12:13" ht="13" customHeight="1">
      <c r="L1052" s="1"/>
      <c r="M1052" s="1"/>
    </row>
    <row r="1053" spans="12:13" ht="13" customHeight="1">
      <c r="L1053" s="1"/>
      <c r="M1053" s="1"/>
    </row>
    <row r="1054" spans="12:13" ht="13" customHeight="1">
      <c r="L1054" s="1"/>
      <c r="M1054" s="1"/>
    </row>
    <row r="1055" spans="12:13" ht="13" customHeight="1">
      <c r="L1055" s="1"/>
      <c r="M1055" s="1"/>
    </row>
    <row r="1056" spans="12:13" ht="13" customHeight="1">
      <c r="L1056" s="1"/>
      <c r="M1056" s="1"/>
    </row>
    <row r="1057" spans="12:13" ht="13" customHeight="1">
      <c r="L1057" s="1"/>
      <c r="M1057" s="1"/>
    </row>
    <row r="1058" spans="12:13" ht="13" customHeight="1">
      <c r="L1058" s="1"/>
      <c r="M1058" s="1"/>
    </row>
    <row r="1059" spans="12:13" ht="13" customHeight="1">
      <c r="L1059" s="1"/>
      <c r="M1059" s="1"/>
    </row>
    <row r="1060" spans="12:13" ht="13" customHeight="1">
      <c r="L1060" s="1"/>
      <c r="M1060" s="1"/>
    </row>
    <row r="1061" spans="12:13" ht="13" customHeight="1">
      <c r="L1061" s="1"/>
      <c r="M1061" s="1"/>
    </row>
    <row r="1062" spans="12:13" ht="13" customHeight="1">
      <c r="L1062" s="1"/>
      <c r="M1062" s="1"/>
    </row>
    <row r="1063" spans="12:13" ht="13" customHeight="1">
      <c r="L1063" s="1"/>
      <c r="M1063" s="1"/>
    </row>
    <row r="1064" spans="12:13" ht="13" customHeight="1">
      <c r="L1064" s="1"/>
      <c r="M1064" s="1"/>
    </row>
    <row r="1065" spans="12:13" ht="13" customHeight="1">
      <c r="L1065" s="1"/>
      <c r="M1065" s="1"/>
    </row>
    <row r="1066" spans="12:13" ht="13" customHeight="1">
      <c r="L1066" s="1"/>
      <c r="M1066" s="1"/>
    </row>
    <row r="1067" spans="12:13" ht="13" customHeight="1">
      <c r="L1067" s="1"/>
      <c r="M1067" s="1"/>
    </row>
    <row r="1068" spans="12:13" ht="13" customHeight="1">
      <c r="L1068" s="1"/>
      <c r="M1068" s="1"/>
    </row>
    <row r="1069" spans="12:13" ht="13" customHeight="1">
      <c r="L1069" s="1"/>
      <c r="M1069" s="1"/>
    </row>
    <row r="1070" spans="12:13" ht="13" customHeight="1">
      <c r="L1070" s="1"/>
      <c r="M1070" s="1"/>
    </row>
    <row r="1071" spans="12:13" ht="13" customHeight="1">
      <c r="L1071" s="1"/>
      <c r="M1071" s="1"/>
    </row>
    <row r="1072" spans="12:13" ht="13" customHeight="1">
      <c r="L1072" s="1"/>
      <c r="M1072" s="1"/>
    </row>
    <row r="1073" spans="12:13" ht="13" customHeight="1">
      <c r="L1073" s="1"/>
      <c r="M1073" s="1"/>
    </row>
    <row r="1074" spans="12:13" ht="13" customHeight="1">
      <c r="L1074" s="1"/>
      <c r="M1074" s="1"/>
    </row>
    <row r="1075" spans="12:13" ht="13" customHeight="1">
      <c r="L1075" s="1"/>
      <c r="M1075" s="1"/>
    </row>
    <row r="1076" spans="12:13" ht="13" customHeight="1">
      <c r="L1076" s="1"/>
      <c r="M1076" s="1"/>
    </row>
    <row r="1077" spans="12:13" ht="13" customHeight="1">
      <c r="L1077" s="1"/>
      <c r="M1077" s="1"/>
    </row>
    <row r="1078" spans="12:13" ht="13" customHeight="1">
      <c r="L1078" s="1"/>
      <c r="M1078" s="1"/>
    </row>
    <row r="1079" spans="12:13" ht="13" customHeight="1">
      <c r="L1079" s="1"/>
      <c r="M1079" s="1"/>
    </row>
    <row r="1080" spans="12:13" ht="13" customHeight="1">
      <c r="L1080" s="1"/>
      <c r="M1080" s="1"/>
    </row>
    <row r="1081" spans="12:13" ht="13" customHeight="1">
      <c r="L1081" s="1"/>
      <c r="M1081" s="1"/>
    </row>
    <row r="1082" spans="12:13" ht="13" customHeight="1">
      <c r="L1082" s="1"/>
      <c r="M1082" s="1"/>
    </row>
    <row r="1083" spans="12:13" ht="13" customHeight="1">
      <c r="L1083" s="1"/>
      <c r="M1083" s="1"/>
    </row>
    <row r="1084" spans="12:13" ht="13" customHeight="1">
      <c r="L1084" s="1"/>
      <c r="M1084" s="1"/>
    </row>
    <row r="1085" spans="12:13" ht="13" customHeight="1">
      <c r="L1085" s="1"/>
      <c r="M1085" s="1"/>
    </row>
    <row r="1086" spans="12:13" ht="13" customHeight="1">
      <c r="L1086" s="1"/>
      <c r="M1086" s="1"/>
    </row>
    <row r="1087" spans="12:13" ht="13" customHeight="1">
      <c r="L1087" s="1"/>
      <c r="M1087" s="1"/>
    </row>
    <row r="1088" spans="12:13" ht="13" customHeight="1">
      <c r="L1088" s="1"/>
      <c r="M1088" s="1"/>
    </row>
    <row r="1089" spans="12:13" ht="13" customHeight="1">
      <c r="L1089" s="1"/>
      <c r="M1089" s="1"/>
    </row>
    <row r="1090" spans="12:13" ht="13" customHeight="1">
      <c r="L1090" s="1"/>
      <c r="M1090" s="1"/>
    </row>
    <row r="1091" spans="12:13" ht="13" customHeight="1">
      <c r="L1091" s="1"/>
      <c r="M1091" s="1"/>
    </row>
    <row r="1092" spans="12:13" ht="13" customHeight="1">
      <c r="L1092" s="1"/>
      <c r="M1092" s="1"/>
    </row>
    <row r="1093" spans="12:13" ht="13" customHeight="1">
      <c r="L1093" s="1"/>
      <c r="M1093" s="1"/>
    </row>
    <row r="1094" spans="12:13" ht="13" customHeight="1">
      <c r="L1094" s="1"/>
      <c r="M1094" s="1"/>
    </row>
    <row r="1095" spans="12:13" ht="13" customHeight="1">
      <c r="L1095" s="1"/>
      <c r="M1095" s="1"/>
    </row>
    <row r="1096" spans="12:13" ht="13" customHeight="1">
      <c r="L1096" s="1"/>
      <c r="M1096" s="1"/>
    </row>
    <row r="1097" spans="12:13" ht="13" customHeight="1">
      <c r="L1097" s="1"/>
      <c r="M1097" s="1"/>
    </row>
    <row r="1098" spans="12:13" ht="13" customHeight="1">
      <c r="L1098" s="1"/>
      <c r="M1098" s="1"/>
    </row>
    <row r="1099" spans="12:13" ht="13" customHeight="1">
      <c r="L1099" s="1"/>
      <c r="M1099" s="1"/>
    </row>
    <row r="1100" spans="12:13" ht="13" customHeight="1">
      <c r="L1100" s="1"/>
      <c r="M1100" s="1"/>
    </row>
    <row r="1101" spans="12:13" ht="13" customHeight="1">
      <c r="L1101" s="1"/>
      <c r="M1101" s="1"/>
    </row>
    <row r="1102" spans="12:13" ht="13" customHeight="1">
      <c r="L1102" s="1"/>
      <c r="M1102" s="1"/>
    </row>
    <row r="1103" spans="12:13" ht="13" customHeight="1">
      <c r="L1103" s="1"/>
      <c r="M1103" s="1"/>
    </row>
    <row r="1104" spans="12:13" ht="13" customHeight="1">
      <c r="L1104" s="1"/>
      <c r="M1104" s="1"/>
    </row>
    <row r="1105" spans="12:13" ht="13" customHeight="1">
      <c r="L1105" s="1"/>
      <c r="M1105" s="1"/>
    </row>
    <row r="1106" spans="12:13" ht="13" customHeight="1">
      <c r="L1106" s="1"/>
      <c r="M1106" s="1"/>
    </row>
    <row r="1107" spans="12:13" ht="13" customHeight="1">
      <c r="L1107" s="1"/>
      <c r="M1107" s="1"/>
    </row>
    <row r="1108" spans="12:13" ht="13" customHeight="1">
      <c r="L1108" s="1"/>
      <c r="M1108" s="1"/>
    </row>
    <row r="1109" spans="12:13" ht="13" customHeight="1">
      <c r="L1109" s="1"/>
      <c r="M1109" s="1"/>
    </row>
    <row r="1110" spans="12:13" ht="13" customHeight="1">
      <c r="L1110" s="1"/>
      <c r="M1110" s="1"/>
    </row>
    <row r="1111" spans="12:13" ht="13" customHeight="1">
      <c r="L1111" s="1"/>
      <c r="M1111" s="1"/>
    </row>
    <row r="1112" spans="12:13" ht="13" customHeight="1">
      <c r="L1112" s="1"/>
      <c r="M1112" s="1"/>
    </row>
    <row r="1113" spans="12:13" ht="13" customHeight="1">
      <c r="L1113" s="1"/>
      <c r="M1113" s="1"/>
    </row>
    <row r="1114" spans="12:13" ht="13" customHeight="1">
      <c r="L1114" s="1"/>
      <c r="M1114" s="1"/>
    </row>
    <row r="1115" spans="12:13" ht="13" customHeight="1">
      <c r="L1115" s="1"/>
      <c r="M1115" s="1"/>
    </row>
    <row r="1116" spans="12:13" ht="13" customHeight="1">
      <c r="L1116" s="1"/>
      <c r="M1116" s="1"/>
    </row>
    <row r="1117" spans="12:13" ht="13" customHeight="1">
      <c r="L1117" s="1"/>
      <c r="M1117" s="1"/>
    </row>
    <row r="1118" spans="12:13" ht="13" customHeight="1">
      <c r="L1118" s="1"/>
      <c r="M1118" s="1"/>
    </row>
    <row r="1119" spans="12:13" ht="13" customHeight="1">
      <c r="L1119" s="1"/>
      <c r="M1119" s="1"/>
    </row>
    <row r="1120" spans="12:13" ht="13" customHeight="1">
      <c r="L1120" s="1"/>
      <c r="M1120" s="1"/>
    </row>
    <row r="1121" spans="12:13" ht="13" customHeight="1">
      <c r="L1121" s="1"/>
      <c r="M1121" s="1"/>
    </row>
    <row r="1122" spans="12:13" ht="13" customHeight="1">
      <c r="L1122" s="1"/>
      <c r="M1122" s="1"/>
    </row>
    <row r="1123" spans="12:13" ht="13" customHeight="1">
      <c r="L1123" s="1"/>
      <c r="M1123" s="1"/>
    </row>
    <row r="1124" spans="12:13" ht="13" customHeight="1">
      <c r="L1124" s="1"/>
      <c r="M1124" s="1"/>
    </row>
    <row r="1125" spans="12:13" ht="13" customHeight="1">
      <c r="L1125" s="1"/>
      <c r="M1125" s="1"/>
    </row>
    <row r="1126" spans="12:13" ht="13" customHeight="1">
      <c r="L1126" s="1"/>
      <c r="M1126" s="1"/>
    </row>
    <row r="1127" spans="12:13" ht="13" customHeight="1">
      <c r="L1127" s="1"/>
      <c r="M1127" s="1"/>
    </row>
    <row r="1128" spans="12:13" ht="13" customHeight="1">
      <c r="L1128" s="1"/>
      <c r="M1128" s="1"/>
    </row>
    <row r="1129" spans="12:13" ht="13" customHeight="1">
      <c r="L1129" s="1"/>
      <c r="M1129" s="1"/>
    </row>
    <row r="1130" spans="12:13" ht="13" customHeight="1">
      <c r="L1130" s="1"/>
      <c r="M1130" s="1"/>
    </row>
    <row r="1131" spans="12:13" ht="13" customHeight="1">
      <c r="L1131" s="1"/>
      <c r="M1131" s="1"/>
    </row>
    <row r="1132" spans="12:13" ht="13" customHeight="1">
      <c r="L1132" s="1"/>
      <c r="M1132" s="1"/>
    </row>
    <row r="1133" spans="12:13" ht="13" customHeight="1">
      <c r="L1133" s="1"/>
      <c r="M1133" s="1"/>
    </row>
    <row r="1134" spans="12:13" ht="13" customHeight="1">
      <c r="L1134" s="1"/>
      <c r="M1134" s="1"/>
    </row>
    <row r="1135" spans="12:13" ht="13" customHeight="1">
      <c r="L1135" s="1"/>
      <c r="M1135" s="1"/>
    </row>
    <row r="1136" spans="12:13" ht="13" customHeight="1">
      <c r="L1136" s="1"/>
      <c r="M1136" s="1"/>
    </row>
    <row r="1137" spans="12:13" ht="13" customHeight="1">
      <c r="L1137" s="1"/>
      <c r="M1137" s="1"/>
    </row>
    <row r="1138" spans="12:13" ht="13" customHeight="1">
      <c r="L1138" s="1"/>
      <c r="M1138" s="1"/>
    </row>
    <row r="1139" spans="12:13" ht="13" customHeight="1">
      <c r="L1139" s="1"/>
      <c r="M1139" s="1"/>
    </row>
    <row r="1140" spans="12:13" ht="13" customHeight="1">
      <c r="L1140" s="1"/>
      <c r="M1140" s="1"/>
    </row>
    <row r="1141" spans="12:13" ht="13" customHeight="1">
      <c r="L1141" s="1"/>
      <c r="M1141" s="1"/>
    </row>
    <row r="1142" spans="12:13" ht="13" customHeight="1">
      <c r="L1142" s="1"/>
      <c r="M1142" s="1"/>
    </row>
    <row r="1143" spans="12:13" ht="13" customHeight="1">
      <c r="L1143" s="1"/>
      <c r="M1143" s="1"/>
    </row>
    <row r="1144" spans="12:13" ht="13" customHeight="1">
      <c r="L1144" s="1"/>
      <c r="M1144" s="1"/>
    </row>
    <row r="1145" spans="12:13" ht="13" customHeight="1">
      <c r="L1145" s="1"/>
      <c r="M1145" s="1"/>
    </row>
    <row r="1146" spans="12:13" ht="13" customHeight="1">
      <c r="L1146" s="1"/>
      <c r="M1146" s="1"/>
    </row>
    <row r="1147" spans="12:13" ht="13" customHeight="1">
      <c r="L1147" s="1"/>
      <c r="M1147" s="1"/>
    </row>
    <row r="1148" spans="12:13" ht="13" customHeight="1">
      <c r="L1148" s="1"/>
      <c r="M1148" s="1"/>
    </row>
    <row r="1149" spans="12:13" ht="13" customHeight="1">
      <c r="L1149" s="1"/>
      <c r="M1149" s="1"/>
    </row>
    <row r="1150" spans="12:13" ht="13" customHeight="1">
      <c r="L1150" s="1"/>
      <c r="M1150" s="1"/>
    </row>
    <row r="1151" spans="12:13" ht="13" customHeight="1">
      <c r="L1151" s="1"/>
      <c r="M1151" s="1"/>
    </row>
    <row r="1152" spans="12:13" ht="13" customHeight="1">
      <c r="L1152" s="1"/>
      <c r="M1152" s="1"/>
    </row>
    <row r="1153" spans="12:13" ht="13" customHeight="1">
      <c r="L1153" s="1"/>
      <c r="M1153" s="1"/>
    </row>
    <row r="1154" spans="12:13" ht="13" customHeight="1">
      <c r="L1154" s="1"/>
      <c r="M1154" s="1"/>
    </row>
    <row r="1155" spans="12:13" ht="13" customHeight="1">
      <c r="L1155" s="1"/>
      <c r="M1155" s="1"/>
    </row>
    <row r="1156" spans="12:13" ht="13" customHeight="1">
      <c r="L1156" s="1"/>
      <c r="M1156" s="1"/>
    </row>
    <row r="1157" spans="12:13" ht="13" customHeight="1">
      <c r="L1157" s="1"/>
      <c r="M1157" s="1"/>
    </row>
    <row r="1158" spans="12:13" ht="13" customHeight="1">
      <c r="L1158" s="1"/>
      <c r="M1158" s="1"/>
    </row>
    <row r="1159" spans="12:13" ht="13" customHeight="1">
      <c r="L1159" s="1"/>
      <c r="M1159" s="1"/>
    </row>
    <row r="1160" spans="12:13" ht="13" customHeight="1">
      <c r="L1160" s="1"/>
      <c r="M1160" s="1"/>
    </row>
    <row r="1161" spans="12:13" ht="13" customHeight="1">
      <c r="L1161" s="1"/>
      <c r="M1161" s="1"/>
    </row>
    <row r="1162" spans="12:13" ht="13" customHeight="1">
      <c r="L1162" s="1"/>
      <c r="M1162" s="1"/>
    </row>
    <row r="1163" spans="12:13" ht="13" customHeight="1">
      <c r="L1163" s="1"/>
      <c r="M1163" s="1"/>
    </row>
    <row r="1164" spans="12:13" ht="13" customHeight="1">
      <c r="L1164" s="1"/>
      <c r="M1164" s="1"/>
    </row>
    <row r="1165" spans="12:13" ht="13" customHeight="1">
      <c r="L1165" s="1"/>
      <c r="M1165" s="1"/>
    </row>
    <row r="1166" spans="12:13" ht="13" customHeight="1">
      <c r="L1166" s="1"/>
      <c r="M1166" s="1"/>
    </row>
    <row r="1167" spans="12:13" ht="13" customHeight="1">
      <c r="L1167" s="1"/>
      <c r="M1167" s="1"/>
    </row>
    <row r="1168" spans="12:13" ht="13" customHeight="1">
      <c r="L1168" s="1"/>
      <c r="M1168" s="1"/>
    </row>
    <row r="1169" spans="12:13" ht="13" customHeight="1">
      <c r="L1169" s="1"/>
      <c r="M1169" s="1"/>
    </row>
    <row r="1170" spans="12:13" ht="13" customHeight="1">
      <c r="L1170" s="1"/>
      <c r="M1170" s="1"/>
    </row>
    <row r="1171" spans="12:13" ht="13" customHeight="1">
      <c r="L1171" s="1"/>
      <c r="M1171" s="1"/>
    </row>
    <row r="1172" spans="12:13" ht="13" customHeight="1">
      <c r="L1172" s="1"/>
      <c r="M1172" s="1"/>
    </row>
    <row r="1173" spans="12:13" ht="13" customHeight="1">
      <c r="L1173" s="1"/>
      <c r="M1173" s="1"/>
    </row>
    <row r="1174" spans="12:13" ht="13" customHeight="1">
      <c r="L1174" s="1"/>
      <c r="M1174" s="1"/>
    </row>
    <row r="1175" spans="12:13" ht="13" customHeight="1">
      <c r="L1175" s="1"/>
      <c r="M1175" s="1"/>
    </row>
    <row r="1176" spans="12:13" ht="13" customHeight="1">
      <c r="L1176" s="1"/>
      <c r="M1176" s="1"/>
    </row>
    <row r="1177" spans="12:13" ht="13" customHeight="1">
      <c r="L1177" s="1"/>
      <c r="M1177" s="1"/>
    </row>
    <row r="1178" spans="12:13" ht="13" customHeight="1">
      <c r="L1178" s="1"/>
      <c r="M1178" s="1"/>
    </row>
    <row r="1179" spans="12:13" ht="13" customHeight="1">
      <c r="L1179" s="1"/>
      <c r="M1179" s="1"/>
    </row>
    <row r="1180" spans="12:13" ht="13" customHeight="1">
      <c r="L1180" s="1"/>
      <c r="M1180" s="1"/>
    </row>
    <row r="1181" spans="12:13" ht="13" customHeight="1">
      <c r="L1181" s="1"/>
      <c r="M1181" s="1"/>
    </row>
    <row r="1182" spans="12:13" ht="13" customHeight="1">
      <c r="L1182" s="1"/>
      <c r="M1182" s="1"/>
    </row>
    <row r="1183" spans="12:13" ht="13" customHeight="1">
      <c r="L1183" s="1"/>
      <c r="M1183" s="1"/>
    </row>
    <row r="1184" spans="12:13" ht="13" customHeight="1">
      <c r="L1184" s="1"/>
      <c r="M1184" s="1"/>
    </row>
    <row r="1185" spans="12:13" ht="13" customHeight="1">
      <c r="L1185" s="1"/>
      <c r="M1185" s="1"/>
    </row>
    <row r="1186" spans="12:13" ht="13" customHeight="1">
      <c r="L1186" s="1"/>
      <c r="M1186" s="1"/>
    </row>
    <row r="1187" spans="12:13" ht="13" customHeight="1">
      <c r="L1187" s="1"/>
      <c r="M1187" s="1"/>
    </row>
    <row r="1188" spans="12:13" ht="13" customHeight="1">
      <c r="L1188" s="1"/>
      <c r="M1188" s="1"/>
    </row>
    <row r="1189" spans="12:13" ht="13" customHeight="1">
      <c r="L1189" s="1"/>
      <c r="M1189" s="1"/>
    </row>
    <row r="1190" spans="12:13" ht="13" customHeight="1">
      <c r="L1190" s="1"/>
      <c r="M1190" s="1"/>
    </row>
    <row r="1191" spans="12:13" ht="13" customHeight="1">
      <c r="L1191" s="1"/>
      <c r="M1191" s="1"/>
    </row>
    <row r="1192" spans="12:13" ht="13" customHeight="1">
      <c r="L1192" s="1"/>
      <c r="M1192" s="1"/>
    </row>
    <row r="1193" spans="12:13" ht="13" customHeight="1">
      <c r="L1193" s="1"/>
      <c r="M1193" s="1"/>
    </row>
    <row r="1194" spans="12:13" ht="13" customHeight="1">
      <c r="L1194" s="1"/>
      <c r="M1194" s="1"/>
    </row>
    <row r="1195" spans="12:13" ht="13" customHeight="1">
      <c r="L1195" s="1"/>
      <c r="M1195" s="1"/>
    </row>
    <row r="1196" spans="12:13" ht="13" customHeight="1">
      <c r="L1196" s="1"/>
      <c r="M1196" s="1"/>
    </row>
    <row r="1197" spans="12:13" ht="13" customHeight="1">
      <c r="L1197" s="1"/>
      <c r="M1197" s="1"/>
    </row>
    <row r="1198" spans="12:13" ht="13" customHeight="1">
      <c r="L1198" s="1"/>
      <c r="M1198" s="1"/>
    </row>
    <row r="1199" spans="12:13" ht="13" customHeight="1">
      <c r="L1199" s="1"/>
      <c r="M1199" s="1"/>
    </row>
    <row r="1200" spans="12:13" ht="13" customHeight="1">
      <c r="L1200" s="1"/>
      <c r="M1200" s="1"/>
    </row>
    <row r="1201" spans="12:13" ht="13" customHeight="1">
      <c r="L1201" s="1"/>
      <c r="M1201" s="1"/>
    </row>
    <row r="1202" spans="12:13" ht="13" customHeight="1">
      <c r="L1202" s="1"/>
      <c r="M1202" s="1"/>
    </row>
    <row r="1203" spans="12:13" ht="13" customHeight="1">
      <c r="L1203" s="1"/>
      <c r="M1203" s="1"/>
    </row>
    <row r="1204" spans="12:13" ht="13" customHeight="1">
      <c r="L1204" s="1"/>
      <c r="M1204" s="1"/>
    </row>
    <row r="1205" spans="12:13" ht="13" customHeight="1">
      <c r="L1205" s="1"/>
      <c r="M1205" s="1"/>
    </row>
    <row r="1206" spans="12:13" ht="13" customHeight="1">
      <c r="L1206" s="1"/>
      <c r="M1206" s="1"/>
    </row>
    <row r="1207" spans="12:13" ht="13" customHeight="1">
      <c r="L1207" s="1"/>
      <c r="M1207" s="1"/>
    </row>
    <row r="1208" spans="12:13" ht="13" customHeight="1">
      <c r="L1208" s="1"/>
      <c r="M1208" s="1"/>
    </row>
    <row r="1209" spans="12:13" ht="13" customHeight="1">
      <c r="L1209" s="1"/>
      <c r="M1209" s="1"/>
    </row>
    <row r="1210" spans="12:13" ht="13" customHeight="1">
      <c r="L1210" s="1"/>
      <c r="M1210" s="1"/>
    </row>
    <row r="1211" spans="12:13" ht="13" customHeight="1">
      <c r="L1211" s="1"/>
      <c r="M1211" s="1"/>
    </row>
    <row r="1212" spans="12:13" ht="13" customHeight="1">
      <c r="L1212" s="1"/>
      <c r="M1212" s="1"/>
    </row>
    <row r="1213" spans="12:13" ht="13" customHeight="1">
      <c r="L1213" s="1"/>
      <c r="M1213" s="1"/>
    </row>
    <row r="1214" spans="12:13" ht="13" customHeight="1">
      <c r="L1214" s="1"/>
      <c r="M1214" s="1"/>
    </row>
    <row r="1215" spans="12:13" ht="13" customHeight="1">
      <c r="L1215" s="1"/>
      <c r="M1215" s="1"/>
    </row>
    <row r="1216" spans="12:13" ht="13" customHeight="1">
      <c r="L1216" s="1"/>
      <c r="M1216" s="1"/>
    </row>
    <row r="1217" spans="12:13" ht="13" customHeight="1">
      <c r="L1217" s="1"/>
      <c r="M1217" s="1"/>
    </row>
    <row r="1218" spans="12:13" ht="13" customHeight="1">
      <c r="L1218" s="1"/>
      <c r="M1218" s="1"/>
    </row>
    <row r="1219" spans="12:13" ht="13" customHeight="1">
      <c r="L1219" s="1"/>
      <c r="M1219" s="1"/>
    </row>
    <row r="1220" spans="12:13" ht="13" customHeight="1">
      <c r="L1220" s="1"/>
      <c r="M1220" s="1"/>
    </row>
    <row r="1221" spans="12:13" ht="13" customHeight="1">
      <c r="L1221" s="1"/>
      <c r="M1221" s="1"/>
    </row>
    <row r="1222" spans="12:13" ht="13" customHeight="1">
      <c r="L1222" s="1"/>
      <c r="M1222" s="1"/>
    </row>
    <row r="1223" spans="12:13" ht="13" customHeight="1">
      <c r="L1223" s="1"/>
      <c r="M1223" s="1"/>
    </row>
    <row r="1224" spans="12:13" ht="13" customHeight="1">
      <c r="L1224" s="1"/>
      <c r="M1224" s="1"/>
    </row>
    <row r="1225" spans="12:13" ht="13" customHeight="1">
      <c r="L1225" s="1"/>
      <c r="M1225" s="1"/>
    </row>
    <row r="1226" spans="12:13" ht="13" customHeight="1">
      <c r="L1226" s="1"/>
      <c r="M1226" s="1"/>
    </row>
    <row r="1227" spans="12:13" ht="13" customHeight="1">
      <c r="L1227" s="1"/>
      <c r="M1227" s="1"/>
    </row>
    <row r="1228" spans="12:13" ht="13" customHeight="1">
      <c r="L1228" s="1"/>
      <c r="M1228" s="1"/>
    </row>
    <row r="1229" spans="12:13" ht="13" customHeight="1">
      <c r="L1229" s="1"/>
      <c r="M1229" s="1"/>
    </row>
    <row r="1230" spans="12:13" ht="13" customHeight="1">
      <c r="L1230" s="1"/>
      <c r="M1230" s="1"/>
    </row>
    <row r="1231" spans="12:13" ht="13" customHeight="1">
      <c r="L1231" s="1"/>
      <c r="M1231" s="1"/>
    </row>
    <row r="1232" spans="12:13" ht="13" customHeight="1">
      <c r="L1232" s="1"/>
      <c r="M1232" s="1"/>
    </row>
    <row r="1233" spans="12:13" ht="13" customHeight="1">
      <c r="L1233" s="1"/>
      <c r="M1233" s="1"/>
    </row>
    <row r="1234" spans="12:13" ht="13" customHeight="1">
      <c r="L1234" s="1"/>
      <c r="M1234" s="1"/>
    </row>
    <row r="1235" spans="12:13" ht="13" customHeight="1">
      <c r="L1235" s="1"/>
      <c r="M1235" s="1"/>
    </row>
    <row r="1236" spans="12:13" ht="13" customHeight="1">
      <c r="L1236" s="1"/>
      <c r="M1236" s="1"/>
    </row>
    <row r="1237" spans="12:13" ht="13" customHeight="1">
      <c r="L1237" s="1"/>
      <c r="M1237" s="1"/>
    </row>
    <row r="1238" spans="12:13" ht="13" customHeight="1">
      <c r="L1238" s="1"/>
      <c r="M1238" s="1"/>
    </row>
    <row r="1239" spans="12:13" ht="13" customHeight="1">
      <c r="L1239" s="1"/>
      <c r="M1239" s="1"/>
    </row>
    <row r="1240" spans="12:13" ht="13" customHeight="1">
      <c r="L1240" s="1"/>
      <c r="M1240" s="1"/>
    </row>
    <row r="1241" spans="12:13" ht="13" customHeight="1">
      <c r="L1241" s="1"/>
      <c r="M1241" s="1"/>
    </row>
    <row r="1242" spans="12:13" ht="13" customHeight="1">
      <c r="L1242" s="1"/>
      <c r="M1242" s="1"/>
    </row>
    <row r="1243" spans="12:13" ht="13" customHeight="1">
      <c r="L1243" s="1"/>
      <c r="M1243" s="1"/>
    </row>
    <row r="1244" spans="12:13" ht="13" customHeight="1">
      <c r="L1244" s="1"/>
      <c r="M1244" s="1"/>
    </row>
    <row r="1245" spans="12:13" ht="13" customHeight="1">
      <c r="L1245" s="1"/>
      <c r="M1245" s="1"/>
    </row>
    <row r="1246" spans="12:13" ht="13" customHeight="1">
      <c r="L1246" s="1"/>
      <c r="M1246" s="1"/>
    </row>
    <row r="1247" spans="12:13" ht="13" customHeight="1">
      <c r="L1247" s="1"/>
      <c r="M1247" s="1"/>
    </row>
    <row r="1248" spans="12:13" ht="13" customHeight="1">
      <c r="L1248" s="1"/>
      <c r="M1248" s="1"/>
    </row>
    <row r="1249" spans="12:13" ht="13" customHeight="1">
      <c r="L1249" s="1"/>
      <c r="M1249" s="1"/>
    </row>
    <row r="1250" spans="12:13" ht="13" customHeight="1">
      <c r="L1250" s="1"/>
      <c r="M1250" s="1"/>
    </row>
    <row r="1251" spans="12:13" ht="13" customHeight="1">
      <c r="L1251" s="1"/>
      <c r="M1251" s="1"/>
    </row>
    <row r="1252" spans="12:13" ht="13" customHeight="1">
      <c r="L1252" s="1"/>
      <c r="M1252" s="1"/>
    </row>
    <row r="1253" spans="12:13" ht="13" customHeight="1">
      <c r="L1253" s="1"/>
      <c r="M1253" s="1"/>
    </row>
    <row r="1254" spans="12:13" ht="13" customHeight="1">
      <c r="L1254" s="1"/>
      <c r="M1254" s="1"/>
    </row>
    <row r="1255" spans="12:13" ht="13" customHeight="1">
      <c r="L1255" s="1"/>
      <c r="M1255" s="1"/>
    </row>
    <row r="1256" spans="12:13" ht="13" customHeight="1">
      <c r="L1256" s="1"/>
      <c r="M1256" s="1"/>
    </row>
    <row r="1257" spans="12:13" ht="13" customHeight="1">
      <c r="L1257" s="1"/>
      <c r="M1257" s="1"/>
    </row>
    <row r="1258" spans="12:13" ht="13" customHeight="1">
      <c r="L1258" s="1"/>
      <c r="M1258" s="1"/>
    </row>
    <row r="1259" spans="12:13" ht="13" customHeight="1">
      <c r="L1259" s="1"/>
      <c r="M1259" s="1"/>
    </row>
    <row r="1260" spans="12:13" ht="13" customHeight="1">
      <c r="L1260" s="1"/>
      <c r="M1260" s="1"/>
    </row>
    <row r="1261" spans="12:13" ht="13" customHeight="1">
      <c r="L1261" s="1"/>
      <c r="M1261" s="1"/>
    </row>
    <row r="1262" spans="12:13" ht="13" customHeight="1">
      <c r="L1262" s="1"/>
      <c r="M1262" s="1"/>
    </row>
    <row r="1263" spans="12:13" ht="13" customHeight="1">
      <c r="L1263" s="1"/>
      <c r="M1263" s="1"/>
    </row>
    <row r="1264" spans="12:13" ht="13" customHeight="1">
      <c r="L1264" s="1"/>
      <c r="M1264" s="1"/>
    </row>
    <row r="1265" spans="12:13" ht="13" customHeight="1">
      <c r="L1265" s="1"/>
      <c r="M1265" s="1"/>
    </row>
    <row r="1266" spans="12:13" ht="13" customHeight="1">
      <c r="L1266" s="1"/>
      <c r="M1266" s="1"/>
    </row>
    <row r="1267" spans="12:13" ht="13" customHeight="1">
      <c r="L1267" s="1"/>
      <c r="M1267" s="1"/>
    </row>
    <row r="1268" spans="12:13" ht="13" customHeight="1">
      <c r="L1268" s="1"/>
      <c r="M1268" s="1"/>
    </row>
    <row r="1269" spans="12:13" ht="13" customHeight="1">
      <c r="L1269" s="1"/>
      <c r="M1269" s="1"/>
    </row>
    <row r="1270" spans="12:13" ht="13" customHeight="1">
      <c r="L1270" s="1"/>
      <c r="M1270" s="1"/>
    </row>
    <row r="1271" spans="12:13" ht="13" customHeight="1">
      <c r="L1271" s="1"/>
      <c r="M1271" s="1"/>
    </row>
    <row r="1272" spans="12:13" ht="13" customHeight="1">
      <c r="L1272" s="1"/>
      <c r="M1272" s="1"/>
    </row>
    <row r="1273" spans="12:13" ht="13" customHeight="1">
      <c r="L1273" s="1"/>
      <c r="M1273" s="1"/>
    </row>
    <row r="1274" spans="12:13" ht="13" customHeight="1">
      <c r="L1274" s="1"/>
      <c r="M1274" s="1"/>
    </row>
    <row r="1275" spans="12:13" ht="13" customHeight="1">
      <c r="L1275" s="1"/>
      <c r="M1275" s="1"/>
    </row>
    <row r="1276" spans="12:13" ht="13" customHeight="1">
      <c r="L1276" s="1"/>
      <c r="M1276" s="1"/>
    </row>
    <row r="1277" spans="12:13" ht="13" customHeight="1">
      <c r="L1277" s="1"/>
      <c r="M1277" s="1"/>
    </row>
    <row r="1278" spans="12:13" ht="13" customHeight="1">
      <c r="L1278" s="1"/>
      <c r="M1278" s="1"/>
    </row>
    <row r="1279" spans="12:13" ht="13" customHeight="1">
      <c r="L1279" s="1"/>
      <c r="M1279" s="1"/>
    </row>
    <row r="1280" spans="12:13" ht="13" customHeight="1">
      <c r="L1280" s="1"/>
      <c r="M1280" s="1"/>
    </row>
    <row r="1281" spans="12:13" ht="13" customHeight="1">
      <c r="L1281" s="1"/>
      <c r="M1281" s="1"/>
    </row>
    <row r="1282" spans="12:13" ht="13" customHeight="1">
      <c r="L1282" s="1"/>
      <c r="M1282" s="1"/>
    </row>
    <row r="1283" spans="12:13" ht="13" customHeight="1">
      <c r="L1283" s="1"/>
      <c r="M1283" s="1"/>
    </row>
    <row r="1284" spans="12:13" ht="13" customHeight="1">
      <c r="L1284" s="1"/>
      <c r="M1284" s="1"/>
    </row>
    <row r="1285" spans="12:13" ht="13" customHeight="1">
      <c r="L1285" s="1"/>
      <c r="M1285" s="1"/>
    </row>
    <row r="1286" spans="12:13" ht="13" customHeight="1">
      <c r="L1286" s="1"/>
      <c r="M1286" s="1"/>
    </row>
    <row r="1287" spans="12:13" ht="13" customHeight="1">
      <c r="L1287" s="1"/>
      <c r="M1287" s="1"/>
    </row>
    <row r="1288" spans="12:13" ht="13" customHeight="1">
      <c r="L1288" s="1"/>
      <c r="M1288" s="1"/>
    </row>
    <row r="1289" spans="12:13" ht="13" customHeight="1">
      <c r="L1289" s="1"/>
      <c r="M1289" s="1"/>
    </row>
    <row r="1290" spans="12:13" ht="13" customHeight="1">
      <c r="L1290" s="1"/>
      <c r="M1290" s="1"/>
    </row>
    <row r="1291" spans="12:13" ht="13" customHeight="1">
      <c r="L1291" s="1"/>
      <c r="M1291" s="1"/>
    </row>
    <row r="1292" spans="12:13" ht="13" customHeight="1">
      <c r="L1292" s="1"/>
      <c r="M1292" s="1"/>
    </row>
    <row r="1293" spans="12:13" ht="13" customHeight="1">
      <c r="L1293" s="1"/>
      <c r="M1293" s="1"/>
    </row>
    <row r="1294" spans="12:13" ht="13" customHeight="1">
      <c r="L1294" s="1"/>
      <c r="M1294" s="1"/>
    </row>
    <row r="1295" spans="12:13" ht="13" customHeight="1">
      <c r="L1295" s="1"/>
      <c r="M1295" s="1"/>
    </row>
    <row r="1296" spans="12:13" ht="13" customHeight="1">
      <c r="L1296" s="1"/>
      <c r="M1296" s="1"/>
    </row>
    <row r="1297" spans="12:13" ht="13" customHeight="1">
      <c r="L1297" s="1"/>
      <c r="M1297" s="1"/>
    </row>
    <row r="1298" spans="12:13" ht="13" customHeight="1">
      <c r="L1298" s="1"/>
      <c r="M1298" s="1"/>
    </row>
    <row r="1299" spans="12:13" ht="13" customHeight="1">
      <c r="L1299" s="1"/>
      <c r="M1299" s="1"/>
    </row>
    <row r="1300" spans="12:13" ht="13" customHeight="1">
      <c r="L1300" s="1"/>
      <c r="M1300" s="1"/>
    </row>
    <row r="1301" spans="12:13" ht="13" customHeight="1">
      <c r="L1301" s="1"/>
      <c r="M1301" s="1"/>
    </row>
    <row r="1302" spans="12:13" ht="13" customHeight="1">
      <c r="L1302" s="1"/>
      <c r="M1302" s="1"/>
    </row>
    <row r="1303" spans="12:13" ht="13" customHeight="1">
      <c r="L1303" s="1"/>
      <c r="M1303" s="1"/>
    </row>
    <row r="1304" spans="12:13" ht="13" customHeight="1">
      <c r="L1304" s="1"/>
      <c r="M1304" s="1"/>
    </row>
    <row r="1305" spans="12:13" ht="13" customHeight="1">
      <c r="L1305" s="1"/>
      <c r="M1305" s="1"/>
    </row>
    <row r="1306" spans="12:13" ht="13" customHeight="1">
      <c r="L1306" s="1"/>
      <c r="M1306" s="1"/>
    </row>
    <row r="1307" spans="12:13" ht="13" customHeight="1">
      <c r="L1307" s="1"/>
      <c r="M1307" s="1"/>
    </row>
    <row r="1308" spans="12:13" ht="13" customHeight="1">
      <c r="L1308" s="1"/>
      <c r="M1308" s="1"/>
    </row>
    <row r="1309" spans="12:13" ht="13" customHeight="1">
      <c r="L1309" s="1"/>
      <c r="M1309" s="1"/>
    </row>
    <row r="1310" spans="12:13" ht="13" customHeight="1">
      <c r="L1310" s="1"/>
      <c r="M1310" s="1"/>
    </row>
    <row r="1311" spans="12:13" ht="13" customHeight="1">
      <c r="L1311" s="1"/>
      <c r="M1311" s="1"/>
    </row>
    <row r="1312" spans="12:13" ht="13" customHeight="1">
      <c r="L1312" s="1"/>
      <c r="M1312" s="1"/>
    </row>
    <row r="1313" spans="12:13" ht="13" customHeight="1">
      <c r="L1313" s="1"/>
      <c r="M1313" s="1"/>
    </row>
    <row r="1314" spans="12:13" ht="13" customHeight="1">
      <c r="L1314" s="1"/>
      <c r="M1314" s="1"/>
    </row>
    <row r="1315" spans="12:13" ht="13" customHeight="1">
      <c r="L1315" s="1"/>
      <c r="M1315" s="1"/>
    </row>
    <row r="1316" spans="12:13" ht="13" customHeight="1">
      <c r="L1316" s="1"/>
      <c r="M1316" s="1"/>
    </row>
    <row r="1317" spans="12:13" ht="13" customHeight="1">
      <c r="L1317" s="1"/>
      <c r="M1317" s="1"/>
    </row>
    <row r="1318" spans="12:13" ht="13" customHeight="1">
      <c r="L1318" s="1"/>
      <c r="M1318" s="1"/>
    </row>
    <row r="1319" spans="12:13" ht="13" customHeight="1">
      <c r="L1319" s="1"/>
      <c r="M1319" s="1"/>
    </row>
    <row r="1320" spans="12:13" ht="13" customHeight="1">
      <c r="L1320" s="1"/>
      <c r="M1320" s="1"/>
    </row>
    <row r="1321" spans="12:13" ht="13" customHeight="1">
      <c r="L1321" s="1"/>
      <c r="M1321" s="1"/>
    </row>
    <row r="1322" spans="12:13" ht="13" customHeight="1">
      <c r="L1322" s="1"/>
      <c r="M1322" s="1"/>
    </row>
    <row r="1323" spans="12:13" ht="13" customHeight="1">
      <c r="L1323" s="1"/>
      <c r="M1323" s="1"/>
    </row>
    <row r="1324" spans="12:13" ht="13" customHeight="1">
      <c r="L1324" s="1"/>
      <c r="M1324" s="1"/>
    </row>
    <row r="1325" spans="12:13" ht="13" customHeight="1">
      <c r="L1325" s="1"/>
      <c r="M1325" s="1"/>
    </row>
    <row r="1326" spans="12:13" ht="13" customHeight="1">
      <c r="L1326" s="1"/>
      <c r="M1326" s="1"/>
    </row>
    <row r="1327" spans="12:13" ht="13" customHeight="1">
      <c r="L1327" s="1"/>
      <c r="M1327" s="1"/>
    </row>
    <row r="1328" spans="12:13" ht="13" customHeight="1">
      <c r="L1328" s="1"/>
      <c r="M1328" s="1"/>
    </row>
    <row r="1329" spans="12:13" ht="13" customHeight="1">
      <c r="L1329" s="1"/>
      <c r="M1329" s="1"/>
    </row>
    <row r="1330" spans="12:13" ht="13" customHeight="1">
      <c r="L1330" s="1"/>
      <c r="M1330" s="1"/>
    </row>
    <row r="1331" spans="12:13" ht="13" customHeight="1">
      <c r="L1331" s="1"/>
      <c r="M1331" s="1"/>
    </row>
    <row r="1332" spans="12:13" ht="13" customHeight="1">
      <c r="L1332" s="1"/>
      <c r="M1332" s="1"/>
    </row>
    <row r="1333" spans="12:13" ht="13" customHeight="1">
      <c r="L1333" s="1"/>
      <c r="M1333" s="1"/>
    </row>
    <row r="1334" spans="12:13" ht="13" customHeight="1">
      <c r="L1334" s="1"/>
      <c r="M1334" s="1"/>
    </row>
    <row r="1335" spans="12:13" ht="13" customHeight="1">
      <c r="L1335" s="1"/>
      <c r="M1335" s="1"/>
    </row>
    <row r="1336" spans="12:13" ht="13" customHeight="1">
      <c r="L1336" s="1"/>
      <c r="M1336" s="1"/>
    </row>
    <row r="1337" spans="12:13" ht="13" customHeight="1">
      <c r="L1337" s="1"/>
      <c r="M1337" s="1"/>
    </row>
    <row r="1338" spans="12:13" ht="13" customHeight="1">
      <c r="L1338" s="1"/>
      <c r="M1338" s="1"/>
    </row>
    <row r="1339" spans="12:13" ht="13" customHeight="1">
      <c r="L1339" s="1"/>
      <c r="M1339" s="1"/>
    </row>
    <row r="1340" spans="12:13" ht="13" customHeight="1">
      <c r="L1340" s="1"/>
      <c r="M1340" s="1"/>
    </row>
    <row r="1341" spans="12:13" ht="13" customHeight="1">
      <c r="L1341" s="1"/>
      <c r="M1341" s="1"/>
    </row>
    <row r="1342" spans="12:13" ht="13" customHeight="1">
      <c r="L1342" s="1"/>
      <c r="M1342" s="1"/>
    </row>
    <row r="1343" spans="12:13" ht="13" customHeight="1">
      <c r="L1343" s="1"/>
      <c r="M1343" s="1"/>
    </row>
    <row r="1344" spans="12:13" ht="13" customHeight="1">
      <c r="L1344" s="1"/>
      <c r="M1344" s="1"/>
    </row>
    <row r="1345" spans="12:13" ht="13" customHeight="1">
      <c r="L1345" s="1"/>
      <c r="M1345" s="1"/>
    </row>
    <row r="1346" spans="12:13" ht="13" customHeight="1">
      <c r="L1346" s="1"/>
      <c r="M1346" s="1"/>
    </row>
    <row r="1347" spans="12:13" ht="13" customHeight="1">
      <c r="L1347" s="1"/>
      <c r="M1347" s="1"/>
    </row>
    <row r="1348" spans="12:13" ht="13" customHeight="1">
      <c r="L1348" s="1"/>
      <c r="M1348" s="1"/>
    </row>
    <row r="1349" spans="12:13" ht="13" customHeight="1">
      <c r="L1349" s="1"/>
      <c r="M1349" s="1"/>
    </row>
    <row r="1350" spans="12:13" ht="13" customHeight="1">
      <c r="L1350" s="1"/>
      <c r="M1350" s="1"/>
    </row>
    <row r="1351" spans="12:13" ht="13" customHeight="1">
      <c r="L1351" s="1"/>
      <c r="M1351" s="1"/>
    </row>
    <row r="1352" spans="12:13" ht="13" customHeight="1">
      <c r="L1352" s="1"/>
      <c r="M1352" s="1"/>
    </row>
    <row r="1353" spans="12:13" ht="13" customHeight="1">
      <c r="L1353" s="1"/>
      <c r="M1353" s="1"/>
    </row>
    <row r="1354" spans="12:13" ht="13" customHeight="1">
      <c r="L1354" s="1"/>
      <c r="M1354" s="1"/>
    </row>
    <row r="1355" spans="12:13" ht="13" customHeight="1">
      <c r="L1355" s="1"/>
      <c r="M1355" s="1"/>
    </row>
    <row r="1356" spans="12:13" ht="13" customHeight="1">
      <c r="L1356" s="1"/>
      <c r="M1356" s="1"/>
    </row>
    <row r="1357" spans="12:13" ht="13" customHeight="1">
      <c r="L1357" s="1"/>
      <c r="M1357" s="1"/>
    </row>
    <row r="1358" spans="12:13" ht="13" customHeight="1">
      <c r="L1358" s="1"/>
      <c r="M1358" s="1"/>
    </row>
    <row r="1359" spans="12:13" ht="13" customHeight="1">
      <c r="L1359" s="1"/>
      <c r="M1359" s="1"/>
    </row>
    <row r="1360" spans="12:13" ht="13" customHeight="1">
      <c r="L1360" s="1"/>
      <c r="M1360" s="1"/>
    </row>
    <row r="1361" spans="12:13" ht="13" customHeight="1">
      <c r="L1361" s="1"/>
      <c r="M1361" s="1"/>
    </row>
    <row r="1362" spans="12:13" ht="13" customHeight="1">
      <c r="L1362" s="1"/>
      <c r="M1362" s="1"/>
    </row>
    <row r="1363" spans="12:13" ht="13" customHeight="1">
      <c r="L1363" s="1"/>
      <c r="M1363" s="1"/>
    </row>
    <row r="1364" spans="12:13" ht="13" customHeight="1">
      <c r="L1364" s="1"/>
      <c r="M1364" s="1"/>
    </row>
    <row r="1365" spans="12:13" ht="13" customHeight="1">
      <c r="L1365" s="1"/>
      <c r="M1365" s="1"/>
    </row>
    <row r="1366" spans="12:13" ht="13" customHeight="1">
      <c r="L1366" s="1"/>
      <c r="M1366" s="1"/>
    </row>
    <row r="1367" spans="12:13" ht="13" customHeight="1">
      <c r="L1367" s="1"/>
      <c r="M1367" s="1"/>
    </row>
    <row r="1368" spans="12:13" ht="13" customHeight="1">
      <c r="L1368" s="1"/>
      <c r="M1368" s="1"/>
    </row>
    <row r="1369" spans="12:13" ht="13" customHeight="1">
      <c r="L1369" s="1"/>
      <c r="M1369" s="1"/>
    </row>
    <row r="1370" spans="12:13" ht="13" customHeight="1">
      <c r="L1370" s="1"/>
      <c r="M1370" s="1"/>
    </row>
    <row r="1371" spans="12:13" ht="13" customHeight="1">
      <c r="L1371" s="1"/>
      <c r="M1371" s="1"/>
    </row>
    <row r="1372" spans="12:13" ht="13" customHeight="1">
      <c r="L1372" s="1"/>
      <c r="M1372" s="1"/>
    </row>
    <row r="1373" spans="12:13" ht="13" customHeight="1">
      <c r="L1373" s="1"/>
      <c r="M1373" s="1"/>
    </row>
    <row r="1374" spans="12:13" ht="13" customHeight="1">
      <c r="L1374" s="1"/>
      <c r="M1374" s="1"/>
    </row>
    <row r="1375" spans="12:13" ht="13" customHeight="1">
      <c r="L1375" s="1"/>
      <c r="M1375" s="1"/>
    </row>
    <row r="1376" spans="12:13" ht="13" customHeight="1">
      <c r="L1376" s="1"/>
      <c r="M1376" s="1"/>
    </row>
    <row r="1377" spans="12:13" ht="13" customHeight="1">
      <c r="L1377" s="1"/>
      <c r="M1377" s="1"/>
    </row>
    <row r="1378" spans="12:13" ht="13" customHeight="1">
      <c r="L1378" s="1"/>
      <c r="M1378" s="1"/>
    </row>
    <row r="1379" spans="12:13" ht="13" customHeight="1">
      <c r="L1379" s="1"/>
      <c r="M1379" s="1"/>
    </row>
    <row r="1380" spans="12:13" ht="13" customHeight="1">
      <c r="L1380" s="1"/>
      <c r="M1380" s="1"/>
    </row>
    <row r="1381" spans="12:13" ht="13" customHeight="1">
      <c r="L1381" s="1"/>
      <c r="M1381" s="1"/>
    </row>
    <row r="1382" spans="12:13" ht="13" customHeight="1">
      <c r="L1382" s="1"/>
      <c r="M1382" s="1"/>
    </row>
    <row r="1383" spans="12:13" ht="13" customHeight="1">
      <c r="L1383" s="1"/>
      <c r="M1383" s="1"/>
    </row>
    <row r="1384" spans="12:13" ht="13" customHeight="1">
      <c r="L1384" s="1"/>
      <c r="M1384" s="1"/>
    </row>
    <row r="1385" spans="12:13" ht="13" customHeight="1">
      <c r="L1385" s="1"/>
      <c r="M1385" s="1"/>
    </row>
    <row r="1386" spans="12:13" ht="13" customHeight="1">
      <c r="L1386" s="1"/>
      <c r="M1386" s="1"/>
    </row>
    <row r="1387" spans="12:13" ht="13" customHeight="1">
      <c r="L1387" s="1"/>
      <c r="M1387" s="1"/>
    </row>
    <row r="1388" spans="12:13" ht="13" customHeight="1">
      <c r="L1388" s="1"/>
      <c r="M1388" s="1"/>
    </row>
    <row r="1389" spans="12:13" ht="13" customHeight="1">
      <c r="L1389" s="1"/>
      <c r="M1389" s="1"/>
    </row>
    <row r="1390" spans="12:13" ht="13" customHeight="1">
      <c r="L1390" s="1"/>
      <c r="M1390" s="1"/>
    </row>
    <row r="1391" spans="12:13" ht="13" customHeight="1">
      <c r="L1391" s="1"/>
      <c r="M1391" s="1"/>
    </row>
    <row r="1392" spans="12:13" ht="13" customHeight="1">
      <c r="L1392" s="1"/>
      <c r="M1392" s="1"/>
    </row>
    <row r="1393" spans="12:13" ht="13" customHeight="1">
      <c r="L1393" s="1"/>
      <c r="M1393" s="1"/>
    </row>
    <row r="1394" spans="12:13" ht="13" customHeight="1">
      <c r="L1394" s="1"/>
      <c r="M1394" s="1"/>
    </row>
    <row r="1395" spans="12:13" ht="13" customHeight="1">
      <c r="L1395" s="1"/>
      <c r="M1395" s="1"/>
    </row>
    <row r="1396" spans="12:13" ht="13" customHeight="1">
      <c r="L1396" s="1"/>
      <c r="M1396" s="1"/>
    </row>
    <row r="1397" spans="12:13" ht="13" customHeight="1">
      <c r="L1397" s="1"/>
      <c r="M1397" s="1"/>
    </row>
    <row r="1398" spans="12:13" ht="13" customHeight="1">
      <c r="L1398" s="1"/>
      <c r="M1398" s="1"/>
    </row>
    <row r="1399" spans="12:13" ht="13" customHeight="1">
      <c r="L1399" s="1"/>
      <c r="M1399" s="1"/>
    </row>
    <row r="1400" spans="12:13" ht="13" customHeight="1">
      <c r="L1400" s="1"/>
      <c r="M1400" s="1"/>
    </row>
    <row r="1401" spans="12:13" ht="13" customHeight="1">
      <c r="L1401" s="1"/>
      <c r="M1401" s="1"/>
    </row>
    <row r="1402" spans="12:13" ht="13" customHeight="1">
      <c r="L1402" s="1"/>
      <c r="M1402" s="1"/>
    </row>
    <row r="1403" spans="12:13" ht="13" customHeight="1">
      <c r="L1403" s="1"/>
      <c r="M1403" s="1"/>
    </row>
    <row r="1404" spans="12:13" ht="13" customHeight="1">
      <c r="L1404" s="1"/>
      <c r="M1404" s="1"/>
    </row>
    <row r="1405" spans="12:13" ht="13" customHeight="1">
      <c r="L1405" s="1"/>
      <c r="M1405" s="1"/>
    </row>
    <row r="1406" spans="12:13" ht="13" customHeight="1">
      <c r="L1406" s="1"/>
      <c r="M1406" s="1"/>
    </row>
    <row r="1407" spans="12:13" ht="13" customHeight="1">
      <c r="L1407" s="1"/>
      <c r="M1407" s="1"/>
    </row>
    <row r="1408" spans="12:13" ht="13" customHeight="1">
      <c r="L1408" s="1"/>
      <c r="M1408" s="1"/>
    </row>
    <row r="1409" spans="12:13" ht="13" customHeight="1">
      <c r="L1409" s="1"/>
      <c r="M1409" s="1"/>
    </row>
    <row r="1410" spans="12:13" ht="13" customHeight="1">
      <c r="L1410" s="1"/>
      <c r="M1410" s="1"/>
    </row>
    <row r="1411" spans="12:13" ht="13" customHeight="1">
      <c r="L1411" s="1"/>
      <c r="M1411" s="1"/>
    </row>
    <row r="1412" spans="12:13" ht="13" customHeight="1">
      <c r="L1412" s="1"/>
      <c r="M1412" s="1"/>
    </row>
    <row r="1413" spans="12:13" ht="13" customHeight="1">
      <c r="L1413" s="1"/>
      <c r="M1413" s="1"/>
    </row>
    <row r="1414" spans="12:13" ht="13" customHeight="1">
      <c r="L1414" s="1"/>
      <c r="M1414" s="1"/>
    </row>
    <row r="1415" spans="12:13" ht="13" customHeight="1">
      <c r="L1415" s="1"/>
      <c r="M1415" s="1"/>
    </row>
    <row r="1416" spans="12:13" ht="13" customHeight="1">
      <c r="L1416" s="1"/>
      <c r="M1416" s="1"/>
    </row>
    <row r="1417" spans="12:13" ht="13" customHeight="1">
      <c r="L1417" s="1"/>
      <c r="M1417" s="1"/>
    </row>
    <row r="1418" spans="12:13" ht="13" customHeight="1">
      <c r="L1418" s="1"/>
      <c r="M1418" s="1"/>
    </row>
    <row r="1419" spans="12:13" ht="13" customHeight="1">
      <c r="L1419" s="1"/>
      <c r="M1419" s="1"/>
    </row>
    <row r="1420" spans="12:13" ht="13" customHeight="1">
      <c r="L1420" s="1"/>
      <c r="M1420" s="1"/>
    </row>
    <row r="1421" spans="12:13" ht="13" customHeight="1">
      <c r="L1421" s="1"/>
      <c r="M1421" s="1"/>
    </row>
    <row r="1422" spans="12:13" ht="13" customHeight="1">
      <c r="L1422" s="1"/>
      <c r="M1422" s="1"/>
    </row>
    <row r="1423" spans="12:13" ht="13" customHeight="1">
      <c r="L1423" s="1"/>
      <c r="M1423" s="1"/>
    </row>
    <row r="1424" spans="12:13" ht="13" customHeight="1">
      <c r="L1424" s="1"/>
      <c r="M1424" s="1"/>
    </row>
    <row r="1425" spans="12:13" ht="13" customHeight="1">
      <c r="L1425" s="1"/>
      <c r="M1425" s="1"/>
    </row>
    <row r="1426" spans="12:13" ht="13" customHeight="1">
      <c r="L1426" s="1"/>
      <c r="M1426" s="1"/>
    </row>
    <row r="1427" spans="12:13" ht="13" customHeight="1">
      <c r="L1427" s="1"/>
      <c r="M1427" s="1"/>
    </row>
    <row r="1428" spans="12:13" ht="13" customHeight="1">
      <c r="L1428" s="1"/>
      <c r="M1428" s="1"/>
    </row>
    <row r="1429" spans="12:13" ht="13" customHeight="1">
      <c r="L1429" s="1"/>
      <c r="M1429" s="1"/>
    </row>
    <row r="1430" spans="12:13" ht="13" customHeight="1">
      <c r="L1430" s="1"/>
      <c r="M1430" s="1"/>
    </row>
    <row r="1431" spans="12:13" ht="13" customHeight="1">
      <c r="L1431" s="1"/>
      <c r="M1431" s="1"/>
    </row>
    <row r="1432" spans="12:13" ht="13" customHeight="1">
      <c r="L1432" s="1"/>
      <c r="M1432" s="1"/>
    </row>
    <row r="1433" spans="12:13" ht="13" customHeight="1">
      <c r="L1433" s="1"/>
      <c r="M1433" s="1"/>
    </row>
    <row r="1434" spans="12:13" ht="13" customHeight="1">
      <c r="L1434" s="1"/>
      <c r="M1434" s="1"/>
    </row>
    <row r="1435" spans="12:13" ht="13" customHeight="1">
      <c r="L1435" s="1"/>
      <c r="M1435" s="1"/>
    </row>
    <row r="1436" spans="12:13" ht="13" customHeight="1">
      <c r="L1436" s="1"/>
      <c r="M1436" s="1"/>
    </row>
    <row r="1437" spans="12:13" ht="13" customHeight="1">
      <c r="L1437" s="1"/>
      <c r="M1437" s="1"/>
    </row>
    <row r="1438" spans="12:13" ht="13" customHeight="1">
      <c r="L1438" s="1"/>
      <c r="M1438" s="1"/>
    </row>
    <row r="1439" spans="12:13" ht="13" customHeight="1">
      <c r="L1439" s="1"/>
      <c r="M1439" s="1"/>
    </row>
    <row r="1440" spans="12:13" ht="13" customHeight="1">
      <c r="L1440" s="1"/>
      <c r="M1440" s="1"/>
    </row>
    <row r="1441" spans="12:13" ht="13" customHeight="1">
      <c r="L1441" s="1"/>
      <c r="M1441" s="1"/>
    </row>
    <row r="1442" spans="12:13" ht="13" customHeight="1">
      <c r="L1442" s="1"/>
      <c r="M1442" s="1"/>
    </row>
    <row r="1443" spans="12:13" ht="13" customHeight="1">
      <c r="L1443" s="1"/>
      <c r="M1443" s="1"/>
    </row>
    <row r="1444" spans="12:13" ht="13" customHeight="1">
      <c r="L1444" s="1"/>
      <c r="M1444" s="1"/>
    </row>
    <row r="1445" spans="12:13" ht="13" customHeight="1">
      <c r="L1445" s="1"/>
      <c r="M1445" s="1"/>
    </row>
    <row r="1446" spans="12:13" ht="13" customHeight="1">
      <c r="L1446" s="1"/>
      <c r="M1446" s="1"/>
    </row>
    <row r="1447" spans="12:13" ht="13" customHeight="1">
      <c r="L1447" s="1"/>
      <c r="M1447" s="1"/>
    </row>
    <row r="1448" spans="12:13" ht="13" customHeight="1">
      <c r="L1448" s="1"/>
      <c r="M1448" s="1"/>
    </row>
    <row r="1449" spans="12:13" ht="13" customHeight="1">
      <c r="L1449" s="1"/>
      <c r="M1449" s="1"/>
    </row>
    <row r="1450" spans="12:13" ht="13" customHeight="1">
      <c r="L1450" s="1"/>
      <c r="M1450" s="1"/>
    </row>
    <row r="1451" spans="12:13" ht="13" customHeight="1">
      <c r="L1451" s="1"/>
      <c r="M1451" s="1"/>
    </row>
    <row r="1452" spans="12:13" ht="13" customHeight="1">
      <c r="L1452" s="1"/>
      <c r="M1452" s="1"/>
    </row>
    <row r="1453" spans="12:13" ht="13" customHeight="1">
      <c r="L1453" s="1"/>
      <c r="M1453" s="1"/>
    </row>
    <row r="1454" spans="12:13" ht="13" customHeight="1">
      <c r="L1454" s="1"/>
      <c r="M1454" s="1"/>
    </row>
    <row r="1455" spans="12:13" ht="13" customHeight="1">
      <c r="L1455" s="1"/>
      <c r="M1455" s="1"/>
    </row>
    <row r="1456" spans="12:13" ht="13" customHeight="1">
      <c r="L1456" s="1"/>
      <c r="M1456" s="1"/>
    </row>
    <row r="1457" spans="12:13" ht="13" customHeight="1">
      <c r="L1457" s="1"/>
      <c r="M1457" s="1"/>
    </row>
    <row r="1458" spans="12:13" ht="13" customHeight="1">
      <c r="L1458" s="1"/>
      <c r="M1458" s="1"/>
    </row>
    <row r="1459" spans="12:13" ht="13" customHeight="1">
      <c r="L1459" s="1"/>
      <c r="M1459" s="1"/>
    </row>
    <row r="1460" spans="12:13" ht="13" customHeight="1">
      <c r="L1460" s="1"/>
      <c r="M1460" s="1"/>
    </row>
    <row r="1461" spans="12:13" ht="13" customHeight="1">
      <c r="L1461" s="1"/>
      <c r="M1461" s="1"/>
    </row>
    <row r="1462" spans="12:13" ht="13" customHeight="1">
      <c r="L1462" s="1"/>
      <c r="M1462" s="1"/>
    </row>
    <row r="1463" spans="12:13" ht="13" customHeight="1">
      <c r="L1463" s="1"/>
      <c r="M1463" s="1"/>
    </row>
    <row r="1464" spans="12:13" ht="13" customHeight="1">
      <c r="L1464" s="1"/>
      <c r="M1464" s="1"/>
    </row>
    <row r="1465" spans="12:13" ht="13" customHeight="1">
      <c r="L1465" s="1"/>
      <c r="M1465" s="1"/>
    </row>
    <row r="1466" spans="12:13" ht="13" customHeight="1">
      <c r="L1466" s="1"/>
      <c r="M1466" s="1"/>
    </row>
    <row r="1467" spans="12:13" ht="13" customHeight="1">
      <c r="L1467" s="1"/>
      <c r="M1467" s="1"/>
    </row>
    <row r="1468" spans="12:13" ht="13" customHeight="1">
      <c r="L1468" s="1"/>
      <c r="M1468" s="1"/>
    </row>
    <row r="1469" spans="12:13" ht="13" customHeight="1">
      <c r="L1469" s="1"/>
      <c r="M1469" s="1"/>
    </row>
    <row r="1470" spans="12:13" ht="13" customHeight="1">
      <c r="L1470" s="1"/>
      <c r="M1470" s="1"/>
    </row>
    <row r="1471" spans="12:13" ht="13" customHeight="1">
      <c r="L1471" s="1"/>
      <c r="M1471" s="1"/>
    </row>
    <row r="1472" spans="12:13" ht="13" customHeight="1">
      <c r="L1472" s="1"/>
      <c r="M1472" s="1"/>
    </row>
    <row r="1473" spans="12:13" ht="13" customHeight="1">
      <c r="L1473" s="1"/>
      <c r="M1473" s="1"/>
    </row>
    <row r="1474" spans="12:13" ht="13" customHeight="1">
      <c r="L1474" s="1"/>
      <c r="M1474" s="1"/>
    </row>
    <row r="1475" spans="12:13" ht="13" customHeight="1">
      <c r="L1475" s="1"/>
      <c r="M1475" s="1"/>
    </row>
    <row r="1476" spans="12:13" ht="13" customHeight="1">
      <c r="L1476" s="1"/>
      <c r="M1476" s="1"/>
    </row>
    <row r="1477" spans="12:13" ht="13" customHeight="1">
      <c r="L1477" s="1"/>
      <c r="M1477" s="1"/>
    </row>
    <row r="1478" spans="12:13" ht="13" customHeight="1">
      <c r="L1478" s="1"/>
      <c r="M1478" s="1"/>
    </row>
    <row r="1479" spans="12:13" ht="13" customHeight="1">
      <c r="L1479" s="1"/>
      <c r="M1479" s="1"/>
    </row>
    <row r="1480" spans="12:13" ht="13" customHeight="1">
      <c r="L1480" s="1"/>
      <c r="M1480" s="1"/>
    </row>
    <row r="1481" spans="12:13" ht="13" customHeight="1">
      <c r="L1481" s="1"/>
      <c r="M1481" s="1"/>
    </row>
    <row r="1482" spans="12:13" ht="13" customHeight="1">
      <c r="L1482" s="1"/>
      <c r="M1482" s="1"/>
    </row>
    <row r="1483" spans="12:13" ht="13" customHeight="1">
      <c r="L1483" s="1"/>
      <c r="M1483" s="1"/>
    </row>
    <row r="1484" spans="12:13" ht="13" customHeight="1">
      <c r="L1484" s="1"/>
      <c r="M1484" s="1"/>
    </row>
    <row r="1485" spans="12:13" ht="13" customHeight="1">
      <c r="L1485" s="1"/>
      <c r="M1485" s="1"/>
    </row>
    <row r="1486" spans="12:13" ht="13" customHeight="1">
      <c r="L1486" s="1"/>
      <c r="M1486" s="1"/>
    </row>
    <row r="1487" spans="12:13" ht="13" customHeight="1">
      <c r="L1487" s="1"/>
      <c r="M1487" s="1"/>
    </row>
    <row r="1488" spans="12:13" ht="13" customHeight="1">
      <c r="L1488" s="1"/>
      <c r="M1488" s="1"/>
    </row>
    <row r="1489" spans="12:13" ht="13" customHeight="1">
      <c r="L1489" s="1"/>
      <c r="M1489" s="1"/>
    </row>
    <row r="1490" spans="12:13" ht="13" customHeight="1">
      <c r="L1490" s="1"/>
      <c r="M1490" s="1"/>
    </row>
    <row r="1491" spans="12:13" ht="13" customHeight="1">
      <c r="L1491" s="1"/>
      <c r="M1491" s="1"/>
    </row>
    <row r="1492" spans="12:13" ht="13" customHeight="1">
      <c r="L1492" s="1"/>
      <c r="M1492" s="1"/>
    </row>
    <row r="1493" spans="12:13" ht="13" customHeight="1">
      <c r="L1493" s="1"/>
      <c r="M1493" s="1"/>
    </row>
    <row r="1494" spans="12:13" ht="13" customHeight="1">
      <c r="L1494" s="1"/>
      <c r="M1494" s="1"/>
    </row>
    <row r="1495" spans="12:13" ht="13" customHeight="1">
      <c r="L1495" s="1"/>
      <c r="M1495" s="1"/>
    </row>
    <row r="1496" spans="12:13" ht="13" customHeight="1">
      <c r="L1496" s="1"/>
      <c r="M1496" s="1"/>
    </row>
    <row r="1497" spans="12:13" ht="13" customHeight="1">
      <c r="L1497" s="1"/>
      <c r="M1497" s="1"/>
    </row>
    <row r="1498" spans="12:13" ht="13" customHeight="1">
      <c r="L1498" s="1"/>
      <c r="M1498" s="1"/>
    </row>
    <row r="1499" spans="12:13" ht="13" customHeight="1">
      <c r="L1499" s="1"/>
      <c r="M1499" s="1"/>
    </row>
    <row r="1500" spans="12:13" ht="13" customHeight="1">
      <c r="L1500" s="1"/>
      <c r="M1500" s="1"/>
    </row>
    <row r="1501" spans="12:13" ht="13" customHeight="1">
      <c r="L1501" s="1"/>
      <c r="M1501" s="1"/>
    </row>
    <row r="1502" spans="12:13" ht="13" customHeight="1">
      <c r="L1502" s="1"/>
      <c r="M1502" s="1"/>
    </row>
    <row r="1503" spans="12:13" ht="13" customHeight="1">
      <c r="L1503" s="1"/>
      <c r="M1503" s="1"/>
    </row>
    <row r="1504" spans="12:13" ht="13" customHeight="1">
      <c r="L1504" s="1"/>
      <c r="M1504" s="1"/>
    </row>
    <row r="1505" spans="12:13" ht="13" customHeight="1">
      <c r="L1505" s="1"/>
      <c r="M1505" s="1"/>
    </row>
    <row r="1506" spans="12:13" ht="13" customHeight="1">
      <c r="L1506" s="1"/>
      <c r="M1506" s="1"/>
    </row>
    <row r="1507" spans="12:13" ht="13" customHeight="1">
      <c r="L1507" s="1"/>
      <c r="M1507" s="1"/>
    </row>
    <row r="1508" spans="12:13" ht="13" customHeight="1">
      <c r="L1508" s="1"/>
      <c r="M1508" s="1"/>
    </row>
    <row r="1509" spans="12:13" ht="13" customHeight="1">
      <c r="L1509" s="1"/>
      <c r="M1509" s="1"/>
    </row>
    <row r="1510" spans="12:13" ht="13" customHeight="1">
      <c r="L1510" s="1"/>
      <c r="M1510" s="1"/>
    </row>
    <row r="1511" spans="12:13" ht="13" customHeight="1">
      <c r="L1511" s="1"/>
      <c r="M1511" s="1"/>
    </row>
    <row r="1512" spans="12:13" ht="13" customHeight="1">
      <c r="L1512" s="1"/>
      <c r="M1512" s="1"/>
    </row>
    <row r="1513" spans="12:13" ht="13" customHeight="1">
      <c r="L1513" s="1"/>
      <c r="M1513" s="1"/>
    </row>
    <row r="1514" spans="12:13" ht="13" customHeight="1">
      <c r="L1514" s="1"/>
      <c r="M1514" s="1"/>
    </row>
    <row r="1515" spans="12:13" ht="13" customHeight="1">
      <c r="L1515" s="1"/>
      <c r="M1515" s="1"/>
    </row>
    <row r="1516" spans="12:13" ht="13" customHeight="1">
      <c r="L1516" s="1"/>
      <c r="M1516" s="1"/>
    </row>
    <row r="1517" spans="12:13" ht="13" customHeight="1">
      <c r="L1517" s="1"/>
      <c r="M1517" s="1"/>
    </row>
    <row r="1518" spans="12:13" ht="13" customHeight="1">
      <c r="L1518" s="1"/>
      <c r="M1518" s="1"/>
    </row>
    <row r="1519" spans="12:13" ht="13" customHeight="1">
      <c r="L1519" s="1"/>
      <c r="M1519" s="1"/>
    </row>
    <row r="1520" spans="12:13" ht="13" customHeight="1">
      <c r="L1520" s="1"/>
      <c r="M1520" s="1"/>
    </row>
    <row r="1521" spans="12:13" ht="13" customHeight="1">
      <c r="L1521" s="1"/>
      <c r="M1521" s="1"/>
    </row>
    <row r="1522" spans="12:13" ht="13" customHeight="1">
      <c r="L1522" s="1"/>
      <c r="M1522" s="1"/>
    </row>
    <row r="1523" spans="12:13" ht="13" customHeight="1">
      <c r="L1523" s="1"/>
      <c r="M1523" s="1"/>
    </row>
    <row r="1524" spans="12:13" ht="13" customHeight="1">
      <c r="L1524" s="1"/>
      <c r="M1524" s="1"/>
    </row>
    <row r="1525" spans="12:13" ht="13" customHeight="1">
      <c r="L1525" s="1"/>
      <c r="M1525" s="1"/>
    </row>
    <row r="1526" spans="12:13" ht="13" customHeight="1">
      <c r="L1526" s="1"/>
      <c r="M1526" s="1"/>
    </row>
    <row r="1527" spans="12:13" ht="13" customHeight="1">
      <c r="L1527" s="1"/>
      <c r="M1527" s="1"/>
    </row>
    <row r="1528" spans="12:13" ht="13" customHeight="1">
      <c r="L1528" s="1"/>
      <c r="M1528" s="1"/>
    </row>
    <row r="1529" spans="12:13" ht="13" customHeight="1">
      <c r="L1529" s="1"/>
      <c r="M1529" s="1"/>
    </row>
    <row r="1530" spans="12:13" ht="13" customHeight="1">
      <c r="L1530" s="1"/>
      <c r="M1530" s="1"/>
    </row>
    <row r="1531" spans="12:13" ht="13" customHeight="1">
      <c r="L1531" s="1"/>
      <c r="M1531" s="1"/>
    </row>
    <row r="1532" spans="12:13" ht="13" customHeight="1">
      <c r="L1532" s="1"/>
      <c r="M1532" s="1"/>
    </row>
    <row r="1533" spans="12:13" ht="13" customHeight="1">
      <c r="L1533" s="1"/>
      <c r="M1533" s="1"/>
    </row>
    <row r="1534" spans="12:13" ht="13" customHeight="1">
      <c r="L1534" s="1"/>
      <c r="M1534" s="1"/>
    </row>
    <row r="1535" spans="12:13" ht="13" customHeight="1">
      <c r="L1535" s="1"/>
      <c r="M1535" s="1"/>
    </row>
    <row r="1536" spans="12:13" ht="13" customHeight="1">
      <c r="L1536" s="1"/>
      <c r="M1536" s="1"/>
    </row>
    <row r="1537" spans="12:13" ht="13" customHeight="1">
      <c r="L1537" s="1"/>
      <c r="M1537" s="1"/>
    </row>
    <row r="1538" spans="12:13" ht="13" customHeight="1">
      <c r="L1538" s="1"/>
      <c r="M1538" s="1"/>
    </row>
    <row r="1539" spans="12:13" ht="13" customHeight="1">
      <c r="L1539" s="1"/>
      <c r="M1539" s="1"/>
    </row>
    <row r="1540" spans="12:13" ht="13" customHeight="1">
      <c r="L1540" s="1"/>
      <c r="M1540" s="1"/>
    </row>
    <row r="1541" spans="12:13" ht="13" customHeight="1">
      <c r="L1541" s="1"/>
      <c r="M1541" s="1"/>
    </row>
    <row r="1542" spans="12:13" ht="13" customHeight="1">
      <c r="L1542" s="1"/>
      <c r="M1542" s="1"/>
    </row>
    <row r="1543" spans="12:13" ht="13" customHeight="1">
      <c r="L1543" s="1"/>
      <c r="M1543" s="1"/>
    </row>
    <row r="1544" spans="12:13" ht="13" customHeight="1">
      <c r="L1544" s="1"/>
      <c r="M1544" s="1"/>
    </row>
    <row r="1545" spans="12:13" ht="13" customHeight="1">
      <c r="L1545" s="1"/>
      <c r="M1545" s="1"/>
    </row>
    <row r="1546" spans="12:13" ht="13" customHeight="1">
      <c r="L1546" s="1"/>
      <c r="M1546" s="1"/>
    </row>
    <row r="1547" spans="12:13" ht="13" customHeight="1">
      <c r="L1547" s="1"/>
      <c r="M1547" s="1"/>
    </row>
    <row r="1548" spans="12:13" ht="13" customHeight="1">
      <c r="L1548" s="1"/>
      <c r="M1548" s="1"/>
    </row>
    <row r="1549" spans="12:13" ht="13" customHeight="1">
      <c r="L1549" s="1"/>
      <c r="M1549" s="1"/>
    </row>
    <row r="1550" spans="12:13" ht="13" customHeight="1">
      <c r="L1550" s="1"/>
      <c r="M1550" s="1"/>
    </row>
    <row r="1551" spans="12:13" ht="13" customHeight="1">
      <c r="L1551" s="1"/>
      <c r="M1551" s="1"/>
    </row>
    <row r="1552" spans="12:13" ht="13" customHeight="1">
      <c r="L1552" s="1"/>
      <c r="M1552" s="1"/>
    </row>
    <row r="1553" spans="12:13" ht="13" customHeight="1">
      <c r="L1553" s="1"/>
      <c r="M1553" s="1"/>
    </row>
    <row r="1554" spans="12:13" ht="13" customHeight="1">
      <c r="L1554" s="1"/>
      <c r="M1554" s="1"/>
    </row>
    <row r="1555" spans="12:13" ht="13" customHeight="1">
      <c r="L1555" s="1"/>
      <c r="M1555" s="1"/>
    </row>
    <row r="1556" spans="12:13" ht="13" customHeight="1">
      <c r="L1556" s="1"/>
      <c r="M1556" s="1"/>
    </row>
    <row r="1557" spans="12:13" ht="13" customHeight="1">
      <c r="L1557" s="1"/>
      <c r="M1557" s="1"/>
    </row>
    <row r="1558" spans="12:13" ht="13" customHeight="1">
      <c r="L1558" s="1"/>
      <c r="M1558" s="1"/>
    </row>
    <row r="1559" spans="12:13" ht="13" customHeight="1">
      <c r="L1559" s="1"/>
      <c r="M1559" s="1"/>
    </row>
    <row r="1560" spans="12:13" ht="13" customHeight="1">
      <c r="L1560" s="1"/>
      <c r="M1560" s="1"/>
    </row>
    <row r="1561" spans="12:13" ht="13" customHeight="1">
      <c r="L1561" s="1"/>
      <c r="M1561" s="1"/>
    </row>
    <row r="1562" spans="12:13" ht="13" customHeight="1">
      <c r="L1562" s="1"/>
      <c r="M1562" s="1"/>
    </row>
    <row r="1563" spans="12:13" ht="13" customHeight="1">
      <c r="L1563" s="1"/>
      <c r="M1563" s="1"/>
    </row>
    <row r="1564" spans="12:13" ht="13" customHeight="1">
      <c r="L1564" s="1"/>
      <c r="M1564" s="1"/>
    </row>
    <row r="1565" spans="12:13" ht="13" customHeight="1">
      <c r="L1565" s="1"/>
      <c r="M1565" s="1"/>
    </row>
    <row r="1566" spans="12:13" ht="13" customHeight="1">
      <c r="L1566" s="1"/>
      <c r="M1566" s="1"/>
    </row>
    <row r="1567" spans="12:13" ht="13" customHeight="1">
      <c r="L1567" s="1"/>
      <c r="M1567" s="1"/>
    </row>
    <row r="1568" spans="12:13" ht="13" customHeight="1">
      <c r="L1568" s="1"/>
      <c r="M1568" s="1"/>
    </row>
    <row r="1569" spans="12:13" ht="13" customHeight="1">
      <c r="L1569" s="1"/>
      <c r="M1569" s="1"/>
    </row>
    <row r="1570" spans="12:13" ht="13" customHeight="1">
      <c r="L1570" s="1"/>
      <c r="M1570" s="1"/>
    </row>
    <row r="1571" spans="12:13" ht="13" customHeight="1">
      <c r="L1571" s="1"/>
      <c r="M1571" s="1"/>
    </row>
    <row r="1572" spans="12:13" ht="13" customHeight="1">
      <c r="L1572" s="1"/>
      <c r="M1572" s="1"/>
    </row>
    <row r="1573" spans="12:13" ht="13" customHeight="1">
      <c r="L1573" s="1"/>
      <c r="M1573" s="1"/>
    </row>
    <row r="1574" spans="12:13" ht="13" customHeight="1">
      <c r="L1574" s="1"/>
      <c r="M1574" s="1"/>
    </row>
    <row r="1575" spans="12:13" ht="13" customHeight="1">
      <c r="L1575" s="1"/>
      <c r="M1575" s="1"/>
    </row>
    <row r="1576" spans="12:13" ht="13" customHeight="1">
      <c r="L1576" s="1"/>
      <c r="M1576" s="1"/>
    </row>
    <row r="1577" spans="12:13" ht="13" customHeight="1">
      <c r="L1577" s="1"/>
      <c r="M1577" s="1"/>
    </row>
    <row r="1578" spans="12:13" ht="13" customHeight="1">
      <c r="L1578" s="1"/>
      <c r="M1578" s="1"/>
    </row>
    <row r="1579" spans="12:13" ht="13" customHeight="1">
      <c r="L1579" s="1"/>
      <c r="M1579" s="1"/>
    </row>
    <row r="1580" spans="12:13" ht="13" customHeight="1">
      <c r="L1580" s="1"/>
      <c r="M1580" s="1"/>
    </row>
    <row r="1581" spans="12:13" ht="13" customHeight="1">
      <c r="L1581" s="1"/>
      <c r="M1581" s="1"/>
    </row>
    <row r="1582" spans="12:13" ht="13" customHeight="1">
      <c r="L1582" s="1"/>
      <c r="M1582" s="1"/>
    </row>
    <row r="1583" spans="12:13" ht="13" customHeight="1">
      <c r="L1583" s="1"/>
      <c r="M1583" s="1"/>
    </row>
    <row r="1584" spans="12:13" ht="13" customHeight="1">
      <c r="L1584" s="1"/>
      <c r="M1584" s="1"/>
    </row>
    <row r="1585" spans="12:13" ht="13" customHeight="1">
      <c r="L1585" s="1"/>
      <c r="M1585" s="1"/>
    </row>
    <row r="1586" spans="12:13" ht="13" customHeight="1">
      <c r="L1586" s="1"/>
      <c r="M1586" s="1"/>
    </row>
    <row r="1587" spans="12:13" ht="13" customHeight="1">
      <c r="L1587" s="1"/>
      <c r="M1587" s="1"/>
    </row>
    <row r="1588" spans="12:13" ht="13" customHeight="1">
      <c r="L1588" s="1"/>
      <c r="M1588" s="1"/>
    </row>
    <row r="1589" spans="12:13" ht="13" customHeight="1">
      <c r="L1589" s="1"/>
      <c r="M1589" s="1"/>
    </row>
    <row r="1590" spans="12:13" ht="13" customHeight="1">
      <c r="L1590" s="1"/>
      <c r="M1590" s="1"/>
    </row>
    <row r="1591" spans="12:13" ht="13" customHeight="1">
      <c r="L1591" s="1"/>
      <c r="M1591" s="1"/>
    </row>
    <row r="1592" spans="12:13" ht="13" customHeight="1">
      <c r="L1592" s="1"/>
      <c r="M1592" s="1"/>
    </row>
    <row r="1593" spans="12:13" ht="13" customHeight="1">
      <c r="L1593" s="1"/>
      <c r="M1593" s="1"/>
    </row>
    <row r="1594" spans="12:13" ht="13" customHeight="1">
      <c r="L1594" s="1"/>
      <c r="M1594" s="1"/>
    </row>
    <row r="1595" spans="12:13" ht="13" customHeight="1">
      <c r="L1595" s="1"/>
      <c r="M1595" s="1"/>
    </row>
    <row r="1596" spans="12:13" ht="13" customHeight="1">
      <c r="L1596" s="1"/>
      <c r="M1596" s="1"/>
    </row>
    <row r="1597" spans="12:13" ht="13" customHeight="1">
      <c r="L1597" s="1"/>
      <c r="M1597" s="1"/>
    </row>
    <row r="1598" spans="12:13" ht="13" customHeight="1">
      <c r="L1598" s="1"/>
      <c r="M1598" s="1"/>
    </row>
    <row r="1599" spans="12:13" ht="13" customHeight="1">
      <c r="L1599" s="1"/>
      <c r="M1599" s="1"/>
    </row>
    <row r="1600" spans="12:13" ht="13" customHeight="1">
      <c r="L1600" s="1"/>
      <c r="M1600" s="1"/>
    </row>
    <row r="1601" spans="12:13" ht="13" customHeight="1">
      <c r="L1601" s="1"/>
      <c r="M1601" s="1"/>
    </row>
    <row r="1602" spans="12:13" ht="13" customHeight="1">
      <c r="L1602" s="1"/>
      <c r="M1602" s="1"/>
    </row>
    <row r="1603" spans="12:13" ht="13" customHeight="1">
      <c r="L1603" s="1"/>
      <c r="M1603" s="1"/>
    </row>
    <row r="1604" spans="12:13" ht="13" customHeight="1">
      <c r="L1604" s="1"/>
      <c r="M1604" s="1"/>
    </row>
    <row r="1605" spans="12:13" ht="13" customHeight="1">
      <c r="L1605" s="1"/>
      <c r="M1605" s="1"/>
    </row>
    <row r="1606" spans="12:13" ht="13" customHeight="1">
      <c r="L1606" s="1"/>
      <c r="M1606" s="1"/>
    </row>
    <row r="1607" spans="12:13" ht="13" customHeight="1">
      <c r="L1607" s="1"/>
      <c r="M1607" s="1"/>
    </row>
    <row r="1608" spans="12:13" ht="13" customHeight="1">
      <c r="L1608" s="1"/>
      <c r="M1608" s="1"/>
    </row>
    <row r="1609" spans="12:13" ht="13" customHeight="1">
      <c r="L1609" s="1"/>
      <c r="M1609" s="1"/>
    </row>
    <row r="1610" spans="12:13" ht="13" customHeight="1">
      <c r="L1610" s="1"/>
      <c r="M1610" s="1"/>
    </row>
    <row r="1611" spans="12:13" ht="13" customHeight="1">
      <c r="L1611" s="1"/>
      <c r="M1611" s="1"/>
    </row>
    <row r="1612" spans="12:13" ht="13" customHeight="1">
      <c r="L1612" s="1"/>
      <c r="M1612" s="1"/>
    </row>
    <row r="1613" spans="12:13" ht="13" customHeight="1">
      <c r="L1613" s="1"/>
      <c r="M1613" s="1"/>
    </row>
    <row r="1614" spans="12:13" ht="13" customHeight="1">
      <c r="L1614" s="1"/>
      <c r="M1614" s="1"/>
    </row>
    <row r="1615" spans="12:13" ht="13" customHeight="1">
      <c r="L1615" s="1"/>
      <c r="M1615" s="1"/>
    </row>
    <row r="1616" spans="12:13" ht="13" customHeight="1">
      <c r="L1616" s="1"/>
      <c r="M1616" s="1"/>
    </row>
    <row r="1617" spans="12:13" ht="13" customHeight="1">
      <c r="L1617" s="1"/>
      <c r="M1617" s="1"/>
    </row>
    <row r="1618" spans="12:13" ht="13" customHeight="1">
      <c r="L1618" s="1"/>
      <c r="M1618" s="1"/>
    </row>
    <row r="1619" spans="12:13" ht="13" customHeight="1">
      <c r="L1619" s="1"/>
      <c r="M1619" s="1"/>
    </row>
    <row r="1620" spans="12:13" ht="13" customHeight="1">
      <c r="L1620" s="1"/>
      <c r="M1620" s="1"/>
    </row>
    <row r="1621" spans="12:13" ht="13" customHeight="1">
      <c r="L1621" s="1"/>
      <c r="M1621" s="1"/>
    </row>
    <row r="1622" spans="12:13" ht="13" customHeight="1">
      <c r="L1622" s="1"/>
      <c r="M1622" s="1"/>
    </row>
    <row r="1623" spans="12:13" ht="13" customHeight="1">
      <c r="L1623" s="1"/>
      <c r="M1623" s="1"/>
    </row>
    <row r="1624" spans="12:13" ht="13" customHeight="1">
      <c r="L1624" s="1"/>
      <c r="M1624" s="1"/>
    </row>
    <row r="1625" spans="12:13" ht="13" customHeight="1">
      <c r="L1625" s="1"/>
      <c r="M1625" s="1"/>
    </row>
    <row r="1626" spans="12:13" ht="13" customHeight="1">
      <c r="L1626" s="1"/>
      <c r="M1626" s="1"/>
    </row>
    <row r="1627" spans="12:13" ht="13" customHeight="1">
      <c r="L1627" s="1"/>
      <c r="M1627" s="1"/>
    </row>
    <row r="1628" spans="12:13" ht="13" customHeight="1">
      <c r="L1628" s="1"/>
      <c r="M1628" s="1"/>
    </row>
    <row r="1629" spans="12:13" ht="13" customHeight="1">
      <c r="L1629" s="1"/>
      <c r="M1629" s="1"/>
    </row>
    <row r="1630" spans="12:13" ht="13" customHeight="1">
      <c r="L1630" s="1"/>
      <c r="M1630" s="1"/>
    </row>
    <row r="1631" spans="12:13" ht="13" customHeight="1">
      <c r="L1631" s="1"/>
      <c r="M1631" s="1"/>
    </row>
    <row r="1632" spans="12:13" ht="13" customHeight="1">
      <c r="L1632" s="1"/>
      <c r="M1632" s="1"/>
    </row>
    <row r="1633" spans="12:13" ht="13" customHeight="1">
      <c r="L1633" s="1"/>
      <c r="M1633" s="1"/>
    </row>
    <row r="1634" spans="12:13" ht="13" customHeight="1">
      <c r="L1634" s="1"/>
      <c r="M1634" s="1"/>
    </row>
    <row r="1635" spans="12:13" ht="13" customHeight="1">
      <c r="L1635" s="1"/>
      <c r="M1635" s="1"/>
    </row>
    <row r="1636" spans="12:13" ht="13" customHeight="1">
      <c r="L1636" s="1"/>
      <c r="M1636" s="1"/>
    </row>
    <row r="1637" spans="12:13" ht="13" customHeight="1">
      <c r="L1637" s="1"/>
      <c r="M1637" s="1"/>
    </row>
    <row r="1638" spans="12:13" ht="13" customHeight="1">
      <c r="L1638" s="1"/>
      <c r="M1638" s="1"/>
    </row>
    <row r="1639" spans="12:13" ht="13" customHeight="1">
      <c r="L1639" s="1"/>
      <c r="M1639" s="1"/>
    </row>
    <row r="1640" spans="12:13" ht="13" customHeight="1">
      <c r="L1640" s="1"/>
      <c r="M1640" s="1"/>
    </row>
    <row r="1641" spans="12:13" ht="13" customHeight="1">
      <c r="L1641" s="1"/>
      <c r="M1641" s="1"/>
    </row>
    <row r="1642" spans="12:13" ht="13" customHeight="1">
      <c r="L1642" s="1"/>
      <c r="M1642" s="1"/>
    </row>
    <row r="1643" spans="12:13" ht="13" customHeight="1">
      <c r="L1643" s="1"/>
      <c r="M1643" s="1"/>
    </row>
    <row r="1644" spans="12:13" ht="13" customHeight="1">
      <c r="L1644" s="1"/>
      <c r="M1644" s="1"/>
    </row>
    <row r="1645" spans="12:13" ht="13" customHeight="1">
      <c r="L1645" s="1"/>
      <c r="M1645" s="1"/>
    </row>
    <row r="1646" spans="12:13" ht="13" customHeight="1">
      <c r="L1646" s="1"/>
      <c r="M1646" s="1"/>
    </row>
    <row r="1647" spans="12:13" ht="13" customHeight="1">
      <c r="L1647" s="1"/>
      <c r="M1647" s="1"/>
    </row>
    <row r="1648" spans="12:13" ht="13" customHeight="1">
      <c r="L1648" s="1"/>
      <c r="M1648" s="1"/>
    </row>
    <row r="1649" spans="12:13" ht="13" customHeight="1">
      <c r="L1649" s="1"/>
      <c r="M1649" s="1"/>
    </row>
    <row r="1650" spans="12:13" ht="13" customHeight="1">
      <c r="L1650" s="1"/>
      <c r="M1650" s="1"/>
    </row>
    <row r="1651" spans="12:13" ht="13" customHeight="1">
      <c r="L1651" s="1"/>
      <c r="M1651" s="1"/>
    </row>
    <row r="1652" spans="12:13" ht="13" customHeight="1">
      <c r="L1652" s="1"/>
      <c r="M1652" s="1"/>
    </row>
    <row r="1653" spans="12:13" ht="13" customHeight="1">
      <c r="L1653" s="1"/>
      <c r="M1653" s="1"/>
    </row>
    <row r="1654" spans="12:13" ht="13" customHeight="1">
      <c r="L1654" s="1"/>
      <c r="M1654" s="1"/>
    </row>
    <row r="1655" spans="12:13" ht="13" customHeight="1">
      <c r="L1655" s="1"/>
      <c r="M1655" s="1"/>
    </row>
    <row r="1656" spans="12:13" ht="13" customHeight="1">
      <c r="L1656" s="1"/>
      <c r="M1656" s="1"/>
    </row>
    <row r="1657" spans="12:13" ht="13" customHeight="1">
      <c r="L1657" s="1"/>
      <c r="M1657" s="1"/>
    </row>
    <row r="1658" spans="12:13" ht="13" customHeight="1">
      <c r="L1658" s="1"/>
      <c r="M1658" s="1"/>
    </row>
    <row r="1659" spans="12:13" ht="13" customHeight="1">
      <c r="L1659" s="1"/>
      <c r="M1659" s="1"/>
    </row>
    <row r="1660" spans="12:13" ht="13" customHeight="1">
      <c r="L1660" s="1"/>
      <c r="M1660" s="1"/>
    </row>
    <row r="1661" spans="12:13" ht="13" customHeight="1">
      <c r="L1661" s="1"/>
      <c r="M1661" s="1"/>
    </row>
    <row r="1662" spans="12:13" ht="13" customHeight="1">
      <c r="L1662" s="1"/>
      <c r="M1662" s="1"/>
    </row>
    <row r="1663" spans="12:13" ht="13" customHeight="1">
      <c r="L1663" s="1"/>
      <c r="M1663" s="1"/>
    </row>
    <row r="1664" spans="12:13" ht="13" customHeight="1">
      <c r="L1664" s="1"/>
      <c r="M1664" s="1"/>
    </row>
    <row r="1665" spans="12:13" ht="13" customHeight="1">
      <c r="L1665" s="1"/>
      <c r="M1665" s="1"/>
    </row>
    <row r="1666" spans="12:13" ht="13" customHeight="1">
      <c r="L1666" s="1"/>
      <c r="M1666" s="1"/>
    </row>
    <row r="1667" spans="12:13" ht="13" customHeight="1">
      <c r="L1667" s="1"/>
      <c r="M1667" s="1"/>
    </row>
    <row r="1668" spans="12:13" ht="13" customHeight="1">
      <c r="L1668" s="1"/>
      <c r="M1668" s="1"/>
    </row>
    <row r="1669" spans="12:13" ht="13" customHeight="1">
      <c r="L1669" s="1"/>
      <c r="M1669" s="1"/>
    </row>
    <row r="1670" spans="12:13" ht="13" customHeight="1">
      <c r="L1670" s="1"/>
      <c r="M1670" s="1"/>
    </row>
    <row r="1671" spans="12:13" ht="13" customHeight="1">
      <c r="L1671" s="1"/>
      <c r="M1671" s="1"/>
    </row>
    <row r="1672" spans="12:13" ht="13" customHeight="1">
      <c r="L1672" s="1"/>
      <c r="M1672" s="1"/>
    </row>
    <row r="1673" spans="12:13" ht="13" customHeight="1">
      <c r="L1673" s="1"/>
      <c r="M1673" s="1"/>
    </row>
    <row r="1674" spans="12:13" ht="13" customHeight="1">
      <c r="L1674" s="1"/>
      <c r="M1674" s="1"/>
    </row>
    <row r="1675" spans="12:13" ht="13" customHeight="1">
      <c r="L1675" s="1"/>
      <c r="M1675" s="1"/>
    </row>
    <row r="1676" spans="12:13" ht="13" customHeight="1">
      <c r="L1676" s="1"/>
      <c r="M1676" s="1"/>
    </row>
    <row r="1677" spans="12:13" ht="13" customHeight="1">
      <c r="L1677" s="1"/>
      <c r="M1677" s="1"/>
    </row>
    <row r="1678" spans="12:13" ht="13" customHeight="1">
      <c r="L1678" s="1"/>
      <c r="M1678" s="1"/>
    </row>
    <row r="1679" spans="12:13" ht="13" customHeight="1">
      <c r="L1679" s="1"/>
      <c r="M1679" s="1"/>
    </row>
    <row r="1680" spans="12:13" ht="13" customHeight="1">
      <c r="L1680" s="1"/>
      <c r="M1680" s="1"/>
    </row>
    <row r="1681" spans="12:13" ht="13" customHeight="1">
      <c r="L1681" s="1"/>
      <c r="M1681" s="1"/>
    </row>
    <row r="1682" spans="12:13" ht="13" customHeight="1">
      <c r="L1682" s="1"/>
      <c r="M1682" s="1"/>
    </row>
    <row r="1683" spans="12:13" ht="13" customHeight="1">
      <c r="L1683" s="1"/>
      <c r="M1683" s="1"/>
    </row>
    <row r="1684" spans="12:13" ht="13" customHeight="1">
      <c r="L1684" s="1"/>
      <c r="M1684" s="1"/>
    </row>
    <row r="1685" spans="12:13" ht="13" customHeight="1">
      <c r="L1685" s="1"/>
      <c r="M1685" s="1"/>
    </row>
    <row r="1686" spans="12:13" ht="13" customHeight="1">
      <c r="L1686" s="1"/>
      <c r="M1686" s="1"/>
    </row>
    <row r="1687" spans="12:13" ht="13" customHeight="1">
      <c r="L1687" s="1"/>
      <c r="M1687" s="1"/>
    </row>
    <row r="1688" spans="12:13" ht="13" customHeight="1">
      <c r="L1688" s="1"/>
      <c r="M1688" s="1"/>
    </row>
    <row r="1689" spans="12:13" ht="13" customHeight="1">
      <c r="L1689" s="1"/>
      <c r="M1689" s="1"/>
    </row>
    <row r="1690" spans="12:13" ht="13" customHeight="1">
      <c r="L1690" s="1"/>
      <c r="M1690" s="1"/>
    </row>
    <row r="1691" spans="12:13" ht="13" customHeight="1">
      <c r="L1691" s="1"/>
      <c r="M1691" s="1"/>
    </row>
    <row r="1692" spans="12:13" ht="13" customHeight="1">
      <c r="L1692" s="1"/>
      <c r="M1692" s="1"/>
    </row>
    <row r="1693" spans="12:13" ht="13" customHeight="1">
      <c r="L1693" s="1"/>
      <c r="M1693" s="1"/>
    </row>
    <row r="1694" spans="12:13" ht="13" customHeight="1">
      <c r="L1694" s="1"/>
      <c r="M1694" s="1"/>
    </row>
    <row r="1695" spans="12:13" ht="13" customHeight="1">
      <c r="L1695" s="1"/>
      <c r="M1695" s="1"/>
    </row>
    <row r="1696" spans="12:13" ht="13" customHeight="1">
      <c r="L1696" s="1"/>
      <c r="M1696" s="1"/>
    </row>
    <row r="1697" spans="12:13" ht="13" customHeight="1">
      <c r="L1697" s="1"/>
      <c r="M1697" s="1"/>
    </row>
    <row r="1698" spans="12:13" ht="13" customHeight="1">
      <c r="L1698" s="1"/>
      <c r="M1698" s="1"/>
    </row>
    <row r="1699" spans="12:13" ht="13" customHeight="1">
      <c r="L1699" s="1"/>
      <c r="M1699" s="1"/>
    </row>
    <row r="1700" spans="12:13" ht="13" customHeight="1">
      <c r="L1700" s="1"/>
      <c r="M1700" s="1"/>
    </row>
    <row r="1701" spans="12:13" ht="13" customHeight="1">
      <c r="L1701" s="1"/>
      <c r="M1701" s="1"/>
    </row>
    <row r="1702" spans="12:13" ht="13" customHeight="1">
      <c r="L1702" s="1"/>
      <c r="M1702" s="1"/>
    </row>
    <row r="1703" spans="12:13" ht="13" customHeight="1">
      <c r="L1703" s="1"/>
      <c r="M1703" s="1"/>
    </row>
    <row r="1704" spans="12:13" ht="13" customHeight="1">
      <c r="L1704" s="1"/>
      <c r="M1704" s="1"/>
    </row>
    <row r="1705" spans="12:13" ht="13" customHeight="1">
      <c r="L1705" s="1"/>
      <c r="M1705" s="1"/>
    </row>
    <row r="1706" spans="12:13" ht="13" customHeight="1">
      <c r="L1706" s="1"/>
      <c r="M1706" s="1"/>
    </row>
    <row r="1707" spans="12:13" ht="13" customHeight="1">
      <c r="L1707" s="1"/>
      <c r="M1707" s="1"/>
    </row>
    <row r="1708" spans="12:13" ht="13" customHeight="1">
      <c r="L1708" s="1"/>
      <c r="M1708" s="1"/>
    </row>
    <row r="1709" spans="12:13" ht="13" customHeight="1">
      <c r="L1709" s="1"/>
      <c r="M1709" s="1"/>
    </row>
    <row r="1710" spans="12:13" ht="13" customHeight="1">
      <c r="L1710" s="1"/>
      <c r="M1710" s="1"/>
    </row>
    <row r="1711" spans="12:13" ht="13" customHeight="1">
      <c r="L1711" s="1"/>
      <c r="M1711" s="1"/>
    </row>
    <row r="1712" spans="12:13" ht="13" customHeight="1">
      <c r="L1712" s="1"/>
      <c r="M1712" s="1"/>
    </row>
    <row r="1713" spans="12:13" ht="13" customHeight="1">
      <c r="L1713" s="1"/>
      <c r="M1713" s="1"/>
    </row>
    <row r="1714" spans="12:13" ht="13" customHeight="1">
      <c r="L1714" s="1"/>
      <c r="M1714" s="1"/>
    </row>
    <row r="1715" spans="12:13" ht="13" customHeight="1">
      <c r="L1715" s="1"/>
      <c r="M1715" s="1"/>
    </row>
    <row r="1716" spans="12:13" ht="13" customHeight="1">
      <c r="L1716" s="1"/>
      <c r="M1716" s="1"/>
    </row>
    <row r="1717" spans="12:13" ht="13" customHeight="1">
      <c r="L1717" s="1"/>
      <c r="M1717" s="1"/>
    </row>
    <row r="1718" spans="12:13" ht="13" customHeight="1">
      <c r="L1718" s="1"/>
      <c r="M1718" s="1"/>
    </row>
    <row r="1719" spans="12:13" ht="13" customHeight="1">
      <c r="L1719" s="1"/>
      <c r="M1719" s="1"/>
    </row>
    <row r="1720" spans="12:13" ht="13" customHeight="1">
      <c r="L1720" s="1"/>
      <c r="M1720" s="1"/>
    </row>
    <row r="1721" spans="12:13" ht="13" customHeight="1">
      <c r="L1721" s="1"/>
      <c r="M1721" s="1"/>
    </row>
    <row r="1722" spans="12:13" ht="13" customHeight="1">
      <c r="L1722" s="1"/>
      <c r="M1722" s="1"/>
    </row>
    <row r="1723" spans="12:13" ht="13" customHeight="1">
      <c r="L1723" s="1"/>
      <c r="M1723" s="1"/>
    </row>
    <row r="1724" spans="12:13" ht="13" customHeight="1">
      <c r="L1724" s="1"/>
      <c r="M1724" s="1"/>
    </row>
    <row r="1725" spans="12:13" ht="13" customHeight="1">
      <c r="L1725" s="1"/>
      <c r="M1725" s="1"/>
    </row>
    <row r="1726" spans="12:13" ht="13" customHeight="1">
      <c r="L1726" s="1"/>
      <c r="M1726" s="1"/>
    </row>
    <row r="1727" spans="12:13" ht="13" customHeight="1">
      <c r="L1727" s="1"/>
      <c r="M1727" s="1"/>
    </row>
    <row r="1728" spans="12:13" ht="13" customHeight="1">
      <c r="L1728" s="1"/>
      <c r="M1728" s="1"/>
    </row>
    <row r="1729" spans="12:13" ht="13" customHeight="1">
      <c r="L1729" s="1"/>
      <c r="M1729" s="1"/>
    </row>
    <row r="1730" spans="12:13" ht="13" customHeight="1">
      <c r="L1730" s="1"/>
      <c r="M1730" s="1"/>
    </row>
    <row r="1731" spans="12:13" ht="13" customHeight="1">
      <c r="L1731" s="1"/>
      <c r="M1731" s="1"/>
    </row>
    <row r="1732" spans="12:13" ht="13" customHeight="1">
      <c r="L1732" s="1"/>
      <c r="M1732" s="1"/>
    </row>
    <row r="1733" spans="12:13" ht="13" customHeight="1">
      <c r="L1733" s="1"/>
      <c r="M1733" s="1"/>
    </row>
    <row r="1734" spans="12:13" ht="13" customHeight="1">
      <c r="L1734" s="1"/>
      <c r="M1734" s="1"/>
    </row>
    <row r="1735" spans="12:13" ht="13" customHeight="1">
      <c r="L1735" s="1"/>
      <c r="M1735" s="1"/>
    </row>
    <row r="1736" spans="12:13" ht="13" customHeight="1">
      <c r="L1736" s="1"/>
      <c r="M1736" s="1"/>
    </row>
    <row r="1737" spans="12:13" ht="13" customHeight="1">
      <c r="L1737" s="1"/>
      <c r="M1737" s="1"/>
    </row>
    <row r="1738" spans="12:13" ht="13" customHeight="1">
      <c r="L1738" s="1"/>
      <c r="M1738" s="1"/>
    </row>
    <row r="1739" spans="12:13" ht="13" customHeight="1">
      <c r="L1739" s="1"/>
      <c r="M1739" s="1"/>
    </row>
    <row r="1740" spans="12:13" ht="13" customHeight="1">
      <c r="L1740" s="1"/>
      <c r="M1740" s="1"/>
    </row>
    <row r="1741" spans="12:13" ht="13" customHeight="1">
      <c r="L1741" s="1"/>
      <c r="M1741" s="1"/>
    </row>
    <row r="1742" spans="12:13" ht="13" customHeight="1">
      <c r="L1742" s="1"/>
      <c r="M1742" s="1"/>
    </row>
    <row r="1743" spans="12:13" ht="13" customHeight="1">
      <c r="L1743" s="1"/>
      <c r="M1743" s="1"/>
    </row>
    <row r="1744" spans="12:13" ht="13" customHeight="1">
      <c r="L1744" s="1"/>
      <c r="M1744" s="1"/>
    </row>
    <row r="1745" spans="12:13" ht="13" customHeight="1">
      <c r="L1745" s="1"/>
      <c r="M1745" s="1"/>
    </row>
    <row r="1746" spans="12:13" ht="13" customHeight="1">
      <c r="L1746" s="1"/>
      <c r="M1746" s="1"/>
    </row>
    <row r="1747" spans="12:13" ht="13" customHeight="1">
      <c r="L1747" s="1"/>
      <c r="M1747" s="1"/>
    </row>
    <row r="1748" spans="12:13" ht="13" customHeight="1">
      <c r="L1748" s="1"/>
      <c r="M1748" s="1"/>
    </row>
    <row r="1749" spans="12:13" ht="13" customHeight="1">
      <c r="L1749" s="1"/>
      <c r="M1749" s="1"/>
    </row>
    <row r="1750" spans="12:13" ht="13" customHeight="1">
      <c r="L1750" s="1"/>
      <c r="M1750" s="1"/>
    </row>
    <row r="1751" spans="12:13" ht="13" customHeight="1">
      <c r="L1751" s="1"/>
      <c r="M1751" s="1"/>
    </row>
    <row r="1752" spans="12:13" ht="13" customHeight="1">
      <c r="L1752" s="1"/>
      <c r="M1752" s="1"/>
    </row>
    <row r="1753" spans="12:13" ht="13" customHeight="1">
      <c r="L1753" s="1"/>
      <c r="M1753" s="1"/>
    </row>
    <row r="1754" spans="12:13" ht="13" customHeight="1">
      <c r="L1754" s="1"/>
      <c r="M1754" s="1"/>
    </row>
    <row r="1755" spans="12:13" ht="13" customHeight="1">
      <c r="L1755" s="1"/>
      <c r="M1755" s="1"/>
    </row>
    <row r="1756" spans="12:13" ht="13" customHeight="1">
      <c r="L1756" s="1"/>
      <c r="M1756" s="1"/>
    </row>
    <row r="1757" spans="12:13" ht="13" customHeight="1">
      <c r="L1757" s="1"/>
      <c r="M1757" s="1"/>
    </row>
    <row r="1758" spans="12:13" ht="13" customHeight="1">
      <c r="L1758" s="1"/>
      <c r="M1758" s="1"/>
    </row>
    <row r="1759" spans="12:13" ht="13" customHeight="1">
      <c r="L1759" s="1"/>
      <c r="M1759" s="1"/>
    </row>
    <row r="1760" spans="12:13" ht="13" customHeight="1">
      <c r="L1760" s="1"/>
      <c r="M1760" s="1"/>
    </row>
    <row r="1761" spans="12:13" ht="13" customHeight="1">
      <c r="L1761" s="1"/>
      <c r="M1761" s="1"/>
    </row>
    <row r="1762" spans="12:13" ht="13" customHeight="1">
      <c r="L1762" s="1"/>
      <c r="M1762" s="1"/>
    </row>
    <row r="1763" spans="12:13" ht="13" customHeight="1">
      <c r="L1763" s="1"/>
      <c r="M1763" s="1"/>
    </row>
    <row r="1764" spans="12:13" ht="13" customHeight="1">
      <c r="L1764" s="1"/>
      <c r="M1764" s="1"/>
    </row>
    <row r="1765" spans="12:13" ht="13" customHeight="1">
      <c r="L1765" s="1"/>
      <c r="M1765" s="1"/>
    </row>
    <row r="1766" spans="12:13" ht="13" customHeight="1">
      <c r="L1766" s="1"/>
      <c r="M1766" s="1"/>
    </row>
    <row r="1767" spans="12:13" ht="13" customHeight="1">
      <c r="L1767" s="1"/>
      <c r="M1767" s="1"/>
    </row>
    <row r="1768" spans="12:13" ht="13" customHeight="1">
      <c r="L1768" s="1"/>
      <c r="M1768" s="1"/>
    </row>
    <row r="1769" spans="12:13" ht="13" customHeight="1">
      <c r="L1769" s="1"/>
      <c r="M1769" s="1"/>
    </row>
    <row r="1770" spans="12:13" ht="13" customHeight="1">
      <c r="L1770" s="1"/>
      <c r="M1770" s="1"/>
    </row>
    <row r="1771" spans="12:13" ht="13" customHeight="1">
      <c r="L1771" s="1"/>
      <c r="M1771" s="1"/>
    </row>
    <row r="1772" spans="12:13" ht="13" customHeight="1">
      <c r="L1772" s="1"/>
      <c r="M1772" s="1"/>
    </row>
    <row r="1773" spans="12:13" ht="13" customHeight="1">
      <c r="L1773" s="1"/>
      <c r="M1773" s="1"/>
    </row>
    <row r="1774" spans="12:13" ht="13" customHeight="1">
      <c r="L1774" s="1"/>
      <c r="M1774" s="1"/>
    </row>
    <row r="1775" spans="12:13" ht="13" customHeight="1">
      <c r="L1775" s="1"/>
      <c r="M1775" s="1"/>
    </row>
    <row r="1776" spans="12:13" ht="13" customHeight="1">
      <c r="L1776" s="1"/>
      <c r="M1776" s="1"/>
    </row>
    <row r="1777" spans="12:13" ht="13" customHeight="1">
      <c r="L1777" s="1"/>
      <c r="M1777" s="1"/>
    </row>
    <row r="1778" spans="12:13" ht="13" customHeight="1">
      <c r="L1778" s="1"/>
      <c r="M1778" s="1"/>
    </row>
    <row r="1779" spans="12:13" ht="13" customHeight="1">
      <c r="L1779" s="1"/>
      <c r="M1779" s="1"/>
    </row>
    <row r="1780" spans="12:13" ht="13" customHeight="1">
      <c r="L1780" s="1"/>
      <c r="M1780" s="1"/>
    </row>
    <row r="1781" spans="12:13" ht="13" customHeight="1">
      <c r="L1781" s="1"/>
      <c r="M1781" s="1"/>
    </row>
    <row r="1782" spans="12:13" ht="13" customHeight="1">
      <c r="L1782" s="1"/>
      <c r="M1782" s="1"/>
    </row>
    <row r="1783" spans="12:13" ht="13" customHeight="1">
      <c r="L1783" s="1"/>
      <c r="M1783" s="1"/>
    </row>
    <row r="1784" spans="12:13" ht="13" customHeight="1">
      <c r="L1784" s="1"/>
      <c r="M1784" s="1"/>
    </row>
    <row r="1785" spans="12:13" ht="13" customHeight="1">
      <c r="L1785" s="1"/>
      <c r="M1785" s="1"/>
    </row>
    <row r="1786" spans="12:13" ht="13" customHeight="1">
      <c r="L1786" s="1"/>
      <c r="M1786" s="1"/>
    </row>
    <row r="1787" spans="12:13" ht="13" customHeight="1">
      <c r="L1787" s="1"/>
      <c r="M1787" s="1"/>
    </row>
    <row r="1788" spans="12:13" ht="13" customHeight="1">
      <c r="L1788" s="1"/>
      <c r="M1788" s="1"/>
    </row>
    <row r="1789" spans="12:13" ht="13" customHeight="1">
      <c r="L1789" s="1"/>
      <c r="M1789" s="1"/>
    </row>
    <row r="1790" spans="12:13" ht="13" customHeight="1">
      <c r="L1790" s="1"/>
      <c r="M1790" s="1"/>
    </row>
    <row r="1791" spans="12:13" ht="13" customHeight="1">
      <c r="L1791" s="1"/>
      <c r="M1791" s="1"/>
    </row>
    <row r="1792" spans="12:13" ht="13" customHeight="1">
      <c r="L1792" s="1"/>
      <c r="M1792" s="1"/>
    </row>
    <row r="1793" spans="12:13" ht="13" customHeight="1">
      <c r="L1793" s="1"/>
      <c r="M1793" s="1"/>
    </row>
    <row r="1794" spans="12:13" ht="13" customHeight="1">
      <c r="L1794" s="1"/>
      <c r="M1794" s="1"/>
    </row>
    <row r="1795" spans="12:13" ht="13" customHeight="1">
      <c r="L1795" s="1"/>
      <c r="M1795" s="1"/>
    </row>
    <row r="1796" spans="12:13" ht="13" customHeight="1">
      <c r="L1796" s="1"/>
      <c r="M1796" s="1"/>
    </row>
    <row r="1797" spans="12:13" ht="13" customHeight="1">
      <c r="L1797" s="1"/>
      <c r="M1797" s="1"/>
    </row>
    <row r="1798" spans="12:13" ht="13" customHeight="1">
      <c r="L1798" s="1"/>
      <c r="M1798" s="1"/>
    </row>
    <row r="1799" spans="12:13" ht="13" customHeight="1">
      <c r="L1799" s="1"/>
      <c r="M1799" s="1"/>
    </row>
    <row r="1800" spans="12:13" ht="13" customHeight="1">
      <c r="L1800" s="1"/>
      <c r="M1800" s="1"/>
    </row>
    <row r="1801" spans="12:13" ht="13" customHeight="1">
      <c r="L1801" s="1"/>
      <c r="M1801" s="1"/>
    </row>
    <row r="1802" spans="12:13" ht="13" customHeight="1">
      <c r="L1802" s="1"/>
      <c r="M1802" s="1"/>
    </row>
    <row r="1803" spans="12:13" ht="13" customHeight="1">
      <c r="L1803" s="1"/>
      <c r="M1803" s="1"/>
    </row>
    <row r="1804" spans="12:13" ht="13" customHeight="1">
      <c r="L1804" s="1"/>
      <c r="M1804" s="1"/>
    </row>
    <row r="1805" spans="12:13" ht="13" customHeight="1">
      <c r="L1805" s="1"/>
      <c r="M1805" s="1"/>
    </row>
    <row r="1806" spans="12:13" ht="13" customHeight="1">
      <c r="L1806" s="1"/>
      <c r="M1806" s="1"/>
    </row>
    <row r="1807" spans="12:13" ht="13" customHeight="1">
      <c r="L1807" s="1"/>
      <c r="M1807" s="1"/>
    </row>
    <row r="1808" spans="12:13" ht="13" customHeight="1">
      <c r="L1808" s="1"/>
      <c r="M1808" s="1"/>
    </row>
    <row r="1809" spans="12:13" ht="13" customHeight="1">
      <c r="L1809" s="1"/>
      <c r="M1809" s="1"/>
    </row>
    <row r="1810" spans="12:13" ht="13" customHeight="1">
      <c r="L1810" s="1"/>
      <c r="M1810" s="1"/>
    </row>
    <row r="1811" spans="12:13" ht="13" customHeight="1">
      <c r="L1811" s="1"/>
      <c r="M1811" s="1"/>
    </row>
    <row r="1812" spans="12:13" ht="13" customHeight="1">
      <c r="L1812" s="1"/>
      <c r="M1812" s="1"/>
    </row>
    <row r="1813" spans="12:13" ht="13" customHeight="1">
      <c r="L1813" s="1"/>
      <c r="M1813" s="1"/>
    </row>
    <row r="1814" spans="12:13" ht="13" customHeight="1">
      <c r="L1814" s="1"/>
      <c r="M1814" s="1"/>
    </row>
    <row r="1815" spans="12:13" ht="13" customHeight="1">
      <c r="L1815" s="1"/>
      <c r="M1815" s="1"/>
    </row>
    <row r="1816" spans="12:13" ht="13" customHeight="1">
      <c r="L1816" s="1"/>
      <c r="M1816" s="1"/>
    </row>
    <row r="1817" spans="12:13" ht="13" customHeight="1">
      <c r="L1817" s="1"/>
      <c r="M1817" s="1"/>
    </row>
    <row r="1818" spans="12:13" ht="13" customHeight="1">
      <c r="L1818" s="1"/>
      <c r="M1818" s="1"/>
    </row>
    <row r="1819" spans="12:13" ht="13" customHeight="1">
      <c r="L1819" s="1"/>
      <c r="M1819" s="1"/>
    </row>
    <row r="1820" spans="12:13" ht="13" customHeight="1">
      <c r="L1820" s="1"/>
      <c r="M1820" s="1"/>
    </row>
    <row r="1821" spans="12:13" ht="13" customHeight="1">
      <c r="L1821" s="1"/>
      <c r="M1821" s="1"/>
    </row>
    <row r="1822" spans="12:13" ht="13" customHeight="1">
      <c r="L1822" s="1"/>
      <c r="M1822" s="1"/>
    </row>
    <row r="1823" spans="12:13" ht="13" customHeight="1">
      <c r="L1823" s="1"/>
      <c r="M1823" s="1"/>
    </row>
    <row r="1824" spans="12:13" ht="13" customHeight="1">
      <c r="L1824" s="1"/>
      <c r="M1824" s="1"/>
    </row>
    <row r="1825" spans="12:13" ht="13" customHeight="1">
      <c r="L1825" s="1"/>
      <c r="M1825" s="1"/>
    </row>
    <row r="1826" spans="12:13" ht="13" customHeight="1">
      <c r="L1826" s="1"/>
      <c r="M1826" s="1"/>
    </row>
    <row r="1827" spans="12:13" ht="13" customHeight="1">
      <c r="L1827" s="1"/>
      <c r="M1827" s="1"/>
    </row>
    <row r="1828" spans="12:13" ht="13" customHeight="1">
      <c r="L1828" s="1"/>
      <c r="M1828" s="1"/>
    </row>
    <row r="1829" spans="12:13" ht="13" customHeight="1">
      <c r="L1829" s="1"/>
      <c r="M1829" s="1"/>
    </row>
    <row r="1830" spans="12:13" ht="13" customHeight="1">
      <c r="L1830" s="1"/>
      <c r="M1830" s="1"/>
    </row>
    <row r="1831" spans="12:13" ht="13" customHeight="1">
      <c r="L1831" s="1"/>
      <c r="M1831" s="1"/>
    </row>
    <row r="1832" spans="12:13" ht="13" customHeight="1">
      <c r="L1832" s="1"/>
      <c r="M1832" s="1"/>
    </row>
    <row r="1833" spans="12:13" ht="13" customHeight="1">
      <c r="L1833" s="1"/>
      <c r="M1833" s="1"/>
    </row>
    <row r="1834" spans="12:13" ht="13" customHeight="1">
      <c r="L1834" s="1"/>
      <c r="M1834" s="1"/>
    </row>
    <row r="1835" spans="12:13" ht="13" customHeight="1">
      <c r="L1835" s="1"/>
      <c r="M1835" s="1"/>
    </row>
    <row r="1836" spans="12:13" ht="13" customHeight="1">
      <c r="L1836" s="1"/>
      <c r="M1836" s="1"/>
    </row>
    <row r="1837" spans="12:13" ht="13" customHeight="1">
      <c r="L1837" s="1"/>
      <c r="M1837" s="1"/>
    </row>
    <row r="1838" spans="12:13" ht="13" customHeight="1">
      <c r="L1838" s="1"/>
      <c r="M1838" s="1"/>
    </row>
    <row r="1839" spans="12:13" ht="13" customHeight="1">
      <c r="L1839" s="1"/>
      <c r="M1839" s="1"/>
    </row>
    <row r="1840" spans="12:13" ht="13" customHeight="1">
      <c r="L1840" s="1"/>
      <c r="M1840" s="1"/>
    </row>
    <row r="1841" spans="12:13" ht="13" customHeight="1">
      <c r="L1841" s="1"/>
      <c r="M1841" s="1"/>
    </row>
    <row r="1842" spans="12:13" ht="13" customHeight="1">
      <c r="L1842" s="1"/>
      <c r="M1842" s="1"/>
    </row>
    <row r="1843" spans="12:13" ht="13" customHeight="1">
      <c r="L1843" s="1"/>
      <c r="M1843" s="1"/>
    </row>
    <row r="1844" spans="12:13" ht="13" customHeight="1">
      <c r="L1844" s="1"/>
      <c r="M1844" s="1"/>
    </row>
    <row r="1845" spans="12:13" ht="13" customHeight="1">
      <c r="L1845" s="1"/>
      <c r="M1845" s="1"/>
    </row>
    <row r="1846" spans="12:13" ht="13" customHeight="1">
      <c r="L1846" s="1"/>
      <c r="M1846" s="1"/>
    </row>
    <row r="1847" spans="12:13" ht="13" customHeight="1">
      <c r="L1847" s="1"/>
      <c r="M1847" s="1"/>
    </row>
    <row r="1848" spans="12:13" ht="13" customHeight="1">
      <c r="L1848" s="1"/>
      <c r="M1848" s="1"/>
    </row>
    <row r="1849" spans="12:13" ht="13" customHeight="1">
      <c r="L1849" s="1"/>
      <c r="M1849" s="1"/>
    </row>
    <row r="1850" spans="12:13" ht="13" customHeight="1">
      <c r="L1850" s="1"/>
      <c r="M1850" s="1"/>
    </row>
    <row r="1851" spans="12:13" ht="13" customHeight="1">
      <c r="L1851" s="1"/>
      <c r="M1851" s="1"/>
    </row>
    <row r="1852" spans="12:13" ht="13" customHeight="1">
      <c r="L1852" s="1"/>
      <c r="M1852" s="1"/>
    </row>
    <row r="1853" spans="12:13" ht="13" customHeight="1">
      <c r="L1853" s="1"/>
      <c r="M1853" s="1"/>
    </row>
    <row r="1854" spans="12:13" ht="13" customHeight="1">
      <c r="L1854" s="1"/>
      <c r="M1854" s="1"/>
    </row>
    <row r="1855" spans="12:13" ht="13" customHeight="1">
      <c r="L1855" s="1"/>
      <c r="M1855" s="1"/>
    </row>
    <row r="1856" spans="12:13" ht="13" customHeight="1">
      <c r="L1856" s="1"/>
      <c r="M1856" s="1"/>
    </row>
    <row r="1857" spans="12:13" ht="13" customHeight="1">
      <c r="L1857" s="1"/>
      <c r="M1857" s="1"/>
    </row>
    <row r="1858" spans="12:13" ht="13" customHeight="1">
      <c r="L1858" s="1"/>
      <c r="M1858" s="1"/>
    </row>
    <row r="1859" spans="12:13" ht="13" customHeight="1">
      <c r="L1859" s="1"/>
      <c r="M1859" s="1"/>
    </row>
    <row r="1860" spans="12:13" ht="13" customHeight="1">
      <c r="L1860" s="1"/>
      <c r="M1860" s="1"/>
    </row>
    <row r="1861" spans="12:13" ht="13" customHeight="1">
      <c r="L1861" s="1"/>
      <c r="M1861" s="1"/>
    </row>
    <row r="1862" spans="12:13" ht="13" customHeight="1">
      <c r="L1862" s="1"/>
      <c r="M1862" s="1"/>
    </row>
    <row r="1863" spans="12:13" ht="13" customHeight="1">
      <c r="L1863" s="1"/>
      <c r="M1863" s="1"/>
    </row>
    <row r="1864" spans="12:13" ht="13" customHeight="1">
      <c r="L1864" s="1"/>
      <c r="M1864" s="1"/>
    </row>
    <row r="1865" spans="12:13" ht="13" customHeight="1">
      <c r="L1865" s="1"/>
      <c r="M1865" s="1"/>
    </row>
    <row r="1866" spans="12:13" ht="13" customHeight="1">
      <c r="L1866" s="1"/>
      <c r="M1866" s="1"/>
    </row>
    <row r="1867" spans="12:13" ht="13" customHeight="1">
      <c r="L1867" s="1"/>
      <c r="M1867" s="1"/>
    </row>
    <row r="1868" spans="12:13" ht="13" customHeight="1">
      <c r="L1868" s="1"/>
      <c r="M1868" s="1"/>
    </row>
    <row r="1869" spans="12:13" ht="13" customHeight="1">
      <c r="L1869" s="1"/>
      <c r="M1869" s="1"/>
    </row>
    <row r="1870" spans="12:13" ht="13" customHeight="1">
      <c r="L1870" s="1"/>
      <c r="M1870" s="1"/>
    </row>
    <row r="1871" spans="12:13" ht="13" customHeight="1">
      <c r="L1871" s="1"/>
      <c r="M1871" s="1"/>
    </row>
    <row r="1872" spans="12:13" ht="13" customHeight="1">
      <c r="L1872" s="1"/>
      <c r="M1872" s="1"/>
    </row>
    <row r="1873" spans="12:13" ht="13" customHeight="1">
      <c r="L1873" s="1"/>
      <c r="M1873" s="1"/>
    </row>
    <row r="1874" spans="12:13" ht="13" customHeight="1">
      <c r="L1874" s="1"/>
      <c r="M1874" s="1"/>
    </row>
    <row r="1875" spans="12:13" ht="13" customHeight="1">
      <c r="L1875" s="1"/>
      <c r="M1875" s="1"/>
    </row>
    <row r="1876" spans="12:13" ht="13" customHeight="1">
      <c r="L1876" s="1"/>
      <c r="M1876" s="1"/>
    </row>
    <row r="1877" spans="12:13" ht="13" customHeight="1">
      <c r="L1877" s="1"/>
      <c r="M1877" s="1"/>
    </row>
    <row r="1878" spans="12:13" ht="13" customHeight="1">
      <c r="L1878" s="1"/>
      <c r="M1878" s="1"/>
    </row>
    <row r="1879" spans="12:13" ht="13" customHeight="1">
      <c r="L1879" s="1"/>
      <c r="M1879" s="1"/>
    </row>
    <row r="1880" spans="12:13" ht="13" customHeight="1">
      <c r="L1880" s="1"/>
      <c r="M1880" s="1"/>
    </row>
    <row r="1881" spans="12:13" ht="13" customHeight="1">
      <c r="L1881" s="1"/>
      <c r="M1881" s="1"/>
    </row>
    <row r="1882" spans="12:13" ht="13" customHeight="1">
      <c r="L1882" s="1"/>
      <c r="M1882" s="1"/>
    </row>
    <row r="1883" spans="12:13" ht="13" customHeight="1">
      <c r="L1883" s="1"/>
      <c r="M1883" s="1"/>
    </row>
    <row r="1884" spans="12:13" ht="13" customHeight="1">
      <c r="L1884" s="1"/>
      <c r="M1884" s="1"/>
    </row>
    <row r="1885" spans="12:13" ht="13" customHeight="1">
      <c r="L1885" s="1"/>
      <c r="M1885" s="1"/>
    </row>
    <row r="1886" spans="12:13" ht="13" customHeight="1">
      <c r="L1886" s="1"/>
      <c r="M1886" s="1"/>
    </row>
    <row r="1887" spans="12:13" ht="13" customHeight="1">
      <c r="L1887" s="1"/>
      <c r="M1887" s="1"/>
    </row>
    <row r="1888" spans="12:13" ht="13" customHeight="1">
      <c r="L1888" s="1"/>
      <c r="M1888" s="1"/>
    </row>
    <row r="1889" spans="12:13" ht="13" customHeight="1">
      <c r="L1889" s="1"/>
      <c r="M1889" s="1"/>
    </row>
    <row r="1890" spans="12:13" ht="13" customHeight="1">
      <c r="L1890" s="1"/>
      <c r="M1890" s="1"/>
    </row>
    <row r="1891" spans="12:13" ht="13" customHeight="1">
      <c r="L1891" s="1"/>
      <c r="M1891" s="1"/>
    </row>
    <row r="1892" spans="12:13" ht="13" customHeight="1">
      <c r="L1892" s="1"/>
      <c r="M1892" s="1"/>
    </row>
    <row r="1893" spans="12:13" ht="13" customHeight="1">
      <c r="L1893" s="1"/>
      <c r="M1893" s="1"/>
    </row>
    <row r="1894" spans="12:13" ht="13" customHeight="1">
      <c r="L1894" s="1"/>
      <c r="M1894" s="1"/>
    </row>
    <row r="1895" spans="12:13" ht="13" customHeight="1">
      <c r="L1895" s="1"/>
      <c r="M1895" s="1"/>
    </row>
    <row r="1896" spans="12:13" ht="13" customHeight="1">
      <c r="L1896" s="1"/>
      <c r="M1896" s="1"/>
    </row>
    <row r="1897" spans="12:13" ht="13" customHeight="1">
      <c r="L1897" s="1"/>
      <c r="M1897" s="1"/>
    </row>
    <row r="1898" spans="12:13" ht="13" customHeight="1">
      <c r="L1898" s="1"/>
      <c r="M1898" s="1"/>
    </row>
    <row r="1899" spans="12:13" ht="13" customHeight="1">
      <c r="L1899" s="1"/>
      <c r="M1899" s="1"/>
    </row>
    <row r="1900" spans="12:13" ht="13" customHeight="1">
      <c r="L1900" s="1"/>
      <c r="M1900" s="1"/>
    </row>
    <row r="1901" spans="12:13" ht="13" customHeight="1">
      <c r="L1901" s="1"/>
      <c r="M1901" s="1"/>
    </row>
    <row r="1902" spans="12:13" ht="13" customHeight="1">
      <c r="L1902" s="1"/>
      <c r="M1902" s="1"/>
    </row>
    <row r="1903" spans="12:13" ht="13" customHeight="1">
      <c r="L1903" s="1"/>
      <c r="M1903" s="1"/>
    </row>
    <row r="1904" spans="12:13" ht="13" customHeight="1">
      <c r="L1904" s="1"/>
      <c r="M1904" s="1"/>
    </row>
    <row r="1905" spans="12:13" ht="13" customHeight="1">
      <c r="L1905" s="1"/>
      <c r="M1905" s="1"/>
    </row>
    <row r="1906" spans="12:13" ht="13" customHeight="1">
      <c r="L1906" s="1"/>
      <c r="M1906" s="1"/>
    </row>
    <row r="1907" spans="12:13" ht="13" customHeight="1">
      <c r="L1907" s="1"/>
      <c r="M1907" s="1"/>
    </row>
    <row r="1908" spans="12:13" ht="13" customHeight="1">
      <c r="L1908" s="1"/>
      <c r="M1908" s="1"/>
    </row>
    <row r="1909" spans="12:13" ht="13" customHeight="1">
      <c r="L1909" s="1"/>
      <c r="M1909" s="1"/>
    </row>
    <row r="1910" spans="12:13" ht="13" customHeight="1">
      <c r="L1910" s="1"/>
      <c r="M1910" s="1"/>
    </row>
    <row r="1911" spans="12:13" ht="13" customHeight="1">
      <c r="L1911" s="1"/>
      <c r="M1911" s="1"/>
    </row>
    <row r="1912" spans="12:13" ht="13" customHeight="1">
      <c r="L1912" s="1"/>
      <c r="M1912" s="1"/>
    </row>
    <row r="1913" spans="12:13" ht="13" customHeight="1">
      <c r="L1913" s="1"/>
      <c r="M1913" s="1"/>
    </row>
    <row r="1914" spans="12:13" ht="13" customHeight="1">
      <c r="L1914" s="1"/>
      <c r="M1914" s="1"/>
    </row>
    <row r="1915" spans="12:13" ht="13" customHeight="1">
      <c r="L1915" s="1"/>
      <c r="M1915" s="1"/>
    </row>
    <row r="1916" spans="12:13" ht="13" customHeight="1">
      <c r="L1916" s="1"/>
      <c r="M1916" s="1"/>
    </row>
    <row r="1917" spans="12:13" ht="13" customHeight="1">
      <c r="L1917" s="1"/>
      <c r="M1917" s="1"/>
    </row>
    <row r="1918" spans="12:13" ht="13" customHeight="1">
      <c r="L1918" s="1"/>
      <c r="M1918" s="1"/>
    </row>
    <row r="1919" spans="12:13" ht="13" customHeight="1">
      <c r="L1919" s="1"/>
      <c r="M1919" s="1"/>
    </row>
    <row r="1920" spans="12:13" ht="13" customHeight="1">
      <c r="L1920" s="1"/>
      <c r="M1920" s="1"/>
    </row>
    <row r="1921" spans="12:13" ht="13" customHeight="1">
      <c r="L1921" s="1"/>
      <c r="M1921" s="1"/>
    </row>
    <row r="1922" spans="12:13" ht="13" customHeight="1">
      <c r="L1922" s="1"/>
      <c r="M1922" s="1"/>
    </row>
    <row r="1923" spans="12:13" ht="13" customHeight="1">
      <c r="L1923" s="1"/>
      <c r="M1923" s="1"/>
    </row>
    <row r="1924" spans="12:13" ht="13" customHeight="1">
      <c r="L1924" s="1"/>
      <c r="M1924" s="1"/>
    </row>
    <row r="1925" spans="12:13" ht="13" customHeight="1">
      <c r="L1925" s="1"/>
      <c r="M1925" s="1"/>
    </row>
    <row r="1926" spans="12:13" ht="13" customHeight="1">
      <c r="L1926" s="1"/>
      <c r="M1926" s="1"/>
    </row>
    <row r="1927" spans="12:13" ht="13" customHeight="1">
      <c r="L1927" s="1"/>
      <c r="M1927" s="1"/>
    </row>
    <row r="1928" spans="12:13" ht="13" customHeight="1">
      <c r="L1928" s="1"/>
      <c r="M1928" s="1"/>
    </row>
    <row r="1929" spans="12:13" ht="13" customHeight="1">
      <c r="L1929" s="1"/>
      <c r="M1929" s="1"/>
    </row>
    <row r="1930" spans="12:13" ht="13" customHeight="1">
      <c r="L1930" s="1"/>
      <c r="M1930" s="1"/>
    </row>
    <row r="1931" spans="12:13" ht="13" customHeight="1">
      <c r="L1931" s="1"/>
      <c r="M1931" s="1"/>
    </row>
    <row r="1932" spans="12:13" ht="13" customHeight="1">
      <c r="L1932" s="1"/>
      <c r="M1932" s="1"/>
    </row>
    <row r="1933" spans="12:13" ht="13" customHeight="1">
      <c r="L1933" s="1"/>
      <c r="M1933" s="1"/>
    </row>
    <row r="1934" spans="12:13" ht="13" customHeight="1">
      <c r="L1934" s="1"/>
      <c r="M1934" s="1"/>
    </row>
    <row r="1935" spans="12:13" ht="13" customHeight="1">
      <c r="L1935" s="1"/>
      <c r="M1935" s="1"/>
    </row>
    <row r="1936" spans="12:13" ht="13" customHeight="1">
      <c r="L1936" s="1"/>
      <c r="M1936" s="1"/>
    </row>
    <row r="1937" spans="12:13" ht="13" customHeight="1">
      <c r="L1937" s="1"/>
      <c r="M1937" s="1"/>
    </row>
    <row r="1938" spans="12:13" ht="13" customHeight="1">
      <c r="L1938" s="1"/>
      <c r="M1938" s="1"/>
    </row>
    <row r="1939" spans="12:13" ht="13" customHeight="1">
      <c r="L1939" s="1"/>
      <c r="M1939" s="1"/>
    </row>
    <row r="1940" spans="12:13" ht="13" customHeight="1">
      <c r="L1940" s="1"/>
      <c r="M1940" s="1"/>
    </row>
    <row r="1941" spans="12:13" ht="13" customHeight="1">
      <c r="L1941" s="1"/>
      <c r="M1941" s="1"/>
    </row>
    <row r="1942" spans="12:13" ht="13" customHeight="1">
      <c r="L1942" s="1"/>
      <c r="M1942" s="1"/>
    </row>
    <row r="1943" spans="12:13" ht="13" customHeight="1">
      <c r="L1943" s="1"/>
      <c r="M1943" s="1"/>
    </row>
    <row r="1944" spans="12:13" ht="13" customHeight="1">
      <c r="L1944" s="1"/>
      <c r="M1944" s="1"/>
    </row>
    <row r="1945" spans="12:13" ht="13" customHeight="1">
      <c r="L1945" s="1"/>
      <c r="M1945" s="1"/>
    </row>
    <row r="1946" spans="12:13" ht="13" customHeight="1">
      <c r="L1946" s="1"/>
      <c r="M1946" s="1"/>
    </row>
    <row r="1947" spans="12:13" ht="13" customHeight="1">
      <c r="L1947" s="1"/>
      <c r="M1947" s="1"/>
    </row>
    <row r="1948" spans="12:13" ht="13" customHeight="1">
      <c r="L1948" s="1"/>
      <c r="M1948" s="1"/>
    </row>
    <row r="1949" spans="12:13" ht="13" customHeight="1">
      <c r="L1949" s="1"/>
      <c r="M1949" s="1"/>
    </row>
    <row r="1950" spans="12:13" ht="13" customHeight="1">
      <c r="L1950" s="1"/>
      <c r="M1950" s="1"/>
    </row>
    <row r="1951" spans="12:13" ht="13" customHeight="1">
      <c r="L1951" s="1"/>
      <c r="M1951" s="1"/>
    </row>
    <row r="1952" spans="12:13" ht="13" customHeight="1">
      <c r="L1952" s="1"/>
      <c r="M1952" s="1"/>
    </row>
    <row r="1953" spans="12:13" ht="13" customHeight="1">
      <c r="L1953" s="1"/>
      <c r="M1953" s="1"/>
    </row>
    <row r="1954" spans="12:13" ht="13" customHeight="1">
      <c r="L1954" s="1"/>
      <c r="M1954" s="1"/>
    </row>
    <row r="1955" spans="12:13" ht="13" customHeight="1">
      <c r="L1955" s="1"/>
      <c r="M1955" s="1"/>
    </row>
    <row r="1956" spans="12:13" ht="13" customHeight="1">
      <c r="L1956" s="1"/>
      <c r="M1956" s="1"/>
    </row>
    <row r="1957" spans="12:13" ht="13" customHeight="1">
      <c r="L1957" s="1"/>
      <c r="M1957" s="1"/>
    </row>
    <row r="1958" spans="12:13" ht="13" customHeight="1">
      <c r="L1958" s="1"/>
      <c r="M1958" s="1"/>
    </row>
    <row r="1959" spans="12:13" ht="13" customHeight="1">
      <c r="L1959" s="1"/>
      <c r="M1959" s="1"/>
    </row>
    <row r="1960" spans="12:13" ht="13" customHeight="1">
      <c r="L1960" s="1"/>
      <c r="M1960" s="1"/>
    </row>
    <row r="1961" spans="12:13" ht="13" customHeight="1">
      <c r="L1961" s="1"/>
      <c r="M1961" s="1"/>
    </row>
    <row r="1962" spans="12:13" ht="13" customHeight="1">
      <c r="L1962" s="1"/>
      <c r="M1962" s="1"/>
    </row>
    <row r="1963" spans="12:13" ht="13" customHeight="1">
      <c r="L1963" s="1"/>
      <c r="M1963" s="1"/>
    </row>
    <row r="1964" spans="12:13" ht="13" customHeight="1">
      <c r="L1964" s="1"/>
      <c r="M1964" s="1"/>
    </row>
    <row r="1965" spans="12:13" ht="13" customHeight="1">
      <c r="L1965" s="1"/>
      <c r="M1965" s="1"/>
    </row>
    <row r="1966" spans="12:13" ht="13" customHeight="1">
      <c r="L1966" s="1"/>
      <c r="M1966" s="1"/>
    </row>
    <row r="1967" spans="12:13" ht="13" customHeight="1">
      <c r="L1967" s="1"/>
      <c r="M1967" s="1"/>
    </row>
    <row r="1968" spans="12:13" ht="13" customHeight="1">
      <c r="L1968" s="1"/>
      <c r="M1968" s="1"/>
    </row>
    <row r="1969" spans="12:13" ht="13" customHeight="1">
      <c r="L1969" s="1"/>
      <c r="M1969" s="1"/>
    </row>
    <row r="1970" spans="12:13" ht="13" customHeight="1">
      <c r="L1970" s="1"/>
      <c r="M1970" s="1"/>
    </row>
    <row r="1971" spans="12:13" ht="13" customHeight="1">
      <c r="L1971" s="1"/>
      <c r="M1971" s="1"/>
    </row>
    <row r="1972" spans="12:13" ht="13" customHeight="1">
      <c r="L1972" s="1"/>
      <c r="M1972" s="1"/>
    </row>
    <row r="1973" spans="12:13" ht="13" customHeight="1">
      <c r="L1973" s="1"/>
      <c r="M1973" s="1"/>
    </row>
    <row r="1974" spans="12:13" ht="13" customHeight="1">
      <c r="L1974" s="1"/>
      <c r="M1974" s="1"/>
    </row>
    <row r="1975" spans="12:13" ht="13" customHeight="1">
      <c r="L1975" s="1"/>
      <c r="M1975" s="1"/>
    </row>
    <row r="1976" spans="12:13" ht="13" customHeight="1">
      <c r="L1976" s="1"/>
      <c r="M1976" s="1"/>
    </row>
    <row r="1977" spans="12:13" ht="13" customHeight="1">
      <c r="L1977" s="1"/>
      <c r="M1977" s="1"/>
    </row>
    <row r="1978" spans="12:13" ht="13" customHeight="1">
      <c r="L1978" s="1"/>
      <c r="M1978" s="1"/>
    </row>
    <row r="1979" spans="12:13" ht="13" customHeight="1">
      <c r="L1979" s="1"/>
      <c r="M1979" s="1"/>
    </row>
    <row r="1980" spans="12:13" ht="13" customHeight="1">
      <c r="L1980" s="1"/>
      <c r="M1980" s="1"/>
    </row>
    <row r="1981" spans="12:13" ht="13" customHeight="1">
      <c r="L1981" s="1"/>
      <c r="M1981" s="1"/>
    </row>
    <row r="1982" spans="12:13" ht="13" customHeight="1">
      <c r="L1982" s="1"/>
      <c r="M1982" s="1"/>
    </row>
    <row r="1983" spans="12:13" ht="13" customHeight="1">
      <c r="L1983" s="1"/>
      <c r="M1983" s="1"/>
    </row>
    <row r="1984" spans="12:13" ht="13" customHeight="1">
      <c r="L1984" s="1"/>
      <c r="M1984" s="1"/>
    </row>
    <row r="1985" spans="12:13" ht="13" customHeight="1">
      <c r="L1985" s="1"/>
      <c r="M1985" s="1"/>
    </row>
    <row r="1986" spans="12:13" ht="13" customHeight="1">
      <c r="L1986" s="1"/>
      <c r="M1986" s="1"/>
    </row>
    <row r="1987" spans="12:13" ht="13" customHeight="1">
      <c r="L1987" s="1"/>
      <c r="M1987" s="1"/>
    </row>
    <row r="1988" spans="12:13" ht="13" customHeight="1">
      <c r="L1988" s="1"/>
      <c r="M1988" s="1"/>
    </row>
    <row r="1989" spans="12:13" ht="13" customHeight="1">
      <c r="L1989" s="1"/>
      <c r="M1989" s="1"/>
    </row>
    <row r="1990" spans="12:13" ht="13" customHeight="1">
      <c r="L1990" s="1"/>
      <c r="M1990" s="1"/>
    </row>
    <row r="1991" spans="12:13" ht="13" customHeight="1">
      <c r="L1991" s="1"/>
      <c r="M1991" s="1"/>
    </row>
    <row r="1992" spans="12:13" ht="13" customHeight="1">
      <c r="L1992" s="1"/>
      <c r="M1992" s="1"/>
    </row>
    <row r="1993" spans="12:13" ht="13" customHeight="1">
      <c r="L1993" s="1"/>
      <c r="M1993" s="1"/>
    </row>
    <row r="1994" spans="12:13" ht="13" customHeight="1">
      <c r="L1994" s="1"/>
      <c r="M1994" s="1"/>
    </row>
    <row r="1995" spans="12:13" ht="13" customHeight="1">
      <c r="L1995" s="1"/>
      <c r="M1995" s="1"/>
    </row>
    <row r="1996" spans="12:13" ht="13" customHeight="1">
      <c r="L1996" s="1"/>
      <c r="M1996" s="1"/>
    </row>
    <row r="1997" spans="12:13" ht="13" customHeight="1">
      <c r="L1997" s="1"/>
      <c r="M1997" s="1"/>
    </row>
    <row r="1998" spans="12:13" ht="13" customHeight="1">
      <c r="L1998" s="1"/>
      <c r="M1998" s="1"/>
    </row>
    <row r="1999" spans="12:13" ht="13" customHeight="1">
      <c r="L1999" s="1"/>
      <c r="M1999" s="1"/>
    </row>
    <row r="2000" spans="12:13" ht="13" customHeight="1">
      <c r="L2000" s="1"/>
      <c r="M2000" s="1"/>
    </row>
    <row r="2001" spans="12:13" ht="13" customHeight="1">
      <c r="L2001" s="1"/>
      <c r="M2001" s="1"/>
    </row>
    <row r="2002" spans="12:13" ht="13" customHeight="1">
      <c r="L2002" s="1"/>
      <c r="M2002" s="1"/>
    </row>
    <row r="2003" spans="12:13" ht="13" customHeight="1">
      <c r="L2003" s="1"/>
      <c r="M2003" s="1"/>
    </row>
    <row r="2004" spans="12:13" ht="13" customHeight="1">
      <c r="L2004" s="1"/>
      <c r="M2004" s="1"/>
    </row>
    <row r="2005" spans="12:13" ht="13" customHeight="1">
      <c r="L2005" s="1"/>
      <c r="M2005" s="1"/>
    </row>
    <row r="2006" spans="12:13" ht="13" customHeight="1">
      <c r="L2006" s="1"/>
      <c r="M2006" s="1"/>
    </row>
    <row r="2007" spans="12:13" ht="13" customHeight="1">
      <c r="L2007" s="1"/>
      <c r="M2007" s="1"/>
    </row>
    <row r="2008" spans="12:13" ht="13" customHeight="1">
      <c r="L2008" s="1"/>
      <c r="M2008" s="1"/>
    </row>
    <row r="2009" spans="12:13" ht="13" customHeight="1">
      <c r="L2009" s="1"/>
      <c r="M2009" s="1"/>
    </row>
    <row r="2010" spans="12:13" ht="13" customHeight="1">
      <c r="L2010" s="1"/>
      <c r="M2010" s="1"/>
    </row>
    <row r="2011" spans="12:13" ht="13" customHeight="1">
      <c r="L2011" s="1"/>
      <c r="M2011" s="1"/>
    </row>
    <row r="2012" spans="12:13" ht="13" customHeight="1">
      <c r="L2012" s="1"/>
      <c r="M2012" s="1"/>
    </row>
    <row r="2013" spans="12:13" ht="13" customHeight="1">
      <c r="L2013" s="1"/>
      <c r="M2013" s="1"/>
    </row>
    <row r="2014" spans="12:13" ht="13" customHeight="1">
      <c r="L2014" s="1"/>
      <c r="M2014" s="1"/>
    </row>
    <row r="2015" spans="12:13" ht="13" customHeight="1">
      <c r="L2015" s="1"/>
      <c r="M2015" s="1"/>
    </row>
    <row r="2016" spans="12:13" ht="13" customHeight="1">
      <c r="L2016" s="1"/>
      <c r="M2016" s="1"/>
    </row>
    <row r="2017" spans="12:13" ht="13" customHeight="1">
      <c r="L2017" s="1"/>
      <c r="M2017" s="1"/>
    </row>
    <row r="2018" spans="12:13" ht="13" customHeight="1">
      <c r="L2018" s="1"/>
      <c r="M2018" s="1"/>
    </row>
    <row r="2019" spans="12:13" ht="13" customHeight="1">
      <c r="L2019" s="1"/>
      <c r="M2019" s="1"/>
    </row>
    <row r="2020" spans="12:13" ht="13" customHeight="1">
      <c r="L2020" s="1"/>
      <c r="M2020" s="1"/>
    </row>
    <row r="2021" spans="12:13" ht="13" customHeight="1">
      <c r="L2021" s="1"/>
      <c r="M2021" s="1"/>
    </row>
    <row r="2022" spans="12:13" ht="13" customHeight="1">
      <c r="L2022" s="1"/>
      <c r="M2022" s="1"/>
    </row>
    <row r="2023" spans="12:13" ht="13" customHeight="1">
      <c r="L2023" s="1"/>
      <c r="M2023" s="1"/>
    </row>
    <row r="2024" spans="12:13" ht="13" customHeight="1">
      <c r="L2024" s="1"/>
      <c r="M2024" s="1"/>
    </row>
    <row r="2025" spans="12:13" ht="13" customHeight="1">
      <c r="L2025" s="1"/>
      <c r="M2025" s="1"/>
    </row>
    <row r="2026" spans="12:13" ht="13" customHeight="1">
      <c r="L2026" s="1"/>
      <c r="M2026" s="1"/>
    </row>
    <row r="2027" spans="12:13" ht="13" customHeight="1">
      <c r="L2027" s="1"/>
      <c r="M2027" s="1"/>
    </row>
    <row r="2028" spans="12:13" ht="13" customHeight="1">
      <c r="L2028" s="1"/>
      <c r="M2028" s="1"/>
    </row>
    <row r="2029" spans="12:13" ht="13" customHeight="1">
      <c r="L2029" s="1"/>
      <c r="M2029" s="1"/>
    </row>
    <row r="2030" spans="12:13" ht="13" customHeight="1">
      <c r="L2030" s="1"/>
      <c r="M2030" s="1"/>
    </row>
    <row r="2031" spans="12:13" ht="13" customHeight="1">
      <c r="L2031" s="1"/>
      <c r="M2031" s="1"/>
    </row>
    <row r="2032" spans="12:13" ht="13" customHeight="1">
      <c r="L2032" s="1"/>
      <c r="M2032" s="1"/>
    </row>
    <row r="2033" spans="12:13" ht="13" customHeight="1">
      <c r="L2033" s="1"/>
      <c r="M2033" s="1"/>
    </row>
    <row r="2034" spans="12:13" ht="13" customHeight="1">
      <c r="L2034" s="1"/>
      <c r="M2034" s="1"/>
    </row>
    <row r="2035" spans="12:13" ht="13" customHeight="1">
      <c r="L2035" s="1"/>
      <c r="M2035" s="1"/>
    </row>
    <row r="2036" spans="12:13" ht="13" customHeight="1">
      <c r="L2036" s="1"/>
      <c r="M2036" s="1"/>
    </row>
    <row r="2037" spans="12:13" ht="13" customHeight="1">
      <c r="L2037" s="1"/>
      <c r="M2037" s="1"/>
    </row>
    <row r="2038" spans="12:13" ht="13" customHeight="1">
      <c r="L2038" s="1"/>
      <c r="M2038" s="1"/>
    </row>
    <row r="2039" spans="12:13" ht="13" customHeight="1">
      <c r="L2039" s="1"/>
      <c r="M2039" s="1"/>
    </row>
    <row r="2040" spans="12:13" ht="13" customHeight="1">
      <c r="L2040" s="1"/>
      <c r="M2040" s="1"/>
    </row>
    <row r="2041" spans="12:13" ht="13" customHeight="1">
      <c r="L2041" s="1"/>
      <c r="M2041" s="1"/>
    </row>
    <row r="2042" spans="12:13" ht="13" customHeight="1">
      <c r="L2042" s="1"/>
      <c r="M2042" s="1"/>
    </row>
    <row r="2043" spans="12:13" ht="13" customHeight="1">
      <c r="L2043" s="1"/>
      <c r="M2043" s="1"/>
    </row>
    <row r="2044" spans="12:13" ht="13" customHeight="1">
      <c r="L2044" s="1"/>
      <c r="M2044" s="1"/>
    </row>
    <row r="2045" spans="12:13" ht="13" customHeight="1">
      <c r="L2045" s="1"/>
      <c r="M2045" s="1"/>
    </row>
    <row r="2046" spans="12:13" ht="13" customHeight="1">
      <c r="L2046" s="1"/>
      <c r="M2046" s="1"/>
    </row>
    <row r="2047" spans="12:13" ht="13" customHeight="1">
      <c r="L2047" s="1"/>
      <c r="M2047" s="1"/>
    </row>
    <row r="2048" spans="12:13" ht="13" customHeight="1">
      <c r="L2048" s="1"/>
      <c r="M2048" s="1"/>
    </row>
    <row r="2049" spans="12:13" ht="13" customHeight="1">
      <c r="L2049" s="1"/>
      <c r="M2049" s="1"/>
    </row>
    <row r="2050" spans="12:13" ht="13" customHeight="1">
      <c r="L2050" s="1"/>
      <c r="M2050" s="1"/>
    </row>
    <row r="2051" spans="12:13" ht="13" customHeight="1">
      <c r="L2051" s="1"/>
      <c r="M2051" s="1"/>
    </row>
    <row r="2052" spans="12:13" ht="13" customHeight="1">
      <c r="L2052" s="1"/>
      <c r="M2052" s="1"/>
    </row>
    <row r="2053" spans="12:13" ht="13" customHeight="1">
      <c r="L2053" s="1"/>
      <c r="M2053" s="1"/>
    </row>
    <row r="2054" spans="12:13" ht="13" customHeight="1">
      <c r="L2054" s="1"/>
      <c r="M2054" s="1"/>
    </row>
    <row r="2055" spans="12:13" ht="13" customHeight="1">
      <c r="L2055" s="1"/>
      <c r="M2055" s="1"/>
    </row>
    <row r="2056" spans="12:13" ht="13" customHeight="1">
      <c r="L2056" s="1"/>
      <c r="M2056" s="1"/>
    </row>
    <row r="2057" spans="12:13" ht="13" customHeight="1">
      <c r="L2057" s="1"/>
      <c r="M2057" s="1"/>
    </row>
    <row r="2058" spans="12:13" ht="13" customHeight="1">
      <c r="L2058" s="1"/>
      <c r="M2058" s="1"/>
    </row>
    <row r="2059" spans="12:13" ht="13" customHeight="1">
      <c r="L2059" s="1"/>
      <c r="M2059" s="1"/>
    </row>
    <row r="2060" spans="12:13" ht="13" customHeight="1">
      <c r="L2060" s="1"/>
      <c r="M2060" s="1"/>
    </row>
    <row r="2061" spans="12:13" ht="13" customHeight="1">
      <c r="L2061" s="1"/>
      <c r="M2061" s="1"/>
    </row>
    <row r="2062" spans="12:13" ht="13" customHeight="1">
      <c r="L2062" s="1"/>
      <c r="M2062" s="1"/>
    </row>
    <row r="2063" spans="12:13" ht="13" customHeight="1">
      <c r="L2063" s="1"/>
      <c r="M2063" s="1"/>
    </row>
    <row r="2064" spans="12:13" ht="13" customHeight="1">
      <c r="L2064" s="1"/>
      <c r="M2064" s="1"/>
    </row>
    <row r="2065" spans="12:13" ht="13" customHeight="1">
      <c r="L2065" s="1"/>
      <c r="M2065" s="1"/>
    </row>
    <row r="2066" spans="12:13" ht="13" customHeight="1">
      <c r="L2066" s="1"/>
      <c r="M2066" s="1"/>
    </row>
    <row r="2067" spans="12:13" ht="13" customHeight="1">
      <c r="L2067" s="1"/>
      <c r="M2067" s="1"/>
    </row>
    <row r="2068" spans="12:13" ht="13" customHeight="1">
      <c r="L2068" s="1"/>
      <c r="M2068" s="1"/>
    </row>
    <row r="2069" spans="12:13" ht="13" customHeight="1">
      <c r="L2069" s="1"/>
      <c r="M2069" s="1"/>
    </row>
    <row r="2070" spans="12:13" ht="13" customHeight="1">
      <c r="L2070" s="1"/>
      <c r="M2070" s="1"/>
    </row>
    <row r="2071" spans="12:13" ht="13" customHeight="1">
      <c r="L2071" s="1"/>
      <c r="M2071" s="1"/>
    </row>
    <row r="2072" spans="12:13" ht="13" customHeight="1">
      <c r="L2072" s="1"/>
      <c r="M2072" s="1"/>
    </row>
    <row r="2073" spans="12:13" ht="13" customHeight="1">
      <c r="L2073" s="1"/>
      <c r="M2073" s="1"/>
    </row>
    <row r="2074" spans="12:13" ht="13" customHeight="1">
      <c r="L2074" s="1"/>
      <c r="M2074" s="1"/>
    </row>
    <row r="2075" spans="12:13" ht="13" customHeight="1">
      <c r="L2075" s="1"/>
      <c r="M2075" s="1"/>
    </row>
    <row r="2076" spans="12:13" ht="13" customHeight="1">
      <c r="L2076" s="1"/>
      <c r="M2076" s="1"/>
    </row>
    <row r="2077" spans="12:13" ht="13" customHeight="1">
      <c r="L2077" s="1"/>
      <c r="M2077" s="1"/>
    </row>
    <row r="2078" spans="12:13" ht="13" customHeight="1">
      <c r="L2078" s="1"/>
      <c r="M2078" s="1"/>
    </row>
    <row r="2079" spans="12:13" ht="13" customHeight="1">
      <c r="L2079" s="1"/>
      <c r="M2079" s="1"/>
    </row>
    <row r="2080" spans="12:13" ht="13" customHeight="1">
      <c r="L2080" s="1"/>
      <c r="M2080" s="1"/>
    </row>
    <row r="2081" spans="12:13" ht="13" customHeight="1">
      <c r="L2081" s="1"/>
      <c r="M2081" s="1"/>
    </row>
    <row r="2082" spans="12:13" ht="13" customHeight="1">
      <c r="L2082" s="1"/>
      <c r="M2082" s="1"/>
    </row>
    <row r="2083" spans="12:13" ht="13" customHeight="1">
      <c r="L2083" s="1"/>
      <c r="M2083" s="1"/>
    </row>
    <row r="2084" spans="12:13" ht="13" customHeight="1">
      <c r="L2084" s="1"/>
      <c r="M2084" s="1"/>
    </row>
    <row r="2085" spans="12:13" ht="13" customHeight="1">
      <c r="L2085" s="1"/>
      <c r="M2085" s="1"/>
    </row>
    <row r="2086" spans="12:13" ht="13" customHeight="1">
      <c r="L2086" s="1"/>
      <c r="M2086" s="1"/>
    </row>
    <row r="2087" spans="12:13" ht="13" customHeight="1">
      <c r="L2087" s="1"/>
      <c r="M2087" s="1"/>
    </row>
    <row r="2088" spans="12:13" ht="13" customHeight="1">
      <c r="L2088" s="1"/>
      <c r="M2088" s="1"/>
    </row>
    <row r="2089" spans="12:13" ht="13" customHeight="1">
      <c r="L2089" s="1"/>
      <c r="M2089" s="1"/>
    </row>
    <row r="2090" spans="12:13" ht="13" customHeight="1">
      <c r="L2090" s="1"/>
      <c r="M2090" s="1"/>
    </row>
    <row r="2091" spans="12:13" ht="13" customHeight="1">
      <c r="L2091" s="1"/>
      <c r="M2091" s="1"/>
    </row>
    <row r="2092" spans="12:13" ht="13" customHeight="1">
      <c r="L2092" s="1"/>
      <c r="M2092" s="1"/>
    </row>
    <row r="2093" spans="12:13" ht="13" customHeight="1">
      <c r="L2093" s="1"/>
      <c r="M2093" s="1"/>
    </row>
    <row r="2094" spans="12:13" ht="13" customHeight="1">
      <c r="L2094" s="1"/>
      <c r="M2094" s="1"/>
    </row>
    <row r="2095" spans="12:13" ht="13" customHeight="1">
      <c r="L2095" s="1"/>
      <c r="M2095" s="1"/>
    </row>
    <row r="2096" spans="12:13" ht="13" customHeight="1">
      <c r="L2096" s="1"/>
      <c r="M2096" s="1"/>
    </row>
    <row r="2097" spans="12:13" ht="13" customHeight="1">
      <c r="L2097" s="1"/>
      <c r="M2097" s="1"/>
    </row>
    <row r="2098" spans="12:13" ht="13" customHeight="1">
      <c r="L2098" s="1"/>
      <c r="M2098" s="1"/>
    </row>
    <row r="2099" spans="12:13" ht="13" customHeight="1">
      <c r="L2099" s="1"/>
      <c r="M2099" s="1"/>
    </row>
    <row r="2100" spans="12:13" ht="13" customHeight="1">
      <c r="L2100" s="1"/>
      <c r="M2100" s="1"/>
    </row>
    <row r="2101" spans="12:13" ht="13" customHeight="1">
      <c r="L2101" s="1"/>
      <c r="M2101" s="1"/>
    </row>
    <row r="2102" spans="12:13" ht="13" customHeight="1">
      <c r="L2102" s="1"/>
      <c r="M2102" s="1"/>
    </row>
    <row r="2103" spans="12:13" ht="13" customHeight="1">
      <c r="L2103" s="1"/>
      <c r="M2103" s="1"/>
    </row>
    <row r="2104" spans="12:13" ht="13" customHeight="1">
      <c r="L2104" s="1"/>
      <c r="M2104" s="1"/>
    </row>
    <row r="2105" spans="12:13" ht="13" customHeight="1">
      <c r="L2105" s="1"/>
      <c r="M2105" s="1"/>
    </row>
    <row r="2106" spans="12:13" ht="13" customHeight="1">
      <c r="L2106" s="1"/>
      <c r="M2106" s="1"/>
    </row>
    <row r="2107" spans="12:13" ht="13" customHeight="1">
      <c r="L2107" s="1"/>
      <c r="M2107" s="1"/>
    </row>
    <row r="2108" spans="12:13" ht="13" customHeight="1">
      <c r="L2108" s="1"/>
      <c r="M2108" s="1"/>
    </row>
    <row r="2109" spans="12:13" ht="13" customHeight="1">
      <c r="L2109" s="1"/>
      <c r="M2109" s="1"/>
    </row>
    <row r="2110" spans="12:13" ht="13" customHeight="1">
      <c r="L2110" s="1"/>
      <c r="M2110" s="1"/>
    </row>
    <row r="2111" spans="12:13" ht="13" customHeight="1">
      <c r="L2111" s="1"/>
      <c r="M2111" s="1"/>
    </row>
    <row r="2112" spans="12:13" ht="13" customHeight="1">
      <c r="L2112" s="1"/>
      <c r="M2112" s="1"/>
    </row>
    <row r="2113" spans="12:13" ht="13" customHeight="1">
      <c r="L2113" s="1"/>
      <c r="M2113" s="1"/>
    </row>
    <row r="2114" spans="12:13" ht="13" customHeight="1">
      <c r="L2114" s="1"/>
      <c r="M2114" s="1"/>
    </row>
    <row r="2115" spans="12:13" ht="13" customHeight="1">
      <c r="L2115" s="1"/>
      <c r="M2115" s="1"/>
    </row>
    <row r="2116" spans="12:13" ht="13" customHeight="1">
      <c r="L2116" s="1"/>
      <c r="M2116" s="1"/>
    </row>
    <row r="2117" spans="12:13" ht="13" customHeight="1">
      <c r="L2117" s="1"/>
      <c r="M2117" s="1"/>
    </row>
    <row r="2118" spans="12:13" ht="13" customHeight="1">
      <c r="L2118" s="1"/>
      <c r="M2118" s="1"/>
    </row>
    <row r="2119" spans="12:13" ht="13" customHeight="1">
      <c r="L2119" s="1"/>
      <c r="M2119" s="1"/>
    </row>
    <row r="2120" spans="12:13" ht="13" customHeight="1">
      <c r="L2120" s="1"/>
      <c r="M2120" s="1"/>
    </row>
    <row r="2121" spans="12:13" ht="13" customHeight="1">
      <c r="L2121" s="1"/>
      <c r="M2121" s="1"/>
    </row>
    <row r="2122" spans="12:13" ht="13" customHeight="1">
      <c r="L2122" s="1"/>
      <c r="M2122" s="1"/>
    </row>
    <row r="2123" spans="12:13" ht="13" customHeight="1">
      <c r="L2123" s="1"/>
      <c r="M2123" s="1"/>
    </row>
    <row r="2124" spans="12:13" ht="13" customHeight="1">
      <c r="L2124" s="1"/>
      <c r="M2124" s="1"/>
    </row>
    <row r="2125" spans="12:13" ht="13" customHeight="1">
      <c r="L2125" s="1"/>
      <c r="M2125" s="1"/>
    </row>
    <row r="2126" spans="12:13" ht="13" customHeight="1">
      <c r="L2126" s="1"/>
      <c r="M2126" s="1"/>
    </row>
    <row r="2127" spans="12:13" ht="13" customHeight="1">
      <c r="L2127" s="1"/>
      <c r="M2127" s="1"/>
    </row>
    <row r="2128" spans="12:13" ht="13" customHeight="1">
      <c r="L2128" s="1"/>
      <c r="M2128" s="1"/>
    </row>
    <row r="2129" spans="12:13" ht="13" customHeight="1">
      <c r="L2129" s="1"/>
      <c r="M2129" s="1"/>
    </row>
    <row r="2130" spans="12:13" ht="13" customHeight="1">
      <c r="L2130" s="1"/>
      <c r="M2130" s="1"/>
    </row>
    <row r="2131" spans="12:13" ht="13" customHeight="1">
      <c r="L2131" s="1"/>
      <c r="M2131" s="1"/>
    </row>
    <row r="2132" spans="12:13" ht="13" customHeight="1">
      <c r="L2132" s="1"/>
      <c r="M2132" s="1"/>
    </row>
    <row r="2133" spans="12:13" ht="13" customHeight="1">
      <c r="L2133" s="1"/>
      <c r="M2133" s="1"/>
    </row>
    <row r="2134" spans="12:13" ht="13" customHeight="1">
      <c r="L2134" s="1"/>
      <c r="M2134" s="1"/>
    </row>
    <row r="2135" spans="12:13" ht="13" customHeight="1">
      <c r="L2135" s="1"/>
      <c r="M2135" s="1"/>
    </row>
    <row r="2136" spans="12:13" ht="13" customHeight="1">
      <c r="L2136" s="1"/>
      <c r="M2136" s="1"/>
    </row>
    <row r="2137" spans="12:13" ht="13" customHeight="1">
      <c r="L2137" s="1"/>
      <c r="M2137" s="1"/>
    </row>
    <row r="2138" spans="12:13" ht="13" customHeight="1">
      <c r="L2138" s="1"/>
      <c r="M2138" s="1"/>
    </row>
    <row r="2139" spans="12:13" ht="13" customHeight="1">
      <c r="L2139" s="1"/>
      <c r="M2139" s="1"/>
    </row>
    <row r="2140" spans="12:13" ht="13" customHeight="1">
      <c r="L2140" s="1"/>
      <c r="M2140" s="1"/>
    </row>
    <row r="2141" spans="12:13" ht="13" customHeight="1">
      <c r="L2141" s="1"/>
      <c r="M2141" s="1"/>
    </row>
    <row r="2142" spans="12:13" ht="13" customHeight="1">
      <c r="L2142" s="1"/>
      <c r="M2142" s="1"/>
    </row>
    <row r="2143" spans="12:13" ht="13" customHeight="1">
      <c r="L2143" s="1"/>
      <c r="M2143" s="1"/>
    </row>
    <row r="2144" spans="12:13" ht="13" customHeight="1">
      <c r="L2144" s="1"/>
      <c r="M2144" s="1"/>
    </row>
    <row r="2145" spans="12:13" ht="13" customHeight="1">
      <c r="L2145" s="1"/>
      <c r="M2145" s="1"/>
    </row>
    <row r="2146" spans="12:13" ht="13" customHeight="1">
      <c r="L2146" s="1"/>
      <c r="M2146" s="1"/>
    </row>
    <row r="2147" spans="12:13" ht="13" customHeight="1">
      <c r="L2147" s="1"/>
      <c r="M2147" s="1"/>
    </row>
    <row r="2148" spans="12:13" ht="13" customHeight="1">
      <c r="L2148" s="1"/>
      <c r="M2148" s="1"/>
    </row>
    <row r="2149" spans="12:13" ht="13" customHeight="1">
      <c r="L2149" s="1"/>
      <c r="M2149" s="1"/>
    </row>
    <row r="2150" spans="12:13" ht="13" customHeight="1">
      <c r="L2150" s="1"/>
      <c r="M2150" s="1"/>
    </row>
    <row r="2151" spans="12:13" ht="13" customHeight="1">
      <c r="L2151" s="1"/>
      <c r="M2151" s="1"/>
    </row>
    <row r="2152" spans="12:13" ht="13" customHeight="1">
      <c r="L2152" s="1"/>
      <c r="M2152" s="1"/>
    </row>
    <row r="2153" spans="12:13" ht="13" customHeight="1">
      <c r="L2153" s="1"/>
      <c r="M2153" s="1"/>
    </row>
    <row r="2154" spans="12:13" ht="13" customHeight="1">
      <c r="L2154" s="1"/>
      <c r="M2154" s="1"/>
    </row>
    <row r="2155" spans="12:13" ht="13" customHeight="1">
      <c r="L2155" s="1"/>
      <c r="M2155" s="1"/>
    </row>
    <row r="2156" spans="12:13" ht="13" customHeight="1">
      <c r="L2156" s="1"/>
      <c r="M2156" s="1"/>
    </row>
    <row r="2157" spans="12:13" ht="13" customHeight="1">
      <c r="L2157" s="1"/>
      <c r="M2157" s="1"/>
    </row>
    <row r="2158" spans="12:13" ht="13" customHeight="1">
      <c r="L2158" s="1"/>
      <c r="M2158" s="1"/>
    </row>
    <row r="2159" spans="12:13" ht="13" customHeight="1">
      <c r="L2159" s="1"/>
      <c r="M2159" s="1"/>
    </row>
    <row r="2160" spans="12:13" ht="13" customHeight="1">
      <c r="L2160" s="1"/>
      <c r="M2160" s="1"/>
    </row>
    <row r="2161" spans="12:13" ht="13" customHeight="1">
      <c r="L2161" s="1"/>
      <c r="M2161" s="1"/>
    </row>
    <row r="2162" spans="12:13" ht="13" customHeight="1">
      <c r="L2162" s="1"/>
      <c r="M2162" s="1"/>
    </row>
    <row r="2163" spans="12:13" ht="13" customHeight="1">
      <c r="L2163" s="1"/>
      <c r="M2163" s="1"/>
    </row>
    <row r="2164" spans="12:13" ht="13" customHeight="1">
      <c r="L2164" s="1"/>
      <c r="M2164" s="1"/>
    </row>
    <row r="2165" spans="12:13" ht="13" customHeight="1">
      <c r="L2165" s="1"/>
      <c r="M2165" s="1"/>
    </row>
    <row r="2166" spans="12:13" ht="13" customHeight="1">
      <c r="L2166" s="1"/>
      <c r="M2166" s="1"/>
    </row>
    <row r="2167" spans="12:13" ht="13" customHeight="1">
      <c r="L2167" s="1"/>
      <c r="M2167" s="1"/>
    </row>
    <row r="2168" spans="12:13" ht="13" customHeight="1">
      <c r="L2168" s="1"/>
      <c r="M2168" s="1"/>
    </row>
    <row r="2169" spans="12:13" ht="13" customHeight="1">
      <c r="L2169" s="1"/>
      <c r="M2169" s="1"/>
    </row>
    <row r="2170" spans="12:13" ht="13" customHeight="1">
      <c r="L2170" s="1"/>
      <c r="M2170" s="1"/>
    </row>
    <row r="2171" spans="12:13" ht="13" customHeight="1">
      <c r="L2171" s="1"/>
      <c r="M2171" s="1"/>
    </row>
    <row r="2172" spans="12:13" ht="13" customHeight="1">
      <c r="L2172" s="1"/>
      <c r="M2172" s="1"/>
    </row>
    <row r="2173" spans="12:13" ht="13" customHeight="1">
      <c r="L2173" s="1"/>
      <c r="M2173" s="1"/>
    </row>
    <row r="2174" spans="12:13" ht="13" customHeight="1">
      <c r="L2174" s="1"/>
      <c r="M2174" s="1"/>
    </row>
    <row r="2175" spans="12:13" ht="13" customHeight="1">
      <c r="L2175" s="1"/>
      <c r="M2175" s="1"/>
    </row>
    <row r="2176" spans="12:13" ht="13" customHeight="1">
      <c r="L2176" s="1"/>
      <c r="M2176" s="1"/>
    </row>
    <row r="2177" spans="12:13" ht="13" customHeight="1">
      <c r="L2177" s="1"/>
      <c r="M2177" s="1"/>
    </row>
    <row r="2178" spans="12:13" ht="13" customHeight="1">
      <c r="L2178" s="1"/>
      <c r="M2178" s="1"/>
    </row>
    <row r="2179" spans="12:13" ht="13" customHeight="1">
      <c r="L2179" s="1"/>
      <c r="M2179" s="1"/>
    </row>
    <row r="2180" spans="12:13" ht="13" customHeight="1">
      <c r="L2180" s="1"/>
      <c r="M2180" s="1"/>
    </row>
    <row r="2181" spans="12:13" ht="13" customHeight="1">
      <c r="L2181" s="1"/>
      <c r="M2181" s="1"/>
    </row>
    <row r="2182" spans="12:13" ht="13" customHeight="1">
      <c r="L2182" s="1"/>
      <c r="M2182" s="1"/>
    </row>
    <row r="2183" spans="12:13" ht="13" customHeight="1">
      <c r="L2183" s="1"/>
      <c r="M2183" s="1"/>
    </row>
    <row r="2184" spans="12:13" ht="13" customHeight="1">
      <c r="L2184" s="1"/>
      <c r="M2184" s="1"/>
    </row>
    <row r="2185" spans="12:13" ht="13" customHeight="1">
      <c r="L2185" s="1"/>
      <c r="M2185" s="1"/>
    </row>
    <row r="2186" spans="12:13" ht="13" customHeight="1">
      <c r="L2186" s="1"/>
      <c r="M2186" s="1"/>
    </row>
    <row r="2187" spans="12:13" ht="13" customHeight="1">
      <c r="L2187" s="1"/>
      <c r="M2187" s="1"/>
    </row>
    <row r="2188" spans="12:13" ht="13" customHeight="1">
      <c r="L2188" s="1"/>
      <c r="M2188" s="1"/>
    </row>
    <row r="2189" spans="12:13" ht="13" customHeight="1">
      <c r="L2189" s="1"/>
      <c r="M2189" s="1"/>
    </row>
    <row r="2190" spans="12:13" ht="13" customHeight="1">
      <c r="L2190" s="1"/>
      <c r="M2190" s="1"/>
    </row>
    <row r="2191" spans="12:13" ht="13" customHeight="1">
      <c r="L2191" s="1"/>
      <c r="M2191" s="1"/>
    </row>
    <row r="2192" spans="12:13" ht="13" customHeight="1">
      <c r="L2192" s="1"/>
      <c r="M2192" s="1"/>
    </row>
    <row r="2193" spans="12:13" ht="13" customHeight="1">
      <c r="L2193" s="1"/>
      <c r="M2193" s="1"/>
    </row>
    <row r="2194" spans="12:13" ht="13" customHeight="1">
      <c r="L2194" s="1"/>
      <c r="M2194" s="1"/>
    </row>
    <row r="2195" spans="12:13" ht="13" customHeight="1">
      <c r="L2195" s="1"/>
      <c r="M2195" s="1"/>
    </row>
    <row r="2196" spans="12:13" ht="13" customHeight="1">
      <c r="L2196" s="1"/>
      <c r="M2196" s="1"/>
    </row>
    <row r="2197" spans="12:13" ht="13" customHeight="1">
      <c r="L2197" s="1"/>
      <c r="M2197" s="1"/>
    </row>
    <row r="2198" spans="12:13" ht="13" customHeight="1">
      <c r="L2198" s="1"/>
      <c r="M2198" s="1"/>
    </row>
    <row r="2199" spans="12:13" ht="13" customHeight="1">
      <c r="L2199" s="1"/>
      <c r="M2199" s="1"/>
    </row>
    <row r="2200" spans="12:13" ht="13" customHeight="1">
      <c r="L2200" s="1"/>
      <c r="M2200" s="1"/>
    </row>
    <row r="2201" spans="12:13" ht="13" customHeight="1">
      <c r="L2201" s="1"/>
      <c r="M2201" s="1"/>
    </row>
    <row r="2202" spans="12:13" ht="13" customHeight="1">
      <c r="L2202" s="1"/>
      <c r="M2202" s="1"/>
    </row>
    <row r="2203" spans="12:13" ht="13" customHeight="1">
      <c r="L2203" s="1"/>
      <c r="M2203" s="1"/>
    </row>
    <row r="2204" spans="12:13" ht="13" customHeight="1">
      <c r="L2204" s="1"/>
      <c r="M2204" s="1"/>
    </row>
    <row r="2205" spans="12:13" ht="13" customHeight="1">
      <c r="L2205" s="1"/>
      <c r="M2205" s="1"/>
    </row>
    <row r="2206" spans="12:13" ht="13" customHeight="1">
      <c r="L2206" s="1"/>
      <c r="M2206" s="1"/>
    </row>
    <row r="2207" spans="12:13" ht="13" customHeight="1">
      <c r="L2207" s="1"/>
      <c r="M2207" s="1"/>
    </row>
    <row r="2208" spans="12:13" ht="13" customHeight="1">
      <c r="L2208" s="1"/>
      <c r="M2208" s="1"/>
    </row>
    <row r="2209" spans="12:13" ht="13" customHeight="1">
      <c r="L2209" s="1"/>
      <c r="M2209" s="1"/>
    </row>
    <row r="2210" spans="12:13" ht="13" customHeight="1">
      <c r="L2210" s="1"/>
      <c r="M2210" s="1"/>
    </row>
    <row r="2211" spans="12:13" ht="13" customHeight="1">
      <c r="L2211" s="1"/>
      <c r="M2211" s="1"/>
    </row>
    <row r="2212" spans="12:13" ht="13" customHeight="1">
      <c r="L2212" s="1"/>
      <c r="M2212" s="1"/>
    </row>
    <row r="2213" spans="12:13" ht="13" customHeight="1">
      <c r="L2213" s="1"/>
      <c r="M2213" s="1"/>
    </row>
    <row r="2214" spans="12:13" ht="13" customHeight="1">
      <c r="L2214" s="1"/>
      <c r="M2214" s="1"/>
    </row>
    <row r="2215" spans="12:13" ht="13" customHeight="1">
      <c r="L2215" s="1"/>
      <c r="M2215" s="1"/>
    </row>
    <row r="2216" spans="12:13" ht="13" customHeight="1">
      <c r="L2216" s="1"/>
      <c r="M2216" s="1"/>
    </row>
    <row r="2217" spans="12:13" ht="13" customHeight="1">
      <c r="L2217" s="1"/>
      <c r="M2217" s="1"/>
    </row>
    <row r="2218" spans="12:13" ht="13" customHeight="1">
      <c r="L2218" s="1"/>
      <c r="M2218" s="1"/>
    </row>
    <row r="2219" spans="12:13" ht="13" customHeight="1">
      <c r="L2219" s="1"/>
      <c r="M2219" s="1"/>
    </row>
    <row r="2220" spans="12:13" ht="13" customHeight="1">
      <c r="L2220" s="1"/>
      <c r="M2220" s="1"/>
    </row>
    <row r="2221" spans="12:13" ht="13" customHeight="1">
      <c r="L2221" s="1"/>
      <c r="M2221" s="1"/>
    </row>
    <row r="2222" spans="12:13" ht="13" customHeight="1">
      <c r="L2222" s="1"/>
      <c r="M2222" s="1"/>
    </row>
    <row r="2223" spans="12:13" ht="13" customHeight="1">
      <c r="L2223" s="1"/>
      <c r="M2223" s="1"/>
    </row>
    <row r="2224" spans="12:13" ht="13" customHeight="1">
      <c r="L2224" s="1"/>
      <c r="M2224" s="1"/>
    </row>
    <row r="2225" spans="12:13" ht="13" customHeight="1">
      <c r="L2225" s="1"/>
      <c r="M2225" s="1"/>
    </row>
    <row r="2226" spans="12:13" ht="13" customHeight="1">
      <c r="L2226" s="1"/>
      <c r="M2226" s="1"/>
    </row>
    <row r="2227" spans="12:13" ht="13" customHeight="1">
      <c r="L2227" s="1"/>
      <c r="M2227" s="1"/>
    </row>
    <row r="2228" spans="12:13" ht="13" customHeight="1">
      <c r="L2228" s="1"/>
      <c r="M2228" s="1"/>
    </row>
    <row r="2229" spans="12:13" ht="13" customHeight="1">
      <c r="L2229" s="1"/>
      <c r="M2229" s="1"/>
    </row>
    <row r="2230" spans="12:13" ht="13" customHeight="1">
      <c r="L2230" s="1"/>
      <c r="M2230" s="1"/>
    </row>
    <row r="2231" spans="12:13" ht="13" customHeight="1">
      <c r="L2231" s="1"/>
      <c r="M2231" s="1"/>
    </row>
    <row r="2232" spans="12:13" ht="13" customHeight="1">
      <c r="L2232" s="1"/>
      <c r="M2232" s="1"/>
    </row>
    <row r="2233" spans="12:13" ht="13" customHeight="1">
      <c r="L2233" s="1"/>
      <c r="M2233" s="1"/>
    </row>
    <row r="2234" spans="12:13" ht="13" customHeight="1">
      <c r="L2234" s="1"/>
      <c r="M2234" s="1"/>
    </row>
    <row r="2235" spans="12:13" ht="13" customHeight="1">
      <c r="L2235" s="1"/>
      <c r="M2235" s="1"/>
    </row>
    <row r="2236" spans="12:13" ht="13" customHeight="1">
      <c r="L2236" s="1"/>
      <c r="M2236" s="1"/>
    </row>
    <row r="2237" spans="12:13" ht="13" customHeight="1">
      <c r="L2237" s="1"/>
      <c r="M2237" s="1"/>
    </row>
    <row r="2238" spans="12:13" ht="13" customHeight="1">
      <c r="L2238" s="1"/>
      <c r="M2238" s="1"/>
    </row>
    <row r="2239" spans="12:13" ht="13" customHeight="1">
      <c r="L2239" s="1"/>
      <c r="M2239" s="1"/>
    </row>
    <row r="2240" spans="12:13" ht="13" customHeight="1">
      <c r="L2240" s="1"/>
      <c r="M2240" s="1"/>
    </row>
    <row r="2241" spans="12:13" ht="13" customHeight="1">
      <c r="L2241" s="1"/>
      <c r="M2241" s="1"/>
    </row>
    <row r="2242" spans="12:13" ht="13" customHeight="1">
      <c r="L2242" s="1"/>
      <c r="M2242" s="1"/>
    </row>
    <row r="2243" spans="12:13" ht="13" customHeight="1">
      <c r="L2243" s="1"/>
      <c r="M2243" s="1"/>
    </row>
    <row r="2244" spans="12:13" ht="13" customHeight="1">
      <c r="L2244" s="1"/>
      <c r="M2244" s="1"/>
    </row>
    <row r="2245" spans="12:13" ht="13" customHeight="1">
      <c r="L2245" s="1"/>
      <c r="M2245" s="1"/>
    </row>
    <row r="2246" spans="12:13" ht="13" customHeight="1">
      <c r="L2246" s="1"/>
      <c r="M2246" s="1"/>
    </row>
    <row r="2247" spans="12:13" ht="13" customHeight="1">
      <c r="L2247" s="1"/>
      <c r="M2247" s="1"/>
    </row>
    <row r="2248" spans="12:13" ht="13" customHeight="1">
      <c r="L2248" s="1"/>
      <c r="M2248" s="1"/>
    </row>
    <row r="2249" spans="12:13" ht="13" customHeight="1">
      <c r="L2249" s="1"/>
      <c r="M2249" s="1"/>
    </row>
    <row r="2250" spans="12:13" ht="13" customHeight="1">
      <c r="L2250" s="1"/>
      <c r="M2250" s="1"/>
    </row>
    <row r="2251" spans="12:13" ht="13" customHeight="1">
      <c r="L2251" s="1"/>
      <c r="M2251" s="1"/>
    </row>
    <row r="2252" spans="12:13" ht="13" customHeight="1">
      <c r="L2252" s="1"/>
      <c r="M2252" s="1"/>
    </row>
    <row r="2253" spans="12:13" ht="13" customHeight="1">
      <c r="L2253" s="1"/>
      <c r="M2253" s="1"/>
    </row>
    <row r="2254" spans="12:13" ht="13" customHeight="1">
      <c r="L2254" s="1"/>
      <c r="M2254" s="1"/>
    </row>
    <row r="2255" spans="12:13" ht="13" customHeight="1">
      <c r="L2255" s="1"/>
      <c r="M2255" s="1"/>
    </row>
    <row r="2256" spans="12:13" ht="13" customHeight="1">
      <c r="L2256" s="1"/>
      <c r="M2256" s="1"/>
    </row>
    <row r="2257" spans="12:13" ht="13" customHeight="1">
      <c r="L2257" s="1"/>
      <c r="M2257" s="1"/>
    </row>
    <row r="2258" spans="12:13" ht="13" customHeight="1">
      <c r="L2258" s="1"/>
      <c r="M2258" s="1"/>
    </row>
    <row r="2259" spans="12:13" ht="13" customHeight="1">
      <c r="L2259" s="1"/>
      <c r="M2259" s="1"/>
    </row>
    <row r="2260" spans="12:13" ht="13" customHeight="1">
      <c r="L2260" s="1"/>
      <c r="M2260" s="1"/>
    </row>
    <row r="2261" spans="12:13" ht="13" customHeight="1">
      <c r="L2261" s="1"/>
      <c r="M2261" s="1"/>
    </row>
    <row r="2262" spans="12:13" ht="13" customHeight="1">
      <c r="L2262" s="1"/>
      <c r="M2262" s="1"/>
    </row>
    <row r="2263" spans="12:13" ht="13" customHeight="1">
      <c r="L2263" s="1"/>
      <c r="M2263" s="1"/>
    </row>
    <row r="2264" spans="12:13" ht="13" customHeight="1">
      <c r="L2264" s="1"/>
      <c r="M2264" s="1"/>
    </row>
    <row r="2265" spans="12:13" ht="13" customHeight="1">
      <c r="L2265" s="1"/>
      <c r="M2265" s="1"/>
    </row>
    <row r="2266" spans="12:13" ht="13" customHeight="1">
      <c r="L2266" s="1"/>
      <c r="M2266" s="1"/>
    </row>
    <row r="2267" spans="12:13" ht="13" customHeight="1">
      <c r="L2267" s="1"/>
      <c r="M2267" s="1"/>
    </row>
    <row r="2268" spans="12:13" ht="13" customHeight="1">
      <c r="L2268" s="1"/>
      <c r="M2268" s="1"/>
    </row>
    <row r="2269" spans="12:13" ht="13" customHeight="1">
      <c r="L2269" s="1"/>
      <c r="M2269" s="1"/>
    </row>
    <row r="2270" spans="12:13" ht="13" customHeight="1">
      <c r="L2270" s="1"/>
      <c r="M2270" s="1"/>
    </row>
    <row r="2271" spans="12:13" ht="13" customHeight="1">
      <c r="L2271" s="1"/>
      <c r="M2271" s="1"/>
    </row>
    <row r="2272" spans="12:13" ht="13" customHeight="1">
      <c r="L2272" s="1"/>
      <c r="M2272" s="1"/>
    </row>
    <row r="2273" spans="12:13" ht="13" customHeight="1">
      <c r="L2273" s="1"/>
      <c r="M2273" s="1"/>
    </row>
    <row r="2274" spans="12:13" ht="13" customHeight="1">
      <c r="L2274" s="1"/>
      <c r="M2274" s="1"/>
    </row>
    <row r="2275" spans="12:13" ht="13" customHeight="1">
      <c r="L2275" s="1"/>
      <c r="M2275" s="1"/>
    </row>
    <row r="2276" spans="12:13" ht="13" customHeight="1">
      <c r="L2276" s="1"/>
      <c r="M2276" s="1"/>
    </row>
    <row r="2277" spans="12:13" ht="13" customHeight="1">
      <c r="L2277" s="1"/>
      <c r="M2277" s="1"/>
    </row>
    <row r="2278" spans="12:13" ht="13" customHeight="1">
      <c r="L2278" s="1"/>
      <c r="M2278" s="1"/>
    </row>
    <row r="2279" spans="12:13" ht="13" customHeight="1">
      <c r="L2279" s="1"/>
      <c r="M2279" s="1"/>
    </row>
    <row r="2280" spans="12:13" ht="13" customHeight="1">
      <c r="L2280" s="1"/>
      <c r="M2280" s="1"/>
    </row>
    <row r="2281" spans="12:13" ht="13" customHeight="1">
      <c r="L2281" s="1"/>
      <c r="M2281" s="1"/>
    </row>
    <row r="2282" spans="12:13" ht="13" customHeight="1">
      <c r="L2282" s="1"/>
      <c r="M2282" s="1"/>
    </row>
    <row r="2283" spans="12:13" ht="13" customHeight="1">
      <c r="L2283" s="1"/>
      <c r="M2283" s="1"/>
    </row>
    <row r="2284" spans="12:13" ht="13" customHeight="1">
      <c r="L2284" s="1"/>
      <c r="M2284" s="1"/>
    </row>
    <row r="2285" spans="12:13" ht="13" customHeight="1">
      <c r="L2285" s="1"/>
      <c r="M2285" s="1"/>
    </row>
    <row r="2286" spans="12:13" ht="13" customHeight="1">
      <c r="L2286" s="1"/>
      <c r="M2286" s="1"/>
    </row>
    <row r="2287" spans="12:13" ht="13" customHeight="1">
      <c r="L2287" s="1"/>
      <c r="M2287" s="1"/>
    </row>
    <row r="2288" spans="12:13" ht="13" customHeight="1">
      <c r="L2288" s="1"/>
      <c r="M2288" s="1"/>
    </row>
    <row r="2289" spans="12:13" ht="13" customHeight="1">
      <c r="L2289" s="1"/>
      <c r="M2289" s="1"/>
    </row>
    <row r="2290" spans="12:13" ht="13" customHeight="1">
      <c r="L2290" s="1"/>
      <c r="M2290" s="1"/>
    </row>
    <row r="2291" spans="12:13" ht="13" customHeight="1">
      <c r="L2291" s="1"/>
      <c r="M2291" s="1"/>
    </row>
    <row r="2292" spans="12:13" ht="13" customHeight="1">
      <c r="L2292" s="1"/>
      <c r="M2292" s="1"/>
    </row>
    <row r="2293" spans="12:13" ht="13" customHeight="1">
      <c r="L2293" s="1"/>
      <c r="M2293" s="1"/>
    </row>
    <row r="2294" spans="12:13" ht="13" customHeight="1">
      <c r="L2294" s="1"/>
      <c r="M2294" s="1"/>
    </row>
    <row r="2295" spans="12:13" ht="13" customHeight="1">
      <c r="L2295" s="1"/>
      <c r="M2295" s="1"/>
    </row>
    <row r="2296" spans="12:13" ht="13" customHeight="1">
      <c r="L2296" s="1"/>
      <c r="M2296" s="1"/>
    </row>
    <row r="2297" spans="12:13" ht="13" customHeight="1">
      <c r="L2297" s="1"/>
      <c r="M2297" s="1"/>
    </row>
    <row r="2298" spans="12:13" ht="13" customHeight="1">
      <c r="L2298" s="1"/>
      <c r="M2298" s="1"/>
    </row>
    <row r="2299" spans="12:13" ht="13" customHeight="1">
      <c r="L2299" s="1"/>
      <c r="M2299" s="1"/>
    </row>
    <row r="2300" spans="12:13" ht="13" customHeight="1">
      <c r="L2300" s="1"/>
      <c r="M2300" s="1"/>
    </row>
    <row r="2301" spans="12:13" ht="13" customHeight="1">
      <c r="L2301" s="1"/>
      <c r="M2301" s="1"/>
    </row>
    <row r="2302" spans="12:13" ht="13" customHeight="1">
      <c r="L2302" s="1"/>
      <c r="M2302" s="1"/>
    </row>
    <row r="2303" spans="12:13" ht="13" customHeight="1">
      <c r="L2303" s="1"/>
      <c r="M2303" s="1"/>
    </row>
    <row r="2304" spans="12:13" ht="13" customHeight="1">
      <c r="L2304" s="1"/>
      <c r="M2304" s="1"/>
    </row>
    <row r="2305" spans="12:13" ht="13" customHeight="1">
      <c r="L2305" s="1"/>
      <c r="M2305" s="1"/>
    </row>
    <row r="2306" spans="12:13" ht="13" customHeight="1">
      <c r="L2306" s="1"/>
      <c r="M2306" s="1"/>
    </row>
    <row r="2307" spans="12:13" ht="13" customHeight="1">
      <c r="L2307" s="1"/>
      <c r="M2307" s="1"/>
    </row>
    <row r="2308" spans="12:13" ht="13" customHeight="1">
      <c r="L2308" s="1"/>
      <c r="M2308" s="1"/>
    </row>
    <row r="2309" spans="12:13" ht="13" customHeight="1">
      <c r="L2309" s="1"/>
      <c r="M2309" s="1"/>
    </row>
    <row r="2310" spans="12:13" ht="13" customHeight="1">
      <c r="L2310" s="1"/>
      <c r="M2310" s="1"/>
    </row>
    <row r="2311" spans="12:13" ht="13" customHeight="1">
      <c r="L2311" s="1"/>
      <c r="M2311" s="1"/>
    </row>
    <row r="2312" spans="12:13" ht="13" customHeight="1">
      <c r="L2312" s="1"/>
      <c r="M2312" s="1"/>
    </row>
    <row r="2313" spans="12:13" ht="13" customHeight="1">
      <c r="L2313" s="1"/>
      <c r="M2313" s="1"/>
    </row>
    <row r="2314" spans="12:13" ht="13" customHeight="1">
      <c r="L2314" s="1"/>
      <c r="M2314" s="1"/>
    </row>
    <row r="2315" spans="12:13" ht="13" customHeight="1">
      <c r="L2315" s="1"/>
      <c r="M2315" s="1"/>
    </row>
    <row r="2316" spans="12:13" ht="13" customHeight="1">
      <c r="L2316" s="1"/>
      <c r="M2316" s="1"/>
    </row>
    <row r="2317" spans="12:13" ht="13" customHeight="1">
      <c r="L2317" s="1"/>
      <c r="M2317" s="1"/>
    </row>
    <row r="2318" spans="12:13" ht="13" customHeight="1">
      <c r="L2318" s="1"/>
      <c r="M2318" s="1"/>
    </row>
    <row r="2319" spans="12:13" ht="13" customHeight="1">
      <c r="L2319" s="1"/>
      <c r="M2319" s="1"/>
    </row>
    <row r="2320" spans="12:13" ht="13" customHeight="1">
      <c r="L2320" s="1"/>
      <c r="M2320" s="1"/>
    </row>
    <row r="2321" spans="12:13" ht="13" customHeight="1">
      <c r="L2321" s="1"/>
      <c r="M2321" s="1"/>
    </row>
    <row r="2322" spans="12:13" ht="13" customHeight="1">
      <c r="L2322" s="1"/>
      <c r="M2322" s="1"/>
    </row>
    <row r="2323" spans="12:13" ht="13" customHeight="1">
      <c r="L2323" s="1"/>
      <c r="M2323" s="1"/>
    </row>
    <row r="2324" spans="12:13" ht="13" customHeight="1">
      <c r="L2324" s="1"/>
      <c r="M2324" s="1"/>
    </row>
    <row r="2325" spans="12:13" ht="13" customHeight="1">
      <c r="L2325" s="1"/>
      <c r="M2325" s="1"/>
    </row>
    <row r="2326" spans="12:13" ht="13" customHeight="1">
      <c r="L2326" s="1"/>
      <c r="M2326" s="1"/>
    </row>
    <row r="2327" spans="12:13" ht="13" customHeight="1">
      <c r="L2327" s="1"/>
      <c r="M2327" s="1"/>
    </row>
    <row r="2328" spans="12:13" ht="13" customHeight="1">
      <c r="L2328" s="1"/>
      <c r="M2328" s="1"/>
    </row>
    <row r="2329" spans="12:13" ht="13" customHeight="1">
      <c r="L2329" s="1"/>
      <c r="M2329" s="1"/>
    </row>
    <row r="2330" spans="12:13" ht="13" customHeight="1">
      <c r="L2330" s="1"/>
      <c r="M2330" s="1"/>
    </row>
    <row r="2331" spans="12:13" ht="13" customHeight="1">
      <c r="L2331" s="1"/>
      <c r="M2331" s="1"/>
    </row>
    <row r="2332" spans="12:13" ht="13" customHeight="1">
      <c r="L2332" s="1"/>
      <c r="M2332" s="1"/>
    </row>
    <row r="2333" spans="12:13" ht="13" customHeight="1">
      <c r="L2333" s="1"/>
      <c r="M2333" s="1"/>
    </row>
    <row r="2334" spans="12:13" ht="13" customHeight="1">
      <c r="L2334" s="1"/>
      <c r="M2334" s="1"/>
    </row>
    <row r="2335" spans="12:13" ht="13" customHeight="1">
      <c r="L2335" s="1"/>
      <c r="M2335" s="1"/>
    </row>
    <row r="2336" spans="12:13" ht="13" customHeight="1">
      <c r="L2336" s="1"/>
      <c r="M2336" s="1"/>
    </row>
    <row r="2337" spans="12:13" ht="13" customHeight="1">
      <c r="L2337" s="1"/>
      <c r="M2337" s="1"/>
    </row>
    <row r="2338" spans="12:13" ht="13" customHeight="1">
      <c r="L2338" s="1"/>
      <c r="M2338" s="1"/>
    </row>
    <row r="2339" spans="12:13" ht="13" customHeight="1">
      <c r="L2339" s="1"/>
      <c r="M2339" s="1"/>
    </row>
    <row r="2340" spans="12:13" ht="13" customHeight="1">
      <c r="L2340" s="1"/>
      <c r="M2340" s="1"/>
    </row>
    <row r="2341" spans="12:13" ht="13" customHeight="1">
      <c r="L2341" s="1"/>
      <c r="M2341" s="1"/>
    </row>
    <row r="2342" spans="12:13" ht="13" customHeight="1">
      <c r="L2342" s="1"/>
      <c r="M2342" s="1"/>
    </row>
    <row r="2343" spans="12:13" ht="13" customHeight="1">
      <c r="L2343" s="1"/>
      <c r="M2343" s="1"/>
    </row>
    <row r="2344" spans="12:13" ht="13" customHeight="1">
      <c r="L2344" s="1"/>
      <c r="M2344" s="1"/>
    </row>
    <row r="2345" spans="12:13" ht="13" customHeight="1">
      <c r="L2345" s="1"/>
      <c r="M2345" s="1"/>
    </row>
    <row r="2346" spans="12:13" ht="13" customHeight="1">
      <c r="L2346" s="1"/>
      <c r="M2346" s="1"/>
    </row>
    <row r="2347" spans="12:13" ht="13" customHeight="1">
      <c r="L2347" s="1"/>
      <c r="M2347" s="1"/>
    </row>
    <row r="2348" spans="12:13" ht="13" customHeight="1">
      <c r="L2348" s="1"/>
      <c r="M2348" s="1"/>
    </row>
    <row r="2349" spans="12:13" ht="13" customHeight="1">
      <c r="L2349" s="1"/>
      <c r="M2349" s="1"/>
    </row>
    <row r="2350" spans="12:13" ht="13" customHeight="1">
      <c r="L2350" s="1"/>
      <c r="M2350" s="1"/>
    </row>
    <row r="2351" spans="12:13" ht="13" customHeight="1">
      <c r="L2351" s="1"/>
      <c r="M2351" s="1"/>
    </row>
    <row r="2352" spans="12:13" ht="13" customHeight="1">
      <c r="L2352" s="1"/>
      <c r="M2352" s="1"/>
    </row>
    <row r="2353" spans="12:13" ht="13" customHeight="1">
      <c r="L2353" s="1"/>
      <c r="M2353" s="1"/>
    </row>
    <row r="2354" spans="12:13" ht="13" customHeight="1">
      <c r="L2354" s="1"/>
      <c r="M2354" s="1"/>
    </row>
    <row r="2355" spans="12:13" ht="13" customHeight="1">
      <c r="L2355" s="1"/>
      <c r="M2355" s="1"/>
    </row>
    <row r="2356" spans="12:13" ht="13" customHeight="1">
      <c r="L2356" s="1"/>
      <c r="M2356" s="1"/>
    </row>
    <row r="2357" spans="12:13" ht="13" customHeight="1">
      <c r="L2357" s="1"/>
      <c r="M2357" s="1"/>
    </row>
    <row r="2358" spans="12:13" ht="13" customHeight="1">
      <c r="L2358" s="1"/>
      <c r="M2358" s="1"/>
    </row>
    <row r="2359" spans="12:13" ht="13" customHeight="1">
      <c r="L2359" s="1"/>
      <c r="M2359" s="1"/>
    </row>
    <row r="2360" spans="12:13" ht="13" customHeight="1">
      <c r="L2360" s="1"/>
      <c r="M2360" s="1"/>
    </row>
    <row r="2361" spans="12:13" ht="13" customHeight="1">
      <c r="L2361" s="1"/>
      <c r="M2361" s="1"/>
    </row>
    <row r="2362" spans="12:13" ht="13" customHeight="1">
      <c r="L2362" s="1"/>
      <c r="M2362" s="1"/>
    </row>
    <row r="2363" spans="12:13" ht="13" customHeight="1">
      <c r="L2363" s="1"/>
      <c r="M2363" s="1"/>
    </row>
    <row r="2364" spans="12:13" ht="13" customHeight="1">
      <c r="L2364" s="1"/>
      <c r="M2364" s="1"/>
    </row>
    <row r="2365" spans="12:13" ht="13" customHeight="1">
      <c r="L2365" s="1"/>
      <c r="M2365" s="1"/>
    </row>
    <row r="2366" spans="12:13" ht="13" customHeight="1">
      <c r="L2366" s="1"/>
      <c r="M2366" s="1"/>
    </row>
    <row r="2367" spans="12:13" ht="13" customHeight="1">
      <c r="L2367" s="1"/>
      <c r="M2367" s="1"/>
    </row>
    <row r="2368" spans="12:13" ht="13" customHeight="1">
      <c r="L2368" s="1"/>
      <c r="M2368" s="1"/>
    </row>
    <row r="2369" spans="12:13" ht="13" customHeight="1">
      <c r="L2369" s="1"/>
      <c r="M2369" s="1"/>
    </row>
    <row r="2370" spans="12:13" ht="13" customHeight="1">
      <c r="L2370" s="1"/>
      <c r="M2370" s="1"/>
    </row>
    <row r="2371" spans="12:13" ht="13" customHeight="1">
      <c r="L2371" s="1"/>
      <c r="M2371" s="1"/>
    </row>
    <row r="2372" spans="12:13" ht="13" customHeight="1">
      <c r="L2372" s="1"/>
      <c r="M2372" s="1"/>
    </row>
    <row r="2373" spans="12:13" ht="13" customHeight="1">
      <c r="L2373" s="1"/>
      <c r="M2373" s="1"/>
    </row>
    <row r="2374" spans="12:13" ht="13" customHeight="1">
      <c r="L2374" s="1"/>
      <c r="M2374" s="1"/>
    </row>
    <row r="2375" spans="12:13" ht="13" customHeight="1">
      <c r="L2375" s="1"/>
      <c r="M2375" s="1"/>
    </row>
    <row r="2376" spans="12:13" ht="13" customHeight="1">
      <c r="L2376" s="1"/>
      <c r="M2376" s="1"/>
    </row>
    <row r="2377" spans="12:13" ht="13" customHeight="1">
      <c r="L2377" s="1"/>
      <c r="M2377" s="1"/>
    </row>
    <row r="2378" spans="12:13" ht="13" customHeight="1">
      <c r="L2378" s="1"/>
      <c r="M2378" s="1"/>
    </row>
    <row r="2379" spans="12:13" ht="13" customHeight="1">
      <c r="L2379" s="1"/>
      <c r="M2379" s="1"/>
    </row>
  </sheetData>
  <mergeCells count="43">
    <mergeCell ref="AP28:AV28"/>
    <mergeCell ref="B1:AY1"/>
    <mergeCell ref="K20:Q20"/>
    <mergeCell ref="S20:Y20"/>
    <mergeCell ref="AB20:AH20"/>
    <mergeCell ref="AJ20:AP20"/>
    <mergeCell ref="C24:AX24"/>
    <mergeCell ref="C18:I18"/>
    <mergeCell ref="S18:Y18"/>
    <mergeCell ref="K18:Q18"/>
    <mergeCell ref="AD14:AJ14"/>
    <mergeCell ref="AP14:AV14"/>
    <mergeCell ref="AB18:AH18"/>
    <mergeCell ref="AF16:AL16"/>
    <mergeCell ref="AN16:AT16"/>
    <mergeCell ref="AR18:AX18"/>
    <mergeCell ref="AJ18:AP18"/>
    <mergeCell ref="C14:I14"/>
    <mergeCell ref="K14:Q14"/>
    <mergeCell ref="S14:Y14"/>
    <mergeCell ref="G16:M16"/>
    <mergeCell ref="O16:U16"/>
    <mergeCell ref="S8:Y8"/>
    <mergeCell ref="AA8:AG8"/>
    <mergeCell ref="AI8:AO8"/>
    <mergeCell ref="AQ8:AW8"/>
    <mergeCell ref="C12:AX12"/>
    <mergeCell ref="BO7:BR9"/>
    <mergeCell ref="BO4:BR4"/>
    <mergeCell ref="C26:K26"/>
    <mergeCell ref="C28:P28"/>
    <mergeCell ref="R28:X28"/>
    <mergeCell ref="Z28:AF28"/>
    <mergeCell ref="AH28:AN28"/>
    <mergeCell ref="BB12:BR12"/>
    <mergeCell ref="C4:J4"/>
    <mergeCell ref="L4:R4"/>
    <mergeCell ref="T4:Z4"/>
    <mergeCell ref="AB4:AH4"/>
    <mergeCell ref="AJ4:AP4"/>
    <mergeCell ref="AR4:AX4"/>
    <mergeCell ref="C8:I8"/>
    <mergeCell ref="K8:Q8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32"/>
  <sheetViews>
    <sheetView workbookViewId="0">
      <selection activeCell="E18" sqref="A2:Q20"/>
    </sheetView>
    <sheetView tabSelected="1" workbookViewId="1">
      <selection activeCell="E4" sqref="A2:Q8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3"/>
  </cols>
  <sheetData>
    <row r="1" spans="1:17" ht="18" customHeight="1">
      <c r="A1" t="s">
        <v>213</v>
      </c>
      <c r="B1" t="s">
        <v>7</v>
      </c>
      <c r="C1" t="s">
        <v>14</v>
      </c>
      <c r="D1" t="s">
        <v>165</v>
      </c>
      <c r="E1" t="s">
        <v>15</v>
      </c>
      <c r="F1" t="s">
        <v>210</v>
      </c>
      <c r="G1" t="s">
        <v>142</v>
      </c>
      <c r="H1" t="s">
        <v>16</v>
      </c>
      <c r="I1" t="s">
        <v>17</v>
      </c>
      <c r="J1" t="s">
        <v>194</v>
      </c>
      <c r="K1" t="s">
        <v>195</v>
      </c>
      <c r="L1" t="s">
        <v>196</v>
      </c>
      <c r="M1" t="s">
        <v>55</v>
      </c>
      <c r="N1" t="s">
        <v>197</v>
      </c>
      <c r="O1" t="s">
        <v>198</v>
      </c>
      <c r="P1" t="s">
        <v>208</v>
      </c>
      <c r="Q1" t="s">
        <v>211</v>
      </c>
    </row>
    <row r="2" spans="1:17" s="3" customFormat="1" ht="12" customHeight="1">
      <c r="A2" s="82"/>
      <c r="B2"/>
      <c r="C2"/>
      <c r="D2"/>
      <c r="E2"/>
      <c r="F2"/>
      <c r="G2"/>
      <c r="H2"/>
      <c r="I2" s="299"/>
      <c r="J2"/>
      <c r="K2"/>
      <c r="L2" s="298"/>
      <c r="M2"/>
      <c r="N2"/>
      <c r="O2"/>
      <c r="P2"/>
      <c r="Q2"/>
    </row>
    <row r="3" spans="1:17" s="3" customFormat="1"/>
    <row r="4" spans="1:17" s="3" customFormat="1"/>
    <row r="5" spans="1:17" s="3" customFormat="1"/>
    <row r="6" spans="1:17" s="3" customFormat="1"/>
    <row r="7" spans="1:17" s="3" customFormat="1"/>
    <row r="8" spans="1:17" s="3" customFormat="1"/>
    <row r="9" spans="1:17" s="3" customFormat="1"/>
    <row r="10" spans="1:17" s="3" customFormat="1"/>
    <row r="11" spans="1:17" s="3" customFormat="1"/>
    <row r="12" spans="1:17" s="3" customFormat="1"/>
    <row r="13" spans="1:17" s="3" customFormat="1"/>
    <row r="14" spans="1:17" s="3" customFormat="1"/>
    <row r="15" spans="1:17" s="3" customFormat="1"/>
    <row r="16" spans="1:17" s="3" customFormat="1"/>
    <row r="17" s="3" customFormat="1"/>
    <row r="18" s="3" customFormat="1"/>
    <row r="19" s="3" customFormat="1"/>
    <row r="20" s="3" customFormat="1"/>
    <row r="21" s="3" customFormat="1"/>
    <row r="22" s="3" customFormat="1"/>
    <row r="23" s="3" customFormat="1"/>
    <row r="24" s="3" customFormat="1"/>
    <row r="25" s="3" customFormat="1"/>
    <row r="26" s="3" customFormat="1"/>
    <row r="27" s="3" customFormat="1"/>
    <row r="28" s="3" customFormat="1"/>
    <row r="29" s="3" customFormat="1"/>
    <row r="30" s="3" customFormat="1"/>
    <row r="31" s="3" customFormat="1"/>
    <row r="32" s="3" customFormat="1"/>
    <row r="33" s="3" customFormat="1"/>
    <row r="34" s="3" customFormat="1"/>
    <row r="35" s="3" customFormat="1"/>
    <row r="36" s="3" customFormat="1"/>
    <row r="37" s="3" customFormat="1"/>
    <row r="38" s="3" customFormat="1"/>
    <row r="39" s="3" customFormat="1"/>
    <row r="40" s="3" customFormat="1"/>
    <row r="41" s="3" customFormat="1"/>
    <row r="42" s="3" customFormat="1"/>
    <row r="43" s="3" customFormat="1"/>
    <row r="44" s="3" customFormat="1"/>
    <row r="45" s="3" customFormat="1"/>
    <row r="46" s="3" customFormat="1"/>
    <row r="47" s="3" customFormat="1"/>
    <row r="48" s="3" customFormat="1"/>
    <row r="49" s="3" customFormat="1"/>
    <row r="50" s="3" customFormat="1"/>
    <row r="51" s="3" customFormat="1"/>
    <row r="52" s="3" customFormat="1"/>
    <row r="53" s="3" customFormat="1"/>
    <row r="54" s="3" customFormat="1"/>
    <row r="55" s="3" customFormat="1"/>
    <row r="56" s="3" customFormat="1"/>
    <row r="57" s="3" customFormat="1"/>
    <row r="58" s="3" customFormat="1"/>
    <row r="59" s="3" customFormat="1"/>
    <row r="60" s="3" customFormat="1"/>
    <row r="61" s="3" customFormat="1"/>
    <row r="62" s="3" customFormat="1"/>
    <row r="63" s="3" customFormat="1"/>
    <row r="64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  <row r="75" s="3" customFormat="1"/>
    <row r="76" s="3" customFormat="1"/>
    <row r="77" s="3" customFormat="1"/>
    <row r="78" s="3" customFormat="1"/>
    <row r="79" s="3" customFormat="1"/>
    <row r="80" s="3" customFormat="1"/>
    <row r="81" spans="1:17" s="3" customFormat="1"/>
    <row r="82" spans="1:17" s="3" customFormat="1"/>
    <row r="83" spans="1:17" s="3" customFormat="1"/>
    <row r="84" spans="1:17" s="3" customFormat="1"/>
    <row r="85" spans="1:17" s="3" customFormat="1"/>
    <row r="86" spans="1:17" s="3" customFormat="1"/>
    <row r="87" spans="1:17" s="3" customFormat="1"/>
    <row r="88" spans="1:17" s="3" customFormat="1"/>
    <row r="89" spans="1:17" s="3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3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3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3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3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3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3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3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3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3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3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3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3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3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3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3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3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3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3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3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3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3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3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3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3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3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3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3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3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3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3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3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3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3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3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3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3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3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3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3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3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3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3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3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3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3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3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3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3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3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3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3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3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3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3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3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3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3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3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3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3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3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3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3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3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3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3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3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3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3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3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3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3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3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3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3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3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3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3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3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3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3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3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3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3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3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3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3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3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3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3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3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3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3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3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3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3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3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3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3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3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3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3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3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3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3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3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3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3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3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3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3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3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3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3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3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3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3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3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3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3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3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3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3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3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3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3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3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3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3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3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3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3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3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3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3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3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3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3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3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3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3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3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3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3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3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3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3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3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3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3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3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3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3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3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3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3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3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3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3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3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3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3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3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3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3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3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3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3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3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3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3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3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3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3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3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3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3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3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3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3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3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3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3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3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3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3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3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3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3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3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3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3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3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3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3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3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3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3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3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3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3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3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3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3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3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3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3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3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3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3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3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3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3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3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3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3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3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3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3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3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3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3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3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3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3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3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3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3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3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3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3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3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3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3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3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3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3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3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3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3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3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3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3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3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3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3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3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3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3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3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3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3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3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3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3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3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3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3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3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3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3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3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3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3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3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3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3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3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3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3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3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3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3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3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3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3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3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3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3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3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3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3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3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3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3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3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3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3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3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3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3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3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3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3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3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3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3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3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3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3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3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3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3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3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3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3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3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3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3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3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3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3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3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3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3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3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3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3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3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3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3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3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3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3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3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3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3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3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3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3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3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3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3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3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3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3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3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3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3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3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3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3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3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3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3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3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3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3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3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3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3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3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3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3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3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3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3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3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3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3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3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3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3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3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3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3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3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3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3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3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3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3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3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3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3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3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3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3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3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3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3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3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3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3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3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3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3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3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3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3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3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3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3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3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3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3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3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3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3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3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3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3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3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3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3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3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3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3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3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3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3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3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3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3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3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3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3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3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3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3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3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3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3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3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3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3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3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3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3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3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3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3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3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3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3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3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3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3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3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3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3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3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3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</sheetData>
  <dataValidations count="5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7E1936B8-9405-E849-971F-6F3181457798}">
      <formula1>LISTE_MT_JOURNAL</formula1>
    </dataValidation>
    <dataValidation type="list" allowBlank="1" showErrorMessage="1" sqref="E2" xr:uid="{257B3579-880C-3C44-869A-67237BD6C7A2}">
      <formula1>LISTE_ACTIONS_JOURNAL</formula1>
    </dataValidation>
    <dataValidation type="list" allowBlank="1" showErrorMessage="1" sqref="G2" xr:uid="{86E85E47-14EF-B14B-8F1A-698F90B27290}">
      <formula1>LISTE_EQUIPES_JOURNAL</formula1>
    </dataValidation>
    <dataValidation type="list" allowBlank="1" showErrorMessage="1" sqref="F2" xr:uid="{AFE1F7AB-A99C-AB49-8FB2-B1D3482295B3}">
      <formula1>LISTE_MOTIFS_PENALITE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EEF30C4-6EF9-3345-9B1F-190D2135E374}">
          <x14:formula1>
            <xm:f>Paramètres!$AA$1:$AA$4</xm:f>
          </x14:formula1>
          <xm:sqref>C2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8"/>
  <sheetViews>
    <sheetView topLeftCell="A61" workbookViewId="0">
      <selection activeCell="H97" sqref="H97:J104"/>
    </sheetView>
    <sheetView workbookViewId="1"/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3"/>
    <col min="23" max="23" width="12.33203125" style="3" bestFit="1" customWidth="1"/>
    <col min="24" max="24" width="13.83203125" style="3" bestFit="1" customWidth="1"/>
    <col min="25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269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 xml:space="preserve">Stats par joueur - Match PF :  /  </v>
      </c>
      <c r="C3" s="270"/>
      <c r="D3" s="270"/>
      <c r="E3" s="270"/>
      <c r="F3" s="270"/>
      <c r="G3" s="270"/>
      <c r="H3" s="270"/>
      <c r="I3" s="270"/>
      <c r="J3" s="270"/>
      <c r="K3" s="270"/>
      <c r="L3" s="270"/>
      <c r="M3" s="270"/>
      <c r="N3" s="270"/>
      <c r="O3" s="270"/>
      <c r="P3" s="270"/>
      <c r="Q3" s="270"/>
      <c r="R3" s="270"/>
      <c r="S3" s="270"/>
      <c r="T3" s="271"/>
    </row>
    <row r="4" spans="2:37" s="3" customFormat="1" ht="20" customHeight="1">
      <c r="B4" s="272"/>
      <c r="C4" s="273"/>
      <c r="D4" s="273"/>
      <c r="E4" s="273"/>
      <c r="F4" s="273"/>
      <c r="G4" s="273"/>
      <c r="H4" s="273"/>
      <c r="I4" s="273"/>
      <c r="J4" s="273"/>
      <c r="K4" s="273"/>
      <c r="L4" s="273"/>
      <c r="M4" s="273"/>
      <c r="N4" s="273"/>
      <c r="O4" s="273"/>
      <c r="P4" s="273"/>
      <c r="Q4" s="273"/>
      <c r="R4" s="273"/>
      <c r="S4" s="273"/>
      <c r="T4" s="274"/>
    </row>
    <row r="5" spans="2:37" s="3" customFormat="1"/>
    <row r="6" spans="2:37" ht="14" customHeight="1">
      <c r="B6" s="265" t="s">
        <v>14</v>
      </c>
      <c r="C6" s="239" t="str">
        <f>ACT_PL_NORMAL</f>
        <v>Plaquage normal</v>
      </c>
      <c r="D6" s="237"/>
      <c r="E6" s="239" t="str">
        <f>ACT_PL_OFF</f>
        <v>Plaquage offensif</v>
      </c>
      <c r="F6" s="237"/>
      <c r="G6" s="239" t="str">
        <f>ACT_PL_RATE</f>
        <v>Plaquage raté</v>
      </c>
      <c r="H6" s="237"/>
      <c r="I6" s="239" t="str">
        <f>ACT_PL_A2</f>
        <v>Plaquage à 2</v>
      </c>
      <c r="J6" s="251"/>
      <c r="K6" s="251" t="str">
        <f>ACT_PL_HAUT</f>
        <v>Plaquage haut</v>
      </c>
      <c r="L6" s="237"/>
      <c r="M6" s="251" t="s">
        <v>10</v>
      </c>
      <c r="N6" s="237"/>
      <c r="O6" s="251" t="str">
        <f>ACT_FRANCHISSEMENT</f>
        <v>Franchissement</v>
      </c>
      <c r="P6" s="237"/>
      <c r="Q6" s="251" t="str">
        <f>ACT_AVANCEE</f>
        <v>Avancée au contact</v>
      </c>
      <c r="R6" s="237"/>
      <c r="S6" s="251" t="str">
        <f>ACT_ATT_NULLE</f>
        <v>Recul ou sans progression</v>
      </c>
      <c r="T6" s="237"/>
      <c r="U6" s="240" t="s">
        <v>230</v>
      </c>
      <c r="V6" s="241"/>
      <c r="W6" s="241"/>
      <c r="X6" s="241"/>
      <c r="Y6" s="241"/>
      <c r="Z6" s="242"/>
      <c r="AF6"/>
      <c r="AG6"/>
    </row>
    <row r="7" spans="2:37" ht="13" customHeight="1">
      <c r="B7" s="266"/>
      <c r="C7" s="49" t="s">
        <v>46</v>
      </c>
      <c r="D7" s="50" t="s">
        <v>44</v>
      </c>
      <c r="E7" s="51" t="s">
        <v>46</v>
      </c>
      <c r="F7" s="51" t="s">
        <v>44</v>
      </c>
      <c r="G7" s="49" t="s">
        <v>46</v>
      </c>
      <c r="H7" s="50" t="s">
        <v>44</v>
      </c>
      <c r="I7" s="49" t="s">
        <v>46</v>
      </c>
      <c r="J7" s="50" t="s">
        <v>44</v>
      </c>
      <c r="K7" s="49" t="s">
        <v>46</v>
      </c>
      <c r="L7" s="50" t="s">
        <v>44</v>
      </c>
      <c r="M7" s="51" t="s">
        <v>46</v>
      </c>
      <c r="N7" s="50" t="s">
        <v>44</v>
      </c>
      <c r="O7" s="51" t="s">
        <v>46</v>
      </c>
      <c r="P7" s="50" t="s">
        <v>44</v>
      </c>
      <c r="Q7" s="51" t="s">
        <v>46</v>
      </c>
      <c r="R7" s="50" t="s">
        <v>44</v>
      </c>
      <c r="S7" s="51" t="s">
        <v>46</v>
      </c>
      <c r="T7" s="50" t="s">
        <v>44</v>
      </c>
      <c r="U7" s="67" t="str">
        <f>ACT_PEN_MAUL</f>
        <v>Maul</v>
      </c>
      <c r="V7" s="67" t="str">
        <f>ACT_PEN_HORS_JEU</f>
        <v>Hors-jeu</v>
      </c>
      <c r="W7" s="67" t="str">
        <f>ACT_PEN_PL_A_2</f>
        <v>Plaquage à 2</v>
      </c>
      <c r="X7" s="67" t="str">
        <f>ACT_PEN_PL_HAUT</f>
        <v>Plaquage haut</v>
      </c>
      <c r="Y7" s="67" t="str">
        <f>ACT_PEN_RUCK</f>
        <v>Ruck</v>
      </c>
      <c r="Z7" s="67" t="str">
        <f>ACT_PEN_UNKNOWN</f>
        <v>?</v>
      </c>
      <c r="AF7"/>
      <c r="AG7"/>
    </row>
    <row r="8" spans="2:37">
      <c r="B8" s="28" t="str" cm="1">
        <f t="array" ref="B8">IFERROR(_xlfn._xlws.SORT(_xlfn._xlws.FILTER(COMPO[Nom du joueur],(COMPO[Nom du joueur]&lt;&gt;"")*(COMPO[Nom du joueur]&lt;&gt;"Collectif")*(COMPO[Nom du joueur]&lt;&gt;"?"))),"")</f>
        <v/>
      </c>
      <c r="C8" s="33" t="str">
        <f>IF(COUNTIFS(JournalActions[Joueur],$B8,JournalActions[Action],$C$6,JournalActions[Mi-temps],C$7)=0,"",COUNTIFS(JournalActions[Joueur],$B8,JournalActions[Action],$C$6,JournalActions[Mi-temps],C$7))</f>
        <v/>
      </c>
      <c r="D8" s="34" t="str">
        <f>IF(COUNTIFS(JournalActions[Joueur],$B8,JournalActions[Action],$C$6,JournalActions[Mi-temps],D$7)=0,"",COUNTIFS(JournalActions[Joueur],$B8,JournalActions[Action],$C$6,JournalActions[Mi-temps],D$7))</f>
        <v/>
      </c>
      <c r="E8" s="33" t="str">
        <f>IF(COUNTIFS(JournalActions[Joueur],$B8,JournalActions[Action],$E$6,JournalActions[Mi-temps],E$7)=0,"",COUNTIFS(JournalActions[Joueur],$B8,JournalActions[Action],$E$6,JournalActions[Mi-temps],E$7))</f>
        <v/>
      </c>
      <c r="F8" s="35" t="str">
        <f>IF(COUNTIFS(JournalActions[Joueur],$B8,JournalActions[Action],$E$6,JournalActions[Mi-temps],F$7)=0,"",COUNTIFS(JournalActions[Joueur],$B8,JournalActions[Action],$E$6,JournalActions[Mi-temps],F$7))</f>
        <v/>
      </c>
      <c r="G8" s="33" t="str">
        <f>IF(COUNTIFS(JournalActions[Joueur],$B8,JournalActions[Action],$G$6,JournalActions[Mi-temps],G$7)=0,"",COUNTIFS(JournalActions[Joueur],$B8,JournalActions[Action],$G$6,JournalActions[Mi-temps],G$7))</f>
        <v/>
      </c>
      <c r="H8" s="34" t="str">
        <f>IF(COUNTIFS(JournalActions[Joueur],$B8,JournalActions[Action],$G$6,JournalActions[Mi-temps],H$7)=0,"",COUNTIFS(JournalActions[Joueur],$B8,JournalActions[Action],$G$6,JournalActions[Mi-temps],H$7))</f>
        <v/>
      </c>
      <c r="I8" s="33" t="str">
        <f>IF(COUNTIFS(JournalActions[Joueur],$B8,JournalActions[Action],$I$6,JournalActions[Mi-temps],I$7)=0,"",COUNTIFS(JournalActions[Joueur],$B8,JournalActions[Action],$I$6,JournalActions[Mi-temps],I$7))</f>
        <v/>
      </c>
      <c r="J8" s="34" t="str">
        <f>IF(COUNTIFS(JournalActions[Joueur],$B8,JournalActions[Action],$I$6,JournalActions[Mi-temps],J$7)=0,"",COUNTIFS(JournalActions[Joueur],$B8,JournalActions[Action],$I$6,JournalActions[Mi-temps],J$7))</f>
        <v/>
      </c>
      <c r="K8" s="33" t="str">
        <f>IF(COUNTIFS(JournalActions[Joueur],$B8,JournalActions[Action],$K$6,JournalActions[Mi-temps],K$7)=0,"",COUNTIFS(JournalActions[Joueur],$B8,JournalActions[Action],$K$6,JournalActions[Mi-temps],K$7))</f>
        <v/>
      </c>
      <c r="L8" s="34" t="str">
        <f>IF(COUNTIFS(JournalActions[Joueur],$B8,JournalActions[Action],$K$6,JournalActions[Mi-temps],L$7)=0,"",COUNTIFS(JournalActions[Joueur],$B8,JournalActions[Action],$K$6,JournalActions[Mi-temps],L$7))</f>
        <v/>
      </c>
      <c r="M8" s="33" t="str">
        <f>IF(COUNTIFS(JournalActions[Joueur],$B8,JournalActions[Action],ACT_GRATTAGE_NS,JournalActions[Mi-temps],M$7)=0,"",COUNTIFS(JournalActions[Joueur],$B8,JournalActions[Action],ACT_GRATTAGE_NS,JournalActions[Mi-temps],M$7))</f>
        <v/>
      </c>
      <c r="N8" s="34" t="str">
        <f>IF(COUNTIFS(JournalActions[Joueur],$B8,JournalActions[Action],ACT_GRATTAGE_NS,JournalActions[Mi-temps],N$7)=0,"",COUNTIFS(JournalActions[Joueur],$B8,JournalActions[Action],ACT_GRATTAGE_NS,JournalActions[Mi-temps],N$7))</f>
        <v/>
      </c>
      <c r="O8" s="33" t="str">
        <f>IF(COUNTIFS(JournalActions[Joueur],$B8,JournalActions[Action],$O$6,JournalActions[Mi-temps],O$7)=0,"",COUNTIFS(JournalActions[Joueur],$B8,JournalActions[Action],$O$6,JournalActions[Mi-temps],O$7))</f>
        <v/>
      </c>
      <c r="P8" s="34" t="str">
        <f>IF(COUNTIFS(JournalActions[Joueur],$B8,JournalActions[Action],$O$6,JournalActions[Mi-temps],P$7)=0,"",COUNTIFS(JournalActions[Joueur],$B8,JournalActions[Action],$O$6,JournalActions[Mi-temps],P$7))</f>
        <v/>
      </c>
      <c r="Q8" s="33" t="str">
        <f>IF(COUNTIFS(JournalActions[Joueur],$B8,JournalActions[Action],$Q$6,JournalActions[Mi-temps],Q$7)=0,"",COUNTIFS(JournalActions[Joueur],$B8,JournalActions[Action],$Q$6,JournalActions[Mi-temps],Q$7))</f>
        <v/>
      </c>
      <c r="R8" s="34" t="str">
        <f>IF(COUNTIFS(JournalActions[Joueur],$B8,JournalActions[Action],$Q$6,JournalActions[Mi-temps],R$7)=0,"",COUNTIFS(JournalActions[Joueur],$B8,JournalActions[Action],$Q$6,JournalActions[Mi-temps],R$7))</f>
        <v/>
      </c>
      <c r="S8" s="33" t="str">
        <f>IF(COUNTIFS(JournalActions[Joueur],$B8,JournalActions[Action],$S$6,JournalActions[Mi-temps],S$7)=0,"",COUNTIFS(JournalActions[Joueur],$B8,JournalActions[Action],$S$6,JournalActions[Mi-temps],S$7))</f>
        <v/>
      </c>
      <c r="T8" s="34" t="str">
        <f>IF(COUNTIFS(JournalActions[Joueur],$B8,JournalActions[Action],$S$6,JournalActions[Mi-temps],T$7)=0,"",COUNTIFS(JournalActions[Joueur],$B8,JournalActions[Action],$S$6,JournalActions[Mi-temps],T$7))</f>
        <v/>
      </c>
      <c r="U8" s="61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1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1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1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1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1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28"/>
      <c r="C9" s="28" t="str">
        <f>IF(COUNTIFS(JournalActions[Joueur],$B9,JournalActions[Action],$C$6,JournalActions[Mi-temps],C$7)=0,"",COUNTIFS(JournalActions[Joueur],$B9,JournalActions[Action],$C$6,JournalActions[Mi-temps],C$7))</f>
        <v/>
      </c>
      <c r="D9" s="29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28" t="str">
        <f>IF(COUNTIFS(JournalActions[Joueur],$B9,JournalActions[Action],$G$6,JournalActions[Mi-temps],G$7)=0,"",COUNTIFS(JournalActions[Joueur],$B9,JournalActions[Action],$G$6,JournalActions[Mi-temps],G$7))</f>
        <v/>
      </c>
      <c r="H9" s="29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28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28" t="str">
        <f>IF(COUNTIFS(JournalActions[Joueur],$B9,JournalActions[Action],ACT_GRATTAGE_NS,JournalActions[Mi-temps],M$7)=0,"",COUNTIFS(JournalActions[Joueur],$B9,JournalActions[Action],ACT_GRATTAGE_NS,JournalActions[Mi-temps],M$7))</f>
        <v/>
      </c>
      <c r="N9" s="29" t="str">
        <f>IF(COUNTIFS(JournalActions[Joueur],$B9,JournalActions[Action],ACT_GRATTAGE_NS,JournalActions[Mi-temps],N$7)=0,"",COUNTIFS(JournalActions[Joueur],$B9,JournalActions[Action],ACT_GRATTAGE_NS,JournalActions[Mi-temps],N$7))</f>
        <v/>
      </c>
      <c r="O9" s="28" t="str">
        <f>IF(COUNTIFS(JournalActions[Joueur],$B9,JournalActions[Action],$O$6,JournalActions[Mi-temps],O$7)=0,"",COUNTIFS(JournalActions[Joueur],$B9,JournalActions[Action],$O$6,JournalActions[Mi-temps],O$7))</f>
        <v/>
      </c>
      <c r="P9" s="29" t="str">
        <f>IF(COUNTIFS(JournalActions[Joueur],$B9,JournalActions[Action],$O$6,JournalActions[Mi-temps],P$7)=0,"",COUNTIFS(JournalActions[Joueur],$B9,JournalActions[Action],$O$6,JournalActions[Mi-temps],P$7))</f>
        <v/>
      </c>
      <c r="Q9" s="28" t="str">
        <f>IF(COUNTIFS(JournalActions[Joueur],$B9,JournalActions[Action],$Q$6,JournalActions[Mi-temps],Q$7)=0,"",COUNTIFS(JournalActions[Joueur],$B9,JournalActions[Action],$Q$6,JournalActions[Mi-temps],Q$7))</f>
        <v/>
      </c>
      <c r="R9" s="29" t="str">
        <f>IF(COUNTIFS(JournalActions[Joueur],$B9,JournalActions[Action],$Q$6,JournalActions[Mi-temps],R$7)=0,"",COUNTIFS(JournalActions[Joueur],$B9,JournalActions[Action],$Q$6,JournalActions[Mi-temps],R$7))</f>
        <v/>
      </c>
      <c r="S9" s="28" t="str">
        <f>IF(COUNTIFS(JournalActions[Joueur],$B9,JournalActions[Action],$S$6,JournalActions[Mi-temps],S$7)=0,"",COUNTIFS(JournalActions[Joueur],$B9,JournalActions[Action],$S$6,JournalActions[Mi-temps],S$7))</f>
        <v/>
      </c>
      <c r="T9" s="29" t="str">
        <f>IF(COUNTIFS(JournalActions[Joueur],$B9,JournalActions[Action],$S$6,JournalActions[Mi-temps],T$7)=0,"",COUNTIFS(JournalActions[Joueur],$B9,JournalActions[Action],$S$6,JournalActions[Mi-temps],T$7))</f>
        <v/>
      </c>
      <c r="U9" s="68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68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68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68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68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68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28"/>
      <c r="C10" s="28" t="str">
        <f>IF(COUNTIFS(JournalActions[Joueur],$B10,JournalActions[Action],$C$6,JournalActions[Mi-temps],C$7)=0,"",COUNTIFS(JournalActions[Joueur],$B10,JournalActions[Action],$C$6,JournalActions[Mi-temps],C$7))</f>
        <v/>
      </c>
      <c r="D10" s="29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28" t="str">
        <f>IF(COUNTIFS(JournalActions[Joueur],$B10,JournalActions[Action],$G$6,JournalActions[Mi-temps],G$7)=0,"",COUNTIFS(JournalActions[Joueur],$B10,JournalActions[Action],$G$6,JournalActions[Mi-temps],G$7))</f>
        <v/>
      </c>
      <c r="H10" s="29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28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28" t="str">
        <f>IF(COUNTIFS(JournalActions[Joueur],$B10,JournalActions[Action],ACT_GRATTAGE_NS,JournalActions[Mi-temps],M$7)=0,"",COUNTIFS(JournalActions[Joueur],$B10,JournalActions[Action],ACT_GRATTAGE_NS,JournalActions[Mi-temps],M$7))</f>
        <v/>
      </c>
      <c r="N10" s="29" t="str">
        <f>IF(COUNTIFS(JournalActions[Joueur],$B10,JournalActions[Action],ACT_GRATTAGE_NS,JournalActions[Mi-temps],N$7)=0,"",COUNTIFS(JournalActions[Joueur],$B10,JournalActions[Action],ACT_GRATTAGE_NS,JournalActions[Mi-temps],N$7))</f>
        <v/>
      </c>
      <c r="O10" s="28" t="str">
        <f>IF(COUNTIFS(JournalActions[Joueur],$B10,JournalActions[Action],$O$6,JournalActions[Mi-temps],O$7)=0,"",COUNTIFS(JournalActions[Joueur],$B10,JournalActions[Action],$O$6,JournalActions[Mi-temps],O$7))</f>
        <v/>
      </c>
      <c r="P10" s="29" t="str">
        <f>IF(COUNTIFS(JournalActions[Joueur],$B10,JournalActions[Action],$O$6,JournalActions[Mi-temps],P$7)=0,"",COUNTIFS(JournalActions[Joueur],$B10,JournalActions[Action],$O$6,JournalActions[Mi-temps],P$7))</f>
        <v/>
      </c>
      <c r="Q10" s="28" t="str">
        <f>IF(COUNTIFS(JournalActions[Joueur],$B10,JournalActions[Action],$Q$6,JournalActions[Mi-temps],Q$7)=0,"",COUNTIFS(JournalActions[Joueur],$B10,JournalActions[Action],$Q$6,JournalActions[Mi-temps],Q$7))</f>
        <v/>
      </c>
      <c r="R10" s="29" t="str">
        <f>IF(COUNTIFS(JournalActions[Joueur],$B10,JournalActions[Action],$Q$6,JournalActions[Mi-temps],R$7)=0,"",COUNTIFS(JournalActions[Joueur],$B10,JournalActions[Action],$Q$6,JournalActions[Mi-temps],R$7))</f>
        <v/>
      </c>
      <c r="S10" s="28" t="str">
        <f>IF(COUNTIFS(JournalActions[Joueur],$B10,JournalActions[Action],$S$6,JournalActions[Mi-temps],S$7)=0,"",COUNTIFS(JournalActions[Joueur],$B10,JournalActions[Action],$S$6,JournalActions[Mi-temps],S$7))</f>
        <v/>
      </c>
      <c r="T10" s="29" t="str">
        <f>IF(COUNTIFS(JournalActions[Joueur],$B10,JournalActions[Action],$S$6,JournalActions[Mi-temps],T$7)=0,"",COUNTIFS(JournalActions[Joueur],$B10,JournalActions[Action],$S$6,JournalActions[Mi-temps],T$7))</f>
        <v/>
      </c>
      <c r="U10" s="68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68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68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68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68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68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28"/>
      <c r="C11" s="28" t="str">
        <f>IF(COUNTIFS(JournalActions[Joueur],$B11,JournalActions[Action],$C$6,JournalActions[Mi-temps],C$7)=0,"",COUNTIFS(JournalActions[Joueur],$B11,JournalActions[Action],$C$6,JournalActions[Mi-temps],C$7))</f>
        <v/>
      </c>
      <c r="D11" s="29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28" t="str">
        <f>IF(COUNTIFS(JournalActions[Joueur],$B11,JournalActions[Action],$G$6,JournalActions[Mi-temps],G$7)=0,"",COUNTIFS(JournalActions[Joueur],$B11,JournalActions[Action],$G$6,JournalActions[Mi-temps],G$7))</f>
        <v/>
      </c>
      <c r="H11" s="29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28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28" t="str">
        <f>IF(COUNTIFS(JournalActions[Joueur],$B11,JournalActions[Action],ACT_GRATTAGE_NS,JournalActions[Mi-temps],M$7)=0,"",COUNTIFS(JournalActions[Joueur],$B11,JournalActions[Action],ACT_GRATTAGE_NS,JournalActions[Mi-temps],M$7))</f>
        <v/>
      </c>
      <c r="N11" s="29" t="str">
        <f>IF(COUNTIFS(JournalActions[Joueur],$B11,JournalActions[Action],ACT_GRATTAGE_NS,JournalActions[Mi-temps],N$7)=0,"",COUNTIFS(JournalActions[Joueur],$B11,JournalActions[Action],ACT_GRATTAGE_NS,JournalActions[Mi-temps],N$7))</f>
        <v/>
      </c>
      <c r="O11" s="28" t="str">
        <f>IF(COUNTIFS(JournalActions[Joueur],$B11,JournalActions[Action],$O$6,JournalActions[Mi-temps],O$7)=0,"",COUNTIFS(JournalActions[Joueur],$B11,JournalActions[Action],$O$6,JournalActions[Mi-temps],O$7))</f>
        <v/>
      </c>
      <c r="P11" s="29" t="str">
        <f>IF(COUNTIFS(JournalActions[Joueur],$B11,JournalActions[Action],$O$6,JournalActions[Mi-temps],P$7)=0,"",COUNTIFS(JournalActions[Joueur],$B11,JournalActions[Action],$O$6,JournalActions[Mi-temps],P$7))</f>
        <v/>
      </c>
      <c r="Q11" s="28" t="str">
        <f>IF(COUNTIFS(JournalActions[Joueur],$B11,JournalActions[Action],$Q$6,JournalActions[Mi-temps],Q$7)=0,"",COUNTIFS(JournalActions[Joueur],$B11,JournalActions[Action],$Q$6,JournalActions[Mi-temps],Q$7))</f>
        <v/>
      </c>
      <c r="R11" s="29" t="str">
        <f>IF(COUNTIFS(JournalActions[Joueur],$B11,JournalActions[Action],$Q$6,JournalActions[Mi-temps],R$7)=0,"",COUNTIFS(JournalActions[Joueur],$B11,JournalActions[Action],$Q$6,JournalActions[Mi-temps],R$7))</f>
        <v/>
      </c>
      <c r="S11" s="28" t="str">
        <f>IF(COUNTIFS(JournalActions[Joueur],$B11,JournalActions[Action],$S$6,JournalActions[Mi-temps],S$7)=0,"",COUNTIFS(JournalActions[Joueur],$B11,JournalActions[Action],$S$6,JournalActions[Mi-temps],S$7))</f>
        <v/>
      </c>
      <c r="T11" s="29" t="str">
        <f>IF(COUNTIFS(JournalActions[Joueur],$B11,JournalActions[Action],$S$6,JournalActions[Mi-temps],T$7)=0,"",COUNTIFS(JournalActions[Joueur],$B11,JournalActions[Action],$S$6,JournalActions[Mi-temps],T$7))</f>
        <v/>
      </c>
      <c r="U11" s="68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68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68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68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68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68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28"/>
      <c r="C12" s="28" t="str">
        <f>IF(COUNTIFS(JournalActions[Joueur],$B12,JournalActions[Action],$C$6,JournalActions[Mi-temps],C$7)=0,"",COUNTIFS(JournalActions[Joueur],$B12,JournalActions[Action],$C$6,JournalActions[Mi-temps],C$7))</f>
        <v/>
      </c>
      <c r="D12" s="29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28" t="str">
        <f>IF(COUNTIFS(JournalActions[Joueur],$B12,JournalActions[Action],$G$6,JournalActions[Mi-temps],G$7)=0,"",COUNTIFS(JournalActions[Joueur],$B12,JournalActions[Action],$G$6,JournalActions[Mi-temps],G$7))</f>
        <v/>
      </c>
      <c r="H12" s="29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28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28" t="str">
        <f>IF(COUNTIFS(JournalActions[Joueur],$B12,JournalActions[Action],ACT_GRATTAGE_NS,JournalActions[Mi-temps],M$7)=0,"",COUNTIFS(JournalActions[Joueur],$B12,JournalActions[Action],ACT_GRATTAGE_NS,JournalActions[Mi-temps],M$7))</f>
        <v/>
      </c>
      <c r="N12" s="29" t="str">
        <f>IF(COUNTIFS(JournalActions[Joueur],$B12,JournalActions[Action],ACT_GRATTAGE_NS,JournalActions[Mi-temps],N$7)=0,"",COUNTIFS(JournalActions[Joueur],$B12,JournalActions[Action],ACT_GRATTAGE_NS,JournalActions[Mi-temps],N$7))</f>
        <v/>
      </c>
      <c r="O12" s="28" t="str">
        <f>IF(COUNTIFS(JournalActions[Joueur],$B12,JournalActions[Action],$O$6,JournalActions[Mi-temps],O$7)=0,"",COUNTIFS(JournalActions[Joueur],$B12,JournalActions[Action],$O$6,JournalActions[Mi-temps],O$7))</f>
        <v/>
      </c>
      <c r="P12" s="29" t="str">
        <f>IF(COUNTIFS(JournalActions[Joueur],$B12,JournalActions[Action],$O$6,JournalActions[Mi-temps],P$7)=0,"",COUNTIFS(JournalActions[Joueur],$B12,JournalActions[Action],$O$6,JournalActions[Mi-temps],P$7))</f>
        <v/>
      </c>
      <c r="Q12" s="28" t="str">
        <f>IF(COUNTIFS(JournalActions[Joueur],$B12,JournalActions[Action],$Q$6,JournalActions[Mi-temps],Q$7)=0,"",COUNTIFS(JournalActions[Joueur],$B12,JournalActions[Action],$Q$6,JournalActions[Mi-temps],Q$7))</f>
        <v/>
      </c>
      <c r="R12" s="29" t="str">
        <f>IF(COUNTIFS(JournalActions[Joueur],$B12,JournalActions[Action],$Q$6,JournalActions[Mi-temps],R$7)=0,"",COUNTIFS(JournalActions[Joueur],$B12,JournalActions[Action],$Q$6,JournalActions[Mi-temps],R$7))</f>
        <v/>
      </c>
      <c r="S12" s="28" t="str">
        <f>IF(COUNTIFS(JournalActions[Joueur],$B12,JournalActions[Action],$S$6,JournalActions[Mi-temps],S$7)=0,"",COUNTIFS(JournalActions[Joueur],$B12,JournalActions[Action],$S$6,JournalActions[Mi-temps],S$7))</f>
        <v/>
      </c>
      <c r="T12" s="29" t="str">
        <f>IF(COUNTIFS(JournalActions[Joueur],$B12,JournalActions[Action],$S$6,JournalActions[Mi-temps],T$7)=0,"",COUNTIFS(JournalActions[Joueur],$B12,JournalActions[Action],$S$6,JournalActions[Mi-temps],T$7))</f>
        <v/>
      </c>
      <c r="U12" s="68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68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68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68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68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68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28"/>
      <c r="C13" s="28" t="str">
        <f>IF(COUNTIFS(JournalActions[Joueur],$B13,JournalActions[Action],$C$6,JournalActions[Mi-temps],C$7)=0,"",COUNTIFS(JournalActions[Joueur],$B13,JournalActions[Action],$C$6,JournalActions[Mi-temps],C$7))</f>
        <v/>
      </c>
      <c r="D13" s="29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28" t="str">
        <f>IF(COUNTIFS(JournalActions[Joueur],$B13,JournalActions[Action],$G$6,JournalActions[Mi-temps],G$7)=0,"",COUNTIFS(JournalActions[Joueur],$B13,JournalActions[Action],$G$6,JournalActions[Mi-temps],G$7))</f>
        <v/>
      </c>
      <c r="H13" s="29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28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28" t="str">
        <f>IF(COUNTIFS(JournalActions[Joueur],$B13,JournalActions[Action],ACT_GRATTAGE_NS,JournalActions[Mi-temps],M$7)=0,"",COUNTIFS(JournalActions[Joueur],$B13,JournalActions[Action],ACT_GRATTAGE_NS,JournalActions[Mi-temps],M$7))</f>
        <v/>
      </c>
      <c r="N13" s="29" t="str">
        <f>IF(COUNTIFS(JournalActions[Joueur],$B13,JournalActions[Action],ACT_GRATTAGE_NS,JournalActions[Mi-temps],N$7)=0,"",COUNTIFS(JournalActions[Joueur],$B13,JournalActions[Action],ACT_GRATTAGE_NS,JournalActions[Mi-temps],N$7))</f>
        <v/>
      </c>
      <c r="O13" s="28" t="str">
        <f>IF(COUNTIFS(JournalActions[Joueur],$B13,JournalActions[Action],$O$6,JournalActions[Mi-temps],O$7)=0,"",COUNTIFS(JournalActions[Joueur],$B13,JournalActions[Action],$O$6,JournalActions[Mi-temps],O$7))</f>
        <v/>
      </c>
      <c r="P13" s="29" t="str">
        <f>IF(COUNTIFS(JournalActions[Joueur],$B13,JournalActions[Action],$O$6,JournalActions[Mi-temps],P$7)=0,"",COUNTIFS(JournalActions[Joueur],$B13,JournalActions[Action],$O$6,JournalActions[Mi-temps],P$7))</f>
        <v/>
      </c>
      <c r="Q13" s="28" t="str">
        <f>IF(COUNTIFS(JournalActions[Joueur],$B13,JournalActions[Action],$Q$6,JournalActions[Mi-temps],Q$7)=0,"",COUNTIFS(JournalActions[Joueur],$B13,JournalActions[Action],$Q$6,JournalActions[Mi-temps],Q$7))</f>
        <v/>
      </c>
      <c r="R13" s="29" t="str">
        <f>IF(COUNTIFS(JournalActions[Joueur],$B13,JournalActions[Action],$Q$6,JournalActions[Mi-temps],R$7)=0,"",COUNTIFS(JournalActions[Joueur],$B13,JournalActions[Action],$Q$6,JournalActions[Mi-temps],R$7))</f>
        <v/>
      </c>
      <c r="S13" s="28" t="str">
        <f>IF(COUNTIFS(JournalActions[Joueur],$B13,JournalActions[Action],$S$6,JournalActions[Mi-temps],S$7)=0,"",COUNTIFS(JournalActions[Joueur],$B13,JournalActions[Action],$S$6,JournalActions[Mi-temps],S$7))</f>
        <v/>
      </c>
      <c r="T13" s="29" t="str">
        <f>IF(COUNTIFS(JournalActions[Joueur],$B13,JournalActions[Action],$S$6,JournalActions[Mi-temps],T$7)=0,"",COUNTIFS(JournalActions[Joueur],$B13,JournalActions[Action],$S$6,JournalActions[Mi-temps],T$7))</f>
        <v/>
      </c>
      <c r="U13" s="68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68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68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68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68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68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28"/>
      <c r="C14" s="28" t="str">
        <f>IF(COUNTIFS(JournalActions[Joueur],$B14,JournalActions[Action],$C$6,JournalActions[Mi-temps],C$7)=0,"",COUNTIFS(JournalActions[Joueur],$B14,JournalActions[Action],$C$6,JournalActions[Mi-temps],C$7))</f>
        <v/>
      </c>
      <c r="D14" s="29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28" t="str">
        <f>IF(COUNTIFS(JournalActions[Joueur],$B14,JournalActions[Action],$G$6,JournalActions[Mi-temps],G$7)=0,"",COUNTIFS(JournalActions[Joueur],$B14,JournalActions[Action],$G$6,JournalActions[Mi-temps],G$7))</f>
        <v/>
      </c>
      <c r="H14" s="29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28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28" t="str">
        <f>IF(COUNTIFS(JournalActions[Joueur],$B14,JournalActions[Action],ACT_GRATTAGE_NS,JournalActions[Mi-temps],M$7)=0,"",COUNTIFS(JournalActions[Joueur],$B14,JournalActions[Action],ACT_GRATTAGE_NS,JournalActions[Mi-temps],M$7))</f>
        <v/>
      </c>
      <c r="N14" s="29" t="str">
        <f>IF(COUNTIFS(JournalActions[Joueur],$B14,JournalActions[Action],ACT_GRATTAGE_NS,JournalActions[Mi-temps],N$7)=0,"",COUNTIFS(JournalActions[Joueur],$B14,JournalActions[Action],ACT_GRATTAGE_NS,JournalActions[Mi-temps],N$7))</f>
        <v/>
      </c>
      <c r="O14" s="28" t="str">
        <f>IF(COUNTIFS(JournalActions[Joueur],$B14,JournalActions[Action],$O$6,JournalActions[Mi-temps],O$7)=0,"",COUNTIFS(JournalActions[Joueur],$B14,JournalActions[Action],$O$6,JournalActions[Mi-temps],O$7))</f>
        <v/>
      </c>
      <c r="P14" s="29" t="str">
        <f>IF(COUNTIFS(JournalActions[Joueur],$B14,JournalActions[Action],$O$6,JournalActions[Mi-temps],P$7)=0,"",COUNTIFS(JournalActions[Joueur],$B14,JournalActions[Action],$O$6,JournalActions[Mi-temps],P$7))</f>
        <v/>
      </c>
      <c r="Q14" s="28" t="str">
        <f>IF(COUNTIFS(JournalActions[Joueur],$B14,JournalActions[Action],$Q$6,JournalActions[Mi-temps],Q$7)=0,"",COUNTIFS(JournalActions[Joueur],$B14,JournalActions[Action],$Q$6,JournalActions[Mi-temps],Q$7))</f>
        <v/>
      </c>
      <c r="R14" s="29" t="str">
        <f>IF(COUNTIFS(JournalActions[Joueur],$B14,JournalActions[Action],$Q$6,JournalActions[Mi-temps],R$7)=0,"",COUNTIFS(JournalActions[Joueur],$B14,JournalActions[Action],$Q$6,JournalActions[Mi-temps],R$7))</f>
        <v/>
      </c>
      <c r="S14" s="28" t="str">
        <f>IF(COUNTIFS(JournalActions[Joueur],$B14,JournalActions[Action],$S$6,JournalActions[Mi-temps],S$7)=0,"",COUNTIFS(JournalActions[Joueur],$B14,JournalActions[Action],$S$6,JournalActions[Mi-temps],S$7))</f>
        <v/>
      </c>
      <c r="T14" s="29" t="str">
        <f>IF(COUNTIFS(JournalActions[Joueur],$B14,JournalActions[Action],$S$6,JournalActions[Mi-temps],T$7)=0,"",COUNTIFS(JournalActions[Joueur],$B14,JournalActions[Action],$S$6,JournalActions[Mi-temps],T$7))</f>
        <v/>
      </c>
      <c r="U14" s="68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68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68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68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68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68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28"/>
      <c r="C15" s="28" t="str">
        <f>IF(COUNTIFS(JournalActions[Joueur],$B15,JournalActions[Action],$C$6,JournalActions[Mi-temps],C$7)=0,"",COUNTIFS(JournalActions[Joueur],$B15,JournalActions[Action],$C$6,JournalActions[Mi-temps],C$7))</f>
        <v/>
      </c>
      <c r="D15" s="29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28" t="str">
        <f>IF(COUNTIFS(JournalActions[Joueur],$B15,JournalActions[Action],$G$6,JournalActions[Mi-temps],G$7)=0,"",COUNTIFS(JournalActions[Joueur],$B15,JournalActions[Action],$G$6,JournalActions[Mi-temps],G$7))</f>
        <v/>
      </c>
      <c r="H15" s="29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28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28" t="str">
        <f>IF(COUNTIFS(JournalActions[Joueur],$B15,JournalActions[Action],ACT_GRATTAGE_NS,JournalActions[Mi-temps],M$7)=0,"",COUNTIFS(JournalActions[Joueur],$B15,JournalActions[Action],ACT_GRATTAGE_NS,JournalActions[Mi-temps],M$7))</f>
        <v/>
      </c>
      <c r="N15" s="29" t="str">
        <f>IF(COUNTIFS(JournalActions[Joueur],$B15,JournalActions[Action],ACT_GRATTAGE_NS,JournalActions[Mi-temps],N$7)=0,"",COUNTIFS(JournalActions[Joueur],$B15,JournalActions[Action],ACT_GRATTAGE_NS,JournalActions[Mi-temps],N$7))</f>
        <v/>
      </c>
      <c r="O15" s="28" t="str">
        <f>IF(COUNTIFS(JournalActions[Joueur],$B15,JournalActions[Action],$O$6,JournalActions[Mi-temps],O$7)=0,"",COUNTIFS(JournalActions[Joueur],$B15,JournalActions[Action],$O$6,JournalActions[Mi-temps],O$7))</f>
        <v/>
      </c>
      <c r="P15" s="29" t="str">
        <f>IF(COUNTIFS(JournalActions[Joueur],$B15,JournalActions[Action],$O$6,JournalActions[Mi-temps],P$7)=0,"",COUNTIFS(JournalActions[Joueur],$B15,JournalActions[Action],$O$6,JournalActions[Mi-temps],P$7))</f>
        <v/>
      </c>
      <c r="Q15" s="28" t="str">
        <f>IF(COUNTIFS(JournalActions[Joueur],$B15,JournalActions[Action],$Q$6,JournalActions[Mi-temps],Q$7)=0,"",COUNTIFS(JournalActions[Joueur],$B15,JournalActions[Action],$Q$6,JournalActions[Mi-temps],Q$7))</f>
        <v/>
      </c>
      <c r="R15" s="29" t="str">
        <f>IF(COUNTIFS(JournalActions[Joueur],$B15,JournalActions[Action],$Q$6,JournalActions[Mi-temps],R$7)=0,"",COUNTIFS(JournalActions[Joueur],$B15,JournalActions[Action],$Q$6,JournalActions[Mi-temps],R$7))</f>
        <v/>
      </c>
      <c r="S15" s="28" t="str">
        <f>IF(COUNTIFS(JournalActions[Joueur],$B15,JournalActions[Action],$S$6,JournalActions[Mi-temps],S$7)=0,"",COUNTIFS(JournalActions[Joueur],$B15,JournalActions[Action],$S$6,JournalActions[Mi-temps],S$7))</f>
        <v/>
      </c>
      <c r="T15" s="29" t="str">
        <f>IF(COUNTIFS(JournalActions[Joueur],$B15,JournalActions[Action],$S$6,JournalActions[Mi-temps],T$7)=0,"",COUNTIFS(JournalActions[Joueur],$B15,JournalActions[Action],$S$6,JournalActions[Mi-temps],T$7))</f>
        <v/>
      </c>
      <c r="U15" s="68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68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68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68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68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68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28"/>
      <c r="C16" s="28" t="str">
        <f>IF(COUNTIFS(JournalActions[Joueur],$B16,JournalActions[Action],$C$6,JournalActions[Mi-temps],C$7)=0,"",COUNTIFS(JournalActions[Joueur],$B16,JournalActions[Action],$C$6,JournalActions[Mi-temps],C$7))</f>
        <v/>
      </c>
      <c r="D16" s="29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28" t="str">
        <f>IF(COUNTIFS(JournalActions[Joueur],$B16,JournalActions[Action],$G$6,JournalActions[Mi-temps],G$7)=0,"",COUNTIFS(JournalActions[Joueur],$B16,JournalActions[Action],$G$6,JournalActions[Mi-temps],G$7))</f>
        <v/>
      </c>
      <c r="H16" s="29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28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28" t="str">
        <f>IF(COUNTIFS(JournalActions[Joueur],$B16,JournalActions[Action],ACT_GRATTAGE_NS,JournalActions[Mi-temps],M$7)=0,"",COUNTIFS(JournalActions[Joueur],$B16,JournalActions[Action],ACT_GRATTAGE_NS,JournalActions[Mi-temps],M$7))</f>
        <v/>
      </c>
      <c r="N16" s="29" t="str">
        <f>IF(COUNTIFS(JournalActions[Joueur],$B16,JournalActions[Action],ACT_GRATTAGE_NS,JournalActions[Mi-temps],N$7)=0,"",COUNTIFS(JournalActions[Joueur],$B16,JournalActions[Action],ACT_GRATTAGE_NS,JournalActions[Mi-temps],N$7))</f>
        <v/>
      </c>
      <c r="O16" s="28" t="str">
        <f>IF(COUNTIFS(JournalActions[Joueur],$B16,JournalActions[Action],$O$6,JournalActions[Mi-temps],O$7)=0,"",COUNTIFS(JournalActions[Joueur],$B16,JournalActions[Action],$O$6,JournalActions[Mi-temps],O$7))</f>
        <v/>
      </c>
      <c r="P16" s="29" t="str">
        <f>IF(COUNTIFS(JournalActions[Joueur],$B16,JournalActions[Action],$O$6,JournalActions[Mi-temps],P$7)=0,"",COUNTIFS(JournalActions[Joueur],$B16,JournalActions[Action],$O$6,JournalActions[Mi-temps],P$7))</f>
        <v/>
      </c>
      <c r="Q16" s="28" t="str">
        <f>IF(COUNTIFS(JournalActions[Joueur],$B16,JournalActions[Action],$Q$6,JournalActions[Mi-temps],Q$7)=0,"",COUNTIFS(JournalActions[Joueur],$B16,JournalActions[Action],$Q$6,JournalActions[Mi-temps],Q$7))</f>
        <v/>
      </c>
      <c r="R16" s="29" t="str">
        <f>IF(COUNTIFS(JournalActions[Joueur],$B16,JournalActions[Action],$Q$6,JournalActions[Mi-temps],R$7)=0,"",COUNTIFS(JournalActions[Joueur],$B16,JournalActions[Action],$Q$6,JournalActions[Mi-temps],R$7))</f>
        <v/>
      </c>
      <c r="S16" s="28" t="str">
        <f>IF(COUNTIFS(JournalActions[Joueur],$B16,JournalActions[Action],$S$6,JournalActions[Mi-temps],S$7)=0,"",COUNTIFS(JournalActions[Joueur],$B16,JournalActions[Action],$S$6,JournalActions[Mi-temps],S$7))</f>
        <v/>
      </c>
      <c r="T16" s="29" t="str">
        <f>IF(COUNTIFS(JournalActions[Joueur],$B16,JournalActions[Action],$S$6,JournalActions[Mi-temps],T$7)=0,"",COUNTIFS(JournalActions[Joueur],$B16,JournalActions[Action],$S$6,JournalActions[Mi-temps],T$7))</f>
        <v/>
      </c>
      <c r="U16" s="68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68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68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68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68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68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28"/>
      <c r="C17" s="28" t="str">
        <f>IF(COUNTIFS(JournalActions[Joueur],$B17,JournalActions[Action],$C$6,JournalActions[Mi-temps],C$7)=0,"",COUNTIFS(JournalActions[Joueur],$B17,JournalActions[Action],$C$6,JournalActions[Mi-temps],C$7))</f>
        <v/>
      </c>
      <c r="D17" s="29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28" t="str">
        <f>IF(COUNTIFS(JournalActions[Joueur],$B17,JournalActions[Action],$G$6,JournalActions[Mi-temps],G$7)=0,"",COUNTIFS(JournalActions[Joueur],$B17,JournalActions[Action],$G$6,JournalActions[Mi-temps],G$7))</f>
        <v/>
      </c>
      <c r="H17" s="29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28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28" t="str">
        <f>IF(COUNTIFS(JournalActions[Joueur],$B17,JournalActions[Action],ACT_GRATTAGE_NS,JournalActions[Mi-temps],M$7)=0,"",COUNTIFS(JournalActions[Joueur],$B17,JournalActions[Action],ACT_GRATTAGE_NS,JournalActions[Mi-temps],M$7))</f>
        <v/>
      </c>
      <c r="N17" s="29" t="str">
        <f>IF(COUNTIFS(JournalActions[Joueur],$B17,JournalActions[Action],ACT_GRATTAGE_NS,JournalActions[Mi-temps],N$7)=0,"",COUNTIFS(JournalActions[Joueur],$B17,JournalActions[Action],ACT_GRATTAGE_NS,JournalActions[Mi-temps],N$7))</f>
        <v/>
      </c>
      <c r="O17" s="28" t="str">
        <f>IF(COUNTIFS(JournalActions[Joueur],$B17,JournalActions[Action],$O$6,JournalActions[Mi-temps],O$7)=0,"",COUNTIFS(JournalActions[Joueur],$B17,JournalActions[Action],$O$6,JournalActions[Mi-temps],O$7))</f>
        <v/>
      </c>
      <c r="P17" s="29" t="str">
        <f>IF(COUNTIFS(JournalActions[Joueur],$B17,JournalActions[Action],$O$6,JournalActions[Mi-temps],P$7)=0,"",COUNTIFS(JournalActions[Joueur],$B17,JournalActions[Action],$O$6,JournalActions[Mi-temps],P$7))</f>
        <v/>
      </c>
      <c r="Q17" s="28" t="str">
        <f>IF(COUNTIFS(JournalActions[Joueur],$B17,JournalActions[Action],$Q$6,JournalActions[Mi-temps],Q$7)=0,"",COUNTIFS(JournalActions[Joueur],$B17,JournalActions[Action],$Q$6,JournalActions[Mi-temps],Q$7))</f>
        <v/>
      </c>
      <c r="R17" s="29" t="str">
        <f>IF(COUNTIFS(JournalActions[Joueur],$B17,JournalActions[Action],$Q$6,JournalActions[Mi-temps],R$7)=0,"",COUNTIFS(JournalActions[Joueur],$B17,JournalActions[Action],$Q$6,JournalActions[Mi-temps],R$7))</f>
        <v/>
      </c>
      <c r="S17" s="28" t="str">
        <f>IF(COUNTIFS(JournalActions[Joueur],$B17,JournalActions[Action],$S$6,JournalActions[Mi-temps],S$7)=0,"",COUNTIFS(JournalActions[Joueur],$B17,JournalActions[Action],$S$6,JournalActions[Mi-temps],S$7))</f>
        <v/>
      </c>
      <c r="T17" s="29" t="str">
        <f>IF(COUNTIFS(JournalActions[Joueur],$B17,JournalActions[Action],$S$6,JournalActions[Mi-temps],T$7)=0,"",COUNTIFS(JournalActions[Joueur],$B17,JournalActions[Action],$S$6,JournalActions[Mi-temps],T$7))</f>
        <v/>
      </c>
      <c r="U17" s="68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68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68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68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68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68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28"/>
      <c r="C18" s="28" t="str">
        <f>IF(COUNTIFS(JournalActions[Joueur],$B18,JournalActions[Action],$C$6,JournalActions[Mi-temps],C$7)=0,"",COUNTIFS(JournalActions[Joueur],$B18,JournalActions[Action],$C$6,JournalActions[Mi-temps],C$7))</f>
        <v/>
      </c>
      <c r="D18" s="29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28" t="str">
        <f>IF(COUNTIFS(JournalActions[Joueur],$B18,JournalActions[Action],$G$6,JournalActions[Mi-temps],G$7)=0,"",COUNTIFS(JournalActions[Joueur],$B18,JournalActions[Action],$G$6,JournalActions[Mi-temps],G$7))</f>
        <v/>
      </c>
      <c r="H18" s="29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28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28" t="str">
        <f>IF(COUNTIFS(JournalActions[Joueur],$B18,JournalActions[Action],ACT_GRATTAGE_NS,JournalActions[Mi-temps],M$7)=0,"",COUNTIFS(JournalActions[Joueur],$B18,JournalActions[Action],ACT_GRATTAGE_NS,JournalActions[Mi-temps],M$7))</f>
        <v/>
      </c>
      <c r="N18" s="29" t="str">
        <f>IF(COUNTIFS(JournalActions[Joueur],$B18,JournalActions[Action],ACT_GRATTAGE_NS,JournalActions[Mi-temps],N$7)=0,"",COUNTIFS(JournalActions[Joueur],$B18,JournalActions[Action],ACT_GRATTAGE_NS,JournalActions[Mi-temps],N$7))</f>
        <v/>
      </c>
      <c r="O18" s="28" t="str">
        <f>IF(COUNTIFS(JournalActions[Joueur],$B18,JournalActions[Action],$O$6,JournalActions[Mi-temps],O$7)=0,"",COUNTIFS(JournalActions[Joueur],$B18,JournalActions[Action],$O$6,JournalActions[Mi-temps],O$7))</f>
        <v/>
      </c>
      <c r="P18" s="29" t="str">
        <f>IF(COUNTIFS(JournalActions[Joueur],$B18,JournalActions[Action],$O$6,JournalActions[Mi-temps],P$7)=0,"",COUNTIFS(JournalActions[Joueur],$B18,JournalActions[Action],$O$6,JournalActions[Mi-temps],P$7))</f>
        <v/>
      </c>
      <c r="Q18" s="28" t="str">
        <f>IF(COUNTIFS(JournalActions[Joueur],$B18,JournalActions[Action],$Q$6,JournalActions[Mi-temps],Q$7)=0,"",COUNTIFS(JournalActions[Joueur],$B18,JournalActions[Action],$Q$6,JournalActions[Mi-temps],Q$7))</f>
        <v/>
      </c>
      <c r="R18" s="29" t="str">
        <f>IF(COUNTIFS(JournalActions[Joueur],$B18,JournalActions[Action],$Q$6,JournalActions[Mi-temps],R$7)=0,"",COUNTIFS(JournalActions[Joueur],$B18,JournalActions[Action],$Q$6,JournalActions[Mi-temps],R$7))</f>
        <v/>
      </c>
      <c r="S18" s="28" t="str">
        <f>IF(COUNTIFS(JournalActions[Joueur],$B18,JournalActions[Action],$S$6,JournalActions[Mi-temps],S$7)=0,"",COUNTIFS(JournalActions[Joueur],$B18,JournalActions[Action],$S$6,JournalActions[Mi-temps],S$7))</f>
        <v/>
      </c>
      <c r="T18" s="29" t="str">
        <f>IF(COUNTIFS(JournalActions[Joueur],$B18,JournalActions[Action],$S$6,JournalActions[Mi-temps],T$7)=0,"",COUNTIFS(JournalActions[Joueur],$B18,JournalActions[Action],$S$6,JournalActions[Mi-temps],T$7))</f>
        <v/>
      </c>
      <c r="U18" s="68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68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68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68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68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68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28"/>
      <c r="C19" s="28" t="str">
        <f>IF(COUNTIFS(JournalActions[Joueur],$B19,JournalActions[Action],$C$6,JournalActions[Mi-temps],C$7)=0,"",COUNTIFS(JournalActions[Joueur],$B19,JournalActions[Action],$C$6,JournalActions[Mi-temps],C$7))</f>
        <v/>
      </c>
      <c r="D19" s="29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28" t="str">
        <f>IF(COUNTIFS(JournalActions[Joueur],$B19,JournalActions[Action],$G$6,JournalActions[Mi-temps],G$7)=0,"",COUNTIFS(JournalActions[Joueur],$B19,JournalActions[Action],$G$6,JournalActions[Mi-temps],G$7))</f>
        <v/>
      </c>
      <c r="H19" s="29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28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28" t="str">
        <f>IF(COUNTIFS(JournalActions[Joueur],$B19,JournalActions[Action],ACT_GRATTAGE_NS,JournalActions[Mi-temps],M$7)=0,"",COUNTIFS(JournalActions[Joueur],$B19,JournalActions[Action],ACT_GRATTAGE_NS,JournalActions[Mi-temps],M$7))</f>
        <v/>
      </c>
      <c r="N19" s="29" t="str">
        <f>IF(COUNTIFS(JournalActions[Joueur],$B19,JournalActions[Action],ACT_GRATTAGE_NS,JournalActions[Mi-temps],N$7)=0,"",COUNTIFS(JournalActions[Joueur],$B19,JournalActions[Action],ACT_GRATTAGE_NS,JournalActions[Mi-temps],N$7))</f>
        <v/>
      </c>
      <c r="O19" s="28" t="str">
        <f>IF(COUNTIFS(JournalActions[Joueur],$B19,JournalActions[Action],$O$6,JournalActions[Mi-temps],O$7)=0,"",COUNTIFS(JournalActions[Joueur],$B19,JournalActions[Action],$O$6,JournalActions[Mi-temps],O$7))</f>
        <v/>
      </c>
      <c r="P19" s="29" t="str">
        <f>IF(COUNTIFS(JournalActions[Joueur],$B19,JournalActions[Action],$O$6,JournalActions[Mi-temps],P$7)=0,"",COUNTIFS(JournalActions[Joueur],$B19,JournalActions[Action],$O$6,JournalActions[Mi-temps],P$7))</f>
        <v/>
      </c>
      <c r="Q19" s="28" t="str">
        <f>IF(COUNTIFS(JournalActions[Joueur],$B19,JournalActions[Action],$Q$6,JournalActions[Mi-temps],Q$7)=0,"",COUNTIFS(JournalActions[Joueur],$B19,JournalActions[Action],$Q$6,JournalActions[Mi-temps],Q$7))</f>
        <v/>
      </c>
      <c r="R19" s="29" t="str">
        <f>IF(COUNTIFS(JournalActions[Joueur],$B19,JournalActions[Action],$Q$6,JournalActions[Mi-temps],R$7)=0,"",COUNTIFS(JournalActions[Joueur],$B19,JournalActions[Action],$Q$6,JournalActions[Mi-temps],R$7))</f>
        <v/>
      </c>
      <c r="S19" s="28" t="str">
        <f>IF(COUNTIFS(JournalActions[Joueur],$B19,JournalActions[Action],$S$6,JournalActions[Mi-temps],S$7)=0,"",COUNTIFS(JournalActions[Joueur],$B19,JournalActions[Action],$S$6,JournalActions[Mi-temps],S$7))</f>
        <v/>
      </c>
      <c r="T19" s="29" t="str">
        <f>IF(COUNTIFS(JournalActions[Joueur],$B19,JournalActions[Action],$S$6,JournalActions[Mi-temps],T$7)=0,"",COUNTIFS(JournalActions[Joueur],$B19,JournalActions[Action],$S$6,JournalActions[Mi-temps],T$7))</f>
        <v/>
      </c>
      <c r="U19" s="68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68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68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68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68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68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28"/>
      <c r="C20" s="28" t="str">
        <f>IF(COUNTIFS(JournalActions[Joueur],$B20,JournalActions[Action],$C$6,JournalActions[Mi-temps],C$7)=0,"",COUNTIFS(JournalActions[Joueur],$B20,JournalActions[Action],$C$6,JournalActions[Mi-temps],C$7))</f>
        <v/>
      </c>
      <c r="D20" s="29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28" t="str">
        <f>IF(COUNTIFS(JournalActions[Joueur],$B20,JournalActions[Action],$G$6,JournalActions[Mi-temps],G$7)=0,"",COUNTIFS(JournalActions[Joueur],$B20,JournalActions[Action],$G$6,JournalActions[Mi-temps],G$7))</f>
        <v/>
      </c>
      <c r="H20" s="29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28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28" t="str">
        <f>IF(COUNTIFS(JournalActions[Joueur],$B20,JournalActions[Action],ACT_GRATTAGE_NS,JournalActions[Mi-temps],M$7)=0,"",COUNTIFS(JournalActions[Joueur],$B20,JournalActions[Action],ACT_GRATTAGE_NS,JournalActions[Mi-temps],M$7))</f>
        <v/>
      </c>
      <c r="N20" s="29" t="str">
        <f>IF(COUNTIFS(JournalActions[Joueur],$B20,JournalActions[Action],ACT_GRATTAGE_NS,JournalActions[Mi-temps],N$7)=0,"",COUNTIFS(JournalActions[Joueur],$B20,JournalActions[Action],ACT_GRATTAGE_NS,JournalActions[Mi-temps],N$7))</f>
        <v/>
      </c>
      <c r="O20" s="28" t="str">
        <f>IF(COUNTIFS(JournalActions[Joueur],$B20,JournalActions[Action],$O$6,JournalActions[Mi-temps],O$7)=0,"",COUNTIFS(JournalActions[Joueur],$B20,JournalActions[Action],$O$6,JournalActions[Mi-temps],O$7))</f>
        <v/>
      </c>
      <c r="P20" s="29" t="str">
        <f>IF(COUNTIFS(JournalActions[Joueur],$B20,JournalActions[Action],$O$6,JournalActions[Mi-temps],P$7)=0,"",COUNTIFS(JournalActions[Joueur],$B20,JournalActions[Action],$O$6,JournalActions[Mi-temps],P$7))</f>
        <v/>
      </c>
      <c r="Q20" s="28" t="str">
        <f>IF(COUNTIFS(JournalActions[Joueur],$B20,JournalActions[Action],$Q$6,JournalActions[Mi-temps],Q$7)=0,"",COUNTIFS(JournalActions[Joueur],$B20,JournalActions[Action],$Q$6,JournalActions[Mi-temps],Q$7))</f>
        <v/>
      </c>
      <c r="R20" s="29" t="str">
        <f>IF(COUNTIFS(JournalActions[Joueur],$B20,JournalActions[Action],$Q$6,JournalActions[Mi-temps],R$7)=0,"",COUNTIFS(JournalActions[Joueur],$B20,JournalActions[Action],$Q$6,JournalActions[Mi-temps],R$7))</f>
        <v/>
      </c>
      <c r="S20" s="28" t="str">
        <f>IF(COUNTIFS(JournalActions[Joueur],$B20,JournalActions[Action],$S$6,JournalActions[Mi-temps],S$7)=0,"",COUNTIFS(JournalActions[Joueur],$B20,JournalActions[Action],$S$6,JournalActions[Mi-temps],S$7))</f>
        <v/>
      </c>
      <c r="T20" s="29" t="str">
        <f>IF(COUNTIFS(JournalActions[Joueur],$B20,JournalActions[Action],$S$6,JournalActions[Mi-temps],T$7)=0,"",COUNTIFS(JournalActions[Joueur],$B20,JournalActions[Action],$S$6,JournalActions[Mi-temps],T$7))</f>
        <v/>
      </c>
      <c r="U20" s="68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68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68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68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68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68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28"/>
      <c r="C21" s="28" t="str">
        <f>IF(COUNTIFS(JournalActions[Joueur],$B21,JournalActions[Action],$C$6,JournalActions[Mi-temps],C$7)=0,"",COUNTIFS(JournalActions[Joueur],$B21,JournalActions[Action],$C$6,JournalActions[Mi-temps],C$7))</f>
        <v/>
      </c>
      <c r="D21" s="29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28" t="str">
        <f>IF(COUNTIFS(JournalActions[Joueur],$B21,JournalActions[Action],$G$6,JournalActions[Mi-temps],G$7)=0,"",COUNTIFS(JournalActions[Joueur],$B21,JournalActions[Action],$G$6,JournalActions[Mi-temps],G$7))</f>
        <v/>
      </c>
      <c r="H21" s="29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28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28" t="str">
        <f>IF(COUNTIFS(JournalActions[Joueur],$B21,JournalActions[Action],ACT_GRATTAGE_NS,JournalActions[Mi-temps],M$7)=0,"",COUNTIFS(JournalActions[Joueur],$B21,JournalActions[Action],ACT_GRATTAGE_NS,JournalActions[Mi-temps],M$7))</f>
        <v/>
      </c>
      <c r="N21" s="29" t="str">
        <f>IF(COUNTIFS(JournalActions[Joueur],$B21,JournalActions[Action],ACT_GRATTAGE_NS,JournalActions[Mi-temps],N$7)=0,"",COUNTIFS(JournalActions[Joueur],$B21,JournalActions[Action],ACT_GRATTAGE_NS,JournalActions[Mi-temps],N$7))</f>
        <v/>
      </c>
      <c r="O21" s="28" t="str">
        <f>IF(COUNTIFS(JournalActions[Joueur],$B21,JournalActions[Action],$O$6,JournalActions[Mi-temps],O$7)=0,"",COUNTIFS(JournalActions[Joueur],$B21,JournalActions[Action],$O$6,JournalActions[Mi-temps],O$7))</f>
        <v/>
      </c>
      <c r="P21" s="29" t="str">
        <f>IF(COUNTIFS(JournalActions[Joueur],$B21,JournalActions[Action],$O$6,JournalActions[Mi-temps],P$7)=0,"",COUNTIFS(JournalActions[Joueur],$B21,JournalActions[Action],$O$6,JournalActions[Mi-temps],P$7))</f>
        <v/>
      </c>
      <c r="Q21" s="28" t="str">
        <f>IF(COUNTIFS(JournalActions[Joueur],$B21,JournalActions[Action],$Q$6,JournalActions[Mi-temps],Q$7)=0,"",COUNTIFS(JournalActions[Joueur],$B21,JournalActions[Action],$Q$6,JournalActions[Mi-temps],Q$7))</f>
        <v/>
      </c>
      <c r="R21" s="29" t="str">
        <f>IF(COUNTIFS(JournalActions[Joueur],$B21,JournalActions[Action],$Q$6,JournalActions[Mi-temps],R$7)=0,"",COUNTIFS(JournalActions[Joueur],$B21,JournalActions[Action],$Q$6,JournalActions[Mi-temps],R$7))</f>
        <v/>
      </c>
      <c r="S21" s="28" t="str">
        <f>IF(COUNTIFS(JournalActions[Joueur],$B21,JournalActions[Action],$S$6,JournalActions[Mi-temps],S$7)=0,"",COUNTIFS(JournalActions[Joueur],$B21,JournalActions[Action],$S$6,JournalActions[Mi-temps],S$7))</f>
        <v/>
      </c>
      <c r="T21" s="29" t="str">
        <f>IF(COUNTIFS(JournalActions[Joueur],$B21,JournalActions[Action],$S$6,JournalActions[Mi-temps],T$7)=0,"",COUNTIFS(JournalActions[Joueur],$B21,JournalActions[Action],$S$6,JournalActions[Mi-temps],T$7))</f>
        <v/>
      </c>
      <c r="U21" s="68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68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68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68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68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68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28"/>
      <c r="C22" s="28" t="str">
        <f>IF(COUNTIFS(JournalActions[Joueur],$B22,JournalActions[Action],$C$6,JournalActions[Mi-temps],C$7)=0,"",COUNTIFS(JournalActions[Joueur],$B22,JournalActions[Action],$C$6,JournalActions[Mi-temps],C$7))</f>
        <v/>
      </c>
      <c r="D22" s="29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28" t="str">
        <f>IF(COUNTIFS(JournalActions[Joueur],$B22,JournalActions[Action],$G$6,JournalActions[Mi-temps],G$7)=0,"",COUNTIFS(JournalActions[Joueur],$B22,JournalActions[Action],$G$6,JournalActions[Mi-temps],G$7))</f>
        <v/>
      </c>
      <c r="H22" s="29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28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28" t="str">
        <f>IF(COUNTIFS(JournalActions[Joueur],$B22,JournalActions[Action],ACT_GRATTAGE_NS,JournalActions[Mi-temps],M$7)=0,"",COUNTIFS(JournalActions[Joueur],$B22,JournalActions[Action],ACT_GRATTAGE_NS,JournalActions[Mi-temps],M$7))</f>
        <v/>
      </c>
      <c r="N22" s="29" t="str">
        <f>IF(COUNTIFS(JournalActions[Joueur],$B22,JournalActions[Action],ACT_GRATTAGE_NS,JournalActions[Mi-temps],N$7)=0,"",COUNTIFS(JournalActions[Joueur],$B22,JournalActions[Action],ACT_GRATTAGE_NS,JournalActions[Mi-temps],N$7))</f>
        <v/>
      </c>
      <c r="O22" s="28" t="str">
        <f>IF(COUNTIFS(JournalActions[Joueur],$B22,JournalActions[Action],$O$6,JournalActions[Mi-temps],O$7)=0,"",COUNTIFS(JournalActions[Joueur],$B22,JournalActions[Action],$O$6,JournalActions[Mi-temps],O$7))</f>
        <v/>
      </c>
      <c r="P22" s="29" t="str">
        <f>IF(COUNTIFS(JournalActions[Joueur],$B22,JournalActions[Action],$O$6,JournalActions[Mi-temps],P$7)=0,"",COUNTIFS(JournalActions[Joueur],$B22,JournalActions[Action],$O$6,JournalActions[Mi-temps],P$7))</f>
        <v/>
      </c>
      <c r="Q22" s="28" t="str">
        <f>IF(COUNTIFS(JournalActions[Joueur],$B22,JournalActions[Action],$Q$6,JournalActions[Mi-temps],Q$7)=0,"",COUNTIFS(JournalActions[Joueur],$B22,JournalActions[Action],$Q$6,JournalActions[Mi-temps],Q$7))</f>
        <v/>
      </c>
      <c r="R22" s="29" t="str">
        <f>IF(COUNTIFS(JournalActions[Joueur],$B22,JournalActions[Action],$Q$6,JournalActions[Mi-temps],R$7)=0,"",COUNTIFS(JournalActions[Joueur],$B22,JournalActions[Action],$Q$6,JournalActions[Mi-temps],R$7))</f>
        <v/>
      </c>
      <c r="S22" s="28" t="str">
        <f>IF(COUNTIFS(JournalActions[Joueur],$B22,JournalActions[Action],$S$6,JournalActions[Mi-temps],S$7)=0,"",COUNTIFS(JournalActions[Joueur],$B22,JournalActions[Action],$S$6,JournalActions[Mi-temps],S$7))</f>
        <v/>
      </c>
      <c r="T22" s="29" t="str">
        <f>IF(COUNTIFS(JournalActions[Joueur],$B22,JournalActions[Action],$S$6,JournalActions[Mi-temps],T$7)=0,"",COUNTIFS(JournalActions[Joueur],$B22,JournalActions[Action],$S$6,JournalActions[Mi-temps],T$7))</f>
        <v/>
      </c>
      <c r="U22" s="68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68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68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68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68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68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28"/>
      <c r="C23" s="28" t="str">
        <f>IF(COUNTIFS(JournalActions[Joueur],$B23,JournalActions[Action],$C$6,JournalActions[Mi-temps],C$7)=0,"",COUNTIFS(JournalActions[Joueur],$B23,JournalActions[Action],$C$6,JournalActions[Mi-temps],C$7))</f>
        <v/>
      </c>
      <c r="D23" s="29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28" t="str">
        <f>IF(COUNTIFS(JournalActions[Joueur],$B23,JournalActions[Action],$G$6,JournalActions[Mi-temps],G$7)=0,"",COUNTIFS(JournalActions[Joueur],$B23,JournalActions[Action],$G$6,JournalActions[Mi-temps],G$7))</f>
        <v/>
      </c>
      <c r="H23" s="29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28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28" t="str">
        <f>IF(COUNTIFS(JournalActions[Joueur],$B23,JournalActions[Action],ACT_GRATTAGE_NS,JournalActions[Mi-temps],M$7)=0,"",COUNTIFS(JournalActions[Joueur],$B23,JournalActions[Action],ACT_GRATTAGE_NS,JournalActions[Mi-temps],M$7))</f>
        <v/>
      </c>
      <c r="N23" s="29" t="str">
        <f>IF(COUNTIFS(JournalActions[Joueur],$B23,JournalActions[Action],ACT_GRATTAGE_NS,JournalActions[Mi-temps],N$7)=0,"",COUNTIFS(JournalActions[Joueur],$B23,JournalActions[Action],ACT_GRATTAGE_NS,JournalActions[Mi-temps],N$7))</f>
        <v/>
      </c>
      <c r="O23" s="28" t="str">
        <f>IF(COUNTIFS(JournalActions[Joueur],$B23,JournalActions[Action],$O$6,JournalActions[Mi-temps],O$7)=0,"",COUNTIFS(JournalActions[Joueur],$B23,JournalActions[Action],$O$6,JournalActions[Mi-temps],O$7))</f>
        <v/>
      </c>
      <c r="P23" s="29" t="str">
        <f>IF(COUNTIFS(JournalActions[Joueur],$B23,JournalActions[Action],$O$6,JournalActions[Mi-temps],P$7)=0,"",COUNTIFS(JournalActions[Joueur],$B23,JournalActions[Action],$O$6,JournalActions[Mi-temps],P$7))</f>
        <v/>
      </c>
      <c r="Q23" s="28" t="str">
        <f>IF(COUNTIFS(JournalActions[Joueur],$B23,JournalActions[Action],$Q$6,JournalActions[Mi-temps],Q$7)=0,"",COUNTIFS(JournalActions[Joueur],$B23,JournalActions[Action],$Q$6,JournalActions[Mi-temps],Q$7))</f>
        <v/>
      </c>
      <c r="R23" s="29" t="str">
        <f>IF(COUNTIFS(JournalActions[Joueur],$B23,JournalActions[Action],$Q$6,JournalActions[Mi-temps],R$7)=0,"",COUNTIFS(JournalActions[Joueur],$B23,JournalActions[Action],$Q$6,JournalActions[Mi-temps],R$7))</f>
        <v/>
      </c>
      <c r="S23" s="28" t="str">
        <f>IF(COUNTIFS(JournalActions[Joueur],$B23,JournalActions[Action],$S$6,JournalActions[Mi-temps],S$7)=0,"",COUNTIFS(JournalActions[Joueur],$B23,JournalActions[Action],$S$6,JournalActions[Mi-temps],S$7))</f>
        <v/>
      </c>
      <c r="T23" s="29" t="str">
        <f>IF(COUNTIFS(JournalActions[Joueur],$B23,JournalActions[Action],$S$6,JournalActions[Mi-temps],T$7)=0,"",COUNTIFS(JournalActions[Joueur],$B23,JournalActions[Action],$S$6,JournalActions[Mi-temps],T$7))</f>
        <v/>
      </c>
      <c r="U23" s="68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68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68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68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68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68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28"/>
      <c r="C24" s="28" t="str">
        <f>IF(COUNTIFS(JournalActions[Joueur],$B24,JournalActions[Action],$C$6,JournalActions[Mi-temps],C$7)=0,"",COUNTIFS(JournalActions[Joueur],$B24,JournalActions[Action],$C$6,JournalActions[Mi-temps],C$7))</f>
        <v/>
      </c>
      <c r="D24" s="29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28" t="str">
        <f>IF(COUNTIFS(JournalActions[Joueur],$B24,JournalActions[Action],$G$6,JournalActions[Mi-temps],G$7)=0,"",COUNTIFS(JournalActions[Joueur],$B24,JournalActions[Action],$G$6,JournalActions[Mi-temps],G$7))</f>
        <v/>
      </c>
      <c r="H24" s="29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28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28" t="str">
        <f>IF(COUNTIFS(JournalActions[Joueur],$B24,JournalActions[Action],ACT_GRATTAGE_NS,JournalActions[Mi-temps],M$7)=0,"",COUNTIFS(JournalActions[Joueur],$B24,JournalActions[Action],ACT_GRATTAGE_NS,JournalActions[Mi-temps],M$7))</f>
        <v/>
      </c>
      <c r="N24" s="29" t="str">
        <f>IF(COUNTIFS(JournalActions[Joueur],$B24,JournalActions[Action],ACT_GRATTAGE_NS,JournalActions[Mi-temps],N$7)=0,"",COUNTIFS(JournalActions[Joueur],$B24,JournalActions[Action],ACT_GRATTAGE_NS,JournalActions[Mi-temps],N$7))</f>
        <v/>
      </c>
      <c r="O24" s="28" t="str">
        <f>IF(COUNTIFS(JournalActions[Joueur],$B24,JournalActions[Action],$O$6,JournalActions[Mi-temps],O$7)=0,"",COUNTIFS(JournalActions[Joueur],$B24,JournalActions[Action],$O$6,JournalActions[Mi-temps],O$7))</f>
        <v/>
      </c>
      <c r="P24" s="29" t="str">
        <f>IF(COUNTIFS(JournalActions[Joueur],$B24,JournalActions[Action],$O$6,JournalActions[Mi-temps],P$7)=0,"",COUNTIFS(JournalActions[Joueur],$B24,JournalActions[Action],$O$6,JournalActions[Mi-temps],P$7))</f>
        <v/>
      </c>
      <c r="Q24" s="28" t="str">
        <f>IF(COUNTIFS(JournalActions[Joueur],$B24,JournalActions[Action],$Q$6,JournalActions[Mi-temps],Q$7)=0,"",COUNTIFS(JournalActions[Joueur],$B24,JournalActions[Action],$Q$6,JournalActions[Mi-temps],Q$7))</f>
        <v/>
      </c>
      <c r="R24" s="29" t="str">
        <f>IF(COUNTIFS(JournalActions[Joueur],$B24,JournalActions[Action],$Q$6,JournalActions[Mi-temps],R$7)=0,"",COUNTIFS(JournalActions[Joueur],$B24,JournalActions[Action],$Q$6,JournalActions[Mi-temps],R$7))</f>
        <v/>
      </c>
      <c r="S24" s="28" t="str">
        <f>IF(COUNTIFS(JournalActions[Joueur],$B24,JournalActions[Action],$S$6,JournalActions[Mi-temps],S$7)=0,"",COUNTIFS(JournalActions[Joueur],$B24,JournalActions[Action],$S$6,JournalActions[Mi-temps],S$7))</f>
        <v/>
      </c>
      <c r="T24" s="29" t="str">
        <f>IF(COUNTIFS(JournalActions[Joueur],$B24,JournalActions[Action],$S$6,JournalActions[Mi-temps],T$7)=0,"",COUNTIFS(JournalActions[Joueur],$B24,JournalActions[Action],$S$6,JournalActions[Mi-temps],T$7))</f>
        <v/>
      </c>
      <c r="U24" s="68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68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68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68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68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68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28"/>
      <c r="C25" s="28" t="str">
        <f>IF(COUNTIFS(JournalActions[Joueur],$B25,JournalActions[Action],$C$6,JournalActions[Mi-temps],C$7)=0,"",COUNTIFS(JournalActions[Joueur],$B25,JournalActions[Action],$C$6,JournalActions[Mi-temps],C$7))</f>
        <v/>
      </c>
      <c r="D25" s="29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28" t="str">
        <f>IF(COUNTIFS(JournalActions[Joueur],$B25,JournalActions[Action],$G$6,JournalActions[Mi-temps],G$7)=0,"",COUNTIFS(JournalActions[Joueur],$B25,JournalActions[Action],$G$6,JournalActions[Mi-temps],G$7))</f>
        <v/>
      </c>
      <c r="H25" s="29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28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28" t="str">
        <f>IF(COUNTIFS(JournalActions[Joueur],$B25,JournalActions[Action],ACT_GRATTAGE_NS,JournalActions[Mi-temps],M$7)=0,"",COUNTIFS(JournalActions[Joueur],$B25,JournalActions[Action],ACT_GRATTAGE_NS,JournalActions[Mi-temps],M$7))</f>
        <v/>
      </c>
      <c r="N25" s="29" t="str">
        <f>IF(COUNTIFS(JournalActions[Joueur],$B25,JournalActions[Action],ACT_GRATTAGE_NS,JournalActions[Mi-temps],N$7)=0,"",COUNTIFS(JournalActions[Joueur],$B25,JournalActions[Action],ACT_GRATTAGE_NS,JournalActions[Mi-temps],N$7))</f>
        <v/>
      </c>
      <c r="O25" s="28" t="str">
        <f>IF(COUNTIFS(JournalActions[Joueur],$B25,JournalActions[Action],$O$6,JournalActions[Mi-temps],O$7)=0,"",COUNTIFS(JournalActions[Joueur],$B25,JournalActions[Action],$O$6,JournalActions[Mi-temps],O$7))</f>
        <v/>
      </c>
      <c r="P25" s="29" t="str">
        <f>IF(COUNTIFS(JournalActions[Joueur],$B25,JournalActions[Action],$O$6,JournalActions[Mi-temps],P$7)=0,"",COUNTIFS(JournalActions[Joueur],$B25,JournalActions[Action],$O$6,JournalActions[Mi-temps],P$7))</f>
        <v/>
      </c>
      <c r="Q25" s="28" t="str">
        <f>IF(COUNTIFS(JournalActions[Joueur],$B25,JournalActions[Action],$Q$6,JournalActions[Mi-temps],Q$7)=0,"",COUNTIFS(JournalActions[Joueur],$B25,JournalActions[Action],$Q$6,JournalActions[Mi-temps],Q$7))</f>
        <v/>
      </c>
      <c r="R25" s="29" t="str">
        <f>IF(COUNTIFS(JournalActions[Joueur],$B25,JournalActions[Action],$Q$6,JournalActions[Mi-temps],R$7)=0,"",COUNTIFS(JournalActions[Joueur],$B25,JournalActions[Action],$Q$6,JournalActions[Mi-temps],R$7))</f>
        <v/>
      </c>
      <c r="S25" s="28" t="str">
        <f>IF(COUNTIFS(JournalActions[Joueur],$B25,JournalActions[Action],$S$6,JournalActions[Mi-temps],S$7)=0,"",COUNTIFS(JournalActions[Joueur],$B25,JournalActions[Action],$S$6,JournalActions[Mi-temps],S$7))</f>
        <v/>
      </c>
      <c r="T25" s="29" t="str">
        <f>IF(COUNTIFS(JournalActions[Joueur],$B25,JournalActions[Action],$S$6,JournalActions[Mi-temps],T$7)=0,"",COUNTIFS(JournalActions[Joueur],$B25,JournalActions[Action],$S$6,JournalActions[Mi-temps],T$7))</f>
        <v/>
      </c>
      <c r="U25" s="68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68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68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68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68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68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28"/>
      <c r="C26" s="28" t="str">
        <f>IF(COUNTIFS(JournalActions[Joueur],$B26,JournalActions[Action],$C$6,JournalActions[Mi-temps],C$7)=0,"",COUNTIFS(JournalActions[Joueur],$B26,JournalActions[Action],$C$6,JournalActions[Mi-temps],C$7))</f>
        <v/>
      </c>
      <c r="D26" s="29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28" t="str">
        <f>IF(COUNTIFS(JournalActions[Joueur],$B26,JournalActions[Action],$G$6,JournalActions[Mi-temps],G$7)=0,"",COUNTIFS(JournalActions[Joueur],$B26,JournalActions[Action],$G$6,JournalActions[Mi-temps],G$7))</f>
        <v/>
      </c>
      <c r="H26" s="29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28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28" t="str">
        <f>IF(COUNTIFS(JournalActions[Joueur],$B26,JournalActions[Action],ACT_GRATTAGE_NS,JournalActions[Mi-temps],M$7)=0,"",COUNTIFS(JournalActions[Joueur],$B26,JournalActions[Action],ACT_GRATTAGE_NS,JournalActions[Mi-temps],M$7))</f>
        <v/>
      </c>
      <c r="N26" s="29" t="str">
        <f>IF(COUNTIFS(JournalActions[Joueur],$B26,JournalActions[Action],ACT_GRATTAGE_NS,JournalActions[Mi-temps],N$7)=0,"",COUNTIFS(JournalActions[Joueur],$B26,JournalActions[Action],ACT_GRATTAGE_NS,JournalActions[Mi-temps],N$7))</f>
        <v/>
      </c>
      <c r="O26" s="28" t="str">
        <f>IF(COUNTIFS(JournalActions[Joueur],$B26,JournalActions[Action],$O$6,JournalActions[Mi-temps],O$7)=0,"",COUNTIFS(JournalActions[Joueur],$B26,JournalActions[Action],$O$6,JournalActions[Mi-temps],O$7))</f>
        <v/>
      </c>
      <c r="P26" s="29" t="str">
        <f>IF(COUNTIFS(JournalActions[Joueur],$B26,JournalActions[Action],$O$6,JournalActions[Mi-temps],P$7)=0,"",COUNTIFS(JournalActions[Joueur],$B26,JournalActions[Action],$O$6,JournalActions[Mi-temps],P$7))</f>
        <v/>
      </c>
      <c r="Q26" s="28" t="str">
        <f>IF(COUNTIFS(JournalActions[Joueur],$B26,JournalActions[Action],$Q$6,JournalActions[Mi-temps],Q$7)=0,"",COUNTIFS(JournalActions[Joueur],$B26,JournalActions[Action],$Q$6,JournalActions[Mi-temps],Q$7))</f>
        <v/>
      </c>
      <c r="R26" s="29" t="str">
        <f>IF(COUNTIFS(JournalActions[Joueur],$B26,JournalActions[Action],$Q$6,JournalActions[Mi-temps],R$7)=0,"",COUNTIFS(JournalActions[Joueur],$B26,JournalActions[Action],$Q$6,JournalActions[Mi-temps],R$7))</f>
        <v/>
      </c>
      <c r="S26" s="28" t="str">
        <f>IF(COUNTIFS(JournalActions[Joueur],$B26,JournalActions[Action],$S$6,JournalActions[Mi-temps],S$7)=0,"",COUNTIFS(JournalActions[Joueur],$B26,JournalActions[Action],$S$6,JournalActions[Mi-temps],S$7))</f>
        <v/>
      </c>
      <c r="T26" s="29" t="str">
        <f>IF(COUNTIFS(JournalActions[Joueur],$B26,JournalActions[Action],$S$6,JournalActions[Mi-temps],T$7)=0,"",COUNTIFS(JournalActions[Joueur],$B26,JournalActions[Action],$S$6,JournalActions[Mi-temps],T$7))</f>
        <v/>
      </c>
      <c r="U26" s="68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68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68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68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68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68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28"/>
      <c r="C27" s="28" t="str">
        <f>IF(COUNTIFS(JournalActions[Joueur],$B27,JournalActions[Action],$C$6,JournalActions[Mi-temps],C$7)=0,"",COUNTIFS(JournalActions[Joueur],$B27,JournalActions[Action],$C$6,JournalActions[Mi-temps],C$7))</f>
        <v/>
      </c>
      <c r="D27" s="29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28" t="str">
        <f>IF(COUNTIFS(JournalActions[Joueur],$B27,JournalActions[Action],$G$6,JournalActions[Mi-temps],G$7)=0,"",COUNTIFS(JournalActions[Joueur],$B27,JournalActions[Action],$G$6,JournalActions[Mi-temps],G$7))</f>
        <v/>
      </c>
      <c r="H27" s="29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28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28" t="str">
        <f>IF(COUNTIFS(JournalActions[Joueur],$B27,JournalActions[Action],ACT_GRATTAGE_NS,JournalActions[Mi-temps],M$7)=0,"",COUNTIFS(JournalActions[Joueur],$B27,JournalActions[Action],ACT_GRATTAGE_NS,JournalActions[Mi-temps],M$7))</f>
        <v/>
      </c>
      <c r="N27" s="29" t="str">
        <f>IF(COUNTIFS(JournalActions[Joueur],$B27,JournalActions[Action],ACT_GRATTAGE_NS,JournalActions[Mi-temps],N$7)=0,"",COUNTIFS(JournalActions[Joueur],$B27,JournalActions[Action],ACT_GRATTAGE_NS,JournalActions[Mi-temps],N$7))</f>
        <v/>
      </c>
      <c r="O27" s="28" t="str">
        <f>IF(COUNTIFS(JournalActions[Joueur],$B27,JournalActions[Action],$O$6,JournalActions[Mi-temps],O$7)=0,"",COUNTIFS(JournalActions[Joueur],$B27,JournalActions[Action],$O$6,JournalActions[Mi-temps],O$7))</f>
        <v/>
      </c>
      <c r="P27" s="29" t="str">
        <f>IF(COUNTIFS(JournalActions[Joueur],$B27,JournalActions[Action],$O$6,JournalActions[Mi-temps],P$7)=0,"",COUNTIFS(JournalActions[Joueur],$B27,JournalActions[Action],$O$6,JournalActions[Mi-temps],P$7))</f>
        <v/>
      </c>
      <c r="Q27" s="28" t="str">
        <f>IF(COUNTIFS(JournalActions[Joueur],$B27,JournalActions[Action],$Q$6,JournalActions[Mi-temps],Q$7)=0,"",COUNTIFS(JournalActions[Joueur],$B27,JournalActions[Action],$Q$6,JournalActions[Mi-temps],Q$7))</f>
        <v/>
      </c>
      <c r="R27" s="29" t="str">
        <f>IF(COUNTIFS(JournalActions[Joueur],$B27,JournalActions[Action],$Q$6,JournalActions[Mi-temps],R$7)=0,"",COUNTIFS(JournalActions[Joueur],$B27,JournalActions[Action],$Q$6,JournalActions[Mi-temps],R$7))</f>
        <v/>
      </c>
      <c r="S27" s="28" t="str">
        <f>IF(COUNTIFS(JournalActions[Joueur],$B27,JournalActions[Action],$S$6,JournalActions[Mi-temps],S$7)=0,"",COUNTIFS(JournalActions[Joueur],$B27,JournalActions[Action],$S$6,JournalActions[Mi-temps],S$7))</f>
        <v/>
      </c>
      <c r="T27" s="29" t="str">
        <f>IF(COUNTIFS(JournalActions[Joueur],$B27,JournalActions[Action],$S$6,JournalActions[Mi-temps],T$7)=0,"",COUNTIFS(JournalActions[Joueur],$B27,JournalActions[Action],$S$6,JournalActions[Mi-temps],T$7))</f>
        <v/>
      </c>
      <c r="U27" s="68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68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68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68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68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68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28"/>
      <c r="C28" s="28" t="str">
        <f>IF(COUNTIFS(JournalActions[Joueur],$B28,JournalActions[Action],$C$6,JournalActions[Mi-temps],C$7)=0,"",COUNTIFS(JournalActions[Joueur],$B28,JournalActions[Action],$C$6,JournalActions[Mi-temps],C$7))</f>
        <v/>
      </c>
      <c r="D28" s="29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28" t="str">
        <f>IF(COUNTIFS(JournalActions[Joueur],$B28,JournalActions[Action],$G$6,JournalActions[Mi-temps],G$7)=0,"",COUNTIFS(JournalActions[Joueur],$B28,JournalActions[Action],$G$6,JournalActions[Mi-temps],G$7))</f>
        <v/>
      </c>
      <c r="H28" s="29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28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28" t="str">
        <f>IF(COUNTIFS(JournalActions[Joueur],$B28,JournalActions[Action],ACT_GRATTAGE_NS,JournalActions[Mi-temps],M$7)=0,"",COUNTIFS(JournalActions[Joueur],$B28,JournalActions[Action],ACT_GRATTAGE_NS,JournalActions[Mi-temps],M$7))</f>
        <v/>
      </c>
      <c r="N28" s="29" t="str">
        <f>IF(COUNTIFS(JournalActions[Joueur],$B28,JournalActions[Action],ACT_GRATTAGE_NS,JournalActions[Mi-temps],N$7)=0,"",COUNTIFS(JournalActions[Joueur],$B28,JournalActions[Action],ACT_GRATTAGE_NS,JournalActions[Mi-temps],N$7))</f>
        <v/>
      </c>
      <c r="O28" s="28" t="str">
        <f>IF(COUNTIFS(JournalActions[Joueur],$B28,JournalActions[Action],$O$6,JournalActions[Mi-temps],O$7)=0,"",COUNTIFS(JournalActions[Joueur],$B28,JournalActions[Action],$O$6,JournalActions[Mi-temps],O$7))</f>
        <v/>
      </c>
      <c r="P28" s="29" t="str">
        <f>IF(COUNTIFS(JournalActions[Joueur],$B28,JournalActions[Action],$O$6,JournalActions[Mi-temps],P$7)=0,"",COUNTIFS(JournalActions[Joueur],$B28,JournalActions[Action],$O$6,JournalActions[Mi-temps],P$7))</f>
        <v/>
      </c>
      <c r="Q28" s="28" t="str">
        <f>IF(COUNTIFS(JournalActions[Joueur],$B28,JournalActions[Action],$Q$6,JournalActions[Mi-temps],Q$7)=0,"",COUNTIFS(JournalActions[Joueur],$B28,JournalActions[Action],$Q$6,JournalActions[Mi-temps],Q$7))</f>
        <v/>
      </c>
      <c r="R28" s="29" t="str">
        <f>IF(COUNTIFS(JournalActions[Joueur],$B28,JournalActions[Action],$Q$6,JournalActions[Mi-temps],R$7)=0,"",COUNTIFS(JournalActions[Joueur],$B28,JournalActions[Action],$Q$6,JournalActions[Mi-temps],R$7))</f>
        <v/>
      </c>
      <c r="S28" s="28" t="str">
        <f>IF(COUNTIFS(JournalActions[Joueur],$B28,JournalActions[Action],$S$6,JournalActions[Mi-temps],S$7)=0,"",COUNTIFS(JournalActions[Joueur],$B28,JournalActions[Action],$S$6,JournalActions[Mi-temps],S$7))</f>
        <v/>
      </c>
      <c r="T28" s="29" t="str">
        <f>IF(COUNTIFS(JournalActions[Joueur],$B28,JournalActions[Action],$S$6,JournalActions[Mi-temps],T$7)=0,"",COUNTIFS(JournalActions[Joueur],$B28,JournalActions[Action],$S$6,JournalActions[Mi-temps],T$7))</f>
        <v/>
      </c>
      <c r="U28" s="68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68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68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68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68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68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28"/>
      <c r="C29" s="28" t="str">
        <f>IF(COUNTIFS(JournalActions[Joueur],$B29,JournalActions[Action],$C$6,JournalActions[Mi-temps],C$7)=0,"",COUNTIFS(JournalActions[Joueur],$B29,JournalActions[Action],$C$6,JournalActions[Mi-temps],C$7))</f>
        <v/>
      </c>
      <c r="D29" s="29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28" t="str">
        <f>IF(COUNTIFS(JournalActions[Joueur],$B29,JournalActions[Action],$G$6,JournalActions[Mi-temps],G$7)=0,"",COUNTIFS(JournalActions[Joueur],$B29,JournalActions[Action],$G$6,JournalActions[Mi-temps],G$7))</f>
        <v/>
      </c>
      <c r="H29" s="29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28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28" t="str">
        <f>IF(COUNTIFS(JournalActions[Joueur],$B29,JournalActions[Action],ACT_GRATTAGE_NS,JournalActions[Mi-temps],M$7)=0,"",COUNTIFS(JournalActions[Joueur],$B29,JournalActions[Action],ACT_GRATTAGE_NS,JournalActions[Mi-temps],M$7))</f>
        <v/>
      </c>
      <c r="N29" s="29" t="str">
        <f>IF(COUNTIFS(JournalActions[Joueur],$B29,JournalActions[Action],ACT_GRATTAGE_NS,JournalActions[Mi-temps],N$7)=0,"",COUNTIFS(JournalActions[Joueur],$B29,JournalActions[Action],ACT_GRATTAGE_NS,JournalActions[Mi-temps],N$7))</f>
        <v/>
      </c>
      <c r="O29" s="28" t="str">
        <f>IF(COUNTIFS(JournalActions[Joueur],$B29,JournalActions[Action],$O$6,JournalActions[Mi-temps],O$7)=0,"",COUNTIFS(JournalActions[Joueur],$B29,JournalActions[Action],$O$6,JournalActions[Mi-temps],O$7))</f>
        <v/>
      </c>
      <c r="P29" s="29" t="str">
        <f>IF(COUNTIFS(JournalActions[Joueur],$B29,JournalActions[Action],$O$6,JournalActions[Mi-temps],P$7)=0,"",COUNTIFS(JournalActions[Joueur],$B29,JournalActions[Action],$O$6,JournalActions[Mi-temps],P$7))</f>
        <v/>
      </c>
      <c r="Q29" s="28" t="str">
        <f>IF(COUNTIFS(JournalActions[Joueur],$B29,JournalActions[Action],$Q$6,JournalActions[Mi-temps],Q$7)=0,"",COUNTIFS(JournalActions[Joueur],$B29,JournalActions[Action],$Q$6,JournalActions[Mi-temps],Q$7))</f>
        <v/>
      </c>
      <c r="R29" s="29" t="str">
        <f>IF(COUNTIFS(JournalActions[Joueur],$B29,JournalActions[Action],$Q$6,JournalActions[Mi-temps],R$7)=0,"",COUNTIFS(JournalActions[Joueur],$B29,JournalActions[Action],$Q$6,JournalActions[Mi-temps],R$7))</f>
        <v/>
      </c>
      <c r="S29" s="28" t="str">
        <f>IF(COUNTIFS(JournalActions[Joueur],$B29,JournalActions[Action],$S$6,JournalActions[Mi-temps],S$7)=0,"",COUNTIFS(JournalActions[Joueur],$B29,JournalActions[Action],$S$6,JournalActions[Mi-temps],S$7))</f>
        <v/>
      </c>
      <c r="T29" s="29" t="str">
        <f>IF(COUNTIFS(JournalActions[Joueur],$B29,JournalActions[Action],$S$6,JournalActions[Mi-temps],T$7)=0,"",COUNTIFS(JournalActions[Joueur],$B29,JournalActions[Action],$S$6,JournalActions[Mi-temps],T$7))</f>
        <v/>
      </c>
      <c r="U29" s="68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68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68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68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68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68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26" t="s">
        <v>152</v>
      </c>
      <c r="C30" s="28" t="str">
        <f>IF(COUNTIFS(JournalActions[Joueur],$B30,JournalActions[Action],$C$6,JournalActions[Mi-temps],C$7)=0,"",COUNTIFS(JournalActions[Joueur],$B30,JournalActions[Action],$C$6,JournalActions[Mi-temps],C$7))</f>
        <v/>
      </c>
      <c r="D30" s="29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28" t="str">
        <f>IF(COUNTIFS(JournalActions[Joueur],$B30,JournalActions[Action],$G$6,JournalActions[Mi-temps],G$7)=0,"",COUNTIFS(JournalActions[Joueur],$B30,JournalActions[Action],$G$6,JournalActions[Mi-temps],G$7))</f>
        <v/>
      </c>
      <c r="H30" s="29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28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28" t="str">
        <f>IF(COUNTIFS(JournalActions[Joueur],$B30,JournalActions[Action],ACT_GRATTAGE_NS,JournalActions[Mi-temps],M$7)=0,"",COUNTIFS(JournalActions[Joueur],$B30,JournalActions[Action],ACT_GRATTAGE_NS,JournalActions[Mi-temps],M$7))</f>
        <v/>
      </c>
      <c r="N30" s="29" t="str">
        <f>IF(COUNTIFS(JournalActions[Joueur],$B30,JournalActions[Action],ACT_GRATTAGE_NS,JournalActions[Mi-temps],N$7)=0,"",COUNTIFS(JournalActions[Joueur],$B30,JournalActions[Action],ACT_GRATTAGE_NS,JournalActions[Mi-temps],N$7))</f>
        <v/>
      </c>
      <c r="O30" s="28" t="str">
        <f>IF(COUNTIFS(JournalActions[Joueur],$B30,JournalActions[Action],$O$6,JournalActions[Mi-temps],O$7)=0,"",COUNTIFS(JournalActions[Joueur],$B30,JournalActions[Action],$O$6,JournalActions[Mi-temps],O$7))</f>
        <v/>
      </c>
      <c r="P30" s="29" t="str">
        <f>IF(COUNTIFS(JournalActions[Joueur],$B30,JournalActions[Action],$O$6,JournalActions[Mi-temps],P$7)=0,"",COUNTIFS(JournalActions[Joueur],$B30,JournalActions[Action],$O$6,JournalActions[Mi-temps],P$7))</f>
        <v/>
      </c>
      <c r="Q30" s="28" t="str">
        <f>IF(COUNTIFS(JournalActions[Joueur],$B30,JournalActions[Action],$Q$6,JournalActions[Mi-temps],Q$7)=0,"",COUNTIFS(JournalActions[Joueur],$B30,JournalActions[Action],$Q$6,JournalActions[Mi-temps],Q$7))</f>
        <v/>
      </c>
      <c r="R30" s="29" t="str">
        <f>IF(COUNTIFS(JournalActions[Joueur],$B30,JournalActions[Action],$Q$6,JournalActions[Mi-temps],R$7)=0,"",COUNTIFS(JournalActions[Joueur],$B30,JournalActions[Action],$Q$6,JournalActions[Mi-temps],R$7))</f>
        <v/>
      </c>
      <c r="S30" s="28" t="str">
        <f>IF(COUNTIFS(JournalActions[Joueur],$B30,JournalActions[Action],$S$6,JournalActions[Mi-temps],S$7)=0,"",COUNTIFS(JournalActions[Joueur],$B30,JournalActions[Action],$S$6,JournalActions[Mi-temps],S$7))</f>
        <v/>
      </c>
      <c r="T30" s="29" t="str">
        <f>IF(COUNTIFS(JournalActions[Joueur],$B30,JournalActions[Action],$S$6,JournalActions[Mi-temps],T$7)=0,"",COUNTIFS(JournalActions[Joueur],$B30,JournalActions[Action],$S$6,JournalActions[Mi-temps],T$7))</f>
        <v/>
      </c>
      <c r="U30" s="68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68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68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68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68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68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26" t="s">
        <v>168</v>
      </c>
      <c r="C31" s="28" t="str">
        <f>IF(COUNTIFS(JournalActions[Joueur],$B31,JournalActions[Action],$C$6,JournalActions[Mi-temps],C$7)=0,"",COUNTIFS(JournalActions[Joueur],$B31,JournalActions[Action],$C$6,JournalActions[Mi-temps],C$7))</f>
        <v/>
      </c>
      <c r="D31" s="29" t="str">
        <f>IF(COUNTIFS(JournalActions[Joueur],$B31,JournalActions[Action],$C$6,JournalActions[Mi-temps],D$7)=0,"",COUNTIFS(JournalActions[Joueur],$B31,JournalActions[Action],$C$6,JournalActions[Mi-temps],D$7))</f>
        <v/>
      </c>
      <c r="E31" t="str">
        <f>IF(COUNTIFS(JournalActions[Joueur],$B31,JournalActions[Action],$E$6,JournalActions[Mi-temps],E$7)=0,"",COUNTIFS(JournalActions[Joueur],$B31,JournalActions[Action],$E$6,JournalActions[Mi-temps],E$7))</f>
        <v/>
      </c>
      <c r="F31" t="str">
        <f>IF(COUNTIFS(JournalActions[Joueur],$B31,JournalActions[Action],$E$6,JournalActions[Mi-temps],F$7)=0,"",COUNTIFS(JournalActions[Joueur],$B31,JournalActions[Action],$E$6,JournalActions[Mi-temps],F$7))</f>
        <v/>
      </c>
      <c r="G31" s="28" t="str">
        <f>IF(COUNTIFS(JournalActions[Joueur],$B31,JournalActions[Action],$G$6,JournalActions[Mi-temps],G$7)=0,"",COUNTIFS(JournalActions[Joueur],$B31,JournalActions[Action],$G$6,JournalActions[Mi-temps],G$7))</f>
        <v/>
      </c>
      <c r="H31" s="29" t="str">
        <f>IF(COUNTIFS(JournalActions[Joueur],$B31,JournalActions[Action],$G$6,JournalActions[Mi-temps],H$7)=0,"",COUNTIFS(JournalActions[Joueur],$B31,JournalActions[Action],$G$6,JournalActions[Mi-temps],H$7))</f>
        <v/>
      </c>
      <c r="I31" t="str">
        <f>IF(COUNTIFS(JournalActions[Joueur],$B31,JournalActions[Action],$I$6,JournalActions[Mi-temps],I$7)=0,"",COUNTIFS(JournalActions[Joueur],$B31,JournalActions[Action],$I$6,JournalActions[Mi-temps],I$7))</f>
        <v/>
      </c>
      <c r="J31" t="str">
        <f>IF(COUNTIFS(JournalActions[Joueur],$B31,JournalActions[Action],$I$6,JournalActions[Mi-temps],J$7)=0,"",COUNTIFS(JournalActions[Joueur],$B31,JournalActions[Action],$I$6,JournalActions[Mi-temps],J$7))</f>
        <v/>
      </c>
      <c r="K31" s="28" t="str">
        <f>IF(COUNTIFS(JournalActions[Joueur],$B31,JournalActions[Action],$K$6,JournalActions[Mi-temps],K$7)=0,"",COUNTIFS(JournalActions[Joueur],$B31,JournalActions[Action],$K$6,JournalActions[Mi-temps],K$7))</f>
        <v/>
      </c>
      <c r="L31" t="str">
        <f>IF(COUNTIFS(JournalActions[Joueur],$B31,JournalActions[Action],$K$6,JournalActions[Mi-temps],L$7)=0,"",COUNTIFS(JournalActions[Joueur],$B31,JournalActions[Action],$K$6,JournalActions[Mi-temps],L$7))</f>
        <v/>
      </c>
      <c r="M31" s="28" t="str">
        <f>IF(COUNTIFS(JournalActions[Joueur],$B31,JournalActions[Action],ACT_GRATTAGE_NS,JournalActions[Mi-temps],M$7)=0,"",COUNTIFS(JournalActions[Joueur],$B31,JournalActions[Action],ACT_GRATTAGE_NS,JournalActions[Mi-temps],M$7))</f>
        <v/>
      </c>
      <c r="N31" s="29" t="str">
        <f>IF(COUNTIFS(JournalActions[Joueur],$B31,JournalActions[Action],ACT_GRATTAGE_NS,JournalActions[Mi-temps],N$7)=0,"",COUNTIFS(JournalActions[Joueur],$B31,JournalActions[Action],ACT_GRATTAGE_NS,JournalActions[Mi-temps],N$7))</f>
        <v/>
      </c>
      <c r="O31" s="28" t="str">
        <f>IF(COUNTIFS(JournalActions[Joueur],$B31,JournalActions[Action],$O$6,JournalActions[Mi-temps],O$7)=0,"",COUNTIFS(JournalActions[Joueur],$B31,JournalActions[Action],$O$6,JournalActions[Mi-temps],O$7))</f>
        <v/>
      </c>
      <c r="P31" s="29" t="str">
        <f>IF(COUNTIFS(JournalActions[Joueur],$B31,JournalActions[Action],$O$6,JournalActions[Mi-temps],P$7)=0,"",COUNTIFS(JournalActions[Joueur],$B31,JournalActions[Action],$O$6,JournalActions[Mi-temps],P$7))</f>
        <v/>
      </c>
      <c r="Q31" s="28" t="str">
        <f>IF(COUNTIFS(JournalActions[Joueur],$B31,JournalActions[Action],$Q$6,JournalActions[Mi-temps],Q$7)=0,"",COUNTIFS(JournalActions[Joueur],$B31,JournalActions[Action],$Q$6,JournalActions[Mi-temps],Q$7))</f>
        <v/>
      </c>
      <c r="R31" s="29" t="str">
        <f>IF(COUNTIFS(JournalActions[Joueur],$B31,JournalActions[Action],$Q$6,JournalActions[Mi-temps],R$7)=0,"",COUNTIFS(JournalActions[Joueur],$B31,JournalActions[Action],$Q$6,JournalActions[Mi-temps],R$7))</f>
        <v/>
      </c>
      <c r="S31" s="28" t="str">
        <f>IF(COUNTIFS(JournalActions[Joueur],$B31,JournalActions[Action],$S$6,JournalActions[Mi-temps],S$7)=0,"",COUNTIFS(JournalActions[Joueur],$B31,JournalActions[Action],$S$6,JournalActions[Mi-temps],S$7))</f>
        <v/>
      </c>
      <c r="T31" s="29" t="str">
        <f>IF(COUNTIFS(JournalActions[Joueur],$B31,JournalActions[Action],$S$6,JournalActions[Mi-temps],T$7)=0,"",COUNTIFS(JournalActions[Joueur],$B31,JournalActions[Action],$S$6,JournalActions[Mi-temps],T$7))</f>
        <v/>
      </c>
      <c r="U31" s="68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68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68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68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68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68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>
      <c r="B32" s="26" t="s">
        <v>42</v>
      </c>
      <c r="C32" s="28" t="str">
        <f>IF(COUNTIFS(JournalActions[Joueur],$B32,JournalActions[Action],$C$6,JournalActions[Mi-temps],C$7)=0,"",COUNTIFS(JournalActions[Joueur],$B32,JournalActions[Action],$C$6,JournalActions[Mi-temps],C$7))</f>
        <v/>
      </c>
      <c r="D32" s="29" t="str">
        <f>IF(COUNTIFS(JournalActions[Joueur],$B32,JournalActions[Action],$C$6,JournalActions[Mi-temps],D$7)=0,"",COUNTIFS(JournalActions[Joueur],$B32,JournalActions[Action],$C$6,JournalActions[Mi-temps],D$7))</f>
        <v/>
      </c>
      <c r="E32" t="str">
        <f>IF(COUNTIFS(JournalActions[Joueur],$B32,JournalActions[Action],$E$6,JournalActions[Mi-temps],E$7)=0,"",COUNTIFS(JournalActions[Joueur],$B32,JournalActions[Action],$E$6,JournalActions[Mi-temps],E$7))</f>
        <v/>
      </c>
      <c r="F32" t="str">
        <f>IF(COUNTIFS(JournalActions[Joueur],$B32,JournalActions[Action],$E$6,JournalActions[Mi-temps],F$7)=0,"",COUNTIFS(JournalActions[Joueur],$B32,JournalActions[Action],$E$6,JournalActions[Mi-temps],F$7))</f>
        <v/>
      </c>
      <c r="G32" s="28" t="str">
        <f>IF(COUNTIFS(JournalActions[Joueur],$B32,JournalActions[Action],$G$6,JournalActions[Mi-temps],G$7)=0,"",COUNTIFS(JournalActions[Joueur],$B32,JournalActions[Action],$G$6,JournalActions[Mi-temps],G$7))</f>
        <v/>
      </c>
      <c r="H32" s="29" t="str">
        <f>IF(COUNTIFS(JournalActions[Joueur],$B32,JournalActions[Action],$G$6,JournalActions[Mi-temps],H$7)=0,"",COUNTIFS(JournalActions[Joueur],$B32,JournalActions[Action],$G$6,JournalActions[Mi-temps],H$7))</f>
        <v/>
      </c>
      <c r="I32" t="str">
        <f>IF(COUNTIFS(JournalActions[Joueur],$B32,JournalActions[Action],$I$6,JournalActions[Mi-temps],I$7)=0,"",COUNTIFS(JournalActions[Joueur],$B32,JournalActions[Action],$I$6,JournalActions[Mi-temps],I$7))</f>
        <v/>
      </c>
      <c r="J32" t="str">
        <f>IF(COUNTIFS(JournalActions[Joueur],$B32,JournalActions[Action],$I$6,JournalActions[Mi-temps],J$7)=0,"",COUNTIFS(JournalActions[Joueur],$B32,JournalActions[Action],$I$6,JournalActions[Mi-temps],J$7))</f>
        <v/>
      </c>
      <c r="K32" s="28" t="str">
        <f>IF(COUNTIFS(JournalActions[Joueur],$B32,JournalActions[Action],$K$6,JournalActions[Mi-temps],K$7)=0,"",COUNTIFS(JournalActions[Joueur],$B32,JournalActions[Action],$K$6,JournalActions[Mi-temps],K$7))</f>
        <v/>
      </c>
      <c r="L32" t="str">
        <f>IF(COUNTIFS(JournalActions[Joueur],$B32,JournalActions[Action],$K$6,JournalActions[Mi-temps],L$7)=0,"",COUNTIFS(JournalActions[Joueur],$B32,JournalActions[Action],$K$6,JournalActions[Mi-temps],L$7))</f>
        <v/>
      </c>
      <c r="M32" s="28" t="str">
        <f>IF(COUNTIFS(JournalActions[Joueur],$B32,JournalActions[Action],ACT_GRATTAGE_NS,JournalActions[Mi-temps],M$7)=0,"",COUNTIFS(JournalActions[Joueur],$B32,JournalActions[Action],ACT_GRATTAGE_NS,JournalActions[Mi-temps],M$7))</f>
        <v/>
      </c>
      <c r="N32" s="29" t="str">
        <f>IF(COUNTIFS(JournalActions[Joueur],$B32,JournalActions[Action],ACT_GRATTAGE_NS,JournalActions[Mi-temps],N$7)=0,"",COUNTIFS(JournalActions[Joueur],$B32,JournalActions[Action],ACT_GRATTAGE_NS,JournalActions[Mi-temps],N$7))</f>
        <v/>
      </c>
      <c r="O32" s="28" t="str">
        <f>IF(COUNTIFS(JournalActions[Joueur],$B32,JournalActions[Action],$O$6,JournalActions[Mi-temps],O$7)=0,"",COUNTIFS(JournalActions[Joueur],$B32,JournalActions[Action],$O$6,JournalActions[Mi-temps],O$7))</f>
        <v/>
      </c>
      <c r="P32" s="29" t="str">
        <f>IF(COUNTIFS(JournalActions[Joueur],$B32,JournalActions[Action],$O$6,JournalActions[Mi-temps],P$7)=0,"",COUNTIFS(JournalActions[Joueur],$B32,JournalActions[Action],$O$6,JournalActions[Mi-temps],P$7))</f>
        <v/>
      </c>
      <c r="Q32" s="28" t="str">
        <f>IF(COUNTIFS(JournalActions[Joueur],$B32,JournalActions[Action],$Q$6,JournalActions[Mi-temps],Q$7)=0,"",COUNTIFS(JournalActions[Joueur],$B32,JournalActions[Action],$Q$6,JournalActions[Mi-temps],Q$7))</f>
        <v/>
      </c>
      <c r="R32" s="29" t="str">
        <f>IF(COUNTIFS(JournalActions[Joueur],$B32,JournalActions[Action],$Q$6,JournalActions[Mi-temps],R$7)=0,"",COUNTIFS(JournalActions[Joueur],$B32,JournalActions[Action],$Q$6,JournalActions[Mi-temps],R$7))</f>
        <v/>
      </c>
      <c r="S32" s="28" t="str">
        <f>IF(COUNTIFS(JournalActions[Joueur],$B32,JournalActions[Action],$S$6,JournalActions[Mi-temps],S$7)=0,"",COUNTIFS(JournalActions[Joueur],$B32,JournalActions[Action],$S$6,JournalActions[Mi-temps],S$7))</f>
        <v/>
      </c>
      <c r="T32" s="29" t="str">
        <f>IF(COUNTIFS(JournalActions[Joueur],$B32,JournalActions[Action],$S$6,JournalActions[Mi-temps],T$7)=0,"",COUNTIFS(JournalActions[Joueur],$B32,JournalActions[Action],$S$6,JournalActions[Mi-temps],T$7))</f>
        <v/>
      </c>
      <c r="U32" s="68" t="str">
        <f>IF(COUNTIFS(JournalActions[Joueur],$B32,JournalActions[Action],ACT_PEN_CONTRE_NOUS,JournalActions[Motif penalite],U$7)=0,"",COUNTIFS(JournalActions[Joueur],$B32,JournalActions[Action],ACT_PEN_CONTRE_NOUS,JournalActions[Motif penalite],U$7))</f>
        <v/>
      </c>
      <c r="V32" s="68" t="str">
        <f>IF(COUNTIFS(JournalActions[[Joueur]:[Joueur]],$B32,JournalActions[[Action]:[Action]],ACT_PEN_CONTRE_NOUS,JournalActions[[Motif penalite]:[Motif penalite]],ACT_PEN_HORS_JEU)=0,"",COUNTIFS(JournalActions[[Joueur]:[Joueur]],$B32,JournalActions[[Action]:[Action]],ACT_PEN_CONTRE_NOUS,JournalActions[[Motif penalite]:[Motif penalite]],ACT_PEN_HORS_JEU))</f>
        <v/>
      </c>
      <c r="W32" s="68" t="str">
        <f>IF(COUNTIFS(JournalActions[[Joueur]:[Joueur]],$B32,JournalActions[[Action]:[Action]],ACT_PEN_CONTRE_NOUS,JournalActions[[Motif penalite]:[Motif penalite]],ACT_PEN_PL_A_2)=0,"",COUNTIFS(JournalActions[[Joueur]:[Joueur]],$B32,JournalActions[[Action]:[Action]],ACT_PEN_CONTRE_NOUS,JournalActions[[Motif penalite]:[Motif penalite]],ACT_PEN_PL_A_2))</f>
        <v/>
      </c>
      <c r="X32" s="68" t="str">
        <f>IF(COUNTIFS(JournalActions[[Joueur]:[Joueur]],$B32,JournalActions[[Action]:[Action]],ACT_PEN_CONTRE_NOUS,JournalActions[[Motif penalite]:[Motif penalite]],ACT_PEN_PL_HAUT)=0,"",COUNTIFS(JournalActions[[Joueur]:[Joueur]],$B32,JournalActions[[Action]:[Action]],ACT_PEN_CONTRE_NOUS,JournalActions[[Motif penalite]:[Motif penalite]],ACT_PEN_PL_HAUT))</f>
        <v/>
      </c>
      <c r="Y32" s="68" t="str">
        <f>IF(COUNTIFS(JournalActions[[Joueur]:[Joueur]],$B32,JournalActions[[Action]:[Action]],ACT_PEN_CONTRE_NOUS,JournalActions[[Motif penalite]:[Motif penalite]],ACT_PEN_RUCK)=0,"",COUNTIFS(JournalActions[[Joueur]:[Joueur]],$B32,JournalActions[[Action]:[Action]],ACT_PEN_CONTRE_NOUS,JournalActions[[Motif penalite]:[Motif penalite]],ACT_PEN_RUCK))</f>
        <v/>
      </c>
      <c r="Z32" s="68" t="str">
        <f>IF(COUNTIFS(JournalActions[[Joueur]:[Joueur]],$B32,JournalActions[[Action]:[Action]],ACT_PEN_CONTRE_NOUS,JournalActions[[Motif penalite]:[Motif penalite]],"?")=0,"",COUNTIFS(JournalActions[[Joueur]:[Joueur]],$B32,JournalActions[[Action]:[Action]],ACT_PEN_CONTRE_NOUS,JournalActions[[Motif penalite]:[Motif penalite]],"?"))</f>
        <v/>
      </c>
    </row>
    <row r="33" spans="2:33">
      <c r="B33" s="27" t="s">
        <v>32</v>
      </c>
      <c r="C33" s="32" t="str">
        <f>IF(COUNTIFS(JournalActions[Joueur],$B33,JournalActions[Action],$C$6,JournalActions[Mi-temps],C$7)=0,"",COUNTIFS(JournalActions[Joueur],$B33,JournalActions[Action],$C$6,JournalActions[Mi-temps],C$7))</f>
        <v/>
      </c>
      <c r="D33" s="31" t="str">
        <f>IF(COUNTIFS(JournalActions[Joueur],$B33,JournalActions[Action],$C$6,JournalActions[Mi-temps],D$7)=0,"",COUNTIFS(JournalActions[Joueur],$B33,JournalActions[Action],$C$6,JournalActions[Mi-temps],D$7))</f>
        <v/>
      </c>
      <c r="E33" s="30" t="str">
        <f>IF(COUNTIFS(JournalActions[Joueur],$B33,JournalActions[Action],$E$6,JournalActions[Mi-temps],E$7)=0,"",COUNTIFS(JournalActions[Joueur],$B33,JournalActions[Action],$E$6,JournalActions[Mi-temps],E$7))</f>
        <v/>
      </c>
      <c r="F33" s="30" t="str">
        <f>IF(COUNTIFS(JournalActions[Joueur],$B33,JournalActions[Action],$E$6,JournalActions[Mi-temps],F$7)=0,"",COUNTIFS(JournalActions[Joueur],$B33,JournalActions[Action],$E$6,JournalActions[Mi-temps],F$7))</f>
        <v/>
      </c>
      <c r="G33" s="32" t="str">
        <f>IF(COUNTIFS(JournalActions[Joueur],$B33,JournalActions[Action],$G$6,JournalActions[Mi-temps],G$7)=0,"",COUNTIFS(JournalActions[Joueur],$B33,JournalActions[Action],$G$6,JournalActions[Mi-temps],G$7))</f>
        <v/>
      </c>
      <c r="H33" s="31" t="str">
        <f>IF(COUNTIFS(JournalActions[Joueur],$B33,JournalActions[Action],$G$6,JournalActions[Mi-temps],H$7)=0,"",COUNTIFS(JournalActions[Joueur],$B33,JournalActions[Action],$G$6,JournalActions[Mi-temps],H$7))</f>
        <v/>
      </c>
      <c r="I33" s="30" t="str">
        <f>IF(COUNTIFS(JournalActions[Joueur],$B33,JournalActions[Action],$I$6,JournalActions[Mi-temps],I$7)=0,"",COUNTIFS(JournalActions[Joueur],$B33,JournalActions[Action],$I$6,JournalActions[Mi-temps],I$7))</f>
        <v/>
      </c>
      <c r="J33" s="30" t="str">
        <f>IF(COUNTIFS(JournalActions[Joueur],$B33,JournalActions[Action],$I$6,JournalActions[Mi-temps],J$7)=0,"",COUNTIFS(JournalActions[Joueur],$B33,JournalActions[Action],$I$6,JournalActions[Mi-temps],J$7))</f>
        <v/>
      </c>
      <c r="K33" s="32" t="str">
        <f>IF(COUNTIFS(JournalActions[Joueur],$B33,JournalActions[Action],$K$6,JournalActions[Mi-temps],K$7)=0,"",COUNTIFS(JournalActions[Joueur],$B33,JournalActions[Action],$K$6,JournalActions[Mi-temps],K$7))</f>
        <v/>
      </c>
      <c r="L33" s="30" t="str">
        <f>IF(COUNTIFS(JournalActions[Joueur],$B33,JournalActions[Action],$K$6,JournalActions[Mi-temps],L$7)=0,"",COUNTIFS(JournalActions[Joueur],$B33,JournalActions[Action],$K$6,JournalActions[Mi-temps],L$7))</f>
        <v/>
      </c>
      <c r="M33" s="32" t="str">
        <f>IF(COUNTIFS(JournalActions[Joueur],$B33,JournalActions[Action],ACT_GRATTAGE_NS,JournalActions[Mi-temps],M$7)=0,"",COUNTIFS(JournalActions[Joueur],$B33,JournalActions[Action],ACT_GRATTAGE_NS,JournalActions[Mi-temps],M$7))</f>
        <v/>
      </c>
      <c r="N33" s="31" t="str">
        <f>IF(COUNTIFS(JournalActions[Joueur],$B33,JournalActions[Action],ACT_GRATTAGE_NS,JournalActions[Mi-temps],N$7)=0,"",COUNTIFS(JournalActions[Joueur],$B33,JournalActions[Action],ACT_GRATTAGE_NS,JournalActions[Mi-temps],N$7))</f>
        <v/>
      </c>
      <c r="O33" s="32" t="str">
        <f>IF(COUNTIFS(JournalActions[Joueur],$B33,JournalActions[Action],$O$6,JournalActions[Mi-temps],O$7)=0,"",COUNTIFS(JournalActions[Joueur],$B33,JournalActions[Action],$O$6,JournalActions[Mi-temps],O$7))</f>
        <v/>
      </c>
      <c r="P33" s="31" t="str">
        <f>IF(COUNTIFS(JournalActions[Joueur],$B33,JournalActions[Action],$O$6,JournalActions[Mi-temps],P$7)=0,"",COUNTIFS(JournalActions[Joueur],$B33,JournalActions[Action],$O$6,JournalActions[Mi-temps],P$7))</f>
        <v/>
      </c>
      <c r="Q33" s="32" t="str">
        <f>IF(COUNTIFS(JournalActions[Joueur],$B33,JournalActions[Action],$Q$6,JournalActions[Mi-temps],Q$7)=0,"",COUNTIFS(JournalActions[Joueur],$B33,JournalActions[Action],$Q$6,JournalActions[Mi-temps],Q$7))</f>
        <v/>
      </c>
      <c r="R33" s="31" t="str">
        <f>IF(COUNTIFS(JournalActions[Joueur],$B33,JournalActions[Action],$Q$6,JournalActions[Mi-temps],R$7)=0,"",COUNTIFS(JournalActions[Joueur],$B33,JournalActions[Action],$Q$6,JournalActions[Mi-temps],R$7))</f>
        <v/>
      </c>
      <c r="S33" s="32" t="str">
        <f>IF(COUNTIFS(JournalActions[Joueur],$B33,JournalActions[Action],$S$6,JournalActions[Mi-temps],S$7)=0,"",COUNTIFS(JournalActions[Joueur],$B33,JournalActions[Action],$S$6,JournalActions[Mi-temps],S$7))</f>
        <v/>
      </c>
      <c r="T33" s="31" t="str">
        <f>IF(COUNTIFS(JournalActions[Joueur],$B33,JournalActions[Action],$S$6,JournalActions[Mi-temps],T$7)=0,"",COUNTIFS(JournalActions[Joueur],$B33,JournalActions[Action],$S$6,JournalActions[Mi-temps],T$7))</f>
        <v/>
      </c>
      <c r="U33" s="69" t="str">
        <f>IF(COUNTIFS(JournalActions[Joueur],$B33,JournalActions[Action],ACT_PEN_CONTRE_NOUS,JournalActions[Motif penalite],U$7)=0,"",COUNTIFS(JournalActions[Joueur],$B33,JournalActions[Action],ACT_PEN_CONTRE_NOUS,JournalActions[Motif penalite],U$7))</f>
        <v/>
      </c>
      <c r="V33" s="69" t="str">
        <f>IF(COUNTIFS(JournalActions[[Joueur]:[Joueur]],$B33,JournalActions[[Action]:[Action]],ACT_PEN_CONTRE_NOUS,JournalActions[[Motif penalite]:[Motif penalite]],ACT_PEN_HORS_JEU)=0,"",COUNTIFS(JournalActions[[Joueur]:[Joueur]],$B33,JournalActions[[Action]:[Action]],ACT_PEN_CONTRE_NOUS,JournalActions[[Motif penalite]:[Motif penalite]],ACT_PEN_HORS_JEU))</f>
        <v/>
      </c>
      <c r="W33" s="69" t="str">
        <f>IF(COUNTIFS(JournalActions[[Joueur]:[Joueur]],$B33,JournalActions[[Action]:[Action]],ACT_PEN_CONTRE_NOUS,JournalActions[[Motif penalite]:[Motif penalite]],ACT_PEN_PL_A_2)=0,"",COUNTIFS(JournalActions[[Joueur]:[Joueur]],$B33,JournalActions[[Action]:[Action]],ACT_PEN_CONTRE_NOUS,JournalActions[[Motif penalite]:[Motif penalite]],ACT_PEN_PL_A_2))</f>
        <v/>
      </c>
      <c r="X33" s="69" t="str">
        <f>IF(COUNTIFS(JournalActions[[Joueur]:[Joueur]],$B33,JournalActions[[Action]:[Action]],ACT_PEN_CONTRE_NOUS,JournalActions[[Motif penalite]:[Motif penalite]],ACT_PEN_PL_HAUT)=0,"",COUNTIFS(JournalActions[[Joueur]:[Joueur]],$B33,JournalActions[[Action]:[Action]],ACT_PEN_CONTRE_NOUS,JournalActions[[Motif penalite]:[Motif penalite]],ACT_PEN_PL_HAUT))</f>
        <v/>
      </c>
      <c r="Y33" s="69" t="str">
        <f>IF(COUNTIFS(JournalActions[[Joueur]:[Joueur]],$B33,JournalActions[[Action]:[Action]],ACT_PEN_CONTRE_NOUS,JournalActions[[Motif penalite]:[Motif penalite]],ACT_PEN_RUCK)=0,"",COUNTIFS(JournalActions[[Joueur]:[Joueur]],$B33,JournalActions[[Action]:[Action]],ACT_PEN_CONTRE_NOUS,JournalActions[[Motif penalite]:[Motif penalite]],ACT_PEN_RUCK))</f>
        <v/>
      </c>
      <c r="Z33" s="69" t="str">
        <f>IF(COUNTIFS(JournalActions[[Joueur]:[Joueur]],$B33,JournalActions[[Action]:[Action]],ACT_PEN_CONTRE_NOUS,JournalActions[[Motif penalite]:[Motif penalite]],"?")=0,"",COUNTIFS(JournalActions[[Joueur]:[Joueur]],$B33,JournalActions[[Action]:[Action]],ACT_PEN_CONTRE_NOUS,JournalActions[[Motif penalite]:[Motif penalite]],"?"))</f>
        <v/>
      </c>
    </row>
    <row r="34" spans="2:33" s="3" customFormat="1" ht="22" customHeight="1">
      <c r="B34" s="52" t="s">
        <v>175</v>
      </c>
      <c r="C34" s="53">
        <f>SUM(C8:C33)</f>
        <v>0</v>
      </c>
      <c r="D34" s="54">
        <f>SUM(D8:D33)</f>
        <v>0</v>
      </c>
      <c r="E34" s="53">
        <f t="shared" ref="E34:Z34" si="0">SUM(E8:E33)</f>
        <v>0</v>
      </c>
      <c r="F34" s="54">
        <f t="shared" si="0"/>
        <v>0</v>
      </c>
      <c r="G34" s="53">
        <f t="shared" si="0"/>
        <v>0</v>
      </c>
      <c r="H34" s="54">
        <f t="shared" si="0"/>
        <v>0</v>
      </c>
      <c r="I34" s="53">
        <f t="shared" si="0"/>
        <v>0</v>
      </c>
      <c r="J34" s="54">
        <f t="shared" si="0"/>
        <v>0</v>
      </c>
      <c r="K34" s="53">
        <f t="shared" si="0"/>
        <v>0</v>
      </c>
      <c r="L34" s="54">
        <f t="shared" si="0"/>
        <v>0</v>
      </c>
      <c r="M34" s="53">
        <f t="shared" si="0"/>
        <v>0</v>
      </c>
      <c r="N34" s="54">
        <f t="shared" si="0"/>
        <v>0</v>
      </c>
      <c r="O34" s="53">
        <f t="shared" ref="O34:P34" si="1">SUM(O8:O33)</f>
        <v>0</v>
      </c>
      <c r="P34" s="54">
        <f t="shared" si="1"/>
        <v>0</v>
      </c>
      <c r="Q34" s="53">
        <f t="shared" ref="Q34:T34" si="2">SUM(Q8:Q33)</f>
        <v>0</v>
      </c>
      <c r="R34" s="54">
        <f t="shared" si="2"/>
        <v>0</v>
      </c>
      <c r="S34" s="53">
        <f t="shared" si="2"/>
        <v>0</v>
      </c>
      <c r="T34" s="54">
        <f t="shared" si="2"/>
        <v>0</v>
      </c>
      <c r="U34" s="243">
        <f t="shared" si="0"/>
        <v>0</v>
      </c>
      <c r="V34" s="243">
        <f t="shared" si="0"/>
        <v>0</v>
      </c>
      <c r="W34" s="243">
        <f t="shared" si="0"/>
        <v>0</v>
      </c>
      <c r="X34" s="243">
        <f t="shared" si="0"/>
        <v>0</v>
      </c>
      <c r="Y34" s="243">
        <f t="shared" si="0"/>
        <v>0</v>
      </c>
      <c r="Z34" s="243">
        <f t="shared" si="0"/>
        <v>0</v>
      </c>
    </row>
    <row r="35" spans="2:33" s="41" customFormat="1" ht="25" customHeight="1">
      <c r="B35" s="55" t="s">
        <v>174</v>
      </c>
      <c r="C35" s="247">
        <f>C34+D34</f>
        <v>0</v>
      </c>
      <c r="D35" s="248"/>
      <c r="E35" s="249">
        <f t="shared" ref="E35" si="3">E34+F34</f>
        <v>0</v>
      </c>
      <c r="F35" s="249"/>
      <c r="G35" s="247">
        <f t="shared" ref="G35" si="4">G34+H34</f>
        <v>0</v>
      </c>
      <c r="H35" s="248"/>
      <c r="I35" s="247">
        <f>I34+J34</f>
        <v>0</v>
      </c>
      <c r="J35" s="248"/>
      <c r="K35" s="247">
        <f t="shared" ref="K35" si="5">K34+L34</f>
        <v>0</v>
      </c>
      <c r="L35" s="248"/>
      <c r="M35" s="249">
        <f t="shared" ref="M35" si="6">M34+N34</f>
        <v>0</v>
      </c>
      <c r="N35" s="248"/>
      <c r="O35" s="249">
        <f t="shared" ref="O35" si="7">O34+P34</f>
        <v>0</v>
      </c>
      <c r="P35" s="248"/>
      <c r="Q35" s="249">
        <f t="shared" ref="Q35" si="8">Q34+R34</f>
        <v>0</v>
      </c>
      <c r="R35" s="248"/>
      <c r="S35" s="249">
        <f t="shared" ref="S35" si="9">S34+T34</f>
        <v>0</v>
      </c>
      <c r="T35" s="248"/>
      <c r="U35" s="244"/>
      <c r="V35" s="244"/>
      <c r="W35" s="244"/>
      <c r="X35" s="244"/>
      <c r="Y35" s="244"/>
      <c r="Z35" s="244"/>
    </row>
    <row r="36" spans="2:33" s="3" customFormat="1"/>
    <row r="37" spans="2:33" s="3" customFormat="1"/>
    <row r="38" spans="2:33" ht="14">
      <c r="B38" s="56" t="s">
        <v>144</v>
      </c>
      <c r="C38" s="56" t="s">
        <v>209</v>
      </c>
      <c r="D38" s="106" t="s">
        <v>143</v>
      </c>
      <c r="E38" s="57" t="s">
        <v>349</v>
      </c>
      <c r="F38" s="3"/>
      <c r="G38" s="56" t="s">
        <v>453</v>
      </c>
      <c r="H38" s="147" t="s">
        <v>46</v>
      </c>
      <c r="I38" s="48" t="s">
        <v>44</v>
      </c>
      <c r="J38" s="3"/>
      <c r="K38" s="3"/>
      <c r="L38" s="239" t="s">
        <v>28</v>
      </c>
      <c r="M38" s="239" t="s">
        <v>146</v>
      </c>
      <c r="N38" s="251"/>
      <c r="O38" s="237"/>
      <c r="P38" s="237" t="s">
        <v>170</v>
      </c>
      <c r="Q38" s="3"/>
      <c r="R38" s="3"/>
      <c r="S38" s="3"/>
      <c r="T38" s="3"/>
      <c r="AE38"/>
      <c r="AF38"/>
      <c r="AG38"/>
    </row>
    <row r="39" spans="2:33" ht="14">
      <c r="B39" s="36" t="s">
        <v>141</v>
      </c>
      <c r="C39" s="36">
        <f>COUNTIFS(JournalActions[Action],ACT_TO_NS_G,JournalActions[Mi-temps],"MT1")</f>
        <v>0</v>
      </c>
      <c r="D39" s="104">
        <f>COUNTIFS(JournalActions[Action],ACT_TO_NS_P,JournalActions[Mi-temps],"MT1")</f>
        <v>0</v>
      </c>
      <c r="E39" s="37">
        <f>COUNTIFS(JournalActions[Action],ACT_TO_NS_PAS_DROIT,JournalActions[Mi-temps],"MT1")</f>
        <v>0</v>
      </c>
      <c r="F39" s="3"/>
      <c r="G39" s="36" t="s">
        <v>146</v>
      </c>
      <c r="H39" s="161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0</v>
      </c>
      <c r="I39" s="162">
        <f>5*COUNTIFS(JournalActions[Action],ACT_PTS_ESSAI,JournalActions[Possession],"Nous",JournalActions[Mi-temps],"MT2")
+2*COUNTIFS(JournalActions[Action],ACT_PTS_TRANSFO,JournalActions[Possession],"Nous",JournalActions[Mi-temps],"MT2")
+3*COUNTIFS(JournalActions[Action],ACT_PTS_PENALITE,JournalActions[Possession],"Nous",JournalActions[Mi-temps],"MT2")
+3*COUNTIFS(JournalActions[Action],ACT_PTS_DROP,JournalActions[Possession],"Nous",JournalActions[Mi-temps],"MT2")
+7*COUNTIFS(JournalActions[Action],ACT_PTS_ESSAI_PEN,JournalActions[Possession],"Nous",JournalActions[Mi-temps],"MT2")</f>
        <v>0</v>
      </c>
      <c r="J39" s="3"/>
      <c r="K39" s="3"/>
      <c r="L39" s="250"/>
      <c r="M39" s="70" t="s">
        <v>152</v>
      </c>
      <c r="N39" s="66" t="s">
        <v>169</v>
      </c>
      <c r="O39" s="71" t="s">
        <v>32</v>
      </c>
      <c r="P39" s="238"/>
      <c r="Q39" s="3"/>
      <c r="R39" s="3"/>
      <c r="S39" s="3"/>
      <c r="T39" s="3"/>
      <c r="AE39"/>
      <c r="AF39"/>
      <c r="AG39"/>
    </row>
    <row r="40" spans="2:33">
      <c r="B40" s="11" t="s">
        <v>171</v>
      </c>
      <c r="C40" s="11">
        <f>COUNTIFS(JournalActions[Action],ACT_TO_ADV_PERDUE,JournalActions[Mi-temps],"MT1")</f>
        <v>0</v>
      </c>
      <c r="D40" s="105">
        <f>COUNTIFS(JournalActions[Action],ACT_TO_ADV_VOLEE,JournalActions[Mi-temps],"MT1")</f>
        <v>0</v>
      </c>
      <c r="E40" s="12">
        <f>COUNTIFS(JournalActions[Action],ACT_TO_ADV_PAS_DROIT,JournalActions[Mi-temps],"MT1")</f>
        <v>0</v>
      </c>
      <c r="F40" s="3"/>
      <c r="G40" s="11" t="s">
        <v>147</v>
      </c>
      <c r="H40" s="11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40" s="12">
        <f>5*COUNTIFS(JournalActions[Action],ACT_PTS_ESSAI,JournalActions[Possession],"Adv",JournalActions[Mi-temps],"MT2")
+2*COUNTIFS(JournalActions[Action],ACT_PTS_TRANSFO,JournalActions[Possession],"Adv",JournalActions[Mi-temps],"MT2")
+3*COUNTIFS(JournalActions[Action],ACT_PTS_PENALITE,JournalActions[Possession],"Adv",JournalActions[Mi-temps],"MT2")
+3*COUNTIFS(JournalActions[Action],ACT_PTS_DROP,JournalActions[Possession],"Adv",JournalActions[Mi-temps],"MT2")
+7*COUNTIFS(JournalActions[Action],ACT_PTS_ESSAI_PEN,JournalActions[Possession],"Adv",JournalActions[Mi-temps],"MT2")</f>
        <v>0</v>
      </c>
      <c r="J40" s="3"/>
      <c r="K40" s="3"/>
      <c r="L40" s="33" t="s">
        <v>46</v>
      </c>
      <c r="M40" s="68">
        <f>COUNTIFS(JournalActions[Action],ACT_PEN_CONTRE_NOUS,JournalActions[Mi-temps],"MT1",JournalActions[Groupe fautif],"Avant*")</f>
        <v>0</v>
      </c>
      <c r="N40" s="29">
        <f>COUNTIFS(JournalActions[Action],ACT_PEN_CONTRE_NOUS,JournalActions[Mi-temps],"MT1",JournalActions[Groupe fautif],"Trois-quarts*")</f>
        <v>0</v>
      </c>
      <c r="O40" s="29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P40" s="34">
        <f>COUNTIFS(JournalActions[Action],ACT_PEN_CONTRE_ADV,JournalActions[Mi-temps],"MT1")</f>
        <v>0</v>
      </c>
      <c r="Q40" s="3"/>
      <c r="R40" s="3"/>
      <c r="S40" s="3"/>
      <c r="T40" s="3"/>
      <c r="AE40"/>
      <c r="AF40"/>
      <c r="AG40"/>
    </row>
    <row r="41" spans="2:33">
      <c r="B41" s="3"/>
      <c r="C41" s="3"/>
      <c r="D41" s="3"/>
      <c r="E41" s="3"/>
      <c r="F41" s="3"/>
      <c r="G41" s="3"/>
      <c r="H41" s="3"/>
      <c r="I41" s="3"/>
      <c r="J41" s="3"/>
      <c r="K41" s="3"/>
      <c r="L41" s="11" t="s">
        <v>44</v>
      </c>
      <c r="M41" s="62">
        <f>COUNTIFS(JournalActions[Action],ACT_PEN_CONTRE_NOUS,JournalActions[Mi-temps],"MT2",JournalActions[Groupe fautif],"Avant")</f>
        <v>0</v>
      </c>
      <c r="N41" s="12">
        <f>COUNTIFS(JournalActions[Action],ACT_PEN_CONTRE_NOUS,JournalActions[Mi-temps],"MT2",JournalActions[Groupe fautif],"Trois-quarts*")</f>
        <v>0</v>
      </c>
      <c r="O41" s="12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P41" s="12">
        <f>COUNTIFS(JournalActions[Action],ACT_PEN_CONTRE_ADV,JournalActions[Mi-temps],"MT2")</f>
        <v>0</v>
      </c>
      <c r="Q41" s="3"/>
      <c r="R41" s="3"/>
      <c r="S41" s="3"/>
      <c r="T41" s="3"/>
      <c r="AE41"/>
      <c r="AF41"/>
      <c r="AG41"/>
    </row>
    <row r="42" spans="2:33" ht="14">
      <c r="B42" s="56" t="s">
        <v>145</v>
      </c>
      <c r="C42" s="56" t="s">
        <v>209</v>
      </c>
      <c r="D42" s="106" t="s">
        <v>143</v>
      </c>
      <c r="E42" s="57" t="s">
        <v>349</v>
      </c>
      <c r="F42" s="3"/>
      <c r="G42" s="239" t="s">
        <v>148</v>
      </c>
      <c r="H42" s="237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</row>
    <row r="43" spans="2:33" ht="14">
      <c r="B43" s="36" t="s">
        <v>141</v>
      </c>
      <c r="C43" s="36">
        <f>COUNTIFS(JournalActions[Action],ACT_TO_NS_G,JournalActions[Mi-temps],"MT2")</f>
        <v>0</v>
      </c>
      <c r="D43" s="104">
        <f>COUNTIFS(JournalActions[Action],ACT_TO_NS_P,JournalActions[Mi-temps],"MT2")</f>
        <v>0</v>
      </c>
      <c r="E43" s="37">
        <f>COUNTIFS(JournalActions[Action],ACT_TO_NS_PAS_DROIT,JournalActions[Mi-temps],"MT2")</f>
        <v>0</v>
      </c>
      <c r="F43" s="3"/>
      <c r="G43" s="36" t="s">
        <v>146</v>
      </c>
      <c r="H43" s="37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0</v>
      </c>
      <c r="I43" s="3"/>
      <c r="J43" s="3"/>
      <c r="K43" s="3"/>
      <c r="L43" s="58" t="s">
        <v>0</v>
      </c>
      <c r="M43" s="59"/>
      <c r="N43" s="60" t="s">
        <v>146</v>
      </c>
      <c r="O43" s="48" t="s">
        <v>170</v>
      </c>
      <c r="P43" s="3"/>
      <c r="Q43" s="3"/>
      <c r="R43" s="3"/>
      <c r="S43" s="3"/>
      <c r="T43" s="3"/>
    </row>
    <row r="44" spans="2:33">
      <c r="B44" s="11" t="s">
        <v>171</v>
      </c>
      <c r="C44" s="11">
        <f>COUNTIFS(JournalActions[Action],ACT_TO_ADV_PERDUE,JournalActions[Mi-temps],"MT2")</f>
        <v>0</v>
      </c>
      <c r="D44" s="105">
        <f>COUNTIFS(JournalActions[Action],ACT_TO_ADV_VOLEE,JournalActions[Mi-temps],"MT2")</f>
        <v>0</v>
      </c>
      <c r="E44" s="12">
        <f>COUNTIFS(JournalActions[Action],ACT_TO_ADV_PAS_DROIT,JournalActions[Mi-temps],"MT2")</f>
        <v>0</v>
      </c>
      <c r="F44" s="3"/>
      <c r="G44" s="11" t="s">
        <v>147</v>
      </c>
      <c r="H44" s="12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0</v>
      </c>
      <c r="I44" s="3"/>
      <c r="J44" s="3"/>
      <c r="K44" s="3"/>
      <c r="L44" s="245" t="s">
        <v>1</v>
      </c>
      <c r="M44" s="246"/>
      <c r="N44" s="38">
        <f>COUNTIFS(JournalActions[Action],ACT_PEN_CONTRE_NOUS,JournalActions[Motif penalite],"Maul*")</f>
        <v>0</v>
      </c>
      <c r="O44" s="38">
        <f>COUNTIFS(JournalActions[Action],ACT_PEN_CONTRE_ADV,JournalActions[Motif penalite],"Maul*")</f>
        <v>0</v>
      </c>
      <c r="P44" s="3"/>
      <c r="Q44" s="3"/>
      <c r="R44" s="3"/>
      <c r="S44" s="3"/>
      <c r="T44" s="3"/>
    </row>
    <row r="45" spans="2:33">
      <c r="B45" s="3"/>
      <c r="C45" s="3"/>
      <c r="D45" s="3"/>
      <c r="E45" s="3"/>
      <c r="F45" s="3"/>
      <c r="G45" s="3"/>
      <c r="H45" s="3"/>
      <c r="I45" s="3"/>
      <c r="J45" s="3"/>
      <c r="K45" s="3"/>
      <c r="L45" s="254" t="s">
        <v>2</v>
      </c>
      <c r="M45" s="255"/>
      <c r="N45" s="13">
        <f>COUNTIFS(JournalActions[Action],ACT_PEN_CONTRE_NOUS,JournalActions[Motif penalite],"Ruck*")</f>
        <v>0</v>
      </c>
      <c r="O45" s="13">
        <f>COUNTIFS(JournalActions[Action],ACT_PEN_CONTRE_ADV,JournalActions[Motif penalite],"Ruck*")</f>
        <v>0</v>
      </c>
      <c r="P45" s="3"/>
      <c r="Q45" s="3"/>
      <c r="R45" s="3"/>
      <c r="S45" s="3"/>
      <c r="T45" s="3"/>
    </row>
    <row r="46" spans="2:33" ht="14">
      <c r="B46" s="56" t="s">
        <v>231</v>
      </c>
      <c r="C46" s="56" t="s">
        <v>209</v>
      </c>
      <c r="D46" s="57" t="s">
        <v>143</v>
      </c>
      <c r="E46" s="3"/>
      <c r="F46" s="3"/>
      <c r="G46" s="147" t="s">
        <v>409</v>
      </c>
      <c r="H46" s="151" t="s">
        <v>47</v>
      </c>
      <c r="I46" s="146" t="s">
        <v>410</v>
      </c>
      <c r="J46" s="153" t="s">
        <v>234</v>
      </c>
      <c r="K46" s="3"/>
      <c r="L46" s="245" t="s">
        <v>3</v>
      </c>
      <c r="M46" s="246"/>
      <c r="N46" s="38">
        <f>COUNTIFS(JournalActions[Action],ACT_PEN_CONTRE_NOUS,JournalActions[Motif penalite],"Hors-jeu")</f>
        <v>0</v>
      </c>
      <c r="O46" s="38">
        <f>COUNTIFS(JournalActions[Action],ACT_PEN_CONTRE_ADV,JournalActions[Motif penalite],"Hors-jeu")</f>
        <v>0</v>
      </c>
      <c r="P46" s="3"/>
      <c r="Q46" s="3"/>
      <c r="R46" s="3"/>
      <c r="S46" s="3"/>
      <c r="T46" s="3"/>
    </row>
    <row r="47" spans="2:33">
      <c r="B47" s="36" t="s">
        <v>141</v>
      </c>
      <c r="C47" s="36">
        <f>COUNTIFS(JournalActions[Action],ACT_ME_NS_G,JournalActions[Mi-temps],"MT1")</f>
        <v>0</v>
      </c>
      <c r="D47" s="37">
        <f>COUNTIFS(JournalActions[Action],ACT_ME_NS_P,JournalActions[Mi-temps],"MT1")</f>
        <v>0</v>
      </c>
      <c r="E47" s="3"/>
      <c r="F47" s="3"/>
      <c r="G47" s="36" t="s">
        <v>46</v>
      </c>
      <c r="H47" s="148">
        <v>0</v>
      </c>
      <c r="I47" s="77">
        <v>0</v>
      </c>
      <c r="J47" s="77">
        <v>0</v>
      </c>
      <c r="K47" s="3"/>
      <c r="L47" s="254" t="s">
        <v>4</v>
      </c>
      <c r="M47" s="255"/>
      <c r="N47" s="13">
        <f>COUNTIFS(JournalActions[Action],ACT_PEN_CONTRE_NOUS,JournalActions[Motif penalite],"Plaquage - à 2")</f>
        <v>0</v>
      </c>
      <c r="O47" s="13">
        <f>COUNTIFS(JournalActions[Action],ACT_PEN_CONTRE_ADV,JournalActions[Motif penalite],"Plaquage - à 2")</f>
        <v>0</v>
      </c>
      <c r="P47" s="3"/>
      <c r="Q47" s="3"/>
      <c r="R47" s="3"/>
      <c r="S47" s="3"/>
      <c r="T47" s="3"/>
    </row>
    <row r="48" spans="2:33">
      <c r="B48" s="11" t="s">
        <v>171</v>
      </c>
      <c r="C48" s="11">
        <f>COUNTIFS(JournalActions[Action],ACT_ME_ADV_P,JournalActions[Mi-temps],"MT1")</f>
        <v>0</v>
      </c>
      <c r="D48" s="12">
        <f>COUNTIFS(JournalActions[Action],ACT_ME_ADV_G,JournalActions[Mi-temps],"MT1")</f>
        <v>0</v>
      </c>
      <c r="E48" s="3"/>
      <c r="F48" s="3"/>
      <c r="G48" s="11" t="s">
        <v>44</v>
      </c>
      <c r="H48" s="149">
        <v>0</v>
      </c>
      <c r="I48" s="78">
        <v>0</v>
      </c>
      <c r="J48" s="78">
        <v>0</v>
      </c>
      <c r="K48" s="3"/>
      <c r="L48" s="245" t="s">
        <v>5</v>
      </c>
      <c r="M48" s="246"/>
      <c r="N48" s="38">
        <f>COUNTIFS(JournalActions[Action],ACT_PEN_CONTRE_NOUS,JournalActions[Motif penalite],"Plaquage - haut")</f>
        <v>0</v>
      </c>
      <c r="O48" s="38">
        <f>COUNTIFS(JournalActions[Action],ACT_PEN_CONTRE_ADV,JournalActions[Motif penalite],"Plaquage - haut")</f>
        <v>0</v>
      </c>
      <c r="P48" s="3"/>
      <c r="Q48" s="3"/>
      <c r="R48" s="3"/>
      <c r="S48" s="3"/>
      <c r="T48" s="3"/>
    </row>
    <row r="49" spans="2:20">
      <c r="B49" s="3"/>
      <c r="C49" s="3"/>
      <c r="D49" s="3"/>
      <c r="E49" s="3"/>
      <c r="F49" s="3"/>
      <c r="G49" s="152" t="s">
        <v>234</v>
      </c>
      <c r="H49" s="150">
        <v>0</v>
      </c>
      <c r="I49" s="79">
        <v>0</v>
      </c>
      <c r="J49" s="79">
        <v>0</v>
      </c>
      <c r="K49" s="3"/>
      <c r="L49" s="254" t="s">
        <v>166</v>
      </c>
      <c r="M49" s="255"/>
      <c r="N49" s="13">
        <f>COUNTIF(JournalActions[Action],ACT_PEN_CONTRE_NOUS)-SUM(N44:N48)</f>
        <v>0</v>
      </c>
      <c r="O49" s="13">
        <f>COUNTIF(JournalActions[Action],ACT_PEN_CONTRE_ADV)-SUM(O44:O48)</f>
        <v>0</v>
      </c>
      <c r="P49" s="3"/>
      <c r="Q49" s="3"/>
      <c r="R49" s="3"/>
      <c r="S49" s="3"/>
      <c r="T49" s="3"/>
    </row>
    <row r="50" spans="2:20" ht="14">
      <c r="B50" s="56" t="s">
        <v>232</v>
      </c>
      <c r="C50" s="56" t="s">
        <v>209</v>
      </c>
      <c r="D50" s="57" t="s">
        <v>143</v>
      </c>
      <c r="E50" s="3"/>
      <c r="F50" s="3"/>
      <c r="G50" s="3"/>
      <c r="H50" s="3"/>
      <c r="I50" s="3"/>
      <c r="J50" s="3"/>
      <c r="K50" s="3"/>
      <c r="L50" s="40" t="s">
        <v>6</v>
      </c>
      <c r="M50" s="3"/>
      <c r="N50" s="3"/>
      <c r="O50" s="3"/>
      <c r="P50" s="3"/>
      <c r="Q50" s="3"/>
      <c r="R50" s="3"/>
      <c r="S50" s="3"/>
      <c r="T50" s="3"/>
    </row>
    <row r="51" spans="2:20">
      <c r="B51" s="36" t="s">
        <v>141</v>
      </c>
      <c r="C51" s="36">
        <f>COUNTIFS(JournalActions[Action],ACT_ME_NS_G,JournalActions[Mi-temps],"MT2")</f>
        <v>0</v>
      </c>
      <c r="D51" s="37">
        <f>COUNTIFS(JournalActions[Action],ACT_ME_NS_P,JournalActions[Mi-temps],"MT2")</f>
        <v>0</v>
      </c>
      <c r="E51" s="3"/>
      <c r="F51" s="3"/>
      <c r="G51" s="3"/>
      <c r="H51" s="3"/>
      <c r="I51" s="3"/>
      <c r="J51" s="3"/>
      <c r="K51" s="3"/>
      <c r="L51" s="3"/>
      <c r="M51" s="39"/>
      <c r="N51" s="3"/>
      <c r="O51" s="3"/>
      <c r="P51" s="3"/>
      <c r="Q51" s="3"/>
      <c r="R51" s="3"/>
      <c r="S51" s="3"/>
      <c r="T51" s="3"/>
    </row>
    <row r="52" spans="2:20">
      <c r="B52" s="11" t="s">
        <v>171</v>
      </c>
      <c r="C52" s="11">
        <f>COUNTIFS(JournalActions[Action],ACT_ME_ADV_P,JournalActions[Mi-temps],"MT2")</f>
        <v>0</v>
      </c>
      <c r="D52" s="12">
        <f>COUNTIFS(JournalActions[Action],ACT_ME_ADV_G,JournalActions[Mi-temps],"MT2")</f>
        <v>0</v>
      </c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</row>
    <row r="53" spans="2:20"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</row>
    <row r="54" spans="2:20" s="3" customFormat="1"/>
    <row r="55" spans="2:20" s="3" customFormat="1"/>
    <row r="56" spans="2:20" s="3" customFormat="1"/>
    <row r="57" spans="2:20" s="3" customFormat="1"/>
    <row r="58" spans="2:20" s="3" customFormat="1" ht="13" customHeight="1">
      <c r="B58" s="269" t="str">
        <f>"Stats par joueur - Match "&amp;IF(MATCH_PHASE="Aller","A",IF(MATCH_PHASE="Retour","R","PF"))&amp;MATCH_JOURNEE&amp;IF(MATCH_LIEU="Extérieur"," : "&amp;MATCH_ADV&amp;" / "&amp;MATCH_NOUS," : "&amp;MATCH_NOUS&amp;" / "&amp;MATCH_ADV)&amp;" "&amp;MATCH_CAT&amp;" - Touches et possession"</f>
        <v>Stats par joueur - Match PF :  /   - Touches et possession</v>
      </c>
      <c r="C58" s="270"/>
      <c r="D58" s="270"/>
      <c r="E58" s="270"/>
      <c r="F58" s="270"/>
      <c r="G58" s="270"/>
      <c r="H58" s="270"/>
      <c r="I58" s="270"/>
      <c r="J58" s="270"/>
      <c r="K58" s="271"/>
      <c r="L58" s="123"/>
      <c r="M58" s="123"/>
      <c r="N58" s="123"/>
      <c r="O58" s="123"/>
      <c r="P58" s="123"/>
      <c r="Q58" s="123"/>
      <c r="R58" s="123"/>
      <c r="S58" s="123"/>
      <c r="T58" s="123"/>
    </row>
    <row r="59" spans="2:20" s="3" customFormat="1" ht="13" customHeight="1">
      <c r="B59" s="272"/>
      <c r="C59" s="273"/>
      <c r="D59" s="273"/>
      <c r="E59" s="273"/>
      <c r="F59" s="273"/>
      <c r="G59" s="273"/>
      <c r="H59" s="273"/>
      <c r="I59" s="273"/>
      <c r="J59" s="273"/>
      <c r="K59" s="274"/>
      <c r="L59" s="123"/>
      <c r="M59" s="123"/>
      <c r="N59" s="123"/>
      <c r="O59" s="123"/>
      <c r="P59" s="123"/>
      <c r="Q59" s="123"/>
      <c r="R59" s="123"/>
      <c r="S59" s="123"/>
      <c r="T59" s="123"/>
    </row>
    <row r="60" spans="2:20" s="3" customFormat="1" ht="14" thickBot="1"/>
    <row r="61" spans="2:20" s="3" customFormat="1">
      <c r="B61" s="256" t="s">
        <v>233</v>
      </c>
      <c r="C61" s="257"/>
      <c r="D61" s="257"/>
      <c r="E61" s="257"/>
      <c r="F61" s="257"/>
      <c r="G61" s="257"/>
      <c r="H61" s="257"/>
      <c r="I61" s="257"/>
      <c r="J61" s="257"/>
      <c r="K61" s="258"/>
    </row>
    <row r="62" spans="2:20" s="3" customFormat="1">
      <c r="B62" s="259"/>
      <c r="C62" s="260"/>
      <c r="D62" s="260"/>
      <c r="E62" s="260"/>
      <c r="F62" s="260"/>
      <c r="G62" s="260"/>
      <c r="H62" s="260"/>
      <c r="I62" s="260"/>
      <c r="J62" s="260"/>
      <c r="K62" s="261"/>
    </row>
    <row r="63" spans="2:20" s="3" customFormat="1" ht="14" thickBot="1">
      <c r="B63" s="262"/>
      <c r="C63" s="263"/>
      <c r="D63" s="263"/>
      <c r="E63" s="263"/>
      <c r="F63" s="263"/>
      <c r="G63" s="263"/>
      <c r="H63" s="263"/>
      <c r="I63" s="263"/>
      <c r="J63" s="263"/>
      <c r="K63" s="264"/>
    </row>
    <row r="64" spans="2:20" s="3" customFormat="1"/>
    <row r="65" spans="2:11" s="3" customFormat="1" ht="14">
      <c r="B65" s="265" t="s">
        <v>14</v>
      </c>
      <c r="C65" s="239" t="str">
        <f>ACT_TO_NS_G</f>
        <v>Touche à nous conservée</v>
      </c>
      <c r="D65" s="237"/>
      <c r="E65" s="239" t="str">
        <f>ACT_TO_ADV_VOLEE</f>
        <v>Touche à eux volée</v>
      </c>
      <c r="F65" s="237"/>
      <c r="H65" s="267" t="str">
        <f>ACT_TO_NS_P</f>
        <v>Touche à nous perdue</v>
      </c>
      <c r="I65" s="268"/>
      <c r="J65" s="267" t="str">
        <f>ACT_TO_NS_PAS_DROIT</f>
        <v>Touche à nous pas droite</v>
      </c>
      <c r="K65" s="268"/>
    </row>
    <row r="66" spans="2:11" s="3" customFormat="1" ht="14">
      <c r="B66" s="266"/>
      <c r="C66" s="70" t="s">
        <v>46</v>
      </c>
      <c r="D66" s="71" t="s">
        <v>44</v>
      </c>
      <c r="E66" s="70" t="s">
        <v>46</v>
      </c>
      <c r="F66" s="71" t="s">
        <v>44</v>
      </c>
      <c r="H66" s="72" t="s">
        <v>46</v>
      </c>
      <c r="I66" s="73" t="s">
        <v>44</v>
      </c>
      <c r="J66" s="72" t="s">
        <v>46</v>
      </c>
      <c r="K66" s="73" t="s">
        <v>44</v>
      </c>
    </row>
    <row r="67" spans="2:11" s="3" customFormat="1">
      <c r="B67" s="28" t="str" cm="1">
        <f t="array" ref="B67">IFERROR(_xlfn._xlws.SORT(_xlfn._xlws.FILTER(COMPO[Nom du joueur],(COMPO[Nom du joueur]&lt;&gt;"")*(COMPO[Nom du joueur]&lt;&gt;"Collectif")*(COMPO[Nom du joueur]&lt;&gt;"?"))),"")</f>
        <v/>
      </c>
      <c r="C67" s="28" t="str">
        <f>IF(COUNTIFS(JournalActions[Joueur],$B67,JournalActions[Action],$C$65,JournalActions[Mi-temps],C$66)=0,"",COUNTIFS(JournalActions[Joueur],$B67,JournalActions[Action],$C$65,JournalActions[Mi-temps],C$66))</f>
        <v/>
      </c>
      <c r="D67" s="29" t="str">
        <f>IF(COUNTIFS(JournalActions[Joueur],$B67,JournalActions[Action],$C$65,JournalActions[Mi-temps],D$66)=0,"",COUNTIFS(JournalActions[Joueur],$B67,JournalActions[Action],$C$65,JournalActions[Mi-temps],D$66))</f>
        <v/>
      </c>
      <c r="E67" s="28" t="str">
        <f>IF(COUNTIFS(JournalActions[Joueur],$B67,JournalActions[Action],$E$65,JournalActions[Mi-temps],E$66)=0,"",COUNTIFS(JournalActions[Joueur],$B67,JournalActions[Action],$E$65,JournalActions[Mi-temps],E$66))</f>
        <v/>
      </c>
      <c r="F67" s="29" t="str">
        <f>IF(COUNTIFS(JournalActions[Joueur],$B67,JournalActions[Action],$E$65,JournalActions[Mi-temps],F$66)=0,"",COUNTIFS(JournalActions[Joueur],$B67,JournalActions[Action],$E$65,JournalActions[Mi-temps],F$66))</f>
        <v/>
      </c>
      <c r="H67" s="28" t="str">
        <f>IF(COUNTIFS(JournalActions[Joueur],$B67,JournalActions[Action],$H$65,JournalActions[Mi-temps],H$66)=0,"",COUNTIFS(JournalActions[Joueur],$B67,JournalActions[Action],$H$65,JournalActions[Mi-temps],H$66))</f>
        <v/>
      </c>
      <c r="I67" s="29" t="str">
        <f>IF(COUNTIFS(JournalActions[Joueur],$B67,JournalActions[Action],$H$65,JournalActions[Mi-temps],I$66)=0,"",COUNTIFS(JournalActions[Joueur],$B67,JournalActions[Action],$H$65,JournalActions[Mi-temps],I$66))</f>
        <v/>
      </c>
      <c r="J67" s="28" t="str">
        <f>IF(COUNTIFS(JournalActions[Joueur],$B67,JournalActions[Action],$J$65,JournalActions[Mi-temps],J$66)=0,"",COUNTIFS(JournalActions[Joueur],$B67,JournalActions[Action],$J$65,JournalActions[Mi-temps],J$66))</f>
        <v/>
      </c>
      <c r="K67" s="29" t="str">
        <f>IF(COUNTIFS(JournalActions[Joueur],$B67,JournalActions[Action],$J$65,JournalActions[Mi-temps],K$66)=0,"",COUNTIFS(JournalActions[Joueur],$B67,JournalActions[Action],$J$65,JournalActions[Mi-temps],K$66))</f>
        <v/>
      </c>
    </row>
    <row r="68" spans="2:11" s="3" customFormat="1">
      <c r="B68" s="28"/>
      <c r="C68" s="28" t="str">
        <f>IF(COUNTIFS(JournalActions[Joueur],$B68,JournalActions[Action],$C$65,JournalActions[Mi-temps],C$66)=0,"",COUNTIFS(JournalActions[Joueur],$B68,JournalActions[Action],$C$65,JournalActions[Mi-temps],C$66))</f>
        <v/>
      </c>
      <c r="D68" s="29" t="str">
        <f>IF(COUNTIFS(JournalActions[Joueur],$B68,JournalActions[Action],$C$65,JournalActions[Mi-temps],D$66)=0,"",COUNTIFS(JournalActions[Joueur],$B68,JournalActions[Action],$C$65,JournalActions[Mi-temps],D$66))</f>
        <v/>
      </c>
      <c r="E68" s="28" t="str">
        <f>IF(COUNTIFS(JournalActions[Joueur],$B68,JournalActions[Action],$E$65,JournalActions[Mi-temps],E$66)=0,"",COUNTIFS(JournalActions[Joueur],$B68,JournalActions[Action],$E$65,JournalActions[Mi-temps],E$66))</f>
        <v/>
      </c>
      <c r="F68" s="29" t="str">
        <f>IF(COUNTIFS(JournalActions[Joueur],$B68,JournalActions[Action],$E$65,JournalActions[Mi-temps],F$66)=0,"",COUNTIFS(JournalActions[Joueur],$B68,JournalActions[Action],$E$65,JournalActions[Mi-temps],F$66))</f>
        <v/>
      </c>
      <c r="H68" s="28" t="str">
        <f>IF(COUNTIFS(JournalActions[Joueur],$B68,JournalActions[Action],$H$65,JournalActions[Mi-temps],H$66)=0,"",COUNTIFS(JournalActions[Joueur],$B68,JournalActions[Action],$H$65,JournalActions[Mi-temps],H$66))</f>
        <v/>
      </c>
      <c r="I68" s="29" t="str">
        <f>IF(COUNTIFS(JournalActions[Joueur],$B68,JournalActions[Action],$H$65,JournalActions[Mi-temps],I$66)=0,"",COUNTIFS(JournalActions[Joueur],$B68,JournalActions[Action],$H$65,JournalActions[Mi-temps],I$66))</f>
        <v/>
      </c>
      <c r="J68" s="28" t="str">
        <f>IF(COUNTIFS(JournalActions[Joueur],$B68,JournalActions[Action],$J$65,JournalActions[Mi-temps],J$66)=0,"",COUNTIFS(JournalActions[Joueur],$B68,JournalActions[Action],$J$65,JournalActions[Mi-temps],J$66))</f>
        <v/>
      </c>
      <c r="K68" s="29" t="str">
        <f>IF(COUNTIFS(JournalActions[Joueur],$B68,JournalActions[Action],$J$65,JournalActions[Mi-temps],K$66)=0,"",COUNTIFS(JournalActions[Joueur],$B68,JournalActions[Action],$J$65,JournalActions[Mi-temps],K$66))</f>
        <v/>
      </c>
    </row>
    <row r="69" spans="2:11" s="3" customFormat="1">
      <c r="B69" s="28"/>
      <c r="C69" s="28" t="str">
        <f>IF(COUNTIFS(JournalActions[Joueur],$B69,JournalActions[Action],$C$65,JournalActions[Mi-temps],C$66)=0,"",COUNTIFS(JournalActions[Joueur],$B69,JournalActions[Action],$C$65,JournalActions[Mi-temps],C$66))</f>
        <v/>
      </c>
      <c r="D69" s="29" t="str">
        <f>IF(COUNTIFS(JournalActions[Joueur],$B69,JournalActions[Action],$C$65,JournalActions[Mi-temps],D$66)=0,"",COUNTIFS(JournalActions[Joueur],$B69,JournalActions[Action],$C$65,JournalActions[Mi-temps],D$66))</f>
        <v/>
      </c>
      <c r="E69" s="28" t="str">
        <f>IF(COUNTIFS(JournalActions[Joueur],$B69,JournalActions[Action],$E$65,JournalActions[Mi-temps],E$66)=0,"",COUNTIFS(JournalActions[Joueur],$B69,JournalActions[Action],$E$65,JournalActions[Mi-temps],E$66))</f>
        <v/>
      </c>
      <c r="F69" s="29" t="str">
        <f>IF(COUNTIFS(JournalActions[Joueur],$B69,JournalActions[Action],$E$65,JournalActions[Mi-temps],F$66)=0,"",COUNTIFS(JournalActions[Joueur],$B69,JournalActions[Action],$E$65,JournalActions[Mi-temps],F$66))</f>
        <v/>
      </c>
      <c r="H69" s="28" t="str">
        <f>IF(COUNTIFS(JournalActions[Joueur],$B69,JournalActions[Action],$H$65,JournalActions[Mi-temps],H$66)=0,"",COUNTIFS(JournalActions[Joueur],$B69,JournalActions[Action],$H$65,JournalActions[Mi-temps],H$66))</f>
        <v/>
      </c>
      <c r="I69" s="29" t="str">
        <f>IF(COUNTIFS(JournalActions[Joueur],$B69,JournalActions[Action],$H$65,JournalActions[Mi-temps],I$66)=0,"",COUNTIFS(JournalActions[Joueur],$B69,JournalActions[Action],$H$65,JournalActions[Mi-temps],I$66))</f>
        <v/>
      </c>
      <c r="J69" s="28" t="str">
        <f>IF(COUNTIFS(JournalActions[Joueur],$B69,JournalActions[Action],$J$65,JournalActions[Mi-temps],J$66)=0,"",COUNTIFS(JournalActions[Joueur],$B69,JournalActions[Action],$J$65,JournalActions[Mi-temps],J$66))</f>
        <v/>
      </c>
      <c r="K69" s="29" t="str">
        <f>IF(COUNTIFS(JournalActions[Joueur],$B69,JournalActions[Action],$J$65,JournalActions[Mi-temps],K$66)=0,"",COUNTIFS(JournalActions[Joueur],$B69,JournalActions[Action],$J$65,JournalActions[Mi-temps],K$66))</f>
        <v/>
      </c>
    </row>
    <row r="70" spans="2:11" s="3" customFormat="1">
      <c r="B70" s="28"/>
      <c r="C70" s="28" t="str">
        <f>IF(COUNTIFS(JournalActions[Joueur],$B70,JournalActions[Action],$C$65,JournalActions[Mi-temps],C$66)=0,"",COUNTIFS(JournalActions[Joueur],$B70,JournalActions[Action],$C$65,JournalActions[Mi-temps],C$66))</f>
        <v/>
      </c>
      <c r="D70" s="29" t="str">
        <f>IF(COUNTIFS(JournalActions[Joueur],$B70,JournalActions[Action],$C$65,JournalActions[Mi-temps],D$66)=0,"",COUNTIFS(JournalActions[Joueur],$B70,JournalActions[Action],$C$65,JournalActions[Mi-temps],D$66))</f>
        <v/>
      </c>
      <c r="E70" s="28" t="str">
        <f>IF(COUNTIFS(JournalActions[Joueur],$B70,JournalActions[Action],$E$65,JournalActions[Mi-temps],E$66)=0,"",COUNTIFS(JournalActions[Joueur],$B70,JournalActions[Action],$E$65,JournalActions[Mi-temps],E$66))</f>
        <v/>
      </c>
      <c r="F70" s="29" t="str">
        <f>IF(COUNTIFS(JournalActions[Joueur],$B70,JournalActions[Action],$E$65,JournalActions[Mi-temps],F$66)=0,"",COUNTIFS(JournalActions[Joueur],$B70,JournalActions[Action],$E$65,JournalActions[Mi-temps],F$66))</f>
        <v/>
      </c>
      <c r="H70" s="28" t="str">
        <f>IF(COUNTIFS(JournalActions[Joueur],$B70,JournalActions[Action],$H$65,JournalActions[Mi-temps],H$66)=0,"",COUNTIFS(JournalActions[Joueur],$B70,JournalActions[Action],$H$65,JournalActions[Mi-temps],H$66))</f>
        <v/>
      </c>
      <c r="I70" s="29" t="str">
        <f>IF(COUNTIFS(JournalActions[Joueur],$B70,JournalActions[Action],$H$65,JournalActions[Mi-temps],I$66)=0,"",COUNTIFS(JournalActions[Joueur],$B70,JournalActions[Action],$H$65,JournalActions[Mi-temps],I$66))</f>
        <v/>
      </c>
      <c r="J70" s="28" t="str">
        <f>IF(COUNTIFS(JournalActions[Joueur],$B70,JournalActions[Action],$J$65,JournalActions[Mi-temps],J$66)=0,"",COUNTIFS(JournalActions[Joueur],$B70,JournalActions[Action],$J$65,JournalActions[Mi-temps],J$66))</f>
        <v/>
      </c>
      <c r="K70" s="29" t="str">
        <f>IF(COUNTIFS(JournalActions[Joueur],$B70,JournalActions[Action],$J$65,JournalActions[Mi-temps],K$66)=0,"",COUNTIFS(JournalActions[Joueur],$B70,JournalActions[Action],$J$65,JournalActions[Mi-temps],K$66))</f>
        <v/>
      </c>
    </row>
    <row r="71" spans="2:11" s="3" customFormat="1">
      <c r="B71" s="28"/>
      <c r="C71" s="28" t="str">
        <f>IF(COUNTIFS(JournalActions[Joueur],$B71,JournalActions[Action],$C$65,JournalActions[Mi-temps],C$66)=0,"",COUNTIFS(JournalActions[Joueur],$B71,JournalActions[Action],$C$65,JournalActions[Mi-temps],C$66))</f>
        <v/>
      </c>
      <c r="D71" s="29" t="str">
        <f>IF(COUNTIFS(JournalActions[Joueur],$B71,JournalActions[Action],$C$65,JournalActions[Mi-temps],D$66)=0,"",COUNTIFS(JournalActions[Joueur],$B71,JournalActions[Action],$C$65,JournalActions[Mi-temps],D$66))</f>
        <v/>
      </c>
      <c r="E71" s="28" t="str">
        <f>IF(COUNTIFS(JournalActions[Joueur],$B71,JournalActions[Action],$E$65,JournalActions[Mi-temps],E$66)=0,"",COUNTIFS(JournalActions[Joueur],$B71,JournalActions[Action],$E$65,JournalActions[Mi-temps],E$66))</f>
        <v/>
      </c>
      <c r="F71" s="29" t="str">
        <f>IF(COUNTIFS(JournalActions[Joueur],$B71,JournalActions[Action],$E$65,JournalActions[Mi-temps],F$66)=0,"",COUNTIFS(JournalActions[Joueur],$B71,JournalActions[Action],$E$65,JournalActions[Mi-temps],F$66))</f>
        <v/>
      </c>
      <c r="H71" s="28" t="str">
        <f>IF(COUNTIFS(JournalActions[Joueur],$B71,JournalActions[Action],$H$65,JournalActions[Mi-temps],H$66)=0,"",COUNTIFS(JournalActions[Joueur],$B71,JournalActions[Action],$H$65,JournalActions[Mi-temps],H$66))</f>
        <v/>
      </c>
      <c r="I71" s="29" t="str">
        <f>IF(COUNTIFS(JournalActions[Joueur],$B71,JournalActions[Action],$H$65,JournalActions[Mi-temps],I$66)=0,"",COUNTIFS(JournalActions[Joueur],$B71,JournalActions[Action],$H$65,JournalActions[Mi-temps],I$66))</f>
        <v/>
      </c>
      <c r="J71" s="28" t="str">
        <f>IF(COUNTIFS(JournalActions[Joueur],$B71,JournalActions[Action],$J$65,JournalActions[Mi-temps],J$66)=0,"",COUNTIFS(JournalActions[Joueur],$B71,JournalActions[Action],$J$65,JournalActions[Mi-temps],J$66))</f>
        <v/>
      </c>
      <c r="K71" s="29" t="str">
        <f>IF(COUNTIFS(JournalActions[Joueur],$B71,JournalActions[Action],$J$65,JournalActions[Mi-temps],K$66)=0,"",COUNTIFS(JournalActions[Joueur],$B71,JournalActions[Action],$J$65,JournalActions[Mi-temps],K$66))</f>
        <v/>
      </c>
    </row>
    <row r="72" spans="2:11" s="3" customFormat="1">
      <c r="B72" s="28"/>
      <c r="C72" s="28" t="str">
        <f>IF(COUNTIFS(JournalActions[Joueur],$B72,JournalActions[Action],$C$65,JournalActions[Mi-temps],C$66)=0,"",COUNTIFS(JournalActions[Joueur],$B72,JournalActions[Action],$C$65,JournalActions[Mi-temps],C$66))</f>
        <v/>
      </c>
      <c r="D72" s="29" t="str">
        <f>IF(COUNTIFS(JournalActions[Joueur],$B72,JournalActions[Action],$C$65,JournalActions[Mi-temps],D$66)=0,"",COUNTIFS(JournalActions[Joueur],$B72,JournalActions[Action],$C$65,JournalActions[Mi-temps],D$66))</f>
        <v/>
      </c>
      <c r="E72" s="28" t="str">
        <f>IF(COUNTIFS(JournalActions[Joueur],$B72,JournalActions[Action],$E$65,JournalActions[Mi-temps],E$66)=0,"",COUNTIFS(JournalActions[Joueur],$B72,JournalActions[Action],$E$65,JournalActions[Mi-temps],E$66))</f>
        <v/>
      </c>
      <c r="F72" s="29" t="str">
        <f>IF(COUNTIFS(JournalActions[Joueur],$B72,JournalActions[Action],$E$65,JournalActions[Mi-temps],F$66)=0,"",COUNTIFS(JournalActions[Joueur],$B72,JournalActions[Action],$E$65,JournalActions[Mi-temps],F$66))</f>
        <v/>
      </c>
      <c r="H72" s="28" t="str">
        <f>IF(COUNTIFS(JournalActions[Joueur],$B72,JournalActions[Action],$H$65,JournalActions[Mi-temps],H$66)=0,"",COUNTIFS(JournalActions[Joueur],$B72,JournalActions[Action],$H$65,JournalActions[Mi-temps],H$66))</f>
        <v/>
      </c>
      <c r="I72" s="29" t="str">
        <f>IF(COUNTIFS(JournalActions[Joueur],$B72,JournalActions[Action],$H$65,JournalActions[Mi-temps],I$66)=0,"",COUNTIFS(JournalActions[Joueur],$B72,JournalActions[Action],$H$65,JournalActions[Mi-temps],I$66))</f>
        <v/>
      </c>
      <c r="J72" s="28" t="str">
        <f>IF(COUNTIFS(JournalActions[Joueur],$B72,JournalActions[Action],$J$65,JournalActions[Mi-temps],J$66)=0,"",COUNTIFS(JournalActions[Joueur],$B72,JournalActions[Action],$J$65,JournalActions[Mi-temps],J$66))</f>
        <v/>
      </c>
      <c r="K72" s="29" t="str">
        <f>IF(COUNTIFS(JournalActions[Joueur],$B72,JournalActions[Action],$J$65,JournalActions[Mi-temps],K$66)=0,"",COUNTIFS(JournalActions[Joueur],$B72,JournalActions[Action],$J$65,JournalActions[Mi-temps],K$66))</f>
        <v/>
      </c>
    </row>
    <row r="73" spans="2:11" s="3" customFormat="1">
      <c r="B73" s="28"/>
      <c r="C73" s="28" t="str">
        <f>IF(COUNTIFS(JournalActions[Joueur],$B73,JournalActions[Action],$C$65,JournalActions[Mi-temps],C$66)=0,"",COUNTIFS(JournalActions[Joueur],$B73,JournalActions[Action],$C$65,JournalActions[Mi-temps],C$66))</f>
        <v/>
      </c>
      <c r="D73" s="29" t="str">
        <f>IF(COUNTIFS(JournalActions[Joueur],$B73,JournalActions[Action],$C$65,JournalActions[Mi-temps],D$66)=0,"",COUNTIFS(JournalActions[Joueur],$B73,JournalActions[Action],$C$65,JournalActions[Mi-temps],D$66))</f>
        <v/>
      </c>
      <c r="E73" s="28" t="str">
        <f>IF(COUNTIFS(JournalActions[Joueur],$B73,JournalActions[Action],$E$65,JournalActions[Mi-temps],E$66)=0,"",COUNTIFS(JournalActions[Joueur],$B73,JournalActions[Action],$E$65,JournalActions[Mi-temps],E$66))</f>
        <v/>
      </c>
      <c r="F73" s="29" t="str">
        <f>IF(COUNTIFS(JournalActions[Joueur],$B73,JournalActions[Action],$E$65,JournalActions[Mi-temps],F$66)=0,"",COUNTIFS(JournalActions[Joueur],$B73,JournalActions[Action],$E$65,JournalActions[Mi-temps],F$66))</f>
        <v/>
      </c>
      <c r="H73" s="28" t="str">
        <f>IF(COUNTIFS(JournalActions[Joueur],$B73,JournalActions[Action],$H$65,JournalActions[Mi-temps],H$66)=0,"",COUNTIFS(JournalActions[Joueur],$B73,JournalActions[Action],$H$65,JournalActions[Mi-temps],H$66))</f>
        <v/>
      </c>
      <c r="I73" s="29" t="str">
        <f>IF(COUNTIFS(JournalActions[Joueur],$B73,JournalActions[Action],$H$65,JournalActions[Mi-temps],I$66)=0,"",COUNTIFS(JournalActions[Joueur],$B73,JournalActions[Action],$H$65,JournalActions[Mi-temps],I$66))</f>
        <v/>
      </c>
      <c r="J73" s="28" t="str">
        <f>IF(COUNTIFS(JournalActions[Joueur],$B73,JournalActions[Action],$J$65,JournalActions[Mi-temps],J$66)=0,"",COUNTIFS(JournalActions[Joueur],$B73,JournalActions[Action],$J$65,JournalActions[Mi-temps],J$66))</f>
        <v/>
      </c>
      <c r="K73" s="29" t="str">
        <f>IF(COUNTIFS(JournalActions[Joueur],$B73,JournalActions[Action],$J$65,JournalActions[Mi-temps],K$66)=0,"",COUNTIFS(JournalActions[Joueur],$B73,JournalActions[Action],$J$65,JournalActions[Mi-temps],K$66))</f>
        <v/>
      </c>
    </row>
    <row r="74" spans="2:11" s="3" customFormat="1">
      <c r="B74" s="28"/>
      <c r="C74" s="28" t="str">
        <f>IF(COUNTIFS(JournalActions[Joueur],$B74,JournalActions[Action],$C$65,JournalActions[Mi-temps],C$66)=0,"",COUNTIFS(JournalActions[Joueur],$B74,JournalActions[Action],$C$65,JournalActions[Mi-temps],C$66))</f>
        <v/>
      </c>
      <c r="D74" s="29" t="str">
        <f>IF(COUNTIFS(JournalActions[Joueur],$B74,JournalActions[Action],$C$65,JournalActions[Mi-temps],D$66)=0,"",COUNTIFS(JournalActions[Joueur],$B74,JournalActions[Action],$C$65,JournalActions[Mi-temps],D$66))</f>
        <v/>
      </c>
      <c r="E74" s="28" t="str">
        <f>IF(COUNTIFS(JournalActions[Joueur],$B74,JournalActions[Action],$E$65,JournalActions[Mi-temps],E$66)=0,"",COUNTIFS(JournalActions[Joueur],$B74,JournalActions[Action],$E$65,JournalActions[Mi-temps],E$66))</f>
        <v/>
      </c>
      <c r="F74" s="29" t="str">
        <f>IF(COUNTIFS(JournalActions[Joueur],$B74,JournalActions[Action],$E$65,JournalActions[Mi-temps],F$66)=0,"",COUNTIFS(JournalActions[Joueur],$B74,JournalActions[Action],$E$65,JournalActions[Mi-temps],F$66))</f>
        <v/>
      </c>
      <c r="H74" s="28" t="str">
        <f>IF(COUNTIFS(JournalActions[Joueur],$B74,JournalActions[Action],$H$65,JournalActions[Mi-temps],H$66)=0,"",COUNTIFS(JournalActions[Joueur],$B74,JournalActions[Action],$H$65,JournalActions[Mi-temps],H$66))</f>
        <v/>
      </c>
      <c r="I74" s="29" t="str">
        <f>IF(COUNTIFS(JournalActions[Joueur],$B74,JournalActions[Action],$H$65,JournalActions[Mi-temps],I$66)=0,"",COUNTIFS(JournalActions[Joueur],$B74,JournalActions[Action],$H$65,JournalActions[Mi-temps],I$66))</f>
        <v/>
      </c>
      <c r="J74" s="28" t="str">
        <f>IF(COUNTIFS(JournalActions[Joueur],$B74,JournalActions[Action],$J$65,JournalActions[Mi-temps],J$66)=0,"",COUNTIFS(JournalActions[Joueur],$B74,JournalActions[Action],$J$65,JournalActions[Mi-temps],J$66))</f>
        <v/>
      </c>
      <c r="K74" s="29" t="str">
        <f>IF(COUNTIFS(JournalActions[Joueur],$B74,JournalActions[Action],$J$65,JournalActions[Mi-temps],K$66)=0,"",COUNTIFS(JournalActions[Joueur],$B74,JournalActions[Action],$J$65,JournalActions[Mi-temps],K$66))</f>
        <v/>
      </c>
    </row>
    <row r="75" spans="2:11" s="3" customFormat="1">
      <c r="B75" s="28"/>
      <c r="C75" s="28" t="str">
        <f>IF(COUNTIFS(JournalActions[Joueur],$B75,JournalActions[Action],$C$65,JournalActions[Mi-temps],C$66)=0,"",COUNTIFS(JournalActions[Joueur],$B75,JournalActions[Action],$C$65,JournalActions[Mi-temps],C$66))</f>
        <v/>
      </c>
      <c r="D75" s="29" t="str">
        <f>IF(COUNTIFS(JournalActions[Joueur],$B75,JournalActions[Action],$C$65,JournalActions[Mi-temps],D$66)=0,"",COUNTIFS(JournalActions[Joueur],$B75,JournalActions[Action],$C$65,JournalActions[Mi-temps],D$66))</f>
        <v/>
      </c>
      <c r="E75" s="28" t="str">
        <f>IF(COUNTIFS(JournalActions[Joueur],$B75,JournalActions[Action],$E$65,JournalActions[Mi-temps],E$66)=0,"",COUNTIFS(JournalActions[Joueur],$B75,JournalActions[Action],$E$65,JournalActions[Mi-temps],E$66))</f>
        <v/>
      </c>
      <c r="F75" s="29" t="str">
        <f>IF(COUNTIFS(JournalActions[Joueur],$B75,JournalActions[Action],$E$65,JournalActions[Mi-temps],F$66)=0,"",COUNTIFS(JournalActions[Joueur],$B75,JournalActions[Action],$E$65,JournalActions[Mi-temps],F$66))</f>
        <v/>
      </c>
      <c r="H75" s="28" t="str">
        <f>IF(COUNTIFS(JournalActions[Joueur],$B75,JournalActions[Action],$H$65,JournalActions[Mi-temps],H$66)=0,"",COUNTIFS(JournalActions[Joueur],$B75,JournalActions[Action],$H$65,JournalActions[Mi-temps],H$66))</f>
        <v/>
      </c>
      <c r="I75" s="29" t="str">
        <f>IF(COUNTIFS(JournalActions[Joueur],$B75,JournalActions[Action],$H$65,JournalActions[Mi-temps],I$66)=0,"",COUNTIFS(JournalActions[Joueur],$B75,JournalActions[Action],$H$65,JournalActions[Mi-temps],I$66))</f>
        <v/>
      </c>
      <c r="J75" s="28" t="str">
        <f>IF(COUNTIFS(JournalActions[Joueur],$B75,JournalActions[Action],$J$65,JournalActions[Mi-temps],J$66)=0,"",COUNTIFS(JournalActions[Joueur],$B75,JournalActions[Action],$J$65,JournalActions[Mi-temps],J$66))</f>
        <v/>
      </c>
      <c r="K75" s="29" t="str">
        <f>IF(COUNTIFS(JournalActions[Joueur],$B75,JournalActions[Action],$J$65,JournalActions[Mi-temps],K$66)=0,"",COUNTIFS(JournalActions[Joueur],$B75,JournalActions[Action],$J$65,JournalActions[Mi-temps],K$66))</f>
        <v/>
      </c>
    </row>
    <row r="76" spans="2:11" s="3" customFormat="1">
      <c r="B76" s="28"/>
      <c r="C76" s="28" t="str">
        <f>IF(COUNTIFS(JournalActions[Joueur],$B76,JournalActions[Action],$C$65,JournalActions[Mi-temps],C$66)=0,"",COUNTIFS(JournalActions[Joueur],$B76,JournalActions[Action],$C$65,JournalActions[Mi-temps],C$66))</f>
        <v/>
      </c>
      <c r="D76" s="29" t="str">
        <f>IF(COUNTIFS(JournalActions[Joueur],$B76,JournalActions[Action],$C$65,JournalActions[Mi-temps],D$66)=0,"",COUNTIFS(JournalActions[Joueur],$B76,JournalActions[Action],$C$65,JournalActions[Mi-temps],D$66))</f>
        <v/>
      </c>
      <c r="E76" s="28" t="str">
        <f>IF(COUNTIFS(JournalActions[Joueur],$B76,JournalActions[Action],$E$65,JournalActions[Mi-temps],E$66)=0,"",COUNTIFS(JournalActions[Joueur],$B76,JournalActions[Action],$E$65,JournalActions[Mi-temps],E$66))</f>
        <v/>
      </c>
      <c r="F76" s="29" t="str">
        <f>IF(COUNTIFS(JournalActions[Joueur],$B76,JournalActions[Action],$E$65,JournalActions[Mi-temps],F$66)=0,"",COUNTIFS(JournalActions[Joueur],$B76,JournalActions[Action],$E$65,JournalActions[Mi-temps],F$66))</f>
        <v/>
      </c>
      <c r="H76" s="28" t="str">
        <f>IF(COUNTIFS(JournalActions[Joueur],$B76,JournalActions[Action],$H$65,JournalActions[Mi-temps],H$66)=0,"",COUNTIFS(JournalActions[Joueur],$B76,JournalActions[Action],$H$65,JournalActions[Mi-temps],H$66))</f>
        <v/>
      </c>
      <c r="I76" s="29" t="str">
        <f>IF(COUNTIFS(JournalActions[Joueur],$B76,JournalActions[Action],$H$65,JournalActions[Mi-temps],I$66)=0,"",COUNTIFS(JournalActions[Joueur],$B76,JournalActions[Action],$H$65,JournalActions[Mi-temps],I$66))</f>
        <v/>
      </c>
      <c r="J76" s="28" t="str">
        <f>IF(COUNTIFS(JournalActions[Joueur],$B76,JournalActions[Action],$J$65,JournalActions[Mi-temps],J$66)=0,"",COUNTIFS(JournalActions[Joueur],$B76,JournalActions[Action],$J$65,JournalActions[Mi-temps],J$66))</f>
        <v/>
      </c>
      <c r="K76" s="29" t="str">
        <f>IF(COUNTIFS(JournalActions[Joueur],$B76,JournalActions[Action],$J$65,JournalActions[Mi-temps],K$66)=0,"",COUNTIFS(JournalActions[Joueur],$B76,JournalActions[Action],$J$65,JournalActions[Mi-temps],K$66))</f>
        <v/>
      </c>
    </row>
    <row r="77" spans="2:11" s="3" customFormat="1">
      <c r="B77" s="28"/>
      <c r="C77" s="28" t="str">
        <f>IF(COUNTIFS(JournalActions[Joueur],$B77,JournalActions[Action],$C$65,JournalActions[Mi-temps],C$66)=0,"",COUNTIFS(JournalActions[Joueur],$B77,JournalActions[Action],$C$65,JournalActions[Mi-temps],C$66))</f>
        <v/>
      </c>
      <c r="D77" s="29" t="str">
        <f>IF(COUNTIFS(JournalActions[Joueur],$B77,JournalActions[Action],$C$65,JournalActions[Mi-temps],D$66)=0,"",COUNTIFS(JournalActions[Joueur],$B77,JournalActions[Action],$C$65,JournalActions[Mi-temps],D$66))</f>
        <v/>
      </c>
      <c r="E77" s="28" t="str">
        <f>IF(COUNTIFS(JournalActions[Joueur],$B77,JournalActions[Action],$E$65,JournalActions[Mi-temps],E$66)=0,"",COUNTIFS(JournalActions[Joueur],$B77,JournalActions[Action],$E$65,JournalActions[Mi-temps],E$66))</f>
        <v/>
      </c>
      <c r="F77" s="29" t="str">
        <f>IF(COUNTIFS(JournalActions[Joueur],$B77,JournalActions[Action],$E$65,JournalActions[Mi-temps],F$66)=0,"",COUNTIFS(JournalActions[Joueur],$B77,JournalActions[Action],$E$65,JournalActions[Mi-temps],F$66))</f>
        <v/>
      </c>
      <c r="H77" s="28" t="str">
        <f>IF(COUNTIFS(JournalActions[Joueur],$B77,JournalActions[Action],$H$65,JournalActions[Mi-temps],H$66)=0,"",COUNTIFS(JournalActions[Joueur],$B77,JournalActions[Action],$H$65,JournalActions[Mi-temps],H$66))</f>
        <v/>
      </c>
      <c r="I77" s="29" t="str">
        <f>IF(COUNTIFS(JournalActions[Joueur],$B77,JournalActions[Action],$H$65,JournalActions[Mi-temps],I$66)=0,"",COUNTIFS(JournalActions[Joueur],$B77,JournalActions[Action],$H$65,JournalActions[Mi-temps],I$66))</f>
        <v/>
      </c>
      <c r="J77" s="28" t="str">
        <f>IF(COUNTIFS(JournalActions[Joueur],$B77,JournalActions[Action],$J$65,JournalActions[Mi-temps],J$66)=0,"",COUNTIFS(JournalActions[Joueur],$B77,JournalActions[Action],$J$65,JournalActions[Mi-temps],J$66))</f>
        <v/>
      </c>
      <c r="K77" s="29" t="str">
        <f>IF(COUNTIFS(JournalActions[Joueur],$B77,JournalActions[Action],$J$65,JournalActions[Mi-temps],K$66)=0,"",COUNTIFS(JournalActions[Joueur],$B77,JournalActions[Action],$J$65,JournalActions[Mi-temps],K$66))</f>
        <v/>
      </c>
    </row>
    <row r="78" spans="2:11" s="3" customFormat="1">
      <c r="B78" s="28"/>
      <c r="C78" s="28" t="str">
        <f>IF(COUNTIFS(JournalActions[Joueur],$B78,JournalActions[Action],$C$65,JournalActions[Mi-temps],C$66)=0,"",COUNTIFS(JournalActions[Joueur],$B78,JournalActions[Action],$C$65,JournalActions[Mi-temps],C$66))</f>
        <v/>
      </c>
      <c r="D78" s="29" t="str">
        <f>IF(COUNTIFS(JournalActions[Joueur],$B78,JournalActions[Action],$C$65,JournalActions[Mi-temps],D$66)=0,"",COUNTIFS(JournalActions[Joueur],$B78,JournalActions[Action],$C$65,JournalActions[Mi-temps],D$66))</f>
        <v/>
      </c>
      <c r="E78" s="28" t="str">
        <f>IF(COUNTIFS(JournalActions[Joueur],$B78,JournalActions[Action],$E$65,JournalActions[Mi-temps],E$66)=0,"",COUNTIFS(JournalActions[Joueur],$B78,JournalActions[Action],$E$65,JournalActions[Mi-temps],E$66))</f>
        <v/>
      </c>
      <c r="F78" s="29" t="str">
        <f>IF(COUNTIFS(JournalActions[Joueur],$B78,JournalActions[Action],$E$65,JournalActions[Mi-temps],F$66)=0,"",COUNTIFS(JournalActions[Joueur],$B78,JournalActions[Action],$E$65,JournalActions[Mi-temps],F$66))</f>
        <v/>
      </c>
      <c r="H78" s="28" t="str">
        <f>IF(COUNTIFS(JournalActions[Joueur],$B78,JournalActions[Action],$H$65,JournalActions[Mi-temps],H$66)=0,"",COUNTIFS(JournalActions[Joueur],$B78,JournalActions[Action],$H$65,JournalActions[Mi-temps],H$66))</f>
        <v/>
      </c>
      <c r="I78" s="29" t="str">
        <f>IF(COUNTIFS(JournalActions[Joueur],$B78,JournalActions[Action],$H$65,JournalActions[Mi-temps],I$66)=0,"",COUNTIFS(JournalActions[Joueur],$B78,JournalActions[Action],$H$65,JournalActions[Mi-temps],I$66))</f>
        <v/>
      </c>
      <c r="J78" s="28" t="str">
        <f>IF(COUNTIFS(JournalActions[Joueur],$B78,JournalActions[Action],$J$65,JournalActions[Mi-temps],J$66)=0,"",COUNTIFS(JournalActions[Joueur],$B78,JournalActions[Action],$J$65,JournalActions[Mi-temps],J$66))</f>
        <v/>
      </c>
      <c r="K78" s="29" t="str">
        <f>IF(COUNTIFS(JournalActions[Joueur],$B78,JournalActions[Action],$J$65,JournalActions[Mi-temps],K$66)=0,"",COUNTIFS(JournalActions[Joueur],$B78,JournalActions[Action],$J$65,JournalActions[Mi-temps],K$66))</f>
        <v/>
      </c>
    </row>
    <row r="79" spans="2:11" s="3" customFormat="1">
      <c r="B79" s="28"/>
      <c r="C79" s="28" t="str">
        <f>IF(COUNTIFS(JournalActions[Joueur],$B79,JournalActions[Action],$C$65,JournalActions[Mi-temps],C$66)=0,"",COUNTIFS(JournalActions[Joueur],$B79,JournalActions[Action],$C$65,JournalActions[Mi-temps],C$66))</f>
        <v/>
      </c>
      <c r="D79" s="29" t="str">
        <f>IF(COUNTIFS(JournalActions[Joueur],$B79,JournalActions[Action],$C$65,JournalActions[Mi-temps],D$66)=0,"",COUNTIFS(JournalActions[Joueur],$B79,JournalActions[Action],$C$65,JournalActions[Mi-temps],D$66))</f>
        <v/>
      </c>
      <c r="E79" s="28" t="str">
        <f>IF(COUNTIFS(JournalActions[Joueur],$B79,JournalActions[Action],$E$65,JournalActions[Mi-temps],E$66)=0,"",COUNTIFS(JournalActions[Joueur],$B79,JournalActions[Action],$E$65,JournalActions[Mi-temps],E$66))</f>
        <v/>
      </c>
      <c r="F79" s="29" t="str">
        <f>IF(COUNTIFS(JournalActions[Joueur],$B79,JournalActions[Action],$E$65,JournalActions[Mi-temps],F$66)=0,"",COUNTIFS(JournalActions[Joueur],$B79,JournalActions[Action],$E$65,JournalActions[Mi-temps],F$66))</f>
        <v/>
      </c>
      <c r="H79" s="28" t="str">
        <f>IF(COUNTIFS(JournalActions[Joueur],$B79,JournalActions[Action],$H$65,JournalActions[Mi-temps],H$66)=0,"",COUNTIFS(JournalActions[Joueur],$B79,JournalActions[Action],$H$65,JournalActions[Mi-temps],H$66))</f>
        <v/>
      </c>
      <c r="I79" s="29" t="str">
        <f>IF(COUNTIFS(JournalActions[Joueur],$B79,JournalActions[Action],$H$65,JournalActions[Mi-temps],I$66)=0,"",COUNTIFS(JournalActions[Joueur],$B79,JournalActions[Action],$H$65,JournalActions[Mi-temps],I$66))</f>
        <v/>
      </c>
      <c r="J79" s="28" t="str">
        <f>IF(COUNTIFS(JournalActions[Joueur],$B79,JournalActions[Action],$J$65,JournalActions[Mi-temps],J$66)=0,"",COUNTIFS(JournalActions[Joueur],$B79,JournalActions[Action],$J$65,JournalActions[Mi-temps],J$66))</f>
        <v/>
      </c>
      <c r="K79" s="29" t="str">
        <f>IF(COUNTIFS(JournalActions[Joueur],$B79,JournalActions[Action],$J$65,JournalActions[Mi-temps],K$66)=0,"",COUNTIFS(JournalActions[Joueur],$B79,JournalActions[Action],$J$65,JournalActions[Mi-temps],K$66))</f>
        <v/>
      </c>
    </row>
    <row r="80" spans="2:11" s="3" customFormat="1">
      <c r="B80" s="28"/>
      <c r="C80" s="28" t="str">
        <f>IF(COUNTIFS(JournalActions[Joueur],$B80,JournalActions[Action],$C$65,JournalActions[Mi-temps],C$66)=0,"",COUNTIFS(JournalActions[Joueur],$B80,JournalActions[Action],$C$65,JournalActions[Mi-temps],C$66))</f>
        <v/>
      </c>
      <c r="D80" s="29" t="str">
        <f>IF(COUNTIFS(JournalActions[Joueur],$B80,JournalActions[Action],$C$65,JournalActions[Mi-temps],D$66)=0,"",COUNTIFS(JournalActions[Joueur],$B80,JournalActions[Action],$C$65,JournalActions[Mi-temps],D$66))</f>
        <v/>
      </c>
      <c r="E80" s="28" t="str">
        <f>IF(COUNTIFS(JournalActions[Joueur],$B80,JournalActions[Action],$E$65,JournalActions[Mi-temps],E$66)=0,"",COUNTIFS(JournalActions[Joueur],$B80,JournalActions[Action],$E$65,JournalActions[Mi-temps],E$66))</f>
        <v/>
      </c>
      <c r="F80" s="29" t="str">
        <f>IF(COUNTIFS(JournalActions[Joueur],$B80,JournalActions[Action],$E$65,JournalActions[Mi-temps],F$66)=0,"",COUNTIFS(JournalActions[Joueur],$B80,JournalActions[Action],$E$65,JournalActions[Mi-temps],F$66))</f>
        <v/>
      </c>
      <c r="H80" s="28" t="str">
        <f>IF(COUNTIFS(JournalActions[Joueur],$B80,JournalActions[Action],$H$65,JournalActions[Mi-temps],H$66)=0,"",COUNTIFS(JournalActions[Joueur],$B80,JournalActions[Action],$H$65,JournalActions[Mi-temps],H$66))</f>
        <v/>
      </c>
      <c r="I80" s="29" t="str">
        <f>IF(COUNTIFS(JournalActions[Joueur],$B80,JournalActions[Action],$H$65,JournalActions[Mi-temps],I$66)=0,"",COUNTIFS(JournalActions[Joueur],$B80,JournalActions[Action],$H$65,JournalActions[Mi-temps],I$66))</f>
        <v/>
      </c>
      <c r="J80" s="28" t="str">
        <f>IF(COUNTIFS(JournalActions[Joueur],$B80,JournalActions[Action],$J$65,JournalActions[Mi-temps],J$66)=0,"",COUNTIFS(JournalActions[Joueur],$B80,JournalActions[Action],$J$65,JournalActions[Mi-temps],J$66))</f>
        <v/>
      </c>
      <c r="K80" s="29" t="str">
        <f>IF(COUNTIFS(JournalActions[Joueur],$B80,JournalActions[Action],$J$65,JournalActions[Mi-temps],K$66)=0,"",COUNTIFS(JournalActions[Joueur],$B80,JournalActions[Action],$J$65,JournalActions[Mi-temps],K$66))</f>
        <v/>
      </c>
    </row>
    <row r="81" spans="2:11" s="3" customFormat="1">
      <c r="B81" s="28"/>
      <c r="C81" s="28" t="str">
        <f>IF(COUNTIFS(JournalActions[Joueur],$B81,JournalActions[Action],$C$65,JournalActions[Mi-temps],C$66)=0,"",COUNTIFS(JournalActions[Joueur],$B81,JournalActions[Action],$C$65,JournalActions[Mi-temps],C$66))</f>
        <v/>
      </c>
      <c r="D81" s="29" t="str">
        <f>IF(COUNTIFS(JournalActions[Joueur],$B81,JournalActions[Action],$C$65,JournalActions[Mi-temps],D$66)=0,"",COUNTIFS(JournalActions[Joueur],$B81,JournalActions[Action],$C$65,JournalActions[Mi-temps],D$66))</f>
        <v/>
      </c>
      <c r="E81" s="28" t="str">
        <f>IF(COUNTIFS(JournalActions[Joueur],$B81,JournalActions[Action],$E$65,JournalActions[Mi-temps],E$66)=0,"",COUNTIFS(JournalActions[Joueur],$B81,JournalActions[Action],$E$65,JournalActions[Mi-temps],E$66))</f>
        <v/>
      </c>
      <c r="F81" s="29" t="str">
        <f>IF(COUNTIFS(JournalActions[Joueur],$B81,JournalActions[Action],$E$65,JournalActions[Mi-temps],F$66)=0,"",COUNTIFS(JournalActions[Joueur],$B81,JournalActions[Action],$E$65,JournalActions[Mi-temps],F$66))</f>
        <v/>
      </c>
      <c r="H81" s="28" t="str">
        <f>IF(COUNTIFS(JournalActions[Joueur],$B81,JournalActions[Action],$H$65,JournalActions[Mi-temps],H$66)=0,"",COUNTIFS(JournalActions[Joueur],$B81,JournalActions[Action],$H$65,JournalActions[Mi-temps],H$66))</f>
        <v/>
      </c>
      <c r="I81" s="29" t="str">
        <f>IF(COUNTIFS(JournalActions[Joueur],$B81,JournalActions[Action],$H$65,JournalActions[Mi-temps],I$66)=0,"",COUNTIFS(JournalActions[Joueur],$B81,JournalActions[Action],$H$65,JournalActions[Mi-temps],I$66))</f>
        <v/>
      </c>
      <c r="J81" s="28" t="str">
        <f>IF(COUNTIFS(JournalActions[Joueur],$B81,JournalActions[Action],$J$65,JournalActions[Mi-temps],J$66)=0,"",COUNTIFS(JournalActions[Joueur],$B81,JournalActions[Action],$J$65,JournalActions[Mi-temps],J$66))</f>
        <v/>
      </c>
      <c r="K81" s="29" t="str">
        <f>IF(COUNTIFS(JournalActions[Joueur],$B81,JournalActions[Action],$J$65,JournalActions[Mi-temps],K$66)=0,"",COUNTIFS(JournalActions[Joueur],$B81,JournalActions[Action],$J$65,JournalActions[Mi-temps],K$66))</f>
        <v/>
      </c>
    </row>
    <row r="82" spans="2:11" s="3" customFormat="1">
      <c r="B82" s="28"/>
      <c r="C82" s="28" t="str">
        <f>IF(COUNTIFS(JournalActions[Joueur],$B82,JournalActions[Action],$C$65,JournalActions[Mi-temps],C$66)=0,"",COUNTIFS(JournalActions[Joueur],$B82,JournalActions[Action],$C$65,JournalActions[Mi-temps],C$66))</f>
        <v/>
      </c>
      <c r="D82" s="29" t="str">
        <f>IF(COUNTIFS(JournalActions[Joueur],$B82,JournalActions[Action],$C$65,JournalActions[Mi-temps],D$66)=0,"",COUNTIFS(JournalActions[Joueur],$B82,JournalActions[Action],$C$65,JournalActions[Mi-temps],D$66))</f>
        <v/>
      </c>
      <c r="E82" s="28" t="str">
        <f>IF(COUNTIFS(JournalActions[Joueur],$B82,JournalActions[Action],$E$65,JournalActions[Mi-temps],E$66)=0,"",COUNTIFS(JournalActions[Joueur],$B82,JournalActions[Action],$E$65,JournalActions[Mi-temps],E$66))</f>
        <v/>
      </c>
      <c r="F82" s="29" t="str">
        <f>IF(COUNTIFS(JournalActions[Joueur],$B82,JournalActions[Action],$E$65,JournalActions[Mi-temps],F$66)=0,"",COUNTIFS(JournalActions[Joueur],$B82,JournalActions[Action],$E$65,JournalActions[Mi-temps],F$66))</f>
        <v/>
      </c>
      <c r="H82" s="28" t="str">
        <f>IF(COUNTIFS(JournalActions[Joueur],$B82,JournalActions[Action],$H$65,JournalActions[Mi-temps],H$66)=0,"",COUNTIFS(JournalActions[Joueur],$B82,JournalActions[Action],$H$65,JournalActions[Mi-temps],H$66))</f>
        <v/>
      </c>
      <c r="I82" s="29" t="str">
        <f>IF(COUNTIFS(JournalActions[Joueur],$B82,JournalActions[Action],$H$65,JournalActions[Mi-temps],I$66)=0,"",COUNTIFS(JournalActions[Joueur],$B82,JournalActions[Action],$H$65,JournalActions[Mi-temps],I$66))</f>
        <v/>
      </c>
      <c r="J82" s="28" t="str">
        <f>IF(COUNTIFS(JournalActions[Joueur],$B82,JournalActions[Action],$J$65,JournalActions[Mi-temps],J$66)=0,"",COUNTIFS(JournalActions[Joueur],$B82,JournalActions[Action],$J$65,JournalActions[Mi-temps],J$66))</f>
        <v/>
      </c>
      <c r="K82" s="29" t="str">
        <f>IF(COUNTIFS(JournalActions[Joueur],$B82,JournalActions[Action],$J$65,JournalActions[Mi-temps],K$66)=0,"",COUNTIFS(JournalActions[Joueur],$B82,JournalActions[Action],$J$65,JournalActions[Mi-temps],K$66))</f>
        <v/>
      </c>
    </row>
    <row r="83" spans="2:11" s="3" customFormat="1">
      <c r="B83" s="28"/>
      <c r="C83" s="28" t="str">
        <f>IF(COUNTIFS(JournalActions[Joueur],$B83,JournalActions[Action],$C$65,JournalActions[Mi-temps],C$66)=0,"",COUNTIFS(JournalActions[Joueur],$B83,JournalActions[Action],$C$65,JournalActions[Mi-temps],C$66))</f>
        <v/>
      </c>
      <c r="D83" s="29" t="str">
        <f>IF(COUNTIFS(JournalActions[Joueur],$B83,JournalActions[Action],$C$65,JournalActions[Mi-temps],D$66)=0,"",COUNTIFS(JournalActions[Joueur],$B83,JournalActions[Action],$C$65,JournalActions[Mi-temps],D$66))</f>
        <v/>
      </c>
      <c r="E83" s="28" t="str">
        <f>IF(COUNTIFS(JournalActions[Joueur],$B83,JournalActions[Action],$E$65,JournalActions[Mi-temps],E$66)=0,"",COUNTIFS(JournalActions[Joueur],$B83,JournalActions[Action],$E$65,JournalActions[Mi-temps],E$66))</f>
        <v/>
      </c>
      <c r="F83" s="29" t="str">
        <f>IF(COUNTIFS(JournalActions[Joueur],$B83,JournalActions[Action],$E$65,JournalActions[Mi-temps],F$66)=0,"",COUNTIFS(JournalActions[Joueur],$B83,JournalActions[Action],$E$65,JournalActions[Mi-temps],F$66))</f>
        <v/>
      </c>
      <c r="H83" s="28" t="str">
        <f>IF(COUNTIFS(JournalActions[Joueur],$B83,JournalActions[Action],$H$65,JournalActions[Mi-temps],H$66)=0,"",COUNTIFS(JournalActions[Joueur],$B83,JournalActions[Action],$H$65,JournalActions[Mi-temps],H$66))</f>
        <v/>
      </c>
      <c r="I83" s="29" t="str">
        <f>IF(COUNTIFS(JournalActions[Joueur],$B83,JournalActions[Action],$H$65,JournalActions[Mi-temps],I$66)=0,"",COUNTIFS(JournalActions[Joueur],$B83,JournalActions[Action],$H$65,JournalActions[Mi-temps],I$66))</f>
        <v/>
      </c>
      <c r="J83" s="28" t="str">
        <f>IF(COUNTIFS(JournalActions[Joueur],$B83,JournalActions[Action],$J$65,JournalActions[Mi-temps],J$66)=0,"",COUNTIFS(JournalActions[Joueur],$B83,JournalActions[Action],$J$65,JournalActions[Mi-temps],J$66))</f>
        <v/>
      </c>
      <c r="K83" s="29" t="str">
        <f>IF(COUNTIFS(JournalActions[Joueur],$B83,JournalActions[Action],$J$65,JournalActions[Mi-temps],K$66)=0,"",COUNTIFS(JournalActions[Joueur],$B83,JournalActions[Action],$J$65,JournalActions[Mi-temps],K$66))</f>
        <v/>
      </c>
    </row>
    <row r="84" spans="2:11" s="3" customFormat="1">
      <c r="B84" s="28"/>
      <c r="C84" s="28" t="str">
        <f>IF(COUNTIFS(JournalActions[Joueur],$B84,JournalActions[Action],$C$65,JournalActions[Mi-temps],C$66)=0,"",COUNTIFS(JournalActions[Joueur],$B84,JournalActions[Action],$C$65,JournalActions[Mi-temps],C$66))</f>
        <v/>
      </c>
      <c r="D84" s="29" t="str">
        <f>IF(COUNTIFS(JournalActions[Joueur],$B84,JournalActions[Action],$C$65,JournalActions[Mi-temps],D$66)=0,"",COUNTIFS(JournalActions[Joueur],$B84,JournalActions[Action],$C$65,JournalActions[Mi-temps],D$66))</f>
        <v/>
      </c>
      <c r="E84" s="28" t="str">
        <f>IF(COUNTIFS(JournalActions[Joueur],$B84,JournalActions[Action],$E$65,JournalActions[Mi-temps],E$66)=0,"",COUNTIFS(JournalActions[Joueur],$B84,JournalActions[Action],$E$65,JournalActions[Mi-temps],E$66))</f>
        <v/>
      </c>
      <c r="F84" s="29" t="str">
        <f>IF(COUNTIFS(JournalActions[Joueur],$B84,JournalActions[Action],$E$65,JournalActions[Mi-temps],F$66)=0,"",COUNTIFS(JournalActions[Joueur],$B84,JournalActions[Action],$E$65,JournalActions[Mi-temps],F$66))</f>
        <v/>
      </c>
      <c r="H84" s="28" t="str">
        <f>IF(COUNTIFS(JournalActions[Joueur],$B84,JournalActions[Action],$H$65,JournalActions[Mi-temps],H$66)=0,"",COUNTIFS(JournalActions[Joueur],$B84,JournalActions[Action],$H$65,JournalActions[Mi-temps],H$66))</f>
        <v/>
      </c>
      <c r="I84" s="29" t="str">
        <f>IF(COUNTIFS(JournalActions[Joueur],$B84,JournalActions[Action],$H$65,JournalActions[Mi-temps],I$66)=0,"",COUNTIFS(JournalActions[Joueur],$B84,JournalActions[Action],$H$65,JournalActions[Mi-temps],I$66))</f>
        <v/>
      </c>
      <c r="J84" s="28" t="str">
        <f>IF(COUNTIFS(JournalActions[Joueur],$B84,JournalActions[Action],$J$65,JournalActions[Mi-temps],J$66)=0,"",COUNTIFS(JournalActions[Joueur],$B84,JournalActions[Action],$J$65,JournalActions[Mi-temps],J$66))</f>
        <v/>
      </c>
      <c r="K84" s="29" t="str">
        <f>IF(COUNTIFS(JournalActions[Joueur],$B84,JournalActions[Action],$J$65,JournalActions[Mi-temps],K$66)=0,"",COUNTIFS(JournalActions[Joueur],$B84,JournalActions[Action],$J$65,JournalActions[Mi-temps],K$66))</f>
        <v/>
      </c>
    </row>
    <row r="85" spans="2:11" s="3" customFormat="1">
      <c r="B85" s="28"/>
      <c r="C85" s="28" t="str">
        <f>IF(COUNTIFS(JournalActions[Joueur],$B85,JournalActions[Action],$C$65,JournalActions[Mi-temps],C$66)=0,"",COUNTIFS(JournalActions[Joueur],$B85,JournalActions[Action],$C$65,JournalActions[Mi-temps],C$66))</f>
        <v/>
      </c>
      <c r="D85" s="29" t="str">
        <f>IF(COUNTIFS(JournalActions[Joueur],$B85,JournalActions[Action],$C$65,JournalActions[Mi-temps],D$66)=0,"",COUNTIFS(JournalActions[Joueur],$B85,JournalActions[Action],$C$65,JournalActions[Mi-temps],D$66))</f>
        <v/>
      </c>
      <c r="E85" s="28" t="str">
        <f>IF(COUNTIFS(JournalActions[Joueur],$B85,JournalActions[Action],$E$65,JournalActions[Mi-temps],E$66)=0,"",COUNTIFS(JournalActions[Joueur],$B85,JournalActions[Action],$E$65,JournalActions[Mi-temps],E$66))</f>
        <v/>
      </c>
      <c r="F85" s="29" t="str">
        <f>IF(COUNTIFS(JournalActions[Joueur],$B85,JournalActions[Action],$E$65,JournalActions[Mi-temps],F$66)=0,"",COUNTIFS(JournalActions[Joueur],$B85,JournalActions[Action],$E$65,JournalActions[Mi-temps],F$66))</f>
        <v/>
      </c>
      <c r="H85" s="28" t="str">
        <f>IF(COUNTIFS(JournalActions[Joueur],$B85,JournalActions[Action],$H$65,JournalActions[Mi-temps],H$66)=0,"",COUNTIFS(JournalActions[Joueur],$B85,JournalActions[Action],$H$65,JournalActions[Mi-temps],H$66))</f>
        <v/>
      </c>
      <c r="I85" s="29" t="str">
        <f>IF(COUNTIFS(JournalActions[Joueur],$B85,JournalActions[Action],$H$65,JournalActions[Mi-temps],I$66)=0,"",COUNTIFS(JournalActions[Joueur],$B85,JournalActions[Action],$H$65,JournalActions[Mi-temps],I$66))</f>
        <v/>
      </c>
      <c r="J85" s="28" t="str">
        <f>IF(COUNTIFS(JournalActions[Joueur],$B85,JournalActions[Action],$J$65,JournalActions[Mi-temps],J$66)=0,"",COUNTIFS(JournalActions[Joueur],$B85,JournalActions[Action],$J$65,JournalActions[Mi-temps],J$66))</f>
        <v/>
      </c>
      <c r="K85" s="29" t="str">
        <f>IF(COUNTIFS(JournalActions[Joueur],$B85,JournalActions[Action],$J$65,JournalActions[Mi-temps],K$66)=0,"",COUNTIFS(JournalActions[Joueur],$B85,JournalActions[Action],$J$65,JournalActions[Mi-temps],K$66))</f>
        <v/>
      </c>
    </row>
    <row r="86" spans="2:11" s="3" customFormat="1">
      <c r="B86" s="28"/>
      <c r="C86" s="28" t="str">
        <f>IF(COUNTIFS(JournalActions[Joueur],$B86,JournalActions[Action],$C$65,JournalActions[Mi-temps],C$66)=0,"",COUNTIFS(JournalActions[Joueur],$B86,JournalActions[Action],$C$65,JournalActions[Mi-temps],C$66))</f>
        <v/>
      </c>
      <c r="D86" s="29" t="str">
        <f>IF(COUNTIFS(JournalActions[Joueur],$B86,JournalActions[Action],$C$65,JournalActions[Mi-temps],D$66)=0,"",COUNTIFS(JournalActions[Joueur],$B86,JournalActions[Action],$C$65,JournalActions[Mi-temps],D$66))</f>
        <v/>
      </c>
      <c r="E86" s="28" t="str">
        <f>IF(COUNTIFS(JournalActions[Joueur],$B86,JournalActions[Action],$E$65,JournalActions[Mi-temps],E$66)=0,"",COUNTIFS(JournalActions[Joueur],$B86,JournalActions[Action],$E$65,JournalActions[Mi-temps],E$66))</f>
        <v/>
      </c>
      <c r="F86" s="29" t="str">
        <f>IF(COUNTIFS(JournalActions[Joueur],$B86,JournalActions[Action],$E$65,JournalActions[Mi-temps],F$66)=0,"",COUNTIFS(JournalActions[Joueur],$B86,JournalActions[Action],$E$65,JournalActions[Mi-temps],F$66))</f>
        <v/>
      </c>
      <c r="H86" s="28" t="str">
        <f>IF(COUNTIFS(JournalActions[Joueur],$B86,JournalActions[Action],$H$65,JournalActions[Mi-temps],H$66)=0,"",COUNTIFS(JournalActions[Joueur],$B86,JournalActions[Action],$H$65,JournalActions[Mi-temps],H$66))</f>
        <v/>
      </c>
      <c r="I86" s="29" t="str">
        <f>IF(COUNTIFS(JournalActions[Joueur],$B86,JournalActions[Action],$H$65,JournalActions[Mi-temps],I$66)=0,"",COUNTIFS(JournalActions[Joueur],$B86,JournalActions[Action],$H$65,JournalActions[Mi-temps],I$66))</f>
        <v/>
      </c>
      <c r="J86" s="28" t="str">
        <f>IF(COUNTIFS(JournalActions[Joueur],$B86,JournalActions[Action],$J$65,JournalActions[Mi-temps],J$66)=0,"",COUNTIFS(JournalActions[Joueur],$B86,JournalActions[Action],$J$65,JournalActions[Mi-temps],J$66))</f>
        <v/>
      </c>
      <c r="K86" s="29" t="str">
        <f>IF(COUNTIFS(JournalActions[Joueur],$B86,JournalActions[Action],$J$65,JournalActions[Mi-temps],K$66)=0,"",COUNTIFS(JournalActions[Joueur],$B86,JournalActions[Action],$J$65,JournalActions[Mi-temps],K$66))</f>
        <v/>
      </c>
    </row>
    <row r="87" spans="2:11" s="3" customFormat="1">
      <c r="B87" s="28"/>
      <c r="C87" s="28" t="str">
        <f>IF(COUNTIFS(JournalActions[Joueur],$B87,JournalActions[Action],$C$65,JournalActions[Mi-temps],C$66)=0,"",COUNTIFS(JournalActions[Joueur],$B87,JournalActions[Action],$C$65,JournalActions[Mi-temps],C$66))</f>
        <v/>
      </c>
      <c r="D87" s="29" t="str">
        <f>IF(COUNTIFS(JournalActions[Joueur],$B87,JournalActions[Action],$C$65,JournalActions[Mi-temps],D$66)=0,"",COUNTIFS(JournalActions[Joueur],$B87,JournalActions[Action],$C$65,JournalActions[Mi-temps],D$66))</f>
        <v/>
      </c>
      <c r="E87" s="28" t="str">
        <f>IF(COUNTIFS(JournalActions[Joueur],$B87,JournalActions[Action],$E$65,JournalActions[Mi-temps],E$66)=0,"",COUNTIFS(JournalActions[Joueur],$B87,JournalActions[Action],$E$65,JournalActions[Mi-temps],E$66))</f>
        <v/>
      </c>
      <c r="F87" s="29" t="str">
        <f>IF(COUNTIFS(JournalActions[Joueur],$B87,JournalActions[Action],$E$65,JournalActions[Mi-temps],F$66)=0,"",COUNTIFS(JournalActions[Joueur],$B87,JournalActions[Action],$E$65,JournalActions[Mi-temps],F$66))</f>
        <v/>
      </c>
      <c r="H87" s="28" t="str">
        <f>IF(COUNTIFS(JournalActions[Joueur],$B87,JournalActions[Action],$H$65,JournalActions[Mi-temps],H$66)=0,"",COUNTIFS(JournalActions[Joueur],$B87,JournalActions[Action],$H$65,JournalActions[Mi-temps],H$66))</f>
        <v/>
      </c>
      <c r="I87" s="29" t="str">
        <f>IF(COUNTIFS(JournalActions[Joueur],$B87,JournalActions[Action],$H$65,JournalActions[Mi-temps],I$66)=0,"",COUNTIFS(JournalActions[Joueur],$B87,JournalActions[Action],$H$65,JournalActions[Mi-temps],I$66))</f>
        <v/>
      </c>
      <c r="J87" s="28" t="str">
        <f>IF(COUNTIFS(JournalActions[Joueur],$B87,JournalActions[Action],$J$65,JournalActions[Mi-temps],J$66)=0,"",COUNTIFS(JournalActions[Joueur],$B87,JournalActions[Action],$J$65,JournalActions[Mi-temps],J$66))</f>
        <v/>
      </c>
      <c r="K87" s="29" t="str">
        <f>IF(COUNTIFS(JournalActions[Joueur],$B87,JournalActions[Action],$J$65,JournalActions[Mi-temps],K$66)=0,"",COUNTIFS(JournalActions[Joueur],$B87,JournalActions[Action],$J$65,JournalActions[Mi-temps],K$66))</f>
        <v/>
      </c>
    </row>
    <row r="88" spans="2:11" s="3" customFormat="1">
      <c r="B88" s="28"/>
      <c r="C88" s="28" t="str">
        <f>IF(COUNTIFS(JournalActions[Joueur],$B88,JournalActions[Action],$C$65,JournalActions[Mi-temps],C$66)=0,"",COUNTIFS(JournalActions[Joueur],$B88,JournalActions[Action],$C$65,JournalActions[Mi-temps],C$66))</f>
        <v/>
      </c>
      <c r="D88" s="29" t="str">
        <f>IF(COUNTIFS(JournalActions[Joueur],$B88,JournalActions[Action],$C$65,JournalActions[Mi-temps],D$66)=0,"",COUNTIFS(JournalActions[Joueur],$B88,JournalActions[Action],$C$65,JournalActions[Mi-temps],D$66))</f>
        <v/>
      </c>
      <c r="E88" s="80" t="str">
        <f>IF(COUNTIFS(JournalActions[Joueur],$B88,JournalActions[Action],$E$65,JournalActions[Mi-temps],E$66)=0,"",COUNTIFS(JournalActions[Joueur],$B88,JournalActions[Action],$E$65,JournalActions[Mi-temps],E$66))</f>
        <v/>
      </c>
      <c r="F88" s="29" t="str">
        <f>IF(COUNTIFS(JournalActions[Joueur],$B88,JournalActions[Action],$E$65,JournalActions[Mi-temps],F$66)=0,"",COUNTIFS(JournalActions[Joueur],$B88,JournalActions[Action],$E$65,JournalActions[Mi-temps],F$66))</f>
        <v/>
      </c>
      <c r="H88" s="28" t="str">
        <f>IF(COUNTIFS(JournalActions[Joueur],$B88,JournalActions[Action],$H$65,JournalActions[Mi-temps],H$66)=0,"",COUNTIFS(JournalActions[Joueur],$B88,JournalActions[Action],$H$65,JournalActions[Mi-temps],H$66))</f>
        <v/>
      </c>
      <c r="I88" s="29" t="str">
        <f>IF(COUNTIFS(JournalActions[Joueur],$B88,JournalActions[Action],$H$65,JournalActions[Mi-temps],I$66)=0,"",COUNTIFS(JournalActions[Joueur],$B88,JournalActions[Action],$H$65,JournalActions[Mi-temps],I$66))</f>
        <v/>
      </c>
      <c r="J88" s="28" t="str">
        <f>IF(COUNTIFS(JournalActions[Joueur],$B88,JournalActions[Action],$J$65,JournalActions[Mi-temps],J$66)=0,"",COUNTIFS(JournalActions[Joueur],$B88,JournalActions[Action],$J$65,JournalActions[Mi-temps],J$66))</f>
        <v/>
      </c>
      <c r="K88" s="29" t="str">
        <f>IF(COUNTIFS(JournalActions[Joueur],$B88,JournalActions[Action],$J$65,JournalActions[Mi-temps],K$66)=0,"",COUNTIFS(JournalActions[Joueur],$B88,JournalActions[Action],$J$65,JournalActions[Mi-temps],K$66))</f>
        <v/>
      </c>
    </row>
    <row r="89" spans="2:11" s="3" customFormat="1">
      <c r="B89" s="26" t="s">
        <v>42</v>
      </c>
      <c r="C89" s="28" t="str">
        <f>IF(COUNTIFS(JournalActions[Joueur],$B89,JournalActions[Action],$C$65,JournalActions[Mi-temps],C$66)=0,"",COUNTIFS(JournalActions[Joueur],$B89,JournalActions[Action],$C$65,JournalActions[Mi-temps],C$66))</f>
        <v/>
      </c>
      <c r="D89" s="29" t="str">
        <f>IF(COUNTIFS(JournalActions[Joueur],$B89,JournalActions[Action],$C$65,JournalActions[Mi-temps],D$66)=0,"",COUNTIFS(JournalActions[Joueur],$B89,JournalActions[Action],$C$65,JournalActions[Mi-temps],D$66))</f>
        <v/>
      </c>
      <c r="E89" s="28" t="str">
        <f>IF(COUNTIFS(JournalActions[Joueur],$B89,JournalActions[Action],$E$65,JournalActions[Mi-temps],E$66)=0,"",COUNTIFS(JournalActions[Joueur],$B89,JournalActions[Action],$E$65,JournalActions[Mi-temps],E$66))</f>
        <v/>
      </c>
      <c r="F89" s="29" t="str">
        <f>IF(COUNTIFS(JournalActions[Joueur],$B89,JournalActions[Action],$E$65,JournalActions[Mi-temps],F$66)=0,"",COUNTIFS(JournalActions[Joueur],$B89,JournalActions[Action],$E$65,JournalActions[Mi-temps],F$66))</f>
        <v/>
      </c>
      <c r="H89" s="28" t="str">
        <f>IF(COUNTIFS(JournalActions[Joueur],$B89,JournalActions[Action],$H$65,JournalActions[Mi-temps],H$66)=0,"",COUNTIFS(JournalActions[Joueur],$B89,JournalActions[Action],$H$65,JournalActions[Mi-temps],H$66))</f>
        <v/>
      </c>
      <c r="I89" s="29" t="str">
        <f>IF(COUNTIFS(JournalActions[Joueur],$B89,JournalActions[Action],$H$65,JournalActions[Mi-temps],I$66)=0,"",COUNTIFS(JournalActions[Joueur],$B89,JournalActions[Action],$H$65,JournalActions[Mi-temps],I$66))</f>
        <v/>
      </c>
      <c r="J89" s="28" t="str">
        <f>IF(COUNTIFS(JournalActions[Joueur],$B89,JournalActions[Action],$J$65,JournalActions[Mi-temps],J$66)=0,"",COUNTIFS(JournalActions[Joueur],$B89,JournalActions[Action],$J$65,JournalActions[Mi-temps],J$66))</f>
        <v/>
      </c>
      <c r="K89" s="29" t="str">
        <f>IF(COUNTIFS(JournalActions[Joueur],$B89,JournalActions[Action],$J$65,JournalActions[Mi-temps],K$66)=0,"",COUNTIFS(JournalActions[Joueur],$B89,JournalActions[Action],$J$65,JournalActions[Mi-temps],K$66))</f>
        <v/>
      </c>
    </row>
    <row r="90" spans="2:11" s="3" customFormat="1">
      <c r="B90" s="27" t="s">
        <v>32</v>
      </c>
      <c r="C90" s="28" t="str">
        <f>IF(COUNTIFS(JournalActions[Joueur],$B90,JournalActions[Action],$C$65,JournalActions[Mi-temps],C$66)=0,"",COUNTIFS(JournalActions[Joueur],$B90,JournalActions[Action],$C$65,JournalActions[Mi-temps],C$66))</f>
        <v/>
      </c>
      <c r="D90" s="29" t="str">
        <f>IF(COUNTIFS(JournalActions[Joueur],$B90,JournalActions[Action],$C$65,JournalActions[Mi-temps],D$66)=0,"",COUNTIFS(JournalActions[Joueur],$B90,JournalActions[Action],$C$65,JournalActions[Mi-temps],D$66))</f>
        <v/>
      </c>
      <c r="E90" s="28" t="str">
        <f>IF(COUNTIFS(JournalActions[Joueur],$B90,JournalActions[Action],$E$65,JournalActions[Mi-temps],E$66)=0,"",COUNTIFS(JournalActions[Joueur],$B90,JournalActions[Action],$E$65,JournalActions[Mi-temps],E$66))</f>
        <v/>
      </c>
      <c r="F90" s="29" t="str">
        <f>IF(COUNTIFS(JournalActions[Joueur],$B90,JournalActions[Action],$E$65,JournalActions[Mi-temps],F$66)=0,"",COUNTIFS(JournalActions[Joueur],$B90,JournalActions[Action],$E$65,JournalActions[Mi-temps],F$66))</f>
        <v/>
      </c>
      <c r="H90" s="28" t="str">
        <f>IF(COUNTIFS(JournalActions[Joueur],$B90,JournalActions[Action],$H$65,JournalActions[Mi-temps],H$66)=0,"",COUNTIFS(JournalActions[Joueur],$B90,JournalActions[Action],$H$65,JournalActions[Mi-temps],H$66))</f>
        <v/>
      </c>
      <c r="I90" s="29" t="str">
        <f>IF(COUNTIFS(JournalActions[Joueur],$B90,JournalActions[Action],$H$65,JournalActions[Mi-temps],I$66)=0,"",COUNTIFS(JournalActions[Joueur],$B90,JournalActions[Action],$H$65,JournalActions[Mi-temps],I$66))</f>
        <v/>
      </c>
      <c r="J90" s="28" t="str">
        <f>IF(COUNTIFS(JournalActions[Joueur],$B90,JournalActions[Action],$J$65,JournalActions[Mi-temps],J$66)=0,"",COUNTIFS(JournalActions[Joueur],$B90,JournalActions[Action],$J$65,JournalActions[Mi-temps],J$66))</f>
        <v/>
      </c>
      <c r="K90" s="29" t="str">
        <f>IF(COUNTIFS(JournalActions[Joueur],$B90,JournalActions[Action],$J$65,JournalActions[Mi-temps],K$66)=0,"",COUNTIFS(JournalActions[Joueur],$B90,JournalActions[Action],$J$65,JournalActions[Mi-temps],K$66))</f>
        <v/>
      </c>
    </row>
    <row r="91" spans="2:11" s="3" customFormat="1" ht="14">
      <c r="B91" s="52" t="s">
        <v>175</v>
      </c>
      <c r="C91" s="53">
        <f>SUM(C67:C90)</f>
        <v>0</v>
      </c>
      <c r="D91" s="54">
        <f t="shared" ref="D91" si="10">SUM(D67:D90)</f>
        <v>0</v>
      </c>
      <c r="E91" s="53">
        <f>SUM(E67:E90)</f>
        <v>0</v>
      </c>
      <c r="F91" s="54">
        <f t="shared" ref="F91" si="11">SUM(F67:F90)</f>
        <v>0</v>
      </c>
      <c r="H91" s="74">
        <f>SUM(H67:H90)</f>
        <v>0</v>
      </c>
      <c r="I91" s="75">
        <f>SUM(I67:I90)</f>
        <v>0</v>
      </c>
      <c r="J91" s="74">
        <f>SUM(J67:J90)</f>
        <v>0</v>
      </c>
      <c r="K91" s="75">
        <f t="shared" ref="K91" si="12">SUM(K67:K90)</f>
        <v>0</v>
      </c>
    </row>
    <row r="92" spans="2:11" s="3" customFormat="1" ht="16">
      <c r="B92" s="55" t="s">
        <v>174</v>
      </c>
      <c r="C92" s="247">
        <f>C91+D91</f>
        <v>0</v>
      </c>
      <c r="D92" s="248"/>
      <c r="E92" s="247">
        <f>E91+F91</f>
        <v>0</v>
      </c>
      <c r="F92" s="248"/>
      <c r="H92" s="252">
        <f>H91+I91</f>
        <v>0</v>
      </c>
      <c r="I92" s="253"/>
      <c r="J92" s="252">
        <f>J91+K91</f>
        <v>0</v>
      </c>
      <c r="K92" s="253"/>
    </row>
    <row r="93" spans="2:11" s="3" customFormat="1"/>
    <row r="94" spans="2:11" s="3" customFormat="1"/>
    <row r="95" spans="2:11" s="3" customFormat="1" ht="14" thickBot="1"/>
    <row r="96" spans="2:11" s="3" customFormat="1" ht="17">
      <c r="B96" s="124" t="s">
        <v>266</v>
      </c>
      <c r="C96" s="125" t="s">
        <v>47</v>
      </c>
      <c r="D96" s="126" t="s">
        <v>112</v>
      </c>
      <c r="F96" s="277" t="s">
        <v>267</v>
      </c>
      <c r="G96" s="278"/>
      <c r="H96" s="125" t="s">
        <v>46</v>
      </c>
      <c r="I96" s="125" t="s">
        <v>44</v>
      </c>
      <c r="J96" s="132" t="s">
        <v>234</v>
      </c>
    </row>
    <row r="97" spans="2:10" s="3" customFormat="1" ht="16">
      <c r="B97" s="127" t="s">
        <v>235</v>
      </c>
      <c r="C97" s="81">
        <v>0</v>
      </c>
      <c r="D97" s="128">
        <v>0</v>
      </c>
      <c r="F97" s="275" t="s">
        <v>235</v>
      </c>
      <c r="G97" s="276"/>
      <c r="H97" s="81">
        <v>0</v>
      </c>
      <c r="I97" s="81">
        <v>0</v>
      </c>
      <c r="J97" s="133">
        <v>0</v>
      </c>
    </row>
    <row r="98" spans="2:10" s="3" customFormat="1" ht="16">
      <c r="B98" s="127" t="s">
        <v>236</v>
      </c>
      <c r="C98" s="81">
        <v>0</v>
      </c>
      <c r="D98" s="128">
        <v>0</v>
      </c>
      <c r="F98" s="275" t="s">
        <v>236</v>
      </c>
      <c r="G98" s="276"/>
      <c r="H98" s="81">
        <v>0</v>
      </c>
      <c r="I98" s="81">
        <v>0</v>
      </c>
      <c r="J98" s="133">
        <v>0</v>
      </c>
    </row>
    <row r="99" spans="2:10" s="3" customFormat="1" ht="16">
      <c r="B99" s="127" t="s">
        <v>237</v>
      </c>
      <c r="C99" s="81">
        <v>0</v>
      </c>
      <c r="D99" s="128">
        <v>0</v>
      </c>
      <c r="F99" s="275" t="s">
        <v>237</v>
      </c>
      <c r="G99" s="276"/>
      <c r="H99" s="81">
        <v>0</v>
      </c>
      <c r="I99" s="81">
        <v>0</v>
      </c>
      <c r="J99" s="133">
        <v>0</v>
      </c>
    </row>
    <row r="100" spans="2:10" s="3" customFormat="1" ht="16">
      <c r="B100" s="127" t="s">
        <v>238</v>
      </c>
      <c r="C100" s="81">
        <v>0</v>
      </c>
      <c r="D100" s="128">
        <v>0</v>
      </c>
      <c r="F100" s="275" t="s">
        <v>238</v>
      </c>
      <c r="G100" s="276"/>
      <c r="H100" s="81">
        <v>0</v>
      </c>
      <c r="I100" s="81">
        <v>0</v>
      </c>
      <c r="J100" s="133">
        <v>0</v>
      </c>
    </row>
    <row r="101" spans="2:10" s="3" customFormat="1" ht="17" thickBot="1">
      <c r="B101" s="129" t="s">
        <v>239</v>
      </c>
      <c r="C101" s="130">
        <v>0</v>
      </c>
      <c r="D101" s="131">
        <v>0</v>
      </c>
      <c r="F101" s="275" t="s">
        <v>268</v>
      </c>
      <c r="G101" s="276"/>
      <c r="H101" s="81">
        <v>0</v>
      </c>
      <c r="I101" s="81">
        <v>0</v>
      </c>
      <c r="J101" s="133">
        <v>0</v>
      </c>
    </row>
    <row r="102" spans="2:10" s="3" customFormat="1" ht="16">
      <c r="F102" s="275" t="s">
        <v>269</v>
      </c>
      <c r="G102" s="276"/>
      <c r="H102" s="81">
        <v>0</v>
      </c>
      <c r="I102" s="81">
        <v>0</v>
      </c>
      <c r="J102" s="133">
        <v>0</v>
      </c>
    </row>
    <row r="103" spans="2:10" s="3" customFormat="1" ht="16">
      <c r="F103" s="275" t="s">
        <v>270</v>
      </c>
      <c r="G103" s="276"/>
      <c r="H103" s="81">
        <v>0</v>
      </c>
      <c r="I103" s="81">
        <v>0</v>
      </c>
      <c r="J103" s="133">
        <v>0</v>
      </c>
    </row>
    <row r="104" spans="2:10" s="3" customFormat="1" ht="17" thickBot="1">
      <c r="F104" s="279" t="s">
        <v>271</v>
      </c>
      <c r="G104" s="280"/>
      <c r="H104" s="130">
        <v>0</v>
      </c>
      <c r="I104" s="130">
        <v>0</v>
      </c>
      <c r="J104" s="134">
        <v>0</v>
      </c>
    </row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  <row r="1054" s="3" customFormat="1"/>
    <row r="1055" s="3" customFormat="1"/>
    <row r="1056" s="3" customFormat="1"/>
    <row r="1057" s="3" customFormat="1"/>
    <row r="1058" s="3" customFormat="1"/>
  </sheetData>
  <mergeCells count="57">
    <mergeCell ref="B3:T4"/>
    <mergeCell ref="Q6:R6"/>
    <mergeCell ref="Q35:R35"/>
    <mergeCell ref="S6:T6"/>
    <mergeCell ref="S35:T35"/>
    <mergeCell ref="O6:P6"/>
    <mergeCell ref="O35:P35"/>
    <mergeCell ref="K6:L6"/>
    <mergeCell ref="M6:N6"/>
    <mergeCell ref="B6:B7"/>
    <mergeCell ref="C6:D6"/>
    <mergeCell ref="E6:F6"/>
    <mergeCell ref="G6:H6"/>
    <mergeCell ref="I6:J6"/>
    <mergeCell ref="F104:G104"/>
    <mergeCell ref="F99:G99"/>
    <mergeCell ref="F100:G100"/>
    <mergeCell ref="F101:G101"/>
    <mergeCell ref="F102:G102"/>
    <mergeCell ref="F103:G103"/>
    <mergeCell ref="F97:G97"/>
    <mergeCell ref="F98:G98"/>
    <mergeCell ref="C92:D92"/>
    <mergeCell ref="E92:F92"/>
    <mergeCell ref="H92:I92"/>
    <mergeCell ref="F96:G96"/>
    <mergeCell ref="J92:K92"/>
    <mergeCell ref="L45:M45"/>
    <mergeCell ref="L46:M46"/>
    <mergeCell ref="L47:M47"/>
    <mergeCell ref="L48:M48"/>
    <mergeCell ref="L49:M49"/>
    <mergeCell ref="B61:K63"/>
    <mergeCell ref="B65:B66"/>
    <mergeCell ref="C65:D65"/>
    <mergeCell ref="E65:F65"/>
    <mergeCell ref="H65:I65"/>
    <mergeCell ref="J65:K65"/>
    <mergeCell ref="B58:K59"/>
    <mergeCell ref="L44:M44"/>
    <mergeCell ref="C35:D35"/>
    <mergeCell ref="E35:F35"/>
    <mergeCell ref="G35:H35"/>
    <mergeCell ref="I35:J35"/>
    <mergeCell ref="K35:L35"/>
    <mergeCell ref="L38:L39"/>
    <mergeCell ref="M38:O38"/>
    <mergeCell ref="M35:N35"/>
    <mergeCell ref="P38:P39"/>
    <mergeCell ref="G42:H42"/>
    <mergeCell ref="U6:Z6"/>
    <mergeCell ref="U34:U35"/>
    <mergeCell ref="V34:V35"/>
    <mergeCell ref="W34:W35"/>
    <mergeCell ref="X34:X35"/>
    <mergeCell ref="Y34:Y35"/>
    <mergeCell ref="Z34:Z35"/>
  </mergeCells>
  <conditionalFormatting sqref="L40:P40 B8:Z33">
    <cfRule type="expression" dxfId="15" priority="6" stopIfTrue="1">
      <formula>ISEVEN(ROW())</formula>
    </cfRule>
  </conditionalFormatting>
  <conditionalFormatting sqref="B67:B90">
    <cfRule type="expression" dxfId="14" priority="5" stopIfTrue="1">
      <formula>ISEVEN(ROW())</formula>
    </cfRule>
  </conditionalFormatting>
  <conditionalFormatting sqref="C67:D90">
    <cfRule type="expression" dxfId="13" priority="4" stopIfTrue="1">
      <formula>ISEVEN(ROW())</formula>
    </cfRule>
  </conditionalFormatting>
  <conditionalFormatting sqref="H67:I90">
    <cfRule type="expression" dxfId="12" priority="3" stopIfTrue="1">
      <formula>ISEVEN(ROW())</formula>
    </cfRule>
  </conditionalFormatting>
  <conditionalFormatting sqref="J67:K90">
    <cfRule type="expression" dxfId="11" priority="2" stopIfTrue="1">
      <formula>ISEVEN(ROW())</formula>
    </cfRule>
  </conditionalFormatting>
  <conditionalFormatting sqref="E67:F90">
    <cfRule type="expression" dxfId="10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G300"/>
  <sheetViews>
    <sheetView showGridLines="0" workbookViewId="0">
      <selection activeCell="H24" sqref="H24"/>
    </sheetView>
    <sheetView workbookViewId="1"/>
  </sheetViews>
  <sheetFormatPr baseColWidth="10" defaultRowHeight="13"/>
  <cols>
    <col min="1" max="4" width="12.83203125" customWidth="1"/>
    <col min="5" max="5" width="15.33203125" bestFit="1" customWidth="1"/>
    <col min="6" max="9" width="12.83203125" customWidth="1"/>
    <col min="10" max="10" width="30.83203125" customWidth="1"/>
    <col min="11" max="20" width="12.83203125" customWidth="1"/>
    <col min="21" max="21" width="30.83203125" customWidth="1"/>
    <col min="22" max="22" width="10.83203125" customWidth="1"/>
    <col min="23" max="33" width="10.83203125" hidden="1" customWidth="1"/>
  </cols>
  <sheetData>
    <row r="1" spans="1:31" ht="18">
      <c r="A1" s="171" t="s">
        <v>320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5"/>
    </row>
    <row r="2" spans="1:31">
      <c r="A2" t="s">
        <v>321</v>
      </c>
      <c r="B2" t="s">
        <v>7</v>
      </c>
      <c r="C2" t="s">
        <v>322</v>
      </c>
      <c r="D2" t="s">
        <v>323</v>
      </c>
      <c r="E2" t="s">
        <v>324</v>
      </c>
      <c r="F2" t="s">
        <v>325</v>
      </c>
      <c r="G2" t="s">
        <v>326</v>
      </c>
      <c r="H2" t="s">
        <v>327</v>
      </c>
      <c r="I2" t="s">
        <v>328</v>
      </c>
      <c r="J2" t="s">
        <v>329</v>
      </c>
      <c r="K2" s="135"/>
      <c r="L2" s="135"/>
      <c r="M2" s="135"/>
      <c r="N2" s="135"/>
      <c r="O2" s="135"/>
      <c r="P2" s="135"/>
      <c r="Q2" s="135"/>
      <c r="R2" s="135"/>
      <c r="S2" s="135"/>
      <c r="T2" s="135"/>
    </row>
    <row r="3" spans="1:31">
      <c r="A3" s="82"/>
      <c r="K3" s="135"/>
      <c r="L3" s="135"/>
      <c r="M3" s="135"/>
      <c r="N3" s="135"/>
      <c r="O3" s="135"/>
      <c r="P3" s="135"/>
      <c r="Q3" s="135"/>
      <c r="R3" s="135"/>
      <c r="S3" s="135"/>
      <c r="T3" s="135"/>
      <c r="AE3" s="98"/>
    </row>
    <row r="4" spans="1:31">
      <c r="A4" s="82"/>
      <c r="K4" s="135"/>
      <c r="L4" s="135"/>
      <c r="M4" s="135"/>
      <c r="N4" s="135"/>
      <c r="O4" s="135"/>
      <c r="P4" s="135"/>
      <c r="Q4" s="135"/>
      <c r="R4" s="135"/>
      <c r="S4" s="135"/>
      <c r="T4" s="135"/>
    </row>
    <row r="5" spans="1:31">
      <c r="A5" s="109" t="s">
        <v>220</v>
      </c>
      <c r="B5" s="110" t="s">
        <v>209</v>
      </c>
      <c r="C5" s="110" t="s">
        <v>143</v>
      </c>
      <c r="D5" s="110" t="s">
        <v>349</v>
      </c>
      <c r="E5" s="135"/>
      <c r="F5" s="135"/>
      <c r="G5" s="135"/>
      <c r="H5" s="135"/>
      <c r="I5" s="135"/>
      <c r="J5" s="135"/>
      <c r="K5" s="135"/>
      <c r="L5" s="135"/>
      <c r="M5" s="135"/>
      <c r="N5" s="135"/>
      <c r="O5" s="135"/>
      <c r="P5" s="135"/>
      <c r="Q5" s="135"/>
      <c r="R5" s="135"/>
      <c r="S5" s="135"/>
      <c r="T5" s="135"/>
    </row>
    <row r="6" spans="1:31">
      <c r="A6" s="111" t="s">
        <v>141</v>
      </c>
      <c r="B6" s="112">
        <f>COUNTIFS(DetailTouches[Lance pour],"N",DetailTouches[Issue],"G")</f>
        <v>0</v>
      </c>
      <c r="C6" s="112">
        <f>COUNTIFS(DetailTouches[Lance pour],"N",DetailTouches[Issue],"P")</f>
        <v>0</v>
      </c>
      <c r="D6" s="112">
        <f>COUNTIFS(DetailTouches[Lance pour],"N",DetailTouches[Issue],"ND")</f>
        <v>0</v>
      </c>
      <c r="E6" s="135"/>
      <c r="F6" s="135"/>
      <c r="G6" s="135"/>
      <c r="H6" s="135"/>
      <c r="I6" s="135"/>
      <c r="J6" s="135"/>
      <c r="K6" s="135"/>
      <c r="L6" s="135"/>
      <c r="M6" s="135"/>
      <c r="N6" s="135"/>
      <c r="O6" s="135"/>
      <c r="P6" s="135"/>
      <c r="Q6" s="135"/>
      <c r="R6" s="135"/>
      <c r="S6" s="135"/>
      <c r="T6" s="135"/>
    </row>
    <row r="7" spans="1:31">
      <c r="A7" s="107" t="s">
        <v>171</v>
      </c>
      <c r="B7" s="108">
        <f>COUNTIFS(DetailTouches[Lance pour],"E",DetailTouches[Issue],"P")</f>
        <v>0</v>
      </c>
      <c r="C7" s="108">
        <f>COUNTIFS(DetailTouches[Lance pour],"E",DetailTouches[Issue],"G")</f>
        <v>0</v>
      </c>
      <c r="D7" s="108">
        <f>COUNTIFS(DetailTouches[Lance pour],"E",DetailTouches[Issue],"ND")</f>
        <v>0</v>
      </c>
      <c r="E7" s="135"/>
      <c r="F7" s="135"/>
      <c r="G7" s="135"/>
      <c r="H7" s="135"/>
      <c r="I7" s="135"/>
      <c r="J7" s="135"/>
      <c r="K7" s="135"/>
      <c r="L7" s="135"/>
      <c r="M7" s="135"/>
      <c r="N7" s="135"/>
      <c r="O7" s="135"/>
      <c r="P7" s="135"/>
      <c r="Q7" s="135"/>
      <c r="R7" s="135"/>
      <c r="S7" s="135"/>
      <c r="T7" s="135"/>
    </row>
    <row r="8" spans="1:31">
      <c r="E8" s="135"/>
      <c r="F8" s="135"/>
      <c r="G8" s="135"/>
      <c r="H8" s="135"/>
      <c r="I8" s="135"/>
      <c r="J8" s="135"/>
      <c r="K8" s="135"/>
      <c r="L8" s="135"/>
      <c r="M8" s="135"/>
      <c r="N8" s="135"/>
      <c r="O8" s="135"/>
      <c r="P8" s="135"/>
      <c r="Q8" s="135"/>
      <c r="R8" s="135"/>
      <c r="S8" s="135"/>
      <c r="T8" s="135"/>
    </row>
    <row r="9" spans="1:31">
      <c r="A9" s="135"/>
      <c r="B9" s="135"/>
      <c r="C9" s="135"/>
      <c r="D9" s="135"/>
      <c r="E9" s="135"/>
      <c r="F9" s="135"/>
      <c r="G9" s="135"/>
      <c r="H9" s="135"/>
      <c r="I9" s="135"/>
      <c r="J9" s="135"/>
      <c r="K9" s="135"/>
      <c r="L9" s="135"/>
      <c r="M9" s="135"/>
      <c r="N9" s="135"/>
      <c r="O9" s="135"/>
      <c r="P9" s="135"/>
      <c r="Q9" s="135"/>
      <c r="R9" s="135"/>
      <c r="S9" s="135"/>
      <c r="T9" s="135"/>
    </row>
    <row r="10" spans="1:31" ht="18">
      <c r="A10" s="171" t="s">
        <v>330</v>
      </c>
      <c r="B10" s="135"/>
      <c r="C10" s="135"/>
      <c r="D10" s="135"/>
      <c r="E10" s="135"/>
      <c r="F10" s="135"/>
      <c r="G10" s="135"/>
      <c r="H10" s="135"/>
      <c r="I10" s="135"/>
      <c r="J10" s="135"/>
      <c r="K10" s="135"/>
      <c r="L10" s="135"/>
      <c r="M10" s="135"/>
      <c r="N10" s="135"/>
      <c r="O10" s="135"/>
      <c r="P10" s="135"/>
      <c r="Q10" s="135"/>
      <c r="R10" s="135"/>
      <c r="S10" s="135"/>
      <c r="T10" s="135"/>
    </row>
    <row r="11" spans="1:31">
      <c r="A11" t="s">
        <v>321</v>
      </c>
      <c r="B11" t="s">
        <v>7</v>
      </c>
      <c r="C11" t="s">
        <v>348</v>
      </c>
      <c r="D11" t="s">
        <v>323</v>
      </c>
      <c r="E11" t="s">
        <v>331</v>
      </c>
      <c r="F11" t="s">
        <v>332</v>
      </c>
      <c r="G11" t="s">
        <v>333</v>
      </c>
      <c r="H11" t="s">
        <v>334</v>
      </c>
      <c r="I11" t="s">
        <v>335</v>
      </c>
      <c r="J11" t="s">
        <v>329</v>
      </c>
      <c r="K11" s="135"/>
      <c r="L11" s="135"/>
      <c r="M11" s="135"/>
      <c r="N11" s="135"/>
      <c r="O11" s="135"/>
      <c r="P11" s="135"/>
      <c r="Q11" s="135"/>
      <c r="R11" s="135"/>
      <c r="S11" s="135"/>
      <c r="T11" s="135"/>
    </row>
    <row r="12" spans="1:31">
      <c r="A12" s="82"/>
      <c r="G12" s="96"/>
      <c r="H12" s="96"/>
      <c r="I12" s="96"/>
      <c r="K12" s="135"/>
      <c r="L12" s="135"/>
      <c r="M12" s="135"/>
      <c r="N12" s="135"/>
      <c r="O12" s="135"/>
      <c r="P12" s="135"/>
      <c r="Q12" s="135"/>
      <c r="R12" s="135"/>
      <c r="S12" s="135"/>
      <c r="T12" s="135"/>
    </row>
    <row r="13" spans="1:31">
      <c r="A13" s="172"/>
      <c r="B13" s="135"/>
      <c r="C13" s="135"/>
      <c r="D13" s="135"/>
      <c r="E13" s="135"/>
      <c r="F13" s="135"/>
      <c r="G13" s="173"/>
      <c r="H13" s="173"/>
      <c r="I13" s="173"/>
      <c r="J13" s="135"/>
      <c r="K13" s="135"/>
      <c r="L13" s="135"/>
      <c r="M13" s="135"/>
      <c r="N13" s="135"/>
      <c r="O13" s="135"/>
      <c r="P13" s="135"/>
      <c r="Q13" s="135"/>
      <c r="R13" s="135"/>
      <c r="S13" s="135"/>
      <c r="T13" s="135"/>
    </row>
    <row r="14" spans="1:31">
      <c r="A14" s="113" t="s">
        <v>350</v>
      </c>
      <c r="B14" s="114" t="s">
        <v>209</v>
      </c>
      <c r="C14" s="114" t="s">
        <v>143</v>
      </c>
      <c r="E14" s="135"/>
      <c r="F14" s="135"/>
      <c r="G14" s="173"/>
      <c r="H14" s="173"/>
      <c r="I14" s="173"/>
      <c r="J14" s="135"/>
      <c r="K14" s="135"/>
      <c r="L14" s="135"/>
      <c r="M14" s="135"/>
      <c r="N14" s="135"/>
      <c r="O14" s="135"/>
      <c r="P14" s="135"/>
      <c r="Q14" s="135"/>
      <c r="R14" s="135"/>
      <c r="S14" s="135"/>
      <c r="T14" s="135"/>
    </row>
    <row r="15" spans="1:31">
      <c r="A15" s="115" t="s">
        <v>141</v>
      </c>
      <c r="B15" s="116">
        <f>COUNTIFS(DetailMelees[Introduction pour],"N",DetailMelees[Issue],"G")</f>
        <v>0</v>
      </c>
      <c r="C15" s="116">
        <f>COUNTIFS(DetailMelees[Introduction pour],"N",DetailMelees[Issue],"P")</f>
        <v>0</v>
      </c>
      <c r="E15" s="135"/>
      <c r="F15" s="135"/>
      <c r="G15" s="173"/>
      <c r="H15" s="173"/>
      <c r="I15" s="173"/>
      <c r="J15" s="135"/>
      <c r="K15" s="135"/>
      <c r="L15" s="135"/>
      <c r="M15" s="135"/>
      <c r="N15" s="135"/>
      <c r="O15" s="135"/>
      <c r="P15" s="135"/>
      <c r="Q15" s="135"/>
      <c r="R15" s="135"/>
      <c r="S15" s="135"/>
      <c r="T15" s="135"/>
    </row>
    <row r="16" spans="1:31">
      <c r="A16" s="107" t="s">
        <v>171</v>
      </c>
      <c r="B16" s="108">
        <f>COUNTIFS(DetailMelees[Introduction pour],"E",DetailMelees[Issue],"P")</f>
        <v>0</v>
      </c>
      <c r="C16" s="108">
        <f>COUNTIFS(DetailMelees[Introduction pour],"E",DetailMelees[Issue],"G")</f>
        <v>0</v>
      </c>
      <c r="E16" s="135"/>
      <c r="F16" s="135"/>
      <c r="G16" s="173"/>
      <c r="H16" s="173"/>
      <c r="I16" s="173"/>
      <c r="J16" s="135"/>
      <c r="K16" s="135"/>
      <c r="L16" s="135"/>
      <c r="M16" s="135"/>
      <c r="N16" s="135"/>
      <c r="O16" s="135"/>
      <c r="P16" s="135"/>
      <c r="Q16" s="135"/>
      <c r="R16" s="135"/>
      <c r="S16" s="135"/>
      <c r="T16" s="135"/>
    </row>
    <row r="17" spans="1:20">
      <c r="A17" s="135"/>
      <c r="B17" s="135"/>
      <c r="C17" s="135"/>
      <c r="D17" s="135"/>
      <c r="E17" s="135"/>
      <c r="F17" s="135"/>
      <c r="G17" s="173"/>
      <c r="H17" s="173"/>
      <c r="I17" s="173"/>
      <c r="J17" s="135"/>
      <c r="K17" s="135"/>
      <c r="L17" s="135"/>
      <c r="M17" s="135"/>
      <c r="N17" s="135"/>
      <c r="O17" s="135"/>
      <c r="P17" s="135"/>
      <c r="Q17" s="135"/>
      <c r="R17" s="135"/>
      <c r="S17" s="135"/>
      <c r="T17" s="135"/>
    </row>
    <row r="18" spans="1:20">
      <c r="A18" s="281" t="s">
        <v>389</v>
      </c>
      <c r="B18" s="281"/>
      <c r="C18" s="135"/>
      <c r="D18" s="135"/>
      <c r="E18" s="135"/>
      <c r="F18" s="135"/>
      <c r="G18" s="173"/>
      <c r="H18" s="173"/>
      <c r="I18" s="173"/>
      <c r="J18" s="135"/>
      <c r="K18" s="135"/>
      <c r="L18" s="135"/>
      <c r="M18" s="135"/>
      <c r="N18" s="135"/>
      <c r="O18" s="135"/>
      <c r="P18" s="135"/>
      <c r="Q18" s="135"/>
      <c r="R18" s="135"/>
      <c r="S18" s="135"/>
      <c r="T18" s="135"/>
    </row>
    <row r="19" spans="1:20">
      <c r="A19" s="281"/>
      <c r="B19" s="281"/>
      <c r="C19" s="135"/>
      <c r="D19" s="135"/>
      <c r="E19" s="135"/>
      <c r="F19" s="135"/>
      <c r="G19" s="173"/>
      <c r="H19" s="173"/>
      <c r="I19" s="173"/>
      <c r="J19" s="135"/>
      <c r="K19" s="135"/>
      <c r="L19" s="135"/>
      <c r="M19" s="135"/>
      <c r="N19" s="135"/>
      <c r="O19" s="135"/>
      <c r="P19" s="135"/>
      <c r="Q19" s="135"/>
      <c r="R19" s="135"/>
      <c r="S19" s="135"/>
      <c r="T19" s="135"/>
    </row>
    <row r="20" spans="1:20">
      <c r="A20" s="135"/>
      <c r="B20" s="135"/>
      <c r="C20" s="135"/>
      <c r="D20" s="135"/>
      <c r="E20" s="135"/>
      <c r="F20" s="135"/>
      <c r="G20" s="173"/>
      <c r="H20" s="173"/>
      <c r="I20" s="173"/>
      <c r="J20" s="135"/>
      <c r="K20" s="135"/>
      <c r="L20" s="135"/>
      <c r="M20" s="135"/>
      <c r="N20" s="135"/>
      <c r="O20" s="135"/>
      <c r="P20" s="135"/>
      <c r="Q20" s="135"/>
      <c r="R20" s="135"/>
      <c r="S20" s="135"/>
      <c r="T20" s="135"/>
    </row>
    <row r="21" spans="1:20">
      <c r="A21" s="135"/>
      <c r="B21" s="135"/>
      <c r="C21" s="135"/>
      <c r="D21" s="135"/>
      <c r="E21" s="135"/>
      <c r="F21" s="135"/>
      <c r="G21" s="173"/>
      <c r="H21" s="173"/>
      <c r="I21" s="173"/>
      <c r="J21" s="135"/>
      <c r="K21" s="135"/>
      <c r="L21" s="135"/>
      <c r="M21" s="135"/>
      <c r="N21" s="135"/>
      <c r="O21" s="135"/>
      <c r="P21" s="135"/>
      <c r="Q21" s="135"/>
      <c r="R21" s="135"/>
      <c r="S21" s="135"/>
      <c r="T21" s="135"/>
    </row>
    <row r="22" spans="1:20">
      <c r="A22" s="135"/>
      <c r="B22" s="135"/>
      <c r="C22" s="135"/>
      <c r="D22" s="135"/>
      <c r="E22" s="135"/>
      <c r="F22" s="135"/>
      <c r="G22" s="173"/>
      <c r="H22" s="173"/>
      <c r="I22" s="173"/>
      <c r="J22" s="135"/>
      <c r="K22" s="135"/>
      <c r="L22" s="135"/>
      <c r="M22" s="135"/>
      <c r="N22" s="135"/>
      <c r="O22" s="135"/>
      <c r="P22" s="135"/>
      <c r="Q22" s="135"/>
      <c r="R22" s="135"/>
      <c r="S22" s="135"/>
      <c r="T22" s="135"/>
    </row>
    <row r="23" spans="1:20">
      <c r="A23" s="135"/>
      <c r="B23" s="135"/>
      <c r="C23" s="135"/>
      <c r="D23" s="135"/>
      <c r="E23" s="135"/>
      <c r="F23" s="135"/>
      <c r="G23" s="173"/>
      <c r="H23" s="173"/>
      <c r="I23" s="173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</row>
    <row r="24" spans="1:20">
      <c r="A24" s="135"/>
      <c r="B24" s="135"/>
      <c r="C24" s="135"/>
      <c r="D24" s="135"/>
      <c r="E24" s="135"/>
      <c r="F24" s="135"/>
      <c r="G24" s="173"/>
      <c r="H24" s="173"/>
      <c r="I24" s="173"/>
      <c r="J24" s="135"/>
      <c r="K24" s="135"/>
      <c r="L24" s="135"/>
      <c r="M24" s="135"/>
      <c r="N24" s="135"/>
      <c r="O24" s="135"/>
      <c r="P24" s="135"/>
      <c r="Q24" s="135"/>
      <c r="R24" s="135"/>
      <c r="S24" s="135"/>
      <c r="T24" s="135"/>
    </row>
    <row r="25" spans="1:20">
      <c r="A25" s="135"/>
      <c r="B25" s="135"/>
      <c r="C25" s="135"/>
      <c r="D25" s="135"/>
      <c r="E25" s="135"/>
      <c r="F25" s="135"/>
      <c r="G25" s="173"/>
      <c r="H25" s="173"/>
      <c r="I25" s="173"/>
      <c r="J25" s="135"/>
      <c r="K25" s="135"/>
      <c r="L25" s="135"/>
      <c r="M25" s="135"/>
      <c r="N25" s="135"/>
      <c r="O25" s="135"/>
      <c r="P25" s="135"/>
      <c r="Q25" s="135"/>
      <c r="R25" s="135"/>
      <c r="S25" s="135"/>
      <c r="T25" s="135"/>
    </row>
    <row r="26" spans="1:20">
      <c r="A26" s="135"/>
      <c r="B26" s="135"/>
      <c r="C26" s="135"/>
      <c r="D26" s="135"/>
      <c r="E26" s="135"/>
      <c r="F26" s="135"/>
      <c r="G26" s="173"/>
      <c r="H26" s="173"/>
      <c r="I26" s="173"/>
      <c r="J26" s="135"/>
      <c r="K26" s="135"/>
      <c r="L26" s="135"/>
      <c r="M26" s="135"/>
      <c r="N26" s="135"/>
      <c r="O26" s="135"/>
      <c r="P26" s="135"/>
      <c r="Q26" s="135"/>
      <c r="R26" s="135"/>
      <c r="S26" s="135"/>
      <c r="T26" s="135"/>
    </row>
    <row r="27" spans="1:20">
      <c r="A27" s="135"/>
      <c r="B27" s="135"/>
      <c r="C27" s="135"/>
      <c r="D27" s="135"/>
      <c r="E27" s="135"/>
      <c r="F27" s="135"/>
      <c r="G27" s="173"/>
      <c r="H27" s="173"/>
      <c r="I27" s="173"/>
      <c r="J27" s="135"/>
      <c r="K27" s="135"/>
      <c r="L27" s="135"/>
      <c r="M27" s="135"/>
      <c r="N27" s="135"/>
      <c r="O27" s="135"/>
      <c r="P27" s="135"/>
      <c r="Q27" s="135"/>
      <c r="R27" s="135"/>
      <c r="S27" s="135"/>
      <c r="T27" s="135"/>
    </row>
    <row r="28" spans="1:20">
      <c r="A28" s="135"/>
      <c r="B28" s="135"/>
      <c r="C28" s="135"/>
      <c r="D28" s="135"/>
      <c r="E28" s="135"/>
      <c r="F28" s="135"/>
      <c r="G28" s="173"/>
      <c r="H28" s="173"/>
      <c r="I28" s="173"/>
      <c r="J28" s="135"/>
      <c r="K28" s="135"/>
      <c r="L28" s="135"/>
      <c r="M28" s="135"/>
      <c r="N28" s="135"/>
      <c r="O28" s="135"/>
      <c r="P28" s="135"/>
      <c r="Q28" s="135"/>
      <c r="R28" s="135"/>
      <c r="S28" s="135"/>
      <c r="T28" s="135"/>
    </row>
    <row r="29" spans="1:20">
      <c r="A29" s="135"/>
      <c r="B29" s="135"/>
      <c r="C29" s="135"/>
      <c r="D29" s="135"/>
      <c r="E29" s="135"/>
      <c r="F29" s="135"/>
      <c r="G29" s="173"/>
      <c r="H29" s="173"/>
      <c r="I29" s="173"/>
      <c r="J29" s="135"/>
      <c r="K29" s="135"/>
      <c r="L29" s="135"/>
      <c r="M29" s="135"/>
      <c r="N29" s="135"/>
      <c r="O29" s="135"/>
      <c r="P29" s="135"/>
      <c r="Q29" s="135"/>
      <c r="R29" s="135"/>
      <c r="S29" s="135"/>
      <c r="T29" s="135"/>
    </row>
    <row r="30" spans="1:20">
      <c r="A30" s="135"/>
      <c r="B30" s="135"/>
      <c r="C30" s="135"/>
      <c r="D30" s="135"/>
      <c r="E30" s="135"/>
      <c r="F30" s="135"/>
      <c r="G30" s="173"/>
      <c r="H30" s="173"/>
      <c r="I30" s="173"/>
      <c r="J30" s="135"/>
      <c r="K30" s="135"/>
      <c r="L30" s="135"/>
      <c r="M30" s="135"/>
      <c r="N30" s="135"/>
      <c r="O30" s="135"/>
      <c r="P30" s="135"/>
      <c r="Q30" s="135"/>
      <c r="R30" s="135"/>
      <c r="S30" s="135"/>
      <c r="T30" s="135"/>
    </row>
    <row r="31" spans="1:20">
      <c r="A31" s="135"/>
      <c r="B31" s="135"/>
      <c r="C31" s="135"/>
      <c r="D31" s="135"/>
      <c r="E31" s="135"/>
      <c r="F31" s="135"/>
      <c r="G31" s="173"/>
      <c r="H31" s="173"/>
      <c r="I31" s="173"/>
      <c r="J31" s="135"/>
      <c r="K31" s="135"/>
      <c r="L31" s="135"/>
      <c r="M31" s="135"/>
      <c r="N31" s="135"/>
      <c r="O31" s="135"/>
      <c r="P31" s="135"/>
      <c r="Q31" s="135"/>
      <c r="R31" s="135"/>
      <c r="S31" s="135"/>
      <c r="T31" s="135"/>
    </row>
    <row r="32" spans="1:20">
      <c r="A32" s="135"/>
      <c r="B32" s="135"/>
      <c r="C32" s="135"/>
      <c r="D32" s="135"/>
      <c r="E32" s="135"/>
      <c r="F32" s="135"/>
      <c r="G32" s="173"/>
      <c r="H32" s="173"/>
      <c r="I32" s="173"/>
      <c r="J32" s="135"/>
      <c r="K32" s="135"/>
      <c r="L32" s="135"/>
      <c r="M32" s="135"/>
      <c r="N32" s="135"/>
      <c r="O32" s="135"/>
      <c r="P32" s="135"/>
      <c r="Q32" s="135"/>
      <c r="R32" s="135"/>
      <c r="S32" s="135"/>
      <c r="T32" s="135"/>
    </row>
    <row r="33" spans="1:20">
      <c r="A33" s="135"/>
      <c r="B33" s="135"/>
      <c r="C33" s="135"/>
      <c r="D33" s="135"/>
      <c r="E33" s="135"/>
      <c r="F33" s="135"/>
      <c r="G33" s="173"/>
      <c r="H33" s="173"/>
      <c r="I33" s="173"/>
      <c r="J33" s="135"/>
      <c r="K33" s="135"/>
      <c r="L33" s="135"/>
      <c r="M33" s="135"/>
      <c r="N33" s="135"/>
      <c r="O33" s="135"/>
      <c r="P33" s="135"/>
      <c r="Q33" s="135"/>
      <c r="R33" s="135"/>
      <c r="S33" s="135"/>
      <c r="T33" s="135"/>
    </row>
    <row r="34" spans="1:20">
      <c r="A34" s="135"/>
      <c r="B34" s="135"/>
      <c r="C34" s="135"/>
      <c r="D34" s="135"/>
      <c r="E34" s="135"/>
      <c r="F34" s="135"/>
      <c r="G34" s="173"/>
      <c r="H34" s="173"/>
      <c r="I34" s="173"/>
      <c r="J34" s="135"/>
      <c r="K34" s="135"/>
      <c r="L34" s="135"/>
      <c r="M34" s="135"/>
      <c r="N34" s="135"/>
      <c r="O34" s="135"/>
      <c r="P34" s="135"/>
      <c r="Q34" s="135"/>
      <c r="R34" s="135"/>
      <c r="S34" s="135"/>
      <c r="T34" s="135"/>
    </row>
    <row r="35" spans="1:20">
      <c r="A35" s="135"/>
      <c r="B35" s="135"/>
      <c r="C35" s="135"/>
      <c r="D35" s="135"/>
      <c r="E35" s="135"/>
      <c r="F35" s="135"/>
      <c r="G35" s="173"/>
      <c r="H35" s="173"/>
      <c r="I35" s="173"/>
      <c r="J35" s="135"/>
      <c r="K35" s="135"/>
      <c r="L35" s="135"/>
      <c r="M35" s="135"/>
      <c r="N35" s="135"/>
      <c r="O35" s="135"/>
      <c r="P35" s="135"/>
      <c r="Q35" s="135"/>
      <c r="R35" s="135"/>
      <c r="S35" s="135"/>
      <c r="T35" s="135"/>
    </row>
    <row r="36" spans="1:20">
      <c r="A36" s="135"/>
      <c r="B36" s="135"/>
      <c r="C36" s="135"/>
      <c r="D36" s="135"/>
      <c r="E36" s="135"/>
      <c r="F36" s="135"/>
      <c r="G36" s="135"/>
      <c r="H36" s="135"/>
      <c r="I36" s="135"/>
      <c r="J36" s="135"/>
      <c r="K36" s="135"/>
      <c r="L36" s="135"/>
      <c r="M36" s="135"/>
      <c r="N36" s="135"/>
      <c r="O36" s="135"/>
      <c r="P36" s="135"/>
      <c r="Q36" s="135"/>
      <c r="R36" s="135"/>
      <c r="S36" s="135"/>
      <c r="T36" s="135"/>
    </row>
    <row r="37" spans="1:20">
      <c r="A37" s="135"/>
      <c r="B37" s="135"/>
      <c r="C37" s="135"/>
      <c r="D37" s="135"/>
      <c r="E37" s="135"/>
      <c r="F37" s="135"/>
      <c r="G37" s="135"/>
      <c r="H37" s="135"/>
      <c r="I37" s="135"/>
      <c r="J37" s="135"/>
      <c r="K37" s="135"/>
      <c r="L37" s="135"/>
      <c r="M37" s="135"/>
      <c r="N37" s="135"/>
      <c r="O37" s="135"/>
      <c r="P37" s="135"/>
      <c r="Q37" s="135"/>
      <c r="R37" s="135"/>
      <c r="S37" s="135"/>
      <c r="T37" s="135"/>
    </row>
    <row r="38" spans="1:20">
      <c r="A38" s="135"/>
      <c r="B38" s="135"/>
      <c r="C38" s="135"/>
      <c r="D38" s="135"/>
      <c r="E38" s="135"/>
      <c r="F38" s="135"/>
      <c r="G38" s="135"/>
      <c r="H38" s="135"/>
      <c r="I38" s="135"/>
      <c r="J38" s="135"/>
      <c r="K38" s="135"/>
      <c r="L38" s="135"/>
      <c r="M38" s="135"/>
      <c r="N38" s="135"/>
      <c r="O38" s="135"/>
      <c r="P38" s="135"/>
      <c r="Q38" s="135"/>
      <c r="R38" s="135"/>
      <c r="S38" s="135"/>
      <c r="T38" s="135"/>
    </row>
    <row r="39" spans="1:20">
      <c r="A39" s="135"/>
      <c r="B39" s="135"/>
      <c r="C39" s="135"/>
      <c r="D39" s="135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  <c r="S39" s="135"/>
      <c r="T39" s="135"/>
    </row>
    <row r="40" spans="1:20">
      <c r="A40" s="135"/>
      <c r="B40" s="135"/>
      <c r="C40" s="135"/>
      <c r="D40" s="135"/>
      <c r="E40" s="135"/>
      <c r="F40" s="135"/>
      <c r="G40" s="135"/>
      <c r="H40" s="135"/>
      <c r="I40" s="135"/>
      <c r="J40" s="135"/>
      <c r="K40" s="135"/>
      <c r="L40" s="135"/>
      <c r="M40" s="135"/>
      <c r="N40" s="135"/>
      <c r="O40" s="135"/>
      <c r="P40" s="135"/>
      <c r="Q40" s="135"/>
      <c r="R40" s="135"/>
      <c r="S40" s="135"/>
      <c r="T40" s="135"/>
    </row>
    <row r="41" spans="1:20">
      <c r="A41" s="135"/>
      <c r="B41" s="135"/>
      <c r="C41" s="135"/>
      <c r="D41" s="135"/>
      <c r="E41" s="135"/>
      <c r="F41" s="135"/>
      <c r="G41" s="135"/>
      <c r="H41" s="135"/>
      <c r="I41" s="135"/>
      <c r="J41" s="135"/>
      <c r="K41" s="135"/>
      <c r="L41" s="135"/>
      <c r="M41" s="135"/>
      <c r="N41" s="135"/>
      <c r="O41" s="135"/>
      <c r="P41" s="135"/>
      <c r="Q41" s="135"/>
      <c r="R41" s="135"/>
      <c r="S41" s="135"/>
      <c r="T41" s="135"/>
    </row>
    <row r="42" spans="1:20">
      <c r="A42" s="135"/>
      <c r="B42" s="135"/>
      <c r="C42" s="135"/>
      <c r="D42" s="135"/>
      <c r="E42" s="135"/>
      <c r="F42" s="135"/>
      <c r="G42" s="135"/>
      <c r="H42" s="135"/>
      <c r="I42" s="135"/>
      <c r="J42" s="135"/>
      <c r="K42" s="135"/>
      <c r="L42" s="135"/>
      <c r="M42" s="135"/>
      <c r="N42" s="135"/>
      <c r="O42" s="135"/>
      <c r="P42" s="135"/>
      <c r="Q42" s="135"/>
      <c r="R42" s="135"/>
      <c r="S42" s="135"/>
      <c r="T42" s="135"/>
    </row>
    <row r="43" spans="1:20">
      <c r="A43" s="135"/>
      <c r="B43" s="135"/>
      <c r="C43" s="135"/>
      <c r="D43" s="135"/>
      <c r="E43" s="135"/>
      <c r="F43" s="135"/>
      <c r="G43" s="135"/>
      <c r="H43" s="135"/>
      <c r="I43" s="135"/>
      <c r="J43" s="135"/>
      <c r="K43" s="135"/>
      <c r="L43" s="135"/>
      <c r="M43" s="135"/>
      <c r="N43" s="135"/>
      <c r="O43" s="135"/>
      <c r="P43" s="135"/>
      <c r="Q43" s="135"/>
      <c r="R43" s="135"/>
      <c r="S43" s="135"/>
      <c r="T43" s="135"/>
    </row>
    <row r="44" spans="1:20">
      <c r="A44" s="135"/>
      <c r="B44" s="135"/>
      <c r="C44" s="135"/>
      <c r="D44" s="135"/>
      <c r="E44" s="135"/>
      <c r="F44" s="135"/>
      <c r="G44" s="135"/>
      <c r="H44" s="135"/>
      <c r="I44" s="135"/>
      <c r="J44" s="135"/>
      <c r="K44" s="135"/>
      <c r="L44" s="135"/>
      <c r="M44" s="135"/>
      <c r="N44" s="135"/>
      <c r="O44" s="135"/>
      <c r="P44" s="135"/>
      <c r="Q44" s="135"/>
      <c r="R44" s="135"/>
      <c r="S44" s="135"/>
      <c r="T44" s="135"/>
    </row>
    <row r="45" spans="1:20">
      <c r="A45" s="135"/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</row>
    <row r="46" spans="1:20">
      <c r="A46" s="135"/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</row>
    <row r="47" spans="1:20">
      <c r="A47" s="135"/>
      <c r="B47" s="135"/>
      <c r="C47" s="135"/>
      <c r="D47" s="135"/>
      <c r="E47" s="135"/>
      <c r="F47" s="135"/>
      <c r="G47" s="135"/>
      <c r="H47" s="135"/>
      <c r="I47" s="135"/>
      <c r="J47" s="135"/>
      <c r="K47" s="135"/>
      <c r="L47" s="135"/>
      <c r="M47" s="135"/>
      <c r="N47" s="135"/>
      <c r="O47" s="135"/>
      <c r="P47" s="135"/>
      <c r="Q47" s="135"/>
      <c r="R47" s="135"/>
      <c r="S47" s="135"/>
      <c r="T47" s="135"/>
    </row>
    <row r="48" spans="1:20">
      <c r="A48" s="135"/>
      <c r="B48" s="135"/>
      <c r="C48" s="135"/>
      <c r="D48" s="135"/>
      <c r="E48" s="135"/>
      <c r="F48" s="135"/>
      <c r="G48" s="135"/>
      <c r="H48" s="135"/>
      <c r="I48" s="135"/>
      <c r="J48" s="135"/>
      <c r="K48" s="135"/>
      <c r="L48" s="135"/>
      <c r="M48" s="135"/>
      <c r="N48" s="135"/>
      <c r="O48" s="135"/>
      <c r="P48" s="135"/>
      <c r="Q48" s="135"/>
      <c r="R48" s="135"/>
      <c r="S48" s="135"/>
      <c r="T48" s="135"/>
    </row>
    <row r="49" spans="1:20">
      <c r="A49" s="135"/>
      <c r="B49" s="135"/>
      <c r="C49" s="135"/>
      <c r="D49" s="135"/>
      <c r="E49" s="135"/>
      <c r="F49" s="135"/>
      <c r="G49" s="135"/>
      <c r="H49" s="135"/>
      <c r="I49" s="135"/>
      <c r="J49" s="135"/>
      <c r="K49" s="135"/>
      <c r="L49" s="135"/>
      <c r="M49" s="135"/>
      <c r="N49" s="135"/>
      <c r="O49" s="135"/>
      <c r="P49" s="135"/>
      <c r="Q49" s="135"/>
      <c r="R49" s="135"/>
      <c r="S49" s="135"/>
      <c r="T49" s="135"/>
    </row>
    <row r="50" spans="1:20">
      <c r="A50" s="135"/>
      <c r="B50" s="135"/>
      <c r="C50" s="135"/>
      <c r="D50" s="135"/>
      <c r="E50" s="135"/>
      <c r="F50" s="135"/>
      <c r="G50" s="135"/>
      <c r="H50" s="135"/>
      <c r="I50" s="135"/>
      <c r="J50" s="135"/>
      <c r="K50" s="135"/>
      <c r="L50" s="135"/>
      <c r="M50" s="135"/>
      <c r="N50" s="135"/>
      <c r="O50" s="135"/>
      <c r="P50" s="135"/>
      <c r="Q50" s="135"/>
      <c r="R50" s="135"/>
      <c r="S50" s="135"/>
      <c r="T50" s="135"/>
    </row>
    <row r="51" spans="1:20">
      <c r="A51" s="135"/>
      <c r="B51" s="135"/>
      <c r="C51" s="135"/>
      <c r="D51" s="135"/>
      <c r="E51" s="135"/>
      <c r="F51" s="135"/>
      <c r="G51" s="135"/>
      <c r="H51" s="135"/>
      <c r="I51" s="135"/>
      <c r="J51" s="135"/>
      <c r="K51" s="135"/>
      <c r="L51" s="135"/>
      <c r="M51" s="135"/>
      <c r="N51" s="135"/>
      <c r="O51" s="135"/>
      <c r="P51" s="135"/>
      <c r="Q51" s="135"/>
      <c r="R51" s="135"/>
      <c r="S51" s="135"/>
      <c r="T51" s="135"/>
    </row>
    <row r="52" spans="1:20">
      <c r="A52" s="135"/>
      <c r="B52" s="135"/>
      <c r="C52" s="135"/>
      <c r="D52" s="135"/>
      <c r="E52" s="135"/>
      <c r="F52" s="135"/>
      <c r="G52" s="135"/>
      <c r="H52" s="135"/>
      <c r="I52" s="135"/>
      <c r="J52" s="135"/>
      <c r="K52" s="135"/>
      <c r="L52" s="135"/>
      <c r="M52" s="135"/>
      <c r="N52" s="135"/>
      <c r="O52" s="135"/>
      <c r="P52" s="135"/>
      <c r="Q52" s="135"/>
      <c r="R52" s="135"/>
      <c r="S52" s="135"/>
      <c r="T52" s="135"/>
    </row>
    <row r="53" spans="1:20">
      <c r="A53" s="135"/>
      <c r="B53" s="135"/>
      <c r="C53" s="135"/>
      <c r="D53" s="135"/>
      <c r="E53" s="135"/>
      <c r="F53" s="135"/>
      <c r="G53" s="135"/>
      <c r="H53" s="135"/>
      <c r="I53" s="135"/>
      <c r="J53" s="135"/>
      <c r="K53" s="135"/>
      <c r="L53" s="135"/>
      <c r="M53" s="135"/>
      <c r="N53" s="135"/>
      <c r="O53" s="135"/>
      <c r="P53" s="135"/>
      <c r="Q53" s="135"/>
      <c r="R53" s="135"/>
      <c r="S53" s="135"/>
      <c r="T53" s="135"/>
    </row>
    <row r="54" spans="1:20">
      <c r="A54" s="135"/>
      <c r="B54" s="135"/>
      <c r="C54" s="135"/>
      <c r="D54" s="135"/>
      <c r="E54" s="135"/>
      <c r="F54" s="135"/>
      <c r="G54" s="135"/>
      <c r="H54" s="135"/>
      <c r="I54" s="135"/>
      <c r="J54" s="135"/>
      <c r="K54" s="135"/>
      <c r="L54" s="135"/>
      <c r="M54" s="135"/>
      <c r="N54" s="135"/>
      <c r="O54" s="135"/>
      <c r="P54" s="135"/>
      <c r="Q54" s="135"/>
      <c r="R54" s="135"/>
      <c r="S54" s="135"/>
      <c r="T54" s="135"/>
    </row>
    <row r="55" spans="1:20">
      <c r="A55" s="135"/>
      <c r="B55" s="135"/>
      <c r="C55" s="135"/>
      <c r="D55" s="135"/>
      <c r="E55" s="135"/>
      <c r="F55" s="135"/>
      <c r="G55" s="135"/>
      <c r="H55" s="135"/>
      <c r="I55" s="135"/>
      <c r="J55" s="135"/>
      <c r="K55" s="135"/>
      <c r="L55" s="135"/>
      <c r="M55" s="135"/>
      <c r="N55" s="135"/>
      <c r="O55" s="135"/>
      <c r="P55" s="135"/>
      <c r="Q55" s="135"/>
      <c r="R55" s="135"/>
      <c r="S55" s="135"/>
      <c r="T55" s="135"/>
    </row>
    <row r="56" spans="1:20">
      <c r="A56" s="135"/>
      <c r="B56" s="135"/>
      <c r="C56" s="135"/>
      <c r="D56" s="135"/>
      <c r="E56" s="135"/>
      <c r="F56" s="135"/>
      <c r="G56" s="135"/>
      <c r="H56" s="135"/>
      <c r="I56" s="135"/>
      <c r="J56" s="135"/>
      <c r="K56" s="135"/>
      <c r="L56" s="135"/>
      <c r="M56" s="135"/>
      <c r="N56" s="135"/>
      <c r="O56" s="135"/>
      <c r="P56" s="135"/>
      <c r="Q56" s="135"/>
      <c r="R56" s="135"/>
      <c r="S56" s="135"/>
      <c r="T56" s="135"/>
    </row>
    <row r="57" spans="1:20">
      <c r="A57" s="135"/>
      <c r="B57" s="135"/>
      <c r="C57" s="135"/>
      <c r="D57" s="135"/>
      <c r="E57" s="135"/>
      <c r="F57" s="135"/>
      <c r="G57" s="135"/>
      <c r="H57" s="135"/>
      <c r="I57" s="135"/>
      <c r="J57" s="135"/>
      <c r="K57" s="135"/>
      <c r="L57" s="135"/>
      <c r="M57" s="135"/>
      <c r="N57" s="135"/>
      <c r="O57" s="135"/>
      <c r="P57" s="135"/>
      <c r="Q57" s="135"/>
      <c r="R57" s="135"/>
      <c r="S57" s="135"/>
      <c r="T57" s="135"/>
    </row>
    <row r="58" spans="1:20">
      <c r="A58" s="135"/>
      <c r="B58" s="135"/>
      <c r="C58" s="135"/>
      <c r="D58" s="135"/>
      <c r="E58" s="135"/>
      <c r="F58" s="135"/>
      <c r="G58" s="135"/>
      <c r="H58" s="135"/>
      <c r="I58" s="135"/>
      <c r="J58" s="135"/>
      <c r="K58" s="135"/>
      <c r="L58" s="135"/>
      <c r="M58" s="135"/>
      <c r="N58" s="135"/>
      <c r="O58" s="135"/>
      <c r="P58" s="135"/>
      <c r="Q58" s="135"/>
      <c r="R58" s="135"/>
      <c r="S58" s="135"/>
      <c r="T58" s="135"/>
    </row>
    <row r="59" spans="1:20">
      <c r="A59" s="135"/>
      <c r="B59" s="135"/>
      <c r="C59" s="135"/>
      <c r="D59" s="135"/>
      <c r="E59" s="135"/>
      <c r="F59" s="135"/>
      <c r="G59" s="135"/>
      <c r="H59" s="135"/>
      <c r="I59" s="135"/>
      <c r="J59" s="135"/>
      <c r="K59" s="135"/>
      <c r="L59" s="135"/>
      <c r="M59" s="135"/>
      <c r="N59" s="135"/>
      <c r="O59" s="135"/>
      <c r="P59" s="135"/>
      <c r="Q59" s="135"/>
      <c r="R59" s="135"/>
      <c r="S59" s="135"/>
      <c r="T59" s="135"/>
    </row>
    <row r="60" spans="1:20">
      <c r="A60" s="135"/>
      <c r="B60" s="135"/>
      <c r="C60" s="135"/>
      <c r="D60" s="135"/>
      <c r="E60" s="135"/>
      <c r="F60" s="135"/>
      <c r="G60" s="135"/>
      <c r="H60" s="135"/>
      <c r="I60" s="135"/>
      <c r="J60" s="135"/>
      <c r="K60" s="135"/>
      <c r="L60" s="135"/>
      <c r="M60" s="135"/>
      <c r="N60" s="135"/>
      <c r="O60" s="135"/>
      <c r="P60" s="135"/>
      <c r="Q60" s="135"/>
      <c r="R60" s="135"/>
      <c r="S60" s="135"/>
      <c r="T60" s="135"/>
    </row>
    <row r="61" spans="1:20">
      <c r="A61" s="135"/>
      <c r="B61" s="135"/>
      <c r="C61" s="135"/>
      <c r="D61" s="135"/>
      <c r="E61" s="135"/>
      <c r="F61" s="135"/>
      <c r="G61" s="135"/>
      <c r="H61" s="135"/>
      <c r="I61" s="135"/>
      <c r="J61" s="135"/>
      <c r="K61" s="135"/>
      <c r="L61" s="135"/>
      <c r="M61" s="135"/>
      <c r="N61" s="135"/>
      <c r="O61" s="135"/>
      <c r="P61" s="135"/>
      <c r="Q61" s="135"/>
      <c r="R61" s="135"/>
      <c r="S61" s="135"/>
      <c r="T61" s="135"/>
    </row>
    <row r="62" spans="1:20">
      <c r="A62" s="135"/>
      <c r="B62" s="135"/>
      <c r="C62" s="135"/>
      <c r="D62" s="135"/>
      <c r="E62" s="135"/>
      <c r="F62" s="135"/>
      <c r="G62" s="135"/>
      <c r="H62" s="135"/>
      <c r="I62" s="135"/>
      <c r="J62" s="135"/>
      <c r="K62" s="135"/>
      <c r="L62" s="135"/>
      <c r="M62" s="135"/>
      <c r="N62" s="135"/>
      <c r="O62" s="135"/>
      <c r="P62" s="135"/>
      <c r="Q62" s="135"/>
      <c r="R62" s="135"/>
      <c r="S62" s="135"/>
      <c r="T62" s="135"/>
    </row>
    <row r="63" spans="1:20">
      <c r="A63" s="135"/>
      <c r="B63" s="135"/>
      <c r="C63" s="135"/>
      <c r="D63" s="135"/>
      <c r="E63" s="135"/>
      <c r="F63" s="135"/>
      <c r="G63" s="135"/>
      <c r="H63" s="135"/>
      <c r="I63" s="135"/>
      <c r="J63" s="135"/>
      <c r="K63" s="135"/>
      <c r="L63" s="135"/>
      <c r="M63" s="135"/>
      <c r="N63" s="135"/>
      <c r="O63" s="135"/>
      <c r="P63" s="135"/>
      <c r="Q63" s="135"/>
      <c r="R63" s="135"/>
      <c r="S63" s="135"/>
      <c r="T63" s="135"/>
    </row>
    <row r="64" spans="1:20">
      <c r="A64" s="135"/>
      <c r="B64" s="135"/>
      <c r="C64" s="135"/>
      <c r="D64" s="135"/>
      <c r="E64" s="135"/>
      <c r="F64" s="135"/>
      <c r="G64" s="135"/>
      <c r="H64" s="135"/>
      <c r="I64" s="135"/>
      <c r="J64" s="135"/>
      <c r="K64" s="135"/>
      <c r="L64" s="135"/>
      <c r="M64" s="135"/>
      <c r="N64" s="135"/>
      <c r="O64" s="135"/>
      <c r="P64" s="135"/>
      <c r="Q64" s="135"/>
      <c r="R64" s="135"/>
      <c r="S64" s="135"/>
      <c r="T64" s="135"/>
    </row>
    <row r="65" spans="1:20">
      <c r="A65" s="135"/>
      <c r="B65" s="135"/>
      <c r="C65" s="135"/>
      <c r="D65" s="135"/>
      <c r="E65" s="135"/>
      <c r="F65" s="135"/>
      <c r="G65" s="135"/>
      <c r="H65" s="135"/>
      <c r="I65" s="135"/>
      <c r="J65" s="135"/>
      <c r="K65" s="135"/>
      <c r="L65" s="135"/>
      <c r="M65" s="135"/>
      <c r="N65" s="135"/>
      <c r="O65" s="135"/>
      <c r="P65" s="135"/>
      <c r="Q65" s="135"/>
      <c r="R65" s="135"/>
      <c r="S65" s="135"/>
      <c r="T65" s="135"/>
    </row>
    <row r="66" spans="1:20">
      <c r="A66" s="135"/>
      <c r="B66" s="135"/>
      <c r="C66" s="135"/>
      <c r="D66" s="135"/>
      <c r="E66" s="135"/>
      <c r="F66" s="135"/>
      <c r="G66" s="135"/>
      <c r="H66" s="135"/>
      <c r="I66" s="135"/>
      <c r="J66" s="135"/>
      <c r="K66" s="135"/>
      <c r="L66" s="135"/>
      <c r="M66" s="135"/>
      <c r="N66" s="135"/>
      <c r="O66" s="135"/>
      <c r="P66" s="135"/>
      <c r="Q66" s="135"/>
      <c r="R66" s="135"/>
      <c r="S66" s="135"/>
      <c r="T66" s="135"/>
    </row>
    <row r="67" spans="1:20">
      <c r="A67" s="135"/>
      <c r="B67" s="135"/>
      <c r="C67" s="135"/>
      <c r="D67" s="135"/>
      <c r="E67" s="135"/>
      <c r="F67" s="135"/>
      <c r="G67" s="135"/>
      <c r="H67" s="135"/>
      <c r="I67" s="135"/>
      <c r="J67" s="135"/>
      <c r="K67" s="135"/>
      <c r="L67" s="135"/>
      <c r="M67" s="135"/>
      <c r="N67" s="135"/>
      <c r="O67" s="135"/>
      <c r="P67" s="135"/>
      <c r="Q67" s="135"/>
      <c r="R67" s="135"/>
      <c r="S67" s="135"/>
      <c r="T67" s="135"/>
    </row>
    <row r="68" spans="1:20">
      <c r="A68" s="135"/>
      <c r="B68" s="135"/>
      <c r="C68" s="135"/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</row>
    <row r="69" spans="1:20">
      <c r="A69" s="135"/>
      <c r="B69" s="135"/>
      <c r="C69" s="135"/>
      <c r="D69" s="135"/>
      <c r="E69" s="135"/>
      <c r="F69" s="135"/>
      <c r="G69" s="135"/>
      <c r="H69" s="135"/>
      <c r="I69" s="135"/>
      <c r="J69" s="135"/>
      <c r="K69" s="135"/>
      <c r="L69" s="135"/>
      <c r="M69" s="135"/>
      <c r="N69" s="135"/>
      <c r="O69" s="135"/>
      <c r="P69" s="135"/>
      <c r="Q69" s="135"/>
      <c r="R69" s="135"/>
      <c r="S69" s="135"/>
      <c r="T69" s="135"/>
    </row>
    <row r="70" spans="1:20">
      <c r="A70" s="135"/>
      <c r="B70" s="135"/>
      <c r="C70" s="135"/>
      <c r="D70" s="135"/>
      <c r="E70" s="135"/>
      <c r="F70" s="135"/>
      <c r="G70" s="135"/>
      <c r="H70" s="135"/>
      <c r="I70" s="135"/>
      <c r="J70" s="135"/>
      <c r="K70" s="135"/>
      <c r="L70" s="135"/>
      <c r="M70" s="135"/>
      <c r="N70" s="135"/>
      <c r="O70" s="135"/>
      <c r="P70" s="135"/>
      <c r="Q70" s="135"/>
      <c r="R70" s="135"/>
      <c r="S70" s="135"/>
      <c r="T70" s="135"/>
    </row>
    <row r="71" spans="1:20">
      <c r="A71" s="135"/>
      <c r="B71" s="135"/>
      <c r="C71" s="135"/>
      <c r="D71" s="135"/>
      <c r="E71" s="135"/>
      <c r="F71" s="135"/>
      <c r="G71" s="135"/>
      <c r="H71" s="135"/>
      <c r="I71" s="135"/>
      <c r="J71" s="135"/>
      <c r="K71" s="135"/>
      <c r="L71" s="135"/>
      <c r="M71" s="135"/>
      <c r="N71" s="135"/>
      <c r="O71" s="135"/>
      <c r="P71" s="135"/>
      <c r="Q71" s="135"/>
      <c r="R71" s="135"/>
      <c r="S71" s="135"/>
      <c r="T71" s="135"/>
    </row>
    <row r="72" spans="1:20">
      <c r="A72" s="135"/>
      <c r="B72" s="135"/>
      <c r="C72" s="135"/>
      <c r="D72" s="135"/>
      <c r="E72" s="135"/>
      <c r="F72" s="135"/>
      <c r="G72" s="135"/>
      <c r="H72" s="135"/>
      <c r="I72" s="135"/>
      <c r="J72" s="135"/>
      <c r="K72" s="135"/>
      <c r="L72" s="135"/>
      <c r="M72" s="135"/>
      <c r="N72" s="135"/>
      <c r="O72" s="135"/>
      <c r="P72" s="135"/>
      <c r="Q72" s="135"/>
      <c r="R72" s="135"/>
      <c r="S72" s="135"/>
      <c r="T72" s="135"/>
    </row>
    <row r="73" spans="1:20">
      <c r="A73" s="135"/>
      <c r="B73" s="135"/>
      <c r="C73" s="135"/>
      <c r="D73" s="135"/>
      <c r="E73" s="135"/>
      <c r="F73" s="135"/>
      <c r="G73" s="135"/>
      <c r="H73" s="135"/>
      <c r="I73" s="135"/>
      <c r="J73" s="135"/>
      <c r="K73" s="135"/>
      <c r="L73" s="135"/>
      <c r="M73" s="135"/>
      <c r="N73" s="135"/>
      <c r="O73" s="135"/>
      <c r="P73" s="135"/>
      <c r="Q73" s="135"/>
      <c r="R73" s="135"/>
      <c r="S73" s="135"/>
      <c r="T73" s="135"/>
    </row>
    <row r="74" spans="1:20">
      <c r="A74" s="135"/>
      <c r="B74" s="135"/>
      <c r="C74" s="135"/>
      <c r="D74" s="135"/>
      <c r="E74" s="135"/>
      <c r="F74" s="135"/>
      <c r="G74" s="135"/>
      <c r="H74" s="135"/>
      <c r="I74" s="135"/>
      <c r="J74" s="135"/>
      <c r="K74" s="135"/>
      <c r="L74" s="135"/>
      <c r="M74" s="135"/>
      <c r="N74" s="135"/>
      <c r="O74" s="135"/>
      <c r="P74" s="135"/>
      <c r="Q74" s="135"/>
      <c r="R74" s="135"/>
      <c r="S74" s="135"/>
      <c r="T74" s="135"/>
    </row>
    <row r="75" spans="1:20">
      <c r="A75" s="135"/>
      <c r="B75" s="135"/>
      <c r="C75" s="135"/>
      <c r="D75" s="135"/>
      <c r="E75" s="135"/>
      <c r="F75" s="135"/>
      <c r="G75" s="135"/>
      <c r="H75" s="135"/>
      <c r="I75" s="135"/>
      <c r="J75" s="135"/>
      <c r="K75" s="135"/>
      <c r="L75" s="135"/>
      <c r="M75" s="135"/>
      <c r="N75" s="135"/>
      <c r="O75" s="135"/>
      <c r="P75" s="135"/>
      <c r="Q75" s="135"/>
      <c r="R75" s="135"/>
      <c r="S75" s="135"/>
      <c r="T75" s="135"/>
    </row>
    <row r="76" spans="1:20">
      <c r="A76" s="135"/>
      <c r="B76" s="135"/>
      <c r="C76" s="135"/>
      <c r="D76" s="135"/>
      <c r="E76" s="135"/>
      <c r="F76" s="135"/>
      <c r="G76" s="135"/>
      <c r="H76" s="135"/>
      <c r="I76" s="135"/>
      <c r="J76" s="135"/>
      <c r="K76" s="135"/>
      <c r="L76" s="135"/>
      <c r="M76" s="135"/>
      <c r="N76" s="135"/>
      <c r="O76" s="135"/>
      <c r="P76" s="135"/>
      <c r="Q76" s="135"/>
      <c r="R76" s="135"/>
      <c r="S76" s="135"/>
      <c r="T76" s="135"/>
    </row>
    <row r="77" spans="1:20">
      <c r="A77" s="135"/>
      <c r="B77" s="135"/>
      <c r="C77" s="135"/>
      <c r="D77" s="135"/>
      <c r="E77" s="135"/>
      <c r="F77" s="135"/>
      <c r="G77" s="135"/>
      <c r="H77" s="135"/>
      <c r="I77" s="135"/>
      <c r="J77" s="135"/>
      <c r="K77" s="135"/>
      <c r="L77" s="135"/>
      <c r="M77" s="135"/>
      <c r="N77" s="135"/>
      <c r="O77" s="135"/>
      <c r="P77" s="135"/>
      <c r="Q77" s="135"/>
      <c r="R77" s="135"/>
      <c r="S77" s="135"/>
      <c r="T77" s="135"/>
    </row>
    <row r="78" spans="1:20">
      <c r="A78" s="135"/>
      <c r="B78" s="135"/>
      <c r="C78" s="135"/>
      <c r="D78" s="135"/>
      <c r="E78" s="135"/>
      <c r="F78" s="135"/>
      <c r="G78" s="135"/>
      <c r="H78" s="135"/>
      <c r="I78" s="135"/>
      <c r="J78" s="135"/>
      <c r="K78" s="135"/>
      <c r="L78" s="135"/>
      <c r="M78" s="135"/>
      <c r="N78" s="135"/>
      <c r="O78" s="135"/>
      <c r="P78" s="135"/>
      <c r="Q78" s="135"/>
      <c r="R78" s="135"/>
      <c r="S78" s="135"/>
      <c r="T78" s="135"/>
    </row>
    <row r="79" spans="1:20">
      <c r="A79" s="135"/>
      <c r="B79" s="135"/>
      <c r="C79" s="135"/>
      <c r="D79" s="135"/>
      <c r="E79" s="135"/>
      <c r="F79" s="135"/>
      <c r="G79" s="135"/>
      <c r="H79" s="135"/>
      <c r="I79" s="135"/>
      <c r="J79" s="135"/>
      <c r="K79" s="135"/>
      <c r="L79" s="135"/>
      <c r="M79" s="135"/>
      <c r="N79" s="135"/>
      <c r="O79" s="135"/>
      <c r="P79" s="135"/>
      <c r="Q79" s="135"/>
      <c r="R79" s="135"/>
      <c r="S79" s="135"/>
      <c r="T79" s="135"/>
    </row>
    <row r="80" spans="1:20">
      <c r="A80" s="135"/>
      <c r="B80" s="135"/>
      <c r="C80" s="135"/>
      <c r="D80" s="135"/>
      <c r="E80" s="135"/>
      <c r="F80" s="135"/>
      <c r="G80" s="135"/>
      <c r="H80" s="135"/>
      <c r="I80" s="135"/>
      <c r="J80" s="135"/>
      <c r="K80" s="135"/>
      <c r="L80" s="135"/>
      <c r="M80" s="135"/>
      <c r="N80" s="135"/>
      <c r="O80" s="135"/>
      <c r="P80" s="135"/>
      <c r="Q80" s="135"/>
      <c r="R80" s="135"/>
      <c r="S80" s="135"/>
      <c r="T80" s="135"/>
    </row>
    <row r="81" spans="1:20">
      <c r="A81" s="135"/>
      <c r="B81" s="135"/>
      <c r="C81" s="135"/>
      <c r="D81" s="135"/>
      <c r="E81" s="135"/>
      <c r="F81" s="135"/>
      <c r="G81" s="135"/>
      <c r="H81" s="135"/>
      <c r="I81" s="135"/>
      <c r="J81" s="135"/>
      <c r="K81" s="135"/>
      <c r="L81" s="135"/>
      <c r="M81" s="135"/>
      <c r="N81" s="135"/>
      <c r="O81" s="135"/>
      <c r="P81" s="135"/>
      <c r="Q81" s="135"/>
      <c r="R81" s="135"/>
      <c r="S81" s="135"/>
      <c r="T81" s="135"/>
    </row>
    <row r="82" spans="1:20">
      <c r="A82" s="135"/>
      <c r="B82" s="135"/>
      <c r="C82" s="135"/>
      <c r="D82" s="135"/>
      <c r="E82" s="135"/>
      <c r="F82" s="135"/>
      <c r="G82" s="135"/>
      <c r="H82" s="135"/>
      <c r="I82" s="135"/>
      <c r="J82" s="135"/>
      <c r="K82" s="135"/>
      <c r="L82" s="135"/>
      <c r="M82" s="135"/>
      <c r="N82" s="135"/>
      <c r="O82" s="135"/>
      <c r="P82" s="135"/>
      <c r="Q82" s="135"/>
      <c r="R82" s="135"/>
      <c r="S82" s="135"/>
      <c r="T82" s="135"/>
    </row>
    <row r="83" spans="1:20">
      <c r="A83" s="135"/>
      <c r="B83" s="135"/>
      <c r="C83" s="135"/>
      <c r="D83" s="135"/>
      <c r="E83" s="135"/>
      <c r="F83" s="135"/>
      <c r="G83" s="135"/>
      <c r="H83" s="135"/>
      <c r="I83" s="135"/>
      <c r="J83" s="135"/>
      <c r="K83" s="135"/>
      <c r="L83" s="135"/>
      <c r="M83" s="135"/>
      <c r="N83" s="135"/>
      <c r="O83" s="135"/>
      <c r="P83" s="135"/>
      <c r="Q83" s="135"/>
      <c r="R83" s="135"/>
      <c r="S83" s="135"/>
      <c r="T83" s="135"/>
    </row>
    <row r="84" spans="1:20">
      <c r="A84" s="135"/>
      <c r="B84" s="135"/>
      <c r="C84" s="135"/>
      <c r="D84" s="135"/>
      <c r="E84" s="135"/>
      <c r="F84" s="135"/>
      <c r="G84" s="135"/>
      <c r="H84" s="135"/>
      <c r="I84" s="135"/>
      <c r="J84" s="135"/>
      <c r="K84" s="135"/>
      <c r="L84" s="135"/>
      <c r="M84" s="135"/>
      <c r="N84" s="135"/>
      <c r="O84" s="135"/>
      <c r="P84" s="135"/>
      <c r="Q84" s="135"/>
      <c r="R84" s="135"/>
      <c r="S84" s="135"/>
      <c r="T84" s="135"/>
    </row>
    <row r="85" spans="1:20">
      <c r="A85" s="135"/>
      <c r="B85" s="135"/>
      <c r="C85" s="135"/>
      <c r="D85" s="135"/>
      <c r="E85" s="135"/>
      <c r="F85" s="135"/>
      <c r="G85" s="135"/>
      <c r="H85" s="135"/>
      <c r="I85" s="135"/>
      <c r="J85" s="135"/>
      <c r="K85" s="135"/>
      <c r="L85" s="135"/>
      <c r="M85" s="135"/>
      <c r="N85" s="135"/>
      <c r="O85" s="135"/>
      <c r="P85" s="135"/>
      <c r="Q85" s="135"/>
      <c r="R85" s="135"/>
      <c r="S85" s="135"/>
      <c r="T85" s="135"/>
    </row>
    <row r="86" spans="1:20">
      <c r="A86" s="135"/>
      <c r="B86" s="135"/>
      <c r="C86" s="135"/>
      <c r="D86" s="135"/>
      <c r="E86" s="135"/>
      <c r="F86" s="135"/>
      <c r="G86" s="135"/>
      <c r="H86" s="135"/>
      <c r="I86" s="135"/>
      <c r="J86" s="135"/>
      <c r="K86" s="135"/>
      <c r="L86" s="135"/>
      <c r="M86" s="135"/>
      <c r="N86" s="135"/>
      <c r="O86" s="135"/>
      <c r="P86" s="135"/>
      <c r="Q86" s="135"/>
      <c r="R86" s="135"/>
      <c r="S86" s="135"/>
      <c r="T86" s="135"/>
    </row>
    <row r="87" spans="1:20">
      <c r="A87" s="135"/>
      <c r="B87" s="135"/>
      <c r="C87" s="135"/>
      <c r="D87" s="135"/>
      <c r="E87" s="135"/>
      <c r="F87" s="135"/>
      <c r="G87" s="135"/>
      <c r="H87" s="135"/>
      <c r="I87" s="135"/>
      <c r="J87" s="135"/>
      <c r="K87" s="135"/>
      <c r="L87" s="135"/>
      <c r="M87" s="135"/>
      <c r="N87" s="135"/>
      <c r="O87" s="135"/>
      <c r="P87" s="135"/>
      <c r="Q87" s="135"/>
      <c r="R87" s="135"/>
      <c r="S87" s="135"/>
      <c r="T87" s="135"/>
    </row>
    <row r="88" spans="1:20">
      <c r="A88" s="135"/>
      <c r="B88" s="135"/>
      <c r="C88" s="135"/>
      <c r="D88" s="135"/>
      <c r="E88" s="135"/>
      <c r="F88" s="135"/>
      <c r="G88" s="135"/>
      <c r="H88" s="135"/>
      <c r="I88" s="135"/>
      <c r="J88" s="135"/>
      <c r="K88" s="135"/>
      <c r="L88" s="135"/>
      <c r="M88" s="135"/>
      <c r="N88" s="135"/>
      <c r="O88" s="135"/>
      <c r="P88" s="135"/>
      <c r="Q88" s="135"/>
      <c r="R88" s="135"/>
      <c r="S88" s="135"/>
      <c r="T88" s="135"/>
    </row>
    <row r="89" spans="1:20">
      <c r="A89" s="135"/>
      <c r="B89" s="135"/>
      <c r="C89" s="135"/>
      <c r="D89" s="135"/>
      <c r="E89" s="135"/>
      <c r="F89" s="135"/>
      <c r="G89" s="135"/>
      <c r="H89" s="135"/>
      <c r="I89" s="135"/>
      <c r="J89" s="135"/>
      <c r="K89" s="135"/>
      <c r="L89" s="135"/>
      <c r="M89" s="135"/>
      <c r="N89" s="135"/>
      <c r="O89" s="135"/>
      <c r="P89" s="135"/>
      <c r="Q89" s="135"/>
      <c r="R89" s="135"/>
      <c r="S89" s="135"/>
      <c r="T89" s="135"/>
    </row>
    <row r="90" spans="1:20">
      <c r="A90" s="135"/>
      <c r="B90" s="135"/>
      <c r="C90" s="135"/>
      <c r="D90" s="135"/>
      <c r="E90" s="135"/>
      <c r="F90" s="135"/>
      <c r="G90" s="135"/>
      <c r="H90" s="135"/>
      <c r="I90" s="135"/>
      <c r="J90" s="135"/>
      <c r="K90" s="135"/>
      <c r="L90" s="135"/>
      <c r="M90" s="135"/>
      <c r="N90" s="135"/>
      <c r="O90" s="135"/>
      <c r="P90" s="135"/>
      <c r="Q90" s="135"/>
      <c r="R90" s="135"/>
      <c r="S90" s="135"/>
      <c r="T90" s="135"/>
    </row>
    <row r="91" spans="1:20">
      <c r="A91" s="135"/>
      <c r="B91" s="135"/>
      <c r="C91" s="135"/>
      <c r="D91" s="135"/>
      <c r="E91" s="135"/>
      <c r="F91" s="135"/>
      <c r="G91" s="135"/>
      <c r="H91" s="135"/>
      <c r="I91" s="135"/>
      <c r="J91" s="135"/>
      <c r="K91" s="135"/>
      <c r="L91" s="135"/>
      <c r="M91" s="135"/>
      <c r="N91" s="135"/>
      <c r="O91" s="135"/>
      <c r="P91" s="135"/>
      <c r="Q91" s="135"/>
      <c r="R91" s="135"/>
      <c r="S91" s="135"/>
      <c r="T91" s="135"/>
    </row>
    <row r="92" spans="1:20">
      <c r="A92" s="135"/>
      <c r="B92" s="135"/>
      <c r="C92" s="135"/>
      <c r="D92" s="135"/>
      <c r="E92" s="135"/>
      <c r="F92" s="135"/>
      <c r="G92" s="135"/>
      <c r="H92" s="135"/>
      <c r="I92" s="135"/>
      <c r="J92" s="135"/>
      <c r="K92" s="135"/>
      <c r="L92" s="135"/>
      <c r="M92" s="135"/>
      <c r="N92" s="135"/>
      <c r="O92" s="135"/>
      <c r="P92" s="135"/>
      <c r="Q92" s="135"/>
      <c r="R92" s="135"/>
      <c r="S92" s="135"/>
      <c r="T92" s="135"/>
    </row>
    <row r="93" spans="1:20">
      <c r="A93" s="135"/>
      <c r="B93" s="135"/>
      <c r="C93" s="135"/>
      <c r="D93" s="135"/>
      <c r="E93" s="135"/>
      <c r="F93" s="135"/>
      <c r="G93" s="135"/>
      <c r="H93" s="135"/>
      <c r="I93" s="135"/>
      <c r="J93" s="135"/>
      <c r="K93" s="135"/>
      <c r="L93" s="135"/>
      <c r="M93" s="135"/>
      <c r="N93" s="135"/>
      <c r="O93" s="135"/>
      <c r="P93" s="135"/>
      <c r="Q93" s="135"/>
      <c r="R93" s="135"/>
      <c r="S93" s="135"/>
      <c r="T93" s="135"/>
    </row>
    <row r="94" spans="1:20">
      <c r="A94" s="135"/>
      <c r="B94" s="135"/>
      <c r="C94" s="135"/>
      <c r="D94" s="135"/>
      <c r="E94" s="135"/>
      <c r="F94" s="135"/>
      <c r="G94" s="135"/>
      <c r="H94" s="135"/>
      <c r="I94" s="135"/>
      <c r="J94" s="135"/>
      <c r="K94" s="135"/>
      <c r="L94" s="135"/>
      <c r="M94" s="135"/>
      <c r="N94" s="135"/>
      <c r="O94" s="135"/>
      <c r="P94" s="135"/>
      <c r="Q94" s="135"/>
      <c r="R94" s="135"/>
      <c r="S94" s="135"/>
      <c r="T94" s="135"/>
    </row>
    <row r="95" spans="1:20">
      <c r="A95" s="135"/>
      <c r="B95" s="135"/>
      <c r="C95" s="135"/>
      <c r="D95" s="135"/>
      <c r="E95" s="135"/>
      <c r="F95" s="135"/>
      <c r="G95" s="135"/>
      <c r="H95" s="135"/>
      <c r="I95" s="135"/>
      <c r="J95" s="135"/>
      <c r="K95" s="135"/>
      <c r="L95" s="135"/>
      <c r="M95" s="135"/>
      <c r="N95" s="135"/>
      <c r="O95" s="135"/>
      <c r="P95" s="135"/>
      <c r="Q95" s="135"/>
      <c r="R95" s="135"/>
      <c r="S95" s="135"/>
      <c r="T95" s="135"/>
    </row>
    <row r="96" spans="1:20">
      <c r="A96" s="135"/>
      <c r="B96" s="135"/>
      <c r="C96" s="135"/>
      <c r="D96" s="135"/>
      <c r="E96" s="135"/>
      <c r="F96" s="135"/>
      <c r="G96" s="135"/>
      <c r="H96" s="135"/>
      <c r="I96" s="135"/>
      <c r="J96" s="135"/>
      <c r="K96" s="135"/>
      <c r="L96" s="135"/>
      <c r="M96" s="135"/>
      <c r="N96" s="135"/>
      <c r="O96" s="135"/>
      <c r="P96" s="135"/>
      <c r="Q96" s="135"/>
      <c r="R96" s="135"/>
      <c r="S96" s="135"/>
      <c r="T96" s="135"/>
    </row>
    <row r="97" spans="1:20">
      <c r="A97" s="135"/>
      <c r="B97" s="135"/>
      <c r="C97" s="135"/>
      <c r="D97" s="135"/>
      <c r="E97" s="135"/>
      <c r="F97" s="135"/>
      <c r="G97" s="135"/>
      <c r="H97" s="135"/>
      <c r="I97" s="135"/>
      <c r="J97" s="135"/>
      <c r="K97" s="135"/>
      <c r="L97" s="135"/>
      <c r="M97" s="135"/>
      <c r="N97" s="135"/>
      <c r="O97" s="135"/>
      <c r="P97" s="135"/>
      <c r="Q97" s="135"/>
      <c r="R97" s="135"/>
      <c r="S97" s="135"/>
      <c r="T97" s="135"/>
    </row>
    <row r="98" spans="1:20">
      <c r="A98" s="135"/>
      <c r="B98" s="135"/>
      <c r="C98" s="135"/>
      <c r="D98" s="135"/>
      <c r="E98" s="135"/>
      <c r="F98" s="135"/>
      <c r="G98" s="135"/>
      <c r="H98" s="135"/>
      <c r="I98" s="135"/>
      <c r="J98" s="135"/>
      <c r="K98" s="135"/>
      <c r="L98" s="135"/>
      <c r="M98" s="135"/>
      <c r="N98" s="135"/>
      <c r="O98" s="135"/>
      <c r="P98" s="135"/>
      <c r="Q98" s="135"/>
      <c r="R98" s="135"/>
      <c r="S98" s="135"/>
      <c r="T98" s="135"/>
    </row>
    <row r="99" spans="1:20">
      <c r="A99" s="135"/>
      <c r="B99" s="135"/>
      <c r="C99" s="135"/>
      <c r="D99" s="135"/>
      <c r="E99" s="135"/>
      <c r="F99" s="135"/>
      <c r="G99" s="135"/>
      <c r="H99" s="135"/>
      <c r="I99" s="135"/>
      <c r="J99" s="135"/>
      <c r="K99" s="135"/>
      <c r="L99" s="135"/>
      <c r="M99" s="135"/>
      <c r="N99" s="135"/>
      <c r="O99" s="135"/>
      <c r="P99" s="135"/>
      <c r="Q99" s="135"/>
      <c r="R99" s="135"/>
      <c r="S99" s="135"/>
      <c r="T99" s="135"/>
    </row>
    <row r="100" spans="1:20">
      <c r="A100" s="135"/>
      <c r="B100" s="135"/>
      <c r="C100" s="135"/>
      <c r="D100" s="135"/>
      <c r="E100" s="135"/>
      <c r="F100" s="135"/>
      <c r="G100" s="135"/>
      <c r="H100" s="135"/>
      <c r="I100" s="135"/>
      <c r="J100" s="135"/>
      <c r="K100" s="135"/>
      <c r="L100" s="135"/>
      <c r="M100" s="135"/>
      <c r="N100" s="135"/>
      <c r="O100" s="135"/>
      <c r="P100" s="135"/>
      <c r="Q100" s="135"/>
      <c r="R100" s="135"/>
      <c r="S100" s="135"/>
      <c r="T100" s="135"/>
    </row>
    <row r="101" spans="1:20">
      <c r="A101" s="135"/>
      <c r="B101" s="135"/>
      <c r="C101" s="135"/>
      <c r="D101" s="135"/>
      <c r="E101" s="135"/>
      <c r="F101" s="135"/>
      <c r="G101" s="135"/>
      <c r="H101" s="135"/>
      <c r="I101" s="135"/>
      <c r="J101" s="135"/>
      <c r="K101" s="135"/>
      <c r="L101" s="135"/>
      <c r="M101" s="135"/>
      <c r="N101" s="135"/>
      <c r="O101" s="135"/>
      <c r="P101" s="135"/>
      <c r="Q101" s="135"/>
      <c r="R101" s="135"/>
      <c r="S101" s="135"/>
      <c r="T101" s="135"/>
    </row>
    <row r="102" spans="1:20">
      <c r="A102" s="135"/>
      <c r="B102" s="135"/>
      <c r="C102" s="135"/>
      <c r="D102" s="135"/>
      <c r="E102" s="135"/>
      <c r="F102" s="135"/>
      <c r="G102" s="135"/>
      <c r="H102" s="135"/>
      <c r="I102" s="135"/>
      <c r="J102" s="135"/>
      <c r="K102" s="135"/>
      <c r="L102" s="135"/>
      <c r="M102" s="135"/>
      <c r="N102" s="135"/>
      <c r="O102" s="135"/>
      <c r="P102" s="135"/>
      <c r="Q102" s="135"/>
      <c r="R102" s="135"/>
      <c r="S102" s="135"/>
      <c r="T102" s="135"/>
    </row>
    <row r="103" spans="1:20">
      <c r="A103" s="135"/>
      <c r="B103" s="135"/>
      <c r="C103" s="135"/>
      <c r="D103" s="135"/>
      <c r="E103" s="135"/>
      <c r="F103" s="135"/>
      <c r="G103" s="135"/>
      <c r="H103" s="135"/>
      <c r="I103" s="135"/>
      <c r="J103" s="135"/>
      <c r="K103" s="135"/>
      <c r="L103" s="135"/>
      <c r="M103" s="135"/>
      <c r="N103" s="135"/>
      <c r="O103" s="135"/>
      <c r="P103" s="135"/>
      <c r="Q103" s="135"/>
      <c r="R103" s="135"/>
      <c r="S103" s="135"/>
      <c r="T103" s="135"/>
    </row>
    <row r="104" spans="1:20">
      <c r="A104" s="135"/>
      <c r="B104" s="135"/>
      <c r="C104" s="135"/>
      <c r="D104" s="135"/>
      <c r="E104" s="135"/>
      <c r="F104" s="135"/>
      <c r="G104" s="135"/>
      <c r="H104" s="135"/>
      <c r="I104" s="135"/>
      <c r="J104" s="135"/>
      <c r="K104" s="135"/>
      <c r="L104" s="135"/>
      <c r="M104" s="135"/>
      <c r="N104" s="135"/>
      <c r="O104" s="135"/>
      <c r="P104" s="135"/>
      <c r="Q104" s="135"/>
      <c r="R104" s="135"/>
      <c r="S104" s="135"/>
      <c r="T104" s="135"/>
    </row>
    <row r="105" spans="1:20">
      <c r="A105" s="135"/>
      <c r="B105" s="135"/>
      <c r="C105" s="135"/>
      <c r="D105" s="135"/>
      <c r="E105" s="135"/>
      <c r="F105" s="135"/>
      <c r="G105" s="135"/>
      <c r="H105" s="135"/>
      <c r="I105" s="135"/>
      <c r="J105" s="135"/>
      <c r="K105" s="135"/>
      <c r="L105" s="135"/>
      <c r="M105" s="135"/>
      <c r="N105" s="135"/>
      <c r="O105" s="135"/>
      <c r="P105" s="135"/>
      <c r="Q105" s="135"/>
      <c r="R105" s="135"/>
      <c r="S105" s="135"/>
      <c r="T105" s="135"/>
    </row>
    <row r="106" spans="1:20">
      <c r="A106" s="135"/>
      <c r="B106" s="135"/>
      <c r="C106" s="135"/>
      <c r="D106" s="135"/>
      <c r="E106" s="135"/>
      <c r="F106" s="135"/>
      <c r="G106" s="135"/>
      <c r="H106" s="135"/>
      <c r="I106" s="135"/>
      <c r="J106" s="135"/>
      <c r="K106" s="135"/>
      <c r="L106" s="135"/>
      <c r="M106" s="135"/>
      <c r="N106" s="135"/>
      <c r="O106" s="135"/>
      <c r="P106" s="135"/>
      <c r="Q106" s="135"/>
      <c r="R106" s="135"/>
      <c r="S106" s="135"/>
      <c r="T106" s="135"/>
    </row>
    <row r="107" spans="1:20">
      <c r="A107" s="135"/>
      <c r="B107" s="135"/>
      <c r="C107" s="135"/>
      <c r="D107" s="135"/>
      <c r="E107" s="135"/>
      <c r="F107" s="135"/>
      <c r="G107" s="135"/>
      <c r="H107" s="135"/>
      <c r="I107" s="135"/>
      <c r="J107" s="135"/>
      <c r="K107" s="135"/>
      <c r="L107" s="135"/>
      <c r="M107" s="135"/>
      <c r="N107" s="135"/>
      <c r="O107" s="135"/>
      <c r="P107" s="135"/>
      <c r="Q107" s="135"/>
      <c r="R107" s="135"/>
      <c r="S107" s="135"/>
      <c r="T107" s="135"/>
    </row>
    <row r="108" spans="1:20">
      <c r="A108" s="135"/>
      <c r="B108" s="135"/>
      <c r="C108" s="135"/>
      <c r="D108" s="135"/>
      <c r="E108" s="135"/>
      <c r="F108" s="135"/>
      <c r="G108" s="135"/>
      <c r="H108" s="135"/>
      <c r="I108" s="135"/>
      <c r="J108" s="135"/>
      <c r="K108" s="135"/>
      <c r="L108" s="135"/>
      <c r="M108" s="135"/>
      <c r="N108" s="135"/>
      <c r="O108" s="135"/>
      <c r="P108" s="135"/>
      <c r="Q108" s="135"/>
      <c r="R108" s="135"/>
      <c r="S108" s="135"/>
      <c r="T108" s="135"/>
    </row>
    <row r="109" spans="1:20">
      <c r="A109" s="135"/>
      <c r="B109" s="135"/>
      <c r="C109" s="135"/>
      <c r="D109" s="135"/>
      <c r="E109" s="135"/>
      <c r="F109" s="135"/>
      <c r="G109" s="135"/>
      <c r="H109" s="135"/>
      <c r="I109" s="135"/>
      <c r="J109" s="135"/>
      <c r="K109" s="135"/>
      <c r="L109" s="135"/>
      <c r="M109" s="135"/>
      <c r="N109" s="135"/>
      <c r="O109" s="135"/>
      <c r="P109" s="135"/>
      <c r="Q109" s="135"/>
      <c r="R109" s="135"/>
      <c r="S109" s="135"/>
      <c r="T109" s="135"/>
    </row>
    <row r="110" spans="1:20">
      <c r="A110" s="135"/>
      <c r="B110" s="135"/>
      <c r="C110" s="135"/>
      <c r="D110" s="135"/>
      <c r="E110" s="135"/>
      <c r="F110" s="135"/>
      <c r="G110" s="135"/>
      <c r="H110" s="135"/>
      <c r="I110" s="135"/>
      <c r="J110" s="135"/>
      <c r="K110" s="135"/>
      <c r="L110" s="135"/>
      <c r="M110" s="135"/>
      <c r="N110" s="135"/>
      <c r="O110" s="135"/>
      <c r="P110" s="135"/>
      <c r="Q110" s="135"/>
      <c r="R110" s="135"/>
      <c r="S110" s="135"/>
      <c r="T110" s="135"/>
    </row>
    <row r="111" spans="1:20">
      <c r="A111" s="135"/>
      <c r="B111" s="135"/>
      <c r="C111" s="135"/>
      <c r="D111" s="135"/>
      <c r="E111" s="135"/>
      <c r="F111" s="135"/>
      <c r="G111" s="135"/>
      <c r="H111" s="135"/>
      <c r="I111" s="135"/>
      <c r="J111" s="135"/>
      <c r="K111" s="135"/>
      <c r="L111" s="135"/>
      <c r="M111" s="135"/>
      <c r="N111" s="135"/>
      <c r="O111" s="135"/>
      <c r="P111" s="135"/>
      <c r="Q111" s="135"/>
      <c r="R111" s="135"/>
      <c r="S111" s="135"/>
      <c r="T111" s="135"/>
    </row>
    <row r="112" spans="1:20">
      <c r="A112" s="135"/>
      <c r="B112" s="135"/>
      <c r="C112" s="135"/>
      <c r="D112" s="135"/>
      <c r="E112" s="135"/>
      <c r="F112" s="135"/>
      <c r="G112" s="135"/>
      <c r="H112" s="135"/>
      <c r="I112" s="135"/>
      <c r="J112" s="135"/>
      <c r="K112" s="135"/>
      <c r="L112" s="135"/>
      <c r="M112" s="135"/>
      <c r="N112" s="135"/>
      <c r="O112" s="135"/>
      <c r="P112" s="135"/>
      <c r="Q112" s="135"/>
      <c r="R112" s="135"/>
      <c r="S112" s="135"/>
      <c r="T112" s="135"/>
    </row>
    <row r="113" spans="1:20">
      <c r="A113" s="135"/>
      <c r="B113" s="135"/>
      <c r="C113" s="135"/>
      <c r="D113" s="135"/>
      <c r="E113" s="135"/>
      <c r="F113" s="135"/>
      <c r="G113" s="135"/>
      <c r="H113" s="135"/>
      <c r="I113" s="135"/>
      <c r="J113" s="135"/>
      <c r="K113" s="135"/>
      <c r="L113" s="135"/>
      <c r="M113" s="135"/>
      <c r="N113" s="135"/>
      <c r="O113" s="135"/>
      <c r="P113" s="135"/>
      <c r="Q113" s="135"/>
      <c r="R113" s="135"/>
      <c r="S113" s="135"/>
      <c r="T113" s="135"/>
    </row>
    <row r="114" spans="1:20">
      <c r="A114" s="135"/>
      <c r="B114" s="135"/>
      <c r="C114" s="135"/>
      <c r="D114" s="135"/>
      <c r="E114" s="135"/>
      <c r="F114" s="135"/>
      <c r="G114" s="135"/>
      <c r="H114" s="135"/>
      <c r="I114" s="135"/>
      <c r="J114" s="135"/>
      <c r="K114" s="135"/>
      <c r="L114" s="135"/>
      <c r="M114" s="135"/>
      <c r="N114" s="135"/>
      <c r="O114" s="135"/>
      <c r="P114" s="135"/>
      <c r="Q114" s="135"/>
      <c r="R114" s="135"/>
      <c r="S114" s="135"/>
      <c r="T114" s="135"/>
    </row>
    <row r="115" spans="1:20">
      <c r="A115" s="135"/>
      <c r="B115" s="135"/>
      <c r="C115" s="135"/>
      <c r="D115" s="135"/>
      <c r="E115" s="135"/>
      <c r="F115" s="135"/>
      <c r="G115" s="135"/>
      <c r="H115" s="135"/>
      <c r="I115" s="135"/>
      <c r="J115" s="135"/>
      <c r="K115" s="135"/>
      <c r="L115" s="135"/>
      <c r="M115" s="135"/>
      <c r="N115" s="135"/>
      <c r="O115" s="135"/>
      <c r="P115" s="135"/>
      <c r="Q115" s="135"/>
      <c r="R115" s="135"/>
      <c r="S115" s="135"/>
      <c r="T115" s="135"/>
    </row>
    <row r="116" spans="1:20">
      <c r="A116" s="135"/>
      <c r="B116" s="135"/>
      <c r="C116" s="135"/>
      <c r="D116" s="135"/>
      <c r="E116" s="135"/>
      <c r="F116" s="135"/>
      <c r="G116" s="135"/>
      <c r="H116" s="135"/>
      <c r="I116" s="135"/>
      <c r="J116" s="135"/>
      <c r="K116" s="135"/>
      <c r="L116" s="135"/>
      <c r="M116" s="135"/>
      <c r="N116" s="135"/>
      <c r="O116" s="135"/>
      <c r="P116" s="135"/>
      <c r="Q116" s="135"/>
      <c r="R116" s="135"/>
      <c r="S116" s="135"/>
      <c r="T116" s="135"/>
    </row>
    <row r="117" spans="1:20">
      <c r="A117" s="135"/>
      <c r="B117" s="135"/>
      <c r="C117" s="135"/>
      <c r="D117" s="135"/>
      <c r="E117" s="135"/>
      <c r="F117" s="135"/>
      <c r="G117" s="135"/>
      <c r="H117" s="135"/>
      <c r="I117" s="135"/>
      <c r="J117" s="135"/>
      <c r="K117" s="135"/>
      <c r="L117" s="135"/>
      <c r="M117" s="135"/>
      <c r="N117" s="135"/>
      <c r="O117" s="135"/>
      <c r="P117" s="135"/>
      <c r="Q117" s="135"/>
      <c r="R117" s="135"/>
      <c r="S117" s="135"/>
      <c r="T117" s="135"/>
    </row>
    <row r="118" spans="1:20">
      <c r="A118" s="135"/>
      <c r="B118" s="135"/>
      <c r="C118" s="135"/>
      <c r="D118" s="135"/>
      <c r="E118" s="135"/>
      <c r="F118" s="135"/>
      <c r="G118" s="135"/>
      <c r="H118" s="135"/>
      <c r="I118" s="135"/>
      <c r="J118" s="135"/>
      <c r="K118" s="135"/>
      <c r="L118" s="135"/>
      <c r="M118" s="135"/>
      <c r="N118" s="135"/>
      <c r="O118" s="135"/>
      <c r="P118" s="135"/>
      <c r="Q118" s="135"/>
      <c r="R118" s="135"/>
      <c r="S118" s="135"/>
      <c r="T118" s="135"/>
    </row>
    <row r="119" spans="1:20">
      <c r="A119" s="135"/>
      <c r="B119" s="135"/>
      <c r="C119" s="135"/>
      <c r="D119" s="135"/>
      <c r="E119" s="135"/>
      <c r="F119" s="135"/>
      <c r="G119" s="135"/>
      <c r="H119" s="135"/>
      <c r="I119" s="135"/>
      <c r="J119" s="135"/>
      <c r="K119" s="135"/>
      <c r="L119" s="135"/>
      <c r="M119" s="135"/>
      <c r="N119" s="135"/>
      <c r="O119" s="135"/>
      <c r="P119" s="135"/>
      <c r="Q119" s="135"/>
      <c r="R119" s="135"/>
      <c r="S119" s="135"/>
      <c r="T119" s="135"/>
    </row>
    <row r="120" spans="1:20">
      <c r="A120" s="135"/>
      <c r="B120" s="135"/>
      <c r="C120" s="135"/>
      <c r="D120" s="135"/>
      <c r="E120" s="135"/>
      <c r="F120" s="135"/>
      <c r="G120" s="135"/>
      <c r="H120" s="135"/>
      <c r="I120" s="135"/>
      <c r="J120" s="135"/>
      <c r="K120" s="135"/>
      <c r="L120" s="135"/>
      <c r="M120" s="135"/>
      <c r="N120" s="135"/>
      <c r="O120" s="135"/>
      <c r="P120" s="135"/>
      <c r="Q120" s="135"/>
      <c r="R120" s="135"/>
      <c r="S120" s="135"/>
      <c r="T120" s="135"/>
    </row>
    <row r="121" spans="1:20">
      <c r="A121" s="135"/>
      <c r="B121" s="135"/>
      <c r="C121" s="135"/>
      <c r="D121" s="135"/>
      <c r="E121" s="135"/>
      <c r="F121" s="135"/>
      <c r="G121" s="135"/>
      <c r="H121" s="135"/>
      <c r="I121" s="135"/>
      <c r="J121" s="135"/>
      <c r="K121" s="135"/>
      <c r="L121" s="135"/>
      <c r="M121" s="135"/>
      <c r="N121" s="135"/>
      <c r="O121" s="135"/>
      <c r="P121" s="135"/>
      <c r="Q121" s="135"/>
      <c r="R121" s="135"/>
      <c r="S121" s="135"/>
      <c r="T121" s="135"/>
    </row>
    <row r="122" spans="1:20">
      <c r="A122" s="135"/>
      <c r="B122" s="135"/>
      <c r="C122" s="135"/>
      <c r="D122" s="135"/>
      <c r="E122" s="135"/>
      <c r="F122" s="135"/>
      <c r="G122" s="135"/>
      <c r="H122" s="135"/>
      <c r="I122" s="135"/>
      <c r="J122" s="135"/>
      <c r="K122" s="135"/>
      <c r="L122" s="135"/>
      <c r="M122" s="135"/>
      <c r="N122" s="135"/>
      <c r="O122" s="135"/>
      <c r="P122" s="135"/>
      <c r="Q122" s="135"/>
      <c r="R122" s="135"/>
      <c r="S122" s="135"/>
      <c r="T122" s="135"/>
    </row>
    <row r="123" spans="1:20">
      <c r="A123" s="135"/>
      <c r="B123" s="135"/>
      <c r="C123" s="135"/>
      <c r="D123" s="135"/>
      <c r="E123" s="135"/>
      <c r="F123" s="135"/>
      <c r="G123" s="135"/>
      <c r="H123" s="135"/>
      <c r="I123" s="135"/>
      <c r="J123" s="135"/>
      <c r="K123" s="135"/>
      <c r="L123" s="135"/>
      <c r="M123" s="135"/>
      <c r="N123" s="135"/>
      <c r="O123" s="135"/>
      <c r="P123" s="135"/>
      <c r="Q123" s="135"/>
      <c r="R123" s="135"/>
      <c r="S123" s="135"/>
      <c r="T123" s="135"/>
    </row>
    <row r="124" spans="1:20">
      <c r="A124" s="135"/>
      <c r="B124" s="135"/>
      <c r="C124" s="135"/>
      <c r="D124" s="135"/>
      <c r="E124" s="135"/>
      <c r="F124" s="135"/>
      <c r="G124" s="135"/>
      <c r="H124" s="135"/>
      <c r="I124" s="135"/>
      <c r="J124" s="135"/>
      <c r="K124" s="135"/>
      <c r="L124" s="135"/>
      <c r="M124" s="135"/>
      <c r="N124" s="135"/>
      <c r="O124" s="135"/>
      <c r="P124" s="135"/>
      <c r="Q124" s="135"/>
      <c r="R124" s="135"/>
      <c r="S124" s="135"/>
      <c r="T124" s="135"/>
    </row>
    <row r="125" spans="1:20">
      <c r="A125" s="135"/>
      <c r="B125" s="135"/>
      <c r="C125" s="135"/>
      <c r="D125" s="135"/>
      <c r="E125" s="135"/>
      <c r="F125" s="135"/>
      <c r="G125" s="135"/>
      <c r="H125" s="135"/>
      <c r="I125" s="135"/>
      <c r="J125" s="135"/>
      <c r="K125" s="135"/>
      <c r="L125" s="135"/>
      <c r="M125" s="135"/>
      <c r="N125" s="135"/>
      <c r="O125" s="135"/>
      <c r="P125" s="135"/>
      <c r="Q125" s="135"/>
      <c r="R125" s="135"/>
      <c r="S125" s="135"/>
      <c r="T125" s="135"/>
    </row>
    <row r="126" spans="1:20">
      <c r="A126" s="135"/>
      <c r="B126" s="135"/>
      <c r="C126" s="135"/>
      <c r="D126" s="135"/>
      <c r="E126" s="135"/>
      <c r="F126" s="135"/>
      <c r="G126" s="135"/>
      <c r="H126" s="135"/>
      <c r="I126" s="135"/>
      <c r="J126" s="135"/>
      <c r="K126" s="135"/>
      <c r="L126" s="135"/>
      <c r="M126" s="135"/>
      <c r="N126" s="135"/>
      <c r="O126" s="135"/>
      <c r="P126" s="135"/>
      <c r="Q126" s="135"/>
      <c r="R126" s="135"/>
      <c r="S126" s="135"/>
      <c r="T126" s="135"/>
    </row>
    <row r="127" spans="1:20">
      <c r="A127" s="135"/>
      <c r="B127" s="135"/>
      <c r="C127" s="135"/>
      <c r="D127" s="135"/>
      <c r="E127" s="135"/>
      <c r="F127" s="135"/>
      <c r="G127" s="135"/>
      <c r="H127" s="135"/>
      <c r="I127" s="135"/>
      <c r="J127" s="135"/>
      <c r="K127" s="135"/>
      <c r="L127" s="135"/>
      <c r="M127" s="135"/>
      <c r="N127" s="135"/>
      <c r="O127" s="135"/>
      <c r="P127" s="135"/>
      <c r="Q127" s="135"/>
      <c r="R127" s="135"/>
      <c r="S127" s="135"/>
      <c r="T127" s="135"/>
    </row>
    <row r="128" spans="1:20">
      <c r="A128" s="135"/>
      <c r="B128" s="135"/>
      <c r="C128" s="135"/>
      <c r="D128" s="135"/>
      <c r="E128" s="135"/>
      <c r="F128" s="135"/>
      <c r="G128" s="135"/>
      <c r="H128" s="135"/>
      <c r="I128" s="135"/>
      <c r="J128" s="135"/>
      <c r="K128" s="135"/>
      <c r="L128" s="135"/>
      <c r="M128" s="135"/>
      <c r="N128" s="135"/>
      <c r="O128" s="135"/>
      <c r="P128" s="135"/>
      <c r="Q128" s="135"/>
      <c r="R128" s="135"/>
      <c r="S128" s="135"/>
      <c r="T128" s="135"/>
    </row>
    <row r="129" spans="1:20">
      <c r="A129" s="135"/>
      <c r="B129" s="135"/>
      <c r="C129" s="135"/>
      <c r="D129" s="135"/>
      <c r="E129" s="135"/>
      <c r="F129" s="135"/>
      <c r="G129" s="135"/>
      <c r="H129" s="135"/>
      <c r="I129" s="135"/>
      <c r="J129" s="135"/>
      <c r="K129" s="135"/>
      <c r="L129" s="135"/>
      <c r="M129" s="135"/>
      <c r="N129" s="135"/>
      <c r="O129" s="135"/>
      <c r="P129" s="135"/>
      <c r="Q129" s="135"/>
      <c r="R129" s="135"/>
      <c r="S129" s="135"/>
      <c r="T129" s="135"/>
    </row>
    <row r="130" spans="1:20">
      <c r="A130" s="135"/>
      <c r="B130" s="135"/>
      <c r="C130" s="135"/>
      <c r="D130" s="135"/>
      <c r="E130" s="135"/>
      <c r="F130" s="135"/>
      <c r="G130" s="135"/>
      <c r="H130" s="135"/>
      <c r="I130" s="135"/>
      <c r="J130" s="135"/>
      <c r="K130" s="135"/>
      <c r="L130" s="135"/>
      <c r="M130" s="135"/>
      <c r="N130" s="135"/>
      <c r="O130" s="135"/>
      <c r="P130" s="135"/>
      <c r="Q130" s="135"/>
      <c r="R130" s="135"/>
      <c r="S130" s="135"/>
      <c r="T130" s="135"/>
    </row>
    <row r="131" spans="1:20">
      <c r="A131" s="135"/>
      <c r="B131" s="135"/>
      <c r="C131" s="135"/>
      <c r="D131" s="135"/>
      <c r="E131" s="135"/>
      <c r="F131" s="135"/>
      <c r="G131" s="135"/>
      <c r="H131" s="135"/>
      <c r="I131" s="135"/>
      <c r="J131" s="135"/>
      <c r="K131" s="135"/>
      <c r="L131" s="135"/>
      <c r="M131" s="135"/>
      <c r="N131" s="135"/>
      <c r="O131" s="135"/>
      <c r="P131" s="135"/>
      <c r="Q131" s="135"/>
      <c r="R131" s="135"/>
      <c r="S131" s="135"/>
      <c r="T131" s="135"/>
    </row>
    <row r="132" spans="1:20">
      <c r="A132" s="135"/>
      <c r="B132" s="135"/>
      <c r="C132" s="135"/>
      <c r="D132" s="135"/>
      <c r="E132" s="135"/>
      <c r="F132" s="135"/>
      <c r="G132" s="135"/>
      <c r="H132" s="135"/>
      <c r="I132" s="135"/>
      <c r="J132" s="135"/>
      <c r="K132" s="135"/>
      <c r="L132" s="135"/>
      <c r="M132" s="135"/>
      <c r="N132" s="135"/>
      <c r="O132" s="135"/>
      <c r="P132" s="135"/>
      <c r="Q132" s="135"/>
      <c r="R132" s="135"/>
      <c r="S132" s="135"/>
      <c r="T132" s="135"/>
    </row>
    <row r="133" spans="1:20">
      <c r="A133" s="135"/>
      <c r="B133" s="135"/>
      <c r="C133" s="135"/>
      <c r="D133" s="135"/>
      <c r="E133" s="135"/>
      <c r="F133" s="135"/>
      <c r="G133" s="135"/>
      <c r="H133" s="135"/>
      <c r="I133" s="135"/>
      <c r="J133" s="135"/>
      <c r="K133" s="135"/>
      <c r="L133" s="135"/>
      <c r="M133" s="135"/>
      <c r="N133" s="135"/>
      <c r="O133" s="135"/>
      <c r="P133" s="135"/>
      <c r="Q133" s="135"/>
      <c r="R133" s="135"/>
      <c r="S133" s="135"/>
      <c r="T133" s="135"/>
    </row>
    <row r="134" spans="1:20">
      <c r="A134" s="135"/>
      <c r="B134" s="135"/>
      <c r="C134" s="135"/>
      <c r="D134" s="135"/>
      <c r="E134" s="135"/>
      <c r="F134" s="135"/>
      <c r="G134" s="135"/>
      <c r="H134" s="135"/>
      <c r="I134" s="135"/>
      <c r="J134" s="135"/>
      <c r="K134" s="135"/>
      <c r="L134" s="135"/>
      <c r="M134" s="135"/>
      <c r="N134" s="135"/>
      <c r="O134" s="135"/>
      <c r="P134" s="135"/>
      <c r="Q134" s="135"/>
      <c r="R134" s="135"/>
      <c r="S134" s="135"/>
      <c r="T134" s="135"/>
    </row>
    <row r="135" spans="1:20">
      <c r="A135" s="135"/>
      <c r="B135" s="135"/>
      <c r="C135" s="135"/>
      <c r="D135" s="135"/>
      <c r="E135" s="135"/>
      <c r="F135" s="135"/>
      <c r="G135" s="135"/>
      <c r="H135" s="135"/>
      <c r="I135" s="135"/>
      <c r="J135" s="135"/>
      <c r="K135" s="135"/>
      <c r="L135" s="135"/>
      <c r="M135" s="135"/>
      <c r="N135" s="135"/>
      <c r="O135" s="135"/>
      <c r="P135" s="135"/>
      <c r="Q135" s="135"/>
      <c r="R135" s="135"/>
      <c r="S135" s="135"/>
      <c r="T135" s="135"/>
    </row>
    <row r="136" spans="1:20">
      <c r="A136" s="135"/>
      <c r="B136" s="135"/>
      <c r="C136" s="135"/>
      <c r="D136" s="135"/>
      <c r="E136" s="135"/>
      <c r="F136" s="135"/>
      <c r="G136" s="135"/>
      <c r="H136" s="135"/>
      <c r="I136" s="135"/>
      <c r="J136" s="135"/>
      <c r="K136" s="135"/>
      <c r="L136" s="135"/>
      <c r="M136" s="135"/>
      <c r="N136" s="135"/>
      <c r="O136" s="135"/>
      <c r="P136" s="135"/>
      <c r="Q136" s="135"/>
      <c r="R136" s="135"/>
      <c r="S136" s="135"/>
      <c r="T136" s="135"/>
    </row>
    <row r="137" spans="1:20">
      <c r="A137" s="135"/>
      <c r="B137" s="135"/>
      <c r="C137" s="135"/>
      <c r="D137" s="135"/>
      <c r="E137" s="135"/>
      <c r="F137" s="135"/>
      <c r="G137" s="135"/>
      <c r="H137" s="135"/>
      <c r="I137" s="135"/>
      <c r="J137" s="135"/>
      <c r="K137" s="135"/>
      <c r="L137" s="135"/>
      <c r="M137" s="135"/>
      <c r="N137" s="135"/>
      <c r="O137" s="135"/>
      <c r="P137" s="135"/>
      <c r="Q137" s="135"/>
      <c r="R137" s="135"/>
      <c r="S137" s="135"/>
      <c r="T137" s="135"/>
    </row>
    <row r="138" spans="1:20">
      <c r="A138" s="135"/>
      <c r="B138" s="135"/>
      <c r="C138" s="135"/>
      <c r="D138" s="135"/>
      <c r="E138" s="135"/>
      <c r="F138" s="135"/>
      <c r="G138" s="135"/>
      <c r="H138" s="135"/>
      <c r="I138" s="135"/>
      <c r="J138" s="135"/>
      <c r="K138" s="135"/>
      <c r="L138" s="135"/>
      <c r="M138" s="135"/>
      <c r="N138" s="135"/>
      <c r="O138" s="135"/>
      <c r="P138" s="135"/>
      <c r="Q138" s="135"/>
      <c r="R138" s="135"/>
      <c r="S138" s="135"/>
      <c r="T138" s="135"/>
    </row>
    <row r="139" spans="1:20">
      <c r="A139" s="135"/>
      <c r="B139" s="135"/>
      <c r="C139" s="135"/>
      <c r="D139" s="135"/>
      <c r="E139" s="135"/>
      <c r="F139" s="135"/>
      <c r="G139" s="135"/>
      <c r="H139" s="135"/>
      <c r="I139" s="135"/>
      <c r="J139" s="135"/>
      <c r="K139" s="135"/>
      <c r="L139" s="135"/>
      <c r="M139" s="135"/>
      <c r="N139" s="135"/>
      <c r="O139" s="135"/>
      <c r="P139" s="135"/>
      <c r="Q139" s="135"/>
      <c r="R139" s="135"/>
      <c r="S139" s="135"/>
      <c r="T139" s="135"/>
    </row>
    <row r="140" spans="1:20">
      <c r="A140" s="135"/>
      <c r="B140" s="135"/>
      <c r="C140" s="135"/>
      <c r="D140" s="135"/>
      <c r="E140" s="135"/>
      <c r="F140" s="135"/>
      <c r="G140" s="135"/>
      <c r="H140" s="135"/>
      <c r="I140" s="135"/>
      <c r="J140" s="135"/>
      <c r="K140" s="135"/>
      <c r="L140" s="135"/>
      <c r="M140" s="135"/>
      <c r="N140" s="135"/>
      <c r="O140" s="135"/>
      <c r="P140" s="135"/>
      <c r="Q140" s="135"/>
      <c r="R140" s="135"/>
      <c r="S140" s="135"/>
      <c r="T140" s="135"/>
    </row>
    <row r="141" spans="1:20">
      <c r="A141" s="135"/>
      <c r="B141" s="135"/>
      <c r="C141" s="135"/>
      <c r="D141" s="135"/>
      <c r="E141" s="135"/>
      <c r="F141" s="135"/>
      <c r="G141" s="135"/>
      <c r="H141" s="135"/>
      <c r="I141" s="135"/>
      <c r="J141" s="135"/>
      <c r="K141" s="135"/>
      <c r="L141" s="135"/>
      <c r="M141" s="135"/>
      <c r="N141" s="135"/>
      <c r="O141" s="135"/>
      <c r="P141" s="135"/>
      <c r="Q141" s="135"/>
      <c r="R141" s="135"/>
      <c r="S141" s="135"/>
      <c r="T141" s="135"/>
    </row>
    <row r="142" spans="1:20">
      <c r="A142" s="135"/>
      <c r="B142" s="135"/>
      <c r="C142" s="135"/>
      <c r="D142" s="135"/>
      <c r="E142" s="135"/>
      <c r="F142" s="135"/>
      <c r="G142" s="135"/>
      <c r="H142" s="135"/>
      <c r="I142" s="135"/>
      <c r="J142" s="135"/>
      <c r="K142" s="135"/>
      <c r="L142" s="135"/>
      <c r="M142" s="135"/>
      <c r="N142" s="135"/>
      <c r="O142" s="135"/>
      <c r="P142" s="135"/>
      <c r="Q142" s="135"/>
      <c r="R142" s="135"/>
      <c r="S142" s="135"/>
      <c r="T142" s="135"/>
    </row>
    <row r="143" spans="1:20">
      <c r="A143" s="135"/>
      <c r="B143" s="135"/>
      <c r="C143" s="135"/>
      <c r="D143" s="135"/>
      <c r="E143" s="135"/>
      <c r="F143" s="135"/>
      <c r="G143" s="135"/>
      <c r="H143" s="135"/>
      <c r="I143" s="135"/>
      <c r="J143" s="135"/>
      <c r="K143" s="135"/>
      <c r="L143" s="135"/>
      <c r="M143" s="135"/>
      <c r="N143" s="135"/>
      <c r="O143" s="135"/>
      <c r="P143" s="135"/>
      <c r="Q143" s="135"/>
      <c r="R143" s="135"/>
      <c r="S143" s="135"/>
      <c r="T143" s="135"/>
    </row>
    <row r="144" spans="1:20">
      <c r="A144" s="135"/>
      <c r="B144" s="135"/>
      <c r="C144" s="135"/>
      <c r="D144" s="135"/>
      <c r="E144" s="135"/>
      <c r="F144" s="135"/>
      <c r="G144" s="135"/>
      <c r="H144" s="135"/>
      <c r="I144" s="135"/>
      <c r="J144" s="135"/>
      <c r="K144" s="135"/>
      <c r="L144" s="135"/>
      <c r="M144" s="135"/>
      <c r="N144" s="135"/>
      <c r="O144" s="135"/>
      <c r="P144" s="135"/>
      <c r="Q144" s="135"/>
      <c r="R144" s="135"/>
      <c r="S144" s="135"/>
      <c r="T144" s="135"/>
    </row>
    <row r="145" spans="1:20">
      <c r="A145" s="135"/>
      <c r="B145" s="135"/>
      <c r="C145" s="135"/>
      <c r="D145" s="135"/>
      <c r="E145" s="135"/>
      <c r="F145" s="135"/>
      <c r="G145" s="135"/>
      <c r="H145" s="135"/>
      <c r="I145" s="135"/>
      <c r="J145" s="135"/>
      <c r="K145" s="135"/>
      <c r="L145" s="135"/>
      <c r="M145" s="135"/>
      <c r="N145" s="135"/>
      <c r="O145" s="135"/>
      <c r="P145" s="135"/>
      <c r="Q145" s="135"/>
      <c r="R145" s="135"/>
      <c r="S145" s="135"/>
      <c r="T145" s="135"/>
    </row>
    <row r="146" spans="1:20">
      <c r="A146" s="135"/>
      <c r="B146" s="135"/>
      <c r="C146" s="135"/>
      <c r="D146" s="135"/>
      <c r="E146" s="135"/>
      <c r="F146" s="135"/>
      <c r="G146" s="135"/>
      <c r="H146" s="135"/>
      <c r="I146" s="135"/>
      <c r="J146" s="135"/>
      <c r="K146" s="135"/>
      <c r="L146" s="135"/>
      <c r="M146" s="135"/>
      <c r="N146" s="135"/>
      <c r="O146" s="135"/>
      <c r="P146" s="135"/>
      <c r="Q146" s="135"/>
      <c r="R146" s="135"/>
      <c r="S146" s="135"/>
      <c r="T146" s="135"/>
    </row>
    <row r="147" spans="1:20">
      <c r="A147" s="135"/>
      <c r="B147" s="135"/>
      <c r="C147" s="135"/>
      <c r="D147" s="135"/>
      <c r="E147" s="135"/>
      <c r="F147" s="135"/>
      <c r="G147" s="135"/>
      <c r="H147" s="135"/>
      <c r="I147" s="135"/>
      <c r="J147" s="135"/>
      <c r="K147" s="135"/>
      <c r="L147" s="135"/>
      <c r="M147" s="135"/>
      <c r="N147" s="135"/>
      <c r="O147" s="135"/>
      <c r="P147" s="135"/>
      <c r="Q147" s="135"/>
      <c r="R147" s="135"/>
      <c r="S147" s="135"/>
      <c r="T147" s="135"/>
    </row>
    <row r="148" spans="1:20">
      <c r="A148" s="135"/>
      <c r="B148" s="135"/>
      <c r="C148" s="135"/>
      <c r="D148" s="135"/>
      <c r="E148" s="135"/>
      <c r="F148" s="135"/>
      <c r="G148" s="135"/>
      <c r="H148" s="135"/>
      <c r="I148" s="135"/>
      <c r="J148" s="135"/>
      <c r="K148" s="135"/>
      <c r="L148" s="135"/>
      <c r="M148" s="135"/>
      <c r="N148" s="135"/>
      <c r="O148" s="135"/>
      <c r="P148" s="135"/>
      <c r="Q148" s="135"/>
      <c r="R148" s="135"/>
      <c r="S148" s="135"/>
      <c r="T148" s="135"/>
    </row>
    <row r="149" spans="1:20">
      <c r="A149" s="135"/>
      <c r="B149" s="135"/>
      <c r="C149" s="135"/>
      <c r="D149" s="135"/>
      <c r="E149" s="135"/>
      <c r="F149" s="135"/>
      <c r="G149" s="135"/>
      <c r="H149" s="135"/>
      <c r="I149" s="135"/>
      <c r="J149" s="135"/>
      <c r="K149" s="135"/>
      <c r="L149" s="135"/>
      <c r="M149" s="135"/>
      <c r="N149" s="135"/>
      <c r="O149" s="135"/>
      <c r="P149" s="135"/>
      <c r="Q149" s="135"/>
      <c r="R149" s="135"/>
      <c r="S149" s="135"/>
      <c r="T149" s="135"/>
    </row>
    <row r="150" spans="1:20">
      <c r="A150" s="135"/>
      <c r="B150" s="135"/>
      <c r="C150" s="135"/>
      <c r="D150" s="135"/>
      <c r="E150" s="135"/>
      <c r="F150" s="135"/>
      <c r="G150" s="135"/>
      <c r="H150" s="135"/>
      <c r="I150" s="135"/>
      <c r="J150" s="135"/>
      <c r="K150" s="135"/>
      <c r="L150" s="135"/>
      <c r="M150" s="135"/>
      <c r="N150" s="135"/>
      <c r="O150" s="135"/>
      <c r="P150" s="135"/>
      <c r="Q150" s="135"/>
      <c r="R150" s="135"/>
      <c r="S150" s="135"/>
      <c r="T150" s="135"/>
    </row>
    <row r="151" spans="1:20">
      <c r="A151" s="135"/>
      <c r="B151" s="135"/>
      <c r="C151" s="135"/>
      <c r="D151" s="135"/>
      <c r="E151" s="135"/>
      <c r="F151" s="135"/>
      <c r="G151" s="135"/>
      <c r="H151" s="135"/>
      <c r="I151" s="135"/>
      <c r="J151" s="135"/>
      <c r="K151" s="135"/>
      <c r="L151" s="135"/>
      <c r="M151" s="135"/>
      <c r="N151" s="135"/>
      <c r="O151" s="135"/>
      <c r="P151" s="135"/>
      <c r="Q151" s="135"/>
      <c r="R151" s="135"/>
      <c r="S151" s="135"/>
      <c r="T151" s="135"/>
    </row>
    <row r="152" spans="1:20">
      <c r="A152" s="135"/>
      <c r="B152" s="135"/>
      <c r="C152" s="135"/>
      <c r="D152" s="135"/>
      <c r="E152" s="135"/>
      <c r="F152" s="135"/>
      <c r="G152" s="135"/>
      <c r="H152" s="135"/>
      <c r="I152" s="135"/>
      <c r="J152" s="135"/>
      <c r="K152" s="135"/>
      <c r="L152" s="135"/>
      <c r="M152" s="135"/>
      <c r="N152" s="135"/>
      <c r="O152" s="135"/>
      <c r="P152" s="135"/>
      <c r="Q152" s="135"/>
      <c r="R152" s="135"/>
      <c r="S152" s="135"/>
      <c r="T152" s="135"/>
    </row>
    <row r="153" spans="1:20">
      <c r="A153" s="135"/>
      <c r="B153" s="135"/>
      <c r="C153" s="135"/>
      <c r="D153" s="135"/>
      <c r="E153" s="135"/>
      <c r="F153" s="135"/>
      <c r="G153" s="135"/>
      <c r="H153" s="135"/>
      <c r="I153" s="135"/>
      <c r="J153" s="135"/>
      <c r="K153" s="135"/>
      <c r="L153" s="135"/>
      <c r="M153" s="135"/>
      <c r="N153" s="135"/>
      <c r="O153" s="135"/>
      <c r="P153" s="135"/>
      <c r="Q153" s="135"/>
      <c r="R153" s="135"/>
      <c r="S153" s="135"/>
      <c r="T153" s="135"/>
    </row>
    <row r="154" spans="1:20">
      <c r="A154" s="135"/>
      <c r="B154" s="135"/>
      <c r="C154" s="135"/>
      <c r="D154" s="135"/>
      <c r="E154" s="135"/>
      <c r="F154" s="135"/>
      <c r="G154" s="135"/>
      <c r="H154" s="135"/>
      <c r="I154" s="135"/>
      <c r="J154" s="135"/>
      <c r="K154" s="135"/>
      <c r="L154" s="135"/>
      <c r="M154" s="135"/>
      <c r="N154" s="135"/>
      <c r="O154" s="135"/>
      <c r="P154" s="135"/>
      <c r="Q154" s="135"/>
      <c r="R154" s="135"/>
      <c r="S154" s="135"/>
      <c r="T154" s="135"/>
    </row>
    <row r="155" spans="1:20">
      <c r="A155" s="135"/>
      <c r="B155" s="135"/>
      <c r="C155" s="135"/>
      <c r="D155" s="135"/>
      <c r="E155" s="135"/>
      <c r="F155" s="135"/>
      <c r="G155" s="135"/>
      <c r="H155" s="135"/>
      <c r="I155" s="135"/>
      <c r="J155" s="135"/>
      <c r="K155" s="135"/>
      <c r="L155" s="135"/>
      <c r="M155" s="135"/>
      <c r="N155" s="135"/>
      <c r="O155" s="135"/>
      <c r="P155" s="135"/>
      <c r="Q155" s="135"/>
      <c r="R155" s="135"/>
      <c r="S155" s="135"/>
      <c r="T155" s="135"/>
    </row>
    <row r="156" spans="1:20">
      <c r="A156" s="135"/>
      <c r="B156" s="135"/>
      <c r="C156" s="135"/>
      <c r="D156" s="135"/>
      <c r="E156" s="135"/>
      <c r="F156" s="135"/>
      <c r="G156" s="135"/>
      <c r="H156" s="135"/>
      <c r="I156" s="135"/>
      <c r="J156" s="135"/>
      <c r="K156" s="135"/>
      <c r="L156" s="135"/>
      <c r="M156" s="135"/>
      <c r="N156" s="135"/>
      <c r="O156" s="135"/>
      <c r="P156" s="135"/>
      <c r="Q156" s="135"/>
      <c r="R156" s="135"/>
      <c r="S156" s="135"/>
      <c r="T156" s="135"/>
    </row>
    <row r="157" spans="1:20">
      <c r="A157" s="135"/>
      <c r="B157" s="135"/>
      <c r="C157" s="135"/>
      <c r="D157" s="135"/>
      <c r="E157" s="135"/>
      <c r="F157" s="135"/>
      <c r="G157" s="135"/>
      <c r="H157" s="135"/>
      <c r="I157" s="135"/>
      <c r="J157" s="135"/>
      <c r="K157" s="135"/>
      <c r="L157" s="135"/>
      <c r="M157" s="135"/>
      <c r="N157" s="135"/>
      <c r="O157" s="135"/>
      <c r="P157" s="135"/>
      <c r="Q157" s="135"/>
      <c r="R157" s="135"/>
      <c r="S157" s="135"/>
      <c r="T157" s="135"/>
    </row>
    <row r="158" spans="1:20">
      <c r="A158" s="135"/>
      <c r="B158" s="135"/>
      <c r="C158" s="135"/>
      <c r="D158" s="135"/>
      <c r="E158" s="135"/>
      <c r="F158" s="135"/>
      <c r="G158" s="135"/>
      <c r="H158" s="135"/>
      <c r="I158" s="135"/>
      <c r="J158" s="135"/>
      <c r="K158" s="135"/>
      <c r="L158" s="135"/>
      <c r="M158" s="135"/>
      <c r="N158" s="135"/>
      <c r="O158" s="135"/>
      <c r="P158" s="135"/>
      <c r="Q158" s="135"/>
      <c r="R158" s="135"/>
      <c r="S158" s="135"/>
      <c r="T158" s="135"/>
    </row>
    <row r="159" spans="1:20">
      <c r="A159" s="135"/>
      <c r="B159" s="135"/>
      <c r="C159" s="135"/>
      <c r="D159" s="135"/>
      <c r="E159" s="135"/>
      <c r="F159" s="135"/>
      <c r="G159" s="135"/>
      <c r="H159" s="135"/>
      <c r="I159" s="135"/>
      <c r="J159" s="135"/>
      <c r="K159" s="135"/>
      <c r="L159" s="135"/>
      <c r="M159" s="135"/>
      <c r="N159" s="135"/>
      <c r="O159" s="135"/>
      <c r="P159" s="135"/>
      <c r="Q159" s="135"/>
      <c r="R159" s="135"/>
      <c r="S159" s="135"/>
      <c r="T159" s="135"/>
    </row>
    <row r="160" spans="1:20">
      <c r="A160" s="135"/>
      <c r="B160" s="135"/>
      <c r="C160" s="135"/>
      <c r="D160" s="135"/>
      <c r="E160" s="135"/>
      <c r="F160" s="135"/>
      <c r="G160" s="135"/>
      <c r="H160" s="135"/>
      <c r="I160" s="135"/>
      <c r="J160" s="135"/>
      <c r="K160" s="135"/>
      <c r="L160" s="135"/>
      <c r="M160" s="135"/>
      <c r="N160" s="135"/>
      <c r="O160" s="135"/>
      <c r="P160" s="135"/>
      <c r="Q160" s="135"/>
      <c r="R160" s="135"/>
      <c r="S160" s="135"/>
      <c r="T160" s="135"/>
    </row>
    <row r="161" spans="1:20">
      <c r="A161" s="135"/>
      <c r="B161" s="135"/>
      <c r="C161" s="135"/>
      <c r="D161" s="135"/>
      <c r="E161" s="135"/>
      <c r="F161" s="135"/>
      <c r="G161" s="135"/>
      <c r="H161" s="135"/>
      <c r="I161" s="135"/>
      <c r="J161" s="135"/>
      <c r="K161" s="135"/>
      <c r="L161" s="135"/>
      <c r="M161" s="135"/>
      <c r="N161" s="135"/>
      <c r="O161" s="135"/>
      <c r="P161" s="135"/>
      <c r="Q161" s="135"/>
      <c r="R161" s="135"/>
      <c r="S161" s="135"/>
      <c r="T161" s="135"/>
    </row>
    <row r="162" spans="1:20">
      <c r="A162" s="135"/>
      <c r="B162" s="135"/>
      <c r="C162" s="135"/>
      <c r="D162" s="135"/>
      <c r="E162" s="135"/>
      <c r="F162" s="135"/>
      <c r="G162" s="135"/>
      <c r="H162" s="135"/>
      <c r="I162" s="135"/>
      <c r="J162" s="135"/>
      <c r="K162" s="135"/>
      <c r="L162" s="135"/>
      <c r="M162" s="135"/>
      <c r="N162" s="135"/>
      <c r="O162" s="135"/>
      <c r="P162" s="135"/>
      <c r="Q162" s="135"/>
      <c r="R162" s="135"/>
      <c r="S162" s="135"/>
      <c r="T162" s="135"/>
    </row>
    <row r="163" spans="1:20">
      <c r="A163" s="135"/>
      <c r="B163" s="135"/>
      <c r="C163" s="135"/>
      <c r="D163" s="135"/>
      <c r="E163" s="135"/>
      <c r="F163" s="135"/>
      <c r="G163" s="135"/>
      <c r="H163" s="135"/>
      <c r="I163" s="135"/>
      <c r="J163" s="135"/>
      <c r="K163" s="135"/>
      <c r="L163" s="135"/>
      <c r="M163" s="135"/>
      <c r="N163" s="135"/>
      <c r="O163" s="135"/>
      <c r="P163" s="135"/>
      <c r="Q163" s="135"/>
      <c r="R163" s="135"/>
      <c r="S163" s="135"/>
      <c r="T163" s="135"/>
    </row>
    <row r="164" spans="1:20">
      <c r="A164" s="135"/>
      <c r="B164" s="135"/>
      <c r="C164" s="135"/>
      <c r="D164" s="135"/>
      <c r="E164" s="135"/>
      <c r="F164" s="135"/>
      <c r="G164" s="135"/>
      <c r="H164" s="135"/>
      <c r="I164" s="135"/>
      <c r="J164" s="135"/>
      <c r="K164" s="135"/>
      <c r="L164" s="135"/>
      <c r="M164" s="135"/>
      <c r="N164" s="135"/>
      <c r="O164" s="135"/>
      <c r="P164" s="135"/>
      <c r="Q164" s="135"/>
      <c r="R164" s="135"/>
      <c r="S164" s="135"/>
      <c r="T164" s="135"/>
    </row>
    <row r="165" spans="1:20">
      <c r="A165" s="135"/>
      <c r="B165" s="135"/>
      <c r="C165" s="135"/>
      <c r="D165" s="135"/>
      <c r="E165" s="135"/>
      <c r="F165" s="135"/>
      <c r="G165" s="135"/>
      <c r="H165" s="135"/>
      <c r="I165" s="135"/>
      <c r="J165" s="135"/>
      <c r="K165" s="135"/>
      <c r="L165" s="135"/>
      <c r="M165" s="135"/>
      <c r="N165" s="135"/>
      <c r="O165" s="135"/>
      <c r="P165" s="135"/>
      <c r="Q165" s="135"/>
      <c r="R165" s="135"/>
      <c r="S165" s="135"/>
      <c r="T165" s="135"/>
    </row>
    <row r="166" spans="1:20">
      <c r="A166" s="135"/>
      <c r="B166" s="135"/>
      <c r="C166" s="135"/>
      <c r="D166" s="135"/>
      <c r="E166" s="135"/>
      <c r="F166" s="135"/>
      <c r="G166" s="135"/>
      <c r="H166" s="135"/>
      <c r="I166" s="135"/>
      <c r="J166" s="135"/>
      <c r="K166" s="135"/>
      <c r="L166" s="135"/>
      <c r="M166" s="135"/>
      <c r="N166" s="135"/>
      <c r="O166" s="135"/>
      <c r="P166" s="135"/>
      <c r="Q166" s="135"/>
      <c r="R166" s="135"/>
      <c r="S166" s="135"/>
      <c r="T166" s="135"/>
    </row>
    <row r="167" spans="1:20">
      <c r="A167" s="135"/>
      <c r="B167" s="135"/>
      <c r="C167" s="135"/>
      <c r="D167" s="135"/>
      <c r="E167" s="135"/>
      <c r="F167" s="135"/>
      <c r="G167" s="135"/>
      <c r="H167" s="135"/>
      <c r="I167" s="135"/>
      <c r="J167" s="135"/>
      <c r="K167" s="135"/>
      <c r="L167" s="135"/>
      <c r="M167" s="135"/>
      <c r="N167" s="135"/>
      <c r="O167" s="135"/>
      <c r="P167" s="135"/>
      <c r="Q167" s="135"/>
      <c r="R167" s="135"/>
      <c r="S167" s="135"/>
      <c r="T167" s="135"/>
    </row>
    <row r="168" spans="1:20">
      <c r="A168" s="135"/>
      <c r="B168" s="135"/>
      <c r="C168" s="135"/>
      <c r="D168" s="135"/>
      <c r="E168" s="135"/>
      <c r="F168" s="135"/>
      <c r="G168" s="135"/>
      <c r="H168" s="135"/>
      <c r="I168" s="135"/>
      <c r="J168" s="135"/>
      <c r="K168" s="135"/>
      <c r="L168" s="135"/>
      <c r="M168" s="135"/>
      <c r="N168" s="135"/>
      <c r="O168" s="135"/>
      <c r="P168" s="135"/>
      <c r="Q168" s="135"/>
      <c r="R168" s="135"/>
      <c r="S168" s="135"/>
      <c r="T168" s="135"/>
    </row>
    <row r="169" spans="1:20">
      <c r="A169" s="135"/>
      <c r="B169" s="135"/>
      <c r="C169" s="135"/>
      <c r="D169" s="135"/>
      <c r="E169" s="135"/>
      <c r="F169" s="135"/>
      <c r="G169" s="135"/>
      <c r="H169" s="135"/>
      <c r="I169" s="135"/>
      <c r="J169" s="135"/>
      <c r="K169" s="135"/>
      <c r="L169" s="135"/>
      <c r="M169" s="135"/>
      <c r="N169" s="135"/>
      <c r="O169" s="135"/>
      <c r="P169" s="135"/>
      <c r="Q169" s="135"/>
      <c r="R169" s="135"/>
      <c r="S169" s="135"/>
      <c r="T169" s="135"/>
    </row>
    <row r="170" spans="1:20">
      <c r="A170" s="135"/>
      <c r="B170" s="135"/>
      <c r="C170" s="135"/>
      <c r="D170" s="135"/>
      <c r="E170" s="135"/>
      <c r="F170" s="135"/>
      <c r="G170" s="135"/>
      <c r="H170" s="135"/>
      <c r="I170" s="135"/>
      <c r="J170" s="135"/>
      <c r="K170" s="135"/>
      <c r="L170" s="135"/>
      <c r="M170" s="135"/>
      <c r="N170" s="135"/>
      <c r="O170" s="135"/>
      <c r="P170" s="135"/>
      <c r="Q170" s="135"/>
      <c r="R170" s="135"/>
      <c r="S170" s="135"/>
      <c r="T170" s="135"/>
    </row>
    <row r="171" spans="1:20">
      <c r="A171" s="135"/>
      <c r="B171" s="135"/>
      <c r="C171" s="135"/>
      <c r="D171" s="135"/>
      <c r="E171" s="135"/>
      <c r="F171" s="135"/>
      <c r="G171" s="135"/>
      <c r="H171" s="135"/>
      <c r="I171" s="135"/>
      <c r="J171" s="135"/>
      <c r="K171" s="135"/>
      <c r="L171" s="135"/>
      <c r="M171" s="135"/>
      <c r="N171" s="135"/>
      <c r="O171" s="135"/>
      <c r="P171" s="135"/>
      <c r="Q171" s="135"/>
      <c r="R171" s="135"/>
      <c r="S171" s="135"/>
      <c r="T171" s="135"/>
    </row>
    <row r="172" spans="1:20">
      <c r="A172" s="135"/>
      <c r="B172" s="135"/>
      <c r="C172" s="135"/>
      <c r="D172" s="135"/>
      <c r="E172" s="135"/>
      <c r="F172" s="135"/>
      <c r="G172" s="135"/>
      <c r="H172" s="135"/>
      <c r="I172" s="135"/>
      <c r="J172" s="135"/>
      <c r="K172" s="135"/>
      <c r="L172" s="135"/>
      <c r="M172" s="135"/>
      <c r="N172" s="135"/>
      <c r="O172" s="135"/>
      <c r="P172" s="135"/>
      <c r="Q172" s="135"/>
      <c r="R172" s="135"/>
      <c r="S172" s="135"/>
      <c r="T172" s="135"/>
    </row>
    <row r="173" spans="1:20">
      <c r="A173" s="135"/>
      <c r="B173" s="135"/>
      <c r="C173" s="135"/>
      <c r="D173" s="135"/>
      <c r="E173" s="135"/>
      <c r="F173" s="135"/>
      <c r="G173" s="135"/>
      <c r="H173" s="135"/>
      <c r="I173" s="135"/>
      <c r="J173" s="135"/>
      <c r="K173" s="135"/>
      <c r="L173" s="135"/>
      <c r="M173" s="135"/>
      <c r="N173" s="135"/>
      <c r="O173" s="135"/>
      <c r="P173" s="135"/>
      <c r="Q173" s="135"/>
      <c r="R173" s="135"/>
      <c r="S173" s="135"/>
      <c r="T173" s="135"/>
    </row>
    <row r="174" spans="1:20">
      <c r="A174" s="135"/>
      <c r="B174" s="135"/>
      <c r="C174" s="135"/>
      <c r="D174" s="135"/>
      <c r="E174" s="135"/>
      <c r="F174" s="135"/>
      <c r="G174" s="135"/>
      <c r="H174" s="135"/>
      <c r="I174" s="135"/>
      <c r="J174" s="135"/>
      <c r="K174" s="135"/>
      <c r="L174" s="135"/>
      <c r="M174" s="135"/>
      <c r="N174" s="135"/>
      <c r="O174" s="135"/>
      <c r="P174" s="135"/>
      <c r="Q174" s="135"/>
      <c r="R174" s="135"/>
      <c r="S174" s="135"/>
      <c r="T174" s="135"/>
    </row>
    <row r="175" spans="1:20">
      <c r="A175" s="135"/>
      <c r="B175" s="135"/>
      <c r="C175" s="135"/>
      <c r="D175" s="135"/>
      <c r="E175" s="135"/>
      <c r="F175" s="135"/>
      <c r="G175" s="135"/>
      <c r="H175" s="135"/>
      <c r="I175" s="135"/>
      <c r="J175" s="135"/>
      <c r="K175" s="135"/>
      <c r="L175" s="135"/>
      <c r="M175" s="135"/>
      <c r="N175" s="135"/>
      <c r="O175" s="135"/>
      <c r="P175" s="135"/>
      <c r="Q175" s="135"/>
      <c r="R175" s="135"/>
      <c r="S175" s="135"/>
      <c r="T175" s="135"/>
    </row>
    <row r="176" spans="1:20">
      <c r="A176" s="135"/>
      <c r="B176" s="135"/>
      <c r="C176" s="135"/>
      <c r="D176" s="135"/>
      <c r="E176" s="135"/>
      <c r="F176" s="135"/>
      <c r="G176" s="135"/>
      <c r="H176" s="135"/>
      <c r="I176" s="135"/>
      <c r="J176" s="135"/>
      <c r="K176" s="135"/>
      <c r="L176" s="135"/>
      <c r="M176" s="135"/>
      <c r="N176" s="135"/>
      <c r="O176" s="135"/>
      <c r="P176" s="135"/>
      <c r="Q176" s="135"/>
      <c r="R176" s="135"/>
      <c r="S176" s="135"/>
      <c r="T176" s="135"/>
    </row>
    <row r="177" spans="1:20">
      <c r="A177" s="135"/>
      <c r="B177" s="135"/>
      <c r="C177" s="135"/>
      <c r="D177" s="135"/>
      <c r="E177" s="135"/>
      <c r="F177" s="135"/>
      <c r="G177" s="135"/>
      <c r="H177" s="135"/>
      <c r="I177" s="135"/>
      <c r="J177" s="135"/>
      <c r="K177" s="135"/>
      <c r="L177" s="135"/>
      <c r="M177" s="135"/>
      <c r="N177" s="135"/>
      <c r="O177" s="135"/>
      <c r="P177" s="135"/>
      <c r="Q177" s="135"/>
      <c r="R177" s="135"/>
      <c r="S177" s="135"/>
      <c r="T177" s="135"/>
    </row>
    <row r="178" spans="1:20">
      <c r="A178" s="135"/>
      <c r="B178" s="135"/>
      <c r="C178" s="135"/>
      <c r="D178" s="135"/>
      <c r="E178" s="135"/>
      <c r="F178" s="135"/>
      <c r="G178" s="135"/>
      <c r="H178" s="135"/>
      <c r="I178" s="135"/>
      <c r="J178" s="135"/>
      <c r="K178" s="135"/>
      <c r="L178" s="135"/>
      <c r="M178" s="135"/>
      <c r="N178" s="135"/>
      <c r="O178" s="135"/>
      <c r="P178" s="135"/>
      <c r="Q178" s="135"/>
      <c r="R178" s="135"/>
      <c r="S178" s="135"/>
      <c r="T178" s="135"/>
    </row>
    <row r="179" spans="1:20">
      <c r="A179" s="135"/>
      <c r="B179" s="135"/>
      <c r="C179" s="135"/>
      <c r="D179" s="135"/>
      <c r="E179" s="135"/>
      <c r="F179" s="135"/>
      <c r="G179" s="135"/>
      <c r="H179" s="135"/>
      <c r="I179" s="135"/>
      <c r="J179" s="135"/>
      <c r="K179" s="135"/>
      <c r="L179" s="135"/>
      <c r="M179" s="135"/>
      <c r="N179" s="135"/>
      <c r="O179" s="135"/>
      <c r="P179" s="135"/>
      <c r="Q179" s="135"/>
      <c r="R179" s="135"/>
      <c r="S179" s="135"/>
      <c r="T179" s="135"/>
    </row>
    <row r="180" spans="1:20">
      <c r="A180" s="135"/>
      <c r="B180" s="135"/>
      <c r="C180" s="135"/>
      <c r="D180" s="135"/>
      <c r="E180" s="135"/>
      <c r="F180" s="135"/>
      <c r="G180" s="135"/>
      <c r="H180" s="135"/>
      <c r="I180" s="135"/>
      <c r="J180" s="135"/>
      <c r="K180" s="135"/>
      <c r="L180" s="135"/>
      <c r="M180" s="135"/>
      <c r="N180" s="135"/>
      <c r="O180" s="135"/>
      <c r="P180" s="135"/>
      <c r="Q180" s="135"/>
      <c r="R180" s="135"/>
      <c r="S180" s="135"/>
      <c r="T180" s="135"/>
    </row>
    <row r="181" spans="1:20">
      <c r="A181" s="135"/>
      <c r="B181" s="135"/>
      <c r="C181" s="135"/>
      <c r="D181" s="135"/>
      <c r="E181" s="135"/>
      <c r="F181" s="135"/>
      <c r="G181" s="135"/>
      <c r="H181" s="135"/>
      <c r="I181" s="135"/>
      <c r="J181" s="135"/>
      <c r="K181" s="135"/>
      <c r="L181" s="135"/>
      <c r="M181" s="135"/>
      <c r="N181" s="135"/>
      <c r="O181" s="135"/>
      <c r="P181" s="135"/>
      <c r="Q181" s="135"/>
      <c r="R181" s="135"/>
      <c r="S181" s="135"/>
      <c r="T181" s="135"/>
    </row>
    <row r="182" spans="1:20">
      <c r="A182" s="135"/>
      <c r="B182" s="135"/>
      <c r="C182" s="135"/>
      <c r="D182" s="135"/>
      <c r="E182" s="135"/>
      <c r="F182" s="135"/>
      <c r="G182" s="135"/>
      <c r="H182" s="135"/>
      <c r="I182" s="135"/>
      <c r="J182" s="135"/>
      <c r="K182" s="135"/>
      <c r="L182" s="135"/>
      <c r="M182" s="135"/>
      <c r="N182" s="135"/>
      <c r="O182" s="135"/>
      <c r="P182" s="135"/>
      <c r="Q182" s="135"/>
      <c r="R182" s="135"/>
      <c r="S182" s="135"/>
      <c r="T182" s="135"/>
    </row>
    <row r="183" spans="1:20">
      <c r="A183" s="135"/>
      <c r="B183" s="135"/>
      <c r="C183" s="135"/>
      <c r="D183" s="135"/>
      <c r="E183" s="135"/>
      <c r="F183" s="135"/>
      <c r="G183" s="135"/>
      <c r="H183" s="135"/>
      <c r="I183" s="135"/>
      <c r="J183" s="135"/>
      <c r="K183" s="135"/>
      <c r="L183" s="135"/>
      <c r="M183" s="135"/>
      <c r="N183" s="135"/>
      <c r="O183" s="135"/>
      <c r="P183" s="135"/>
      <c r="Q183" s="135"/>
      <c r="R183" s="135"/>
      <c r="S183" s="135"/>
      <c r="T183" s="135"/>
    </row>
    <row r="184" spans="1:20">
      <c r="A184" s="135"/>
      <c r="B184" s="135"/>
      <c r="C184" s="135"/>
      <c r="D184" s="135"/>
      <c r="E184" s="135"/>
      <c r="F184" s="135"/>
      <c r="G184" s="135"/>
      <c r="H184" s="135"/>
      <c r="I184" s="135"/>
      <c r="J184" s="135"/>
      <c r="K184" s="135"/>
      <c r="L184" s="135"/>
      <c r="M184" s="135"/>
      <c r="N184" s="135"/>
      <c r="O184" s="135"/>
      <c r="P184" s="135"/>
      <c r="Q184" s="135"/>
      <c r="R184" s="135"/>
      <c r="S184" s="135"/>
      <c r="T184" s="135"/>
    </row>
    <row r="185" spans="1:20">
      <c r="A185" s="135"/>
      <c r="B185" s="135"/>
      <c r="C185" s="135"/>
      <c r="D185" s="135"/>
      <c r="E185" s="135"/>
      <c r="F185" s="135"/>
      <c r="G185" s="135"/>
      <c r="H185" s="135"/>
      <c r="I185" s="135"/>
      <c r="J185" s="135"/>
      <c r="K185" s="135"/>
      <c r="L185" s="135"/>
      <c r="M185" s="135"/>
      <c r="N185" s="135"/>
      <c r="O185" s="135"/>
      <c r="P185" s="135"/>
      <c r="Q185" s="135"/>
      <c r="R185" s="135"/>
      <c r="S185" s="135"/>
      <c r="T185" s="135"/>
    </row>
    <row r="186" spans="1:20">
      <c r="A186" s="135"/>
      <c r="B186" s="135"/>
      <c r="C186" s="135"/>
      <c r="D186" s="135"/>
      <c r="E186" s="135"/>
      <c r="F186" s="135"/>
      <c r="G186" s="135"/>
      <c r="H186" s="135"/>
      <c r="I186" s="135"/>
      <c r="J186" s="135"/>
      <c r="K186" s="135"/>
      <c r="L186" s="135"/>
      <c r="M186" s="135"/>
      <c r="N186" s="135"/>
      <c r="O186" s="135"/>
      <c r="P186" s="135"/>
      <c r="Q186" s="135"/>
      <c r="R186" s="135"/>
      <c r="S186" s="135"/>
      <c r="T186" s="135"/>
    </row>
    <row r="187" spans="1:20">
      <c r="A187" s="135"/>
      <c r="B187" s="135"/>
      <c r="C187" s="135"/>
      <c r="D187" s="135"/>
      <c r="E187" s="135"/>
      <c r="F187" s="135"/>
      <c r="G187" s="135"/>
      <c r="H187" s="135"/>
      <c r="I187" s="135"/>
      <c r="J187" s="135"/>
      <c r="K187" s="135"/>
      <c r="L187" s="135"/>
      <c r="M187" s="135"/>
      <c r="N187" s="135"/>
      <c r="O187" s="135"/>
      <c r="P187" s="135"/>
      <c r="Q187" s="135"/>
      <c r="R187" s="135"/>
      <c r="S187" s="135"/>
      <c r="T187" s="135"/>
    </row>
    <row r="188" spans="1:20">
      <c r="A188" s="135"/>
      <c r="B188" s="135"/>
      <c r="C188" s="135"/>
      <c r="D188" s="135"/>
      <c r="E188" s="135"/>
      <c r="F188" s="135"/>
      <c r="G188" s="135"/>
      <c r="H188" s="135"/>
      <c r="I188" s="135"/>
      <c r="J188" s="135"/>
      <c r="K188" s="135"/>
      <c r="L188" s="135"/>
      <c r="M188" s="135"/>
      <c r="N188" s="135"/>
      <c r="O188" s="135"/>
      <c r="P188" s="135"/>
      <c r="Q188" s="135"/>
      <c r="R188" s="135"/>
      <c r="S188" s="135"/>
      <c r="T188" s="135"/>
    </row>
    <row r="189" spans="1:20">
      <c r="A189" s="135"/>
      <c r="B189" s="135"/>
      <c r="C189" s="135"/>
      <c r="D189" s="135"/>
      <c r="E189" s="135"/>
      <c r="F189" s="135"/>
      <c r="G189" s="135"/>
      <c r="H189" s="135"/>
      <c r="I189" s="135"/>
      <c r="J189" s="135"/>
      <c r="K189" s="135"/>
      <c r="L189" s="135"/>
      <c r="M189" s="135"/>
      <c r="N189" s="135"/>
      <c r="O189" s="135"/>
      <c r="P189" s="135"/>
      <c r="Q189" s="135"/>
      <c r="R189" s="135"/>
      <c r="S189" s="135"/>
      <c r="T189" s="135"/>
    </row>
    <row r="190" spans="1:20">
      <c r="A190" s="135"/>
      <c r="B190" s="135"/>
      <c r="C190" s="135"/>
      <c r="D190" s="135"/>
      <c r="E190" s="135"/>
      <c r="F190" s="135"/>
      <c r="G190" s="135"/>
      <c r="H190" s="135"/>
      <c r="I190" s="135"/>
      <c r="J190" s="135"/>
      <c r="K190" s="135"/>
      <c r="L190" s="135"/>
      <c r="M190" s="135"/>
      <c r="N190" s="135"/>
      <c r="O190" s="135"/>
      <c r="P190" s="135"/>
      <c r="Q190" s="135"/>
      <c r="R190" s="135"/>
      <c r="S190" s="135"/>
      <c r="T190" s="135"/>
    </row>
    <row r="191" spans="1:20">
      <c r="A191" s="135"/>
      <c r="B191" s="135"/>
      <c r="C191" s="135"/>
      <c r="D191" s="135"/>
      <c r="E191" s="135"/>
      <c r="F191" s="135"/>
      <c r="G191" s="135"/>
      <c r="H191" s="135"/>
      <c r="I191" s="135"/>
      <c r="J191" s="135"/>
      <c r="K191" s="135"/>
      <c r="L191" s="135"/>
      <c r="M191" s="135"/>
      <c r="N191" s="135"/>
      <c r="O191" s="135"/>
      <c r="P191" s="135"/>
      <c r="Q191" s="135"/>
      <c r="R191" s="135"/>
      <c r="S191" s="135"/>
      <c r="T191" s="135"/>
    </row>
    <row r="192" spans="1:20">
      <c r="A192" s="135"/>
      <c r="B192" s="135"/>
      <c r="C192" s="135"/>
      <c r="D192" s="135"/>
      <c r="E192" s="135"/>
      <c r="F192" s="135"/>
      <c r="G192" s="135"/>
      <c r="H192" s="135"/>
      <c r="I192" s="135"/>
      <c r="J192" s="135"/>
      <c r="K192" s="135"/>
      <c r="L192" s="135"/>
      <c r="M192" s="135"/>
      <c r="N192" s="135"/>
      <c r="O192" s="135"/>
      <c r="P192" s="135"/>
      <c r="Q192" s="135"/>
      <c r="R192" s="135"/>
      <c r="S192" s="135"/>
      <c r="T192" s="135"/>
    </row>
    <row r="193" spans="1:33">
      <c r="A193" s="135"/>
      <c r="B193" s="135"/>
      <c r="C193" s="135"/>
      <c r="D193" s="135"/>
      <c r="E193" s="135"/>
      <c r="F193" s="135"/>
      <c r="G193" s="135"/>
      <c r="H193" s="135"/>
      <c r="I193" s="135"/>
      <c r="J193" s="135"/>
      <c r="K193" s="135"/>
      <c r="L193" s="135"/>
      <c r="M193" s="135"/>
      <c r="N193" s="135"/>
      <c r="O193" s="135"/>
      <c r="P193" s="135"/>
      <c r="Q193" s="135"/>
      <c r="R193" s="135"/>
      <c r="S193" s="135"/>
      <c r="T193" s="135"/>
    </row>
    <row r="194" spans="1:33">
      <c r="A194" s="135"/>
      <c r="B194" s="135"/>
      <c r="C194" s="135"/>
      <c r="D194" s="135"/>
      <c r="E194" s="135"/>
      <c r="F194" s="135"/>
      <c r="G194" s="135"/>
      <c r="H194" s="135"/>
      <c r="I194" s="135"/>
      <c r="J194" s="135"/>
      <c r="K194" s="135"/>
      <c r="L194" s="135"/>
      <c r="M194" s="135"/>
      <c r="N194" s="135"/>
      <c r="O194" s="135"/>
      <c r="P194" s="135"/>
      <c r="Q194" s="135"/>
      <c r="R194" s="135"/>
      <c r="S194" s="135"/>
      <c r="T194" s="135"/>
    </row>
    <row r="195" spans="1:33">
      <c r="A195" s="135"/>
      <c r="B195" s="135"/>
      <c r="C195" s="135"/>
      <c r="D195" s="135"/>
      <c r="E195" s="135"/>
      <c r="F195" s="135"/>
      <c r="G195" s="135"/>
      <c r="H195" s="135"/>
      <c r="I195" s="135"/>
      <c r="J195" s="135"/>
      <c r="K195" s="135"/>
      <c r="L195" s="135"/>
      <c r="M195" s="135"/>
      <c r="N195" s="135"/>
      <c r="O195" s="135"/>
      <c r="P195" s="135"/>
      <c r="Q195" s="135"/>
      <c r="R195" s="135"/>
      <c r="S195" s="135"/>
      <c r="T195" s="135"/>
    </row>
    <row r="196" spans="1:33">
      <c r="A196" s="135"/>
      <c r="B196" s="135"/>
      <c r="C196" s="135"/>
      <c r="D196" s="135"/>
      <c r="E196" s="135"/>
      <c r="F196" s="135"/>
      <c r="G196" s="135"/>
      <c r="H196" s="135"/>
      <c r="I196" s="135"/>
      <c r="J196" s="135"/>
      <c r="K196" s="135"/>
      <c r="L196" s="135"/>
      <c r="M196" s="135"/>
      <c r="N196" s="135"/>
      <c r="O196" s="135"/>
      <c r="P196" s="135"/>
      <c r="Q196" s="135"/>
      <c r="R196" s="135"/>
      <c r="S196" s="135"/>
      <c r="T196" s="135"/>
    </row>
    <row r="197" spans="1:33">
      <c r="A197" s="135"/>
      <c r="B197" s="135"/>
      <c r="C197" s="135"/>
      <c r="D197" s="135"/>
      <c r="E197" s="135"/>
      <c r="F197" s="135"/>
      <c r="G197" s="135"/>
      <c r="H197" s="135"/>
      <c r="I197" s="135"/>
      <c r="J197" s="135"/>
      <c r="K197" s="135"/>
      <c r="L197" s="135"/>
      <c r="M197" s="135"/>
      <c r="N197" s="135"/>
      <c r="O197" s="135"/>
      <c r="P197" s="135"/>
      <c r="Q197" s="135"/>
      <c r="R197" s="135"/>
      <c r="S197" s="135"/>
      <c r="T197" s="135"/>
    </row>
    <row r="198" spans="1:33">
      <c r="A198" s="135"/>
      <c r="B198" s="135"/>
      <c r="C198" s="135"/>
      <c r="D198" s="135"/>
      <c r="E198" s="135"/>
      <c r="F198" s="135"/>
      <c r="G198" s="135"/>
      <c r="H198" s="135"/>
      <c r="I198" s="135"/>
      <c r="J198" s="135"/>
      <c r="K198" s="135"/>
      <c r="L198" s="135"/>
      <c r="M198" s="135"/>
      <c r="N198" s="135"/>
      <c r="O198" s="135"/>
      <c r="P198" s="135"/>
      <c r="Q198" s="135"/>
      <c r="R198" s="135"/>
      <c r="S198" s="135"/>
      <c r="T198" s="135"/>
    </row>
    <row r="199" spans="1:33">
      <c r="A199" s="135"/>
      <c r="B199" s="135"/>
      <c r="C199" s="135"/>
      <c r="D199" s="135"/>
      <c r="E199" s="135"/>
      <c r="F199" s="135"/>
      <c r="G199" s="135"/>
      <c r="H199" s="135"/>
      <c r="I199" s="135"/>
      <c r="J199" s="135"/>
      <c r="K199" s="135"/>
      <c r="L199" s="135"/>
      <c r="M199" s="135"/>
      <c r="N199" s="135"/>
      <c r="O199" s="135"/>
      <c r="P199" s="135"/>
      <c r="Q199" s="135"/>
      <c r="R199" s="135"/>
      <c r="S199" s="135"/>
      <c r="T199" s="135"/>
    </row>
    <row r="200" spans="1:33">
      <c r="A200" s="135"/>
      <c r="B200" s="135"/>
      <c r="C200" s="135"/>
      <c r="D200" s="135"/>
      <c r="E200" s="135"/>
      <c r="F200" s="135"/>
      <c r="G200" s="135"/>
      <c r="H200" s="135"/>
      <c r="I200" s="135"/>
      <c r="J200" s="135"/>
      <c r="K200" s="135"/>
      <c r="L200" s="135"/>
      <c r="M200" s="135"/>
      <c r="N200" s="135"/>
      <c r="O200" s="135"/>
      <c r="P200" s="135"/>
      <c r="Q200" s="135"/>
      <c r="R200" s="135"/>
      <c r="S200" s="135"/>
      <c r="T200" s="135"/>
      <c r="W200" t="s">
        <v>288</v>
      </c>
      <c r="X200" t="s">
        <v>291</v>
      </c>
      <c r="Y200" t="s">
        <v>295</v>
      </c>
      <c r="Z200" t="s">
        <v>296</v>
      </c>
      <c r="AA200" t="s">
        <v>302</v>
      </c>
      <c r="AB200" t="s">
        <v>305</v>
      </c>
      <c r="AC200" t="s">
        <v>314</v>
      </c>
      <c r="AD200" t="s">
        <v>316</v>
      </c>
      <c r="AE200" t="s">
        <v>336</v>
      </c>
      <c r="AF200" t="s">
        <v>345</v>
      </c>
      <c r="AG200" t="s">
        <v>486</v>
      </c>
    </row>
    <row r="201" spans="1:33">
      <c r="A201" s="135"/>
      <c r="B201" s="135"/>
      <c r="C201" s="135"/>
      <c r="D201" s="135"/>
      <c r="E201" s="135"/>
      <c r="F201" s="135"/>
      <c r="G201" s="135"/>
      <c r="H201" s="135"/>
      <c r="I201" s="135"/>
      <c r="J201" s="135"/>
      <c r="K201" s="135"/>
      <c r="L201" s="135"/>
      <c r="M201" s="135"/>
      <c r="N201" s="135"/>
      <c r="O201" s="135"/>
      <c r="P201" s="135"/>
      <c r="Q201" s="135"/>
      <c r="R201" s="135"/>
      <c r="S201" s="135"/>
      <c r="T201" s="135"/>
      <c r="W201" t="s">
        <v>289</v>
      </c>
      <c r="X201" t="s">
        <v>292</v>
      </c>
      <c r="Y201" t="s">
        <v>292</v>
      </c>
      <c r="Z201" t="s">
        <v>297</v>
      </c>
      <c r="AA201" t="s">
        <v>303</v>
      </c>
      <c r="AB201" t="s">
        <v>306</v>
      </c>
      <c r="AC201">
        <v>2</v>
      </c>
      <c r="AD201" t="s">
        <v>317</v>
      </c>
      <c r="AE201" t="s">
        <v>337</v>
      </c>
      <c r="AF201" t="s">
        <v>346</v>
      </c>
      <c r="AG201" t="s">
        <v>359</v>
      </c>
    </row>
    <row r="202" spans="1:33">
      <c r="A202" s="135"/>
      <c r="B202" s="135"/>
      <c r="C202" s="135"/>
      <c r="D202" s="135"/>
      <c r="E202" s="135"/>
      <c r="F202" s="135"/>
      <c r="G202" s="135"/>
      <c r="H202" s="135"/>
      <c r="I202" s="135"/>
      <c r="J202" s="135"/>
      <c r="K202" s="135"/>
      <c r="L202" s="135"/>
      <c r="M202" s="135"/>
      <c r="N202" s="135"/>
      <c r="O202" s="135"/>
      <c r="P202" s="135"/>
      <c r="Q202" s="135"/>
      <c r="R202" s="135"/>
      <c r="S202" s="135"/>
      <c r="T202" s="135"/>
      <c r="W202" t="s">
        <v>290</v>
      </c>
      <c r="X202" t="s">
        <v>293</v>
      </c>
      <c r="Y202" t="s">
        <v>293</v>
      </c>
      <c r="Z202" t="s">
        <v>298</v>
      </c>
      <c r="AA202" t="s">
        <v>304</v>
      </c>
      <c r="AB202" t="s">
        <v>307</v>
      </c>
      <c r="AC202">
        <v>3</v>
      </c>
      <c r="AD202" t="s">
        <v>318</v>
      </c>
      <c r="AE202" t="s">
        <v>169</v>
      </c>
      <c r="AF202" t="s">
        <v>347</v>
      </c>
      <c r="AG202" t="s">
        <v>356</v>
      </c>
    </row>
    <row r="203" spans="1:33">
      <c r="A203" s="135"/>
      <c r="B203" s="135"/>
      <c r="C203" s="135"/>
      <c r="D203" s="135"/>
      <c r="E203" s="135"/>
      <c r="F203" s="135"/>
      <c r="G203" s="135"/>
      <c r="H203" s="135"/>
      <c r="I203" s="135"/>
      <c r="J203" s="135"/>
      <c r="K203" s="135"/>
      <c r="L203" s="135"/>
      <c r="M203" s="135"/>
      <c r="N203" s="135"/>
      <c r="O203" s="135"/>
      <c r="P203" s="135"/>
      <c r="Q203" s="135"/>
      <c r="R203" s="135"/>
      <c r="S203" s="135"/>
      <c r="T203" s="135"/>
      <c r="X203" t="s">
        <v>294</v>
      </c>
      <c r="Z203" t="s">
        <v>299</v>
      </c>
      <c r="AB203" t="s">
        <v>308</v>
      </c>
      <c r="AC203">
        <v>4</v>
      </c>
      <c r="AD203" t="s">
        <v>319</v>
      </c>
      <c r="AE203" t="s">
        <v>338</v>
      </c>
      <c r="AG203" t="s">
        <v>371</v>
      </c>
    </row>
    <row r="204" spans="1:33">
      <c r="A204" s="135"/>
      <c r="B204" s="135"/>
      <c r="C204" s="135"/>
      <c r="D204" s="135"/>
      <c r="E204" s="135"/>
      <c r="F204" s="135"/>
      <c r="G204" s="135"/>
      <c r="H204" s="135"/>
      <c r="I204" s="135"/>
      <c r="J204" s="135"/>
      <c r="K204" s="135"/>
      <c r="L204" s="135"/>
      <c r="M204" s="135"/>
      <c r="N204" s="135"/>
      <c r="O204" s="135"/>
      <c r="P204" s="135"/>
      <c r="Q204" s="135"/>
      <c r="R204" s="135"/>
      <c r="S204" s="135"/>
      <c r="T204" s="135"/>
      <c r="Z204" t="s">
        <v>300</v>
      </c>
      <c r="AB204" t="s">
        <v>309</v>
      </c>
      <c r="AC204">
        <v>5</v>
      </c>
      <c r="AG204" t="s">
        <v>360</v>
      </c>
    </row>
    <row r="205" spans="1:33">
      <c r="A205" s="135"/>
      <c r="B205" s="135"/>
      <c r="C205" s="135"/>
      <c r="D205" s="135"/>
      <c r="E205" s="135"/>
      <c r="F205" s="135"/>
      <c r="G205" s="135"/>
      <c r="H205" s="135"/>
      <c r="I205" s="135"/>
      <c r="J205" s="135"/>
      <c r="K205" s="135"/>
      <c r="L205" s="135"/>
      <c r="M205" s="135"/>
      <c r="N205" s="135"/>
      <c r="O205" s="135"/>
      <c r="P205" s="135"/>
      <c r="Q205" s="135"/>
      <c r="R205" s="135"/>
      <c r="S205" s="135"/>
      <c r="T205" s="135"/>
      <c r="Z205" t="s">
        <v>301</v>
      </c>
      <c r="AB205" t="s">
        <v>310</v>
      </c>
      <c r="AC205">
        <v>6</v>
      </c>
      <c r="AG205" t="s">
        <v>358</v>
      </c>
    </row>
    <row r="206" spans="1:33">
      <c r="A206" s="135"/>
      <c r="B206" s="135"/>
      <c r="C206" s="135"/>
      <c r="D206" s="135"/>
      <c r="E206" s="135"/>
      <c r="F206" s="135"/>
      <c r="G206" s="135"/>
      <c r="H206" s="135"/>
      <c r="I206" s="135"/>
      <c r="J206" s="135"/>
      <c r="K206" s="135"/>
      <c r="L206" s="135"/>
      <c r="M206" s="135"/>
      <c r="N206" s="135"/>
      <c r="O206" s="135"/>
      <c r="P206" s="135"/>
      <c r="Q206" s="135"/>
      <c r="R206" s="135"/>
      <c r="S206" s="135"/>
      <c r="T206" s="135"/>
      <c r="AB206" t="s">
        <v>311</v>
      </c>
      <c r="AC206" t="s">
        <v>315</v>
      </c>
      <c r="AG206" t="s">
        <v>369</v>
      </c>
    </row>
    <row r="207" spans="1:33">
      <c r="A207" s="135"/>
      <c r="B207" s="135"/>
      <c r="C207" s="135"/>
      <c r="D207" s="135"/>
      <c r="E207" s="135"/>
      <c r="F207" s="135"/>
      <c r="G207" s="135"/>
      <c r="H207" s="135"/>
      <c r="I207" s="135"/>
      <c r="J207" s="135"/>
      <c r="K207" s="135"/>
      <c r="L207" s="135"/>
      <c r="M207" s="135"/>
      <c r="N207" s="135"/>
      <c r="O207" s="135"/>
      <c r="P207" s="135"/>
      <c r="Q207" s="135"/>
      <c r="R207" s="135"/>
      <c r="S207" s="135"/>
      <c r="T207" s="135"/>
      <c r="AB207" t="s">
        <v>312</v>
      </c>
      <c r="AG207" t="s">
        <v>363</v>
      </c>
    </row>
    <row r="208" spans="1:33">
      <c r="A208" s="135"/>
      <c r="B208" s="135"/>
      <c r="C208" s="135"/>
      <c r="D208" s="135"/>
      <c r="E208" s="135"/>
      <c r="F208" s="135"/>
      <c r="G208" s="135"/>
      <c r="H208" s="135"/>
      <c r="I208" s="135"/>
      <c r="J208" s="135"/>
      <c r="K208" s="135"/>
      <c r="L208" s="135"/>
      <c r="M208" s="135"/>
      <c r="N208" s="135"/>
      <c r="O208" s="135"/>
      <c r="P208" s="135"/>
      <c r="Q208" s="135"/>
      <c r="R208" s="135"/>
      <c r="S208" s="135"/>
      <c r="T208" s="135"/>
      <c r="AB208" t="s">
        <v>313</v>
      </c>
      <c r="AG208" t="s">
        <v>370</v>
      </c>
    </row>
    <row r="209" spans="1:33">
      <c r="A209" s="135"/>
      <c r="B209" s="135"/>
      <c r="C209" s="135"/>
      <c r="D209" s="135"/>
      <c r="E209" s="135"/>
      <c r="F209" s="135"/>
      <c r="G209" s="135"/>
      <c r="H209" s="135"/>
      <c r="I209" s="135"/>
      <c r="J209" s="135"/>
      <c r="K209" s="135"/>
      <c r="L209" s="135"/>
      <c r="M209" s="135"/>
      <c r="N209" s="135"/>
      <c r="O209" s="135"/>
      <c r="P209" s="135"/>
      <c r="Q209" s="135"/>
      <c r="R209" s="135"/>
      <c r="S209" s="135"/>
      <c r="T209" s="135"/>
      <c r="AB209" t="s">
        <v>482</v>
      </c>
      <c r="AG209" t="s">
        <v>362</v>
      </c>
    </row>
    <row r="210" spans="1:33">
      <c r="A210" s="135"/>
      <c r="B210" s="135"/>
      <c r="C210" s="135"/>
      <c r="D210" s="135"/>
      <c r="E210" s="135"/>
      <c r="F210" s="135"/>
      <c r="G210" s="135"/>
      <c r="H210" s="135"/>
      <c r="I210" s="135"/>
      <c r="J210" s="135"/>
      <c r="K210" s="135"/>
      <c r="L210" s="135"/>
      <c r="M210" s="135"/>
      <c r="N210" s="135"/>
      <c r="O210" s="135"/>
      <c r="P210" s="135"/>
      <c r="Q210" s="135"/>
      <c r="R210" s="135"/>
      <c r="S210" s="135"/>
      <c r="T210" s="135"/>
      <c r="AB210" t="s">
        <v>483</v>
      </c>
      <c r="AG210" t="s">
        <v>357</v>
      </c>
    </row>
    <row r="211" spans="1:33">
      <c r="A211" s="135"/>
      <c r="B211" s="135"/>
      <c r="C211" s="135"/>
      <c r="D211" s="135"/>
      <c r="E211" s="135"/>
      <c r="F211" s="135"/>
      <c r="G211" s="135"/>
      <c r="H211" s="135"/>
      <c r="I211" s="135"/>
      <c r="J211" s="135"/>
      <c r="K211" s="135"/>
      <c r="L211" s="135"/>
      <c r="M211" s="135"/>
      <c r="N211" s="135"/>
      <c r="O211" s="135"/>
      <c r="P211" s="135"/>
      <c r="Q211" s="135"/>
      <c r="R211" s="135"/>
      <c r="S211" s="135"/>
      <c r="T211" s="135"/>
      <c r="AB211" t="s">
        <v>484</v>
      </c>
      <c r="AG211" t="s">
        <v>382</v>
      </c>
    </row>
    <row r="212" spans="1:33">
      <c r="A212" s="135"/>
      <c r="B212" s="135"/>
      <c r="C212" s="135"/>
      <c r="D212" s="135"/>
      <c r="E212" s="135"/>
      <c r="F212" s="135"/>
      <c r="G212" s="135"/>
      <c r="H212" s="135"/>
      <c r="I212" s="135"/>
      <c r="J212" s="135"/>
      <c r="K212" s="135"/>
      <c r="L212" s="135"/>
      <c r="M212" s="135"/>
      <c r="N212" s="135"/>
      <c r="O212" s="135"/>
      <c r="P212" s="135"/>
      <c r="Q212" s="135"/>
      <c r="R212" s="135"/>
      <c r="S212" s="135"/>
      <c r="T212" s="135"/>
      <c r="AG212" t="s">
        <v>384</v>
      </c>
    </row>
    <row r="213" spans="1:33">
      <c r="A213" s="135"/>
      <c r="B213" s="135"/>
      <c r="C213" s="135"/>
      <c r="D213" s="135"/>
      <c r="E213" s="135"/>
      <c r="F213" s="135"/>
      <c r="G213" s="135"/>
      <c r="H213" s="135"/>
      <c r="I213" s="135"/>
      <c r="J213" s="135"/>
      <c r="K213" s="135"/>
      <c r="L213" s="135"/>
      <c r="M213" s="135"/>
      <c r="N213" s="135"/>
      <c r="O213" s="135"/>
      <c r="P213" s="135"/>
      <c r="Q213" s="135"/>
      <c r="R213" s="135"/>
      <c r="S213" s="135"/>
      <c r="T213" s="135"/>
      <c r="AG213" t="s">
        <v>366</v>
      </c>
    </row>
    <row r="214" spans="1:33">
      <c r="A214" s="135"/>
      <c r="B214" s="135"/>
      <c r="C214" s="135"/>
      <c r="D214" s="135"/>
      <c r="E214" s="135"/>
      <c r="F214" s="135"/>
      <c r="G214" s="135"/>
      <c r="H214" s="135"/>
      <c r="I214" s="135"/>
      <c r="J214" s="135"/>
      <c r="K214" s="135"/>
      <c r="L214" s="135"/>
      <c r="M214" s="135"/>
      <c r="N214" s="135"/>
      <c r="O214" s="135"/>
      <c r="P214" s="135"/>
      <c r="Q214" s="135"/>
      <c r="R214" s="135"/>
      <c r="S214" s="135"/>
      <c r="T214" s="135"/>
      <c r="AG214" t="s">
        <v>365</v>
      </c>
    </row>
    <row r="215" spans="1:33">
      <c r="A215" s="135"/>
      <c r="B215" s="135"/>
      <c r="C215" s="135"/>
      <c r="D215" s="135"/>
      <c r="E215" s="135"/>
      <c r="F215" s="135"/>
      <c r="G215" s="135"/>
      <c r="H215" s="135"/>
      <c r="I215" s="135"/>
      <c r="J215" s="135"/>
      <c r="K215" s="135"/>
      <c r="L215" s="135"/>
      <c r="M215" s="135"/>
      <c r="N215" s="135"/>
      <c r="O215" s="135"/>
      <c r="P215" s="135"/>
      <c r="Q215" s="135"/>
      <c r="R215" s="135"/>
      <c r="S215" s="135"/>
      <c r="T215" s="135"/>
      <c r="AG215" t="s">
        <v>364</v>
      </c>
    </row>
    <row r="216" spans="1:33">
      <c r="A216" s="135"/>
      <c r="B216" s="135"/>
      <c r="C216" s="135"/>
      <c r="D216" s="135"/>
      <c r="E216" s="135"/>
      <c r="F216" s="135"/>
      <c r="G216" s="135"/>
      <c r="H216" s="135"/>
      <c r="I216" s="135"/>
      <c r="J216" s="135"/>
      <c r="K216" s="135"/>
      <c r="L216" s="135"/>
      <c r="M216" s="135"/>
      <c r="N216" s="135"/>
      <c r="O216" s="135"/>
      <c r="P216" s="135"/>
      <c r="Q216" s="135"/>
      <c r="R216" s="135"/>
      <c r="S216" s="135"/>
      <c r="T216" s="135"/>
      <c r="AG216" t="s">
        <v>355</v>
      </c>
    </row>
    <row r="217" spans="1:33">
      <c r="A217" s="135"/>
      <c r="B217" s="135"/>
      <c r="C217" s="135"/>
      <c r="D217" s="135"/>
      <c r="E217" s="135"/>
      <c r="F217" s="135"/>
      <c r="G217" s="135"/>
      <c r="H217" s="135"/>
      <c r="I217" s="135"/>
      <c r="J217" s="135"/>
      <c r="K217" s="135"/>
      <c r="L217" s="135"/>
      <c r="M217" s="135"/>
      <c r="N217" s="135"/>
      <c r="O217" s="135"/>
      <c r="P217" s="135"/>
      <c r="Q217" s="135"/>
      <c r="R217" s="135"/>
      <c r="S217" s="135"/>
      <c r="T217" s="135"/>
      <c r="AG217" t="s">
        <v>361</v>
      </c>
    </row>
    <row r="218" spans="1:33">
      <c r="A218" s="135"/>
      <c r="B218" s="135"/>
      <c r="C218" s="135"/>
      <c r="D218" s="135"/>
      <c r="E218" s="135"/>
      <c r="F218" s="135"/>
      <c r="G218" s="135"/>
      <c r="H218" s="135"/>
      <c r="I218" s="135"/>
      <c r="J218" s="135"/>
      <c r="K218" s="135"/>
      <c r="L218" s="135"/>
      <c r="M218" s="135"/>
      <c r="N218" s="135"/>
      <c r="O218" s="135"/>
      <c r="P218" s="135"/>
      <c r="Q218" s="135"/>
      <c r="R218" s="135"/>
      <c r="S218" s="135"/>
      <c r="T218" s="135"/>
      <c r="AG218" t="s">
        <v>383</v>
      </c>
    </row>
    <row r="219" spans="1:33">
      <c r="A219" s="135"/>
      <c r="B219" s="135"/>
      <c r="C219" s="135"/>
      <c r="D219" s="135"/>
      <c r="E219" s="135"/>
      <c r="F219" s="135"/>
      <c r="G219" s="135"/>
      <c r="H219" s="135"/>
      <c r="I219" s="135"/>
      <c r="J219" s="135"/>
      <c r="K219" s="135"/>
      <c r="L219" s="135"/>
      <c r="M219" s="135"/>
      <c r="N219" s="135"/>
      <c r="O219" s="135"/>
      <c r="P219" s="135"/>
      <c r="Q219" s="135"/>
      <c r="R219" s="135"/>
      <c r="S219" s="135"/>
      <c r="T219" s="135"/>
      <c r="AG219" t="s">
        <v>368</v>
      </c>
    </row>
    <row r="220" spans="1:33">
      <c r="A220" s="135"/>
      <c r="B220" s="135"/>
      <c r="C220" s="135"/>
      <c r="D220" s="135"/>
      <c r="E220" s="135"/>
      <c r="F220" s="135"/>
      <c r="G220" s="135"/>
      <c r="H220" s="135"/>
      <c r="I220" s="135"/>
      <c r="J220" s="135"/>
      <c r="K220" s="135"/>
      <c r="L220" s="135"/>
      <c r="M220" s="135"/>
      <c r="N220" s="135"/>
      <c r="O220" s="135"/>
      <c r="P220" s="135"/>
      <c r="Q220" s="135"/>
      <c r="R220" s="135"/>
      <c r="S220" s="135"/>
      <c r="T220" s="135"/>
      <c r="AG220" t="s">
        <v>367</v>
      </c>
    </row>
    <row r="221" spans="1:33">
      <c r="A221" s="135"/>
      <c r="B221" s="135"/>
      <c r="C221" s="135"/>
      <c r="D221" s="135"/>
      <c r="E221" s="135"/>
      <c r="F221" s="135"/>
      <c r="G221" s="135"/>
      <c r="H221" s="135"/>
      <c r="I221" s="135"/>
      <c r="J221" s="135"/>
      <c r="K221" s="135"/>
      <c r="L221" s="135"/>
      <c r="M221" s="135"/>
      <c r="N221" s="135"/>
      <c r="O221" s="135"/>
      <c r="P221" s="135"/>
      <c r="Q221" s="135"/>
      <c r="R221" s="135"/>
      <c r="S221" s="135"/>
      <c r="T221" s="135"/>
      <c r="AG221" t="s">
        <v>386</v>
      </c>
    </row>
    <row r="222" spans="1:33">
      <c r="A222" s="135"/>
      <c r="B222" s="135"/>
      <c r="C222" s="135"/>
      <c r="D222" s="135"/>
      <c r="E222" s="135"/>
      <c r="F222" s="135"/>
      <c r="G222" s="135"/>
      <c r="H222" s="135"/>
      <c r="I222" s="135"/>
      <c r="J222" s="135"/>
      <c r="K222" s="135"/>
      <c r="L222" s="135"/>
      <c r="M222" s="135"/>
      <c r="N222" s="135"/>
      <c r="O222" s="135"/>
      <c r="P222" s="135"/>
      <c r="Q222" s="135"/>
      <c r="R222" s="135"/>
      <c r="S222" s="135"/>
      <c r="T222" s="135"/>
      <c r="AG222" t="s">
        <v>385</v>
      </c>
    </row>
    <row r="223" spans="1:33">
      <c r="A223" s="135"/>
      <c r="B223" s="135"/>
      <c r="C223" s="135"/>
      <c r="D223" s="135"/>
      <c r="E223" s="135"/>
      <c r="F223" s="135"/>
      <c r="G223" s="135"/>
      <c r="H223" s="135"/>
      <c r="I223" s="135"/>
      <c r="J223" s="135"/>
      <c r="K223" s="135"/>
      <c r="L223" s="135"/>
      <c r="M223" s="135"/>
      <c r="N223" s="135"/>
      <c r="O223" s="135"/>
      <c r="P223" s="135"/>
      <c r="Q223" s="135"/>
      <c r="R223" s="135"/>
      <c r="S223" s="135"/>
      <c r="T223" s="135"/>
      <c r="AG223" t="s">
        <v>152</v>
      </c>
    </row>
    <row r="224" spans="1:33">
      <c r="A224" s="135"/>
      <c r="B224" s="135"/>
      <c r="C224" s="135"/>
      <c r="D224" s="135"/>
      <c r="E224" s="135"/>
      <c r="F224" s="135"/>
      <c r="G224" s="135"/>
      <c r="H224" s="135"/>
      <c r="I224" s="135"/>
      <c r="J224" s="135"/>
      <c r="K224" s="135"/>
      <c r="L224" s="135"/>
      <c r="M224" s="135"/>
      <c r="N224" s="135"/>
      <c r="O224" s="135"/>
      <c r="P224" s="135"/>
      <c r="Q224" s="135"/>
      <c r="R224" s="135"/>
      <c r="S224" s="135"/>
      <c r="T224" s="135"/>
      <c r="AG224" t="s">
        <v>168</v>
      </c>
    </row>
    <row r="225" spans="1:33">
      <c r="A225" s="135"/>
      <c r="B225" s="135"/>
      <c r="C225" s="135"/>
      <c r="D225" s="135"/>
      <c r="E225" s="135"/>
      <c r="F225" s="135"/>
      <c r="G225" s="135"/>
      <c r="H225" s="135"/>
      <c r="I225" s="135"/>
      <c r="J225" s="135"/>
      <c r="K225" s="135"/>
      <c r="L225" s="135"/>
      <c r="M225" s="135"/>
      <c r="N225" s="135"/>
      <c r="O225" s="135"/>
      <c r="P225" s="135"/>
      <c r="Q225" s="135"/>
      <c r="R225" s="135"/>
      <c r="S225" s="135"/>
      <c r="T225" s="135"/>
      <c r="AG225" t="s">
        <v>42</v>
      </c>
    </row>
    <row r="226" spans="1:33">
      <c r="A226" s="135"/>
      <c r="B226" s="135"/>
      <c r="C226" s="135"/>
      <c r="D226" s="135"/>
      <c r="E226" s="135"/>
      <c r="F226" s="135"/>
      <c r="G226" s="135"/>
      <c r="H226" s="135"/>
      <c r="I226" s="135"/>
      <c r="J226" s="135"/>
      <c r="K226" s="135"/>
      <c r="L226" s="135"/>
      <c r="M226" s="135"/>
      <c r="N226" s="135"/>
      <c r="O226" s="135"/>
      <c r="P226" s="135"/>
      <c r="Q226" s="135"/>
      <c r="R226" s="135"/>
      <c r="S226" s="135"/>
      <c r="T226" s="135"/>
      <c r="AG226" t="s">
        <v>32</v>
      </c>
    </row>
    <row r="227" spans="1:33">
      <c r="A227" s="135"/>
      <c r="B227" s="135"/>
      <c r="C227" s="135"/>
      <c r="D227" s="135"/>
      <c r="E227" s="135"/>
      <c r="F227" s="135"/>
      <c r="G227" s="135"/>
      <c r="H227" s="135"/>
      <c r="I227" s="135"/>
      <c r="J227" s="135"/>
      <c r="K227" s="135"/>
      <c r="L227" s="135"/>
      <c r="M227" s="135"/>
      <c r="N227" s="135"/>
      <c r="O227" s="135"/>
      <c r="P227" s="135"/>
      <c r="Q227" s="135"/>
      <c r="R227" s="135"/>
      <c r="S227" s="135"/>
      <c r="T227" s="135"/>
    </row>
    <row r="228" spans="1:33">
      <c r="A228" s="135"/>
      <c r="B228" s="135"/>
      <c r="C228" s="135"/>
      <c r="D228" s="135"/>
      <c r="E228" s="135"/>
      <c r="F228" s="135"/>
      <c r="G228" s="135"/>
      <c r="H228" s="135"/>
      <c r="I228" s="135"/>
      <c r="J228" s="135"/>
      <c r="K228" s="135"/>
      <c r="L228" s="135"/>
      <c r="M228" s="135"/>
      <c r="N228" s="135"/>
      <c r="O228" s="135"/>
      <c r="P228" s="135"/>
      <c r="Q228" s="135"/>
      <c r="R228" s="135"/>
      <c r="S228" s="135"/>
      <c r="T228" s="135"/>
    </row>
    <row r="229" spans="1:33">
      <c r="A229" s="135"/>
      <c r="B229" s="135"/>
      <c r="C229" s="135"/>
      <c r="D229" s="135"/>
      <c r="E229" s="135"/>
      <c r="F229" s="135"/>
      <c r="G229" s="135"/>
      <c r="H229" s="135"/>
      <c r="I229" s="135"/>
      <c r="J229" s="135"/>
      <c r="K229" s="135"/>
      <c r="L229" s="135"/>
      <c r="M229" s="135"/>
      <c r="N229" s="135"/>
      <c r="O229" s="135"/>
      <c r="P229" s="135"/>
      <c r="Q229" s="135"/>
      <c r="R229" s="135"/>
      <c r="S229" s="135"/>
      <c r="T229" s="135"/>
    </row>
    <row r="230" spans="1:33">
      <c r="A230" s="135"/>
      <c r="B230" s="135"/>
      <c r="C230" s="135"/>
      <c r="D230" s="135"/>
      <c r="E230" s="135"/>
      <c r="F230" s="135"/>
      <c r="G230" s="135"/>
      <c r="H230" s="135"/>
      <c r="I230" s="135"/>
      <c r="J230" s="135"/>
      <c r="K230" s="135"/>
      <c r="L230" s="135"/>
      <c r="M230" s="135"/>
      <c r="N230" s="135"/>
      <c r="O230" s="135"/>
      <c r="P230" s="135"/>
      <c r="Q230" s="135"/>
      <c r="R230" s="135"/>
      <c r="S230" s="135"/>
      <c r="T230" s="135"/>
    </row>
    <row r="231" spans="1:33">
      <c r="A231" s="135"/>
      <c r="B231" s="135"/>
      <c r="C231" s="135"/>
      <c r="D231" s="135"/>
      <c r="E231" s="135"/>
      <c r="F231" s="135"/>
      <c r="G231" s="135"/>
      <c r="H231" s="135"/>
      <c r="I231" s="135"/>
      <c r="J231" s="135"/>
      <c r="K231" s="135"/>
      <c r="L231" s="135"/>
      <c r="M231" s="135"/>
      <c r="N231" s="135"/>
      <c r="O231" s="135"/>
      <c r="P231" s="135"/>
      <c r="Q231" s="135"/>
      <c r="R231" s="135"/>
      <c r="S231" s="135"/>
      <c r="T231" s="135"/>
    </row>
    <row r="232" spans="1:33">
      <c r="A232" s="135"/>
      <c r="B232" s="135"/>
      <c r="C232" s="135"/>
      <c r="D232" s="135"/>
      <c r="E232" s="135"/>
      <c r="F232" s="135"/>
      <c r="G232" s="135"/>
      <c r="H232" s="135"/>
      <c r="I232" s="135"/>
      <c r="J232" s="135"/>
      <c r="K232" s="135"/>
      <c r="L232" s="135"/>
      <c r="M232" s="135"/>
      <c r="N232" s="135"/>
      <c r="O232" s="135"/>
      <c r="P232" s="135"/>
      <c r="Q232" s="135"/>
      <c r="R232" s="135"/>
      <c r="S232" s="135"/>
      <c r="T232" s="135"/>
    </row>
    <row r="233" spans="1:33">
      <c r="A233" s="135"/>
      <c r="B233" s="135"/>
      <c r="C233" s="135"/>
      <c r="D233" s="135"/>
      <c r="E233" s="135"/>
      <c r="F233" s="135"/>
      <c r="G233" s="135"/>
      <c r="H233" s="135"/>
      <c r="I233" s="135"/>
      <c r="J233" s="135"/>
      <c r="K233" s="135"/>
      <c r="L233" s="135"/>
      <c r="M233" s="135"/>
      <c r="N233" s="135"/>
      <c r="O233" s="135"/>
      <c r="P233" s="135"/>
      <c r="Q233" s="135"/>
      <c r="R233" s="135"/>
      <c r="S233" s="135"/>
      <c r="T233" s="135"/>
    </row>
    <row r="234" spans="1:33">
      <c r="A234" s="135"/>
      <c r="B234" s="135"/>
      <c r="C234" s="135"/>
      <c r="D234" s="135"/>
      <c r="E234" s="135"/>
      <c r="F234" s="135"/>
      <c r="G234" s="135"/>
      <c r="H234" s="135"/>
      <c r="I234" s="135"/>
      <c r="J234" s="135"/>
      <c r="K234" s="135"/>
      <c r="L234" s="135"/>
      <c r="M234" s="135"/>
      <c r="N234" s="135"/>
      <c r="O234" s="135"/>
      <c r="P234" s="135"/>
      <c r="Q234" s="135"/>
      <c r="R234" s="135"/>
      <c r="S234" s="135"/>
      <c r="T234" s="135"/>
    </row>
    <row r="235" spans="1:33">
      <c r="A235" s="135"/>
      <c r="B235" s="135"/>
      <c r="C235" s="135"/>
      <c r="D235" s="135"/>
      <c r="E235" s="135"/>
      <c r="F235" s="135"/>
      <c r="G235" s="135"/>
      <c r="H235" s="135"/>
      <c r="I235" s="135"/>
      <c r="J235" s="135"/>
      <c r="K235" s="135"/>
      <c r="L235" s="135"/>
      <c r="M235" s="135"/>
      <c r="N235" s="135"/>
      <c r="O235" s="135"/>
      <c r="P235" s="135"/>
      <c r="Q235" s="135"/>
      <c r="R235" s="135"/>
      <c r="S235" s="135"/>
      <c r="T235" s="135"/>
    </row>
    <row r="236" spans="1:33">
      <c r="A236" s="135"/>
      <c r="B236" s="135"/>
      <c r="C236" s="135"/>
      <c r="D236" s="135"/>
      <c r="E236" s="135"/>
      <c r="F236" s="135"/>
      <c r="G236" s="135"/>
      <c r="H236" s="135"/>
      <c r="I236" s="135"/>
      <c r="J236" s="135"/>
      <c r="K236" s="135"/>
      <c r="L236" s="135"/>
      <c r="M236" s="135"/>
      <c r="N236" s="135"/>
      <c r="O236" s="135"/>
      <c r="P236" s="135"/>
      <c r="Q236" s="135"/>
      <c r="R236" s="135"/>
      <c r="S236" s="135"/>
      <c r="T236" s="135"/>
    </row>
    <row r="237" spans="1:33">
      <c r="A237" s="135"/>
      <c r="B237" s="135"/>
      <c r="C237" s="135"/>
      <c r="D237" s="135"/>
      <c r="E237" s="135"/>
      <c r="F237" s="135"/>
      <c r="G237" s="135"/>
      <c r="H237" s="135"/>
      <c r="I237" s="135"/>
      <c r="J237" s="135"/>
      <c r="K237" s="135"/>
      <c r="L237" s="135"/>
      <c r="M237" s="135"/>
      <c r="N237" s="135"/>
      <c r="O237" s="135"/>
      <c r="P237" s="135"/>
      <c r="Q237" s="135"/>
      <c r="R237" s="135"/>
      <c r="S237" s="135"/>
      <c r="T237" s="135"/>
    </row>
    <row r="238" spans="1:33">
      <c r="A238" s="135"/>
      <c r="B238" s="135"/>
      <c r="C238" s="135"/>
      <c r="D238" s="135"/>
      <c r="E238" s="135"/>
      <c r="F238" s="135"/>
      <c r="G238" s="135"/>
      <c r="H238" s="135"/>
      <c r="I238" s="135"/>
      <c r="J238" s="135"/>
      <c r="K238" s="135"/>
      <c r="L238" s="135"/>
      <c r="M238" s="135"/>
      <c r="N238" s="135"/>
      <c r="O238" s="135"/>
      <c r="P238" s="135"/>
      <c r="Q238" s="135"/>
      <c r="R238" s="135"/>
      <c r="S238" s="135"/>
      <c r="T238" s="135"/>
    </row>
    <row r="239" spans="1:33">
      <c r="A239" s="135"/>
      <c r="B239" s="135"/>
      <c r="C239" s="135"/>
      <c r="D239" s="135"/>
      <c r="E239" s="135"/>
      <c r="F239" s="135"/>
      <c r="G239" s="135"/>
      <c r="H239" s="135"/>
      <c r="I239" s="135"/>
      <c r="J239" s="135"/>
      <c r="K239" s="135"/>
      <c r="L239" s="135"/>
      <c r="M239" s="135"/>
      <c r="N239" s="135"/>
      <c r="O239" s="135"/>
      <c r="P239" s="135"/>
      <c r="Q239" s="135"/>
      <c r="R239" s="135"/>
      <c r="S239" s="135"/>
      <c r="T239" s="135"/>
    </row>
    <row r="240" spans="1:33">
      <c r="A240" s="135"/>
      <c r="B240" s="135"/>
      <c r="C240" s="135"/>
      <c r="D240" s="135"/>
      <c r="E240" s="135"/>
      <c r="F240" s="135"/>
      <c r="G240" s="135"/>
      <c r="H240" s="135"/>
      <c r="I240" s="135"/>
      <c r="J240" s="135"/>
      <c r="K240" s="135"/>
      <c r="L240" s="135"/>
      <c r="M240" s="135"/>
      <c r="N240" s="135"/>
      <c r="O240" s="135"/>
      <c r="P240" s="135"/>
      <c r="Q240" s="135"/>
      <c r="R240" s="135"/>
      <c r="S240" s="135"/>
      <c r="T240" s="135"/>
    </row>
    <row r="241" spans="1:20">
      <c r="A241" s="135"/>
      <c r="B241" s="135"/>
      <c r="C241" s="135"/>
      <c r="D241" s="135"/>
      <c r="E241" s="135"/>
      <c r="F241" s="135"/>
      <c r="G241" s="135"/>
      <c r="H241" s="135"/>
      <c r="I241" s="135"/>
      <c r="J241" s="135"/>
      <c r="K241" s="135"/>
      <c r="L241" s="135"/>
      <c r="M241" s="135"/>
      <c r="N241" s="135"/>
      <c r="O241" s="135"/>
      <c r="P241" s="135"/>
      <c r="Q241" s="135"/>
      <c r="R241" s="135"/>
      <c r="S241" s="135"/>
      <c r="T241" s="135"/>
    </row>
    <row r="242" spans="1:20">
      <c r="A242" s="135"/>
      <c r="B242" s="135"/>
      <c r="C242" s="135"/>
      <c r="D242" s="135"/>
      <c r="E242" s="135"/>
      <c r="F242" s="135"/>
      <c r="G242" s="135"/>
      <c r="H242" s="135"/>
      <c r="I242" s="135"/>
      <c r="J242" s="135"/>
      <c r="K242" s="135"/>
      <c r="L242" s="135"/>
      <c r="M242" s="135"/>
      <c r="N242" s="135"/>
      <c r="O242" s="135"/>
      <c r="P242" s="135"/>
      <c r="Q242" s="135"/>
      <c r="R242" s="135"/>
      <c r="S242" s="135"/>
      <c r="T242" s="135"/>
    </row>
    <row r="243" spans="1:20">
      <c r="A243" s="135"/>
      <c r="B243" s="135"/>
      <c r="C243" s="135"/>
      <c r="D243" s="135"/>
      <c r="E243" s="135"/>
      <c r="F243" s="135"/>
      <c r="G243" s="135"/>
      <c r="H243" s="135"/>
      <c r="I243" s="135"/>
      <c r="J243" s="135"/>
      <c r="K243" s="135"/>
      <c r="L243" s="135"/>
      <c r="M243" s="135"/>
      <c r="N243" s="135"/>
      <c r="O243" s="135"/>
      <c r="P243" s="135"/>
      <c r="Q243" s="135"/>
      <c r="R243" s="135"/>
      <c r="S243" s="135"/>
      <c r="T243" s="135"/>
    </row>
    <row r="244" spans="1:20">
      <c r="A244" s="135"/>
      <c r="B244" s="135"/>
      <c r="C244" s="135"/>
      <c r="D244" s="135"/>
      <c r="E244" s="135"/>
      <c r="F244" s="135"/>
      <c r="G244" s="135"/>
      <c r="H244" s="135"/>
      <c r="I244" s="135"/>
      <c r="J244" s="135"/>
      <c r="K244" s="135"/>
      <c r="L244" s="135"/>
      <c r="M244" s="135"/>
      <c r="N244" s="135"/>
      <c r="O244" s="135"/>
      <c r="P244" s="135"/>
      <c r="Q244" s="135"/>
      <c r="R244" s="135"/>
      <c r="S244" s="135"/>
      <c r="T244" s="135"/>
    </row>
    <row r="245" spans="1:20">
      <c r="A245" s="135"/>
      <c r="B245" s="135"/>
      <c r="C245" s="135"/>
      <c r="D245" s="135"/>
      <c r="E245" s="135"/>
      <c r="F245" s="135"/>
      <c r="G245" s="135"/>
      <c r="H245" s="135"/>
      <c r="I245" s="135"/>
      <c r="J245" s="135"/>
      <c r="K245" s="135"/>
      <c r="L245" s="135"/>
      <c r="M245" s="135"/>
      <c r="N245" s="135"/>
      <c r="O245" s="135"/>
      <c r="P245" s="135"/>
      <c r="Q245" s="135"/>
      <c r="R245" s="135"/>
      <c r="S245" s="135"/>
      <c r="T245" s="135"/>
    </row>
    <row r="246" spans="1:20">
      <c r="A246" s="135"/>
      <c r="B246" s="135"/>
      <c r="C246" s="135"/>
      <c r="D246" s="135"/>
      <c r="E246" s="135"/>
      <c r="F246" s="135"/>
      <c r="G246" s="135"/>
      <c r="H246" s="135"/>
      <c r="I246" s="135"/>
      <c r="J246" s="135"/>
      <c r="K246" s="135"/>
      <c r="L246" s="135"/>
      <c r="M246" s="135"/>
      <c r="N246" s="135"/>
      <c r="O246" s="135"/>
      <c r="P246" s="135"/>
      <c r="Q246" s="135"/>
      <c r="R246" s="135"/>
      <c r="S246" s="135"/>
      <c r="T246" s="135"/>
    </row>
    <row r="247" spans="1:20">
      <c r="A247" s="135"/>
      <c r="B247" s="135"/>
      <c r="C247" s="135"/>
      <c r="D247" s="135"/>
      <c r="E247" s="135"/>
      <c r="F247" s="135"/>
      <c r="G247" s="135"/>
      <c r="H247" s="135"/>
      <c r="I247" s="135"/>
      <c r="J247" s="135"/>
      <c r="K247" s="135"/>
      <c r="L247" s="135"/>
      <c r="M247" s="135"/>
      <c r="N247" s="135"/>
      <c r="O247" s="135"/>
      <c r="P247" s="135"/>
      <c r="Q247" s="135"/>
      <c r="R247" s="135"/>
      <c r="S247" s="135"/>
      <c r="T247" s="135"/>
    </row>
    <row r="248" spans="1:20">
      <c r="A248" s="135"/>
      <c r="B248" s="135"/>
      <c r="C248" s="135"/>
      <c r="D248" s="135"/>
      <c r="E248" s="135"/>
      <c r="F248" s="135"/>
      <c r="G248" s="135"/>
      <c r="H248" s="135"/>
      <c r="I248" s="135"/>
      <c r="J248" s="135"/>
      <c r="K248" s="135"/>
      <c r="L248" s="135"/>
      <c r="M248" s="135"/>
      <c r="N248" s="135"/>
      <c r="O248" s="135"/>
      <c r="P248" s="135"/>
      <c r="Q248" s="135"/>
      <c r="R248" s="135"/>
      <c r="S248" s="135"/>
      <c r="T248" s="135"/>
    </row>
    <row r="249" spans="1:20">
      <c r="A249" s="135"/>
      <c r="B249" s="135"/>
      <c r="C249" s="135"/>
      <c r="D249" s="135"/>
      <c r="E249" s="135"/>
      <c r="F249" s="135"/>
      <c r="G249" s="135"/>
      <c r="H249" s="135"/>
      <c r="I249" s="135"/>
      <c r="J249" s="135"/>
      <c r="K249" s="135"/>
      <c r="L249" s="135"/>
      <c r="M249" s="135"/>
      <c r="N249" s="135"/>
      <c r="O249" s="135"/>
      <c r="P249" s="135"/>
      <c r="Q249" s="135"/>
      <c r="R249" s="135"/>
      <c r="S249" s="135"/>
      <c r="T249" s="135"/>
    </row>
    <row r="250" spans="1:20">
      <c r="A250" s="135"/>
      <c r="B250" s="135"/>
      <c r="C250" s="135"/>
      <c r="D250" s="135"/>
      <c r="E250" s="135"/>
      <c r="F250" s="135"/>
      <c r="G250" s="135"/>
      <c r="H250" s="135"/>
      <c r="I250" s="135"/>
      <c r="J250" s="135"/>
      <c r="K250" s="135"/>
      <c r="L250" s="135"/>
      <c r="M250" s="135"/>
      <c r="N250" s="135"/>
      <c r="O250" s="135"/>
      <c r="P250" s="135"/>
      <c r="Q250" s="135"/>
      <c r="R250" s="135"/>
      <c r="S250" s="135"/>
      <c r="T250" s="135"/>
    </row>
    <row r="251" spans="1:20">
      <c r="A251" s="135"/>
      <c r="B251" s="135"/>
      <c r="C251" s="135"/>
      <c r="D251" s="135"/>
      <c r="E251" s="135"/>
      <c r="F251" s="135"/>
      <c r="G251" s="135"/>
      <c r="H251" s="135"/>
      <c r="I251" s="135"/>
      <c r="J251" s="135"/>
      <c r="K251" s="135"/>
      <c r="L251" s="135"/>
      <c r="M251" s="135"/>
      <c r="N251" s="135"/>
      <c r="O251" s="135"/>
      <c r="P251" s="135"/>
      <c r="Q251" s="135"/>
      <c r="R251" s="135"/>
      <c r="S251" s="135"/>
      <c r="T251" s="135"/>
    </row>
    <row r="252" spans="1:20">
      <c r="A252" s="135"/>
      <c r="B252" s="135"/>
      <c r="C252" s="135"/>
      <c r="D252" s="135"/>
      <c r="E252" s="135"/>
      <c r="F252" s="135"/>
      <c r="G252" s="135"/>
      <c r="H252" s="135"/>
      <c r="I252" s="135"/>
      <c r="J252" s="135"/>
      <c r="K252" s="135"/>
      <c r="L252" s="135"/>
      <c r="M252" s="135"/>
      <c r="N252" s="135"/>
      <c r="O252" s="135"/>
      <c r="P252" s="135"/>
      <c r="Q252" s="135"/>
      <c r="R252" s="135"/>
      <c r="S252" s="135"/>
      <c r="T252" s="135"/>
    </row>
    <row r="253" spans="1:20">
      <c r="A253" s="135"/>
      <c r="B253" s="135"/>
      <c r="C253" s="135"/>
      <c r="D253" s="135"/>
      <c r="E253" s="135"/>
      <c r="F253" s="135"/>
      <c r="G253" s="135"/>
      <c r="H253" s="135"/>
      <c r="I253" s="135"/>
      <c r="J253" s="135"/>
      <c r="K253" s="135"/>
      <c r="L253" s="135"/>
      <c r="M253" s="135"/>
      <c r="N253" s="135"/>
      <c r="O253" s="135"/>
      <c r="P253" s="135"/>
      <c r="Q253" s="135"/>
      <c r="R253" s="135"/>
      <c r="S253" s="135"/>
      <c r="T253" s="135"/>
    </row>
    <row r="254" spans="1:20">
      <c r="A254" s="135"/>
      <c r="B254" s="135"/>
      <c r="C254" s="135"/>
      <c r="D254" s="135"/>
      <c r="E254" s="135"/>
      <c r="F254" s="135"/>
      <c r="G254" s="135"/>
      <c r="H254" s="135"/>
      <c r="I254" s="135"/>
      <c r="J254" s="135"/>
      <c r="K254" s="135"/>
      <c r="L254" s="135"/>
      <c r="M254" s="135"/>
      <c r="N254" s="135"/>
      <c r="O254" s="135"/>
      <c r="P254" s="135"/>
      <c r="Q254" s="135"/>
      <c r="R254" s="135"/>
      <c r="S254" s="135"/>
      <c r="T254" s="135"/>
    </row>
    <row r="255" spans="1:20">
      <c r="A255" s="135"/>
      <c r="B255" s="135"/>
      <c r="C255" s="135"/>
      <c r="D255" s="135"/>
      <c r="E255" s="135"/>
      <c r="F255" s="135"/>
      <c r="G255" s="135"/>
      <c r="H255" s="135"/>
      <c r="I255" s="135"/>
      <c r="J255" s="135"/>
      <c r="K255" s="135"/>
      <c r="L255" s="135"/>
      <c r="M255" s="135"/>
      <c r="N255" s="135"/>
      <c r="O255" s="135"/>
      <c r="P255" s="135"/>
      <c r="Q255" s="135"/>
      <c r="R255" s="135"/>
      <c r="S255" s="135"/>
      <c r="T255" s="135"/>
    </row>
    <row r="256" spans="1:20">
      <c r="A256" s="135"/>
      <c r="B256" s="135"/>
      <c r="C256" s="135"/>
      <c r="D256" s="135"/>
      <c r="E256" s="135"/>
      <c r="F256" s="135"/>
      <c r="G256" s="135"/>
      <c r="H256" s="135"/>
      <c r="I256" s="135"/>
      <c r="J256" s="135"/>
      <c r="K256" s="135"/>
      <c r="L256" s="135"/>
      <c r="M256" s="135"/>
      <c r="N256" s="135"/>
      <c r="O256" s="135"/>
      <c r="P256" s="135"/>
      <c r="Q256" s="135"/>
      <c r="R256" s="135"/>
      <c r="S256" s="135"/>
      <c r="T256" s="135"/>
    </row>
    <row r="257" spans="1:20">
      <c r="A257" s="135"/>
      <c r="B257" s="135"/>
      <c r="C257" s="135"/>
      <c r="D257" s="135"/>
      <c r="E257" s="135"/>
      <c r="F257" s="135"/>
      <c r="G257" s="135"/>
      <c r="H257" s="135"/>
      <c r="I257" s="135"/>
      <c r="J257" s="135"/>
      <c r="K257" s="135"/>
      <c r="L257" s="135"/>
      <c r="M257" s="135"/>
      <c r="N257" s="135"/>
      <c r="O257" s="135"/>
      <c r="P257" s="135"/>
      <c r="Q257" s="135"/>
      <c r="R257" s="135"/>
      <c r="S257" s="135"/>
      <c r="T257" s="135"/>
    </row>
    <row r="258" spans="1:20">
      <c r="A258" s="135"/>
      <c r="B258" s="135"/>
      <c r="C258" s="135"/>
      <c r="D258" s="135"/>
      <c r="E258" s="135"/>
      <c r="F258" s="135"/>
      <c r="G258" s="135"/>
      <c r="H258" s="135"/>
      <c r="I258" s="135"/>
      <c r="J258" s="135"/>
      <c r="K258" s="135"/>
      <c r="L258" s="135"/>
      <c r="M258" s="135"/>
      <c r="N258" s="135"/>
      <c r="O258" s="135"/>
      <c r="P258" s="135"/>
      <c r="Q258" s="135"/>
      <c r="R258" s="135"/>
      <c r="S258" s="135"/>
      <c r="T258" s="135"/>
    </row>
    <row r="259" spans="1:20">
      <c r="A259" s="135"/>
      <c r="B259" s="135"/>
      <c r="C259" s="135"/>
      <c r="D259" s="135"/>
      <c r="E259" s="135"/>
      <c r="F259" s="135"/>
      <c r="G259" s="135"/>
      <c r="H259" s="135"/>
      <c r="I259" s="135"/>
      <c r="J259" s="135"/>
      <c r="K259" s="135"/>
      <c r="L259" s="135"/>
      <c r="M259" s="135"/>
      <c r="N259" s="135"/>
      <c r="O259" s="135"/>
      <c r="P259" s="135"/>
      <c r="Q259" s="135"/>
      <c r="R259" s="135"/>
      <c r="S259" s="135"/>
      <c r="T259" s="135"/>
    </row>
    <row r="260" spans="1:20">
      <c r="A260" s="135"/>
      <c r="B260" s="135"/>
      <c r="C260" s="135"/>
      <c r="D260" s="135"/>
      <c r="E260" s="135"/>
      <c r="F260" s="135"/>
      <c r="G260" s="135"/>
      <c r="H260" s="135"/>
      <c r="I260" s="135"/>
      <c r="J260" s="135"/>
      <c r="K260" s="135"/>
      <c r="L260" s="135"/>
      <c r="M260" s="135"/>
      <c r="N260" s="135"/>
      <c r="O260" s="135"/>
      <c r="P260" s="135"/>
      <c r="Q260" s="135"/>
      <c r="R260" s="135"/>
      <c r="S260" s="135"/>
      <c r="T260" s="135"/>
    </row>
    <row r="261" spans="1:20">
      <c r="A261" s="135"/>
      <c r="B261" s="135"/>
      <c r="C261" s="135"/>
      <c r="D261" s="135"/>
      <c r="E261" s="135"/>
      <c r="F261" s="135"/>
      <c r="G261" s="135"/>
      <c r="H261" s="135"/>
      <c r="I261" s="135"/>
      <c r="J261" s="135"/>
      <c r="K261" s="135"/>
      <c r="L261" s="135"/>
      <c r="M261" s="135"/>
      <c r="N261" s="135"/>
      <c r="O261" s="135"/>
      <c r="P261" s="135"/>
      <c r="Q261" s="135"/>
      <c r="R261" s="135"/>
      <c r="S261" s="135"/>
      <c r="T261" s="135"/>
    </row>
    <row r="262" spans="1:20">
      <c r="A262" s="135"/>
      <c r="B262" s="135"/>
      <c r="C262" s="135"/>
      <c r="D262" s="135"/>
      <c r="E262" s="135"/>
      <c r="F262" s="135"/>
      <c r="G262" s="135"/>
      <c r="H262" s="135"/>
      <c r="I262" s="135"/>
      <c r="J262" s="135"/>
      <c r="K262" s="135"/>
      <c r="L262" s="135"/>
      <c r="M262" s="135"/>
      <c r="N262" s="135"/>
      <c r="O262" s="135"/>
      <c r="P262" s="135"/>
      <c r="Q262" s="135"/>
      <c r="R262" s="135"/>
      <c r="S262" s="135"/>
      <c r="T262" s="135"/>
    </row>
    <row r="263" spans="1:20">
      <c r="A263" s="135"/>
      <c r="B263" s="135"/>
      <c r="C263" s="135"/>
      <c r="D263" s="135"/>
      <c r="E263" s="135"/>
      <c r="F263" s="135"/>
      <c r="G263" s="135"/>
      <c r="H263" s="135"/>
      <c r="I263" s="135"/>
      <c r="J263" s="135"/>
      <c r="K263" s="135"/>
      <c r="L263" s="135"/>
      <c r="M263" s="135"/>
      <c r="N263" s="135"/>
      <c r="O263" s="135"/>
      <c r="P263" s="135"/>
      <c r="Q263" s="135"/>
      <c r="R263" s="135"/>
      <c r="S263" s="135"/>
      <c r="T263" s="135"/>
    </row>
    <row r="264" spans="1:20">
      <c r="A264" s="135"/>
      <c r="B264" s="135"/>
      <c r="C264" s="135"/>
      <c r="D264" s="135"/>
      <c r="E264" s="135"/>
      <c r="F264" s="135"/>
      <c r="G264" s="135"/>
      <c r="H264" s="135"/>
      <c r="I264" s="135"/>
      <c r="J264" s="135"/>
      <c r="K264" s="135"/>
      <c r="L264" s="135"/>
      <c r="M264" s="135"/>
      <c r="N264" s="135"/>
      <c r="O264" s="135"/>
      <c r="P264" s="135"/>
      <c r="Q264" s="135"/>
      <c r="R264" s="135"/>
      <c r="S264" s="135"/>
      <c r="T264" s="135"/>
    </row>
    <row r="265" spans="1:20">
      <c r="A265" s="135"/>
      <c r="B265" s="135"/>
      <c r="C265" s="135"/>
      <c r="D265" s="135"/>
      <c r="E265" s="135"/>
      <c r="F265" s="135"/>
      <c r="G265" s="135"/>
      <c r="H265" s="135"/>
      <c r="I265" s="135"/>
      <c r="J265" s="135"/>
      <c r="K265" s="135"/>
      <c r="L265" s="135"/>
      <c r="M265" s="135"/>
      <c r="N265" s="135"/>
      <c r="O265" s="135"/>
      <c r="P265" s="135"/>
      <c r="Q265" s="135"/>
      <c r="R265" s="135"/>
      <c r="S265" s="135"/>
      <c r="T265" s="135"/>
    </row>
    <row r="266" spans="1:20">
      <c r="A266" s="135"/>
      <c r="B266" s="135"/>
      <c r="C266" s="135"/>
      <c r="D266" s="135"/>
      <c r="E266" s="135"/>
      <c r="F266" s="135"/>
      <c r="G266" s="135"/>
      <c r="H266" s="135"/>
      <c r="I266" s="135"/>
      <c r="J266" s="135"/>
      <c r="K266" s="135"/>
      <c r="L266" s="135"/>
      <c r="M266" s="135"/>
      <c r="N266" s="135"/>
      <c r="O266" s="135"/>
      <c r="P266" s="135"/>
      <c r="Q266" s="135"/>
      <c r="R266" s="135"/>
      <c r="S266" s="135"/>
      <c r="T266" s="135"/>
    </row>
    <row r="267" spans="1:20">
      <c r="A267" s="135"/>
      <c r="B267" s="135"/>
      <c r="C267" s="135"/>
      <c r="D267" s="135"/>
      <c r="E267" s="135"/>
      <c r="F267" s="135"/>
      <c r="G267" s="135"/>
      <c r="H267" s="135"/>
      <c r="I267" s="135"/>
      <c r="J267" s="135"/>
      <c r="K267" s="135"/>
      <c r="L267" s="135"/>
      <c r="M267" s="135"/>
      <c r="N267" s="135"/>
      <c r="O267" s="135"/>
      <c r="P267" s="135"/>
      <c r="Q267" s="135"/>
      <c r="R267" s="135"/>
      <c r="S267" s="135"/>
      <c r="T267" s="135"/>
    </row>
    <row r="268" spans="1:20">
      <c r="A268" s="135"/>
      <c r="B268" s="135"/>
      <c r="C268" s="135"/>
      <c r="D268" s="135"/>
      <c r="E268" s="135"/>
      <c r="F268" s="135"/>
      <c r="G268" s="135"/>
      <c r="H268" s="135"/>
      <c r="I268" s="135"/>
      <c r="J268" s="135"/>
      <c r="K268" s="135"/>
      <c r="L268" s="135"/>
      <c r="M268" s="135"/>
      <c r="N268" s="135"/>
      <c r="O268" s="135"/>
      <c r="P268" s="135"/>
      <c r="Q268" s="135"/>
      <c r="R268" s="135"/>
      <c r="S268" s="135"/>
      <c r="T268" s="135"/>
    </row>
    <row r="269" spans="1:20">
      <c r="A269" s="135"/>
      <c r="B269" s="135"/>
      <c r="C269" s="135"/>
      <c r="D269" s="135"/>
      <c r="E269" s="135"/>
      <c r="F269" s="135"/>
      <c r="G269" s="135"/>
      <c r="H269" s="135"/>
      <c r="I269" s="135"/>
      <c r="J269" s="135"/>
      <c r="K269" s="135"/>
      <c r="L269" s="135"/>
      <c r="M269" s="135"/>
      <c r="N269" s="135"/>
      <c r="O269" s="135"/>
      <c r="P269" s="135"/>
      <c r="Q269" s="135"/>
      <c r="R269" s="135"/>
      <c r="S269" s="135"/>
      <c r="T269" s="135"/>
    </row>
    <row r="270" spans="1:20">
      <c r="A270" s="135"/>
      <c r="B270" s="135"/>
      <c r="C270" s="135"/>
      <c r="D270" s="135"/>
      <c r="E270" s="135"/>
      <c r="F270" s="135"/>
      <c r="G270" s="135"/>
      <c r="H270" s="135"/>
      <c r="I270" s="135"/>
      <c r="J270" s="135"/>
      <c r="K270" s="135"/>
      <c r="L270" s="135"/>
      <c r="M270" s="135"/>
      <c r="N270" s="135"/>
      <c r="O270" s="135"/>
      <c r="P270" s="135"/>
      <c r="Q270" s="135"/>
      <c r="R270" s="135"/>
      <c r="S270" s="135"/>
      <c r="T270" s="135"/>
    </row>
    <row r="271" spans="1:20">
      <c r="A271" s="135"/>
      <c r="B271" s="135"/>
      <c r="C271" s="135"/>
      <c r="D271" s="135"/>
      <c r="E271" s="135"/>
      <c r="F271" s="135"/>
      <c r="G271" s="135"/>
      <c r="H271" s="135"/>
      <c r="I271" s="135"/>
      <c r="J271" s="135"/>
      <c r="K271" s="135"/>
      <c r="L271" s="135"/>
      <c r="M271" s="135"/>
      <c r="N271" s="135"/>
      <c r="O271" s="135"/>
      <c r="P271" s="135"/>
      <c r="Q271" s="135"/>
      <c r="R271" s="135"/>
      <c r="S271" s="135"/>
      <c r="T271" s="135"/>
    </row>
    <row r="272" spans="1:20">
      <c r="A272" s="135"/>
      <c r="B272" s="135"/>
      <c r="C272" s="135"/>
      <c r="D272" s="135"/>
      <c r="E272" s="135"/>
      <c r="F272" s="135"/>
      <c r="G272" s="135"/>
      <c r="H272" s="135"/>
      <c r="I272" s="135"/>
      <c r="J272" s="135"/>
      <c r="K272" s="135"/>
      <c r="L272" s="135"/>
      <c r="M272" s="135"/>
      <c r="N272" s="135"/>
      <c r="O272" s="135"/>
      <c r="P272" s="135"/>
      <c r="Q272" s="135"/>
      <c r="R272" s="135"/>
      <c r="S272" s="135"/>
      <c r="T272" s="135"/>
    </row>
    <row r="273" spans="1:20">
      <c r="A273" s="135"/>
      <c r="B273" s="135"/>
      <c r="C273" s="135"/>
      <c r="D273" s="135"/>
      <c r="E273" s="135"/>
      <c r="F273" s="135"/>
      <c r="G273" s="135"/>
      <c r="H273" s="135"/>
      <c r="I273" s="135"/>
      <c r="J273" s="135"/>
      <c r="K273" s="135"/>
      <c r="L273" s="135"/>
      <c r="M273" s="135"/>
      <c r="N273" s="135"/>
      <c r="O273" s="135"/>
      <c r="P273" s="135"/>
      <c r="Q273" s="135"/>
      <c r="R273" s="135"/>
      <c r="S273" s="135"/>
      <c r="T273" s="135"/>
    </row>
    <row r="274" spans="1:20">
      <c r="A274" s="135"/>
      <c r="B274" s="135"/>
      <c r="C274" s="135"/>
      <c r="D274" s="135"/>
      <c r="E274" s="135"/>
      <c r="F274" s="135"/>
      <c r="G274" s="135"/>
      <c r="H274" s="135"/>
      <c r="I274" s="135"/>
      <c r="J274" s="135"/>
      <c r="K274" s="135"/>
      <c r="L274" s="135"/>
      <c r="M274" s="135"/>
      <c r="N274" s="135"/>
      <c r="O274" s="135"/>
      <c r="P274" s="135"/>
      <c r="Q274" s="135"/>
      <c r="R274" s="135"/>
      <c r="S274" s="135"/>
      <c r="T274" s="135"/>
    </row>
    <row r="275" spans="1:20">
      <c r="A275" s="135"/>
      <c r="B275" s="135"/>
      <c r="C275" s="135"/>
      <c r="D275" s="135"/>
      <c r="E275" s="135"/>
      <c r="F275" s="135"/>
      <c r="G275" s="135"/>
      <c r="H275" s="135"/>
      <c r="I275" s="135"/>
      <c r="J275" s="135"/>
      <c r="K275" s="135"/>
      <c r="L275" s="135"/>
      <c r="M275" s="135"/>
      <c r="N275" s="135"/>
      <c r="O275" s="135"/>
      <c r="P275" s="135"/>
      <c r="Q275" s="135"/>
      <c r="R275" s="135"/>
      <c r="S275" s="135"/>
      <c r="T275" s="135"/>
    </row>
    <row r="276" spans="1:20">
      <c r="A276" s="135"/>
      <c r="B276" s="135"/>
      <c r="C276" s="135"/>
      <c r="D276" s="135"/>
      <c r="E276" s="135"/>
      <c r="F276" s="135"/>
      <c r="G276" s="135"/>
      <c r="H276" s="135"/>
      <c r="I276" s="135"/>
      <c r="J276" s="135"/>
      <c r="K276" s="135"/>
      <c r="L276" s="135"/>
      <c r="M276" s="135"/>
      <c r="N276" s="135"/>
      <c r="O276" s="135"/>
      <c r="P276" s="135"/>
      <c r="Q276" s="135"/>
      <c r="R276" s="135"/>
      <c r="S276" s="135"/>
      <c r="T276" s="135"/>
    </row>
    <row r="277" spans="1:20">
      <c r="A277" s="135"/>
      <c r="B277" s="135"/>
      <c r="C277" s="135"/>
      <c r="D277" s="135"/>
      <c r="E277" s="135"/>
      <c r="F277" s="135"/>
      <c r="G277" s="135"/>
      <c r="H277" s="135"/>
      <c r="I277" s="135"/>
      <c r="J277" s="135"/>
      <c r="K277" s="135"/>
      <c r="L277" s="135"/>
      <c r="M277" s="135"/>
      <c r="N277" s="135"/>
      <c r="O277" s="135"/>
      <c r="P277" s="135"/>
      <c r="Q277" s="135"/>
      <c r="R277" s="135"/>
      <c r="S277" s="135"/>
      <c r="T277" s="135"/>
    </row>
    <row r="278" spans="1:20">
      <c r="A278" s="135"/>
      <c r="B278" s="135"/>
      <c r="C278" s="135"/>
      <c r="D278" s="135"/>
      <c r="E278" s="135"/>
      <c r="F278" s="135"/>
      <c r="G278" s="135"/>
      <c r="H278" s="135"/>
      <c r="I278" s="135"/>
      <c r="J278" s="135"/>
      <c r="K278" s="135"/>
      <c r="L278" s="135"/>
      <c r="M278" s="135"/>
      <c r="N278" s="135"/>
      <c r="O278" s="135"/>
      <c r="P278" s="135"/>
      <c r="Q278" s="135"/>
      <c r="R278" s="135"/>
      <c r="S278" s="135"/>
      <c r="T278" s="135"/>
    </row>
    <row r="279" spans="1:20">
      <c r="A279" s="135"/>
      <c r="B279" s="135"/>
      <c r="C279" s="135"/>
      <c r="D279" s="135"/>
      <c r="E279" s="135"/>
      <c r="F279" s="135"/>
      <c r="G279" s="135"/>
      <c r="H279" s="135"/>
      <c r="I279" s="135"/>
      <c r="J279" s="135"/>
      <c r="K279" s="135"/>
      <c r="L279" s="135"/>
      <c r="M279" s="135"/>
      <c r="N279" s="135"/>
      <c r="O279" s="135"/>
      <c r="P279" s="135"/>
      <c r="Q279" s="135"/>
      <c r="R279" s="135"/>
      <c r="S279" s="135"/>
      <c r="T279" s="135"/>
    </row>
    <row r="280" spans="1:20">
      <c r="A280" s="135"/>
      <c r="B280" s="135"/>
      <c r="C280" s="135"/>
      <c r="D280" s="135"/>
      <c r="E280" s="135"/>
      <c r="F280" s="135"/>
      <c r="G280" s="135"/>
      <c r="H280" s="135"/>
      <c r="I280" s="135"/>
      <c r="J280" s="135"/>
      <c r="K280" s="135"/>
      <c r="L280" s="135"/>
      <c r="M280" s="135"/>
      <c r="N280" s="135"/>
      <c r="O280" s="135"/>
      <c r="P280" s="135"/>
      <c r="Q280" s="135"/>
      <c r="R280" s="135"/>
      <c r="S280" s="135"/>
      <c r="T280" s="135"/>
    </row>
    <row r="281" spans="1:20">
      <c r="A281" s="135"/>
      <c r="B281" s="135"/>
      <c r="C281" s="135"/>
      <c r="D281" s="135"/>
      <c r="E281" s="135"/>
      <c r="F281" s="135"/>
      <c r="G281" s="135"/>
      <c r="H281" s="135"/>
      <c r="I281" s="135"/>
      <c r="J281" s="135"/>
      <c r="K281" s="135"/>
      <c r="L281" s="135"/>
      <c r="M281" s="135"/>
      <c r="N281" s="135"/>
      <c r="O281" s="135"/>
      <c r="P281" s="135"/>
      <c r="Q281" s="135"/>
      <c r="R281" s="135"/>
      <c r="S281" s="135"/>
      <c r="T281" s="135"/>
    </row>
    <row r="282" spans="1:20">
      <c r="A282" s="135"/>
      <c r="B282" s="135"/>
      <c r="C282" s="135"/>
      <c r="D282" s="135"/>
      <c r="E282" s="135"/>
      <c r="F282" s="135"/>
      <c r="G282" s="135"/>
      <c r="H282" s="135"/>
      <c r="I282" s="135"/>
      <c r="J282" s="135"/>
      <c r="K282" s="135"/>
      <c r="L282" s="135"/>
      <c r="M282" s="135"/>
      <c r="N282" s="135"/>
      <c r="O282" s="135"/>
      <c r="P282" s="135"/>
      <c r="Q282" s="135"/>
      <c r="R282" s="135"/>
      <c r="S282" s="135"/>
      <c r="T282" s="135"/>
    </row>
    <row r="283" spans="1:20">
      <c r="A283" s="135"/>
      <c r="B283" s="135"/>
      <c r="C283" s="135"/>
      <c r="D283" s="135"/>
      <c r="E283" s="135"/>
      <c r="F283" s="135"/>
      <c r="G283" s="135"/>
      <c r="H283" s="135"/>
      <c r="I283" s="135"/>
      <c r="J283" s="135"/>
      <c r="K283" s="135"/>
      <c r="L283" s="135"/>
      <c r="M283" s="135"/>
      <c r="N283" s="135"/>
      <c r="O283" s="135"/>
      <c r="P283" s="135"/>
      <c r="Q283" s="135"/>
      <c r="R283" s="135"/>
      <c r="S283" s="135"/>
      <c r="T283" s="135"/>
    </row>
    <row r="284" spans="1:20">
      <c r="A284" s="135"/>
      <c r="B284" s="135"/>
      <c r="C284" s="135"/>
      <c r="D284" s="135"/>
      <c r="E284" s="135"/>
      <c r="F284" s="135"/>
      <c r="G284" s="135"/>
      <c r="H284" s="135"/>
      <c r="I284" s="135"/>
      <c r="J284" s="135"/>
      <c r="K284" s="135"/>
      <c r="L284" s="135"/>
      <c r="M284" s="135"/>
      <c r="N284" s="135"/>
      <c r="O284" s="135"/>
      <c r="P284" s="135"/>
      <c r="Q284" s="135"/>
      <c r="R284" s="135"/>
      <c r="S284" s="135"/>
      <c r="T284" s="135"/>
    </row>
    <row r="285" spans="1:20">
      <c r="A285" s="135"/>
      <c r="B285" s="135"/>
      <c r="C285" s="135"/>
      <c r="D285" s="135"/>
      <c r="E285" s="135"/>
      <c r="F285" s="135"/>
      <c r="G285" s="135"/>
      <c r="H285" s="135"/>
      <c r="I285" s="135"/>
      <c r="J285" s="135"/>
      <c r="K285" s="135"/>
      <c r="L285" s="135"/>
      <c r="M285" s="135"/>
      <c r="N285" s="135"/>
      <c r="O285" s="135"/>
      <c r="P285" s="135"/>
      <c r="Q285" s="135"/>
      <c r="R285" s="135"/>
      <c r="S285" s="135"/>
      <c r="T285" s="135"/>
    </row>
    <row r="286" spans="1:20">
      <c r="A286" s="135"/>
      <c r="B286" s="135"/>
      <c r="C286" s="135"/>
      <c r="D286" s="135"/>
      <c r="E286" s="135"/>
      <c r="F286" s="135"/>
      <c r="G286" s="135"/>
      <c r="H286" s="135"/>
      <c r="I286" s="135"/>
      <c r="J286" s="135"/>
      <c r="K286" s="135"/>
      <c r="L286" s="135"/>
      <c r="M286" s="135"/>
      <c r="N286" s="135"/>
      <c r="O286" s="135"/>
      <c r="P286" s="135"/>
      <c r="Q286" s="135"/>
      <c r="R286" s="135"/>
      <c r="S286" s="135"/>
      <c r="T286" s="135"/>
    </row>
    <row r="287" spans="1:20">
      <c r="A287" s="135"/>
      <c r="B287" s="135"/>
      <c r="C287" s="135"/>
      <c r="D287" s="135"/>
      <c r="E287" s="135"/>
      <c r="F287" s="135"/>
      <c r="G287" s="135"/>
      <c r="H287" s="135"/>
      <c r="I287" s="135"/>
      <c r="J287" s="135"/>
      <c r="K287" s="135"/>
      <c r="L287" s="135"/>
      <c r="M287" s="135"/>
      <c r="N287" s="135"/>
      <c r="O287" s="135"/>
      <c r="P287" s="135"/>
      <c r="Q287" s="135"/>
      <c r="R287" s="135"/>
      <c r="S287" s="135"/>
      <c r="T287" s="135"/>
    </row>
    <row r="288" spans="1:20">
      <c r="A288" s="135"/>
      <c r="B288" s="135"/>
      <c r="C288" s="135"/>
      <c r="D288" s="135"/>
      <c r="E288" s="135"/>
      <c r="F288" s="135"/>
      <c r="G288" s="135"/>
      <c r="H288" s="135"/>
      <c r="I288" s="135"/>
      <c r="J288" s="135"/>
      <c r="K288" s="135"/>
      <c r="L288" s="135"/>
      <c r="M288" s="135"/>
      <c r="N288" s="135"/>
      <c r="O288" s="135"/>
      <c r="P288" s="135"/>
      <c r="Q288" s="135"/>
      <c r="R288" s="135"/>
      <c r="S288" s="135"/>
      <c r="T288" s="135"/>
    </row>
    <row r="289" spans="1:20">
      <c r="A289" s="135"/>
      <c r="B289" s="135"/>
      <c r="C289" s="135"/>
      <c r="D289" s="135"/>
      <c r="E289" s="135"/>
      <c r="F289" s="135"/>
      <c r="G289" s="135"/>
      <c r="H289" s="135"/>
      <c r="I289" s="135"/>
      <c r="J289" s="135"/>
      <c r="K289" s="135"/>
      <c r="L289" s="135"/>
      <c r="M289" s="135"/>
      <c r="N289" s="135"/>
      <c r="O289" s="135"/>
      <c r="P289" s="135"/>
      <c r="Q289" s="135"/>
      <c r="R289" s="135"/>
      <c r="S289" s="135"/>
      <c r="T289" s="135"/>
    </row>
    <row r="290" spans="1:20">
      <c r="A290" s="135"/>
      <c r="B290" s="135"/>
      <c r="C290" s="135"/>
      <c r="D290" s="135"/>
      <c r="E290" s="135"/>
      <c r="F290" s="135"/>
      <c r="G290" s="135"/>
      <c r="H290" s="135"/>
      <c r="I290" s="135"/>
      <c r="J290" s="135"/>
      <c r="K290" s="135"/>
      <c r="L290" s="135"/>
      <c r="M290" s="135"/>
      <c r="N290" s="135"/>
      <c r="O290" s="135"/>
      <c r="P290" s="135"/>
      <c r="Q290" s="135"/>
      <c r="R290" s="135"/>
      <c r="S290" s="135"/>
      <c r="T290" s="135"/>
    </row>
    <row r="291" spans="1:20">
      <c r="A291" s="135"/>
      <c r="B291" s="135"/>
      <c r="C291" s="135"/>
      <c r="D291" s="135"/>
      <c r="E291" s="135"/>
      <c r="F291" s="135"/>
      <c r="G291" s="135"/>
      <c r="H291" s="135"/>
      <c r="I291" s="135"/>
      <c r="J291" s="135"/>
      <c r="K291" s="135"/>
      <c r="L291" s="135"/>
      <c r="M291" s="135"/>
      <c r="N291" s="135"/>
      <c r="O291" s="135"/>
      <c r="P291" s="135"/>
      <c r="Q291" s="135"/>
      <c r="R291" s="135"/>
      <c r="S291" s="135"/>
      <c r="T291" s="135"/>
    </row>
    <row r="292" spans="1:20">
      <c r="A292" s="135"/>
      <c r="B292" s="135"/>
      <c r="C292" s="135"/>
      <c r="D292" s="135"/>
      <c r="E292" s="135"/>
      <c r="F292" s="135"/>
      <c r="G292" s="135"/>
      <c r="H292" s="135"/>
      <c r="I292" s="135"/>
      <c r="J292" s="135"/>
      <c r="K292" s="135"/>
      <c r="L292" s="135"/>
      <c r="M292" s="135"/>
      <c r="N292" s="135"/>
      <c r="O292" s="135"/>
      <c r="P292" s="135"/>
      <c r="Q292" s="135"/>
      <c r="R292" s="135"/>
      <c r="S292" s="135"/>
      <c r="T292" s="135"/>
    </row>
    <row r="293" spans="1:20">
      <c r="A293" s="135"/>
      <c r="B293" s="135"/>
      <c r="C293" s="135"/>
      <c r="D293" s="135"/>
      <c r="E293" s="135"/>
      <c r="F293" s="135"/>
      <c r="G293" s="135"/>
      <c r="H293" s="135"/>
      <c r="I293" s="135"/>
      <c r="J293" s="135"/>
      <c r="K293" s="135"/>
      <c r="L293" s="135"/>
      <c r="M293" s="135"/>
      <c r="N293" s="135"/>
      <c r="O293" s="135"/>
      <c r="P293" s="135"/>
      <c r="Q293" s="135"/>
      <c r="R293" s="135"/>
      <c r="S293" s="135"/>
      <c r="T293" s="135"/>
    </row>
    <row r="294" spans="1:20">
      <c r="A294" s="135"/>
      <c r="B294" s="135"/>
      <c r="C294" s="135"/>
      <c r="D294" s="135"/>
      <c r="E294" s="135"/>
      <c r="F294" s="135"/>
      <c r="G294" s="135"/>
      <c r="H294" s="135"/>
      <c r="I294" s="135"/>
      <c r="J294" s="135"/>
      <c r="K294" s="135"/>
      <c r="L294" s="135"/>
      <c r="M294" s="135"/>
      <c r="N294" s="135"/>
      <c r="O294" s="135"/>
      <c r="P294" s="135"/>
      <c r="Q294" s="135"/>
      <c r="R294" s="135"/>
      <c r="S294" s="135"/>
      <c r="T294" s="135"/>
    </row>
    <row r="295" spans="1:20">
      <c r="A295" s="135"/>
      <c r="B295" s="135"/>
      <c r="C295" s="135"/>
      <c r="D295" s="135"/>
      <c r="E295" s="135"/>
      <c r="F295" s="135"/>
      <c r="G295" s="135"/>
      <c r="H295" s="135"/>
      <c r="I295" s="135"/>
      <c r="J295" s="135"/>
      <c r="K295" s="135"/>
      <c r="L295" s="135"/>
      <c r="M295" s="135"/>
      <c r="N295" s="135"/>
      <c r="O295" s="135"/>
      <c r="P295" s="135"/>
      <c r="Q295" s="135"/>
      <c r="R295" s="135"/>
      <c r="S295" s="135"/>
      <c r="T295" s="135"/>
    </row>
    <row r="296" spans="1:20">
      <c r="A296" s="135"/>
      <c r="B296" s="135"/>
      <c r="C296" s="135"/>
      <c r="D296" s="135"/>
      <c r="E296" s="135"/>
      <c r="F296" s="135"/>
      <c r="G296" s="135"/>
      <c r="H296" s="135"/>
      <c r="I296" s="135"/>
      <c r="J296" s="135"/>
      <c r="K296" s="135"/>
      <c r="L296" s="135"/>
      <c r="M296" s="135"/>
      <c r="N296" s="135"/>
      <c r="O296" s="135"/>
      <c r="P296" s="135"/>
      <c r="Q296" s="135"/>
      <c r="R296" s="135"/>
      <c r="S296" s="135"/>
      <c r="T296" s="135"/>
    </row>
    <row r="297" spans="1:20">
      <c r="A297" s="135"/>
      <c r="B297" s="135"/>
      <c r="C297" s="135"/>
      <c r="D297" s="135"/>
      <c r="E297" s="135"/>
      <c r="F297" s="135"/>
      <c r="G297" s="135"/>
      <c r="H297" s="135"/>
      <c r="I297" s="135"/>
      <c r="J297" s="135"/>
      <c r="K297" s="135"/>
      <c r="L297" s="135"/>
      <c r="M297" s="135"/>
      <c r="N297" s="135"/>
      <c r="O297" s="135"/>
      <c r="P297" s="135"/>
      <c r="Q297" s="135"/>
      <c r="R297" s="135"/>
      <c r="S297" s="135"/>
      <c r="T297" s="135"/>
    </row>
    <row r="298" spans="1:20">
      <c r="A298" s="135"/>
      <c r="B298" s="135"/>
      <c r="C298" s="135"/>
      <c r="D298" s="135"/>
      <c r="E298" s="135"/>
      <c r="F298" s="135"/>
      <c r="G298" s="135"/>
      <c r="H298" s="135"/>
      <c r="I298" s="135"/>
      <c r="J298" s="135"/>
      <c r="K298" s="135"/>
      <c r="L298" s="135"/>
      <c r="M298" s="135"/>
      <c r="N298" s="135"/>
      <c r="O298" s="135"/>
      <c r="P298" s="135"/>
      <c r="Q298" s="135"/>
      <c r="R298" s="135"/>
      <c r="S298" s="135"/>
      <c r="T298" s="135"/>
    </row>
    <row r="299" spans="1:20">
      <c r="A299" s="135"/>
      <c r="B299" s="135"/>
      <c r="C299" s="135"/>
      <c r="D299" s="135"/>
      <c r="E299" s="135"/>
      <c r="F299" s="135"/>
      <c r="G299" s="135"/>
      <c r="H299" s="135"/>
      <c r="I299" s="135"/>
      <c r="J299" s="135"/>
      <c r="K299" s="135"/>
      <c r="L299" s="135"/>
      <c r="M299" s="135"/>
      <c r="N299" s="135"/>
      <c r="O299" s="135"/>
      <c r="P299" s="135"/>
      <c r="Q299" s="135"/>
      <c r="R299" s="135"/>
      <c r="S299" s="135"/>
      <c r="T299" s="135"/>
    </row>
    <row r="300" spans="1:20">
      <c r="K300" s="135"/>
      <c r="L300" s="135"/>
      <c r="M300" s="135"/>
      <c r="N300" s="135"/>
      <c r="O300" s="135"/>
      <c r="P300" s="135"/>
      <c r="Q300" s="135"/>
      <c r="R300" s="135"/>
      <c r="S300" s="135"/>
      <c r="T300" s="135"/>
    </row>
  </sheetData>
  <mergeCells count="1">
    <mergeCell ref="A18:B19"/>
  </mergeCells>
  <conditionalFormatting sqref="D3">
    <cfRule type="expression" dxfId="9" priority="1" stopIfTrue="1">
      <formula>($C3&amp;$D3)="NP"</formula>
    </cfRule>
    <cfRule type="expression" dxfId="8" priority="2" stopIfTrue="1">
      <formula>($C3&amp;$D3)="EG"</formula>
    </cfRule>
  </conditionalFormatting>
  <conditionalFormatting sqref="G3">
    <cfRule type="expression" dxfId="7" priority="3" stopIfTrue="1">
      <formula>$G3="F"</formula>
    </cfRule>
    <cfRule type="expression" dxfId="6" priority="4" stopIfTrue="1">
      <formula>$G3="C"</formula>
    </cfRule>
  </conditionalFormatting>
  <conditionalFormatting sqref="A3:J3">
    <cfRule type="expression" dxfId="5" priority="5" stopIfTrue="1">
      <formula>$C3="N"</formula>
    </cfRule>
    <cfRule type="expression" dxfId="4" priority="6" stopIfTrue="1">
      <formula>$C3&lt;&gt;""</formula>
    </cfRule>
  </conditionalFormatting>
  <conditionalFormatting sqref="D12">
    <cfRule type="expression" dxfId="3" priority="7" stopIfTrue="1">
      <formula>($C12&amp;$D12)="NP"</formula>
    </cfRule>
    <cfRule type="expression" dxfId="2" priority="8" stopIfTrue="1">
      <formula>($C12&amp;$D12)="EG"</formula>
    </cfRule>
  </conditionalFormatting>
  <conditionalFormatting sqref="A12:J12">
    <cfRule type="expression" dxfId="1" priority="9" stopIfTrue="1">
      <formula>$C12="N"</formula>
    </cfRule>
    <cfRule type="expression" dxfId="0" priority="10" stopIfTrue="1">
      <formula>$C12&lt;&gt;""</formula>
    </cfRule>
  </conditionalFormatting>
  <dataValidations count="14">
    <dataValidation type="list" allowBlank="1" showInputMessage="1" showErrorMessage="1" sqref="E35" xr:uid="{64A4C253-AEB6-0746-8088-408393901E28}">
      <formula1>$AB$2:$AB$9</formula1>
    </dataValidation>
    <dataValidation type="list" allowBlank="1" showInputMessage="1" showErrorMessage="1" sqref="F35" xr:uid="{5677D023-EFE8-D448-B8D6-30965607D817}">
      <formula1>$AD$2:$AD$4</formula1>
    </dataValidation>
    <dataValidation type="list" allowBlank="1" showInputMessage="1" showErrorMessage="1" sqref="E28" xr:uid="{4D513F7B-B505-BB45-82B3-1D68C8DA627E}">
      <formula1>$AB$192:$AB$202</formula1>
    </dataValidation>
    <dataValidation type="list" allowBlank="1" showInputMessage="1" showErrorMessage="1" sqref="F28" xr:uid="{1599686B-1E4F-2443-AA72-256F6BD806CB}">
      <formula1>$AD$192:$AD$194</formula1>
    </dataValidation>
    <dataValidation type="list" allowBlank="1" showInputMessage="1" showErrorMessage="1" sqref="C3 C12 C4" xr:uid="{160DAEE1-B35F-794E-8E89-9B3C5D261F9D}">
      <formula1>$W$201:$W$202</formula1>
    </dataValidation>
    <dataValidation type="list" allowBlank="1" showInputMessage="1" showErrorMessage="1" sqref="H3 H4:H6 E12" xr:uid="{DBEF4FDC-3988-BC45-97D1-6C72E0AAEDE7}">
      <formula1>$AB$201:$AB$211</formula1>
    </dataValidation>
    <dataValidation type="list" allowBlank="1" showInputMessage="1" showErrorMessage="1" sqref="D12" xr:uid="{440EAE97-A8C7-E549-B04D-A810FEF449D4}">
      <formula1>$Y$201:$Y$202</formula1>
    </dataValidation>
    <dataValidation type="list" allowBlank="1" showInputMessage="1" showErrorMessage="1" sqref="F12" xr:uid="{786ADD47-E37F-E846-AC64-2F44CD41B497}">
      <formula1>$AD$201:$AD$203</formula1>
    </dataValidation>
    <dataValidation type="list" allowBlank="1" showInputMessage="1" showErrorMessage="1" sqref="E4:E6" xr:uid="{DCF8B176-769B-B74B-9FA0-AC1825394A14}">
      <formula1>$AG$201:$AG$224</formula1>
    </dataValidation>
    <dataValidation type="list" allowBlank="1" showInputMessage="1" showErrorMessage="1" sqref="D3 D4" xr:uid="{7B56866B-A433-5C40-8523-350E76ED41BF}">
      <formula1>$X$201:$X$203</formula1>
    </dataValidation>
    <dataValidation type="list" allowBlank="1" showInputMessage="1" showErrorMessage="1" sqref="F4:F6 F3" xr:uid="{E2D9A05D-2535-F848-87FD-DA190BC2A6A6}">
      <formula1>$Z$201:$Z$205</formula1>
    </dataValidation>
    <dataValidation type="list" allowBlank="1" showInputMessage="1" showErrorMessage="1" sqref="G4:G6 G3" xr:uid="{4B4E4EC1-3EA6-C944-B5F6-4670FB2366D4}">
      <formula1>$AA$201:$AA$202</formula1>
    </dataValidation>
    <dataValidation type="list" allowBlank="1" showInputMessage="1" showErrorMessage="1" sqref="I4:I6 I3" xr:uid="{07CD3060-D2EB-C741-AAEA-69684ABFC2BF}">
      <formula1>$AC$201:$AC$206</formula1>
    </dataValidation>
    <dataValidation type="list" allowBlank="1" showInputMessage="1" showErrorMessage="1" sqref="E3" xr:uid="{F54610B6-940D-1D41-AD3D-7F3B2FE6980F}">
      <formula1>$AG$201:$AG$226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M52" workbookViewId="0">
      <selection activeCell="Q65" sqref="Q65"/>
    </sheetView>
    <sheetView workbookViewId="1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31.33203125" customWidth="1"/>
    <col min="27" max="27" width="0" hidden="1" customWidth="1"/>
  </cols>
  <sheetData>
    <row r="1" spans="1:27" ht="30" customHeight="1">
      <c r="A1" t="s">
        <v>66</v>
      </c>
      <c r="C1" s="15" t="s">
        <v>186</v>
      </c>
      <c r="D1" s="15"/>
      <c r="F1" s="22" t="s">
        <v>109</v>
      </c>
      <c r="G1" s="23" t="s">
        <v>110</v>
      </c>
      <c r="I1" s="24" t="s">
        <v>115</v>
      </c>
      <c r="K1" s="76" t="s">
        <v>113</v>
      </c>
      <c r="N1" t="s">
        <v>151</v>
      </c>
      <c r="Q1" s="24" t="s">
        <v>76</v>
      </c>
      <c r="R1" s="24" t="s">
        <v>116</v>
      </c>
      <c r="T1" t="s">
        <v>485</v>
      </c>
      <c r="V1" t="s">
        <v>487</v>
      </c>
      <c r="AA1" t="s">
        <v>152</v>
      </c>
    </row>
    <row r="2" spans="1:27" ht="30" customHeight="1">
      <c r="C2" s="19" t="s">
        <v>176</v>
      </c>
      <c r="D2" s="19"/>
      <c r="F2" s="17" t="s">
        <v>99</v>
      </c>
      <c r="G2" s="10"/>
      <c r="I2" s="18" t="s">
        <v>47</v>
      </c>
      <c r="K2" s="308" t="s">
        <v>42</v>
      </c>
      <c r="N2" t="s">
        <v>152</v>
      </c>
      <c r="Q2" s="18" t="s">
        <v>77</v>
      </c>
      <c r="R2" s="18" t="s">
        <v>8</v>
      </c>
      <c r="T2" t="s">
        <v>455</v>
      </c>
      <c r="AA2" t="s">
        <v>168</v>
      </c>
    </row>
    <row r="3" spans="1:27" ht="30" customHeight="1">
      <c r="C3" s="19" t="s">
        <v>185</v>
      </c>
      <c r="D3" s="19"/>
      <c r="F3" s="20" t="s">
        <v>100</v>
      </c>
      <c r="G3" s="4"/>
      <c r="I3" s="25" t="s">
        <v>112</v>
      </c>
      <c r="K3" s="308" t="s">
        <v>32</v>
      </c>
      <c r="N3" t="s">
        <v>168</v>
      </c>
      <c r="Q3" s="21" t="s">
        <v>78</v>
      </c>
      <c r="R3" s="21" t="s">
        <v>57</v>
      </c>
      <c r="T3" t="s">
        <v>456</v>
      </c>
      <c r="AA3" t="s">
        <v>42</v>
      </c>
    </row>
    <row r="4" spans="1:27" ht="30" customHeight="1">
      <c r="C4" s="19" t="s">
        <v>187</v>
      </c>
      <c r="D4" s="19"/>
      <c r="F4" s="17" t="s">
        <v>101</v>
      </c>
      <c r="G4" s="5"/>
      <c r="Q4" s="18" t="s">
        <v>79</v>
      </c>
      <c r="R4" s="18" t="s">
        <v>9</v>
      </c>
      <c r="T4" t="s">
        <v>457</v>
      </c>
      <c r="AA4" t="s">
        <v>32</v>
      </c>
    </row>
    <row r="5" spans="1:27" ht="30" customHeight="1">
      <c r="C5" s="19"/>
      <c r="D5" s="19"/>
      <c r="F5" s="20" t="s">
        <v>102</v>
      </c>
      <c r="G5" s="6"/>
      <c r="I5" s="24" t="s">
        <v>114</v>
      </c>
      <c r="K5" s="16" t="s">
        <v>285</v>
      </c>
      <c r="Q5" s="21" t="s">
        <v>80</v>
      </c>
      <c r="R5" s="21" t="s">
        <v>81</v>
      </c>
      <c r="T5" t="s">
        <v>458</v>
      </c>
    </row>
    <row r="6" spans="1:27" ht="30" customHeight="1">
      <c r="C6" s="19" t="s">
        <v>188</v>
      </c>
      <c r="D6" s="19"/>
      <c r="F6" s="17" t="s">
        <v>104</v>
      </c>
      <c r="G6" s="7"/>
      <c r="I6" s="18" t="s">
        <v>46</v>
      </c>
      <c r="K6" t="s">
        <v>286</v>
      </c>
      <c r="Q6" s="18" t="s">
        <v>82</v>
      </c>
      <c r="R6" s="18" t="s">
        <v>83</v>
      </c>
      <c r="T6" t="s">
        <v>459</v>
      </c>
    </row>
    <row r="7" spans="1:27" ht="30" customHeight="1">
      <c r="C7" s="19" t="s">
        <v>177</v>
      </c>
      <c r="D7" s="19"/>
      <c r="F7" s="20" t="s">
        <v>103</v>
      </c>
      <c r="G7" s="14"/>
      <c r="I7" s="25" t="s">
        <v>44</v>
      </c>
      <c r="K7" t="s">
        <v>287</v>
      </c>
      <c r="Q7" s="21" t="s">
        <v>84</v>
      </c>
      <c r="R7" s="21" t="s">
        <v>60</v>
      </c>
      <c r="T7" t="s">
        <v>460</v>
      </c>
    </row>
    <row r="8" spans="1:27" ht="30" customHeight="1">
      <c r="C8" s="19" t="s">
        <v>189</v>
      </c>
      <c r="D8" s="19"/>
      <c r="F8" s="17" t="s">
        <v>105</v>
      </c>
      <c r="G8" s="2"/>
      <c r="Q8" s="18" t="s">
        <v>85</v>
      </c>
      <c r="R8" s="18" t="s">
        <v>58</v>
      </c>
      <c r="T8" t="s">
        <v>461</v>
      </c>
    </row>
    <row r="9" spans="1:27" s="15" customFormat="1" ht="30" customHeight="1">
      <c r="C9" s="19" t="s">
        <v>190</v>
      </c>
      <c r="D9" s="19"/>
      <c r="F9" s="20" t="s">
        <v>106</v>
      </c>
      <c r="G9" s="8"/>
      <c r="K9"/>
      <c r="Q9" s="21" t="s">
        <v>86</v>
      </c>
      <c r="R9" s="21" t="s">
        <v>61</v>
      </c>
      <c r="T9" s="15" t="s">
        <v>462</v>
      </c>
    </row>
    <row r="10" spans="1:27" ht="30" customHeight="1">
      <c r="C10" s="19" t="s">
        <v>265</v>
      </c>
      <c r="D10" s="19"/>
      <c r="F10" s="17" t="s">
        <v>107</v>
      </c>
      <c r="G10" s="118"/>
      <c r="I10" s="45" t="s">
        <v>212</v>
      </c>
      <c r="Q10" s="18" t="s">
        <v>87</v>
      </c>
      <c r="R10" s="18" t="s">
        <v>59</v>
      </c>
      <c r="T10" t="s">
        <v>166</v>
      </c>
    </row>
    <row r="11" spans="1:27" s="15" customFormat="1" ht="30" customHeight="1">
      <c r="D11" s="19"/>
      <c r="F11" s="20" t="s">
        <v>242</v>
      </c>
      <c r="G11" s="83"/>
      <c r="K11"/>
      <c r="Q11" s="21" t="s">
        <v>88</v>
      </c>
      <c r="R11" s="21" t="s">
        <v>62</v>
      </c>
      <c r="T11" s="15" t="s">
        <v>32</v>
      </c>
    </row>
    <row r="12" spans="1:27" ht="30" customHeight="1">
      <c r="C12" s="19" t="s">
        <v>191</v>
      </c>
      <c r="D12" s="19"/>
      <c r="F12" s="17" t="s">
        <v>243</v>
      </c>
      <c r="G12" s="84"/>
      <c r="Q12" s="21" t="s">
        <v>218</v>
      </c>
      <c r="R12" s="21" t="s">
        <v>219</v>
      </c>
      <c r="T12" t="s">
        <v>463</v>
      </c>
    </row>
    <row r="13" spans="1:27" s="15" customFormat="1" ht="30" customHeight="1">
      <c r="C13" s="19" t="s">
        <v>178</v>
      </c>
      <c r="D13" s="19"/>
      <c r="F13" s="20" t="s">
        <v>244</v>
      </c>
      <c r="G13" s="119"/>
      <c r="K13"/>
      <c r="Q13" s="20" t="s">
        <v>173</v>
      </c>
      <c r="R13" s="65" t="s">
        <v>159</v>
      </c>
      <c r="T13" s="15" t="s">
        <v>464</v>
      </c>
    </row>
    <row r="14" spans="1:27" ht="30" customHeight="1">
      <c r="C14" s="19" t="s">
        <v>192</v>
      </c>
      <c r="D14" s="19"/>
      <c r="F14" s="20"/>
      <c r="G14" s="15"/>
      <c r="I14" s="16" t="s">
        <v>122</v>
      </c>
      <c r="Q14" s="20" t="s">
        <v>172</v>
      </c>
      <c r="R14" s="65" t="s">
        <v>160</v>
      </c>
      <c r="T14" t="s">
        <v>465</v>
      </c>
    </row>
    <row r="15" spans="1:27" s="15" customFormat="1" ht="30" customHeight="1">
      <c r="C15" s="19" t="s">
        <v>193</v>
      </c>
      <c r="D15" s="19"/>
      <c r="F15" s="17" t="s">
        <v>108</v>
      </c>
      <c r="G15" s="9"/>
      <c r="I15" s="15" t="s">
        <v>118</v>
      </c>
      <c r="K15"/>
      <c r="Q15" s="20" t="s">
        <v>89</v>
      </c>
      <c r="R15" s="65" t="s">
        <v>52</v>
      </c>
      <c r="T15" s="15" t="s">
        <v>466</v>
      </c>
    </row>
    <row r="16" spans="1:27" ht="30" customHeight="1">
      <c r="C16" s="19"/>
      <c r="D16" s="19"/>
      <c r="I16" s="15" t="s">
        <v>119</v>
      </c>
      <c r="Q16" s="20" t="s">
        <v>90</v>
      </c>
      <c r="R16" s="65" t="s">
        <v>63</v>
      </c>
      <c r="T16" t="s">
        <v>467</v>
      </c>
    </row>
    <row r="17" spans="3:20" s="15" customFormat="1" ht="30" customHeight="1">
      <c r="C17" s="19" t="s">
        <v>200</v>
      </c>
      <c r="D17" s="19"/>
      <c r="F17" s="15" t="s">
        <v>353</v>
      </c>
      <c r="G17" s="145"/>
      <c r="I17" s="15" t="s">
        <v>120</v>
      </c>
      <c r="K17"/>
      <c r="Q17" s="20" t="s">
        <v>91</v>
      </c>
      <c r="R17" s="65" t="s">
        <v>64</v>
      </c>
      <c r="T17" s="15" t="s">
        <v>468</v>
      </c>
    </row>
    <row r="18" spans="3:20" ht="30" customHeight="1">
      <c r="C18" s="19" t="s">
        <v>201</v>
      </c>
      <c r="D18" s="19"/>
      <c r="F18" s="15" t="s">
        <v>354</v>
      </c>
      <c r="G18" s="144"/>
      <c r="I18" s="15" t="s">
        <v>121</v>
      </c>
      <c r="Q18" s="20" t="s">
        <v>92</v>
      </c>
      <c r="R18" s="65" t="s">
        <v>65</v>
      </c>
      <c r="T18" t="s">
        <v>469</v>
      </c>
    </row>
    <row r="19" spans="3:20" ht="30" customHeight="1">
      <c r="C19" s="19" t="s">
        <v>202</v>
      </c>
      <c r="D19" s="19"/>
      <c r="F19" s="15"/>
      <c r="I19" s="15" t="s">
        <v>214</v>
      </c>
      <c r="Q19" s="20" t="s">
        <v>93</v>
      </c>
      <c r="R19" s="65" t="s">
        <v>56</v>
      </c>
      <c r="T19" t="s">
        <v>470</v>
      </c>
    </row>
    <row r="20" spans="3:20" ht="30" customHeight="1">
      <c r="C20" s="19" t="s">
        <v>203</v>
      </c>
      <c r="D20" s="19"/>
      <c r="I20" s="15" t="s">
        <v>215</v>
      </c>
      <c r="Q20" s="20" t="s">
        <v>94</v>
      </c>
      <c r="R20" s="65" t="s">
        <v>53</v>
      </c>
      <c r="T20" t="s">
        <v>471</v>
      </c>
    </row>
    <row r="21" spans="3:20" ht="30" customHeight="1">
      <c r="C21" s="19" t="s">
        <v>204</v>
      </c>
      <c r="D21" s="19"/>
      <c r="Q21" s="20" t="s">
        <v>95</v>
      </c>
      <c r="R21" s="65" t="s">
        <v>54</v>
      </c>
      <c r="T21" t="s">
        <v>472</v>
      </c>
    </row>
    <row r="22" spans="3:20" ht="30" customHeight="1">
      <c r="C22" s="19"/>
      <c r="D22" s="19"/>
      <c r="Q22" s="20" t="s">
        <v>96</v>
      </c>
      <c r="R22" s="65" t="s">
        <v>49</v>
      </c>
      <c r="T22" t="s">
        <v>473</v>
      </c>
    </row>
    <row r="23" spans="3:20" ht="30" customHeight="1">
      <c r="C23" s="19"/>
      <c r="D23" s="19"/>
      <c r="Q23" s="20" t="s">
        <v>97</v>
      </c>
      <c r="R23" s="65" t="s">
        <v>50</v>
      </c>
      <c r="T23" t="s">
        <v>474</v>
      </c>
    </row>
    <row r="24" spans="3:20" ht="30" customHeight="1">
      <c r="C24" s="19"/>
      <c r="D24" s="19"/>
      <c r="Q24" s="20" t="s">
        <v>98</v>
      </c>
      <c r="R24" s="65" t="s">
        <v>37</v>
      </c>
      <c r="T24" t="s">
        <v>475</v>
      </c>
    </row>
    <row r="25" spans="3:20" ht="30" customHeight="1">
      <c r="Q25" s="20" t="s">
        <v>129</v>
      </c>
      <c r="R25" s="65" t="s">
        <v>131</v>
      </c>
      <c r="T25" t="s">
        <v>476</v>
      </c>
    </row>
    <row r="26" spans="3:20" ht="30" customHeight="1">
      <c r="Q26" s="20" t="s">
        <v>130</v>
      </c>
      <c r="R26" s="65" t="s">
        <v>132</v>
      </c>
      <c r="T26" t="s">
        <v>477</v>
      </c>
    </row>
    <row r="27" spans="3:20" ht="30" customHeight="1">
      <c r="Q27" s="20" t="s">
        <v>133</v>
      </c>
      <c r="R27" s="65" t="s">
        <v>134</v>
      </c>
      <c r="T27" t="s">
        <v>478</v>
      </c>
    </row>
    <row r="28" spans="3:20" ht="30" customHeight="1">
      <c r="Q28" s="20" t="s">
        <v>135</v>
      </c>
      <c r="R28" s="65" t="s">
        <v>136</v>
      </c>
      <c r="T28" t="s">
        <v>479</v>
      </c>
    </row>
    <row r="29" spans="3:20" ht="30" customHeight="1">
      <c r="Q29" s="20" t="s">
        <v>137</v>
      </c>
      <c r="R29" s="65" t="s">
        <v>10</v>
      </c>
      <c r="T29" t="s">
        <v>480</v>
      </c>
    </row>
    <row r="30" spans="3:20" ht="30" customHeight="1">
      <c r="Q30" s="20" t="s">
        <v>138</v>
      </c>
      <c r="R30" s="65" t="s">
        <v>139</v>
      </c>
      <c r="T30" t="s">
        <v>388</v>
      </c>
    </row>
    <row r="31" spans="3:20" ht="30" customHeight="1">
      <c r="Q31" s="20" t="s">
        <v>158</v>
      </c>
      <c r="R31" s="65" t="s">
        <v>153</v>
      </c>
      <c r="T31" t="s">
        <v>155</v>
      </c>
    </row>
    <row r="32" spans="3:20" ht="30" customHeight="1">
      <c r="Q32" s="20" t="s">
        <v>161</v>
      </c>
      <c r="R32" s="65" t="s">
        <v>154</v>
      </c>
      <c r="T32" t="s">
        <v>481</v>
      </c>
    </row>
    <row r="33" spans="17:20" ht="30" customHeight="1">
      <c r="Q33" s="20" t="s">
        <v>162</v>
      </c>
      <c r="R33" s="65" t="s">
        <v>155</v>
      </c>
      <c r="T33" t="s">
        <v>411</v>
      </c>
    </row>
    <row r="34" spans="17:20" ht="30" customHeight="1">
      <c r="Q34" s="20" t="s">
        <v>163</v>
      </c>
      <c r="R34" s="65" t="s">
        <v>81</v>
      </c>
      <c r="T34" t="s">
        <v>412</v>
      </c>
    </row>
    <row r="35" spans="17:20" ht="30" customHeight="1">
      <c r="Q35" s="20" t="s">
        <v>164</v>
      </c>
      <c r="R35" s="65" t="s">
        <v>83</v>
      </c>
      <c r="T35" t="s">
        <v>413</v>
      </c>
    </row>
    <row r="36" spans="17:20" ht="30" customHeight="1">
      <c r="Q36" s="20" t="s">
        <v>167</v>
      </c>
      <c r="R36" s="65" t="s">
        <v>32</v>
      </c>
      <c r="T36" t="s">
        <v>414</v>
      </c>
    </row>
    <row r="37" spans="17:20" ht="30" customHeight="1">
      <c r="Q37" s="25" t="s">
        <v>216</v>
      </c>
      <c r="R37" s="25" t="s">
        <v>217</v>
      </c>
      <c r="T37" t="s">
        <v>415</v>
      </c>
    </row>
    <row r="38" spans="17:20" ht="30" customHeight="1">
      <c r="Q38" s="21" t="s">
        <v>222</v>
      </c>
      <c r="R38" s="21" t="s">
        <v>223</v>
      </c>
      <c r="T38" t="s">
        <v>416</v>
      </c>
    </row>
    <row r="39" spans="17:20" ht="30" customHeight="1">
      <c r="Q39" s="21" t="s">
        <v>224</v>
      </c>
      <c r="R39" s="21" t="s">
        <v>225</v>
      </c>
      <c r="T39" t="s">
        <v>417</v>
      </c>
    </row>
    <row r="40" spans="17:20" ht="30" customHeight="1">
      <c r="Q40" s="21" t="s">
        <v>226</v>
      </c>
      <c r="R40" s="21" t="s">
        <v>227</v>
      </c>
      <c r="T40" t="s">
        <v>418</v>
      </c>
    </row>
    <row r="41" spans="17:20" ht="30" customHeight="1">
      <c r="Q41" s="25" t="s">
        <v>228</v>
      </c>
      <c r="R41" s="25" t="s">
        <v>229</v>
      </c>
      <c r="T41" t="s">
        <v>419</v>
      </c>
    </row>
    <row r="42" spans="17:20" ht="30" customHeight="1">
      <c r="Q42" s="25" t="s">
        <v>245</v>
      </c>
      <c r="R42" s="25" t="s">
        <v>246</v>
      </c>
      <c r="T42" t="s">
        <v>420</v>
      </c>
    </row>
    <row r="43" spans="17:20" ht="30" customHeight="1">
      <c r="Q43" s="25" t="s">
        <v>247</v>
      </c>
      <c r="R43" s="25" t="s">
        <v>248</v>
      </c>
      <c r="T43" t="s">
        <v>421</v>
      </c>
    </row>
    <row r="44" spans="17:20" ht="30" customHeight="1">
      <c r="Q44" s="25" t="s">
        <v>249</v>
      </c>
      <c r="R44" s="25" t="s">
        <v>250</v>
      </c>
      <c r="T44" t="s">
        <v>422</v>
      </c>
    </row>
    <row r="45" spans="17:20" ht="30" customHeight="1">
      <c r="Q45" s="25" t="s">
        <v>251</v>
      </c>
      <c r="R45" s="25" t="s">
        <v>257</v>
      </c>
      <c r="T45" t="s">
        <v>423</v>
      </c>
    </row>
    <row r="46" spans="17:20" ht="30" customHeight="1">
      <c r="Q46" s="25" t="s">
        <v>252</v>
      </c>
      <c r="R46" s="25" t="s">
        <v>258</v>
      </c>
      <c r="T46" t="s">
        <v>424</v>
      </c>
    </row>
    <row r="47" spans="17:20" ht="30" customHeight="1">
      <c r="Q47" s="25" t="s">
        <v>253</v>
      </c>
      <c r="R47" s="25" t="s">
        <v>259</v>
      </c>
      <c r="T47" t="s">
        <v>425</v>
      </c>
    </row>
    <row r="48" spans="17:20" ht="30" customHeight="1">
      <c r="Q48" s="25" t="s">
        <v>254</v>
      </c>
      <c r="R48" s="25" t="s">
        <v>260</v>
      </c>
      <c r="T48" t="s">
        <v>426</v>
      </c>
    </row>
    <row r="49" spans="17:20" ht="30" customHeight="1">
      <c r="Q49" s="25" t="s">
        <v>255</v>
      </c>
      <c r="R49" s="25" t="s">
        <v>261</v>
      </c>
      <c r="T49" t="s">
        <v>427</v>
      </c>
    </row>
    <row r="50" spans="17:20" ht="30" customHeight="1">
      <c r="Q50" s="25" t="s">
        <v>256</v>
      </c>
      <c r="R50" s="25" t="s">
        <v>262</v>
      </c>
      <c r="T50" t="s">
        <v>428</v>
      </c>
    </row>
    <row r="51" spans="17:20" ht="30" customHeight="1">
      <c r="Q51" s="21" t="s">
        <v>273</v>
      </c>
      <c r="R51" s="21" t="s">
        <v>276</v>
      </c>
      <c r="T51" t="s">
        <v>494</v>
      </c>
    </row>
    <row r="52" spans="17:20" ht="30" customHeight="1">
      <c r="Q52" s="25" t="s">
        <v>274</v>
      </c>
      <c r="R52" s="25" t="s">
        <v>275</v>
      </c>
    </row>
    <row r="53" spans="17:20" ht="30" customHeight="1">
      <c r="Q53" s="25" t="s">
        <v>280</v>
      </c>
      <c r="R53" s="25" t="s">
        <v>283</v>
      </c>
    </row>
    <row r="54" spans="17:20" ht="30" customHeight="1">
      <c r="Q54" s="25" t="s">
        <v>281</v>
      </c>
      <c r="R54" s="25" t="s">
        <v>282</v>
      </c>
    </row>
    <row r="55" spans="17:20" ht="30" customHeight="1">
      <c r="Q55" s="159" t="s">
        <v>376</v>
      </c>
      <c r="R55" s="159" t="s">
        <v>378</v>
      </c>
    </row>
    <row r="56" spans="17:20" ht="30" customHeight="1">
      <c r="Q56" s="160" t="s">
        <v>377</v>
      </c>
      <c r="R56" s="160" t="s">
        <v>379</v>
      </c>
    </row>
    <row r="57" spans="17:20" ht="30" customHeight="1">
      <c r="Q57" s="21" t="s">
        <v>390</v>
      </c>
      <c r="R57" s="21" t="s">
        <v>391</v>
      </c>
    </row>
    <row r="58" spans="17:20" ht="30" customHeight="1">
      <c r="Q58" s="21" t="s">
        <v>392</v>
      </c>
      <c r="R58" s="21" t="s">
        <v>393</v>
      </c>
    </row>
    <row r="59" spans="17:20" ht="30" customHeight="1">
      <c r="Q59" s="21" t="s">
        <v>394</v>
      </c>
      <c r="R59" s="21" t="s">
        <v>395</v>
      </c>
    </row>
    <row r="60" spans="17:20" ht="30" customHeight="1">
      <c r="Q60" s="21" t="s">
        <v>396</v>
      </c>
      <c r="R60" s="21" t="s">
        <v>397</v>
      </c>
    </row>
    <row r="61" spans="17:20" ht="30" customHeight="1">
      <c r="Q61" s="21" t="s">
        <v>398</v>
      </c>
      <c r="R61" s="21" t="s">
        <v>399</v>
      </c>
    </row>
    <row r="62" spans="17:20" ht="30" customHeight="1">
      <c r="Q62" s="21" t="s">
        <v>400</v>
      </c>
      <c r="R62" s="21" t="s">
        <v>401</v>
      </c>
    </row>
    <row r="63" spans="17:20" ht="30" customHeight="1">
      <c r="Q63" s="21" t="s">
        <v>402</v>
      </c>
      <c r="R63" s="21" t="s">
        <v>403</v>
      </c>
    </row>
    <row r="64" spans="17:20" ht="30" customHeight="1">
      <c r="Q64" s="25" t="s">
        <v>404</v>
      </c>
      <c r="R64" s="25" t="s">
        <v>405</v>
      </c>
    </row>
    <row r="65" spans="17:18" ht="30" customHeight="1">
      <c r="Q65" s="25" t="s">
        <v>441</v>
      </c>
      <c r="R65" s="25" t="s">
        <v>442</v>
      </c>
    </row>
    <row r="66" spans="17:18" ht="30" customHeight="1">
      <c r="Q66" s="25" t="s">
        <v>443</v>
      </c>
      <c r="R66" s="25" t="s">
        <v>444</v>
      </c>
    </row>
    <row r="67" spans="17:18" ht="30" customHeight="1">
      <c r="Q67" s="25" t="s">
        <v>445</v>
      </c>
      <c r="R67" s="25" t="s">
        <v>446</v>
      </c>
    </row>
    <row r="68" spans="17:18" ht="30" customHeight="1">
      <c r="Q68" s="25" t="s">
        <v>447</v>
      </c>
      <c r="R68" s="25" t="s">
        <v>448</v>
      </c>
    </row>
    <row r="69" spans="17:18" ht="30" customHeight="1">
      <c r="Q69" s="25" t="s">
        <v>449</v>
      </c>
      <c r="R69" s="25" t="s">
        <v>450</v>
      </c>
    </row>
    <row r="70" spans="17:18" ht="30" customHeight="1">
      <c r="Q70" s="25" t="s">
        <v>451</v>
      </c>
      <c r="R70" s="25" t="s">
        <v>452</v>
      </c>
    </row>
    <row r="71" spans="17:18" ht="30" customHeight="1"/>
    <row r="72" spans="17:18" ht="30" customHeight="1"/>
    <row r="73" spans="17:18" ht="30" customHeight="1"/>
    <row r="74" spans="17:18" ht="30" customHeight="1"/>
    <row r="75" spans="17:18" ht="30" customHeight="1"/>
    <row r="76" spans="17:18" ht="30" customHeight="1"/>
    <row r="77" spans="17:18" ht="30" customHeight="1"/>
    <row r="78" spans="17:18" ht="30" customHeight="1"/>
    <row r="79" spans="17:18" ht="30" customHeight="1"/>
    <row r="80" spans="17:18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>
      <selection activeCell="D11" sqref="D11"/>
    </sheetView>
    <sheetView workbookViewId="1"/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82" t="s">
        <v>75</v>
      </c>
      <c r="D5" s="282"/>
      <c r="E5" s="282"/>
      <c r="F5" s="282"/>
      <c r="G5" s="282"/>
    </row>
    <row r="6" spans="3:7" ht="14" thickBot="1"/>
    <row r="7" spans="3:7">
      <c r="C7" s="86"/>
      <c r="D7" s="87"/>
      <c r="E7" s="87"/>
      <c r="F7" s="87"/>
      <c r="G7" s="88"/>
    </row>
    <row r="8" spans="3:7">
      <c r="C8" s="89"/>
      <c r="G8" s="90"/>
    </row>
    <row r="9" spans="3:7">
      <c r="C9" s="91" t="s">
        <v>73</v>
      </c>
      <c r="D9" s="95"/>
      <c r="G9" s="90"/>
    </row>
    <row r="10" spans="3:7">
      <c r="C10" s="91"/>
      <c r="G10" s="90"/>
    </row>
    <row r="11" spans="3:7">
      <c r="C11" s="91" t="s">
        <v>74</v>
      </c>
      <c r="D11" s="95"/>
      <c r="G11" s="90"/>
    </row>
    <row r="12" spans="3:7">
      <c r="C12" s="89"/>
      <c r="G12" s="90"/>
    </row>
    <row r="13" spans="3:7" ht="14" thickBot="1">
      <c r="C13" s="92"/>
      <c r="D13" s="93"/>
      <c r="E13" s="93"/>
      <c r="F13" s="93"/>
      <c r="G13" s="94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N26"/>
  <sheetViews>
    <sheetView workbookViewId="0">
      <selection activeCell="F23" sqref="F23:I23"/>
    </sheetView>
    <sheetView workbookViewId="1"/>
  </sheetViews>
  <sheetFormatPr baseColWidth="10" defaultRowHeight="14"/>
  <cols>
    <col min="1" max="1" width="2.83203125" style="100" customWidth="1"/>
    <col min="2" max="2" width="16.83203125" style="100" customWidth="1"/>
    <col min="3" max="14" width="7.33203125" style="100" customWidth="1"/>
    <col min="15" max="29" width="10.83203125" style="100"/>
    <col min="30" max="30" width="0" style="100" hidden="1" customWidth="1"/>
    <col min="31" max="16384" width="10.83203125" style="100"/>
  </cols>
  <sheetData>
    <row r="2" spans="2:14" s="100" customFormat="1" ht="21">
      <c r="B2" s="99" t="s">
        <v>339</v>
      </c>
    </row>
    <row r="3" spans="2:14" s="100" customFormat="1"/>
    <row r="4" spans="2:14" s="100" customFormat="1" ht="20" customHeight="1">
      <c r="B4" s="101" t="s">
        <v>321</v>
      </c>
      <c r="C4" s="289"/>
      <c r="D4" s="289"/>
      <c r="E4" s="285" t="s">
        <v>11</v>
      </c>
      <c r="F4" s="285"/>
      <c r="G4" s="285"/>
    </row>
    <row r="5" spans="2:14" s="100" customFormat="1" ht="20" customHeight="1">
      <c r="B5" s="101" t="s">
        <v>7</v>
      </c>
      <c r="C5" s="289"/>
      <c r="D5" s="289"/>
      <c r="J5" s="290" t="s">
        <v>493</v>
      </c>
      <c r="K5" s="290"/>
      <c r="L5" s="290"/>
    </row>
    <row r="6" spans="2:14" s="100" customFormat="1" ht="20" customHeight="1">
      <c r="B6" s="101" t="s">
        <v>322</v>
      </c>
      <c r="C6" s="289"/>
      <c r="D6" s="289"/>
      <c r="J6" s="290"/>
      <c r="K6" s="290"/>
      <c r="L6" s="290"/>
    </row>
    <row r="7" spans="2:14" s="100" customFormat="1" ht="20" customHeight="1">
      <c r="B7" s="101" t="s">
        <v>323</v>
      </c>
      <c r="C7" s="289"/>
      <c r="D7" s="289"/>
    </row>
    <row r="8" spans="2:14" s="100" customFormat="1" ht="8" customHeight="1"/>
    <row r="9" spans="2:14" s="100" customFormat="1" ht="20" customHeight="1">
      <c r="B9" s="154" t="s">
        <v>324</v>
      </c>
      <c r="C9" s="286"/>
      <c r="D9" s="286"/>
      <c r="E9" s="286"/>
      <c r="F9" s="286"/>
    </row>
    <row r="10" spans="2:14" s="100" customFormat="1" ht="8" customHeight="1"/>
    <row r="11" spans="2:14" s="100" customFormat="1" ht="20" customHeight="1">
      <c r="B11" s="154" t="s">
        <v>328</v>
      </c>
      <c r="C11" s="287">
        <v>2</v>
      </c>
      <c r="D11" s="287"/>
      <c r="E11" s="287">
        <v>3</v>
      </c>
      <c r="F11" s="287"/>
      <c r="G11" s="287">
        <v>4</v>
      </c>
      <c r="H11" s="287"/>
      <c r="I11" s="287">
        <v>5</v>
      </c>
      <c r="J11" s="287"/>
      <c r="K11" s="287">
        <v>6</v>
      </c>
      <c r="L11" s="287"/>
      <c r="M11" s="287" t="s">
        <v>315</v>
      </c>
      <c r="N11" s="287"/>
    </row>
    <row r="12" spans="2:14" s="100" customFormat="1" ht="8" customHeight="1"/>
    <row r="13" spans="2:14" s="100" customFormat="1" ht="20" customHeight="1">
      <c r="B13" s="154" t="s">
        <v>340</v>
      </c>
      <c r="C13" s="287" t="s">
        <v>297</v>
      </c>
      <c r="D13" s="287"/>
      <c r="E13" s="287" t="s">
        <v>298</v>
      </c>
      <c r="F13" s="287"/>
      <c r="G13" s="287" t="s">
        <v>299</v>
      </c>
      <c r="H13" s="287"/>
      <c r="I13" s="287" t="s">
        <v>300</v>
      </c>
      <c r="J13" s="287"/>
      <c r="K13" s="287" t="s">
        <v>301</v>
      </c>
      <c r="L13" s="287"/>
    </row>
    <row r="14" spans="2:14" s="100" customFormat="1" ht="8" customHeight="1"/>
    <row r="15" spans="2:14" s="100" customFormat="1" ht="20" customHeight="1">
      <c r="B15" s="154" t="s">
        <v>326</v>
      </c>
      <c r="C15" s="287" t="s">
        <v>346</v>
      </c>
      <c r="D15" s="287"/>
      <c r="E15" s="287" t="s">
        <v>347</v>
      </c>
      <c r="F15" s="287"/>
    </row>
    <row r="16" spans="2:14" s="100" customFormat="1" ht="8" customHeight="1"/>
    <row r="17" spans="2:14" s="100" customFormat="1" ht="20" customHeight="1">
      <c r="B17" s="158" t="s">
        <v>429</v>
      </c>
      <c r="C17" s="288" t="s">
        <v>435</v>
      </c>
      <c r="D17" s="288"/>
      <c r="E17" s="288"/>
      <c r="F17" s="288"/>
      <c r="G17" s="288"/>
      <c r="I17" s="288" t="s">
        <v>436</v>
      </c>
      <c r="J17" s="288"/>
      <c r="K17" s="288"/>
      <c r="L17" s="288"/>
      <c r="M17" s="288"/>
    </row>
    <row r="18" spans="2:14" s="100" customFormat="1" ht="20" customHeight="1">
      <c r="C18" s="155" t="s">
        <v>430</v>
      </c>
      <c r="D18" s="155" t="s">
        <v>431</v>
      </c>
      <c r="E18" s="155" t="s">
        <v>432</v>
      </c>
      <c r="F18" s="155" t="s">
        <v>433</v>
      </c>
      <c r="G18" s="155" t="s">
        <v>434</v>
      </c>
      <c r="H18" s="155" t="s">
        <v>311</v>
      </c>
      <c r="I18" s="155" t="s">
        <v>434</v>
      </c>
      <c r="J18" s="155" t="s">
        <v>433</v>
      </c>
      <c r="K18" s="155" t="s">
        <v>432</v>
      </c>
      <c r="L18" s="155" t="s">
        <v>431</v>
      </c>
      <c r="M18" s="155" t="s">
        <v>430</v>
      </c>
    </row>
    <row r="19" spans="2:14" s="100" customFormat="1" ht="20" customHeight="1">
      <c r="B19" s="154" t="s">
        <v>438</v>
      </c>
      <c r="C19" s="156"/>
      <c r="D19" s="157"/>
      <c r="E19" s="157"/>
      <c r="F19" s="157"/>
      <c r="G19" s="157"/>
      <c r="H19" s="157"/>
      <c r="I19" s="157"/>
      <c r="J19" s="157"/>
      <c r="K19" s="157"/>
      <c r="L19" s="157"/>
      <c r="M19" s="156"/>
    </row>
    <row r="20" spans="2:14" s="100" customFormat="1" ht="8" customHeight="1"/>
    <row r="21" spans="2:14" s="100" customFormat="1" ht="20" customHeight="1">
      <c r="B21" s="154" t="s">
        <v>329</v>
      </c>
      <c r="C21" s="283"/>
      <c r="D21" s="283"/>
      <c r="E21" s="283"/>
      <c r="F21" s="283"/>
      <c r="G21" s="283"/>
      <c r="H21" s="283"/>
      <c r="I21" s="283"/>
      <c r="J21" s="283"/>
      <c r="K21" s="283"/>
      <c r="L21" s="283"/>
      <c r="M21" s="283"/>
      <c r="N21" s="283"/>
    </row>
    <row r="22" spans="2:14" s="100" customFormat="1" ht="8" customHeight="1"/>
    <row r="23" spans="2:14" s="100" customFormat="1" ht="26" customHeight="1">
      <c r="C23" s="284" t="s">
        <v>342</v>
      </c>
      <c r="D23" s="284"/>
      <c r="F23" s="285" t="s">
        <v>352</v>
      </c>
      <c r="G23" s="285"/>
      <c r="H23" s="285"/>
      <c r="I23" s="285"/>
    </row>
    <row r="24" spans="2:14" s="100" customFormat="1" ht="26" customHeight="1"/>
    <row r="25" spans="2:14" s="100" customFormat="1" ht="8" customHeight="1"/>
    <row r="26" spans="2:14" s="100" customFormat="1" ht="26" customHeight="1"/>
  </sheetData>
  <mergeCells count="25">
    <mergeCell ref="K13:L13"/>
    <mergeCell ref="C15:D15"/>
    <mergeCell ref="E15:F15"/>
    <mergeCell ref="C4:D4"/>
    <mergeCell ref="C5:D5"/>
    <mergeCell ref="C6:D6"/>
    <mergeCell ref="C7:D7"/>
    <mergeCell ref="E4:G4"/>
    <mergeCell ref="J5:L6"/>
    <mergeCell ref="C21:N21"/>
    <mergeCell ref="C23:D23"/>
    <mergeCell ref="F23:I23"/>
    <mergeCell ref="C9:F9"/>
    <mergeCell ref="C11:D11"/>
    <mergeCell ref="E11:F11"/>
    <mergeCell ref="G11:H11"/>
    <mergeCell ref="I11:J11"/>
    <mergeCell ref="K11:L11"/>
    <mergeCell ref="C13:D13"/>
    <mergeCell ref="E13:F13"/>
    <mergeCell ref="M11:N11"/>
    <mergeCell ref="C17:G17"/>
    <mergeCell ref="I17:M17"/>
    <mergeCell ref="G13:H13"/>
    <mergeCell ref="I13:J1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2D558D-1957-A34B-BBD5-F6FFB2C15FC4}">
          <x14:formula1>
            <xm:f>Paramètres!$AA$1:$AA$4</xm:f>
          </x14:formula1>
          <xm:sqref>C9:F9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N22"/>
  <sheetViews>
    <sheetView workbookViewId="0">
      <selection activeCell="F19" sqref="F19:I19"/>
    </sheetView>
    <sheetView workbookViewId="1"/>
  </sheetViews>
  <sheetFormatPr baseColWidth="10" defaultRowHeight="14"/>
  <cols>
    <col min="1" max="1" width="2.83203125" style="100" customWidth="1"/>
    <col min="2" max="2" width="16.83203125" style="100" customWidth="1"/>
    <col min="3" max="14" width="7.33203125" style="100" customWidth="1"/>
    <col min="15" max="29" width="10.83203125" style="100"/>
    <col min="30" max="30" width="0" style="100" hidden="1" customWidth="1"/>
    <col min="31" max="16384" width="10.83203125" style="100"/>
  </cols>
  <sheetData>
    <row r="2" spans="2:13" s="100" customFormat="1" ht="21">
      <c r="B2" s="99" t="s">
        <v>343</v>
      </c>
    </row>
    <row r="3" spans="2:13" s="100" customFormat="1"/>
    <row r="4" spans="2:13" s="100" customFormat="1" ht="20" customHeight="1">
      <c r="B4" s="101" t="s">
        <v>321</v>
      </c>
      <c r="C4" s="289"/>
      <c r="D4" s="289"/>
      <c r="E4" s="285" t="s">
        <v>11</v>
      </c>
      <c r="F4" s="285"/>
      <c r="G4" s="285"/>
    </row>
    <row r="5" spans="2:13" s="100" customFormat="1" ht="20" customHeight="1">
      <c r="B5" s="101" t="s">
        <v>7</v>
      </c>
      <c r="C5" s="289"/>
      <c r="D5" s="289"/>
      <c r="J5" s="290" t="s">
        <v>493</v>
      </c>
      <c r="K5" s="290"/>
      <c r="L5" s="290"/>
    </row>
    <row r="6" spans="2:13" s="100" customFormat="1" ht="20" customHeight="1">
      <c r="B6" s="101" t="s">
        <v>348</v>
      </c>
      <c r="C6" s="289"/>
      <c r="D6" s="289"/>
      <c r="J6" s="290"/>
      <c r="K6" s="290"/>
      <c r="L6" s="290"/>
    </row>
    <row r="7" spans="2:13" s="100" customFormat="1" ht="20" customHeight="1">
      <c r="B7" s="101" t="s">
        <v>323</v>
      </c>
      <c r="C7" s="289"/>
      <c r="D7" s="289"/>
    </row>
    <row r="8" spans="2:13" s="100" customFormat="1" ht="8" customHeight="1"/>
    <row r="9" spans="2:13" s="100" customFormat="1" ht="20" customHeight="1">
      <c r="B9" s="158" t="s">
        <v>437</v>
      </c>
      <c r="C9" s="288" t="s">
        <v>435</v>
      </c>
      <c r="D9" s="288"/>
      <c r="E9" s="288"/>
      <c r="F9" s="288"/>
      <c r="G9" s="288"/>
      <c r="I9" s="288" t="s">
        <v>436</v>
      </c>
      <c r="J9" s="288"/>
      <c r="K9" s="288"/>
      <c r="L9" s="288"/>
      <c r="M9" s="288"/>
    </row>
    <row r="10" spans="2:13" s="100" customFormat="1" ht="20" customHeight="1">
      <c r="C10" s="155" t="s">
        <v>430</v>
      </c>
      <c r="D10" s="155" t="s">
        <v>431</v>
      </c>
      <c r="E10" s="155" t="s">
        <v>432</v>
      </c>
      <c r="F10" s="155" t="s">
        <v>433</v>
      </c>
      <c r="G10" s="155" t="s">
        <v>434</v>
      </c>
      <c r="H10" s="155" t="s">
        <v>311</v>
      </c>
      <c r="I10" s="155" t="s">
        <v>434</v>
      </c>
      <c r="J10" s="155" t="s">
        <v>433</v>
      </c>
      <c r="K10" s="155" t="s">
        <v>432</v>
      </c>
      <c r="L10" s="155" t="s">
        <v>431</v>
      </c>
      <c r="M10" s="155" t="s">
        <v>430</v>
      </c>
    </row>
    <row r="11" spans="2:13" s="100" customFormat="1" ht="20" customHeight="1">
      <c r="B11" s="154" t="s">
        <v>317</v>
      </c>
      <c r="C11" s="156"/>
      <c r="D11" s="157"/>
      <c r="E11" s="157"/>
      <c r="F11" s="157"/>
      <c r="G11" s="157"/>
      <c r="H11" s="157"/>
      <c r="I11" s="157"/>
      <c r="J11" s="157"/>
      <c r="K11" s="157"/>
      <c r="L11" s="157"/>
      <c r="M11" s="156"/>
    </row>
    <row r="12" spans="2:13" s="100" customFormat="1" ht="20" customHeight="1">
      <c r="B12" s="154" t="s">
        <v>318</v>
      </c>
      <c r="C12" s="156"/>
      <c r="D12" s="157"/>
      <c r="E12" s="157"/>
      <c r="F12" s="157"/>
      <c r="G12" s="157"/>
      <c r="H12" s="157"/>
      <c r="I12" s="157"/>
      <c r="J12" s="157"/>
      <c r="K12" s="157"/>
      <c r="L12" s="157"/>
      <c r="M12" s="156"/>
    </row>
    <row r="13" spans="2:13" s="100" customFormat="1" ht="20" customHeight="1">
      <c r="B13" s="154" t="s">
        <v>319</v>
      </c>
      <c r="C13" s="156"/>
      <c r="D13" s="157"/>
      <c r="E13" s="157"/>
      <c r="F13" s="157"/>
      <c r="G13" s="157"/>
      <c r="H13" s="157"/>
      <c r="I13" s="157"/>
      <c r="J13" s="157"/>
      <c r="K13" s="157"/>
      <c r="L13" s="157"/>
      <c r="M13" s="156"/>
    </row>
    <row r="14" spans="2:13" s="100" customFormat="1" ht="8" customHeight="1"/>
    <row r="15" spans="2:13" s="100" customFormat="1" ht="20" customHeight="1">
      <c r="B15" s="154" t="s">
        <v>344</v>
      </c>
      <c r="C15" s="287" t="s">
        <v>337</v>
      </c>
      <c r="D15" s="287"/>
      <c r="E15" s="287" t="s">
        <v>169</v>
      </c>
      <c r="F15" s="287"/>
      <c r="G15" s="287" t="s">
        <v>338</v>
      </c>
      <c r="H15" s="287"/>
    </row>
    <row r="16" spans="2:13" s="100" customFormat="1" ht="8" customHeight="1"/>
    <row r="17" spans="2:14" s="100" customFormat="1" ht="20" customHeight="1">
      <c r="B17" s="154" t="s">
        <v>329</v>
      </c>
      <c r="C17" s="283"/>
      <c r="D17" s="283"/>
      <c r="E17" s="283"/>
      <c r="F17" s="283"/>
      <c r="G17" s="283"/>
      <c r="H17" s="283"/>
      <c r="I17" s="283"/>
      <c r="J17" s="283"/>
      <c r="K17" s="283"/>
      <c r="L17" s="283"/>
      <c r="M17" s="283"/>
      <c r="N17" s="283"/>
    </row>
    <row r="18" spans="2:14" s="100" customFormat="1" ht="8" customHeight="1"/>
    <row r="19" spans="2:14" s="100" customFormat="1" ht="26" customHeight="1">
      <c r="C19" s="284" t="s">
        <v>342</v>
      </c>
      <c r="D19" s="284"/>
      <c r="F19" s="285" t="s">
        <v>352</v>
      </c>
      <c r="G19" s="285"/>
      <c r="H19" s="285"/>
      <c r="I19" s="285"/>
    </row>
    <row r="20" spans="2:14" s="100" customFormat="1" ht="26" customHeight="1"/>
    <row r="21" spans="2:14" s="100" customFormat="1" ht="8" customHeight="1"/>
    <row r="22" spans="2:14" s="100" customFormat="1" ht="26" customHeight="1"/>
  </sheetData>
  <mergeCells count="14">
    <mergeCell ref="C17:N17"/>
    <mergeCell ref="C19:D19"/>
    <mergeCell ref="F19:I19"/>
    <mergeCell ref="C4:D4"/>
    <mergeCell ref="C5:D5"/>
    <mergeCell ref="C6:D6"/>
    <mergeCell ref="C7:D7"/>
    <mergeCell ref="E4:G4"/>
    <mergeCell ref="C9:G9"/>
    <mergeCell ref="I9:M9"/>
    <mergeCell ref="C15:D15"/>
    <mergeCell ref="E15:F15"/>
    <mergeCell ref="G15:H15"/>
    <mergeCell ref="J5:L6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32"/>
  <sheetViews>
    <sheetView workbookViewId="0">
      <selection activeCell="E32" sqref="E32:H32"/>
    </sheetView>
    <sheetView workbookViewId="1"/>
  </sheetViews>
  <sheetFormatPr baseColWidth="10" defaultRowHeight="14"/>
  <cols>
    <col min="1" max="1" width="2.83203125" style="100" customWidth="1"/>
    <col min="2" max="3" width="14.83203125" style="100" customWidth="1"/>
    <col min="4" max="4" width="4.33203125" style="100" customWidth="1"/>
    <col min="5" max="6" width="14.83203125" style="100" customWidth="1"/>
    <col min="7" max="7" width="4.83203125" style="100" customWidth="1"/>
    <col min="8" max="9" width="14.83203125" style="100" customWidth="1"/>
    <col min="10" max="10" width="4.83203125" style="100" customWidth="1"/>
    <col min="11" max="21" width="5.1640625" style="100" customWidth="1"/>
    <col min="22" max="16384" width="10.83203125" style="100"/>
  </cols>
  <sheetData>
    <row r="2" spans="2:21" s="100" customFormat="1" ht="21">
      <c r="B2" s="99" t="s">
        <v>454</v>
      </c>
    </row>
    <row r="4" spans="2:21" s="100" customFormat="1" ht="14" customHeight="1">
      <c r="B4" s="101" t="s">
        <v>321</v>
      </c>
      <c r="C4" s="289"/>
      <c r="D4" s="289"/>
      <c r="E4" s="285" t="s">
        <v>11</v>
      </c>
      <c r="F4" s="285"/>
      <c r="K4" s="292" t="s">
        <v>495</v>
      </c>
      <c r="L4" s="292"/>
      <c r="M4" s="292"/>
      <c r="N4" s="292"/>
      <c r="O4" s="292"/>
      <c r="P4" s="292"/>
      <c r="Q4" s="292"/>
      <c r="R4" s="292"/>
      <c r="S4" s="292"/>
      <c r="T4" s="292"/>
      <c r="U4" s="292"/>
    </row>
    <row r="5" spans="2:21" s="100" customFormat="1" ht="15" customHeight="1">
      <c r="B5" s="101" t="s">
        <v>7</v>
      </c>
      <c r="C5" s="289"/>
      <c r="D5" s="289"/>
      <c r="K5" s="292"/>
      <c r="L5" s="292"/>
      <c r="M5" s="292"/>
      <c r="N5" s="292"/>
      <c r="O5" s="292"/>
      <c r="P5" s="292"/>
      <c r="Q5" s="292"/>
      <c r="R5" s="292"/>
      <c r="S5" s="292"/>
      <c r="T5" s="292"/>
      <c r="U5" s="292"/>
    </row>
    <row r="6" spans="2:21" s="100" customFormat="1">
      <c r="B6" s="101" t="s">
        <v>351</v>
      </c>
      <c r="C6" s="289"/>
      <c r="D6" s="289"/>
    </row>
    <row r="7" spans="2:21" s="100" customFormat="1" ht="25" customHeight="1">
      <c r="K7" s="301">
        <v>1</v>
      </c>
      <c r="L7" s="309"/>
      <c r="M7" s="309"/>
      <c r="O7" s="301">
        <v>2</v>
      </c>
      <c r="P7" s="309"/>
      <c r="Q7" s="309"/>
      <c r="S7" s="301">
        <v>3</v>
      </c>
      <c r="T7" s="309"/>
      <c r="U7" s="309"/>
    </row>
    <row r="8" spans="2:21" s="100" customFormat="1" ht="10" customHeight="1"/>
    <row r="9" spans="2:21" s="100" customFormat="1" ht="25" customHeight="1">
      <c r="B9" s="300" t="s">
        <v>412</v>
      </c>
      <c r="C9" s="300"/>
      <c r="E9" s="300" t="s">
        <v>417</v>
      </c>
      <c r="F9" s="300"/>
      <c r="H9" s="300" t="s">
        <v>424</v>
      </c>
      <c r="I9" s="300"/>
      <c r="M9" s="301">
        <v>4</v>
      </c>
      <c r="N9" s="309"/>
      <c r="O9" s="309"/>
      <c r="Q9" s="301">
        <v>5</v>
      </c>
      <c r="R9" s="309"/>
      <c r="S9" s="309"/>
    </row>
    <row r="10" spans="2:21" s="100" customFormat="1" ht="10" customHeight="1"/>
    <row r="11" spans="2:21" s="100" customFormat="1" ht="25" customHeight="1">
      <c r="B11" s="300" t="s">
        <v>413</v>
      </c>
      <c r="C11" s="300"/>
      <c r="E11" s="300" t="s">
        <v>418</v>
      </c>
      <c r="F11" s="300"/>
      <c r="H11" s="300" t="s">
        <v>425</v>
      </c>
      <c r="I11" s="300"/>
      <c r="K11" s="301">
        <v>6</v>
      </c>
      <c r="L11" s="309"/>
      <c r="M11" s="309"/>
      <c r="O11" s="301">
        <v>8</v>
      </c>
      <c r="P11" s="309"/>
      <c r="Q11" s="309"/>
      <c r="S11" s="301">
        <v>7</v>
      </c>
      <c r="T11" s="309"/>
      <c r="U11" s="309"/>
    </row>
    <row r="12" spans="2:21" s="100" customFormat="1" ht="10" customHeight="1"/>
    <row r="13" spans="2:21" s="100" customFormat="1" ht="25" customHeight="1">
      <c r="B13" s="300" t="s">
        <v>414</v>
      </c>
      <c r="C13" s="300"/>
      <c r="E13" s="300" t="s">
        <v>419</v>
      </c>
      <c r="F13" s="300"/>
      <c r="H13" s="300" t="s">
        <v>426</v>
      </c>
      <c r="I13" s="300"/>
      <c r="M13" s="301">
        <v>9</v>
      </c>
      <c r="N13" s="309"/>
      <c r="O13" s="309"/>
    </row>
    <row r="14" spans="2:21" s="100" customFormat="1" ht="10" customHeight="1"/>
    <row r="15" spans="2:21" s="100" customFormat="1" ht="25" customHeight="1">
      <c r="B15" s="300" t="s">
        <v>415</v>
      </c>
      <c r="C15" s="300"/>
      <c r="E15" s="300" t="s">
        <v>420</v>
      </c>
      <c r="F15" s="300"/>
      <c r="H15" s="300" t="s">
        <v>388</v>
      </c>
      <c r="I15" s="300"/>
      <c r="P15" s="301">
        <v>10</v>
      </c>
      <c r="Q15" s="309"/>
      <c r="R15" s="309"/>
    </row>
    <row r="16" spans="2:21" s="100" customFormat="1" ht="10" customHeight="1"/>
    <row r="17" spans="2:21" s="100" customFormat="1" ht="25" customHeight="1">
      <c r="B17" s="300" t="s">
        <v>416</v>
      </c>
      <c r="C17" s="300"/>
      <c r="E17" s="300" t="s">
        <v>421</v>
      </c>
      <c r="F17" s="300"/>
      <c r="H17" s="300" t="s">
        <v>427</v>
      </c>
      <c r="I17" s="300"/>
      <c r="M17" s="301">
        <v>12</v>
      </c>
      <c r="N17" s="309"/>
      <c r="O17" s="309"/>
      <c r="Q17" s="301">
        <v>13</v>
      </c>
      <c r="R17" s="309"/>
      <c r="S17" s="309"/>
    </row>
    <row r="18" spans="2:21" s="100" customFormat="1" ht="10" customHeight="1"/>
    <row r="19" spans="2:21" s="100" customFormat="1" ht="25" customHeight="1">
      <c r="B19" s="300" t="s">
        <v>494</v>
      </c>
      <c r="C19" s="300"/>
      <c r="E19" s="300" t="s">
        <v>422</v>
      </c>
      <c r="F19" s="300"/>
      <c r="K19" s="301">
        <v>11</v>
      </c>
      <c r="L19" s="309"/>
      <c r="M19" s="309"/>
      <c r="O19" s="301">
        <v>15</v>
      </c>
      <c r="P19" s="309"/>
      <c r="Q19" s="309"/>
      <c r="S19" s="301">
        <v>14</v>
      </c>
      <c r="T19" s="309"/>
      <c r="U19" s="309"/>
    </row>
    <row r="20" spans="2:21" s="100" customFormat="1" ht="10" customHeight="1"/>
    <row r="21" spans="2:21" s="100" customFormat="1" ht="25" customHeight="1">
      <c r="E21" s="300" t="s">
        <v>423</v>
      </c>
      <c r="F21" s="300"/>
      <c r="K21" s="301" t="s">
        <v>42</v>
      </c>
      <c r="L21" s="309"/>
      <c r="M21" s="309"/>
      <c r="S21" s="301" t="s">
        <v>32</v>
      </c>
      <c r="T21" s="309"/>
      <c r="U21" s="309"/>
    </row>
    <row r="22" spans="2:21" s="100" customFormat="1" ht="10" customHeight="1"/>
    <row r="23" spans="2:21" s="100" customFormat="1" ht="25" customHeight="1">
      <c r="K23" s="301" t="s">
        <v>152</v>
      </c>
      <c r="L23" s="309"/>
      <c r="M23" s="309"/>
      <c r="S23" s="301" t="s">
        <v>168</v>
      </c>
      <c r="T23" s="309"/>
      <c r="U23" s="309"/>
    </row>
    <row r="24" spans="2:21" s="100" customFormat="1" ht="10" customHeight="1"/>
    <row r="25" spans="2:21" s="100" customFormat="1" ht="10" customHeight="1"/>
    <row r="26" spans="2:21" s="100" customFormat="1" ht="10" customHeight="1"/>
    <row r="27" spans="2:21" s="100" customFormat="1" ht="25" customHeight="1">
      <c r="B27" s="300" t="s">
        <v>166</v>
      </c>
      <c r="C27" s="300"/>
      <c r="H27" s="300" t="s">
        <v>428</v>
      </c>
      <c r="I27" s="300"/>
    </row>
    <row r="28" spans="2:21" s="100" customFormat="1" ht="10" customHeight="1"/>
    <row r="29" spans="2:21" s="100" customFormat="1" ht="25" customHeight="1">
      <c r="B29" s="300" t="s">
        <v>32</v>
      </c>
      <c r="C29" s="300"/>
      <c r="H29" s="300" t="s">
        <v>411</v>
      </c>
      <c r="I29" s="300"/>
    </row>
    <row r="30" spans="2:21" s="100" customFormat="1" ht="10" customHeight="1"/>
    <row r="31" spans="2:21" s="100" customFormat="1" ht="9" customHeight="1"/>
    <row r="32" spans="2:21" s="100" customFormat="1" ht="26" customHeight="1">
      <c r="B32" s="284" t="s">
        <v>342</v>
      </c>
      <c r="C32" s="284"/>
      <c r="D32" s="120"/>
      <c r="E32" s="285" t="s">
        <v>352</v>
      </c>
      <c r="F32" s="285"/>
      <c r="G32" s="285"/>
      <c r="H32" s="285"/>
      <c r="I32" s="120"/>
    </row>
  </sheetData>
  <mergeCells count="48">
    <mergeCell ref="B19:C19"/>
    <mergeCell ref="S23:U23"/>
    <mergeCell ref="K23:M23"/>
    <mergeCell ref="E4:F4"/>
    <mergeCell ref="E21:F21"/>
    <mergeCell ref="C4:D4"/>
    <mergeCell ref="C5:D5"/>
    <mergeCell ref="C6:D6"/>
    <mergeCell ref="B9:C9"/>
    <mergeCell ref="B17:C17"/>
    <mergeCell ref="B15:C15"/>
    <mergeCell ref="B13:C13"/>
    <mergeCell ref="B11:C11"/>
    <mergeCell ref="E19:F19"/>
    <mergeCell ref="H17:I17"/>
    <mergeCell ref="H11:I11"/>
    <mergeCell ref="E17:F17"/>
    <mergeCell ref="H27:I27"/>
    <mergeCell ref="H29:I29"/>
    <mergeCell ref="B32:C32"/>
    <mergeCell ref="E32:H32"/>
    <mergeCell ref="B27:C27"/>
    <mergeCell ref="B29:C29"/>
    <mergeCell ref="E13:F13"/>
    <mergeCell ref="E9:F9"/>
    <mergeCell ref="H9:I9"/>
    <mergeCell ref="K4:U5"/>
    <mergeCell ref="E15:F15"/>
    <mergeCell ref="H15:I15"/>
    <mergeCell ref="E11:F11"/>
    <mergeCell ref="H13:I13"/>
    <mergeCell ref="K7:M7"/>
    <mergeCell ref="S21:U21"/>
    <mergeCell ref="S7:U7"/>
    <mergeCell ref="M9:O9"/>
    <mergeCell ref="Q9:S9"/>
    <mergeCell ref="S19:U19"/>
    <mergeCell ref="K11:M11"/>
    <mergeCell ref="O11:Q11"/>
    <mergeCell ref="S11:U11"/>
    <mergeCell ref="M13:O13"/>
    <mergeCell ref="P15:R15"/>
    <mergeCell ref="M17:O17"/>
    <mergeCell ref="Q17:S17"/>
    <mergeCell ref="K19:M19"/>
    <mergeCell ref="O19:Q19"/>
    <mergeCell ref="K21:M21"/>
    <mergeCell ref="O7:Q7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1:E15"/>
  <sheetViews>
    <sheetView workbookViewId="0">
      <selection activeCell="D5" sqref="D5"/>
    </sheetView>
    <sheetView workbookViewId="1"/>
  </sheetViews>
  <sheetFormatPr baseColWidth="10" defaultRowHeight="14"/>
  <cols>
    <col min="1" max="1" width="2.83203125" style="100" customWidth="1"/>
    <col min="2" max="2" width="26.83203125" style="100" customWidth="1"/>
    <col min="3" max="3" width="3.83203125" style="100" customWidth="1"/>
    <col min="4" max="4" width="26.83203125" style="100" customWidth="1"/>
    <col min="5" max="5" width="16.83203125" style="100" customWidth="1"/>
    <col min="6" max="9" width="10.83203125" style="100"/>
    <col min="10" max="13" width="0" style="100" hidden="1" customWidth="1"/>
    <col min="14" max="16384" width="10.83203125" style="100"/>
  </cols>
  <sheetData>
    <row r="1" spans="2:5" s="100" customFormat="1"/>
    <row r="2" spans="2:5" s="100" customFormat="1" ht="21">
      <c r="B2" s="99" t="s">
        <v>372</v>
      </c>
    </row>
    <row r="3" spans="2:5" s="100" customFormat="1"/>
    <row r="4" spans="2:5" s="100" customFormat="1">
      <c r="B4" s="101" t="s">
        <v>321</v>
      </c>
      <c r="D4" s="174"/>
      <c r="E4" s="103" t="s">
        <v>11</v>
      </c>
    </row>
    <row r="5" spans="2:5" s="100" customFormat="1">
      <c r="B5" s="117" t="s">
        <v>375</v>
      </c>
      <c r="D5" s="121"/>
    </row>
    <row r="6" spans="2:5" s="100" customFormat="1"/>
    <row r="7" spans="2:5" s="100" customFormat="1">
      <c r="B7" s="117" t="s">
        <v>373</v>
      </c>
      <c r="D7" s="117" t="s">
        <v>374</v>
      </c>
    </row>
    <row r="8" spans="2:5" s="100" customFormat="1">
      <c r="B8" s="122"/>
      <c r="D8" s="122"/>
    </row>
    <row r="9" spans="2:5" s="100" customFormat="1">
      <c r="B9" s="122"/>
      <c r="D9" s="122"/>
    </row>
    <row r="10" spans="2:5" s="100" customFormat="1">
      <c r="B10" s="122"/>
      <c r="D10" s="122"/>
    </row>
    <row r="11" spans="2:5" s="100" customFormat="1">
      <c r="B11" s="122"/>
      <c r="D11" s="122"/>
    </row>
    <row r="12" spans="2:5" s="100" customFormat="1">
      <c r="B12" s="122"/>
      <c r="D12" s="122"/>
    </row>
    <row r="13" spans="2:5" s="100" customFormat="1"/>
    <row r="14" spans="2:5" s="100" customFormat="1" ht="26" customHeight="1">
      <c r="B14" s="102" t="s">
        <v>342</v>
      </c>
      <c r="C14" s="120"/>
      <c r="D14" s="103" t="s">
        <v>341</v>
      </c>
    </row>
    <row r="15" spans="2:5" s="100" customFormat="1"/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CE92A-0CDB-464B-A8F5-3CF1BF269F53}">
  <sheetPr codeName="Feuil1"/>
  <dimension ref="B2:H29"/>
  <sheetViews>
    <sheetView workbookViewId="0">
      <selection activeCell="E29" sqref="E29:H29"/>
    </sheetView>
    <sheetView workbookViewId="1"/>
  </sheetViews>
  <sheetFormatPr baseColWidth="10" defaultRowHeight="14"/>
  <cols>
    <col min="1" max="1" width="10.83203125" style="100"/>
    <col min="2" max="2" width="20.83203125" style="100" customWidth="1"/>
    <col min="3" max="5" width="12.83203125" style="100" customWidth="1"/>
    <col min="6" max="6" width="3.83203125" style="100" customWidth="1"/>
    <col min="7" max="8" width="12.83203125" style="100" customWidth="1"/>
    <col min="9" max="16384" width="10.83203125" style="100"/>
  </cols>
  <sheetData>
    <row r="2" spans="2:8" s="100" customFormat="1" ht="21">
      <c r="B2" s="99" t="s">
        <v>406</v>
      </c>
    </row>
    <row r="4" spans="2:8" s="100" customFormat="1">
      <c r="B4" s="101" t="s">
        <v>407</v>
      </c>
      <c r="C4" s="289"/>
      <c r="D4" s="289"/>
      <c r="G4" s="285" t="s">
        <v>11</v>
      </c>
      <c r="H4" s="285"/>
    </row>
    <row r="5" spans="2:8" s="100" customFormat="1">
      <c r="B5" s="101" t="s">
        <v>7</v>
      </c>
      <c r="C5" s="289"/>
      <c r="D5" s="289"/>
    </row>
    <row r="7" spans="2:8" s="100" customFormat="1" ht="22" customHeight="1">
      <c r="B7" s="292" t="s">
        <v>408</v>
      </c>
      <c r="C7" s="292"/>
      <c r="D7" s="292"/>
      <c r="E7" s="292"/>
      <c r="F7" s="292"/>
      <c r="G7" s="292"/>
      <c r="H7" s="292"/>
    </row>
    <row r="9" spans="2:8" s="100" customFormat="1" ht="22" customHeight="1">
      <c r="B9" s="291"/>
      <c r="C9" s="291"/>
      <c r="D9" s="291"/>
      <c r="E9" s="291"/>
      <c r="F9" s="291"/>
      <c r="G9" s="291"/>
      <c r="H9" s="291"/>
    </row>
    <row r="10" spans="2:8" s="100" customFormat="1" ht="8" customHeight="1"/>
    <row r="11" spans="2:8" s="100" customFormat="1" ht="22" customHeight="1">
      <c r="B11" s="291"/>
      <c r="C11" s="291"/>
      <c r="D11" s="291"/>
      <c r="E11" s="291"/>
      <c r="F11" s="291"/>
      <c r="G11" s="291"/>
      <c r="H11" s="291"/>
    </row>
    <row r="12" spans="2:8" s="100" customFormat="1" ht="8" customHeight="1"/>
    <row r="13" spans="2:8" s="100" customFormat="1" ht="22" customHeight="1">
      <c r="B13" s="291"/>
      <c r="C13" s="291"/>
      <c r="D13" s="291"/>
      <c r="E13" s="291"/>
      <c r="F13" s="291"/>
      <c r="G13" s="291"/>
      <c r="H13" s="291"/>
    </row>
    <row r="14" spans="2:8" s="100" customFormat="1" ht="8" customHeight="1"/>
    <row r="15" spans="2:8" s="100" customFormat="1" ht="22" customHeight="1">
      <c r="B15" s="291"/>
      <c r="C15" s="291"/>
      <c r="D15" s="291"/>
      <c r="E15" s="291"/>
      <c r="F15" s="291"/>
      <c r="G15" s="291"/>
      <c r="H15" s="291"/>
    </row>
    <row r="16" spans="2:8" s="100" customFormat="1" ht="8" customHeight="1"/>
    <row r="17" spans="2:8" s="100" customFormat="1" ht="22" customHeight="1">
      <c r="B17" s="291"/>
      <c r="C17" s="291"/>
      <c r="D17" s="291"/>
      <c r="E17" s="291"/>
      <c r="F17" s="291"/>
      <c r="G17" s="291"/>
      <c r="H17" s="291"/>
    </row>
    <row r="18" spans="2:8" s="100" customFormat="1" ht="8" customHeight="1"/>
    <row r="19" spans="2:8" s="100" customFormat="1" ht="22" customHeight="1">
      <c r="B19" s="291"/>
      <c r="C19" s="291"/>
      <c r="D19" s="291"/>
      <c r="E19" s="291"/>
      <c r="F19" s="291"/>
      <c r="G19" s="291"/>
      <c r="H19" s="291"/>
    </row>
    <row r="20" spans="2:8" s="100" customFormat="1" ht="8" customHeight="1"/>
    <row r="21" spans="2:8" s="100" customFormat="1" ht="22" customHeight="1">
      <c r="B21" s="291"/>
      <c r="C21" s="291"/>
      <c r="D21" s="291"/>
      <c r="E21" s="291"/>
      <c r="F21" s="291"/>
      <c r="G21" s="291"/>
      <c r="H21" s="291"/>
    </row>
    <row r="22" spans="2:8" s="100" customFormat="1" ht="8" customHeight="1"/>
    <row r="23" spans="2:8" s="100" customFormat="1" ht="22" customHeight="1">
      <c r="B23" s="291"/>
      <c r="C23" s="291"/>
      <c r="D23" s="291"/>
      <c r="E23" s="291"/>
      <c r="F23" s="291"/>
      <c r="G23" s="291"/>
      <c r="H23" s="291"/>
    </row>
    <row r="24" spans="2:8" s="100" customFormat="1" ht="8" customHeight="1"/>
    <row r="25" spans="2:8" s="100" customFormat="1" ht="22" customHeight="1">
      <c r="B25" s="291"/>
      <c r="C25" s="291"/>
      <c r="D25" s="291"/>
      <c r="E25" s="291"/>
      <c r="F25" s="291"/>
      <c r="G25" s="291"/>
      <c r="H25" s="291"/>
    </row>
    <row r="26" spans="2:8" s="100" customFormat="1" ht="8" customHeight="1"/>
    <row r="27" spans="2:8" s="100" customFormat="1" ht="22" customHeight="1">
      <c r="B27" s="291"/>
      <c r="C27" s="291"/>
      <c r="D27" s="291"/>
      <c r="E27" s="291"/>
      <c r="F27" s="291"/>
      <c r="G27" s="291"/>
      <c r="H27" s="291"/>
    </row>
    <row r="28" spans="2:8" s="100" customFormat="1" ht="8" customHeight="1"/>
    <row r="29" spans="2:8" s="100" customFormat="1" ht="26" customHeight="1">
      <c r="B29" s="284" t="s">
        <v>342</v>
      </c>
      <c r="C29" s="284"/>
      <c r="D29" s="120"/>
      <c r="E29" s="285" t="s">
        <v>352</v>
      </c>
      <c r="F29" s="285"/>
      <c r="G29" s="285"/>
      <c r="H29" s="285"/>
    </row>
  </sheetData>
  <mergeCells count="16">
    <mergeCell ref="B11:H11"/>
    <mergeCell ref="C4:D4"/>
    <mergeCell ref="C5:D5"/>
    <mergeCell ref="G4:H4"/>
    <mergeCell ref="B7:H7"/>
    <mergeCell ref="B9:H9"/>
    <mergeCell ref="B25:H25"/>
    <mergeCell ref="B27:H27"/>
    <mergeCell ref="B29:C29"/>
    <mergeCell ref="E29:H29"/>
    <mergeCell ref="B13:H13"/>
    <mergeCell ref="B15:H15"/>
    <mergeCell ref="B17:H17"/>
    <mergeCell ref="B19:H19"/>
    <mergeCell ref="B21:H21"/>
    <mergeCell ref="B23:H23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6F1A7-CE9B-A04A-A2EE-9747B0F2F6EC}">
  <sheetPr codeName="Feuil11"/>
  <dimension ref="B2:I8"/>
  <sheetViews>
    <sheetView workbookViewId="0">
      <selection activeCell="B7" sqref="B7:D8"/>
    </sheetView>
    <sheetView workbookViewId="1"/>
  </sheetViews>
  <sheetFormatPr baseColWidth="10" defaultRowHeight="13"/>
  <cols>
    <col min="1" max="1" width="2.83203125" style="135" customWidth="1"/>
    <col min="2" max="9" width="11.83203125" style="135" customWidth="1"/>
    <col min="10" max="16384" width="10.83203125" style="135"/>
  </cols>
  <sheetData>
    <row r="2" spans="2:9" ht="18">
      <c r="B2" s="170" t="s">
        <v>489</v>
      </c>
    </row>
    <row r="4" spans="2:9">
      <c r="B4" s="293" t="s">
        <v>492</v>
      </c>
      <c r="C4" s="293"/>
      <c r="D4" s="293"/>
      <c r="E4" s="293"/>
      <c r="F4" s="293"/>
      <c r="G4" s="293"/>
      <c r="H4" s="293"/>
      <c r="I4" s="293"/>
    </row>
    <row r="5" spans="2:9">
      <c r="B5" s="293"/>
      <c r="C5" s="293"/>
      <c r="D5" s="293"/>
      <c r="E5" s="293"/>
      <c r="F5" s="293"/>
      <c r="G5" s="293"/>
      <c r="H5" s="293"/>
      <c r="I5" s="293"/>
    </row>
    <row r="7" spans="2:9" ht="22" customHeight="1">
      <c r="B7" s="294" t="s">
        <v>490</v>
      </c>
      <c r="C7" s="294"/>
      <c r="D7" s="294"/>
      <c r="F7" s="295" t="s">
        <v>491</v>
      </c>
      <c r="G7" s="295"/>
      <c r="H7" s="295"/>
      <c r="I7" s="295"/>
    </row>
    <row r="8" spans="2:9" ht="22" customHeight="1">
      <c r="B8" s="294"/>
      <c r="C8" s="294"/>
      <c r="D8" s="294"/>
      <c r="F8" s="295"/>
      <c r="G8" s="295"/>
      <c r="H8" s="295"/>
      <c r="I8" s="295"/>
    </row>
  </sheetData>
  <mergeCells count="3">
    <mergeCell ref="B4:I5"/>
    <mergeCell ref="B7:D8"/>
    <mergeCell ref="F7:I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276</vt:i4>
      </vt:variant>
    </vt:vector>
  </HeadingPairs>
  <TitlesOfParts>
    <vt:vector size="290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Popup retour carton</vt:lpstr>
      <vt:lpstr>Popup possession</vt:lpstr>
      <vt:lpstr>ACT_ARRACHAGE</vt:lpstr>
      <vt:lpstr>ACT_ARRACHAGE_ADV</vt:lpstr>
      <vt:lpstr>ACT_ARRACHAGE_NS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ACT_CONTRE_RUCK_ADV</vt:lpstr>
      <vt:lpstr>ACT_CONTRE_RUCK_NS</vt:lpstr>
      <vt:lpstr>ACT_EN_AVANT</vt:lpstr>
      <vt:lpstr>ACT_FRANCHISSEMENT</vt:lpstr>
      <vt:lpstr>'Stats match'!ACT_GRATTAGE</vt:lpstr>
      <vt:lpstr>ACT_GRATTAGE</vt:lpstr>
      <vt:lpstr>ACT_GRATTAGE_ADV</vt:lpstr>
      <vt:lpstr>ACT_GRATTAGE_NS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ACT_RETOUR_CARTON_BLANC_ADV</vt:lpstr>
      <vt:lpstr>ACT_RETOUR_CARTON_BLANC_NS</vt:lpstr>
      <vt:lpstr>ACT_RETOUR_CARTON_BLEU_ADV</vt:lpstr>
      <vt:lpstr>ACT_RETOUR_CARTON_BLEU_NS</vt:lpstr>
      <vt:lpstr>ACT_RETOUR_CARTON_JAUNE_ADV</vt:lpstr>
      <vt:lpstr>ACT_RETOUR_CARTON_JAUNE_NS</vt:lpstr>
      <vt:lpstr>ACT_RETOUR_CARTON_ROUGE_ADV</vt:lpstr>
      <vt:lpstr>ACT_RETOUR_CARTON_ROUGE_NS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BTN_JO_AVANT</vt:lpstr>
      <vt:lpstr>BTN_JO_COLLECTIF</vt:lpstr>
      <vt:lpstr>BTN_JO_NON_IDENTIFIE</vt:lpstr>
      <vt:lpstr>BTN_JO_TROIS_QUARTS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BTN_RETOUR_CARTON</vt:lpstr>
      <vt:lpstr>BTN_SENS_JEU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LBL_CARTONS</vt:lpstr>
      <vt:lpstr>LBL_CHGT_POSS_1</vt:lpstr>
      <vt:lpstr>LBL_CHGT_POSS_2</vt:lpstr>
      <vt:lpstr>LBL_COUP_FRANC</vt:lpstr>
      <vt:lpstr>LBL_MELEES</vt:lpstr>
      <vt:lpstr>LBL_MI_TEMPS</vt:lpstr>
      <vt:lpstr>LBL_PENALITE</vt:lpstr>
      <vt:lpstr>LBL_PLAQUAGES</vt:lpstr>
      <vt:lpstr>LBL_POINTS</vt:lpstr>
      <vt:lpstr>LBL_POSITION_VIDEO</vt:lpstr>
      <vt:lpstr>LBL_POSSESSION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PEN_PLAY_PAUSE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POPUP_ME_PLAY_PAUSE</vt:lpstr>
      <vt:lpstr>POPUP_ME_SENS_JEU</vt:lpstr>
      <vt:lpstr>POPUP_ME_UTILISATION</vt:lpstr>
      <vt:lpstr>POPUP_ME_VALIDER</vt:lpstr>
      <vt:lpstr>POPUP_ME_ZONE_LARGEUR</vt:lpstr>
      <vt:lpstr>POPUP_ME_ZONE_LONGUEUR</vt:lpstr>
      <vt:lpstr>POPUP_NOM</vt:lpstr>
      <vt:lpstr>POPUP_POSS_CHANGER</vt:lpstr>
      <vt:lpstr>POPUP_POSS_GARDER</vt:lpstr>
      <vt:lpstr>POPUP_POSS_QUESTION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POPUP_TO_PLAY_PAUSE</vt:lpstr>
      <vt:lpstr>POPUP_TO_SAUTEUR</vt:lpstr>
      <vt:lpstr>POPUP_TO_SENS_JEU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REMP_PLAY_PAUSE</vt:lpstr>
      <vt:lpstr>REMP_SORTANTS</vt:lpstr>
      <vt:lpstr>REMP_TEMPS</vt:lpstr>
      <vt:lpstr>REMP_VALIDER</vt:lpstr>
      <vt:lpstr>RESULTAT</vt:lpstr>
      <vt:lpstr>RET_ANNULER</vt:lpstr>
      <vt:lpstr>RET_CONTEXTE</vt:lpstr>
      <vt:lpstr>RET_LISTE</vt:lpstr>
      <vt:lpstr>RET_PLAY_PAUSE</vt:lpstr>
      <vt:lpstr>RET_VALIDER</vt:lpstr>
      <vt:lpstr>SENS_JEU</vt:lpstr>
      <vt:lpstr>STAT_DUREES_ANCRE</vt:lpstr>
      <vt:lpstr>STAT_POSSESSION_ANCRE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TM_BTN_EXPORT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2026-10-26T17:00:53Z</dcterms:modified>
</cp:coreProperties>
</file>