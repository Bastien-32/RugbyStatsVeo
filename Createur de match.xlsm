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"/>
    </mc:Choice>
  </mc:AlternateContent>
  <xr:revisionPtr revIDLastSave="0" documentId="13_ncr:1_{051FD392-44A5-5045-8293-8BA494C6C541}" xr6:coauthVersionLast="47" xr6:coauthVersionMax="47" xr10:uidLastSave="{00000000-0000-0000-0000-000000000000}"/>
  <bookViews>
    <workbookView xWindow="10720" yWindow="660" windowWidth="23420" windowHeight="15760" activeTab="2" xr2:uid="{53D31A4B-F035-6643-BD9C-1BDFB195150B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Paramètres" sheetId="6" r:id="rId6"/>
    <sheet name="Popup" sheetId="8" r:id="rId7"/>
    <sheet name="Feuille1" sheetId="1" state="veryHidden" r:id="rId8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Paramètres!$R$44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vidéo'!$H$4</definedName>
    <definedName name="BTN_ARRACHAGE">'Saisie vidéo'!$AF$18</definedName>
    <definedName name="BTN_ARRET_DU_JEU">'Saisie vidéo'!$AB$8</definedName>
    <definedName name="BTN_ATT_NULLE">'Saisie vidéo'!$AH$16</definedName>
    <definedName name="BTN_AVANCEE">'Saisie vidéo'!$AF$16</definedName>
    <definedName name="BTN_CARTON_BLANC">'Saisie vidéo'!$J$8</definedName>
    <definedName name="BTN_CARTON_BLEU">'Saisie vidéo'!$L$8</definedName>
    <definedName name="BTN_CARTON_JAUNE">'Saisie vidéo'!$H$8</definedName>
    <definedName name="BTN_CARTON_ROUGE">'Saisie vidéo'!$F$8</definedName>
    <definedName name="BTN_CHRONO_MINUS_5_SEC">'Saisie vidéo'!$H$28</definedName>
    <definedName name="BTN_CHRONO_PLAY_PAUSE">'Saisie vidéo'!$J$28</definedName>
    <definedName name="BTN_CHRONO_PLUS_5_SEC">'Saisie vidéo'!$L$28</definedName>
    <definedName name="BTN_CHRONO_RESET">'Saisie vidéo'!$N$28</definedName>
    <definedName name="BTN_CONTRE_RUCK">'Saisie vidéo'!$AD$18</definedName>
    <definedName name="BTN_EN_AVANT">'Saisie vidéo'!$T$18</definedName>
    <definedName name="BTN_FRANCHISSEMENT">'Saisie vidéo'!$AD$16</definedName>
    <definedName name="BTN_GRATTAGE">'Saisie vidéo'!$AB$18</definedName>
    <definedName name="BTN_JEU_AU_PIED">'Saisie vidéo'!$V$18</definedName>
    <definedName name="BTN_JO_1">'Saisie vidéo'!$D$14</definedName>
    <definedName name="BTN_JO_10">'Saisie vidéo'!$J$16</definedName>
    <definedName name="BTN_JO_11">'Saisie vidéo'!$L$16</definedName>
    <definedName name="BTN_JO_12">'Saisie vidéo'!$N$16</definedName>
    <definedName name="BTN_JO_13">'Saisie vidéo'!$D$18</definedName>
    <definedName name="BTN_JO_14">'Saisie vidéo'!$F$18</definedName>
    <definedName name="BTN_JO_15">'Saisie vidéo'!$H$18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vidéo'!$F$14</definedName>
    <definedName name="BTN_JO_20">'Saisie vidéo'!$F$20</definedName>
    <definedName name="BTN_JO_21">'Saisie vidéo'!$H$20</definedName>
    <definedName name="BTN_JO_22">'Saisie vidéo'!$J$20</definedName>
    <definedName name="BTN_JO_3">'Saisie vidéo'!$H$14</definedName>
    <definedName name="BTN_JO_4">'Saisie vidéo'!$J$14</definedName>
    <definedName name="BTN_JO_5">'Saisie vidéo'!$L$14</definedName>
    <definedName name="BTN_JO_6">'Saisie vidéo'!$N$14</definedName>
    <definedName name="BTN_JO_7">'Saisie vidéo'!$D$16</definedName>
    <definedName name="BTN_JO_8">'Saisie vidéo'!$F$16</definedName>
    <definedName name="BTN_JO_9">'Saisie vidéo'!$H$16</definedName>
    <definedName name="BTN_JO_COLLECTIF">'Saisie vidéo'!$L$20</definedName>
    <definedName name="BTN_JO_NON_IDENTIFIE">'Saisie vidéo'!$N$20</definedName>
    <definedName name="BTN_ME_G">'Saisie vidéo'!$AF$14</definedName>
    <definedName name="BTN_ME_P">'Saisie vidéo'!$AH$14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vidéo'!$T$20</definedName>
    <definedName name="BTN_PEN_CONTRE_NOUS">'Saisie vidéo'!$V$20</definedName>
    <definedName name="BTN_PEN_HORS_JEU">'Saisie vidéo'!$AD$20</definedName>
    <definedName name="BTN_PEN_MAUL">'Saisie vidéo'!$Z$20</definedName>
    <definedName name="BTN_PEN_PL_A_2">'Saisie vidéo'!$AF$20</definedName>
    <definedName name="BTN_PEN_PL_HAUT">'Saisie vidéo'!$AH$20</definedName>
    <definedName name="BTN_PEN_RUCK">'Saisie vidéo'!$AB$20</definedName>
    <definedName name="BTN_PL_A2">'Saisie vidéo'!$Z$14</definedName>
    <definedName name="BTN_PL_HAUT">'Saisie vidéo'!$AB$14</definedName>
    <definedName name="BTN_PL_NORMAL">'Saisie vidéo'!$V$14</definedName>
    <definedName name="BTN_PL_OFF">'Saisie vidéo'!$T$14</definedName>
    <definedName name="BTN_PL_RATE">'Saisie vidéo'!$X$14</definedName>
    <definedName name="BTN_PTS_DROP">'Saisie vidéo'!$AB$4</definedName>
    <definedName name="BTN_PTS_ESSAI">'Saisie vidéo'!$T$4</definedName>
    <definedName name="BTN_PTS_ESSAI_PEN">'Saisie vidéo'!$V$4</definedName>
    <definedName name="BTN_PTS_PENALITE">'Saisie vidéo'!$Z$4</definedName>
    <definedName name="BTN_PTS_TRANSFO">'Saisie vidéo'!$X$4</definedName>
    <definedName name="BTN_RECEPTION_ADV">'Saisie vidéo'!$Z$18</definedName>
    <definedName name="BTN_RECEPTION_NOUS">'Saisie vidéo'!$X$18</definedName>
    <definedName name="BTN_REPRISE_A_LA_MAIN">'Saisie vidéo'!$Z$8</definedName>
    <definedName name="BTN_REPRISE_MELEE">'Saisie vidéo'!$V$8</definedName>
    <definedName name="BTN_REPRISE_RENVOI">'Saisie vidéo'!$X$8</definedName>
    <definedName name="BTN_REPRISE_TOUCHE">'Saisie vidéo'!$T$8</definedName>
    <definedName name="BTN_TO_G">'Saisie vidéo'!$T$16</definedName>
    <definedName name="BTN_TO_P">'Saisie vidéo'!$V$16</definedName>
    <definedName name="BTN_TO_PAS_DROIT">'Saisie vidéo'!$X$16</definedName>
    <definedName name="BTN_TURNOVER">'Saisie vidéo'!$AH$18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vidéo'!$D$28</definedName>
    <definedName name="EQUIPE_NIV">LstEquipesClub[EQUIPE_NIV]</definedName>
    <definedName name="EQUIPES_POULE">LstEquipesPoule[EQUIPES_A_AFFRONTER]</definedName>
    <definedName name="LBL_ATTITUDES">'Saisie vidéo'!$AB$16</definedName>
    <definedName name="LBL_CHGT_POSS_1">'Saisie vidéo'!$R$18</definedName>
    <definedName name="LBL_CHGT_POSS_2">'Saisie vidéo'!$AZ$1</definedName>
    <definedName name="LBL_MELEES">'Saisie vidéo'!$AD$14</definedName>
    <definedName name="LBL_MOTIF_PENALITE">'Saisie vidéo'!$X$20</definedName>
    <definedName name="LBL_PENALITE">'Saisie vidéo'!$R$20</definedName>
    <definedName name="LBL_PLAQUAGES">'Saisie vidéo'!$R$14</definedName>
    <definedName name="LBL_POINTS">'Saisie vidéo'!$R$4</definedName>
    <definedName name="LBL_POSITION_VIDEO">'Saisie vidéo'!$D$26</definedName>
    <definedName name="LBL_REPRISE_JEU">'Saisie vidéo'!$R$8</definedName>
    <definedName name="LBL_TOUCHES">'Saisie vidéo'!$R$16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PALETTE_JOUEURS">'Saisie vidéo'!$C$13:$O$21</definedName>
    <definedName name="PHASE">LstPhases[PHASE]</definedName>
    <definedName name="POPUP_ADD_PLAYER">Popup!$C$7:$F$13</definedName>
    <definedName name="POPUP_NOM">Popup!$D$9</definedName>
    <definedName name="POPUP_PRENOM">Popup!$D$11</definedName>
    <definedName name="RESULTAT">Tableau14[RESULTAT]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vidéo'!$D$24</definedName>
    <definedName name="TITRE_PALETTE_ACTIONS">'Saisie vidéo'!$R$12</definedName>
    <definedName name="TITRE_PALETTE_JOUEURS">'Saisie vidéo'!$D$12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31" i="12" l="1"/>
  <c r="S31" i="12"/>
  <c r="T30" i="12"/>
  <c r="S30" i="12"/>
  <c r="T29" i="12"/>
  <c r="S29" i="12"/>
  <c r="T28" i="12"/>
  <c r="S28" i="12"/>
  <c r="T27" i="12"/>
  <c r="S27" i="12"/>
  <c r="T26" i="12"/>
  <c r="S26" i="12"/>
  <c r="T25" i="12"/>
  <c r="S25" i="12"/>
  <c r="T24" i="12"/>
  <c r="S24" i="12"/>
  <c r="T23" i="12"/>
  <c r="S23" i="12"/>
  <c r="T22" i="12"/>
  <c r="S22" i="12"/>
  <c r="T21" i="12"/>
  <c r="S21" i="12"/>
  <c r="T20" i="12"/>
  <c r="S20" i="12"/>
  <c r="T19" i="12"/>
  <c r="S19" i="12"/>
  <c r="T18" i="12"/>
  <c r="S18" i="12"/>
  <c r="T17" i="12"/>
  <c r="S17" i="12"/>
  <c r="T16" i="12"/>
  <c r="S16" i="12"/>
  <c r="T15" i="12"/>
  <c r="S15" i="12"/>
  <c r="T14" i="12"/>
  <c r="S14" i="12"/>
  <c r="T13" i="12"/>
  <c r="S13" i="12"/>
  <c r="T12" i="12"/>
  <c r="S12" i="12"/>
  <c r="T11" i="12"/>
  <c r="S11" i="12"/>
  <c r="T10" i="12"/>
  <c r="S10" i="12"/>
  <c r="T9" i="12"/>
  <c r="S9" i="12"/>
  <c r="T8" i="12"/>
  <c r="T32" i="12" s="1"/>
  <c r="S8" i="12"/>
  <c r="S32" i="12" s="1"/>
  <c r="R31" i="12"/>
  <c r="Q31" i="12"/>
  <c r="R30" i="12"/>
  <c r="Q30" i="12"/>
  <c r="R29" i="12"/>
  <c r="Q29" i="12"/>
  <c r="R28" i="12"/>
  <c r="Q28" i="12"/>
  <c r="R27" i="12"/>
  <c r="Q27" i="12"/>
  <c r="R26" i="12"/>
  <c r="Q26" i="12"/>
  <c r="R25" i="12"/>
  <c r="Q25" i="12"/>
  <c r="R24" i="12"/>
  <c r="Q24" i="12"/>
  <c r="R23" i="12"/>
  <c r="Q23" i="12"/>
  <c r="R22" i="12"/>
  <c r="Q22" i="12"/>
  <c r="R21" i="12"/>
  <c r="Q21" i="12"/>
  <c r="R20" i="12"/>
  <c r="Q20" i="12"/>
  <c r="R19" i="12"/>
  <c r="Q19" i="12"/>
  <c r="R18" i="12"/>
  <c r="Q18" i="12"/>
  <c r="R17" i="12"/>
  <c r="Q17" i="12"/>
  <c r="R16" i="12"/>
  <c r="Q16" i="12"/>
  <c r="R15" i="12"/>
  <c r="Q15" i="12"/>
  <c r="R14" i="12"/>
  <c r="Q14" i="12"/>
  <c r="R13" i="12"/>
  <c r="Q13" i="12"/>
  <c r="R12" i="12"/>
  <c r="Q12" i="12"/>
  <c r="R11" i="12"/>
  <c r="Q11" i="12"/>
  <c r="R10" i="12"/>
  <c r="Q10" i="12"/>
  <c r="R9" i="12"/>
  <c r="Q9" i="12"/>
  <c r="R8" i="12"/>
  <c r="R32" i="12" s="1"/>
  <c r="Q8" i="12"/>
  <c r="Q32" i="12" s="1"/>
  <c r="Q33" i="12" s="1"/>
  <c r="S6" i="12"/>
  <c r="Q6" i="12"/>
  <c r="O6" i="12"/>
  <c r="O9" i="12" s="1"/>
  <c r="H42" i="12"/>
  <c r="H41" i="12"/>
  <c r="H38" i="12"/>
  <c r="H37" i="12"/>
  <c r="C1" i="2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23" i="3"/>
  <c r="D23" i="3"/>
  <c r="E22" i="3"/>
  <c r="D22" i="3"/>
  <c r="E21" i="3"/>
  <c r="D21" i="3"/>
  <c r="E20" i="3"/>
  <c r="D20" i="3"/>
  <c r="E19" i="3"/>
  <c r="D19" i="3"/>
  <c r="E18" i="3"/>
  <c r="D18" i="3"/>
  <c r="E17" i="3"/>
  <c r="D17" i="3"/>
  <c r="E16" i="3"/>
  <c r="D16" i="3"/>
  <c r="E15" i="3"/>
  <c r="D15" i="3"/>
  <c r="E14" i="3"/>
  <c r="D14" i="3"/>
  <c r="E13" i="3"/>
  <c r="D13" i="3"/>
  <c r="E12" i="3"/>
  <c r="D12" i="3"/>
  <c r="E11" i="3"/>
  <c r="D11" i="3"/>
  <c r="E10" i="3"/>
  <c r="D10" i="3"/>
  <c r="E9" i="3"/>
  <c r="D9" i="3"/>
  <c r="E8" i="3"/>
  <c r="D8" i="3"/>
  <c r="E7" i="3"/>
  <c r="D7" i="3"/>
  <c r="E6" i="3"/>
  <c r="D6" i="3"/>
  <c r="E5" i="3"/>
  <c r="D5" i="3"/>
  <c r="E2" i="3"/>
  <c r="E3" i="3"/>
  <c r="E4" i="3"/>
  <c r="D4" i="3"/>
  <c r="D3" i="3"/>
  <c r="D2" i="3"/>
  <c r="S33" i="12" l="1"/>
  <c r="P24" i="12"/>
  <c r="O17" i="12"/>
  <c r="O25" i="12"/>
  <c r="P31" i="12"/>
  <c r="P16" i="12"/>
  <c r="P23" i="12"/>
  <c r="P30" i="12"/>
  <c r="O14" i="12"/>
  <c r="P22" i="12"/>
  <c r="P29" i="12"/>
  <c r="P20" i="12"/>
  <c r="O29" i="12"/>
  <c r="O20" i="12"/>
  <c r="P12" i="12"/>
  <c r="P25" i="12"/>
  <c r="O18" i="12"/>
  <c r="P17" i="12"/>
  <c r="O24" i="12"/>
  <c r="O31" i="12"/>
  <c r="P14" i="12"/>
  <c r="O23" i="12"/>
  <c r="O30" i="12"/>
  <c r="P13" i="12"/>
  <c r="O13" i="12"/>
  <c r="P28" i="12"/>
  <c r="P19" i="12"/>
  <c r="O12" i="12"/>
  <c r="P26" i="12"/>
  <c r="O19" i="12"/>
  <c r="P11" i="12"/>
  <c r="O26" i="12"/>
  <c r="P18" i="12"/>
  <c r="O11" i="12"/>
  <c r="P10" i="12"/>
  <c r="O28" i="12"/>
  <c r="O22" i="12"/>
  <c r="O16" i="12"/>
  <c r="O10" i="12"/>
  <c r="P27" i="12"/>
  <c r="P21" i="12"/>
  <c r="P15" i="12"/>
  <c r="P9" i="12"/>
  <c r="O27" i="12"/>
  <c r="O21" i="12"/>
  <c r="O15" i="12"/>
  <c r="B3" i="12"/>
  <c r="B62" i="12" l="1" a="1"/>
  <c r="B8" i="12" a="1"/>
  <c r="D50" i="12"/>
  <c r="C50" i="12"/>
  <c r="D49" i="12"/>
  <c r="C49" i="12"/>
  <c r="M47" i="12"/>
  <c r="L47" i="12"/>
  <c r="M46" i="12"/>
  <c r="L46" i="12"/>
  <c r="D46" i="12"/>
  <c r="C46" i="12"/>
  <c r="M45" i="12"/>
  <c r="L45" i="12"/>
  <c r="D45" i="12"/>
  <c r="C45" i="12"/>
  <c r="M44" i="12"/>
  <c r="L44" i="12"/>
  <c r="M43" i="12"/>
  <c r="L43" i="12"/>
  <c r="M42" i="12"/>
  <c r="L42" i="12"/>
  <c r="D42" i="12"/>
  <c r="C42" i="12"/>
  <c r="D41" i="12"/>
  <c r="C41" i="12"/>
  <c r="N39" i="12"/>
  <c r="M39" i="12"/>
  <c r="L39" i="12"/>
  <c r="K39" i="12"/>
  <c r="N38" i="12"/>
  <c r="M38" i="12"/>
  <c r="L38" i="12"/>
  <c r="K38" i="12"/>
  <c r="D38" i="12"/>
  <c r="C38" i="12"/>
  <c r="D37" i="12"/>
  <c r="C37" i="12"/>
  <c r="Z31" i="12"/>
  <c r="Y31" i="12"/>
  <c r="X31" i="12"/>
  <c r="W31" i="12"/>
  <c r="V31" i="12"/>
  <c r="Z30" i="12"/>
  <c r="Y30" i="12"/>
  <c r="X30" i="12"/>
  <c r="W30" i="12"/>
  <c r="V30" i="12"/>
  <c r="J60" i="12"/>
  <c r="H60" i="12"/>
  <c r="E60" i="12"/>
  <c r="C60" i="12"/>
  <c r="D84" i="12" s="1"/>
  <c r="Z7" i="12"/>
  <c r="Y7" i="12"/>
  <c r="X7" i="12"/>
  <c r="W7" i="12"/>
  <c r="V7" i="12"/>
  <c r="U7" i="12"/>
  <c r="U30" i="12" s="1"/>
  <c r="M6" i="12"/>
  <c r="N30" i="12" s="1"/>
  <c r="K6" i="12"/>
  <c r="I6" i="12"/>
  <c r="G6" i="12"/>
  <c r="E6" i="12"/>
  <c r="F30" i="12" s="1"/>
  <c r="C6" i="12"/>
  <c r="J24" i="1"/>
  <c r="I24" i="1"/>
  <c r="H24" i="1"/>
  <c r="G24" i="1"/>
  <c r="F24" i="1"/>
  <c r="D24" i="1"/>
  <c r="C24" i="1"/>
  <c r="B24" i="1"/>
  <c r="H80" i="12" l="1"/>
  <c r="G22" i="12"/>
  <c r="U31" i="12"/>
  <c r="M31" i="12"/>
  <c r="H68" i="12"/>
  <c r="D76" i="12"/>
  <c r="C83" i="12"/>
  <c r="E31" i="12"/>
  <c r="I68" i="12"/>
  <c r="C77" i="12"/>
  <c r="D83" i="12"/>
  <c r="F31" i="12"/>
  <c r="H69" i="12"/>
  <c r="D77" i="12"/>
  <c r="C85" i="12"/>
  <c r="H63" i="12"/>
  <c r="C70" i="12"/>
  <c r="H77" i="12"/>
  <c r="D85" i="12"/>
  <c r="N31" i="12"/>
  <c r="C64" i="12"/>
  <c r="D70" i="12"/>
  <c r="I77" i="12"/>
  <c r="D64" i="12"/>
  <c r="C71" i="12"/>
  <c r="H78" i="12"/>
  <c r="C65" i="12"/>
  <c r="D71" i="12"/>
  <c r="C79" i="12"/>
  <c r="D65" i="12"/>
  <c r="C73" i="12"/>
  <c r="D79" i="12"/>
  <c r="M30" i="12"/>
  <c r="C67" i="12"/>
  <c r="D73" i="12"/>
  <c r="C80" i="12"/>
  <c r="D67" i="12"/>
  <c r="C74" i="12"/>
  <c r="D80" i="12"/>
  <c r="C68" i="12"/>
  <c r="D74" i="12"/>
  <c r="C82" i="12"/>
  <c r="D68" i="12"/>
  <c r="C76" i="12"/>
  <c r="D82" i="12"/>
  <c r="H72" i="12"/>
  <c r="H81" i="12"/>
  <c r="H10" i="12"/>
  <c r="W11" i="12"/>
  <c r="M13" i="12"/>
  <c r="C15" i="12"/>
  <c r="L16" i="12"/>
  <c r="H18" i="12"/>
  <c r="W19" i="12"/>
  <c r="M21" i="12"/>
  <c r="C23" i="12"/>
  <c r="L24" i="12"/>
  <c r="H26" i="12"/>
  <c r="W27" i="12"/>
  <c r="M29" i="12"/>
  <c r="I63" i="12"/>
  <c r="I72" i="12"/>
  <c r="I81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N2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4" i="12"/>
  <c r="H83" i="12"/>
  <c r="K82" i="12"/>
  <c r="M9" i="12"/>
  <c r="C11" i="12"/>
  <c r="L12" i="12"/>
  <c r="H14" i="12"/>
  <c r="W15" i="12"/>
  <c r="M17" i="12"/>
  <c r="C19" i="12"/>
  <c r="L20" i="12"/>
  <c r="H22" i="12"/>
  <c r="W23" i="12"/>
  <c r="M25" i="12"/>
  <c r="C27" i="12"/>
  <c r="L28" i="12"/>
  <c r="H30" i="12"/>
  <c r="I65" i="12"/>
  <c r="I74" i="12"/>
  <c r="I83" i="12"/>
  <c r="U13" i="12"/>
  <c r="G28" i="12"/>
  <c r="H12" i="12"/>
  <c r="I78" i="12"/>
  <c r="K85" i="12"/>
  <c r="J85" i="12"/>
  <c r="K84" i="12"/>
  <c r="J84" i="12"/>
  <c r="G14" i="12"/>
  <c r="H66" i="12"/>
  <c r="H75" i="12"/>
  <c r="H84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M28" i="12"/>
  <c r="G27" i="12"/>
  <c r="M26" i="12"/>
  <c r="G25" i="12"/>
  <c r="M24" i="12"/>
  <c r="G23" i="12"/>
  <c r="G21" i="12"/>
  <c r="M20" i="12"/>
  <c r="G19" i="12"/>
  <c r="Y17" i="12"/>
  <c r="M14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M22" i="12"/>
  <c r="Y19" i="12"/>
  <c r="G17" i="12"/>
  <c r="M10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M18" i="12"/>
  <c r="M16" i="12"/>
  <c r="Y15" i="12"/>
  <c r="G15" i="12"/>
  <c r="Y13" i="12"/>
  <c r="G13" i="12"/>
  <c r="M12" i="12"/>
  <c r="G11" i="12"/>
  <c r="Z29" i="12"/>
  <c r="H29" i="12"/>
  <c r="N28" i="12"/>
  <c r="Z27" i="12"/>
  <c r="H27" i="12"/>
  <c r="N26" i="12"/>
  <c r="Z25" i="12"/>
  <c r="H25" i="12"/>
  <c r="N24" i="12"/>
  <c r="Z23" i="12"/>
  <c r="H23" i="12"/>
  <c r="N22" i="12"/>
  <c r="Z21" i="12"/>
  <c r="H21" i="12"/>
  <c r="N20" i="12"/>
  <c r="Z19" i="12"/>
  <c r="H19" i="12"/>
  <c r="N18" i="12"/>
  <c r="Z17" i="12"/>
  <c r="H17" i="12"/>
  <c r="N16" i="12"/>
  <c r="Z15" i="12"/>
  <c r="H15" i="12"/>
  <c r="N14" i="12"/>
  <c r="Z13" i="12"/>
  <c r="H13" i="12"/>
  <c r="N12" i="12"/>
  <c r="Z11" i="12"/>
  <c r="H11" i="12"/>
  <c r="N10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N13" i="12"/>
  <c r="Y16" i="12"/>
  <c r="I18" i="12"/>
  <c r="N21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69" i="12"/>
  <c r="L31" i="12"/>
  <c r="K31" i="12"/>
  <c r="Z10" i="12"/>
  <c r="U15" i="12"/>
  <c r="K20" i="12"/>
  <c r="F25" i="12"/>
  <c r="K28" i="12"/>
  <c r="I66" i="12"/>
  <c r="I75" i="12"/>
  <c r="I84" i="12"/>
  <c r="U11" i="12"/>
  <c r="Z14" i="12"/>
  <c r="G18" i="12"/>
  <c r="U27" i="12"/>
  <c r="C9" i="12"/>
  <c r="F9" i="12"/>
  <c r="F17" i="12"/>
  <c r="N9" i="12"/>
  <c r="Y12" i="12"/>
  <c r="X15" i="12"/>
  <c r="N17" i="12"/>
  <c r="Y20" i="12"/>
  <c r="I22" i="12"/>
  <c r="X23" i="12"/>
  <c r="N25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1" i="12"/>
  <c r="K10" i="12"/>
  <c r="F15" i="12"/>
  <c r="K18" i="12"/>
  <c r="U21" i="12"/>
  <c r="Z24" i="12"/>
  <c r="U29" i="12"/>
  <c r="F84" i="12"/>
  <c r="E84" i="12"/>
  <c r="F85" i="12"/>
  <c r="E85" i="12"/>
  <c r="W13" i="12"/>
  <c r="M15" i="12"/>
  <c r="C17" i="12"/>
  <c r="L18" i="12"/>
  <c r="W21" i="12"/>
  <c r="M23" i="12"/>
  <c r="C25" i="12"/>
  <c r="L26" i="12"/>
  <c r="H28" i="12"/>
  <c r="W29" i="12"/>
  <c r="I85" i="12"/>
  <c r="H85" i="12"/>
  <c r="Y10" i="12"/>
  <c r="I12" i="12"/>
  <c r="N15" i="12"/>
  <c r="E17" i="12"/>
  <c r="N23" i="12"/>
  <c r="H65" i="12"/>
  <c r="E11" i="12"/>
  <c r="I14" i="12"/>
  <c r="E19" i="12"/>
  <c r="E27" i="12"/>
  <c r="W9" i="12"/>
  <c r="M11" i="12"/>
  <c r="C13" i="12"/>
  <c r="L14" i="12"/>
  <c r="H16" i="12"/>
  <c r="W17" i="12"/>
  <c r="M19" i="12"/>
  <c r="C21" i="12"/>
  <c r="L22" i="12"/>
  <c r="H24" i="12"/>
  <c r="W25" i="12"/>
  <c r="M27" i="12"/>
  <c r="C29" i="12"/>
  <c r="L30" i="12"/>
  <c r="X9" i="12"/>
  <c r="N11" i="12"/>
  <c r="E13" i="12"/>
  <c r="Y14" i="12"/>
  <c r="I16" i="12"/>
  <c r="X17" i="12"/>
  <c r="N19" i="12"/>
  <c r="E21" i="12"/>
  <c r="Y22" i="12"/>
  <c r="I24" i="12"/>
  <c r="X25" i="12"/>
  <c r="N27" i="12"/>
  <c r="E29" i="12"/>
  <c r="I71" i="12"/>
  <c r="I80" i="12"/>
  <c r="J63" i="12"/>
  <c r="E65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K63" i="12"/>
  <c r="F65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E64" i="12"/>
  <c r="J65" i="12"/>
  <c r="J68" i="12"/>
  <c r="J71" i="12"/>
  <c r="E73" i="12"/>
  <c r="J74" i="12"/>
  <c r="E76" i="12"/>
  <c r="J77" i="12"/>
  <c r="E79" i="12"/>
  <c r="J80" i="12"/>
  <c r="E82" i="12"/>
  <c r="J83" i="12"/>
  <c r="F64" i="12"/>
  <c r="K65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E70" i="12"/>
  <c r="C63" i="12"/>
  <c r="H64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E67" i="12"/>
  <c r="D63" i="12"/>
  <c r="I64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E63" i="12"/>
  <c r="J64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30" i="12"/>
  <c r="F63" i="12"/>
  <c r="K64" i="12"/>
  <c r="F66" i="12"/>
  <c r="K67" i="12"/>
  <c r="F69" i="12"/>
  <c r="K70" i="12"/>
  <c r="F72" i="12"/>
  <c r="K73" i="12"/>
  <c r="F75" i="12"/>
  <c r="K76" i="12"/>
  <c r="F78" i="12"/>
  <c r="K79" i="12"/>
  <c r="F81" i="12"/>
  <c r="B62" i="12" l="1"/>
  <c r="B8" i="12"/>
  <c r="P8" i="12" l="1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8" i="12"/>
  <c r="M32" i="12" s="1"/>
  <c r="U8" i="12"/>
  <c r="U32" i="12" s="1"/>
  <c r="C8" i="12"/>
  <c r="C32" i="12" s="1"/>
  <c r="N8" i="12"/>
  <c r="N32" i="12" s="1"/>
  <c r="J8" i="12"/>
  <c r="J32" i="12" s="1"/>
  <c r="K8" i="12"/>
  <c r="K32" i="12" s="1"/>
  <c r="I8" i="12"/>
  <c r="I32" i="12" s="1"/>
  <c r="D62" i="12"/>
  <c r="D86" i="12" s="1"/>
  <c r="C62" i="12"/>
  <c r="C86" i="12" s="1"/>
  <c r="J62" i="12"/>
  <c r="J86" i="12" s="1"/>
  <c r="K62" i="12"/>
  <c r="K86" i="12" s="1"/>
  <c r="F62" i="12"/>
  <c r="F86" i="12" s="1"/>
  <c r="E62" i="12"/>
  <c r="E86" i="12" s="1"/>
  <c r="I62" i="12"/>
  <c r="I86" i="12" s="1"/>
  <c r="H62" i="12"/>
  <c r="H86" i="12" s="1"/>
  <c r="O33" i="12" l="1"/>
  <c r="I33" i="12"/>
  <c r="E87" i="12"/>
  <c r="M33" i="12"/>
  <c r="K33" i="12"/>
  <c r="C87" i="12"/>
  <c r="G33" i="12"/>
  <c r="E33" i="12"/>
  <c r="J87" i="12"/>
  <c r="H87" i="12"/>
  <c r="C33" i="1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<sst xmlns="http://schemas.openxmlformats.org/spreadsheetml/2006/main" count="612" uniqueCount="465">
  <si>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</si>
  <si>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</si>
  <si>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</si>
  <si>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</si>
  <si>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</si>
  <si>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</si>
  <si>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</si>
  <si>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</si>
  <si>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</si>
  <si>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</si>
  <si>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</si>
  <si>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</si>
  <si>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</si>
  <si>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</si>
  <si>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</si>
  <si>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</si>
  <si>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</si>
  <si>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</si>
  <si>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</si>
  <si>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</si>
  <si>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</si>
  <si>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</si>
  <si>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</si>
  <si>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</si>
  <si>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</si>
  <si>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</si>
  <si>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</si>
  <si>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</si>
  <si>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</si>
  <si>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</si>
  <si>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</si>
  <si>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</si>
  <si>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</si>
  <si>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</si>
  <si>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</si>
  <si>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</si>
  <si>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</si>
  <si>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</si>
  <si>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</si>
  <si>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</si>
  <si>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</si>
  <si>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</si>
  <si>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</si>
  <si>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</si>
  <si>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</si>
  <si>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</si>
  <si>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</si>
  <si>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</si>
  <si>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</si>
  <si>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</si>
  <si>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</si>
  <si>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</si>
  <si>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</si>
  <si>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</si>
  <si>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</si>
  <si>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</si>
  <si>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</si>
  <si>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</si>
  <si>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</si>
  <si>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</si>
  <si>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</si>
  <si>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</si>
  <si>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</si>
  <si>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</si>
  <si>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</si>
  <si>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</si>
  <si>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</si>
  <si>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</si>
  <si>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</si>
  <si>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</si>
  <si>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</si>
  <si>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</si>
  <si>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</si>
  <si>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</si>
  <si>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</si>
  <si>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</si>
  <si>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</si>
  <si>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</si>
  <si>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</si>
  <si>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</si>
  <si>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</si>
  <si>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</si>
  <si>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</si>
  <si>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</si>
  <si>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</si>
  <si>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</si>
  <si>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</si>
  <si>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</si>
  <si>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</si>
  <si>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</si>
  <si>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</si>
  <si>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</si>
  <si>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</si>
  <si>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</si>
  <si>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</si>
  <si>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</si>
  <si>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</si>
  <si>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</si>
  <si>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</si>
  <si>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</si>
  <si>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</si>
  <si>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</si>
  <si>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</si>
  <si>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</si>
  <si>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</si>
  <si>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</si>
  <si>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</si>
  <si>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</si>
  <si>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</si>
  <si>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</si>
  <si>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</si>
  <si>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</si>
  <si>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</si>
  <si>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</si>
  <si>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</si>
  <si>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</si>
  <si>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</si>
  <si>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</si>
  <si>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</si>
  <si>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</si>
  <si>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</si>
  <si>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</si>
  <si>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</si>
  <si>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</si>
  <si>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</si>
  <si>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</si>
  <si>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</si>
  <si>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</si>
  <si>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</si>
  <si>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</si>
  <si>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</si>
  <si>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</si>
  <si>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</si>
  <si>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</si>
  <si>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</si>
  <si>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</si>
  <si>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</si>
  <si>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</si>
  <si>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</si>
  <si>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</si>
  <si>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</si>
  <si>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</si>
  <si>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</si>
  <si>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</si>
  <si>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</si>
  <si>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</si>
  <si>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</si>
  <si>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</si>
  <si>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</si>
  <si>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</si>
  <si>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</si>
  <si>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</si>
  <si>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</si>
  <si>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</si>
  <si>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</si>
  <si>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</si>
  <si>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</si>
  <si>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</si>
  <si>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</si>
  <si>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</si>
  <si>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</si>
  <si>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</si>
  <si>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</si>
  <si>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</si>
  <si>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</si>
  <si>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</si>
  <si>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</si>
  <si>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</si>
  <si>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</si>
  <si>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</si>
  <si>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</si>
  <si>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</si>
  <si>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</si>
  <si>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</si>
  <si>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</si>
  <si>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</si>
  <si>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</si>
  <si>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</si>
  <si>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</si>
  <si>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</si>
  <si>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</si>
  <si>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</si>
  <si>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</si>
  <si>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</si>
  <si>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</si>
  <si>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</si>
  <si>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</si>
  <si>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</si>
  <si>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</si>
  <si>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</si>
  <si>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</si>
  <si>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</si>
  <si>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</si>
  <si>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</si>
  <si>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</si>
  <si>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</si>
  <si>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</si>
  <si>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</si>
  <si>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</si>
  <si>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</si>
  <si>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</si>
  <si>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</si>
  <si>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</si>
  <si>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</si>
  <si>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</si>
  <si>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</si>
  <si>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</si>
  <si>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</si>
  <si>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</si>
  <si>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</si>
  <si>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</si>
  <si>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</si>
  <si>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</si>
  <si>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</si>
  <si>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</si>
  <si>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</si>
  <si>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</si>
  <si>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</si>
  <si>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</si>
  <si>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</si>
  <si>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</si>
  <si>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</si>
  <si>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</si>
  <si>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</si>
  <si>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</si>
  <si>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</si>
  <si>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</si>
  <si>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</si>
  <si>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</si>
  <si>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</si>
  <si>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</si>
  <si>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</si>
  <si>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</si>
  <si>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</si>
  <si>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</si>
  <si>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</si>
  <si>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</si>
  <si>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</si>
  <si>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</si>
  <si>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</si>
  <si>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</si>
  <si>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</si>
  <si>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</si>
  <si>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</si>
  <si>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</si>
  <si>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</si>
  <si>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</si>
  <si>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</si>
  <si>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</si>
  <si>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</si>
  <si>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</si>
  <si>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</si>
  <si>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</si>
  <si>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</si>
  <si>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</si>
  <si>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</si>
  <si>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</si>
  <si>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</si>
  <si>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</si>
  <si>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</si>
  <si>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</si>
  <si>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</si>
  <si>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</si>
  <si>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</si>
  <si>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</si>
  <si>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</si>
  <si>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</si>
  <si>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</si>
  <si>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</si>
  <si>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</si>
  <si>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</si>
  <si>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</si>
  <si>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</si>
  <si>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</si>
  <si>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</si>
  <si>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</si>
  <si>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</si>
  <si>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</si>
  <si>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</si>
  <si>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</si>
  <si>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</si>
  <si>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</si>
  <si>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</si>
  <si>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</si>
  <si>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</si>
  <si>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</si>
  <si>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</si>
  <si>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</si>
  <si>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</si>
  <si>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</si>
  <si>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</si>
  <si>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Temps de jeu effectif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</si>
  <si>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</si>
  <si>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</si>
  <si>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</si>
  <si>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</si>
  <si>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</si>
  <si>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</si>
  <si>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</si>
  <si>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</si>
  <si>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</si>
  <si>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</si>
  <si>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</si>
  <si>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</si>
  <si>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</si>
  <si>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</si>
  <si>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</si>
  <si>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</si>
  <si>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</si>
  <si>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</si>
  <si>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</si>
  <si>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</si>
  <si>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</si>
  <si>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</si>
  <si>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</si>
  <si>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</si>
  <si>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</si>
  <si>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</si>
  <si>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</si>
  <si>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</si>
  <si>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</si>
  <si>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</si>
  <si>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</si>
  <si>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</si>
  <si>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</si>
  <si>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</si>
  <si>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</si>
  <si>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</si>
  <si>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</si>
  <si>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</si>
  <si>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</si>
  <si>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</si>
  <si>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</si>
  <si>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</si>
  <si>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</si>
  <si>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</si>
  <si>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</si>
  <si>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</si>
  <si>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</si>
  <si>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</si>
  <si>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</si>
  <si>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</si>
  <si>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</si>
  <si>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</si>
  <si>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</si>
  <si>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</si>
  <si>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</si>
  <si>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</si>
  <si>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</si>
  <si>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</si>
  <si>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</si>
  <si>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</si>
  <si>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</si>
  <si>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</si>
  <si>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</si>
  <si>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</si>
  <si>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</si>
  <si>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</si>
  <si>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</si>
  <si>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</si>
  <si>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</si>
  <si>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</si>
  <si>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</si>
  <si>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</si>
  <si>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</si>
  <si>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</si>
  <si>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</si>
  <si>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</si>
  <si>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</si>
  <si>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</si>
  <si>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</si>
  <si>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</si>
  <si>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</si>
  <si>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</si>
  <si>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</si>
  <si>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</si>
  <si>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</si>
  <si>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</si>
  <si>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</si>
  <si>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</si>
  <si>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</si>
  <si>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</si>
  <si>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</si>
  <si>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</si>
  <si>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</si>
  <si>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</si>
  <si>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</si>
  <si>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</si>
  <si>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</si>
  <si>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</si>
  <si>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</si>
  <si>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</si>
  <si>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</si>
  <si>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</si>
  <si>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</si>
  <si>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</si>
  <si>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</si>
  <si>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</si>
  <si>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</si>
  <si>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</si>
  <si>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</si>
  <si>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</si>
  <si>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</si>
  <si>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</si>
  <si>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</si>
  <si>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</si>
  <si>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</si>
  <si>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</si>
  <si>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</si>
  <si>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</si>
  <si>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</si>
  <si>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</si>
  <si>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</si>
  <si>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</si>
  <si>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</si>
  <si>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</si>
  <si>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</si>
  <si>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</si>
  <si>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</si>
  <si>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</si>
  <si>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</si>
  <si>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</si>
  <si>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</si>
  <si>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</si>
  <si>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</si>
  <si>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</si>
  <si>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</si>
  <si>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</si>
  <si>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</si>
  <si>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</si>
  <si>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</si>
  <si>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</si>
  <si>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</si>
  <si>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</si>
  <si>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</si>
  <si>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</si>
  <si>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</si>
  <si>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</si>
  <si>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</si>
  <si>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</si>
  <si>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</si>
  <si>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</si>
  <si>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</si>
  <si>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</si>
  <si>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</si>
  <si>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</si>
  <si>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26-27_MT1_RC Trie_Première_DOM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</si>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</sst>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43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"/>
      <family val="2"/>
    </font>
    <font>
      <b/>
      <sz val="16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Liberation Serif"/>
    </font>
  </fonts>
  <fills count="33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0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thick">
        <color indexed="64"/>
      </bottom>
      <diagonal/>
    </border>
    <border>
      <left style="thick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rgb="FFFFFFFF"/>
      </bottom>
      <diagonal/>
    </border>
    <border>
      <left style="thin">
        <color rgb="FFFFFFFF"/>
      </left>
      <right/>
      <top style="thick">
        <color rgb="FF4DA72E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 style="thin">
        <color rgb="FFFFFFFF"/>
      </top>
      <bottom/>
      <diagonal/>
    </border>
    <border>
      <left style="thick">
        <color rgb="FF4DA72E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indexed="64"/>
      </top>
      <bottom/>
      <diagonal/>
    </border>
    <border>
      <left style="thin">
        <color rgb="FFFFFFFF"/>
      </left>
      <right/>
      <top style="thick">
        <color rgb="FF4DA72E"/>
      </top>
      <bottom style="thin">
        <color rgb="FF000000"/>
      </bottom>
      <diagonal/>
    </border>
    <border>
      <left style="thick">
        <color rgb="FF4DA72E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n">
        <color indexed="64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/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 style="thick">
        <color rgb="FF4DA72E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 style="thick">
        <color rgb="FF4DA72E"/>
      </bottom>
      <diagonal/>
    </border>
    <border>
      <left style="thin">
        <color indexed="64"/>
      </left>
      <right/>
      <top style="thin">
        <color rgb="FFFFFFFF"/>
      </top>
      <bottom style="thin">
        <color rgb="FFFFFFFF"/>
      </bottom>
      <diagonal/>
    </border>
    <border>
      <left style="thick">
        <color rgb="FF4DA72E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000000"/>
      </right>
      <top style="thin">
        <color rgb="FFFFFFFF"/>
      </top>
      <bottom/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ck">
        <color indexed="64"/>
      </left>
      <right/>
      <top style="thick">
        <color indexed="64"/>
      </top>
      <bottom style="thin">
        <color auto="1"/>
      </bottom>
      <diagonal/>
    </border>
    <border>
      <left/>
      <right style="thin">
        <color auto="1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ck">
        <color rgb="FF4DA72E"/>
      </right>
      <top/>
      <bottom/>
      <diagonal/>
    </border>
    <border>
      <left style="thin">
        <color rgb="FFFFFFFF"/>
      </left>
      <right style="thin">
        <color rgb="FFFFFFFF"/>
      </right>
      <top style="thick">
        <color rgb="FF4DA72E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68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164" fontId="0" fillId="0" borderId="0" xfId="0" applyNumberFormat="1"/>
    <xf numFmtId="0" fontId="19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1" fillId="18" borderId="11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0" fontId="22" fillId="20" borderId="11" xfId="0" applyFont="1" applyFill="1" applyBorder="1" applyAlignment="1">
      <alignment horizontal="center" vertical="center"/>
    </xf>
    <xf numFmtId="0" fontId="21" fillId="10" borderId="11" xfId="0" applyFont="1" applyFill="1" applyBorder="1" applyAlignment="1">
      <alignment horizontal="center" vertical="center" wrapText="1"/>
    </xf>
    <xf numFmtId="0" fontId="0" fillId="17" borderId="20" xfId="0" applyFill="1" applyBorder="1"/>
    <xf numFmtId="0" fontId="0" fillId="17" borderId="22" xfId="0" applyFill="1" applyBorder="1"/>
    <xf numFmtId="0" fontId="0" fillId="17" borderId="11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5" fillId="21" borderId="13" xfId="0" applyFont="1" applyFill="1" applyBorder="1" applyAlignment="1">
      <alignment horizontal="left" vertical="center" wrapText="1"/>
    </xf>
    <xf numFmtId="0" fontId="25" fillId="21" borderId="14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5" fillId="0" borderId="13" xfId="0" applyFont="1" applyBorder="1" applyAlignment="1">
      <alignment horizontal="left" vertical="center" wrapText="1"/>
    </xf>
    <xf numFmtId="0" fontId="25" fillId="0" borderId="14" xfId="0" applyFont="1" applyBorder="1" applyAlignment="1">
      <alignment horizontal="left" vertical="center" wrapText="1"/>
    </xf>
    <xf numFmtId="0" fontId="24" fillId="22" borderId="13" xfId="0" applyFont="1" applyFill="1" applyBorder="1" applyAlignment="1">
      <alignment horizontal="center" vertical="center" wrapText="1"/>
    </xf>
    <xf numFmtId="0" fontId="24" fillId="22" borderId="14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5" xfId="0" applyFill="1" applyBorder="1" applyAlignment="1">
      <alignment horizontal="center" vertical="center"/>
    </xf>
    <xf numFmtId="0" fontId="0" fillId="16" borderId="25" xfId="0" applyFill="1" applyBorder="1" applyAlignment="1">
      <alignment horizontal="center" vertical="center"/>
    </xf>
    <xf numFmtId="0" fontId="24" fillId="22" borderId="26" xfId="0" applyFont="1" applyFill="1" applyBorder="1" applyAlignment="1">
      <alignment horizontal="center" vertical="center" wrapText="1"/>
    </xf>
    <xf numFmtId="0" fontId="25" fillId="0" borderId="27" xfId="0" applyFont="1" applyBorder="1" applyAlignment="1">
      <alignment horizontal="left" vertical="center" wrapText="1"/>
    </xf>
    <xf numFmtId="0" fontId="0" fillId="0" borderId="18" xfId="0" applyBorder="1" applyAlignment="1">
      <alignment horizontal="right" vertical="center"/>
    </xf>
    <xf numFmtId="0" fontId="0" fillId="0" borderId="20" xfId="0" applyBorder="1" applyAlignment="1">
      <alignment horizontal="right" vertical="center"/>
    </xf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0" xfId="0" applyBorder="1"/>
    <xf numFmtId="0" fontId="0" fillId="0" borderId="15" xfId="0" applyBorder="1"/>
    <xf numFmtId="0" fontId="0" fillId="0" borderId="17" xfId="0" applyBorder="1"/>
    <xf numFmtId="0" fontId="0" fillId="0" borderId="16" xfId="0" applyBorder="1"/>
    <xf numFmtId="0" fontId="0" fillId="25" borderId="18" xfId="0" applyFill="1" applyBorder="1"/>
    <xf numFmtId="0" fontId="0" fillId="25" borderId="19" xfId="0" applyFill="1" applyBorder="1"/>
    <xf numFmtId="0" fontId="0" fillId="25" borderId="11" xfId="0" applyFill="1" applyBorder="1"/>
    <xf numFmtId="0" fontId="0" fillId="17" borderId="0" xfId="0" applyFill="1" applyAlignment="1">
      <alignment horizontal="left"/>
    </xf>
    <xf numFmtId="0" fontId="28" fillId="17" borderId="0" xfId="0" applyFont="1" applyFill="1" applyAlignment="1">
      <alignment horizontal="left"/>
    </xf>
    <xf numFmtId="0" fontId="23" fillId="17" borderId="0" xfId="0" applyFont="1" applyFill="1"/>
    <xf numFmtId="0" fontId="30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6" fillId="24" borderId="17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6" fillId="24" borderId="0" xfId="0" applyFont="1" applyFill="1" applyAlignment="1">
      <alignment horizontal="center" vertical="center"/>
    </xf>
    <xf numFmtId="0" fontId="27" fillId="24" borderId="15" xfId="0" applyFont="1" applyFill="1" applyBorder="1" applyAlignment="1">
      <alignment horizontal="center" vertical="center"/>
    </xf>
    <xf numFmtId="0" fontId="27" fillId="24" borderId="30" xfId="0" applyFont="1" applyFill="1" applyBorder="1" applyAlignment="1">
      <alignment horizontal="center" vertical="center"/>
    </xf>
    <xf numFmtId="0" fontId="27" fillId="24" borderId="17" xfId="0" applyFont="1" applyFill="1" applyBorder="1" applyAlignment="1">
      <alignment horizontal="center" vertical="center"/>
    </xf>
    <xf numFmtId="0" fontId="29" fillId="24" borderId="20" xfId="0" applyFont="1" applyFill="1" applyBorder="1" applyAlignment="1">
      <alignment horizontal="center" vertical="center"/>
    </xf>
    <xf numFmtId="0" fontId="26" fillId="24" borderId="28" xfId="0" applyFont="1" applyFill="1" applyBorder="1" applyAlignment="1">
      <alignment horizontal="center" vertical="center"/>
    </xf>
    <xf numFmtId="0" fontId="26" fillId="24" borderId="29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vertical="center"/>
    </xf>
    <xf numFmtId="0" fontId="26" fillId="24" borderId="16" xfId="0" applyFont="1" applyFill="1" applyBorder="1" applyAlignment="1">
      <alignment vertical="center"/>
    </xf>
    <xf numFmtId="0" fontId="26" fillId="24" borderId="11" xfId="0" applyFont="1" applyFill="1" applyBorder="1" applyAlignment="1">
      <alignment horizontal="center" vertical="center"/>
    </xf>
    <xf numFmtId="0" fontId="0" fillId="0" borderId="23" xfId="0" applyBorder="1"/>
    <xf numFmtId="0" fontId="0" fillId="17" borderId="24" xfId="0" applyFill="1" applyBorder="1"/>
    <xf numFmtId="0" fontId="30" fillId="17" borderId="0" xfId="0" applyFont="1" applyFill="1"/>
    <xf numFmtId="14" fontId="0" fillId="17" borderId="0" xfId="0" applyNumberFormat="1" applyFill="1" applyAlignment="1">
      <alignment horizontal="left"/>
    </xf>
    <xf numFmtId="0" fontId="25" fillId="0" borderId="42" xfId="0" applyFont="1" applyBorder="1" applyAlignment="1">
      <alignment horizontal="left" vertical="center" wrapText="1"/>
    </xf>
    <xf numFmtId="0" fontId="26" fillId="24" borderId="24" xfId="0" applyFont="1" applyFill="1" applyBorder="1" applyAlignment="1">
      <alignment horizontal="center" vertical="center"/>
    </xf>
    <xf numFmtId="0" fontId="26" fillId="13" borderId="24" xfId="0" applyFont="1" applyFill="1" applyBorder="1" applyAlignment="1">
      <alignment horizontal="center" vertical="center"/>
    </xf>
    <xf numFmtId="0" fontId="0" fillId="0" borderId="12" xfId="0" applyBorder="1"/>
    <xf numFmtId="0" fontId="0" fillId="0" borderId="24" xfId="0" applyBorder="1"/>
    <xf numFmtId="0" fontId="26" fillId="24" borderId="20" xfId="0" applyFont="1" applyFill="1" applyBorder="1" applyAlignment="1">
      <alignment horizontal="center" vertical="center"/>
    </xf>
    <xf numFmtId="0" fontId="26" fillId="24" borderId="22" xfId="0" applyFont="1" applyFill="1" applyBorder="1" applyAlignment="1">
      <alignment horizontal="center" vertical="center"/>
    </xf>
    <xf numFmtId="0" fontId="26" fillId="28" borderId="20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7" fillId="28" borderId="30" xfId="0" applyFont="1" applyFill="1" applyBorder="1" applyAlignment="1">
      <alignment horizontal="center" vertical="center"/>
    </xf>
    <xf numFmtId="0" fontId="27" fillId="28" borderId="17" xfId="0" applyFont="1" applyFill="1" applyBorder="1" applyAlignment="1">
      <alignment horizontal="center" vertical="center"/>
    </xf>
    <xf numFmtId="0" fontId="25" fillId="0" borderId="26" xfId="0" applyFont="1" applyBorder="1" applyAlignment="1">
      <alignment horizontal="center" vertical="center" wrapText="1"/>
    </xf>
    <xf numFmtId="165" fontId="0" fillId="25" borderId="19" xfId="0" applyNumberFormat="1" applyFill="1" applyBorder="1"/>
    <xf numFmtId="165" fontId="0" fillId="17" borderId="22" xfId="0" applyNumberFormat="1" applyFill="1" applyBorder="1"/>
    <xf numFmtId="0" fontId="34" fillId="24" borderId="28" xfId="0" applyFont="1" applyFill="1" applyBorder="1"/>
    <xf numFmtId="165" fontId="34" fillId="24" borderId="29" xfId="0" applyNumberFormat="1" applyFont="1" applyFill="1" applyBorder="1"/>
    <xf numFmtId="0" fontId="25" fillId="0" borderId="0" xfId="0" applyFont="1" applyAlignment="1">
      <alignment horizontal="center" vertical="center" wrapText="1"/>
    </xf>
    <xf numFmtId="0" fontId="30" fillId="0" borderId="18" xfId="0" applyFont="1" applyBorder="1"/>
    <xf numFmtId="0" fontId="35" fillId="29" borderId="44" xfId="0" applyFont="1" applyFill="1" applyBorder="1" applyAlignment="1">
      <alignment horizontal="center" vertical="center"/>
    </xf>
    <xf numFmtId="0" fontId="38" fillId="30" borderId="45" xfId="0" applyFont="1" applyFill="1" applyBorder="1" applyAlignment="1">
      <alignment horizontal="center" vertical="center"/>
    </xf>
    <xf numFmtId="0" fontId="37" fillId="30" borderId="46" xfId="0" applyFont="1" applyFill="1" applyBorder="1" applyAlignment="1">
      <alignment horizontal="center" vertical="center"/>
    </xf>
    <xf numFmtId="0" fontId="37" fillId="16" borderId="47" xfId="0" applyFont="1" applyFill="1" applyBorder="1" applyAlignment="1">
      <alignment horizontal="center" vertical="center"/>
    </xf>
    <xf numFmtId="0" fontId="36" fillId="29" borderId="48" xfId="0" applyFont="1" applyFill="1" applyBorder="1" applyAlignment="1">
      <alignment horizontal="center" vertical="center"/>
    </xf>
    <xf numFmtId="0" fontId="38" fillId="16" borderId="49" xfId="0" applyFont="1" applyFill="1" applyBorder="1" applyAlignment="1">
      <alignment horizontal="center" vertical="center"/>
    </xf>
    <xf numFmtId="0" fontId="36" fillId="29" borderId="50" xfId="0" applyFont="1" applyFill="1" applyBorder="1" applyAlignment="1">
      <alignment horizontal="center" vertical="center"/>
    </xf>
    <xf numFmtId="0" fontId="38" fillId="30" borderId="51" xfId="0" applyFont="1" applyFill="1" applyBorder="1" applyAlignment="1">
      <alignment horizontal="center" vertical="center"/>
    </xf>
    <xf numFmtId="0" fontId="38" fillId="16" borderId="43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45" xfId="0" applyFill="1" applyBorder="1" applyAlignment="1">
      <alignment horizontal="center" vertical="center" wrapText="1"/>
    </xf>
    <xf numFmtId="0" fontId="0" fillId="17" borderId="45" xfId="0" applyFill="1" applyBorder="1" applyAlignment="1">
      <alignment horizontal="center" vertical="center" wrapText="1"/>
    </xf>
    <xf numFmtId="0" fontId="0" fillId="32" borderId="45" xfId="0" applyFill="1" applyBorder="1" applyAlignment="1">
      <alignment horizontal="center" vertical="center" wrapText="1"/>
    </xf>
    <xf numFmtId="0" fontId="0" fillId="17" borderId="52" xfId="0" applyFill="1" applyBorder="1" applyAlignment="1">
      <alignment horizontal="center" vertical="center" wrapText="1"/>
    </xf>
    <xf numFmtId="0" fontId="3" fillId="17" borderId="54" xfId="0" applyFont="1" applyFill="1" applyBorder="1" applyAlignment="1">
      <alignment horizontal="center" vertical="center" wrapText="1"/>
    </xf>
    <xf numFmtId="0" fontId="0" fillId="17" borderId="54" xfId="0" applyFill="1" applyBorder="1" applyAlignment="1">
      <alignment horizontal="center" vertical="center" wrapText="1"/>
    </xf>
    <xf numFmtId="0" fontId="0" fillId="17" borderId="58" xfId="0" applyFill="1" applyBorder="1" applyAlignment="1">
      <alignment horizontal="center" vertical="center"/>
    </xf>
    <xf numFmtId="0" fontId="3" fillId="16" borderId="63" xfId="0" applyFont="1" applyFill="1" applyBorder="1" applyAlignment="1">
      <alignment horizontal="center" vertical="center" wrapText="1"/>
    </xf>
    <xf numFmtId="0" fontId="0" fillId="17" borderId="64" xfId="0" applyFill="1" applyBorder="1" applyAlignment="1">
      <alignment horizontal="center" vertical="center" wrapText="1"/>
    </xf>
    <xf numFmtId="0" fontId="0" fillId="17" borderId="60" xfId="0" applyFill="1" applyBorder="1" applyAlignment="1">
      <alignment horizontal="center" vertical="center"/>
    </xf>
    <xf numFmtId="0" fontId="0" fillId="17" borderId="62" xfId="0" applyFill="1" applyBorder="1" applyAlignment="1">
      <alignment horizontal="center" vertical="center"/>
    </xf>
    <xf numFmtId="0" fontId="0" fillId="17" borderId="63" xfId="0" applyFill="1" applyBorder="1" applyAlignment="1">
      <alignment horizontal="center" vertical="center"/>
    </xf>
    <xf numFmtId="0" fontId="3" fillId="17" borderId="60" xfId="0" applyFont="1" applyFill="1" applyBorder="1" applyAlignment="1">
      <alignment horizontal="center" vertical="center" wrapText="1"/>
    </xf>
    <xf numFmtId="0" fontId="0" fillId="17" borderId="65" xfId="0" applyFill="1" applyBorder="1" applyAlignment="1">
      <alignment horizontal="center" vertical="center" wrapText="1"/>
    </xf>
    <xf numFmtId="0" fontId="0" fillId="17" borderId="60" xfId="0" applyFill="1" applyBorder="1" applyAlignment="1">
      <alignment horizontal="center" vertical="center" wrapText="1"/>
    </xf>
    <xf numFmtId="0" fontId="0" fillId="17" borderId="66" xfId="0" applyFill="1" applyBorder="1" applyAlignment="1">
      <alignment horizontal="center" vertical="center" wrapText="1"/>
    </xf>
    <xf numFmtId="0" fontId="0" fillId="17" borderId="54" xfId="0" applyFill="1" applyBorder="1" applyAlignment="1">
      <alignment horizontal="center" vertical="center"/>
    </xf>
    <xf numFmtId="0" fontId="0" fillId="16" borderId="52" xfId="0" applyFill="1" applyBorder="1" applyAlignment="1">
      <alignment horizontal="center" vertical="center"/>
    </xf>
    <xf numFmtId="0" fontId="0" fillId="16" borderId="67" xfId="0" applyFill="1" applyBorder="1" applyAlignment="1">
      <alignment horizontal="center" vertical="center"/>
    </xf>
    <xf numFmtId="0" fontId="0" fillId="16" borderId="54" xfId="0" applyFill="1" applyBorder="1" applyAlignment="1">
      <alignment horizontal="center" vertical="center"/>
    </xf>
    <xf numFmtId="0" fontId="0" fillId="17" borderId="68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" fillId="17" borderId="69" xfId="0" applyFont="1" applyFill="1" applyBorder="1" applyAlignment="1">
      <alignment horizontal="center" vertical="center" wrapText="1"/>
    </xf>
    <xf numFmtId="0" fontId="0" fillId="17" borderId="63" xfId="0" applyFill="1" applyBorder="1" applyAlignment="1">
      <alignment horizontal="center" vertical="center" wrapText="1"/>
    </xf>
    <xf numFmtId="0" fontId="3" fillId="17" borderId="70" xfId="0" applyFont="1" applyFill="1" applyBorder="1" applyAlignment="1">
      <alignment horizontal="center" vertical="center" wrapText="1"/>
    </xf>
    <xf numFmtId="0" fontId="0" fillId="17" borderId="71" xfId="0" applyFill="1" applyBorder="1" applyAlignment="1">
      <alignment horizontal="center" vertical="center" wrapText="1"/>
    </xf>
    <xf numFmtId="0" fontId="18" fillId="16" borderId="54" xfId="0" applyFont="1" applyFill="1" applyBorder="1" applyAlignment="1">
      <alignment horizontal="center" vertical="center"/>
    </xf>
    <xf numFmtId="0" fontId="0" fillId="17" borderId="55" xfId="0" applyFill="1" applyBorder="1" applyAlignment="1">
      <alignment horizontal="center" vertical="center"/>
    </xf>
    <xf numFmtId="0" fontId="0" fillId="17" borderId="58" xfId="0" applyFill="1" applyBorder="1"/>
    <xf numFmtId="0" fontId="0" fillId="17" borderId="84" xfId="0" applyFill="1" applyBorder="1" applyAlignment="1">
      <alignment horizontal="center" vertical="center"/>
    </xf>
    <xf numFmtId="0" fontId="0" fillId="17" borderId="60" xfId="0" applyFill="1" applyBorder="1"/>
    <xf numFmtId="0" fontId="42" fillId="0" borderId="0" xfId="0" applyFont="1" applyAlignment="1">
      <alignment wrapText="1"/>
    </xf>
    <xf numFmtId="0" fontId="0" fillId="17" borderId="87" xfId="0" applyFill="1" applyBorder="1"/>
    <xf numFmtId="0" fontId="0" fillId="17" borderId="88" xfId="0" applyFill="1" applyBorder="1"/>
    <xf numFmtId="0" fontId="0" fillId="17" borderId="89" xfId="0" applyFill="1" applyBorder="1"/>
    <xf numFmtId="0" fontId="0" fillId="17" borderId="90" xfId="0" applyFill="1" applyBorder="1"/>
    <xf numFmtId="0" fontId="0" fillId="17" borderId="91" xfId="0" applyFill="1" applyBorder="1"/>
    <xf numFmtId="0" fontId="0" fillId="17" borderId="90" xfId="0" applyFill="1" applyBorder="1" applyAlignment="1">
      <alignment horizontal="right"/>
    </xf>
    <xf numFmtId="0" fontId="0" fillId="17" borderId="92" xfId="0" applyFill="1" applyBorder="1"/>
    <xf numFmtId="0" fontId="0" fillId="17" borderId="93" xfId="0" applyFill="1" applyBorder="1"/>
    <xf numFmtId="0" fontId="0" fillId="17" borderId="94" xfId="0" applyFill="1" applyBorder="1"/>
    <xf numFmtId="0" fontId="0" fillId="17" borderId="45" xfId="0" applyFill="1" applyBorder="1"/>
    <xf numFmtId="14" fontId="0" fillId="0" borderId="0" xfId="0" applyNumberFormat="1"/>
    <xf numFmtId="22" fontId="0" fillId="0" borderId="0" xfId="0" applyNumberFormat="1"/>
    <xf numFmtId="0" fontId="0" fillId="0" borderId="25" xfId="0" applyBorder="1"/>
    <xf numFmtId="0" fontId="0" fillId="0" borderId="54" xfId="0" applyBorder="1"/>
    <xf numFmtId="0" fontId="0" fillId="0" borderId="57" xfId="0" applyBorder="1"/>
    <xf numFmtId="0" fontId="0" fillId="0" borderId="58" xfId="0" applyBorder="1"/>
    <xf numFmtId="0" fontId="0" fillId="0" borderId="73" xfId="0" applyBorder="1"/>
    <xf numFmtId="0" fontId="0" fillId="0" borderId="60" xfId="0" applyBorder="1"/>
    <xf numFmtId="0" fontId="0" fillId="0" borderId="59" xfId="0" applyBorder="1"/>
    <xf numFmtId="0" fontId="0" fillId="0" borderId="61" xfId="0" applyBorder="1"/>
    <xf numFmtId="0" fontId="0" fillId="0" borderId="71" xfId="0" applyBorder="1"/>
    <xf numFmtId="0" fontId="0" fillId="0" borderId="80" xfId="0" applyBorder="1"/>
    <xf numFmtId="0" fontId="0" fillId="0" borderId="78" xfId="0" applyBorder="1"/>
    <xf numFmtId="0" fontId="0" fillId="0" borderId="82" xfId="0" applyBorder="1"/>
    <xf numFmtId="0" fontId="0" fillId="0" borderId="81" xfId="0" applyBorder="1"/>
    <xf numFmtId="0" fontId="0" fillId="0" borderId="83" xfId="0" applyBorder="1"/>
    <xf numFmtId="0" fontId="3" fillId="9" borderId="2" xfId="0" applyFont="1" applyFill="1" applyBorder="1" applyAlignment="1">
      <alignment horizontal="center" vertical="center" wrapText="1"/>
    </xf>
    <xf numFmtId="0" fontId="3" fillId="9" borderId="56" xfId="0" applyFont="1" applyFill="1" applyBorder="1" applyAlignment="1">
      <alignment horizontal="center" vertical="center" wrapText="1"/>
    </xf>
    <xf numFmtId="0" fontId="0" fillId="0" borderId="99" xfId="0" applyBorder="1"/>
    <xf numFmtId="0" fontId="0" fillId="17" borderId="80" xfId="0" applyFill="1" applyBorder="1"/>
    <xf numFmtId="0" fontId="0" fillId="17" borderId="98" xfId="0" applyFill="1" applyBorder="1"/>
    <xf numFmtId="0" fontId="0" fillId="0" borderId="53" xfId="0" applyBorder="1"/>
    <xf numFmtId="0" fontId="0" fillId="0" borderId="72" xfId="0" applyBorder="1"/>
    <xf numFmtId="0" fontId="0" fillId="0" borderId="55" xfId="0" applyBorder="1"/>
    <xf numFmtId="0" fontId="0" fillId="0" borderId="56" xfId="0" applyBorder="1"/>
    <xf numFmtId="0" fontId="0" fillId="0" borderId="74" xfId="0" applyBorder="1"/>
    <xf numFmtId="0" fontId="0" fillId="0" borderId="68" xfId="0" applyBorder="1"/>
    <xf numFmtId="0" fontId="8" fillId="10" borderId="0" xfId="0" applyFont="1" applyFill="1" applyAlignment="1">
      <alignment horizontal="center" vertical="center" wrapText="1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19" fillId="10" borderId="0" xfId="0" applyFont="1" applyFill="1" applyAlignment="1">
      <alignment horizontal="center" vertical="center" wrapText="1"/>
    </xf>
    <xf numFmtId="0" fontId="0" fillId="0" borderId="70" xfId="0" applyBorder="1"/>
    <xf numFmtId="0" fontId="0" fillId="0" borderId="101" xfId="0" applyBorder="1"/>
    <xf numFmtId="0" fontId="0" fillId="0" borderId="100" xfId="0" applyBorder="1"/>
    <xf numFmtId="0" fontId="0" fillId="0" borderId="85" xfId="0" applyBorder="1"/>
    <xf numFmtId="0" fontId="39" fillId="16" borderId="0" xfId="0" applyFont="1" applyFill="1" applyAlignment="1">
      <alignment horizontal="left" vertical="center"/>
    </xf>
    <xf numFmtId="0" fontId="0" fillId="0" borderId="86" xfId="0" applyBorder="1"/>
    <xf numFmtId="0" fontId="9" fillId="18" borderId="0" xfId="0" applyFont="1" applyFill="1" applyAlignment="1">
      <alignment horizontal="center" vertical="center"/>
    </xf>
    <xf numFmtId="0" fontId="41" fillId="18" borderId="0" xfId="0" applyFont="1" applyFill="1" applyAlignment="1">
      <alignment horizontal="center" vertical="center"/>
    </xf>
    <xf numFmtId="0" fontId="19" fillId="13" borderId="0" xfId="0" applyFont="1" applyFill="1" applyAlignment="1">
      <alignment horizontal="center" vertical="center"/>
    </xf>
    <xf numFmtId="0" fontId="3" fillId="24" borderId="55" xfId="0" applyFont="1" applyFill="1" applyBorder="1" applyAlignment="1">
      <alignment horizontal="center" vertical="center"/>
    </xf>
    <xf numFmtId="0" fontId="3" fillId="24" borderId="56" xfId="0" applyFont="1" applyFill="1" applyBorder="1" applyAlignment="1">
      <alignment horizontal="center" vertical="center"/>
    </xf>
    <xf numFmtId="0" fontId="3" fillId="24" borderId="79" xfId="0" applyFont="1" applyFill="1" applyBorder="1" applyAlignment="1">
      <alignment horizontal="center" vertical="center"/>
    </xf>
    <xf numFmtId="0" fontId="3" fillId="24" borderId="60" xfId="0" applyFont="1" applyFill="1" applyBorder="1" applyAlignment="1">
      <alignment horizontal="center" vertical="center"/>
    </xf>
    <xf numFmtId="0" fontId="3" fillId="24" borderId="71" xfId="0" applyFont="1" applyFill="1" applyBorder="1" applyAlignment="1">
      <alignment horizontal="center" vertical="center"/>
    </xf>
    <xf numFmtId="0" fontId="3" fillId="24" borderId="0" xfId="0" applyFont="1" applyFill="1" applyAlignment="1">
      <alignment horizontal="center" vertical="center"/>
    </xf>
    <xf numFmtId="165" fontId="40" fillId="10" borderId="60" xfId="0" applyNumberFormat="1" applyFont="1" applyFill="1" applyBorder="1" applyAlignment="1">
      <alignment horizontal="center" vertical="center"/>
    </xf>
    <xf numFmtId="165" fontId="40" fillId="10" borderId="71" xfId="0" applyNumberFormat="1" applyFont="1" applyFill="1" applyBorder="1" applyAlignment="1">
      <alignment horizontal="center" vertical="center"/>
    </xf>
    <xf numFmtId="165" fontId="40" fillId="10" borderId="0" xfId="0" applyNumberFormat="1" applyFont="1" applyFill="1" applyAlignment="1">
      <alignment horizontal="center" vertical="center"/>
    </xf>
    <xf numFmtId="0" fontId="17" fillId="24" borderId="0" xfId="0" applyFont="1" applyFill="1" applyAlignment="1">
      <alignment horizontal="center" vertical="center"/>
    </xf>
    <xf numFmtId="0" fontId="19" fillId="16" borderId="60" xfId="0" applyFont="1" applyFill="1" applyBorder="1" applyAlignment="1">
      <alignment horizontal="left" vertical="center" wrapText="1"/>
    </xf>
    <xf numFmtId="0" fontId="19" fillId="16" borderId="62" xfId="0" applyFont="1" applyFill="1" applyBorder="1" applyAlignment="1">
      <alignment horizontal="left" vertical="center" wrapText="1"/>
    </xf>
    <xf numFmtId="0" fontId="3" fillId="24" borderId="60" xfId="0" applyFont="1" applyFill="1" applyBorder="1" applyAlignment="1">
      <alignment horizontal="center" vertical="center" wrapText="1"/>
    </xf>
    <xf numFmtId="0" fontId="3" fillId="24" borderId="71" xfId="0" applyFont="1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31" fillId="13" borderId="0" xfId="0" applyFont="1" applyFill="1" applyAlignment="1">
      <alignment horizontal="center" vertical="center" wrapText="1"/>
    </xf>
    <xf numFmtId="0" fontId="23" fillId="0" borderId="34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38" xfId="0" applyFont="1" applyBorder="1" applyAlignment="1">
      <alignment horizontal="center" vertical="center"/>
    </xf>
    <xf numFmtId="0" fontId="23" fillId="0" borderId="39" xfId="0" applyFont="1" applyBorder="1" applyAlignment="1">
      <alignment horizontal="center" vertical="center"/>
    </xf>
    <xf numFmtId="0" fontId="23" fillId="0" borderId="40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0" fontId="26" fillId="13" borderId="15" xfId="0" applyFont="1" applyFill="1" applyBorder="1" applyAlignment="1">
      <alignment horizontal="center" vertical="center"/>
    </xf>
    <xf numFmtId="0" fontId="26" fillId="13" borderId="16" xfId="0" applyFont="1" applyFill="1" applyBorder="1" applyAlignment="1">
      <alignment horizontal="center" vertical="center"/>
    </xf>
    <xf numFmtId="0" fontId="26" fillId="13" borderId="17" xfId="0" applyFont="1" applyFill="1" applyBorder="1" applyAlignment="1">
      <alignment horizontal="center" vertical="center"/>
    </xf>
    <xf numFmtId="0" fontId="27" fillId="13" borderId="23" xfId="0" applyFont="1" applyFill="1" applyBorder="1" applyAlignment="1">
      <alignment horizontal="center" vertical="center"/>
    </xf>
    <xf numFmtId="0" fontId="27" fillId="13" borderId="24" xfId="0" applyFont="1" applyFill="1" applyBorder="1" applyAlignment="1">
      <alignment horizontal="center" vertical="center"/>
    </xf>
    <xf numFmtId="0" fontId="0" fillId="25" borderId="28" xfId="0" applyFill="1" applyBorder="1" applyAlignment="1">
      <alignment horizontal="left"/>
    </xf>
    <xf numFmtId="0" fontId="0" fillId="25" borderId="29" xfId="0" applyFill="1" applyBorder="1" applyAlignment="1">
      <alignment horizontal="left"/>
    </xf>
    <xf numFmtId="0" fontId="29" fillId="24" borderId="31" xfId="0" applyFont="1" applyFill="1" applyBorder="1" applyAlignment="1">
      <alignment horizontal="center" vertical="center"/>
    </xf>
    <xf numFmtId="0" fontId="29" fillId="24" borderId="32" xfId="0" applyFont="1" applyFill="1" applyBorder="1" applyAlignment="1">
      <alignment horizontal="center" vertical="center"/>
    </xf>
    <xf numFmtId="0" fontId="29" fillId="24" borderId="33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horizontal="center" vertical="center"/>
    </xf>
    <xf numFmtId="0" fontId="26" fillId="24" borderId="17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6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9" fillId="28" borderId="31" xfId="0" applyFont="1" applyFill="1" applyBorder="1" applyAlignment="1">
      <alignment horizontal="center" vertical="center"/>
    </xf>
    <xf numFmtId="0" fontId="29" fillId="28" borderId="32" xfId="0" applyFont="1" applyFill="1" applyBorder="1" applyAlignment="1">
      <alignment horizontal="center" vertical="center"/>
    </xf>
    <xf numFmtId="0" fontId="0" fillId="17" borderId="28" xfId="0" applyFill="1" applyBorder="1" applyAlignment="1">
      <alignment horizontal="left"/>
    </xf>
    <xf numFmtId="0" fontId="0" fillId="17" borderId="29" xfId="0" applyFill="1" applyBorder="1" applyAlignment="1">
      <alignment horizontal="left"/>
    </xf>
    <xf numFmtId="0" fontId="33" fillId="17" borderId="34" xfId="0" applyFont="1" applyFill="1" applyBorder="1" applyAlignment="1">
      <alignment horizontal="center" vertical="center"/>
    </xf>
    <xf numFmtId="0" fontId="33" fillId="17" borderId="35" xfId="0" applyFont="1" applyFill="1" applyBorder="1" applyAlignment="1">
      <alignment horizontal="center" vertical="center"/>
    </xf>
    <xf numFmtId="0" fontId="33" fillId="17" borderId="36" xfId="0" applyFont="1" applyFill="1" applyBorder="1" applyAlignment="1">
      <alignment horizontal="center" vertical="center"/>
    </xf>
    <xf numFmtId="0" fontId="33" fillId="17" borderId="37" xfId="0" applyFont="1" applyFill="1" applyBorder="1" applyAlignment="1">
      <alignment horizontal="center" vertical="center"/>
    </xf>
    <xf numFmtId="0" fontId="33" fillId="17" borderId="0" xfId="0" applyFont="1" applyFill="1" applyAlignment="1">
      <alignment horizontal="center" vertical="center"/>
    </xf>
    <xf numFmtId="0" fontId="33" fillId="17" borderId="38" xfId="0" applyFont="1" applyFill="1" applyBorder="1" applyAlignment="1">
      <alignment horizontal="center" vertical="center"/>
    </xf>
    <xf numFmtId="0" fontId="33" fillId="17" borderId="39" xfId="0" applyFont="1" applyFill="1" applyBorder="1" applyAlignment="1">
      <alignment horizontal="center" vertical="center"/>
    </xf>
    <xf numFmtId="0" fontId="33" fillId="17" borderId="40" xfId="0" applyFont="1" applyFill="1" applyBorder="1" applyAlignment="1">
      <alignment horizontal="center" vertical="center"/>
    </xf>
    <xf numFmtId="0" fontId="33" fillId="17" borderId="41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8" borderId="15" xfId="0" applyFont="1" applyFill="1" applyBorder="1" applyAlignment="1">
      <alignment horizontal="center" vertical="center"/>
    </xf>
    <xf numFmtId="0" fontId="26" fillId="28" borderId="17" xfId="0" applyFont="1" applyFill="1" applyBorder="1" applyAlignment="1">
      <alignment horizontal="center" vertical="center"/>
    </xf>
    <xf numFmtId="0" fontId="35" fillId="29" borderId="95" xfId="0" applyFont="1" applyFill="1" applyBorder="1" applyAlignment="1">
      <alignment horizontal="center" vertical="center"/>
    </xf>
    <xf numFmtId="0" fontId="35" fillId="29" borderId="96" xfId="0" applyFont="1" applyFill="1" applyBorder="1" applyAlignment="1">
      <alignment horizontal="center" vertical="center"/>
    </xf>
    <xf numFmtId="0" fontId="36" fillId="29" borderId="97" xfId="0" applyFont="1" applyFill="1" applyBorder="1" applyAlignment="1">
      <alignment horizontal="center" vertical="center"/>
    </xf>
    <xf numFmtId="0" fontId="36" fillId="29" borderId="29" xfId="0" applyFont="1" applyFill="1" applyBorder="1" applyAlignment="1">
      <alignment horizontal="center" vertical="center"/>
    </xf>
    <xf numFmtId="0" fontId="32" fillId="27" borderId="18" xfId="0" applyFont="1" applyFill="1" applyBorder="1" applyAlignment="1">
      <alignment horizontal="center" vertical="center" wrapText="1"/>
    </xf>
    <xf numFmtId="0" fontId="32" fillId="27" borderId="0" xfId="0" applyFont="1" applyFill="1" applyAlignment="1">
      <alignment horizontal="center" vertical="center" wrapText="1"/>
    </xf>
    <xf numFmtId="0" fontId="18" fillId="17" borderId="0" xfId="0" applyFont="1" applyFill="1" applyAlignment="1">
      <alignment horizont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56"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9" formatCode="dd/mm/yyyy"/>
    </dxf>
    <dxf>
      <numFmt numFmtId="27" formatCode="dd/mm/yyyy\ hh:mm"/>
    </dxf>
    <dxf>
      <numFmt numFmtId="165" formatCode="[m]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Structure" Target="richData/rdrichvaluestructure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match'!$C$93:$C$97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3-EF45-B045-194C46F7EFF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match'!$D$93:$D$97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3-EF45-B045-194C46F7E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3555839"/>
        <c:axId val="1413558079"/>
      </c:barChart>
      <c:catAx>
        <c:axId val="1413555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13558079"/>
        <c:crosses val="autoZero"/>
        <c:auto val="1"/>
        <c:lblAlgn val="ctr"/>
        <c:lblOffset val="100"/>
        <c:noMultiLvlLbl val="0"/>
      </c:catAx>
      <c:valAx>
        <c:axId val="1413558079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13555839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254000</xdr:colOff>
      <xdr:row>1</xdr:row>
      <xdr:rowOff>139700</xdr:rowOff>
    </xdr:from>
    <xdr:to>
      <xdr:col>6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104775</xdr:colOff>
      <xdr:row>28</xdr:row>
      <xdr:rowOff>203200</xdr:rowOff>
    </xdr:from>
    <xdr:to>
      <xdr:col>5</xdr:col>
      <xdr:colOff>714375</xdr:colOff>
      <xdr:row>28</xdr:row>
      <xdr:rowOff>901700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447675" y="699770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7</xdr:col>
      <xdr:colOff>127000</xdr:colOff>
      <xdr:row>28</xdr:row>
      <xdr:rowOff>266700</xdr:rowOff>
    </xdr:from>
    <xdr:to>
      <xdr:col>13</xdr:col>
      <xdr:colOff>152400</xdr:colOff>
      <xdr:row>28</xdr:row>
      <xdr:rowOff>1066800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590800" y="7061200"/>
          <a:ext cx="2921000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VLC connecté</a:t>
          </a:r>
        </a:p>
      </xdr:txBody>
    </xdr:sp>
    <xdr:clientData/>
  </xdr:twoCellAnchor>
  <xdr:twoCellAnchor editAs="absolute">
    <xdr:from>
      <xdr:col>6</xdr:col>
      <xdr:colOff>95250</xdr:colOff>
      <xdr:row>28</xdr:row>
      <xdr:rowOff>355600</xdr:rowOff>
    </xdr:from>
    <xdr:to>
      <xdr:col>7</xdr:col>
      <xdr:colOff>122316</xdr:colOff>
      <xdr:row>28</xdr:row>
      <xdr:rowOff>529336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419350" y="7150100"/>
          <a:ext cx="166766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8616</xdr:colOff>
      <xdr:row>0</xdr:row>
      <xdr:rowOff>43695</xdr:rowOff>
    </xdr:from>
    <xdr:to>
      <xdr:col>21</xdr:col>
      <xdr:colOff>124732</xdr:colOff>
      <xdr:row>1</xdr:row>
      <xdr:rowOff>11337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/>
      </xdr:nvSpPr>
      <xdr:spPr>
        <a:xfrm>
          <a:off x="6585402" y="43695"/>
          <a:ext cx="2043794" cy="466571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109</xdr:row>
      <xdr:rowOff>0</xdr:rowOff>
    </xdr:from>
    <xdr:to>
      <xdr:col>8</xdr:col>
      <xdr:colOff>762000</xdr:colOff>
      <xdr:row>132</xdr:row>
      <xdr:rowOff>12700</xdr:rowOff>
    </xdr:to>
    <xdr:graphicFrame macro="">
      <xdr:nvGraphicFramePr>
        <xdr:cNvPr id="4" name="GRAPHIQUE_SEQUENCES_POSSESSION">
          <a:extLst>
            <a:ext uri="{FF2B5EF4-FFF2-40B4-BE49-F238E27FC236}">
              <a16:creationId xmlns:a16="http://schemas.microsoft.com/office/drawing/2014/main" id="{913691FD-6EB6-E553-E2D1-17283A9451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E68" totalsRowShown="0" headerRowDxfId="55" dataDxfId="54">
  <autoFilter ref="A1:E68" xr:uid="{DBC8D92C-BAC5-B84A-942F-9991F3427889}"/>
  <sortState xmlns:xlrd2="http://schemas.microsoft.com/office/spreadsheetml/2017/richdata2" ref="A2:D2">
    <sortCondition ref="B1:B2"/>
  </sortState>
  <tableColumns count="5">
    <tableColumn id="1" xr3:uid="{85EDFBC5-8A9C-C242-B7F2-D31BF1334751}" name="id" dataDxfId="53"/>
    <tableColumn id="2" xr3:uid="{0C1B8A30-A3B8-DA4D-B893-C4C99FF33E90}" name="nom" dataDxfId="52"/>
    <tableColumn id="3" xr3:uid="{8AE5AF32-0026-9B41-8B0B-16B9ED0F3727}" name="prenom" dataDxfId="51"/>
    <tableColumn id="4" xr3:uid="{4CE41A86-7158-6B42-B932-A5275F10AB48}" name="prenom NOM" dataDxfId="50">
      <calculatedColumnFormula>LstEffectif[[#This Row],[prenom]] &amp; " " &amp; LstEffectif[[#This Row],[nom]]</calculatedColumnFormula>
    </tableColumn>
    <tableColumn id="5" xr3:uid="{EB017694-E6D2-7440-91BF-61113926AB7D}" name="NOM Prénom" dataDxfId="49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I1:I11" totalsRowShown="0" headerRowDxfId="48" dataDxfId="47">
  <autoFilter ref="I1:I11" xr:uid="{037D6424-D1EC-894D-B963-D36ABCA682C4}"/>
  <tableColumns count="1">
    <tableColumn id="1" xr3:uid="{63806632-B9ED-294D-800A-F2FDB2EC48D2}" name="EQUIPES_A_AFFRONTER" dataDxfId="4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8" totalsRowShown="0" tableBorderDxfId="45">
  <autoFilter ref="E6:H28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44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43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42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54" totalsRowShown="0" headerRowDxfId="35" dataDxfId="33" headerRowBorderDxfId="34" tableBorderDxfId="32" totalsRowBorderDxfId="31">
  <autoFilter ref="Q1:R54" xr:uid="{6D1F5F0A-5FD5-AC4E-A195-33A78A5E0E58}"/>
  <tableColumns count="2">
    <tableColumn id="1" xr3:uid="{8A0D5429-5616-B849-BD27-167A576FE99E}" name="Nom de cellule à créer" dataDxfId="30"/>
    <tableColumn id="2" xr3:uid="{19545507-672A-9F40-8818-E4C9060AA52B}" name="Libellé" dataDxfId="2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8" headerRowBorderDxfId="27" tableBorderDxfId="26" totalsRowBorderDxfId="25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24" headerRowBorderDxfId="23" tableBorderDxfId="22" totalsRowBorderDxfId="21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0" dataDxfId="19">
  <autoFilter ref="I14:I20" xr:uid="{CC940AF9-E81A-F746-8EAD-392809C3CFBE}"/>
  <tableColumns count="1">
    <tableColumn id="1" xr3:uid="{816CA1DF-3681-2948-A622-26353E2B9A97}" name="LISTE_LECTEUR_VIDEO" dataDxfId="1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7" dataDxfId="16">
  <autoFilter ref="C1:C4" xr:uid="{61FC7709-08E5-D048-A38B-441B18CF5D35}"/>
  <tableColumns count="1">
    <tableColumn id="1" xr3:uid="{C41B523D-40DA-AF48-A2C2-015B04960B0A}" name="LIEU_MATCH" dataDxfId="1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14" dataDxfId="13">
  <autoFilter ref="C6:C10" xr:uid="{86EA01CF-5567-6445-9906-AD2B60CA0A8A}"/>
  <tableColumns count="1">
    <tableColumn id="1" xr3:uid="{B57F8324-6F25-7B40-9B20-1BFDF9708631}" name="PHASE" dataDxfId="1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11" dataDxfId="10">
  <autoFilter ref="C12:C15" xr:uid="{DAA9B017-78F0-D447-B788-CF8333AEAC38}"/>
  <tableColumns count="1">
    <tableColumn id="1" xr3:uid="{C5E86C3D-762A-054E-B864-5A67DBB9A8CA}" name="RESULTAT" dataDxfId="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8" dataDxfId="7">
  <autoFilter ref="C17:C21" xr:uid="{F661D9E2-619C-DA44-92C5-8A09E8E281AC}"/>
  <tableColumns count="1">
    <tableColumn id="1" xr3:uid="{ADD3AF05-089E-D149-9728-7C2A6F62FA22}" name="EQUIPE_NIV" dataDxfId="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3" totalsRowShown="0" headerRowDxfId="5" dataDxfId="3" headerRowBorderDxfId="4" tableBorderDxfId="2" totalsRowBorderDxfId="1">
  <autoFilter ref="K1:K3" xr:uid="{391966D0-8F83-3948-82BB-835638F7D3FE}"/>
  <tableColumns count="1">
    <tableColumn id="1" xr3:uid="{F45BF991-6668-F741-B07C-7905B99AC752}" name="LISTE_JOUEURS_JOURNA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10" Type="http://schemas.openxmlformats.org/officeDocument/2006/relationships/table" Target="../tables/table14.xml"/><Relationship Id="rId4" Type="http://schemas.openxmlformats.org/officeDocument/2006/relationships/table" Target="../tables/table8.xml"/><Relationship Id="rId9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A336"/>
  <sheetViews>
    <sheetView topLeftCell="B1" workbookViewId="0">
      <selection activeCell="F45" sqref="F45"/>
    </sheetView>
  </sheetViews>
  <sheetFormatPr baseColWidth="10" defaultRowHeight="13"/>
  <cols>
    <col min="1" max="1" width="6.6640625" hidden="1" customWidth="1"/>
    <col min="2" max="2" width="19.6640625" customWidth="1"/>
    <col min="3" max="3" width="14.83203125" customWidth="1"/>
    <col min="4" max="4" width="24.1640625" hidden="1" customWidth="1"/>
    <col min="5" max="5" width="25.1640625" hidden="1" customWidth="1"/>
    <col min="6" max="8" width="10.83203125" style="25"/>
    <col min="9" max="9" width="19" style="25" bestFit="1" customWidth="1"/>
    <col min="10" max="10" width="17.5" style="25" bestFit="1" customWidth="1"/>
    <col min="11" max="859" width="10.83203125" style="25"/>
  </cols>
  <sheetData>
    <row r="1" spans="1:9">
      <c r="A1" t="s">
        <v>120</v>
      </c>
      <c r="B1" t="s">
        <v>121</v>
      </c>
      <c r="C1" t="s">
        <v>122</v>
      </c>
      <c r="D1" t="s">
        <v>123</v>
      </c>
      <c r="E1" t="s">
        <v>163</v>
      </c>
      <c r="I1" t="s">
        <v>442</v>
      </c>
    </row>
    <row r="2" spans="1:9" ht="14">
      <c r="A2">
        <v>1</v>
      </c>
      <c r="B2" s="152" t="s">
        <v>324</v>
      </c>
      <c r="C2" s="152" t="s">
        <v>325</v>
      </c>
      <c r="D2" t="str">
        <f>LstEffectif[[#This Row],[prenom]] &amp; " " &amp; LstEffectif[[#This Row],[nom]]</f>
        <v>Emeric ABADIE</v>
      </c>
      <c r="E2" t="str">
        <f>LstEffectif[[#This Row],[nom]] &amp; " " &amp; LstEffectif[[#This Row],[prenom]]</f>
        <v>ABADIE Emeric</v>
      </c>
      <c r="I2" t="s">
        <v>433</v>
      </c>
    </row>
    <row r="3" spans="1:9" ht="14">
      <c r="A3">
        <v>2</v>
      </c>
      <c r="B3" s="152" t="s">
        <v>324</v>
      </c>
      <c r="C3" s="152" t="s">
        <v>326</v>
      </c>
      <c r="D3" t="str">
        <f>LstEffectif[[#This Row],[prenom]] &amp; " " &amp; LstEffectif[[#This Row],[nom]]</f>
        <v>Quentin ABADIE</v>
      </c>
      <c r="E3" t="str">
        <f>LstEffectif[[#This Row],[nom]] &amp; " " &amp; LstEffectif[[#This Row],[prenom]]</f>
        <v>ABADIE Quentin</v>
      </c>
      <c r="I3" t="s">
        <v>434</v>
      </c>
    </row>
    <row r="4" spans="1:9" ht="14">
      <c r="A4">
        <v>3</v>
      </c>
      <c r="B4" s="152" t="s">
        <v>324</v>
      </c>
      <c r="C4" s="152" t="s">
        <v>124</v>
      </c>
      <c r="D4" t="str">
        <f>LstEffectif[[#This Row],[prenom]] &amp; " " &amp; LstEffectif[[#This Row],[nom]]</f>
        <v>Thomas ABADIE</v>
      </c>
      <c r="E4" t="str">
        <f>LstEffectif[[#This Row],[nom]] &amp; " " &amp; LstEffectif[[#This Row],[prenom]]</f>
        <v>ABADIE Thomas</v>
      </c>
      <c r="I4" t="s">
        <v>435</v>
      </c>
    </row>
    <row r="5" spans="1:9" ht="14">
      <c r="A5">
        <v>4</v>
      </c>
      <c r="B5" s="152" t="s">
        <v>327</v>
      </c>
      <c r="C5" s="152" t="s">
        <v>328</v>
      </c>
      <c r="D5" t="str">
        <f>LstEffectif[[#This Row],[prenom]] &amp; " " &amp; LstEffectif[[#This Row],[nom]]</f>
        <v>Rudy BALAGNA</v>
      </c>
      <c r="E5" t="str">
        <f>LstEffectif[[#This Row],[nom]] &amp; " " &amp; LstEffectif[[#This Row],[prenom]]</f>
        <v>BALAGNA Rudy</v>
      </c>
      <c r="I5" t="s">
        <v>436</v>
      </c>
    </row>
    <row r="6" spans="1:9" ht="14">
      <c r="A6">
        <v>5</v>
      </c>
      <c r="B6" s="152" t="s">
        <v>329</v>
      </c>
      <c r="C6" s="152" t="s">
        <v>330</v>
      </c>
      <c r="D6" t="str">
        <f>LstEffectif[[#This Row],[prenom]] &amp; " " &amp; LstEffectif[[#This Row],[nom]]</f>
        <v>Lucas BAQUE</v>
      </c>
      <c r="E6" t="str">
        <f>LstEffectif[[#This Row],[nom]] &amp; " " &amp; LstEffectif[[#This Row],[prenom]]</f>
        <v>BAQUE Lucas</v>
      </c>
      <c r="I6" t="s">
        <v>437</v>
      </c>
    </row>
    <row r="7" spans="1:9" ht="14">
      <c r="A7">
        <v>6</v>
      </c>
      <c r="B7" s="152" t="s">
        <v>331</v>
      </c>
      <c r="C7" s="152" t="s">
        <v>332</v>
      </c>
      <c r="D7" t="str">
        <f>LstEffectif[[#This Row],[prenom]] &amp; " " &amp; LstEffectif[[#This Row],[nom]]</f>
        <v>Julian BARATGIN</v>
      </c>
      <c r="E7" t="str">
        <f>LstEffectif[[#This Row],[nom]] &amp; " " &amp; LstEffectif[[#This Row],[prenom]]</f>
        <v>BARATGIN Julian</v>
      </c>
      <c r="I7" t="s">
        <v>438</v>
      </c>
    </row>
    <row r="8" spans="1:9" ht="14">
      <c r="A8">
        <v>7</v>
      </c>
      <c r="B8" s="152" t="s">
        <v>333</v>
      </c>
      <c r="C8" s="152" t="s">
        <v>334</v>
      </c>
      <c r="D8" t="str">
        <f>LstEffectif[[#This Row],[prenom]] &amp; " " &amp; LstEffectif[[#This Row],[nom]]</f>
        <v>Etienne BARBE</v>
      </c>
      <c r="E8" t="str">
        <f>LstEffectif[[#This Row],[nom]] &amp; " " &amp; LstEffectif[[#This Row],[prenom]]</f>
        <v>BARBE Etienne</v>
      </c>
      <c r="I8" s="40" t="s">
        <v>439</v>
      </c>
    </row>
    <row r="9" spans="1:9" ht="14">
      <c r="A9">
        <v>8</v>
      </c>
      <c r="B9" s="152" t="s">
        <v>335</v>
      </c>
      <c r="C9" s="152" t="s">
        <v>336</v>
      </c>
      <c r="D9" t="str">
        <f>LstEffectif[[#This Row],[prenom]] &amp; " " &amp; LstEffectif[[#This Row],[nom]]</f>
        <v>Francois BARRAILH</v>
      </c>
      <c r="E9" t="str">
        <f>LstEffectif[[#This Row],[nom]] &amp; " " &amp; LstEffectif[[#This Row],[prenom]]</f>
        <v>BARRAILH Francois</v>
      </c>
      <c r="I9" t="s">
        <v>440</v>
      </c>
    </row>
    <row r="10" spans="1:9" ht="14">
      <c r="A10">
        <v>9</v>
      </c>
      <c r="B10" s="152" t="s">
        <v>337</v>
      </c>
      <c r="C10" s="152" t="s">
        <v>338</v>
      </c>
      <c r="D10" t="str">
        <f>LstEffectif[[#This Row],[prenom]] &amp; " " &amp; LstEffectif[[#This Row],[nom]]</f>
        <v>Sebastien BARTHIE</v>
      </c>
      <c r="E10" t="str">
        <f>LstEffectif[[#This Row],[nom]] &amp; " " &amp; LstEffectif[[#This Row],[prenom]]</f>
        <v>BARTHIE Sebastien</v>
      </c>
      <c r="I10" t="s">
        <v>441</v>
      </c>
    </row>
    <row r="11" spans="1:9" ht="14">
      <c r="A11">
        <v>10</v>
      </c>
      <c r="B11" s="152" t="s">
        <v>339</v>
      </c>
      <c r="C11" s="152" t="s">
        <v>340</v>
      </c>
      <c r="D11" t="str">
        <f>LstEffectif[[#This Row],[prenom]] &amp; " " &amp; LstEffectif[[#This Row],[nom]]</f>
        <v>Bastien BAUP</v>
      </c>
      <c r="E11" t="str">
        <f>LstEffectif[[#This Row],[nom]] &amp; " " &amp; LstEffectif[[#This Row],[prenom]]</f>
        <v>BAUP Bastien</v>
      </c>
      <c r="I11" t="s">
        <v>443</v>
      </c>
    </row>
    <row r="12" spans="1:9" ht="14">
      <c r="A12">
        <v>11</v>
      </c>
      <c r="B12" s="152" t="s">
        <v>341</v>
      </c>
      <c r="C12" s="152" t="s">
        <v>342</v>
      </c>
      <c r="D12" t="str">
        <f>LstEffectif[[#This Row],[prenom]] &amp; " " &amp; LstEffectif[[#This Row],[nom]]</f>
        <v>Jean BAYLE</v>
      </c>
      <c r="E12" t="str">
        <f>LstEffectif[[#This Row],[nom]] &amp; " " &amp; LstEffectif[[#This Row],[prenom]]</f>
        <v>BAYLE Jean</v>
      </c>
    </row>
    <row r="13" spans="1:9" ht="14">
      <c r="A13">
        <v>12</v>
      </c>
      <c r="B13" s="152" t="s">
        <v>343</v>
      </c>
      <c r="C13" s="152" t="s">
        <v>344</v>
      </c>
      <c r="D13" t="str">
        <f>LstEffectif[[#This Row],[prenom]] &amp; " " &amp; LstEffectif[[#This Row],[nom]]</f>
        <v>Pierre BIFFI</v>
      </c>
      <c r="E13" t="str">
        <f>LstEffectif[[#This Row],[nom]] &amp; " " &amp; LstEffectif[[#This Row],[prenom]]</f>
        <v>BIFFI Pierre</v>
      </c>
    </row>
    <row r="14" spans="1:9" ht="14">
      <c r="A14">
        <v>13</v>
      </c>
      <c r="B14" s="152" t="s">
        <v>345</v>
      </c>
      <c r="C14" s="152" t="s">
        <v>346</v>
      </c>
      <c r="D14" t="str">
        <f>LstEffectif[[#This Row],[prenom]] &amp; " " &amp; LstEffectif[[#This Row],[nom]]</f>
        <v>Clement BLANCHARD</v>
      </c>
      <c r="E14" t="str">
        <f>LstEffectif[[#This Row],[nom]] &amp; " " &amp; LstEffectif[[#This Row],[prenom]]</f>
        <v>BLANCHARD Clement</v>
      </c>
    </row>
    <row r="15" spans="1:9" ht="14">
      <c r="A15">
        <v>14</v>
      </c>
      <c r="B15" s="152" t="s">
        <v>347</v>
      </c>
      <c r="C15" s="152" t="s">
        <v>348</v>
      </c>
      <c r="D15" t="str">
        <f>LstEffectif[[#This Row],[prenom]] &amp; " " &amp; LstEffectif[[#This Row],[nom]]</f>
        <v>Paul BOISVIN</v>
      </c>
      <c r="E15" t="str">
        <f>LstEffectif[[#This Row],[nom]] &amp; " " &amp; LstEffectif[[#This Row],[prenom]]</f>
        <v>BOISVIN Paul</v>
      </c>
    </row>
    <row r="16" spans="1:9" ht="14">
      <c r="A16">
        <v>15</v>
      </c>
      <c r="B16" s="152" t="s">
        <v>349</v>
      </c>
      <c r="C16" s="152" t="s">
        <v>350</v>
      </c>
      <c r="D16" t="str">
        <f>LstEffectif[[#This Row],[prenom]] &amp; " " &amp; LstEffectif[[#This Row],[nom]]</f>
        <v>Anthony BOURREC</v>
      </c>
      <c r="E16" t="str">
        <f>LstEffectif[[#This Row],[nom]] &amp; " " &amp; LstEffectif[[#This Row],[prenom]]</f>
        <v>BOURREC Anthony</v>
      </c>
    </row>
    <row r="17" spans="1:5" ht="14">
      <c r="A17">
        <v>16</v>
      </c>
      <c r="B17" s="152" t="s">
        <v>349</v>
      </c>
      <c r="C17" s="152" t="s">
        <v>351</v>
      </c>
      <c r="D17" t="str">
        <f>LstEffectif[[#This Row],[prenom]] &amp; " " &amp; LstEffectif[[#This Row],[nom]]</f>
        <v>Dorian BOURREC</v>
      </c>
      <c r="E17" t="str">
        <f>LstEffectif[[#This Row],[nom]] &amp; " " &amp; LstEffectif[[#This Row],[prenom]]</f>
        <v>BOURREC Dorian</v>
      </c>
    </row>
    <row r="18" spans="1:5" ht="14">
      <c r="A18">
        <v>17</v>
      </c>
      <c r="B18" s="152" t="s">
        <v>352</v>
      </c>
      <c r="C18" s="152" t="s">
        <v>353</v>
      </c>
      <c r="D18" t="str">
        <f>LstEffectif[[#This Row],[prenom]] &amp; " " &amp; LstEffectif[[#This Row],[nom]]</f>
        <v>Julien BOUTAN</v>
      </c>
      <c r="E18" t="str">
        <f>LstEffectif[[#This Row],[nom]] &amp; " " &amp; LstEffectif[[#This Row],[prenom]]</f>
        <v>BOUTAN Julien</v>
      </c>
    </row>
    <row r="19" spans="1:5" ht="14">
      <c r="A19">
        <v>18</v>
      </c>
      <c r="B19" s="152" t="s">
        <v>354</v>
      </c>
      <c r="C19" s="152" t="s">
        <v>355</v>
      </c>
      <c r="D19" t="str">
        <f>LstEffectif[[#This Row],[prenom]] &amp; " " &amp; LstEffectif[[#This Row],[nom]]</f>
        <v>Romain BOUTELOUP</v>
      </c>
      <c r="E19" t="str">
        <f>LstEffectif[[#This Row],[nom]] &amp; " " &amp; LstEffectif[[#This Row],[prenom]]</f>
        <v>BOUTELOUP Romain</v>
      </c>
    </row>
    <row r="20" spans="1:5" ht="14">
      <c r="A20">
        <v>19</v>
      </c>
      <c r="B20" s="152" t="s">
        <v>356</v>
      </c>
      <c r="C20" s="152" t="s">
        <v>355</v>
      </c>
      <c r="D20" t="str">
        <f>LstEffectif[[#This Row],[prenom]] &amp; " " &amp; LstEffectif[[#This Row],[nom]]</f>
        <v>Romain BREIL</v>
      </c>
      <c r="E20" t="str">
        <f>LstEffectif[[#This Row],[nom]] &amp; " " &amp; LstEffectif[[#This Row],[prenom]]</f>
        <v>BREIL Romain</v>
      </c>
    </row>
    <row r="21" spans="1:5" ht="14">
      <c r="A21">
        <v>20</v>
      </c>
      <c r="B21" s="152" t="s">
        <v>357</v>
      </c>
      <c r="C21" s="152" t="s">
        <v>358</v>
      </c>
      <c r="D21" t="str">
        <f>LstEffectif[[#This Row],[prenom]] &amp; " " &amp; LstEffectif[[#This Row],[nom]]</f>
        <v>Ludovic CARRAU</v>
      </c>
      <c r="E21" t="str">
        <f>LstEffectif[[#This Row],[nom]] &amp; " " &amp; LstEffectif[[#This Row],[prenom]]</f>
        <v>CARRAU Ludovic</v>
      </c>
    </row>
    <row r="22" spans="1:5" ht="14">
      <c r="A22">
        <v>21</v>
      </c>
      <c r="B22" s="152" t="s">
        <v>359</v>
      </c>
      <c r="C22" s="152" t="s">
        <v>360</v>
      </c>
      <c r="D22" t="str">
        <f>LstEffectif[[#This Row],[prenom]] &amp; " " &amp; LstEffectif[[#This Row],[nom]]</f>
        <v>Tom CASTERA</v>
      </c>
      <c r="E22" t="str">
        <f>LstEffectif[[#This Row],[nom]] &amp; " " &amp; LstEffectif[[#This Row],[prenom]]</f>
        <v>CASTERA Tom</v>
      </c>
    </row>
    <row r="23" spans="1:5" ht="14">
      <c r="A23">
        <v>22</v>
      </c>
      <c r="B23" s="152" t="s">
        <v>361</v>
      </c>
      <c r="C23" s="152" t="s">
        <v>362</v>
      </c>
      <c r="D23" t="str">
        <f>LstEffectif[[#This Row],[prenom]] &amp; " " &amp; LstEffectif[[#This Row],[nom]]</f>
        <v>Sacha CESCA</v>
      </c>
      <c r="E23" t="str">
        <f>LstEffectif[[#This Row],[nom]] &amp; " " &amp; LstEffectif[[#This Row],[prenom]]</f>
        <v>CESCA Sacha</v>
      </c>
    </row>
    <row r="24" spans="1:5" ht="14">
      <c r="A24">
        <v>23</v>
      </c>
      <c r="B24" s="152" t="s">
        <v>361</v>
      </c>
      <c r="C24" s="152" t="s">
        <v>363</v>
      </c>
      <c r="D24" t="str">
        <f>LstEffectif[[#This Row],[prenom]] &amp; " " &amp; LstEffectif[[#This Row],[nom]]</f>
        <v>Simon CESCA</v>
      </c>
      <c r="E24" t="str">
        <f>LstEffectif[[#This Row],[nom]] &amp; " " &amp; LstEffectif[[#This Row],[prenom]]</f>
        <v>CESCA Simon</v>
      </c>
    </row>
    <row r="25" spans="1:5" ht="14">
      <c r="A25">
        <v>24</v>
      </c>
      <c r="B25" s="152" t="s">
        <v>364</v>
      </c>
      <c r="C25" s="152" t="s">
        <v>365</v>
      </c>
      <c r="D25" t="str">
        <f>LstEffectif[[#This Row],[prenom]] &amp; " " &amp; LstEffectif[[#This Row],[nom]]</f>
        <v>Baptiste CORREGER</v>
      </c>
      <c r="E25" t="str">
        <f>LstEffectif[[#This Row],[nom]] &amp; " " &amp; LstEffectif[[#This Row],[prenom]]</f>
        <v>CORREGER Baptiste</v>
      </c>
    </row>
    <row r="26" spans="1:5" ht="12" customHeight="1">
      <c r="A26">
        <v>25</v>
      </c>
      <c r="B26" s="152" t="s">
        <v>366</v>
      </c>
      <c r="C26" s="152" t="s">
        <v>355</v>
      </c>
      <c r="D26" t="str">
        <f>LstEffectif[[#This Row],[prenom]] &amp; " " &amp; LstEffectif[[#This Row],[nom]]</f>
        <v>Romain COURREGES</v>
      </c>
      <c r="E26" t="str">
        <f>LstEffectif[[#This Row],[nom]] &amp; " " &amp; LstEffectif[[#This Row],[prenom]]</f>
        <v>COURREGES Romain</v>
      </c>
    </row>
    <row r="27" spans="1:5" s="25" customFormat="1" ht="14">
      <c r="A27">
        <v>26</v>
      </c>
      <c r="B27" s="152" t="s">
        <v>367</v>
      </c>
      <c r="C27" s="152" t="s">
        <v>368</v>
      </c>
      <c r="D27" t="str">
        <f>LstEffectif[[#This Row],[prenom]] &amp; " " &amp; LstEffectif[[#This Row],[nom]]</f>
        <v>Jonah DALLA ROSA</v>
      </c>
      <c r="E27" t="str">
        <f>LstEffectif[[#This Row],[nom]] &amp; " " &amp; LstEffectif[[#This Row],[prenom]]</f>
        <v>DALLA ROSA Jonah</v>
      </c>
    </row>
    <row r="28" spans="1:5" s="25" customFormat="1" ht="14">
      <c r="A28">
        <v>27</v>
      </c>
      <c r="B28" s="152" t="s">
        <v>369</v>
      </c>
      <c r="C28" s="152" t="s">
        <v>124</v>
      </c>
      <c r="D28" t="str">
        <f>LstEffectif[[#This Row],[prenom]] &amp; " " &amp; LstEffectif[[#This Row],[nom]]</f>
        <v>Thomas DUTREY</v>
      </c>
      <c r="E28" t="str">
        <f>LstEffectif[[#This Row],[nom]] &amp; " " &amp; LstEffectif[[#This Row],[prenom]]</f>
        <v>DUTREY Thomas</v>
      </c>
    </row>
    <row r="29" spans="1:5" s="25" customFormat="1" ht="14">
      <c r="A29">
        <v>28</v>
      </c>
      <c r="B29" s="152" t="s">
        <v>370</v>
      </c>
      <c r="C29" s="152" t="s">
        <v>371</v>
      </c>
      <c r="D29" t="str">
        <f>LstEffectif[[#This Row],[prenom]] &amp; " " &amp; LstEffectif[[#This Row],[nom]]</f>
        <v>Maël FITAN</v>
      </c>
      <c r="E29" t="str">
        <f>LstEffectif[[#This Row],[nom]] &amp; " " &amp; LstEffectif[[#This Row],[prenom]]</f>
        <v>FITAN Maël</v>
      </c>
    </row>
    <row r="30" spans="1:5" s="25" customFormat="1" ht="14">
      <c r="A30">
        <v>29</v>
      </c>
      <c r="B30" s="152" t="s">
        <v>372</v>
      </c>
      <c r="C30" s="152" t="s">
        <v>373</v>
      </c>
      <c r="D30" t="str">
        <f>LstEffectif[[#This Row],[prenom]] &amp; " " &amp; LstEffectif[[#This Row],[nom]]</f>
        <v>Neot GABRELLE</v>
      </c>
      <c r="E30" t="str">
        <f>LstEffectif[[#This Row],[nom]] &amp; " " &amp; LstEffectif[[#This Row],[prenom]]</f>
        <v>GABRELLE Neot</v>
      </c>
    </row>
    <row r="31" spans="1:5" s="25" customFormat="1" ht="14">
      <c r="A31">
        <v>30</v>
      </c>
      <c r="B31" s="152" t="s">
        <v>374</v>
      </c>
      <c r="C31" s="152" t="s">
        <v>375</v>
      </c>
      <c r="D31" t="str">
        <f>LstEffectif[[#This Row],[prenom]] &amp; " " &amp; LstEffectif[[#This Row],[nom]]</f>
        <v>Pierrick GALLINARO</v>
      </c>
      <c r="E31" t="str">
        <f>LstEffectif[[#This Row],[nom]] &amp; " " &amp; LstEffectif[[#This Row],[prenom]]</f>
        <v>GALLINARO Pierrick</v>
      </c>
    </row>
    <row r="32" spans="1:5" s="25" customFormat="1" ht="14">
      <c r="A32">
        <v>31</v>
      </c>
      <c r="B32" s="152" t="s">
        <v>376</v>
      </c>
      <c r="C32" s="152" t="s">
        <v>338</v>
      </c>
      <c r="D32" t="str">
        <f>LstEffectif[[#This Row],[prenom]] &amp; " " &amp; LstEffectif[[#This Row],[nom]]</f>
        <v>Sebastien GARROS</v>
      </c>
      <c r="E32" t="str">
        <f>LstEffectif[[#This Row],[nom]] &amp; " " &amp; LstEffectif[[#This Row],[prenom]]</f>
        <v>GARROS Sebastien</v>
      </c>
    </row>
    <row r="33" spans="1:5" s="25" customFormat="1" ht="14">
      <c r="A33">
        <v>32</v>
      </c>
      <c r="B33" s="152" t="s">
        <v>377</v>
      </c>
      <c r="C33" s="152" t="s">
        <v>322</v>
      </c>
      <c r="D33" t="str">
        <f>LstEffectif[[#This Row],[prenom]] &amp; " " &amp; LstEffectif[[#This Row],[nom]]</f>
        <v>Nicolas GODEMARD</v>
      </c>
      <c r="E33" t="str">
        <f>LstEffectif[[#This Row],[nom]] &amp; " " &amp; LstEffectif[[#This Row],[prenom]]</f>
        <v>GODEMARD Nicolas</v>
      </c>
    </row>
    <row r="34" spans="1:5" s="25" customFormat="1" ht="14">
      <c r="A34">
        <v>33</v>
      </c>
      <c r="B34" s="152" t="s">
        <v>378</v>
      </c>
      <c r="C34" s="152" t="s">
        <v>379</v>
      </c>
      <c r="D34" t="str">
        <f>LstEffectif[[#This Row],[prenom]] &amp; " " &amp; LstEffectif[[#This Row],[nom]]</f>
        <v>Kevin HENNI</v>
      </c>
      <c r="E34" t="str">
        <f>LstEffectif[[#This Row],[nom]] &amp; " " &amp; LstEffectif[[#This Row],[prenom]]</f>
        <v>HENNI Kevin</v>
      </c>
    </row>
    <row r="35" spans="1:5" s="25" customFormat="1" ht="14">
      <c r="A35">
        <v>34</v>
      </c>
      <c r="B35" s="152" t="s">
        <v>380</v>
      </c>
      <c r="C35" s="152" t="s">
        <v>381</v>
      </c>
      <c r="D35" t="str">
        <f>LstEffectif[[#This Row],[prenom]] &amp; " " &amp; LstEffectif[[#This Row],[nom]]</f>
        <v>Joris JOUNAUX</v>
      </c>
      <c r="E35" t="str">
        <f>LstEffectif[[#This Row],[nom]] &amp; " " &amp; LstEffectif[[#This Row],[prenom]]</f>
        <v>JOUNAUX Joris</v>
      </c>
    </row>
    <row r="36" spans="1:5" s="25" customFormat="1" ht="14">
      <c r="A36">
        <v>35</v>
      </c>
      <c r="B36" s="152" t="s">
        <v>380</v>
      </c>
      <c r="C36" s="152" t="s">
        <v>382</v>
      </c>
      <c r="D36" t="str">
        <f>LstEffectif[[#This Row],[prenom]] &amp; " " &amp; LstEffectif[[#This Row],[nom]]</f>
        <v>Charline JOUNAUX</v>
      </c>
      <c r="E36" t="str">
        <f>LstEffectif[[#This Row],[nom]] &amp; " " &amp; LstEffectif[[#This Row],[prenom]]</f>
        <v>JOUNAUX Charline</v>
      </c>
    </row>
    <row r="37" spans="1:5" s="25" customFormat="1" ht="14">
      <c r="A37">
        <v>36</v>
      </c>
      <c r="B37" s="152" t="s">
        <v>383</v>
      </c>
      <c r="C37" s="152" t="s">
        <v>340</v>
      </c>
      <c r="D37" t="str">
        <f>LstEffectif[[#This Row],[prenom]] &amp; " " &amp; LstEffectif[[#This Row],[nom]]</f>
        <v>Bastien KAPFER</v>
      </c>
      <c r="E37" t="str">
        <f>LstEffectif[[#This Row],[nom]] &amp; " " &amp; LstEffectif[[#This Row],[prenom]]</f>
        <v>KAPFER Bastien</v>
      </c>
    </row>
    <row r="38" spans="1:5" s="25" customFormat="1" ht="14">
      <c r="A38">
        <v>37</v>
      </c>
      <c r="B38" s="152" t="s">
        <v>384</v>
      </c>
      <c r="C38" s="152" t="s">
        <v>353</v>
      </c>
      <c r="D38" t="str">
        <f>LstEffectif[[#This Row],[prenom]] &amp; " " &amp; LstEffectif[[#This Row],[nom]]</f>
        <v>Julien LACOMBE</v>
      </c>
      <c r="E38" t="str">
        <f>LstEffectif[[#This Row],[nom]] &amp; " " &amp; LstEffectif[[#This Row],[prenom]]</f>
        <v>LACOMBE Julien</v>
      </c>
    </row>
    <row r="39" spans="1:5" s="25" customFormat="1" ht="14">
      <c r="A39">
        <v>38</v>
      </c>
      <c r="B39" s="152" t="s">
        <v>385</v>
      </c>
      <c r="C39" s="152" t="s">
        <v>386</v>
      </c>
      <c r="D39" t="str">
        <f>LstEffectif[[#This Row],[prenom]] &amp; " " &amp; LstEffectif[[#This Row],[nom]]</f>
        <v>Jean Baptiste LAUDET</v>
      </c>
      <c r="E39" t="str">
        <f>LstEffectif[[#This Row],[nom]] &amp; " " &amp; LstEffectif[[#This Row],[prenom]]</f>
        <v>LAUDET Jean Baptiste</v>
      </c>
    </row>
    <row r="40" spans="1:5" s="25" customFormat="1" ht="14">
      <c r="A40">
        <v>39</v>
      </c>
      <c r="B40" s="152" t="s">
        <v>387</v>
      </c>
      <c r="C40" s="152" t="s">
        <v>330</v>
      </c>
      <c r="D40" t="str">
        <f>LstEffectif[[#This Row],[prenom]] &amp; " " &amp; LstEffectif[[#This Row],[nom]]</f>
        <v>Lucas LESPINASSE</v>
      </c>
      <c r="E40" t="str">
        <f>LstEffectif[[#This Row],[nom]] &amp; " " &amp; LstEffectif[[#This Row],[prenom]]</f>
        <v>LESPINASSE Lucas</v>
      </c>
    </row>
    <row r="41" spans="1:5" s="25" customFormat="1" ht="14">
      <c r="A41">
        <v>40</v>
      </c>
      <c r="B41" s="152" t="s">
        <v>388</v>
      </c>
      <c r="C41" s="152" t="s">
        <v>389</v>
      </c>
      <c r="D41" t="str">
        <f>LstEffectif[[#This Row],[prenom]] &amp; " " &amp; LstEffectif[[#This Row],[nom]]</f>
        <v>Antonio LOUREIRO LABAZUY</v>
      </c>
      <c r="E41" t="str">
        <f>LstEffectif[[#This Row],[nom]] &amp; " " &amp; LstEffectif[[#This Row],[prenom]]</f>
        <v>LOUREIRO LABAZUY Antonio</v>
      </c>
    </row>
    <row r="42" spans="1:5" s="25" customFormat="1" ht="14">
      <c r="A42">
        <v>41</v>
      </c>
      <c r="B42" s="152" t="s">
        <v>390</v>
      </c>
      <c r="C42" s="152" t="s">
        <v>348</v>
      </c>
      <c r="D42" t="str">
        <f>LstEffectif[[#This Row],[prenom]] &amp; " " &amp; LstEffectif[[#This Row],[nom]]</f>
        <v>Paul MICHELIN</v>
      </c>
      <c r="E42" t="str">
        <f>LstEffectif[[#This Row],[nom]] &amp; " " &amp; LstEffectif[[#This Row],[prenom]]</f>
        <v>MICHELIN Paul</v>
      </c>
    </row>
    <row r="43" spans="1:5" s="25" customFormat="1" ht="14">
      <c r="A43">
        <v>42</v>
      </c>
      <c r="B43" s="152" t="s">
        <v>391</v>
      </c>
      <c r="C43" s="152" t="s">
        <v>392</v>
      </c>
      <c r="D43" t="str">
        <f>LstEffectif[[#This Row],[prenom]] &amp; " " &amp; LstEffectif[[#This Row],[nom]]</f>
        <v>Leo Paul MORANT</v>
      </c>
      <c r="E43" t="str">
        <f>LstEffectif[[#This Row],[nom]] &amp; " " &amp; LstEffectif[[#This Row],[prenom]]</f>
        <v>MORANT Leo Paul</v>
      </c>
    </row>
    <row r="44" spans="1:5" s="25" customFormat="1" ht="14">
      <c r="A44">
        <v>43</v>
      </c>
      <c r="B44" s="152" t="s">
        <v>393</v>
      </c>
      <c r="C44" s="152" t="s">
        <v>394</v>
      </c>
      <c r="D44" t="str">
        <f>LstEffectif[[#This Row],[prenom]] &amp; " " &amp; LstEffectif[[#This Row],[nom]]</f>
        <v>Alexis MOUDENS</v>
      </c>
      <c r="E44" t="str">
        <f>LstEffectif[[#This Row],[nom]] &amp; " " &amp; LstEffectif[[#This Row],[prenom]]</f>
        <v>MOUDENS Alexis</v>
      </c>
    </row>
    <row r="45" spans="1:5" s="25" customFormat="1" ht="14">
      <c r="A45">
        <v>44</v>
      </c>
      <c r="B45" s="152" t="s">
        <v>395</v>
      </c>
      <c r="C45" s="152" t="s">
        <v>396</v>
      </c>
      <c r="D45" t="str">
        <f>LstEffectif[[#This Row],[prenom]] &amp; " " &amp; LstEffectif[[#This Row],[nom]]</f>
        <v>Antton MOURGUES</v>
      </c>
      <c r="E45" t="str">
        <f>LstEffectif[[#This Row],[nom]] &amp; " " &amp; LstEffectif[[#This Row],[prenom]]</f>
        <v>MOURGUES Antton</v>
      </c>
    </row>
    <row r="46" spans="1:5" s="25" customFormat="1" ht="14">
      <c r="A46">
        <v>45</v>
      </c>
      <c r="B46" s="152" t="s">
        <v>397</v>
      </c>
      <c r="C46" s="152" t="s">
        <v>398</v>
      </c>
      <c r="D46" t="str">
        <f>LstEffectif[[#This Row],[prenom]] &amp; " " &amp; LstEffectif[[#This Row],[nom]]</f>
        <v>Thibaud MOURLAN</v>
      </c>
      <c r="E46" t="str">
        <f>LstEffectif[[#This Row],[nom]] &amp; " " &amp; LstEffectif[[#This Row],[prenom]]</f>
        <v>MOURLAN Thibaud</v>
      </c>
    </row>
    <row r="47" spans="1:5" s="25" customFormat="1" ht="14">
      <c r="A47">
        <v>46</v>
      </c>
      <c r="B47" s="152" t="s">
        <v>399</v>
      </c>
      <c r="C47" s="152" t="s">
        <v>400</v>
      </c>
      <c r="D47" t="str">
        <f>LstEffectif[[#This Row],[prenom]] &amp; " " &amp; LstEffectif[[#This Row],[nom]]</f>
        <v>Martin MULLIER</v>
      </c>
      <c r="E47" t="str">
        <f>LstEffectif[[#This Row],[nom]] &amp; " " &amp; LstEffectif[[#This Row],[prenom]]</f>
        <v>MULLIER Martin</v>
      </c>
    </row>
    <row r="48" spans="1:5" s="25" customFormat="1" ht="14">
      <c r="A48">
        <v>47</v>
      </c>
      <c r="B48" s="152" t="s">
        <v>399</v>
      </c>
      <c r="C48" s="152" t="s">
        <v>401</v>
      </c>
      <c r="D48" t="str">
        <f>LstEffectif[[#This Row],[prenom]] &amp; " " &amp; LstEffectif[[#This Row],[nom]]</f>
        <v>Victor MULLIER</v>
      </c>
      <c r="E48" t="str">
        <f>LstEffectif[[#This Row],[nom]] &amp; " " &amp; LstEffectif[[#This Row],[prenom]]</f>
        <v>MULLIER Victor</v>
      </c>
    </row>
    <row r="49" spans="1:5" s="25" customFormat="1" ht="14">
      <c r="A49">
        <v>48</v>
      </c>
      <c r="B49" s="152" t="s">
        <v>402</v>
      </c>
      <c r="C49" s="152" t="s">
        <v>403</v>
      </c>
      <c r="D49" t="str">
        <f>LstEffectif[[#This Row],[prenom]] &amp; " " &amp; LstEffectif[[#This Row],[nom]]</f>
        <v>Tomy Lee NGUYEN</v>
      </c>
      <c r="E49" t="str">
        <f>LstEffectif[[#This Row],[nom]] &amp; " " &amp; LstEffectif[[#This Row],[prenom]]</f>
        <v>NGUYEN Tomy Lee</v>
      </c>
    </row>
    <row r="50" spans="1:5" s="25" customFormat="1" ht="14">
      <c r="A50">
        <v>49</v>
      </c>
      <c r="B50" s="152" t="s">
        <v>404</v>
      </c>
      <c r="C50" s="152" t="s">
        <v>405</v>
      </c>
      <c r="D50" t="str">
        <f>LstEffectif[[#This Row],[prenom]] &amp; " " &amp; LstEffectif[[#This Row],[nom]]</f>
        <v>Alys NOILHAN</v>
      </c>
      <c r="E50" t="str">
        <f>LstEffectif[[#This Row],[nom]] &amp; " " &amp; LstEffectif[[#This Row],[prenom]]</f>
        <v>NOILHAN Alys</v>
      </c>
    </row>
    <row r="51" spans="1:5" s="25" customFormat="1" ht="14">
      <c r="A51">
        <v>50</v>
      </c>
      <c r="B51" s="152" t="s">
        <v>406</v>
      </c>
      <c r="C51" s="152" t="s">
        <v>379</v>
      </c>
      <c r="D51" t="str">
        <f>LstEffectif[[#This Row],[prenom]] &amp; " " &amp; LstEffectif[[#This Row],[nom]]</f>
        <v>Kevin OLIVERA</v>
      </c>
      <c r="E51" t="str">
        <f>LstEffectif[[#This Row],[nom]] &amp; " " &amp; LstEffectif[[#This Row],[prenom]]</f>
        <v>OLIVERA Kevin</v>
      </c>
    </row>
    <row r="52" spans="1:5" s="25" customFormat="1" ht="14">
      <c r="A52">
        <v>51</v>
      </c>
      <c r="B52" s="152" t="s">
        <v>407</v>
      </c>
      <c r="C52" s="152" t="s">
        <v>408</v>
      </c>
      <c r="D52" t="str">
        <f>LstEffectif[[#This Row],[prenom]] &amp; " " &amp; LstEffectif[[#This Row],[nom]]</f>
        <v>Maxime PIQUEMIL</v>
      </c>
      <c r="E52" t="str">
        <f>LstEffectif[[#This Row],[nom]] &amp; " " &amp; LstEffectif[[#This Row],[prenom]]</f>
        <v>PIQUEMIL Maxime</v>
      </c>
    </row>
    <row r="53" spans="1:5" s="25" customFormat="1" ht="14">
      <c r="A53">
        <v>52</v>
      </c>
      <c r="B53" s="152" t="s">
        <v>409</v>
      </c>
      <c r="C53" s="152" t="s">
        <v>353</v>
      </c>
      <c r="D53" t="str">
        <f>LstEffectif[[#This Row],[prenom]] &amp; " " &amp; LstEffectif[[#This Row],[nom]]</f>
        <v>Julien POUYADOU</v>
      </c>
      <c r="E53" t="str">
        <f>LstEffectif[[#This Row],[nom]] &amp; " " &amp; LstEffectif[[#This Row],[prenom]]</f>
        <v>POUYADOU Julien</v>
      </c>
    </row>
    <row r="54" spans="1:5" s="25" customFormat="1" ht="14">
      <c r="A54">
        <v>53</v>
      </c>
      <c r="B54" s="152" t="s">
        <v>410</v>
      </c>
      <c r="C54" s="152" t="s">
        <v>323</v>
      </c>
      <c r="D54" t="str">
        <f>LstEffectif[[#This Row],[prenom]] &amp; " " &amp; LstEffectif[[#This Row],[nom]]</f>
        <v>Louis RECURT</v>
      </c>
      <c r="E54" t="str">
        <f>LstEffectif[[#This Row],[nom]] &amp; " " &amp; LstEffectif[[#This Row],[prenom]]</f>
        <v>RECURT Louis</v>
      </c>
    </row>
    <row r="55" spans="1:5" s="25" customFormat="1" ht="14">
      <c r="A55">
        <v>54</v>
      </c>
      <c r="B55" s="152" t="s">
        <v>411</v>
      </c>
      <c r="C55" s="152" t="s">
        <v>412</v>
      </c>
      <c r="D55" t="str">
        <f>LstEffectif[[#This Row],[prenom]] &amp; " " &amp; LstEffectif[[#This Row],[nom]]</f>
        <v>Damien RICHARD</v>
      </c>
      <c r="E55" t="str">
        <f>LstEffectif[[#This Row],[nom]] &amp; " " &amp; LstEffectif[[#This Row],[prenom]]</f>
        <v>RICHARD Damien</v>
      </c>
    </row>
    <row r="56" spans="1:5" s="25" customFormat="1" ht="14">
      <c r="A56">
        <v>55</v>
      </c>
      <c r="B56" s="152" t="s">
        <v>413</v>
      </c>
      <c r="C56" s="152" t="s">
        <v>290</v>
      </c>
      <c r="D56" t="str">
        <f>LstEffectif[[#This Row],[prenom]] &amp; " " &amp; LstEffectif[[#This Row],[nom]]</f>
        <v>Gregory RICHIARDONNE</v>
      </c>
      <c r="E56" t="str">
        <f>LstEffectif[[#This Row],[nom]] &amp; " " &amp; LstEffectif[[#This Row],[prenom]]</f>
        <v>RICHIARDONNE Gregory</v>
      </c>
    </row>
    <row r="57" spans="1:5" s="25" customFormat="1" ht="14">
      <c r="A57">
        <v>56</v>
      </c>
      <c r="B57" s="152" t="s">
        <v>414</v>
      </c>
      <c r="C57" s="152" t="s">
        <v>415</v>
      </c>
      <c r="D57" t="str">
        <f>LstEffectif[[#This Row],[prenom]] &amp; " " &amp; LstEffectif[[#This Row],[nom]]</f>
        <v>Jimmy ROBERT</v>
      </c>
      <c r="E57" t="str">
        <f>LstEffectif[[#This Row],[nom]] &amp; " " &amp; LstEffectif[[#This Row],[prenom]]</f>
        <v>ROBERT Jimmy</v>
      </c>
    </row>
    <row r="58" spans="1:5" s="25" customFormat="1" ht="14">
      <c r="A58">
        <v>57</v>
      </c>
      <c r="B58" s="152" t="s">
        <v>416</v>
      </c>
      <c r="C58" s="152" t="s">
        <v>417</v>
      </c>
      <c r="D58" t="str">
        <f>LstEffectif[[#This Row],[prenom]] &amp; " " &amp; LstEffectif[[#This Row],[nom]]</f>
        <v>Mathis ROUSSEL</v>
      </c>
      <c r="E58" t="str">
        <f>LstEffectif[[#This Row],[nom]] &amp; " " &amp; LstEffectif[[#This Row],[prenom]]</f>
        <v>ROUSSEL Mathis</v>
      </c>
    </row>
    <row r="59" spans="1:5" s="25" customFormat="1" ht="14">
      <c r="A59">
        <v>58</v>
      </c>
      <c r="B59" s="152" t="s">
        <v>418</v>
      </c>
      <c r="C59" s="152" t="s">
        <v>419</v>
      </c>
      <c r="D59" t="str">
        <f>LstEffectif[[#This Row],[prenom]] &amp; " " &amp; LstEffectif[[#This Row],[nom]]</f>
        <v>Fabien SALLES</v>
      </c>
      <c r="E59" t="str">
        <f>LstEffectif[[#This Row],[nom]] &amp; " " &amp; LstEffectif[[#This Row],[prenom]]</f>
        <v>SALLES Fabien</v>
      </c>
    </row>
    <row r="60" spans="1:5" s="25" customFormat="1" ht="14">
      <c r="A60">
        <v>59</v>
      </c>
      <c r="B60" s="152" t="s">
        <v>418</v>
      </c>
      <c r="C60" s="152" t="s">
        <v>351</v>
      </c>
      <c r="D60" t="str">
        <f>LstEffectif[[#This Row],[prenom]] &amp; " " &amp; LstEffectif[[#This Row],[nom]]</f>
        <v>Dorian SALLES</v>
      </c>
      <c r="E60" t="str">
        <f>LstEffectif[[#This Row],[nom]] &amp; " " &amp; LstEffectif[[#This Row],[prenom]]</f>
        <v>SALLES Dorian</v>
      </c>
    </row>
    <row r="61" spans="1:5" s="25" customFormat="1" ht="14">
      <c r="A61">
        <v>60</v>
      </c>
      <c r="B61" s="152" t="s">
        <v>420</v>
      </c>
      <c r="C61" s="152" t="s">
        <v>421</v>
      </c>
      <c r="D61" t="str">
        <f>LstEffectif[[#This Row],[prenom]] &amp; " " &amp; LstEffectif[[#This Row],[nom]]</f>
        <v>Dylan SIMOES</v>
      </c>
      <c r="E61" t="str">
        <f>LstEffectif[[#This Row],[nom]] &amp; " " &amp; LstEffectif[[#This Row],[prenom]]</f>
        <v>SIMOES Dylan</v>
      </c>
    </row>
    <row r="62" spans="1:5" s="25" customFormat="1" ht="14">
      <c r="A62">
        <v>61</v>
      </c>
      <c r="B62" s="152" t="s">
        <v>422</v>
      </c>
      <c r="C62" s="152" t="s">
        <v>326</v>
      </c>
      <c r="D62" t="str">
        <f>LstEffectif[[#This Row],[prenom]] &amp; " " &amp; LstEffectif[[#This Row],[nom]]</f>
        <v>Quentin SOUVILLE</v>
      </c>
      <c r="E62" t="str">
        <f>LstEffectif[[#This Row],[nom]] &amp; " " &amp; LstEffectif[[#This Row],[prenom]]</f>
        <v>SOUVILLE Quentin</v>
      </c>
    </row>
    <row r="63" spans="1:5" s="25" customFormat="1" ht="14">
      <c r="A63">
        <v>62</v>
      </c>
      <c r="B63" s="152" t="s">
        <v>423</v>
      </c>
      <c r="C63" s="152" t="s">
        <v>424</v>
      </c>
      <c r="D63" t="str">
        <f>LstEffectif[[#This Row],[prenom]] &amp; " " &amp; LstEffectif[[#This Row],[nom]]</f>
        <v>Gatien SUSPENE</v>
      </c>
      <c r="E63" t="str">
        <f>LstEffectif[[#This Row],[nom]] &amp; " " &amp; LstEffectif[[#This Row],[prenom]]</f>
        <v>SUSPENE Gatien</v>
      </c>
    </row>
    <row r="64" spans="1:5" s="25" customFormat="1" ht="14">
      <c r="A64">
        <v>63</v>
      </c>
      <c r="B64" s="152" t="s">
        <v>425</v>
      </c>
      <c r="C64" s="152" t="s">
        <v>426</v>
      </c>
      <c r="D64" t="str">
        <f>LstEffectif[[#This Row],[prenom]] &amp; " " &amp; LstEffectif[[#This Row],[nom]]</f>
        <v>Faid TABTI</v>
      </c>
      <c r="E64" t="str">
        <f>LstEffectif[[#This Row],[nom]] &amp; " " &amp; LstEffectif[[#This Row],[prenom]]</f>
        <v>TABTI Faid</v>
      </c>
    </row>
    <row r="65" spans="1:5" s="25" customFormat="1" ht="14">
      <c r="A65">
        <v>64</v>
      </c>
      <c r="B65" s="152" t="s">
        <v>427</v>
      </c>
      <c r="C65" s="152" t="s">
        <v>351</v>
      </c>
      <c r="D65" t="str">
        <f>LstEffectif[[#This Row],[prenom]] &amp; " " &amp; LstEffectif[[#This Row],[nom]]</f>
        <v>Dorian TOUVAT</v>
      </c>
      <c r="E65" t="str">
        <f>LstEffectif[[#This Row],[nom]] &amp; " " &amp; LstEffectif[[#This Row],[prenom]]</f>
        <v>TOUVAT Dorian</v>
      </c>
    </row>
    <row r="66" spans="1:5" s="25" customFormat="1" ht="14">
      <c r="A66">
        <v>65</v>
      </c>
      <c r="B66" s="152" t="s">
        <v>428</v>
      </c>
      <c r="C66" s="152" t="s">
        <v>429</v>
      </c>
      <c r="D66" t="str">
        <f>LstEffectif[[#This Row],[prenom]] &amp; " " &amp; LstEffectif[[#This Row],[nom]]</f>
        <v>Aymeric VANDEKERKOF</v>
      </c>
      <c r="E66" t="str">
        <f>LstEffectif[[#This Row],[nom]] &amp; " " &amp; LstEffectif[[#This Row],[prenom]]</f>
        <v>VANDEKERKOF Aymeric</v>
      </c>
    </row>
    <row r="67" spans="1:5" s="25" customFormat="1" ht="14">
      <c r="A67">
        <v>66</v>
      </c>
      <c r="B67" s="152" t="s">
        <v>430</v>
      </c>
      <c r="C67" s="152" t="s">
        <v>338</v>
      </c>
      <c r="D67" t="str">
        <f>LstEffectif[[#This Row],[prenom]] &amp; " " &amp; LstEffectif[[#This Row],[nom]]</f>
        <v>Sebastien VINCENT</v>
      </c>
      <c r="E67" t="str">
        <f>LstEffectif[[#This Row],[nom]] &amp; " " &amp; LstEffectif[[#This Row],[prenom]]</f>
        <v>VINCENT Sebastien</v>
      </c>
    </row>
    <row r="68" spans="1:5" s="25" customFormat="1" ht="14">
      <c r="A68">
        <v>67</v>
      </c>
      <c r="B68" s="152" t="s">
        <v>431</v>
      </c>
      <c r="C68" s="152" t="s">
        <v>432</v>
      </c>
      <c r="D68" t="str">
        <f>LstEffectif[[#This Row],[prenom]] &amp; " " &amp; LstEffectif[[#This Row],[nom]]</f>
        <v>Fritz Lane ZIGI MBITTA</v>
      </c>
      <c r="E68" t="str">
        <f>LstEffectif[[#This Row],[nom]] &amp; " " &amp; LstEffectif[[#This Row],[prenom]]</f>
        <v>ZIGI MBITTA Fritz Lane</v>
      </c>
    </row>
    <row r="69" spans="1:5" s="25" customFormat="1"/>
    <row r="70" spans="1:5" s="25" customFormat="1"/>
    <row r="71" spans="1:5" s="25" customFormat="1"/>
    <row r="72" spans="1:5" s="25" customFormat="1"/>
    <row r="73" spans="1:5" s="25" customFormat="1"/>
    <row r="74" spans="1:5" s="25" customFormat="1"/>
    <row r="75" spans="1:5" s="25" customFormat="1"/>
    <row r="76" spans="1:5" s="25" customFormat="1"/>
    <row r="77" spans="1:5" s="25" customFormat="1"/>
    <row r="78" spans="1:5" s="25" customFormat="1"/>
    <row r="79" spans="1:5" s="25" customFormat="1"/>
    <row r="80" spans="1:5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pans="1:5" s="25" customFormat="1"/>
    <row r="290" spans="1:5" s="25" customFormat="1"/>
    <row r="291" spans="1:5" s="25" customFormat="1"/>
    <row r="292" spans="1:5" s="25" customFormat="1"/>
    <row r="293" spans="1:5" s="25" customFormat="1"/>
    <row r="294" spans="1:5" s="25" customFormat="1"/>
    <row r="295" spans="1:5" s="25" customFormat="1"/>
    <row r="296" spans="1:5" s="25" customFormat="1">
      <c r="A296"/>
      <c r="B296"/>
      <c r="C296"/>
      <c r="D296"/>
      <c r="E296"/>
    </row>
    <row r="297" spans="1:5" s="25" customFormat="1">
      <c r="A297"/>
      <c r="B297"/>
      <c r="C297"/>
      <c r="D297"/>
      <c r="E297"/>
    </row>
    <row r="298" spans="1:5" s="25" customFormat="1">
      <c r="A298"/>
      <c r="B298"/>
      <c r="C298"/>
      <c r="D298"/>
      <c r="E298"/>
    </row>
    <row r="299" spans="1:5" s="25" customFormat="1">
      <c r="A299"/>
      <c r="B299"/>
      <c r="C299"/>
      <c r="D299"/>
      <c r="E299"/>
    </row>
    <row r="300" spans="1:5" s="25" customFormat="1">
      <c r="A300"/>
      <c r="B300"/>
      <c r="C300"/>
      <c r="D300"/>
      <c r="E300"/>
    </row>
    <row r="301" spans="1:5" s="25" customFormat="1">
      <c r="A301"/>
      <c r="B301"/>
      <c r="C301"/>
      <c r="D301"/>
      <c r="E301"/>
    </row>
    <row r="302" spans="1:5" s="25" customFormat="1">
      <c r="A302"/>
      <c r="B302"/>
      <c r="C302"/>
      <c r="D302"/>
      <c r="E302"/>
    </row>
    <row r="303" spans="1:5" s="25" customFormat="1">
      <c r="A303"/>
      <c r="B303"/>
      <c r="C303"/>
      <c r="D303"/>
      <c r="E303"/>
    </row>
    <row r="304" spans="1:5" s="25" customFormat="1">
      <c r="A304"/>
      <c r="B304"/>
      <c r="C304"/>
      <c r="D304"/>
      <c r="E304"/>
    </row>
    <row r="305" spans="1:5" s="25" customFormat="1">
      <c r="A305"/>
      <c r="B305"/>
      <c r="C305"/>
      <c r="D305"/>
      <c r="E305"/>
    </row>
    <row r="306" spans="1:5" s="25" customFormat="1">
      <c r="A306"/>
      <c r="B306"/>
      <c r="C306"/>
      <c r="D306"/>
      <c r="E306"/>
    </row>
    <row r="307" spans="1:5" s="25" customFormat="1">
      <c r="A307"/>
      <c r="B307"/>
      <c r="C307"/>
      <c r="D307"/>
      <c r="E307"/>
    </row>
    <row r="308" spans="1:5" s="25" customFormat="1">
      <c r="A308"/>
      <c r="B308"/>
      <c r="C308"/>
      <c r="D308"/>
      <c r="E308"/>
    </row>
    <row r="309" spans="1:5" s="25" customFormat="1">
      <c r="A309"/>
      <c r="B309"/>
      <c r="C309"/>
      <c r="D309"/>
      <c r="E309"/>
    </row>
    <row r="310" spans="1:5" s="25" customFormat="1">
      <c r="A310"/>
      <c r="B310"/>
      <c r="C310"/>
      <c r="D310"/>
      <c r="E310"/>
    </row>
    <row r="311" spans="1:5" s="25" customFormat="1">
      <c r="A311"/>
      <c r="B311"/>
      <c r="C311"/>
      <c r="D311"/>
      <c r="E311"/>
    </row>
    <row r="312" spans="1:5" s="25" customFormat="1">
      <c r="A312"/>
      <c r="B312"/>
      <c r="C312"/>
      <c r="D312"/>
      <c r="E312"/>
    </row>
    <row r="313" spans="1:5" s="25" customFormat="1">
      <c r="A313"/>
      <c r="B313"/>
      <c r="C313"/>
      <c r="D313"/>
      <c r="E313"/>
    </row>
    <row r="314" spans="1:5" s="25" customFormat="1">
      <c r="A314"/>
      <c r="B314"/>
      <c r="C314"/>
      <c r="D314"/>
      <c r="E314"/>
    </row>
    <row r="315" spans="1:5" s="25" customFormat="1">
      <c r="A315"/>
      <c r="B315"/>
      <c r="C315"/>
      <c r="D315"/>
      <c r="E315"/>
    </row>
    <row r="316" spans="1:5" s="25" customFormat="1">
      <c r="A316"/>
      <c r="B316"/>
      <c r="C316"/>
      <c r="D316"/>
      <c r="E316"/>
    </row>
    <row r="317" spans="1:5" s="25" customFormat="1">
      <c r="A317"/>
      <c r="B317"/>
      <c r="C317"/>
      <c r="D317"/>
      <c r="E317"/>
    </row>
    <row r="318" spans="1:5" s="25" customFormat="1">
      <c r="A318"/>
      <c r="B318"/>
      <c r="C318"/>
      <c r="D318"/>
      <c r="E318"/>
    </row>
    <row r="319" spans="1:5" s="25" customFormat="1">
      <c r="A319"/>
      <c r="B319"/>
      <c r="C319"/>
      <c r="D319"/>
      <c r="E319"/>
    </row>
    <row r="320" spans="1:5" s="25" customFormat="1">
      <c r="A320"/>
      <c r="B320"/>
      <c r="C320"/>
      <c r="D320"/>
      <c r="E320"/>
    </row>
    <row r="321" spans="1:5" s="25" customFormat="1">
      <c r="A321"/>
      <c r="B321"/>
      <c r="C321"/>
      <c r="D321"/>
      <c r="E321"/>
    </row>
    <row r="322" spans="1:5" s="25" customFormat="1">
      <c r="A322"/>
      <c r="B322"/>
      <c r="C322"/>
      <c r="D322"/>
      <c r="E322"/>
    </row>
    <row r="323" spans="1:5" s="25" customFormat="1">
      <c r="A323"/>
      <c r="B323"/>
      <c r="C323"/>
      <c r="D323"/>
      <c r="E323"/>
    </row>
    <row r="324" spans="1:5" s="25" customFormat="1">
      <c r="A324"/>
      <c r="B324"/>
      <c r="C324"/>
      <c r="D324"/>
      <c r="E324"/>
    </row>
    <row r="325" spans="1:5" s="25" customFormat="1">
      <c r="A325"/>
      <c r="B325"/>
      <c r="C325"/>
      <c r="D325"/>
      <c r="E325"/>
    </row>
    <row r="326" spans="1:5" s="25" customFormat="1">
      <c r="A326"/>
      <c r="B326"/>
      <c r="C326"/>
      <c r="D326"/>
      <c r="E326"/>
    </row>
    <row r="327" spans="1:5" s="25" customFormat="1">
      <c r="A327"/>
      <c r="B327"/>
      <c r="C327"/>
      <c r="D327"/>
      <c r="E327"/>
    </row>
    <row r="328" spans="1:5" s="25" customFormat="1">
      <c r="A328"/>
      <c r="B328"/>
      <c r="C328"/>
      <c r="D328"/>
      <c r="E328"/>
    </row>
    <row r="329" spans="1:5" s="25" customFormat="1">
      <c r="A329"/>
      <c r="B329"/>
      <c r="C329"/>
      <c r="D329"/>
      <c r="E329"/>
    </row>
    <row r="330" spans="1:5" s="25" customFormat="1">
      <c r="A330"/>
      <c r="B330"/>
      <c r="C330"/>
      <c r="D330"/>
      <c r="E330"/>
    </row>
    <row r="331" spans="1:5" s="25" customFormat="1">
      <c r="A331"/>
      <c r="B331"/>
      <c r="C331"/>
      <c r="D331"/>
      <c r="E331"/>
    </row>
    <row r="332" spans="1:5" s="25" customFormat="1">
      <c r="A332"/>
      <c r="B332"/>
      <c r="C332"/>
      <c r="D332"/>
      <c r="E332"/>
    </row>
    <row r="333" spans="1:5" s="25" customFormat="1">
      <c r="A333"/>
      <c r="B333"/>
      <c r="C333"/>
      <c r="D333"/>
      <c r="E333"/>
    </row>
    <row r="334" spans="1:5" s="25" customFormat="1">
      <c r="A334"/>
      <c r="B334"/>
      <c r="C334"/>
      <c r="D334"/>
      <c r="E334"/>
    </row>
    <row r="335" spans="1:5" s="25" customFormat="1">
      <c r="A335"/>
      <c r="B335"/>
      <c r="C335"/>
      <c r="D335"/>
      <c r="E335"/>
    </row>
    <row r="336" spans="1:5" s="25" customFormat="1">
      <c r="A336"/>
      <c r="B336"/>
      <c r="C336"/>
      <c r="D336"/>
      <c r="E336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PA137"/>
  <sheetViews>
    <sheetView workbookViewId="0">
      <selection activeCell="D8" sqref="D8"/>
    </sheetView>
  </sheetViews>
  <sheetFormatPr baseColWidth="10" defaultRowHeight="13"/>
  <cols>
    <col min="1" max="1" width="8.33203125" style="91" bestFit="1" customWidth="1"/>
    <col min="2" max="2" width="17.83203125" customWidth="1"/>
    <col min="3" max="3" width="24.83203125" customWidth="1"/>
    <col min="4" max="4" width="14.1640625" style="91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417" width="10.83203125" style="25"/>
  </cols>
  <sheetData>
    <row r="1" spans="1:8" s="25" customFormat="1" ht="14" thickBot="1">
      <c r="A1" s="91"/>
      <c r="D1" s="91"/>
    </row>
    <row r="2" spans="1:8" ht="19" customHeight="1">
      <c r="B2" s="219" t="s">
        <v>254</v>
      </c>
      <c r="C2" s="219"/>
      <c r="E2" s="220" t="s">
        <v>255</v>
      </c>
      <c r="F2" s="221"/>
      <c r="G2" s="221"/>
      <c r="H2" s="222"/>
    </row>
    <row r="3" spans="1:8" ht="19" customHeight="1">
      <c r="B3" s="219"/>
      <c r="C3" s="219"/>
      <c r="E3" s="223"/>
      <c r="F3" s="224"/>
      <c r="G3" s="224"/>
      <c r="H3" s="225"/>
    </row>
    <row r="4" spans="1:8" ht="19" customHeight="1" thickBot="1">
      <c r="B4" s="219"/>
      <c r="C4" s="219"/>
      <c r="E4" s="226"/>
      <c r="F4" s="227"/>
      <c r="G4" s="227"/>
      <c r="H4" s="228"/>
    </row>
    <row r="5" spans="1:8" s="25" customFormat="1">
      <c r="A5" s="91"/>
      <c r="D5" s="91"/>
    </row>
    <row r="6" spans="1:8">
      <c r="B6" s="70" t="s">
        <v>234</v>
      </c>
      <c r="C6" s="71" t="s">
        <v>444</v>
      </c>
      <c r="E6" t="s">
        <v>118</v>
      </c>
      <c r="F6" t="s">
        <v>119</v>
      </c>
      <c r="G6" t="s">
        <v>202</v>
      </c>
      <c r="H6" t="s">
        <v>201</v>
      </c>
    </row>
    <row r="7" spans="1:8">
      <c r="B7" s="25"/>
      <c r="C7" s="25"/>
      <c r="E7">
        <v>1</v>
      </c>
      <c r="G7" t="s">
        <v>204</v>
      </c>
    </row>
    <row r="8" spans="1:8">
      <c r="B8" s="70" t="s">
        <v>263</v>
      </c>
      <c r="C8" s="71">
        <v>46277</v>
      </c>
      <c r="E8">
        <v>2</v>
      </c>
      <c r="G8" t="s">
        <v>204</v>
      </c>
    </row>
    <row r="9" spans="1:8">
      <c r="B9" s="25"/>
      <c r="C9" s="25"/>
      <c r="E9">
        <v>3</v>
      </c>
      <c r="G9" t="s">
        <v>204</v>
      </c>
    </row>
    <row r="10" spans="1:8">
      <c r="B10" s="70" t="s">
        <v>235</v>
      </c>
      <c r="C10" s="71" t="s">
        <v>443</v>
      </c>
      <c r="E10">
        <v>4</v>
      </c>
      <c r="G10" t="s">
        <v>204</v>
      </c>
    </row>
    <row r="11" spans="1:8">
      <c r="B11" s="25"/>
      <c r="C11" s="25"/>
      <c r="E11">
        <v>5</v>
      </c>
      <c r="G11" t="s">
        <v>204</v>
      </c>
    </row>
    <row r="12" spans="1:8">
      <c r="B12" s="70" t="s">
        <v>262</v>
      </c>
      <c r="C12" s="71" t="s">
        <v>231</v>
      </c>
      <c r="E12">
        <v>6</v>
      </c>
      <c r="G12" t="s">
        <v>204</v>
      </c>
    </row>
    <row r="13" spans="1:8">
      <c r="B13" s="25"/>
      <c r="C13" s="25"/>
      <c r="E13">
        <v>7</v>
      </c>
      <c r="G13" t="s">
        <v>204</v>
      </c>
    </row>
    <row r="14" spans="1:8">
      <c r="B14" s="70" t="s">
        <v>236</v>
      </c>
      <c r="C14" s="71" t="s">
        <v>445</v>
      </c>
      <c r="E14">
        <v>8</v>
      </c>
      <c r="G14" t="s">
        <v>204</v>
      </c>
    </row>
    <row r="15" spans="1:8">
      <c r="B15" s="25"/>
      <c r="C15" s="92"/>
      <c r="E15" s="63">
        <v>9</v>
      </c>
      <c r="F15" s="63"/>
      <c r="G15" s="63" t="s">
        <v>222</v>
      </c>
      <c r="H15" s="63"/>
    </row>
    <row r="16" spans="1:8">
      <c r="B16" s="70" t="s">
        <v>237</v>
      </c>
      <c r="C16" s="72" t="s">
        <v>97</v>
      </c>
      <c r="E16">
        <v>10</v>
      </c>
      <c r="G16" t="s">
        <v>222</v>
      </c>
    </row>
    <row r="17" spans="1:8">
      <c r="B17" s="25"/>
      <c r="C17" s="25"/>
      <c r="E17">
        <v>11</v>
      </c>
      <c r="G17" t="s">
        <v>222</v>
      </c>
    </row>
    <row r="18" spans="1:8">
      <c r="B18" s="70" t="s">
        <v>238</v>
      </c>
      <c r="C18" s="71" t="s">
        <v>247</v>
      </c>
      <c r="E18">
        <v>12</v>
      </c>
      <c r="G18" t="s">
        <v>222</v>
      </c>
    </row>
    <row r="19" spans="1:8">
      <c r="B19" s="25"/>
      <c r="C19" s="92"/>
      <c r="E19">
        <v>13</v>
      </c>
      <c r="G19" t="s">
        <v>222</v>
      </c>
    </row>
    <row r="20" spans="1:8">
      <c r="B20" s="70" t="s">
        <v>261</v>
      </c>
      <c r="C20" s="71" t="s">
        <v>257</v>
      </c>
      <c r="E20">
        <v>14</v>
      </c>
      <c r="G20" t="s">
        <v>222</v>
      </c>
    </row>
    <row r="21" spans="1:8">
      <c r="B21" s="25"/>
      <c r="C21" s="25"/>
      <c r="E21" s="58">
        <v>15</v>
      </c>
      <c r="F21" s="58"/>
      <c r="G21" s="58" t="s">
        <v>222</v>
      </c>
      <c r="H21" s="58"/>
    </row>
    <row r="22" spans="1:8">
      <c r="B22" s="25"/>
      <c r="C22" s="25"/>
      <c r="E22">
        <v>16</v>
      </c>
      <c r="G22" t="s">
        <v>204</v>
      </c>
    </row>
    <row r="23" spans="1:8">
      <c r="B23" s="25"/>
      <c r="C23" s="25"/>
      <c r="E23">
        <v>17</v>
      </c>
    </row>
    <row r="24" spans="1:8">
      <c r="B24" s="25"/>
      <c r="C24" s="25"/>
      <c r="E24">
        <v>18</v>
      </c>
    </row>
    <row r="25" spans="1:8">
      <c r="B25" s="25"/>
      <c r="C25" s="25"/>
      <c r="E25">
        <v>19</v>
      </c>
    </row>
    <row r="26" spans="1:8">
      <c r="B26" s="25"/>
      <c r="C26" s="25"/>
      <c r="E26">
        <v>20</v>
      </c>
    </row>
    <row r="27" spans="1:8">
      <c r="B27" s="25"/>
      <c r="C27" s="25"/>
      <c r="E27">
        <v>21</v>
      </c>
    </row>
    <row r="28" spans="1:8">
      <c r="B28" s="25"/>
      <c r="C28" s="25"/>
      <c r="E28">
        <v>22</v>
      </c>
    </row>
    <row r="29" spans="1:8" s="25" customFormat="1">
      <c r="A29" s="91"/>
      <c r="D29" s="91"/>
    </row>
    <row r="30" spans="1:8" s="25" customFormat="1">
      <c r="A30" s="91"/>
      <c r="D30" s="91"/>
    </row>
    <row r="31" spans="1:8" s="25" customFormat="1">
      <c r="A31" s="91"/>
      <c r="D31" s="91"/>
    </row>
    <row r="32" spans="1:8" s="25" customFormat="1">
      <c r="A32" s="91"/>
      <c r="D32" s="91"/>
    </row>
    <row r="33" spans="1:4" s="25" customFormat="1">
      <c r="A33" s="91"/>
      <c r="D33" s="91"/>
    </row>
    <row r="34" spans="1:4" s="25" customFormat="1">
      <c r="A34" s="91"/>
      <c r="D34" s="91"/>
    </row>
    <row r="35" spans="1:4" s="25" customFormat="1">
      <c r="A35" s="91"/>
      <c r="D35" s="91"/>
    </row>
    <row r="36" spans="1:4" s="25" customFormat="1">
      <c r="A36" s="91"/>
      <c r="D36" s="91"/>
    </row>
    <row r="37" spans="1:4" s="25" customFormat="1">
      <c r="A37" s="91"/>
      <c r="D37" s="91"/>
    </row>
    <row r="38" spans="1:4" s="25" customFormat="1">
      <c r="A38" s="91"/>
      <c r="D38" s="91"/>
    </row>
    <row r="39" spans="1:4" s="25" customFormat="1">
      <c r="A39" s="91"/>
      <c r="D39" s="91"/>
    </row>
    <row r="40" spans="1:4" s="25" customFormat="1">
      <c r="A40" s="91"/>
      <c r="D40" s="91"/>
    </row>
    <row r="41" spans="1:4" s="25" customFormat="1">
      <c r="A41" s="91"/>
      <c r="D41" s="91"/>
    </row>
    <row r="42" spans="1:4" s="25" customFormat="1">
      <c r="A42" s="91"/>
      <c r="D42" s="91"/>
    </row>
    <row r="43" spans="1:4" s="25" customFormat="1">
      <c r="A43" s="91"/>
      <c r="D43" s="91"/>
    </row>
    <row r="44" spans="1:4" s="25" customFormat="1">
      <c r="A44" s="91"/>
      <c r="D44" s="91"/>
    </row>
    <row r="45" spans="1:4" s="25" customFormat="1">
      <c r="A45" s="91"/>
      <c r="D45" s="91"/>
    </row>
    <row r="46" spans="1:4" s="25" customFormat="1">
      <c r="A46" s="91"/>
      <c r="D46" s="91"/>
    </row>
    <row r="47" spans="1:4" s="25" customFormat="1">
      <c r="A47" s="91"/>
      <c r="D47" s="91"/>
    </row>
    <row r="48" spans="1:4" s="25" customFormat="1">
      <c r="A48" s="91"/>
      <c r="D48" s="91"/>
    </row>
    <row r="49" spans="1:4" s="25" customFormat="1">
      <c r="A49" s="91"/>
      <c r="D49" s="91"/>
    </row>
    <row r="50" spans="1:4" s="25" customFormat="1">
      <c r="A50" s="91"/>
      <c r="D50" s="91"/>
    </row>
    <row r="51" spans="1:4" s="25" customFormat="1">
      <c r="A51" s="91"/>
      <c r="D51" s="91"/>
    </row>
    <row r="52" spans="1:4" s="25" customFormat="1">
      <c r="A52" s="91"/>
      <c r="D52" s="91"/>
    </row>
    <row r="53" spans="1:4" s="25" customFormat="1">
      <c r="A53" s="91"/>
      <c r="D53" s="91"/>
    </row>
    <row r="54" spans="1:4" s="25" customFormat="1">
      <c r="A54" s="91"/>
      <c r="D54" s="91"/>
    </row>
    <row r="55" spans="1:4" s="25" customFormat="1">
      <c r="A55" s="91"/>
      <c r="D55" s="91"/>
    </row>
    <row r="56" spans="1:4" s="25" customFormat="1">
      <c r="A56" s="91"/>
      <c r="D56" s="91"/>
    </row>
    <row r="57" spans="1:4" s="25" customFormat="1">
      <c r="A57" s="91"/>
      <c r="D57" s="91"/>
    </row>
    <row r="58" spans="1:4" s="25" customFormat="1">
      <c r="A58" s="91"/>
      <c r="D58" s="91"/>
    </row>
    <row r="59" spans="1:4" s="25" customFormat="1" hidden="1">
      <c r="A59" s="91"/>
      <c r="B59" s="25" t="s">
        <v>239</v>
      </c>
      <c r="C59" s="25" t="s">
        <v>446</v>
      </c>
      <c r="D59" s="91"/>
    </row>
    <row r="60" spans="1:4" s="25" customFormat="1">
      <c r="A60" s="91"/>
      <c r="D60" s="91"/>
    </row>
    <row r="61" spans="1:4" s="25" customFormat="1">
      <c r="A61" s="91"/>
      <c r="D61" s="91"/>
    </row>
    <row r="62" spans="1:4" s="25" customFormat="1">
      <c r="A62" s="91"/>
      <c r="D62" s="91"/>
    </row>
    <row r="63" spans="1:4" s="25" customFormat="1">
      <c r="A63" s="91"/>
      <c r="D63" s="91"/>
    </row>
    <row r="64" spans="1:4" s="25" customFormat="1">
      <c r="A64" s="91"/>
      <c r="D64" s="91"/>
    </row>
    <row r="65" spans="1:4" s="25" customFormat="1">
      <c r="A65" s="91"/>
      <c r="D65" s="91"/>
    </row>
    <row r="66" spans="1:4" s="25" customFormat="1">
      <c r="A66" s="91"/>
      <c r="D66" s="91"/>
    </row>
    <row r="67" spans="1:4" s="25" customFormat="1">
      <c r="A67" s="91"/>
      <c r="D67" s="91"/>
    </row>
    <row r="68" spans="1:4" s="25" customFormat="1">
      <c r="A68" s="91"/>
      <c r="D68" s="91"/>
    </row>
    <row r="69" spans="1:4" s="25" customFormat="1">
      <c r="A69" s="91"/>
      <c r="D69" s="91"/>
    </row>
    <row r="70" spans="1:4" s="25" customFormat="1">
      <c r="A70" s="91"/>
      <c r="D70" s="91"/>
    </row>
    <row r="71" spans="1:4" s="25" customFormat="1">
      <c r="A71" s="91"/>
      <c r="D71" s="91"/>
    </row>
    <row r="72" spans="1:4" s="25" customFormat="1">
      <c r="A72" s="91"/>
      <c r="D72" s="91"/>
    </row>
    <row r="73" spans="1:4" s="25" customFormat="1">
      <c r="A73" s="91"/>
      <c r="D73" s="91"/>
    </row>
    <row r="74" spans="1:4" s="25" customFormat="1">
      <c r="A74" s="91"/>
      <c r="D74" s="91"/>
    </row>
    <row r="75" spans="1:4" s="25" customFormat="1">
      <c r="A75" s="91"/>
      <c r="D75" s="91"/>
    </row>
    <row r="76" spans="1:4" s="25" customFormat="1">
      <c r="A76" s="91"/>
      <c r="D76" s="91"/>
    </row>
    <row r="77" spans="1:4" s="25" customFormat="1">
      <c r="A77" s="91"/>
      <c r="D77" s="91"/>
    </row>
    <row r="78" spans="1:4" s="25" customFormat="1">
      <c r="A78" s="91"/>
      <c r="D78" s="91"/>
    </row>
    <row r="79" spans="1:4" s="25" customFormat="1">
      <c r="A79" s="91"/>
      <c r="D79" s="91"/>
    </row>
    <row r="80" spans="1:4" s="25" customFormat="1">
      <c r="A80" s="91"/>
      <c r="D80" s="91"/>
    </row>
    <row r="81" spans="1:4" s="25" customFormat="1">
      <c r="A81" s="91"/>
      <c r="D81" s="91"/>
    </row>
    <row r="82" spans="1:4" s="25" customFormat="1">
      <c r="A82" s="91"/>
      <c r="D82" s="91"/>
    </row>
    <row r="83" spans="1:4" s="25" customFormat="1">
      <c r="A83" s="91"/>
      <c r="D83" s="91"/>
    </row>
    <row r="84" spans="1:4" s="25" customFormat="1">
      <c r="A84" s="91"/>
      <c r="D84" s="91"/>
    </row>
    <row r="85" spans="1:4" s="25" customFormat="1">
      <c r="A85" s="91"/>
      <c r="D85" s="91"/>
    </row>
    <row r="86" spans="1:4" s="25" customFormat="1">
      <c r="A86" s="91"/>
      <c r="D86" s="91"/>
    </row>
    <row r="87" spans="1:4" s="25" customFormat="1">
      <c r="A87" s="91"/>
      <c r="D87" s="91"/>
    </row>
    <row r="88" spans="1:4" s="25" customFormat="1">
      <c r="A88" s="91"/>
      <c r="D88" s="91"/>
    </row>
    <row r="89" spans="1:4" s="25" customFormat="1">
      <c r="A89" s="91"/>
      <c r="D89" s="91"/>
    </row>
    <row r="90" spans="1:4" s="25" customFormat="1">
      <c r="A90" s="91"/>
      <c r="D90" s="91"/>
    </row>
    <row r="91" spans="1:4" s="25" customFormat="1">
      <c r="A91" s="91"/>
      <c r="D91" s="91"/>
    </row>
    <row r="92" spans="1:4" s="25" customFormat="1">
      <c r="A92" s="91"/>
      <c r="D92" s="91"/>
    </row>
    <row r="93" spans="1:4" s="25" customFormat="1">
      <c r="A93" s="91"/>
      <c r="D93" s="91"/>
    </row>
    <row r="94" spans="1:4" s="25" customFormat="1">
      <c r="A94" s="91"/>
      <c r="D94" s="91"/>
    </row>
    <row r="95" spans="1:4" s="25" customFormat="1">
      <c r="A95" s="91"/>
      <c r="D95" s="91"/>
    </row>
    <row r="96" spans="1:4" s="25" customFormat="1">
      <c r="A96" s="91"/>
      <c r="D96" s="91"/>
    </row>
    <row r="97" spans="1:4" s="25" customFormat="1">
      <c r="A97" s="91"/>
      <c r="D97" s="91"/>
    </row>
    <row r="98" spans="1:4" s="25" customFormat="1">
      <c r="A98" s="91"/>
      <c r="D98" s="91"/>
    </row>
    <row r="99" spans="1:4" s="25" customFormat="1">
      <c r="A99" s="91"/>
      <c r="D99" s="91"/>
    </row>
    <row r="100" spans="1:4" s="25" customFormat="1">
      <c r="A100" s="91"/>
      <c r="D100" s="91"/>
    </row>
    <row r="101" spans="1:4" s="25" customFormat="1">
      <c r="A101" s="91"/>
      <c r="D101" s="91"/>
    </row>
    <row r="102" spans="1:4" s="25" customFormat="1">
      <c r="A102" s="91"/>
      <c r="D102" s="91"/>
    </row>
    <row r="103" spans="1:4" s="25" customFormat="1">
      <c r="A103" s="91"/>
      <c r="D103" s="91"/>
    </row>
    <row r="104" spans="1:4" s="25" customFormat="1">
      <c r="A104" s="91"/>
      <c r="D104" s="91"/>
    </row>
    <row r="105" spans="1:4" s="25" customFormat="1">
      <c r="A105" s="91"/>
      <c r="D105" s="91"/>
    </row>
    <row r="106" spans="1:4" s="25" customFormat="1">
      <c r="A106" s="91"/>
      <c r="D106" s="91"/>
    </row>
    <row r="107" spans="1:4" s="25" customFormat="1">
      <c r="A107" s="91"/>
      <c r="D107" s="91"/>
    </row>
    <row r="108" spans="1:4" s="25" customFormat="1">
      <c r="A108" s="91"/>
      <c r="D108" s="91"/>
    </row>
    <row r="109" spans="1:4" s="25" customFormat="1">
      <c r="A109" s="91"/>
      <c r="D109" s="91"/>
    </row>
    <row r="110" spans="1:4" s="25" customFormat="1">
      <c r="A110" s="91"/>
      <c r="D110" s="91"/>
    </row>
    <row r="111" spans="1:4" s="25" customFormat="1">
      <c r="A111" s="91"/>
      <c r="D111" s="91"/>
    </row>
    <row r="112" spans="1:4" s="25" customFormat="1">
      <c r="A112" s="91"/>
      <c r="D112" s="91"/>
    </row>
    <row r="113" spans="1:4" s="25" customFormat="1">
      <c r="A113" s="91"/>
      <c r="D113" s="91"/>
    </row>
    <row r="114" spans="1:4" s="25" customFormat="1">
      <c r="A114" s="91"/>
      <c r="D114" s="91"/>
    </row>
    <row r="115" spans="1:4" s="25" customFormat="1">
      <c r="A115" s="91"/>
      <c r="D115" s="91"/>
    </row>
    <row r="116" spans="1:4" s="25" customFormat="1">
      <c r="A116" s="91"/>
      <c r="D116" s="91"/>
    </row>
    <row r="117" spans="1:4" s="25" customFormat="1">
      <c r="A117" s="91"/>
      <c r="D117" s="91"/>
    </row>
    <row r="118" spans="1:4" s="25" customFormat="1">
      <c r="A118" s="91"/>
      <c r="D118" s="91"/>
    </row>
    <row r="119" spans="1:4" s="25" customFormat="1">
      <c r="A119" s="91"/>
      <c r="D119" s="91"/>
    </row>
    <row r="120" spans="1:4" s="25" customFormat="1">
      <c r="A120" s="91"/>
      <c r="D120" s="91"/>
    </row>
    <row r="121" spans="1:4" s="25" customFormat="1">
      <c r="A121" s="91"/>
      <c r="D121" s="91"/>
    </row>
    <row r="122" spans="1:4" s="25" customFormat="1">
      <c r="A122" s="91"/>
      <c r="D122" s="91"/>
    </row>
    <row r="123" spans="1:4" s="25" customFormat="1">
      <c r="A123" s="91"/>
      <c r="D123" s="91"/>
    </row>
    <row r="124" spans="1:4" s="25" customFormat="1">
      <c r="A124" s="91"/>
      <c r="D124" s="91"/>
    </row>
    <row r="125" spans="1:4" s="25" customFormat="1">
      <c r="A125" s="91"/>
      <c r="D125" s="91"/>
    </row>
    <row r="126" spans="1:4" s="25" customFormat="1">
      <c r="A126" s="91"/>
      <c r="D126" s="91"/>
    </row>
    <row r="127" spans="1:4" s="25" customFormat="1">
      <c r="A127" s="91"/>
      <c r="D127" s="91"/>
    </row>
    <row r="128" spans="1:4" s="25" customFormat="1">
      <c r="A128" s="91"/>
      <c r="D128" s="91"/>
    </row>
    <row r="129" spans="1:4" s="25" customFormat="1">
      <c r="A129" s="91"/>
      <c r="D129" s="91"/>
    </row>
    <row r="130" spans="1:4" s="25" customFormat="1">
      <c r="A130" s="91"/>
      <c r="D130" s="91"/>
    </row>
    <row r="131" spans="1:4" s="25" customFormat="1">
      <c r="A131" s="91"/>
      <c r="D131" s="91"/>
    </row>
    <row r="132" spans="1:4" s="25" customFormat="1">
      <c r="A132" s="91"/>
      <c r="D132" s="91"/>
    </row>
    <row r="133" spans="1:4" s="25" customFormat="1">
      <c r="A133" s="91"/>
      <c r="D133" s="91"/>
    </row>
    <row r="134" spans="1:4" s="25" customFormat="1">
      <c r="A134" s="91"/>
      <c r="D134" s="91"/>
    </row>
    <row r="135" spans="1:4" s="25" customFormat="1">
      <c r="A135" s="91"/>
      <c r="D135" s="91"/>
    </row>
    <row r="136" spans="1:4" s="25" customFormat="1">
      <c r="A136" s="91"/>
      <c r="D136" s="91"/>
    </row>
    <row r="137" spans="1:4" s="25" customFormat="1">
      <c r="A137" s="91"/>
      <c r="D137" s="91"/>
    </row>
  </sheetData>
  <mergeCells count="2">
    <mergeCell ref="B2:C4"/>
    <mergeCell ref="E2:H4"/>
  </mergeCells>
  <phoneticPr fontId="20" type="noConversion"/>
  <dataValidations count="7">
    <dataValidation type="list" allowBlank="1" showInputMessage="1" showErrorMessage="1" sqref="F7:F28" xr:uid="{7D95346C-CBAC-6743-84C7-A8CE22F7DA4F}">
      <formula1>LST_JOUEURS</formula1>
    </dataValidation>
    <dataValidation type="list" allowBlank="1" showInputMessage="1" showErrorMessage="1" sqref="G7:G28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tabSelected="1" zoomScale="90" zoomScaleNormal="90" workbookViewId="0">
      <selection activeCell="T27" sqref="T27"/>
    </sheetView>
  </sheetViews>
  <sheetFormatPr baseColWidth="10" defaultColWidth="10.83203125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7" width="1.83203125" style="25" customWidth="1"/>
    <col min="18" max="18" width="10.83203125" style="25" customWidth="1"/>
    <col min="19" max="19" width="1.83203125" style="25" customWidth="1"/>
    <col min="20" max="20" width="10.83203125" style="25" customWidth="1"/>
    <col min="21" max="21" width="1.83203125" style="25" customWidth="1"/>
    <col min="22" max="22" width="10.83203125" style="25" customWidth="1"/>
    <col min="23" max="23" width="1.83203125" style="25" customWidth="1"/>
    <col min="24" max="24" width="10.83203125" style="25" customWidth="1"/>
    <col min="25" max="25" width="1.83203125" style="25" customWidth="1"/>
    <col min="26" max="26" width="10.83203125" style="25" customWidth="1"/>
    <col min="27" max="27" width="1.83203125" style="25" customWidth="1"/>
    <col min="28" max="28" width="10.83203125" style="25" customWidth="1"/>
    <col min="29" max="29" width="1.83203125" style="25" customWidth="1"/>
    <col min="30" max="30" width="10.83203125" style="25" customWidth="1"/>
    <col min="31" max="31" width="1.83203125" style="25" customWidth="1"/>
    <col min="32" max="32" width="10.83203125" style="25" customWidth="1"/>
    <col min="33" max="33" width="1.83203125" style="25" customWidth="1"/>
    <col min="34" max="34" width="10.83203125" style="25" customWidth="1"/>
    <col min="35" max="35" width="1.83203125" style="25" customWidth="1"/>
    <col min="36" max="695" width="10.83203125" style="25"/>
  </cols>
  <sheetData>
    <row r="1" spans="1:52" ht="39" customHeight="1">
      <c r="A1" s="25" t="s">
        <v>117</v>
      </c>
      <c r="C1" s="213" t="str">
        <f>"Match "&amp;IF('Compo'!C14="Aller","A",IF('Compo'!C14="Retour","R",IF('Compo'!C14="Amical","AMI","PF")))&amp;" "&amp;'Compo'!C16&amp;IF('Compo'!C12="Extérieur"," : "&amp;'Compo'!C10&amp;" / MXV"," : MXV / "&amp;'Compo'!C10)</f>
        <v>Match AMI MT1 : MXV / RC Trie</v>
      </c>
      <c r="D1" s="213"/>
      <c r="E1" s="213"/>
      <c r="F1" s="213"/>
      <c r="G1" s="213"/>
      <c r="H1" s="213"/>
      <c r="I1" s="213"/>
      <c r="J1" s="213"/>
      <c r="K1" s="213"/>
      <c r="L1" s="213"/>
      <c r="M1" s="213"/>
      <c r="N1" s="213"/>
      <c r="O1" s="213"/>
      <c r="P1" s="25"/>
      <c r="AZ1" s="179" t="s">
        <v>176</v>
      </c>
    </row>
    <row r="2" spans="1:52" ht="10" customHeight="1" thickBot="1">
      <c r="A2" s="25"/>
      <c r="B2" s="25"/>
      <c r="C2" s="49"/>
      <c r="D2" s="27"/>
      <c r="E2" s="27"/>
      <c r="F2" s="26"/>
      <c r="G2" s="26"/>
      <c r="H2" s="26"/>
      <c r="I2" s="26"/>
      <c r="J2" s="26"/>
      <c r="K2" s="26"/>
      <c r="L2" s="26"/>
      <c r="M2" s="26"/>
      <c r="N2" s="26"/>
      <c r="O2" s="49"/>
      <c r="P2" s="25"/>
    </row>
    <row r="3" spans="1:52" ht="10" customHeight="1" thickTop="1">
      <c r="A3" s="25"/>
      <c r="B3" s="25"/>
      <c r="C3" s="50"/>
      <c r="D3" s="125"/>
      <c r="E3" s="125"/>
      <c r="F3" s="124"/>
      <c r="G3" s="126"/>
      <c r="H3" s="124"/>
      <c r="I3" s="126"/>
      <c r="J3" s="126"/>
      <c r="K3" s="126"/>
      <c r="L3" s="124"/>
      <c r="M3" s="126"/>
      <c r="N3" s="124"/>
      <c r="O3" s="137"/>
      <c r="P3" s="149"/>
      <c r="Q3" s="165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7"/>
      <c r="AD3" s="174"/>
      <c r="AE3" s="170"/>
      <c r="AF3" s="170"/>
      <c r="AG3" s="170"/>
      <c r="AH3" s="170"/>
      <c r="AI3" s="173"/>
    </row>
    <row r="4" spans="1:52" ht="42" customHeight="1">
      <c r="A4" s="25"/>
      <c r="B4" s="25"/>
      <c r="C4" s="127"/>
      <c r="D4" s="214" t="s">
        <v>175</v>
      </c>
      <c r="E4" s="215"/>
      <c r="F4" s="35" t="s">
        <v>89</v>
      </c>
      <c r="G4" s="128"/>
      <c r="H4" s="35" t="s">
        <v>106</v>
      </c>
      <c r="I4" s="129"/>
      <c r="J4" s="130"/>
      <c r="K4" s="131"/>
      <c r="L4" s="28" t="s">
        <v>93</v>
      </c>
      <c r="M4" s="132"/>
      <c r="N4" s="28" t="s">
        <v>94</v>
      </c>
      <c r="O4" s="150"/>
      <c r="P4" s="149"/>
      <c r="Q4" s="168"/>
      <c r="R4" s="179" t="s">
        <v>88</v>
      </c>
      <c r="S4" s="174"/>
      <c r="T4" s="39" t="s">
        <v>79</v>
      </c>
      <c r="U4" s="174"/>
      <c r="V4" s="39" t="s">
        <v>102</v>
      </c>
      <c r="W4" s="174"/>
      <c r="X4" s="39" t="s">
        <v>192</v>
      </c>
      <c r="Y4" s="174"/>
      <c r="Z4" s="39" t="s">
        <v>80</v>
      </c>
      <c r="AA4" s="174"/>
      <c r="AB4" s="39" t="s">
        <v>81</v>
      </c>
      <c r="AC4" s="177"/>
      <c r="AD4" s="174"/>
      <c r="AE4" s="170"/>
      <c r="AF4" s="170"/>
      <c r="AG4" s="170"/>
      <c r="AH4" s="170"/>
      <c r="AI4" s="173"/>
    </row>
    <row r="5" spans="1:52" ht="10" customHeight="1" thickBot="1">
      <c r="A5" s="25"/>
      <c r="B5" s="25"/>
      <c r="C5" s="127"/>
      <c r="D5" s="133"/>
      <c r="E5" s="133"/>
      <c r="F5" s="134"/>
      <c r="G5" s="135"/>
      <c r="H5" s="134"/>
      <c r="I5" s="135"/>
      <c r="J5" s="135"/>
      <c r="K5" s="135"/>
      <c r="L5" s="134"/>
      <c r="M5" s="135"/>
      <c r="N5" s="136"/>
      <c r="O5" s="49"/>
      <c r="P5" s="149"/>
      <c r="Q5" s="171"/>
      <c r="R5" s="176"/>
      <c r="S5" s="172"/>
      <c r="T5" s="176"/>
      <c r="U5" s="172"/>
      <c r="V5" s="176"/>
      <c r="W5" s="172"/>
      <c r="X5" s="176"/>
      <c r="Y5" s="172"/>
      <c r="Z5" s="176"/>
      <c r="AA5" s="172"/>
      <c r="AB5" s="176"/>
      <c r="AC5" s="178"/>
      <c r="AD5" s="174"/>
      <c r="AE5" s="170"/>
      <c r="AF5" s="170"/>
      <c r="AG5" s="170"/>
      <c r="AH5" s="170"/>
      <c r="AI5" s="173"/>
    </row>
    <row r="6" spans="1:52" ht="10" customHeight="1" thickTop="1" thickBot="1">
      <c r="A6" s="25"/>
      <c r="B6" s="25"/>
      <c r="C6" s="137"/>
      <c r="D6" s="125"/>
      <c r="E6" s="125"/>
      <c r="F6" s="126"/>
      <c r="G6" s="126"/>
      <c r="H6" s="126"/>
      <c r="I6" s="126"/>
      <c r="J6" s="126"/>
      <c r="K6" s="126"/>
      <c r="L6" s="126"/>
      <c r="M6" s="126"/>
      <c r="N6" s="126"/>
      <c r="O6" s="137"/>
      <c r="P6" s="151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0"/>
      <c r="AE6" s="170"/>
      <c r="AF6" s="170"/>
      <c r="AG6" s="170"/>
      <c r="AH6" s="170"/>
      <c r="AI6" s="173"/>
    </row>
    <row r="7" spans="1:52" ht="10" customHeight="1" thickTop="1">
      <c r="A7" s="25"/>
      <c r="B7" s="25"/>
      <c r="C7" s="51"/>
      <c r="D7" s="139"/>
      <c r="E7" s="140"/>
      <c r="F7" s="138"/>
      <c r="G7" s="140"/>
      <c r="H7" s="138"/>
      <c r="I7" s="140"/>
      <c r="J7" s="138"/>
      <c r="K7" s="140"/>
      <c r="L7" s="138"/>
      <c r="M7" s="140"/>
      <c r="N7" s="140"/>
      <c r="O7" s="140"/>
      <c r="P7" s="149"/>
      <c r="Q7" s="165"/>
      <c r="R7" s="166"/>
      <c r="S7" s="166"/>
      <c r="T7" s="166"/>
      <c r="U7" s="166"/>
      <c r="V7" s="166"/>
      <c r="W7" s="166"/>
      <c r="X7" s="166"/>
      <c r="Y7" s="166"/>
      <c r="Z7" s="166"/>
      <c r="AA7" s="166"/>
      <c r="AB7" s="166"/>
      <c r="AC7" s="167"/>
      <c r="AD7" s="174"/>
      <c r="AE7" s="170"/>
      <c r="AF7" s="170"/>
      <c r="AG7" s="170"/>
      <c r="AH7" s="170"/>
      <c r="AI7" s="173"/>
    </row>
    <row r="8" spans="1:52" ht="26" customHeight="1">
      <c r="A8" s="25"/>
      <c r="B8" s="25"/>
      <c r="C8" s="141"/>
      <c r="D8" s="142" t="s">
        <v>298</v>
      </c>
      <c r="E8" s="143"/>
      <c r="F8" s="33"/>
      <c r="G8" s="144"/>
      <c r="H8" s="121"/>
      <c r="I8" s="144"/>
      <c r="J8" s="122"/>
      <c r="K8" s="144"/>
      <c r="L8" s="123"/>
      <c r="M8" s="129"/>
      <c r="N8" s="135"/>
      <c r="O8" s="148"/>
      <c r="P8" s="149"/>
      <c r="Q8" s="168"/>
      <c r="R8" s="179" t="s">
        <v>99</v>
      </c>
      <c r="S8" s="174"/>
      <c r="T8" s="31" t="s">
        <v>83</v>
      </c>
      <c r="U8" s="174"/>
      <c r="V8" s="31" t="s">
        <v>84</v>
      </c>
      <c r="W8" s="174"/>
      <c r="X8" s="31" t="s">
        <v>85</v>
      </c>
      <c r="Y8" s="174"/>
      <c r="Z8" s="31" t="s">
        <v>86</v>
      </c>
      <c r="AA8" s="174"/>
      <c r="AB8" s="24" t="s">
        <v>87</v>
      </c>
      <c r="AC8" s="177"/>
      <c r="AD8" s="174"/>
      <c r="AE8" s="170"/>
      <c r="AF8" s="170"/>
      <c r="AG8" s="170"/>
      <c r="AH8" s="170"/>
      <c r="AI8" s="173"/>
    </row>
    <row r="9" spans="1:52" ht="10" customHeight="1" thickBot="1">
      <c r="A9" s="25"/>
      <c r="B9" s="25"/>
      <c r="C9" s="127"/>
      <c r="D9" s="145"/>
      <c r="E9" s="133"/>
      <c r="F9" s="134"/>
      <c r="G9" s="135"/>
      <c r="H9" s="134"/>
      <c r="I9" s="135"/>
      <c r="J9" s="134"/>
      <c r="K9" s="135"/>
      <c r="L9" s="134"/>
      <c r="M9" s="135"/>
      <c r="N9" s="146"/>
      <c r="O9" s="49"/>
      <c r="P9" s="149"/>
      <c r="Q9" s="171"/>
      <c r="R9" s="176"/>
      <c r="S9" s="172"/>
      <c r="T9" s="176"/>
      <c r="U9" s="172"/>
      <c r="V9" s="176"/>
      <c r="W9" s="172"/>
      <c r="X9" s="176"/>
      <c r="Y9" s="172"/>
      <c r="Z9" s="176"/>
      <c r="AA9" s="172"/>
      <c r="AB9" s="176"/>
      <c r="AC9" s="178"/>
      <c r="AD9" s="174"/>
      <c r="AE9" s="170"/>
      <c r="AF9" s="170"/>
      <c r="AG9" s="170"/>
      <c r="AH9" s="170"/>
      <c r="AI9" s="173"/>
    </row>
    <row r="10" spans="1:52" ht="10" customHeight="1" thickTop="1" thickBot="1">
      <c r="A10" s="25"/>
      <c r="B10" s="25"/>
      <c r="C10" s="140"/>
      <c r="D10" s="147"/>
      <c r="E10" s="147"/>
      <c r="F10" s="147"/>
      <c r="G10" s="147"/>
      <c r="H10" s="147"/>
      <c r="I10" s="147"/>
      <c r="J10" s="147"/>
      <c r="K10" s="147"/>
      <c r="L10" s="147"/>
      <c r="M10" s="147"/>
      <c r="N10" s="147"/>
      <c r="O10" s="140"/>
      <c r="P10" s="151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0"/>
      <c r="AE10" s="170"/>
      <c r="AF10" s="170"/>
      <c r="AG10" s="170"/>
      <c r="AH10" s="170"/>
      <c r="AI10" s="173"/>
    </row>
    <row r="11" spans="1:52" ht="10" customHeight="1" thickTop="1">
      <c r="A11" s="25"/>
      <c r="B11" s="25" t="s">
        <v>95</v>
      </c>
      <c r="C11" s="165"/>
      <c r="D11" s="166"/>
      <c r="E11" s="166"/>
      <c r="F11" s="166"/>
      <c r="G11" s="166"/>
      <c r="H11" s="166"/>
      <c r="I11" s="166"/>
      <c r="J11" s="166"/>
      <c r="K11" s="166"/>
      <c r="L11" s="166"/>
      <c r="M11" s="166"/>
      <c r="N11" s="184"/>
      <c r="O11" s="167"/>
      <c r="P11" s="182"/>
      <c r="Q11" s="165"/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7"/>
    </row>
    <row r="12" spans="1:52" ht="15" customHeight="1">
      <c r="A12" s="25"/>
      <c r="B12" s="25"/>
      <c r="C12" s="168"/>
      <c r="D12" s="216" t="s">
        <v>68</v>
      </c>
      <c r="E12" s="216"/>
      <c r="F12" s="216"/>
      <c r="G12" s="216"/>
      <c r="H12" s="216"/>
      <c r="I12" s="216"/>
      <c r="J12" s="216"/>
      <c r="K12" s="216"/>
      <c r="L12" s="216"/>
      <c r="M12" s="217"/>
      <c r="N12" s="218"/>
      <c r="O12" s="169"/>
      <c r="P12" s="182"/>
      <c r="Q12" s="168"/>
      <c r="R12" s="204" t="s">
        <v>69</v>
      </c>
      <c r="S12" s="204"/>
      <c r="T12" s="204"/>
      <c r="U12" s="204"/>
      <c r="V12" s="204"/>
      <c r="W12" s="204"/>
      <c r="X12" s="204"/>
      <c r="Y12" s="204"/>
      <c r="Z12" s="204"/>
      <c r="AA12" s="204"/>
      <c r="AB12" s="204"/>
      <c r="AC12" s="204"/>
      <c r="AD12" s="204"/>
      <c r="AE12" s="204"/>
      <c r="AF12" s="204"/>
      <c r="AG12" s="205"/>
      <c r="AH12" s="206"/>
      <c r="AI12" s="177"/>
    </row>
    <row r="13" spans="1:52">
      <c r="A13" s="25"/>
      <c r="B13" s="25"/>
      <c r="C13" s="168"/>
      <c r="D13" s="185"/>
      <c r="E13" s="170"/>
      <c r="F13" s="185"/>
      <c r="G13" s="170"/>
      <c r="H13" s="185"/>
      <c r="I13" s="170"/>
      <c r="J13" s="185"/>
      <c r="K13" s="170"/>
      <c r="L13" s="185"/>
      <c r="M13" s="170"/>
      <c r="N13" s="185"/>
      <c r="O13" s="169"/>
      <c r="P13" s="182"/>
      <c r="Q13" s="168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75"/>
      <c r="AI13" s="169"/>
    </row>
    <row r="14" spans="1:52" ht="42" customHeight="1">
      <c r="A14" s="25"/>
      <c r="B14" s="25"/>
      <c r="C14" s="189"/>
      <c r="D14" s="190">
        <v>1</v>
      </c>
      <c r="E14" s="192"/>
      <c r="F14" s="190">
        <v>2</v>
      </c>
      <c r="G14" s="192"/>
      <c r="H14" s="190">
        <v>3</v>
      </c>
      <c r="I14" s="192"/>
      <c r="J14" s="190">
        <v>4</v>
      </c>
      <c r="K14" s="192"/>
      <c r="L14" s="190">
        <v>5</v>
      </c>
      <c r="M14" s="192"/>
      <c r="N14" s="190">
        <v>6</v>
      </c>
      <c r="O14" s="193"/>
      <c r="P14" s="182"/>
      <c r="Q14" s="168"/>
      <c r="R14" s="179" t="s">
        <v>321</v>
      </c>
      <c r="S14" s="174"/>
      <c r="T14" s="29" t="s">
        <v>72</v>
      </c>
      <c r="U14" s="174"/>
      <c r="V14" s="29" t="s">
        <v>70</v>
      </c>
      <c r="W14" s="174"/>
      <c r="X14" s="29" t="s">
        <v>73</v>
      </c>
      <c r="Y14" s="174"/>
      <c r="Z14" s="29" t="s">
        <v>74</v>
      </c>
      <c r="AA14" s="174"/>
      <c r="AB14" s="29" t="s">
        <v>71</v>
      </c>
      <c r="AC14" s="174"/>
      <c r="AD14" s="179" t="s">
        <v>277</v>
      </c>
      <c r="AE14" s="174"/>
      <c r="AF14" s="29" t="s">
        <v>75</v>
      </c>
      <c r="AG14" s="174"/>
      <c r="AH14" s="29" t="s">
        <v>76</v>
      </c>
      <c r="AI14" s="177"/>
    </row>
    <row r="15" spans="1:52" ht="10" customHeight="1">
      <c r="A15" s="25"/>
      <c r="B15" s="25"/>
      <c r="C15" s="168"/>
      <c r="D15" s="191"/>
      <c r="E15" s="170"/>
      <c r="F15" s="191"/>
      <c r="G15" s="170"/>
      <c r="H15" s="191"/>
      <c r="I15" s="170"/>
      <c r="J15" s="191"/>
      <c r="K15" s="170"/>
      <c r="L15" s="191"/>
      <c r="M15" s="170"/>
      <c r="N15" s="191"/>
      <c r="O15" s="169"/>
      <c r="P15" s="182"/>
      <c r="Q15" s="168"/>
      <c r="R15" s="175"/>
      <c r="S15" s="170"/>
      <c r="T15" s="175"/>
      <c r="U15" s="170"/>
      <c r="V15" s="175"/>
      <c r="W15" s="170"/>
      <c r="X15" s="175"/>
      <c r="Y15" s="170"/>
      <c r="Z15" s="175"/>
      <c r="AA15" s="170"/>
      <c r="AB15" s="175"/>
      <c r="AC15" s="170"/>
      <c r="AD15" s="175"/>
      <c r="AE15" s="170"/>
      <c r="AF15" s="175"/>
      <c r="AG15" s="170"/>
      <c r="AH15" s="175"/>
      <c r="AI15" s="169"/>
    </row>
    <row r="16" spans="1:52" ht="42" customHeight="1">
      <c r="A16" s="25"/>
      <c r="B16" s="25"/>
      <c r="C16" s="189"/>
      <c r="D16" s="190">
        <v>7</v>
      </c>
      <c r="E16" s="192"/>
      <c r="F16" s="190">
        <v>8</v>
      </c>
      <c r="G16" s="192"/>
      <c r="H16" s="190">
        <v>9</v>
      </c>
      <c r="I16" s="192"/>
      <c r="J16" s="190">
        <v>10</v>
      </c>
      <c r="K16" s="192"/>
      <c r="L16" s="190">
        <v>11</v>
      </c>
      <c r="M16" s="192"/>
      <c r="N16" s="190">
        <v>12</v>
      </c>
      <c r="O16" s="193"/>
      <c r="P16" s="182"/>
      <c r="Q16" s="168"/>
      <c r="R16" s="179" t="s">
        <v>276</v>
      </c>
      <c r="S16" s="174"/>
      <c r="T16" s="29" t="s">
        <v>75</v>
      </c>
      <c r="U16" s="174"/>
      <c r="V16" s="29" t="s">
        <v>76</v>
      </c>
      <c r="W16" s="174"/>
      <c r="X16" s="29" t="s">
        <v>96</v>
      </c>
      <c r="Y16" s="174"/>
      <c r="Z16" s="170"/>
      <c r="AA16" s="170"/>
      <c r="AB16" s="180" t="s">
        <v>460</v>
      </c>
      <c r="AC16" s="174"/>
      <c r="AD16" s="39" t="s">
        <v>299</v>
      </c>
      <c r="AE16" s="174"/>
      <c r="AF16" s="39" t="s">
        <v>458</v>
      </c>
      <c r="AG16" s="174"/>
      <c r="AH16" s="39" t="s">
        <v>459</v>
      </c>
      <c r="AI16" s="177"/>
    </row>
    <row r="17" spans="1:35" ht="10" customHeight="1">
      <c r="A17" s="25"/>
      <c r="B17" s="25"/>
      <c r="C17" s="168"/>
      <c r="D17" s="191"/>
      <c r="E17" s="170"/>
      <c r="F17" s="191"/>
      <c r="G17" s="170"/>
      <c r="H17" s="191"/>
      <c r="I17" s="170"/>
      <c r="J17" s="191"/>
      <c r="K17" s="170"/>
      <c r="L17" s="191"/>
      <c r="M17" s="170"/>
      <c r="N17" s="191"/>
      <c r="O17" s="169"/>
      <c r="P17" s="182"/>
      <c r="Q17" s="168"/>
      <c r="R17" s="175"/>
      <c r="S17" s="170"/>
      <c r="T17" s="175"/>
      <c r="U17" s="170"/>
      <c r="V17" s="175"/>
      <c r="W17" s="170"/>
      <c r="X17" s="175"/>
      <c r="Y17" s="170"/>
      <c r="Z17" s="170"/>
      <c r="AA17" s="170"/>
      <c r="AB17" s="175"/>
      <c r="AC17" s="170"/>
      <c r="AD17" s="175"/>
      <c r="AE17" s="170"/>
      <c r="AF17" s="175"/>
      <c r="AG17" s="170"/>
      <c r="AH17" s="175"/>
      <c r="AI17" s="169"/>
    </row>
    <row r="18" spans="1:35" ht="42" customHeight="1">
      <c r="A18" s="25"/>
      <c r="B18" s="25"/>
      <c r="C18" s="189"/>
      <c r="D18" s="190">
        <v>13</v>
      </c>
      <c r="E18" s="192"/>
      <c r="F18" s="190">
        <v>14</v>
      </c>
      <c r="G18" s="192"/>
      <c r="H18" s="190">
        <v>15</v>
      </c>
      <c r="I18" s="192"/>
      <c r="J18" s="190">
        <v>16</v>
      </c>
      <c r="K18" s="192"/>
      <c r="L18" s="190">
        <v>17</v>
      </c>
      <c r="M18" s="192"/>
      <c r="N18" s="190">
        <v>18</v>
      </c>
      <c r="O18" s="193"/>
      <c r="P18" s="182"/>
      <c r="Q18" s="168"/>
      <c r="R18" s="179" t="s">
        <v>176</v>
      </c>
      <c r="S18" s="174"/>
      <c r="T18" s="29" t="s">
        <v>177</v>
      </c>
      <c r="U18" s="174"/>
      <c r="V18" s="29" t="s">
        <v>178</v>
      </c>
      <c r="W18" s="174"/>
      <c r="X18" s="29" t="s">
        <v>179</v>
      </c>
      <c r="Y18" s="174"/>
      <c r="Z18" s="29" t="s">
        <v>180</v>
      </c>
      <c r="AA18" s="174"/>
      <c r="AB18" s="29" t="s">
        <v>60</v>
      </c>
      <c r="AC18" s="174"/>
      <c r="AD18" s="29" t="s">
        <v>77</v>
      </c>
      <c r="AE18" s="174"/>
      <c r="AF18" s="29" t="s">
        <v>273</v>
      </c>
      <c r="AG18" s="174"/>
      <c r="AH18" s="29" t="s">
        <v>453</v>
      </c>
      <c r="AI18" s="177"/>
    </row>
    <row r="19" spans="1:35" s="25" customFormat="1" ht="10" customHeight="1">
      <c r="C19" s="168"/>
      <c r="D19" s="191"/>
      <c r="E19" s="170"/>
      <c r="F19" s="191"/>
      <c r="G19" s="170"/>
      <c r="H19" s="191"/>
      <c r="I19" s="170"/>
      <c r="J19" s="191"/>
      <c r="K19" s="170"/>
      <c r="L19" s="191"/>
      <c r="M19" s="170"/>
      <c r="N19" s="191"/>
      <c r="O19" s="169"/>
      <c r="P19" s="182"/>
      <c r="Q19" s="168"/>
      <c r="R19" s="175"/>
      <c r="S19" s="170"/>
      <c r="T19" s="175"/>
      <c r="U19" s="170"/>
      <c r="V19" s="175"/>
      <c r="W19" s="170"/>
      <c r="X19" s="175"/>
      <c r="Y19" s="170"/>
      <c r="Z19" s="175"/>
      <c r="AA19" s="170"/>
      <c r="AB19" s="175"/>
      <c r="AC19" s="170"/>
      <c r="AD19" s="175"/>
      <c r="AE19" s="170"/>
      <c r="AF19" s="175"/>
      <c r="AG19" s="170"/>
      <c r="AH19" s="175"/>
      <c r="AI19" s="169"/>
    </row>
    <row r="20" spans="1:35" ht="42" customHeight="1">
      <c r="A20" s="25"/>
      <c r="B20" s="25"/>
      <c r="C20" s="189"/>
      <c r="D20" s="190">
        <v>19</v>
      </c>
      <c r="E20" s="192"/>
      <c r="F20" s="190">
        <v>20</v>
      </c>
      <c r="G20" s="192"/>
      <c r="H20" s="190">
        <v>21</v>
      </c>
      <c r="I20" s="192"/>
      <c r="J20" s="190">
        <v>22</v>
      </c>
      <c r="K20" s="192"/>
      <c r="L20" s="194" t="s">
        <v>92</v>
      </c>
      <c r="M20" s="192"/>
      <c r="N20" s="194" t="s">
        <v>82</v>
      </c>
      <c r="O20" s="188"/>
      <c r="P20" s="182"/>
      <c r="Q20" s="168"/>
      <c r="R20" s="179" t="s">
        <v>116</v>
      </c>
      <c r="S20" s="174"/>
      <c r="T20" s="30" t="s">
        <v>210</v>
      </c>
      <c r="U20" s="174"/>
      <c r="V20" s="30" t="s">
        <v>211</v>
      </c>
      <c r="W20" s="174"/>
      <c r="X20" s="179" t="s">
        <v>205</v>
      </c>
      <c r="Y20" s="174"/>
      <c r="Z20" s="30" t="s">
        <v>206</v>
      </c>
      <c r="AA20" s="174"/>
      <c r="AB20" s="30" t="s">
        <v>207</v>
      </c>
      <c r="AC20" s="174"/>
      <c r="AD20" s="30" t="s">
        <v>208</v>
      </c>
      <c r="AE20" s="174"/>
      <c r="AF20" s="30" t="s">
        <v>209</v>
      </c>
      <c r="AG20" s="174"/>
      <c r="AH20" s="30" t="s">
        <v>135</v>
      </c>
      <c r="AI20" s="177"/>
    </row>
    <row r="21" spans="1:35" ht="10" customHeight="1" thickBot="1">
      <c r="A21" s="25"/>
      <c r="B21" s="25"/>
      <c r="C21" s="168"/>
      <c r="D21" s="195"/>
      <c r="E21" s="170"/>
      <c r="F21" s="195"/>
      <c r="G21" s="170"/>
      <c r="H21" s="195"/>
      <c r="I21" s="170"/>
      <c r="J21" s="195"/>
      <c r="K21" s="170"/>
      <c r="L21" s="195"/>
      <c r="M21" s="170"/>
      <c r="N21" s="196"/>
      <c r="O21" s="181"/>
      <c r="P21" s="183"/>
      <c r="Q21" s="171"/>
      <c r="R21" s="176"/>
      <c r="S21" s="172"/>
      <c r="T21" s="176"/>
      <c r="U21" s="172"/>
      <c r="V21" s="176"/>
      <c r="W21" s="172"/>
      <c r="X21" s="176"/>
      <c r="Y21" s="172"/>
      <c r="Z21" s="176"/>
      <c r="AA21" s="172"/>
      <c r="AB21" s="176"/>
      <c r="AC21" s="172"/>
      <c r="AD21" s="176"/>
      <c r="AE21" s="172"/>
      <c r="AF21" s="176"/>
      <c r="AG21" s="172"/>
      <c r="AH21" s="176"/>
      <c r="AI21" s="178"/>
    </row>
    <row r="22" spans="1:35" ht="10" customHeight="1" thickTop="1" thickBot="1">
      <c r="A22" s="25"/>
      <c r="B22" s="25"/>
      <c r="C22" s="166"/>
      <c r="D22" s="166"/>
      <c r="E22" s="166"/>
      <c r="F22" s="166"/>
      <c r="G22" s="166"/>
      <c r="H22" s="166"/>
      <c r="I22" s="166"/>
      <c r="J22" s="166"/>
      <c r="K22" s="166"/>
      <c r="L22" s="166"/>
      <c r="M22" s="166"/>
      <c r="N22" s="166"/>
      <c r="O22" s="197"/>
      <c r="P22" s="25"/>
    </row>
    <row r="23" spans="1:35" ht="10" customHeight="1" thickTop="1">
      <c r="A23" s="25"/>
      <c r="B23" s="25"/>
      <c r="C23" s="165"/>
      <c r="D23" s="166"/>
      <c r="E23" s="166"/>
      <c r="F23" s="166"/>
      <c r="G23" s="166"/>
      <c r="H23" s="166"/>
      <c r="I23" s="166"/>
      <c r="J23" s="166"/>
      <c r="K23" s="166"/>
      <c r="L23" s="166"/>
      <c r="M23" s="166"/>
      <c r="N23" s="184"/>
      <c r="O23" s="167"/>
      <c r="P23" s="25"/>
    </row>
    <row r="24" spans="1:35" ht="15" customHeight="1">
      <c r="A24" s="25"/>
      <c r="B24" s="25"/>
      <c r="C24" s="168"/>
      <c r="D24" s="207" t="s">
        <v>90</v>
      </c>
      <c r="E24" s="207"/>
      <c r="F24" s="207"/>
      <c r="G24" s="207"/>
      <c r="H24" s="207"/>
      <c r="I24" s="207"/>
      <c r="J24" s="207"/>
      <c r="K24" s="207"/>
      <c r="L24" s="207"/>
      <c r="M24" s="208"/>
      <c r="N24" s="209"/>
      <c r="O24" s="169"/>
      <c r="P24" s="25"/>
    </row>
    <row r="25" spans="1:35" s="25" customFormat="1" ht="10" customHeight="1">
      <c r="C25" s="168"/>
      <c r="D25" s="186"/>
      <c r="E25" s="170"/>
      <c r="F25" s="170"/>
      <c r="G25" s="170"/>
      <c r="H25" s="170"/>
      <c r="I25" s="170"/>
      <c r="J25" s="170"/>
      <c r="K25" s="170"/>
      <c r="L25" s="170"/>
      <c r="M25" s="170"/>
      <c r="N25" s="170"/>
      <c r="O25" s="169"/>
    </row>
    <row r="26" spans="1:35" ht="15" customHeight="1">
      <c r="A26" s="25"/>
      <c r="B26" s="25"/>
      <c r="C26" s="198"/>
      <c r="D26" s="199" t="s">
        <v>91</v>
      </c>
      <c r="E26" s="170"/>
      <c r="F26" s="170"/>
      <c r="G26" s="170"/>
      <c r="H26" s="170"/>
      <c r="I26" s="170"/>
      <c r="J26" s="170"/>
      <c r="K26" s="170"/>
      <c r="L26" s="170"/>
      <c r="M26" s="170"/>
      <c r="N26" s="170"/>
      <c r="O26" s="169"/>
      <c r="P26" s="25"/>
    </row>
    <row r="27" spans="1:35" ht="10" customHeight="1">
      <c r="A27" s="25"/>
      <c r="B27" s="25"/>
      <c r="C27" s="168"/>
      <c r="D27" s="170"/>
      <c r="E27" s="170"/>
      <c r="F27" s="186"/>
      <c r="G27" s="170"/>
      <c r="H27" s="185"/>
      <c r="I27" s="170"/>
      <c r="J27" s="185"/>
      <c r="K27" s="170"/>
      <c r="L27" s="185"/>
      <c r="M27" s="170"/>
      <c r="N27" s="185"/>
      <c r="O27" s="169"/>
      <c r="P27" s="25"/>
    </row>
    <row r="28" spans="1:35" ht="42" customHeight="1">
      <c r="A28" s="25"/>
      <c r="B28" s="25"/>
      <c r="C28" s="168"/>
      <c r="D28" s="210">
        <v>0</v>
      </c>
      <c r="E28" s="211"/>
      <c r="F28" s="212"/>
      <c r="G28" s="200"/>
      <c r="H28" s="201" t="s">
        <v>62</v>
      </c>
      <c r="I28" s="192"/>
      <c r="J28" s="202" t="s">
        <v>61</v>
      </c>
      <c r="K28" s="192"/>
      <c r="L28" s="201" t="s">
        <v>169</v>
      </c>
      <c r="M28" s="192"/>
      <c r="N28" s="203" t="s">
        <v>63</v>
      </c>
      <c r="O28" s="188"/>
      <c r="P28" s="25"/>
      <c r="R28" s="25" t="s">
        <v>117</v>
      </c>
    </row>
    <row r="29" spans="1:35" ht="90" customHeight="1" thickBot="1">
      <c r="A29" s="25"/>
      <c r="B29" s="25"/>
      <c r="C29" s="168"/>
      <c r="D29" s="170"/>
      <c r="E29" s="170"/>
      <c r="F29" s="170"/>
      <c r="G29" s="170"/>
      <c r="H29" s="195"/>
      <c r="I29" s="170"/>
      <c r="J29" s="195"/>
      <c r="K29" s="170"/>
      <c r="L29" s="195"/>
      <c r="M29" s="170"/>
      <c r="N29" s="196"/>
      <c r="O29" s="181"/>
      <c r="P29" s="25"/>
    </row>
    <row r="30" spans="1:35" ht="106" customHeight="1" thickTop="1">
      <c r="A30" s="25"/>
      <c r="B30" s="25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97"/>
      <c r="P30" s="25"/>
    </row>
    <row r="31" spans="1:35" ht="10" customHeight="1">
      <c r="A31" s="25"/>
      <c r="B31" s="25"/>
      <c r="C31" s="170"/>
      <c r="D31" s="170"/>
      <c r="E31" s="170"/>
      <c r="F31" s="170"/>
      <c r="G31" s="170"/>
      <c r="H31" s="170"/>
      <c r="I31" s="170"/>
      <c r="J31" s="170"/>
      <c r="K31" s="170"/>
      <c r="L31" s="170"/>
      <c r="M31" s="170"/>
      <c r="N31" s="170"/>
      <c r="O31" s="173"/>
      <c r="P31" s="25"/>
    </row>
    <row r="32" spans="1:35" ht="42" customHeight="1">
      <c r="A32" s="25"/>
      <c r="B32" s="25"/>
      <c r="C32" s="170"/>
      <c r="D32" s="170"/>
      <c r="E32" s="170"/>
      <c r="F32" s="170"/>
      <c r="G32" s="170"/>
      <c r="H32" s="170"/>
      <c r="I32" s="170"/>
      <c r="J32" s="170"/>
      <c r="K32" s="170"/>
      <c r="L32" s="170"/>
      <c r="M32" s="170"/>
      <c r="N32" s="170"/>
      <c r="O32" s="173"/>
      <c r="P32" s="25"/>
    </row>
    <row r="33" spans="1:21" ht="15" customHeight="1">
      <c r="A33" s="25"/>
      <c r="B33" s="25"/>
      <c r="C33" s="170"/>
      <c r="D33" s="170"/>
      <c r="E33" s="170"/>
      <c r="F33" s="170"/>
      <c r="G33" s="170"/>
      <c r="H33" s="170"/>
      <c r="I33" s="170"/>
      <c r="J33" s="170"/>
      <c r="K33" s="170"/>
      <c r="L33" s="170"/>
      <c r="M33" s="170"/>
      <c r="N33" s="170"/>
      <c r="O33" s="173"/>
      <c r="P33" s="25"/>
    </row>
    <row r="34" spans="1:21" ht="15" customHeight="1">
      <c r="A34" s="25"/>
      <c r="B34" s="25"/>
      <c r="C34" s="170"/>
      <c r="D34" s="170"/>
      <c r="E34" s="170"/>
      <c r="F34" s="170"/>
      <c r="G34" s="170"/>
      <c r="H34" s="170"/>
      <c r="I34" s="170"/>
      <c r="J34" s="170"/>
      <c r="K34" s="170"/>
      <c r="L34" s="170"/>
      <c r="M34" s="170"/>
      <c r="N34" s="170"/>
      <c r="O34" s="173"/>
      <c r="P34" s="25"/>
    </row>
    <row r="35" spans="1:21" ht="15" customHeight="1">
      <c r="A35" s="25"/>
      <c r="B35" s="25"/>
      <c r="C35" s="170"/>
      <c r="D35" s="170"/>
      <c r="E35" s="170"/>
      <c r="F35" s="170"/>
      <c r="G35" s="170"/>
      <c r="H35" s="170"/>
      <c r="I35" s="170"/>
      <c r="J35" s="170"/>
      <c r="K35" s="170"/>
      <c r="L35" s="170"/>
      <c r="M35" s="170"/>
      <c r="N35" s="170"/>
      <c r="O35" s="173"/>
      <c r="P35" s="25"/>
    </row>
    <row r="36" spans="1:21" ht="15" customHeight="1">
      <c r="A36" s="25"/>
      <c r="B36" s="25"/>
      <c r="C36" s="170"/>
      <c r="D36" s="170"/>
      <c r="E36" s="170"/>
      <c r="F36" s="170"/>
      <c r="G36" s="170"/>
      <c r="H36" s="170"/>
      <c r="I36" s="170"/>
      <c r="J36" s="170"/>
      <c r="K36" s="170"/>
      <c r="L36" s="170"/>
      <c r="M36" s="170"/>
      <c r="N36" s="170"/>
      <c r="O36" s="173"/>
      <c r="P36" s="25"/>
    </row>
    <row r="37" spans="1:21" ht="15" customHeight="1">
      <c r="A37" s="25"/>
      <c r="B37" s="25"/>
      <c r="C37" s="170"/>
      <c r="D37" s="170"/>
      <c r="E37" s="170"/>
      <c r="F37" s="170"/>
      <c r="G37" s="170"/>
      <c r="H37" s="170"/>
      <c r="I37" s="170"/>
      <c r="J37" s="170"/>
      <c r="K37" s="170"/>
      <c r="L37" s="170"/>
      <c r="M37" s="170"/>
      <c r="N37" s="170"/>
      <c r="O37" s="173"/>
      <c r="P37" s="25"/>
    </row>
    <row r="38" spans="1:21" ht="15" customHeight="1">
      <c r="A38" s="25"/>
      <c r="B38" s="25"/>
      <c r="C38" s="170"/>
      <c r="D38" s="170"/>
      <c r="E38" s="170"/>
      <c r="F38" s="170"/>
      <c r="G38" s="170"/>
      <c r="H38" s="170"/>
      <c r="I38" s="170"/>
      <c r="J38" s="170"/>
      <c r="K38" s="170"/>
      <c r="L38" s="170"/>
      <c r="M38" s="170"/>
      <c r="N38" s="170"/>
      <c r="O38" s="173"/>
      <c r="P38" s="25"/>
    </row>
    <row r="39" spans="1:21" ht="15" customHeight="1">
      <c r="A39" s="25"/>
      <c r="B39" s="25"/>
      <c r="C39" s="170"/>
      <c r="D39" s="170"/>
      <c r="E39" s="170"/>
      <c r="F39" s="170"/>
      <c r="G39" s="170"/>
      <c r="H39" s="170"/>
      <c r="I39" s="170"/>
      <c r="J39" s="170"/>
      <c r="K39" s="170"/>
      <c r="L39" s="170"/>
      <c r="M39" s="170"/>
      <c r="N39" s="170"/>
      <c r="O39" s="173"/>
      <c r="P39" s="25"/>
    </row>
    <row r="40" spans="1:21" ht="15" customHeight="1">
      <c r="A40" s="25"/>
      <c r="B40" s="25"/>
      <c r="C40" s="170"/>
      <c r="D40" s="170"/>
      <c r="E40" s="170"/>
      <c r="F40" s="170"/>
      <c r="G40" s="170"/>
      <c r="H40" s="170"/>
      <c r="I40" s="170"/>
      <c r="J40" s="170"/>
      <c r="K40" s="170"/>
      <c r="L40" s="170"/>
      <c r="M40" s="170"/>
      <c r="N40" s="170"/>
      <c r="O40" s="173"/>
      <c r="P40" s="25"/>
      <c r="R40" s="26"/>
      <c r="S40" s="26"/>
    </row>
    <row r="41" spans="1:21" ht="15" customHeight="1">
      <c r="A41" s="25"/>
      <c r="B41" s="25"/>
      <c r="C41" s="170"/>
      <c r="D41" s="170"/>
      <c r="E41" s="170"/>
      <c r="F41" s="170"/>
      <c r="G41" s="170"/>
      <c r="H41" s="170"/>
      <c r="I41" s="170"/>
      <c r="J41" s="170"/>
      <c r="K41" s="170"/>
      <c r="L41" s="170"/>
      <c r="M41" s="170"/>
      <c r="N41" s="170"/>
      <c r="O41" s="173"/>
      <c r="P41" s="25"/>
      <c r="R41" s="26"/>
      <c r="S41" s="26"/>
    </row>
    <row r="42" spans="1:21" ht="15" customHeight="1">
      <c r="A42" s="25"/>
      <c r="B42" s="25"/>
      <c r="C42" s="170"/>
      <c r="D42" s="170"/>
      <c r="E42" s="170"/>
      <c r="F42" s="170"/>
      <c r="G42" s="170"/>
      <c r="H42" s="170"/>
      <c r="I42" s="170"/>
      <c r="J42" s="170"/>
      <c r="K42" s="170"/>
      <c r="L42" s="170"/>
      <c r="M42" s="170"/>
      <c r="N42" s="170"/>
      <c r="O42" s="173"/>
      <c r="P42" s="25"/>
    </row>
    <row r="43" spans="1:21" s="25" customFormat="1" ht="15" customHeight="1">
      <c r="C43" s="170"/>
      <c r="D43" s="170"/>
      <c r="E43" s="170"/>
      <c r="F43" s="170"/>
      <c r="G43" s="170"/>
      <c r="H43" s="170"/>
      <c r="I43" s="170"/>
      <c r="J43" s="170"/>
      <c r="K43" s="170"/>
      <c r="L43" s="170"/>
      <c r="M43" s="170"/>
      <c r="N43" s="170"/>
      <c r="O43" s="173"/>
    </row>
    <row r="44" spans="1:21" ht="15" customHeight="1">
      <c r="A44" s="25"/>
      <c r="B44" s="25"/>
      <c r="C44" s="170"/>
      <c r="D44" s="170"/>
      <c r="E44" s="170"/>
      <c r="F44" s="170"/>
      <c r="G44" s="170"/>
      <c r="H44" s="170"/>
      <c r="I44" s="170"/>
      <c r="J44" s="170"/>
      <c r="K44" s="170"/>
      <c r="L44" s="170"/>
      <c r="M44" s="170"/>
      <c r="N44" s="170"/>
      <c r="O44" s="173"/>
      <c r="P44" s="25"/>
    </row>
    <row r="45" spans="1:21" ht="15" customHeight="1">
      <c r="A45" s="25"/>
      <c r="B45" s="25"/>
      <c r="C45" s="170"/>
      <c r="D45" s="170"/>
      <c r="E45" s="170"/>
      <c r="F45" s="170"/>
      <c r="G45" s="170"/>
      <c r="H45" s="170"/>
      <c r="I45" s="170"/>
      <c r="J45" s="170"/>
      <c r="K45" s="170"/>
      <c r="L45" s="170"/>
      <c r="M45" s="170"/>
      <c r="N45" s="170"/>
      <c r="O45" s="173"/>
      <c r="P45" s="25"/>
      <c r="Q45" s="27"/>
      <c r="T45" s="26"/>
      <c r="U45" s="26"/>
    </row>
    <row r="46" spans="1:21" ht="15" customHeight="1">
      <c r="A46" s="25"/>
      <c r="B46" s="25"/>
      <c r="C46" s="170"/>
      <c r="D46" s="170"/>
      <c r="E46" s="170"/>
      <c r="F46" s="170"/>
      <c r="G46" s="170"/>
      <c r="H46" s="170"/>
      <c r="I46" s="170"/>
      <c r="J46" s="170"/>
      <c r="K46" s="170"/>
      <c r="L46" s="170"/>
      <c r="M46" s="170"/>
      <c r="N46" s="170"/>
      <c r="O46" s="173"/>
      <c r="P46" s="25"/>
      <c r="U46" s="26"/>
    </row>
    <row r="47" spans="1:21" ht="15" customHeight="1">
      <c r="A47" s="25"/>
      <c r="B47" s="25"/>
      <c r="C47" s="170"/>
      <c r="D47" s="170"/>
      <c r="E47" s="170"/>
      <c r="F47" s="170"/>
      <c r="G47" s="170"/>
      <c r="H47" s="170"/>
      <c r="I47" s="170"/>
      <c r="J47" s="170"/>
      <c r="K47" s="170"/>
      <c r="L47" s="170"/>
      <c r="M47" s="170"/>
      <c r="N47" s="170"/>
      <c r="O47" s="173"/>
      <c r="P47" s="25"/>
      <c r="U47" s="26"/>
    </row>
    <row r="48" spans="1:21" ht="15" customHeight="1">
      <c r="A48" s="25"/>
      <c r="B48" s="25"/>
      <c r="C48" s="170"/>
      <c r="D48" s="170"/>
      <c r="E48" s="170"/>
      <c r="F48" s="170"/>
      <c r="G48" s="170"/>
      <c r="H48" s="170"/>
      <c r="I48" s="170"/>
      <c r="J48" s="170"/>
      <c r="K48" s="170"/>
      <c r="L48" s="170"/>
      <c r="M48" s="170"/>
      <c r="N48" s="170"/>
      <c r="O48" s="173"/>
      <c r="P48" s="25"/>
      <c r="Q48" s="25" t="s">
        <v>117</v>
      </c>
      <c r="U48" s="26"/>
    </row>
    <row r="49" spans="1:18" ht="15" customHeight="1">
      <c r="A49" s="25"/>
      <c r="B49" s="25"/>
      <c r="C49" s="170"/>
      <c r="D49" s="170"/>
      <c r="E49" s="170"/>
      <c r="F49" s="170"/>
      <c r="G49" s="170"/>
      <c r="H49" s="170"/>
      <c r="I49" s="170"/>
      <c r="J49" s="170"/>
      <c r="K49" s="170"/>
      <c r="L49" s="170"/>
      <c r="M49" s="170"/>
      <c r="N49" s="170"/>
      <c r="O49" s="173"/>
      <c r="P49" s="25"/>
    </row>
    <row r="50" spans="1:18" ht="15" customHeight="1">
      <c r="A50" s="25"/>
      <c r="B50" s="25"/>
      <c r="C50" s="170"/>
      <c r="D50" s="170"/>
      <c r="E50" s="170"/>
      <c r="F50" s="170"/>
      <c r="G50" s="170"/>
      <c r="H50" s="170"/>
      <c r="I50" s="170"/>
      <c r="J50" s="170"/>
      <c r="K50" s="170"/>
      <c r="L50" s="170"/>
      <c r="M50" s="170"/>
      <c r="N50" s="170"/>
      <c r="O50" s="173"/>
      <c r="P50" s="25"/>
    </row>
    <row r="51" spans="1:18" ht="15" customHeight="1">
      <c r="A51" s="25"/>
      <c r="B51" s="25"/>
      <c r="C51" s="170"/>
      <c r="D51" s="170"/>
      <c r="E51" s="170"/>
      <c r="F51" s="170"/>
      <c r="G51" s="170"/>
      <c r="H51" s="170"/>
      <c r="I51" s="170"/>
      <c r="J51" s="170"/>
      <c r="K51" s="170"/>
      <c r="L51" s="170"/>
      <c r="M51" s="170"/>
      <c r="N51" s="170"/>
      <c r="O51" s="173"/>
      <c r="P51" s="25"/>
      <c r="R51" s="25" t="s">
        <v>117</v>
      </c>
    </row>
    <row r="52" spans="1:18" ht="15" customHeight="1">
      <c r="A52" s="25"/>
      <c r="B52" s="25"/>
      <c r="C52" s="170"/>
      <c r="D52" s="170"/>
      <c r="E52" s="170"/>
      <c r="F52" s="170"/>
      <c r="G52" s="170"/>
      <c r="H52" s="170"/>
      <c r="I52" s="170"/>
      <c r="J52" s="170"/>
      <c r="K52" s="170"/>
      <c r="L52" s="170"/>
      <c r="M52" s="170"/>
      <c r="N52" s="170"/>
      <c r="O52" s="173"/>
      <c r="P52" s="25"/>
    </row>
    <row r="53" spans="1:18" s="25" customFormat="1" ht="15" customHeight="1">
      <c r="C53" s="186"/>
      <c r="D53" s="186"/>
      <c r="E53" s="186"/>
      <c r="F53" s="186"/>
      <c r="G53" s="186"/>
      <c r="H53" s="186"/>
      <c r="I53" s="186"/>
      <c r="J53" s="186"/>
      <c r="K53" s="186"/>
      <c r="L53" s="186"/>
      <c r="M53" s="186"/>
      <c r="N53" s="186"/>
      <c r="O53" s="187"/>
    </row>
    <row r="54" spans="1:18" s="25" customFormat="1"/>
    <row r="55" spans="1:18" s="25" customFormat="1"/>
    <row r="56" spans="1:18" s="25" customFormat="1"/>
    <row r="57" spans="1:18" s="25" customFormat="1"/>
    <row r="58" spans="1:18" s="25" customFormat="1">
      <c r="Q58" s="25" t="s">
        <v>95</v>
      </c>
    </row>
    <row r="59" spans="1:18" s="25" customFormat="1"/>
    <row r="60" spans="1:18" s="25" customFormat="1"/>
    <row r="61" spans="1:18" s="25" customFormat="1"/>
    <row r="62" spans="1:18" s="25" customFormat="1"/>
    <row r="63" spans="1:18" s="25" customFormat="1"/>
    <row r="64" spans="1:18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pans="12:13" s="25" customFormat="1"/>
    <row r="402" spans="12:13" s="25" customFormat="1"/>
    <row r="403" spans="12:13" s="25" customFormat="1"/>
    <row r="404" spans="12:13" s="25" customFormat="1"/>
    <row r="405" spans="12:13" s="25" customFormat="1"/>
    <row r="406" spans="12:13" s="25" customFormat="1"/>
    <row r="407" spans="12:13" s="25" customFormat="1"/>
    <row r="408" spans="12:13" s="25" customFormat="1"/>
    <row r="409" spans="12:13" s="25" customFormat="1"/>
    <row r="410" spans="12:13" s="25" customFormat="1"/>
    <row r="411" spans="12:13" s="25" customFormat="1"/>
    <row r="412" spans="12:13" s="25" customFormat="1"/>
    <row r="413" spans="12:13" s="25" customFormat="1">
      <c r="L413" s="75"/>
      <c r="M413" s="75"/>
    </row>
    <row r="414" spans="12:13" s="25" customFormat="1">
      <c r="L414" s="75"/>
      <c r="M414" s="75"/>
    </row>
    <row r="415" spans="12:13" s="25" customFormat="1">
      <c r="L415" s="75"/>
      <c r="M415" s="75"/>
    </row>
    <row r="416" spans="12:13" s="25" customFormat="1">
      <c r="L416" s="75"/>
      <c r="M416" s="75"/>
    </row>
    <row r="417" spans="12:29" s="25" customFormat="1">
      <c r="L417" s="75"/>
      <c r="M417" s="75"/>
    </row>
    <row r="418" spans="12:29" s="25" customFormat="1">
      <c r="L418" s="75"/>
      <c r="M418" s="75"/>
    </row>
    <row r="419" spans="12:29" s="25" customFormat="1">
      <c r="L419" s="75"/>
      <c r="M419" s="75"/>
    </row>
    <row r="420" spans="12:29" s="25" customFormat="1">
      <c r="L420" s="75"/>
      <c r="M420" s="75"/>
    </row>
    <row r="421" spans="12:29" s="25" customFormat="1">
      <c r="L421" s="75"/>
      <c r="M421" s="75"/>
    </row>
    <row r="422" spans="12:29" s="25" customFormat="1">
      <c r="L422" s="75"/>
      <c r="M422" s="75"/>
    </row>
    <row r="423" spans="12:29" s="25" customFormat="1">
      <c r="L423" s="75"/>
      <c r="M423" s="75"/>
    </row>
    <row r="424" spans="12:29" s="25" customFormat="1">
      <c r="L424" s="75"/>
      <c r="M424" s="75"/>
    </row>
    <row r="425" spans="12:29" s="25" customFormat="1">
      <c r="L425" s="75"/>
      <c r="M425" s="75"/>
    </row>
    <row r="426" spans="12:29" s="25" customFormat="1">
      <c r="L426" s="75"/>
      <c r="M426" s="75"/>
    </row>
    <row r="427" spans="12:29" s="25" customFormat="1">
      <c r="L427" s="75"/>
      <c r="M427" s="75"/>
    </row>
    <row r="428" spans="12:29" s="25" customFormat="1">
      <c r="L428" s="75"/>
      <c r="M428" s="75"/>
    </row>
    <row r="429" spans="12:29" s="25" customFormat="1">
      <c r="L429" s="75"/>
      <c r="M429" s="75"/>
    </row>
    <row r="430" spans="12:29" s="25" customFormat="1">
      <c r="L430" s="75"/>
      <c r="M430" s="75"/>
    </row>
    <row r="431" spans="12:29" s="25" customFormat="1">
      <c r="L431" s="75"/>
      <c r="M431" s="75"/>
      <c r="Y431" s="74"/>
      <c r="Z431" s="74"/>
      <c r="AA431" s="74"/>
      <c r="AC431" s="74"/>
    </row>
    <row r="432" spans="12:29" s="25" customFormat="1">
      <c r="L432" s="75"/>
      <c r="M432" s="75"/>
    </row>
    <row r="433" spans="12:13" s="25" customFormat="1">
      <c r="L433" s="75"/>
      <c r="M433" s="75"/>
    </row>
    <row r="434" spans="12:13" s="25" customFormat="1">
      <c r="L434" s="75"/>
      <c r="M434" s="75"/>
    </row>
    <row r="435" spans="12:13" s="25" customFormat="1">
      <c r="L435" s="75"/>
      <c r="M435" s="75"/>
    </row>
    <row r="436" spans="12:13" s="25" customFormat="1">
      <c r="L436" s="75"/>
      <c r="M436" s="75"/>
    </row>
    <row r="437" spans="12:13" s="25" customFormat="1">
      <c r="L437" s="75"/>
      <c r="M437" s="75"/>
    </row>
    <row r="438" spans="12:13" s="25" customFormat="1">
      <c r="L438" s="75"/>
      <c r="M438" s="75"/>
    </row>
    <row r="439" spans="12:13" s="25" customFormat="1">
      <c r="L439" s="75"/>
      <c r="M439" s="75"/>
    </row>
    <row r="440" spans="12:13" s="25" customFormat="1">
      <c r="L440" s="75"/>
      <c r="M440" s="75"/>
    </row>
    <row r="441" spans="12:13" s="25" customFormat="1">
      <c r="L441" s="75"/>
      <c r="M441" s="75"/>
    </row>
    <row r="442" spans="12:13" s="25" customFormat="1">
      <c r="L442" s="75"/>
      <c r="M442" s="75"/>
    </row>
    <row r="443" spans="12:13" s="25" customFormat="1">
      <c r="L443" s="75"/>
      <c r="M443" s="75"/>
    </row>
    <row r="444" spans="12:13" s="25" customFormat="1">
      <c r="L444" s="75"/>
      <c r="M444" s="75"/>
    </row>
    <row r="445" spans="12:13" s="25" customFormat="1">
      <c r="L445" s="75"/>
      <c r="M445" s="75"/>
    </row>
    <row r="446" spans="12:13" s="25" customFormat="1">
      <c r="L446" s="75"/>
      <c r="M446" s="75"/>
    </row>
    <row r="447" spans="12:13" s="25" customFormat="1">
      <c r="L447" s="75"/>
      <c r="M447" s="75"/>
    </row>
    <row r="448" spans="12:13" s="25" customFormat="1">
      <c r="L448" s="75"/>
      <c r="M448" s="75"/>
    </row>
    <row r="449" spans="12:13" s="25" customFormat="1">
      <c r="L449" s="75"/>
      <c r="M449" s="75"/>
    </row>
    <row r="450" spans="12:13" s="25" customFormat="1">
      <c r="L450" s="75"/>
      <c r="M450" s="75"/>
    </row>
    <row r="451" spans="12:13" s="25" customFormat="1">
      <c r="L451" s="75"/>
      <c r="M451" s="75"/>
    </row>
    <row r="452" spans="12:13" s="25" customFormat="1">
      <c r="L452" s="75"/>
      <c r="M452" s="75"/>
    </row>
    <row r="453" spans="12:13" s="25" customFormat="1">
      <c r="L453" s="75"/>
      <c r="M453" s="75"/>
    </row>
    <row r="454" spans="12:13" s="25" customFormat="1">
      <c r="L454" s="75"/>
      <c r="M454" s="75"/>
    </row>
    <row r="455" spans="12:13" s="25" customFormat="1">
      <c r="L455" s="75"/>
      <c r="M455" s="75"/>
    </row>
    <row r="456" spans="12:13" s="25" customFormat="1">
      <c r="L456" s="75"/>
      <c r="M456" s="75"/>
    </row>
    <row r="457" spans="12:13" s="25" customFormat="1">
      <c r="L457" s="75"/>
      <c r="M457" s="75"/>
    </row>
    <row r="458" spans="12:13" s="25" customFormat="1">
      <c r="L458" s="75"/>
      <c r="M458" s="75"/>
    </row>
    <row r="459" spans="12:13" s="25" customFormat="1">
      <c r="L459" s="75"/>
      <c r="M459" s="75"/>
    </row>
    <row r="460" spans="12:13" s="25" customFormat="1">
      <c r="L460" s="75"/>
      <c r="M460" s="75"/>
    </row>
    <row r="461" spans="12:13" s="25" customFormat="1">
      <c r="L461" s="75"/>
      <c r="M461" s="75"/>
    </row>
    <row r="462" spans="12:13" s="25" customFormat="1">
      <c r="L462" s="75"/>
      <c r="M462" s="75"/>
    </row>
    <row r="463" spans="12:13" s="25" customFormat="1">
      <c r="L463" s="75"/>
      <c r="M463" s="75"/>
    </row>
    <row r="464" spans="12:13" s="25" customFormat="1">
      <c r="L464" s="75"/>
      <c r="M464" s="75"/>
    </row>
    <row r="465" spans="12:13" s="25" customFormat="1">
      <c r="L465" s="75"/>
      <c r="M465" s="75"/>
    </row>
    <row r="466" spans="12:13" s="25" customFormat="1">
      <c r="L466" s="75"/>
      <c r="M466" s="75"/>
    </row>
    <row r="467" spans="12:13" s="25" customFormat="1">
      <c r="L467" s="75"/>
      <c r="M467" s="75"/>
    </row>
    <row r="468" spans="12:13" s="25" customFormat="1">
      <c r="L468" s="75"/>
      <c r="M468" s="75"/>
    </row>
    <row r="469" spans="12:13" s="25" customFormat="1">
      <c r="L469" s="75"/>
      <c r="M469" s="75"/>
    </row>
    <row r="470" spans="12:13" s="25" customFormat="1">
      <c r="L470" s="75"/>
      <c r="M470" s="75"/>
    </row>
    <row r="471" spans="12:13" s="25" customFormat="1">
      <c r="L471" s="75"/>
      <c r="M471" s="75"/>
    </row>
    <row r="472" spans="12:13" s="25" customFormat="1">
      <c r="L472" s="75"/>
      <c r="M472" s="75"/>
    </row>
    <row r="473" spans="12:13" s="25" customFormat="1">
      <c r="L473" s="75"/>
      <c r="M473" s="75"/>
    </row>
    <row r="474" spans="12:13" s="25" customFormat="1">
      <c r="L474" s="75"/>
      <c r="M474" s="75"/>
    </row>
    <row r="475" spans="12:13" s="25" customFormat="1">
      <c r="L475" s="75"/>
      <c r="M475" s="75"/>
    </row>
    <row r="476" spans="12:13" s="25" customFormat="1">
      <c r="L476" s="75"/>
      <c r="M476" s="75"/>
    </row>
    <row r="477" spans="12:13" s="25" customFormat="1">
      <c r="L477" s="75"/>
      <c r="M477" s="75"/>
    </row>
    <row r="478" spans="12:13" s="25" customFormat="1">
      <c r="L478" s="75"/>
      <c r="M478" s="75"/>
    </row>
    <row r="479" spans="12:13" s="25" customFormat="1">
      <c r="L479" s="75"/>
      <c r="M479" s="75"/>
    </row>
    <row r="480" spans="12:13" s="25" customFormat="1">
      <c r="L480" s="75"/>
      <c r="M480" s="75"/>
    </row>
    <row r="481" spans="12:13" s="25" customFormat="1">
      <c r="L481" s="75"/>
      <c r="M481" s="75"/>
    </row>
    <row r="482" spans="12:13" s="25" customFormat="1">
      <c r="L482" s="75"/>
      <c r="M482" s="75"/>
    </row>
    <row r="483" spans="12:13" s="25" customFormat="1">
      <c r="L483" s="75"/>
      <c r="M483" s="75"/>
    </row>
    <row r="484" spans="12:13" s="25" customFormat="1">
      <c r="L484" s="75"/>
      <c r="M484" s="75"/>
    </row>
    <row r="485" spans="12:13" s="25" customFormat="1">
      <c r="L485" s="75"/>
      <c r="M485" s="75"/>
    </row>
    <row r="486" spans="12:13" s="25" customFormat="1">
      <c r="L486" s="75"/>
      <c r="M486" s="75"/>
    </row>
    <row r="487" spans="12:13" s="25" customFormat="1">
      <c r="L487" s="75"/>
      <c r="M487" s="75"/>
    </row>
    <row r="488" spans="12:13" s="25" customFormat="1">
      <c r="L488" s="75"/>
      <c r="M488" s="75"/>
    </row>
    <row r="489" spans="12:13" s="25" customFormat="1">
      <c r="L489" s="75"/>
      <c r="M489" s="75"/>
    </row>
    <row r="490" spans="12:13" s="25" customFormat="1">
      <c r="L490" s="75"/>
      <c r="M490" s="75"/>
    </row>
    <row r="491" spans="12:13" s="25" customFormat="1">
      <c r="L491" s="75"/>
      <c r="M491" s="75"/>
    </row>
    <row r="492" spans="12:13" s="25" customFormat="1">
      <c r="L492" s="75"/>
      <c r="M492" s="75"/>
    </row>
    <row r="493" spans="12:13" s="25" customFormat="1">
      <c r="L493" s="75"/>
      <c r="M493" s="75"/>
    </row>
    <row r="494" spans="12:13">
      <c r="L494" s="23"/>
      <c r="M494" s="23"/>
    </row>
    <row r="495" spans="12:13">
      <c r="L495" s="23"/>
      <c r="M495" s="23"/>
    </row>
    <row r="496" spans="12:13">
      <c r="L496" s="23"/>
      <c r="M496" s="23"/>
    </row>
    <row r="497" spans="12:13">
      <c r="L497" s="23"/>
      <c r="M497" s="23"/>
    </row>
    <row r="498" spans="12:13">
      <c r="L498" s="23"/>
      <c r="M498" s="23"/>
    </row>
    <row r="499" spans="12:13">
      <c r="L499" s="23"/>
      <c r="M499" s="23"/>
    </row>
    <row r="500" spans="12:13">
      <c r="L500" s="23"/>
      <c r="M500" s="23"/>
    </row>
    <row r="501" spans="12:13">
      <c r="L501" s="23"/>
      <c r="M501" s="23"/>
    </row>
    <row r="502" spans="12:13">
      <c r="L502" s="23"/>
      <c r="M502" s="23"/>
    </row>
    <row r="503" spans="12:13">
      <c r="L503" s="23"/>
      <c r="M503" s="23"/>
    </row>
    <row r="504" spans="12:13">
      <c r="L504" s="23"/>
      <c r="M504" s="23"/>
    </row>
    <row r="505" spans="12:13">
      <c r="L505" s="23"/>
      <c r="M505" s="23"/>
    </row>
    <row r="506" spans="12:13">
      <c r="L506" s="23"/>
      <c r="M506" s="23"/>
    </row>
    <row r="507" spans="12:13">
      <c r="L507" s="23"/>
      <c r="M507" s="23"/>
    </row>
    <row r="508" spans="12:13">
      <c r="L508" s="23"/>
      <c r="M508" s="23"/>
    </row>
    <row r="509" spans="12:13">
      <c r="L509" s="23"/>
      <c r="M509" s="23"/>
    </row>
    <row r="510" spans="12:13">
      <c r="L510" s="23"/>
      <c r="M510" s="23"/>
    </row>
    <row r="511" spans="12:13">
      <c r="L511" s="23"/>
      <c r="M511" s="23"/>
    </row>
    <row r="512" spans="12:13">
      <c r="L512" s="23"/>
      <c r="M512" s="23"/>
    </row>
    <row r="513" spans="12:13">
      <c r="L513" s="23"/>
      <c r="M513" s="23"/>
    </row>
    <row r="514" spans="12:13">
      <c r="L514" s="23"/>
      <c r="M514" s="23"/>
    </row>
    <row r="515" spans="12:13">
      <c r="L515" s="23"/>
      <c r="M515" s="23"/>
    </row>
    <row r="516" spans="12:13">
      <c r="L516" s="23"/>
      <c r="M516" s="23"/>
    </row>
    <row r="517" spans="12:13">
      <c r="L517" s="23"/>
      <c r="M517" s="23"/>
    </row>
    <row r="518" spans="12:13">
      <c r="L518" s="23"/>
      <c r="M518" s="23"/>
    </row>
    <row r="519" spans="12:13">
      <c r="L519" s="23"/>
      <c r="M519" s="23"/>
    </row>
    <row r="520" spans="12:13">
      <c r="L520" s="23"/>
      <c r="M520" s="23"/>
    </row>
    <row r="521" spans="12:13">
      <c r="L521" s="23"/>
      <c r="M521" s="23"/>
    </row>
    <row r="522" spans="12:13">
      <c r="L522" s="23"/>
      <c r="M522" s="23"/>
    </row>
    <row r="523" spans="12:13">
      <c r="L523" s="23"/>
      <c r="M523" s="23"/>
    </row>
    <row r="524" spans="12:13">
      <c r="L524" s="23"/>
      <c r="M524" s="23"/>
    </row>
    <row r="525" spans="12:13">
      <c r="L525" s="23"/>
      <c r="M525" s="23"/>
    </row>
    <row r="526" spans="12:13">
      <c r="L526" s="23"/>
      <c r="M526" s="23"/>
    </row>
    <row r="527" spans="12:13">
      <c r="L527" s="23"/>
      <c r="M527" s="23"/>
    </row>
    <row r="528" spans="12:13">
      <c r="L528" s="23"/>
      <c r="M528" s="23"/>
    </row>
    <row r="529" spans="12:13">
      <c r="L529" s="23"/>
      <c r="M529" s="23"/>
    </row>
    <row r="530" spans="12:13">
      <c r="L530" s="23"/>
      <c r="M530" s="23"/>
    </row>
    <row r="531" spans="12:13">
      <c r="L531" s="23"/>
      <c r="M531" s="23"/>
    </row>
    <row r="532" spans="12:13">
      <c r="L532" s="23"/>
      <c r="M532" s="23"/>
    </row>
    <row r="533" spans="12:13">
      <c r="L533" s="23"/>
      <c r="M533" s="23"/>
    </row>
    <row r="534" spans="12:13">
      <c r="L534" s="23"/>
      <c r="M534" s="23"/>
    </row>
    <row r="535" spans="12:13">
      <c r="L535" s="23"/>
      <c r="M535" s="23"/>
    </row>
    <row r="536" spans="12:13">
      <c r="L536" s="23"/>
      <c r="M536" s="23"/>
    </row>
    <row r="537" spans="12:13">
      <c r="L537" s="23"/>
      <c r="M537" s="23"/>
    </row>
    <row r="538" spans="12:13">
      <c r="L538" s="23"/>
      <c r="M538" s="23"/>
    </row>
    <row r="539" spans="12:13">
      <c r="L539" s="23"/>
      <c r="M539" s="23"/>
    </row>
    <row r="540" spans="12:13">
      <c r="L540" s="23"/>
      <c r="M540" s="23"/>
    </row>
    <row r="541" spans="12:13">
      <c r="L541" s="23"/>
      <c r="M541" s="23"/>
    </row>
    <row r="542" spans="12:13">
      <c r="L542" s="23"/>
      <c r="M542" s="23"/>
    </row>
    <row r="543" spans="12:13">
      <c r="L543" s="23"/>
      <c r="M543" s="23"/>
    </row>
    <row r="544" spans="12:13">
      <c r="L544" s="23"/>
      <c r="M544" s="23"/>
    </row>
    <row r="545" spans="12:13">
      <c r="L545" s="23"/>
      <c r="M545" s="23"/>
    </row>
    <row r="546" spans="12:13">
      <c r="L546" s="23"/>
      <c r="M546" s="23"/>
    </row>
    <row r="547" spans="12:13">
      <c r="L547" s="23"/>
      <c r="M547" s="23"/>
    </row>
    <row r="548" spans="12:13">
      <c r="L548" s="23"/>
      <c r="M548" s="23"/>
    </row>
    <row r="549" spans="12:13">
      <c r="L549" s="23"/>
      <c r="M549" s="23"/>
    </row>
    <row r="550" spans="12:13">
      <c r="L550" s="23"/>
      <c r="M550" s="23"/>
    </row>
    <row r="551" spans="12:13">
      <c r="L551" s="23"/>
      <c r="M551" s="23"/>
    </row>
    <row r="552" spans="12:13">
      <c r="L552" s="23"/>
      <c r="M552" s="23"/>
    </row>
    <row r="553" spans="12:13">
      <c r="L553" s="23"/>
      <c r="M553" s="23"/>
    </row>
    <row r="554" spans="12:13">
      <c r="L554" s="23"/>
      <c r="M554" s="23"/>
    </row>
    <row r="555" spans="12:13">
      <c r="L555" s="23"/>
      <c r="M555" s="23"/>
    </row>
    <row r="556" spans="12:13">
      <c r="L556" s="23"/>
      <c r="M556" s="23"/>
    </row>
    <row r="557" spans="12:13">
      <c r="L557" s="23"/>
      <c r="M557" s="23"/>
    </row>
    <row r="558" spans="12:13">
      <c r="L558" s="23"/>
      <c r="M558" s="23"/>
    </row>
    <row r="559" spans="12:13">
      <c r="L559" s="23"/>
      <c r="M559" s="23"/>
    </row>
    <row r="560" spans="12:13">
      <c r="L560" s="23"/>
      <c r="M560" s="23"/>
    </row>
    <row r="561" spans="12:13">
      <c r="L561" s="23"/>
      <c r="M561" s="23"/>
    </row>
    <row r="562" spans="12:13">
      <c r="L562" s="23"/>
      <c r="M562" s="23"/>
    </row>
    <row r="563" spans="12:13">
      <c r="L563" s="23"/>
      <c r="M563" s="23"/>
    </row>
    <row r="564" spans="12:13">
      <c r="L564" s="23"/>
      <c r="M564" s="23"/>
    </row>
    <row r="565" spans="12:13">
      <c r="L565" s="23"/>
      <c r="M565" s="23"/>
    </row>
    <row r="566" spans="12:13">
      <c r="L566" s="23"/>
      <c r="M566" s="23"/>
    </row>
    <row r="567" spans="12:13">
      <c r="L567" s="23"/>
      <c r="M567" s="23"/>
    </row>
    <row r="568" spans="12:13">
      <c r="L568" s="23"/>
      <c r="M568" s="23"/>
    </row>
    <row r="569" spans="12:13">
      <c r="L569" s="23"/>
      <c r="M569" s="23"/>
    </row>
    <row r="570" spans="12:13">
      <c r="L570" s="23"/>
      <c r="M570" s="23"/>
    </row>
    <row r="571" spans="12:13">
      <c r="L571" s="23"/>
      <c r="M571" s="23"/>
    </row>
    <row r="572" spans="12:13">
      <c r="L572" s="23"/>
      <c r="M572" s="23"/>
    </row>
    <row r="573" spans="12:13">
      <c r="L573" s="23"/>
      <c r="M573" s="23"/>
    </row>
    <row r="574" spans="12:13">
      <c r="L574" s="23"/>
      <c r="M574" s="23"/>
    </row>
    <row r="575" spans="12:13">
      <c r="L575" s="23"/>
      <c r="M575" s="23"/>
    </row>
    <row r="576" spans="12:13">
      <c r="L576" s="23"/>
      <c r="M576" s="23"/>
    </row>
    <row r="577" spans="12:13">
      <c r="L577" s="23"/>
      <c r="M577" s="23"/>
    </row>
    <row r="578" spans="12:13">
      <c r="L578" s="23"/>
      <c r="M578" s="23"/>
    </row>
    <row r="579" spans="12:13">
      <c r="L579" s="23"/>
      <c r="M579" s="23"/>
    </row>
    <row r="580" spans="12:13">
      <c r="L580" s="23"/>
      <c r="M580" s="23"/>
    </row>
    <row r="581" spans="12:13">
      <c r="L581" s="23"/>
      <c r="M581" s="23"/>
    </row>
    <row r="582" spans="12:13">
      <c r="L582" s="23"/>
      <c r="M582" s="23"/>
    </row>
    <row r="583" spans="12:13">
      <c r="L583" s="23"/>
      <c r="M583" s="23"/>
    </row>
    <row r="584" spans="12:13">
      <c r="L584" s="23"/>
      <c r="M584" s="23"/>
    </row>
    <row r="585" spans="12:13">
      <c r="L585" s="23"/>
      <c r="M585" s="23"/>
    </row>
    <row r="586" spans="12:13">
      <c r="L586" s="23"/>
      <c r="M586" s="23"/>
    </row>
    <row r="587" spans="12:13">
      <c r="L587" s="23"/>
      <c r="M587" s="23"/>
    </row>
    <row r="588" spans="12:13">
      <c r="L588" s="23"/>
      <c r="M588" s="23"/>
    </row>
    <row r="589" spans="12:13">
      <c r="L589" s="23"/>
      <c r="M589" s="23"/>
    </row>
    <row r="590" spans="12:13">
      <c r="L590" s="23"/>
      <c r="M590" s="23"/>
    </row>
    <row r="591" spans="12:13">
      <c r="L591" s="23"/>
      <c r="M591" s="23"/>
    </row>
    <row r="592" spans="12:13">
      <c r="L592" s="23"/>
      <c r="M592" s="23"/>
    </row>
    <row r="593" spans="12:13">
      <c r="L593" s="23"/>
      <c r="M593" s="23"/>
    </row>
    <row r="594" spans="12:13">
      <c r="L594" s="23"/>
      <c r="M594" s="23"/>
    </row>
    <row r="595" spans="12:13">
      <c r="L595" s="23"/>
      <c r="M595" s="23"/>
    </row>
    <row r="596" spans="12:13">
      <c r="L596" s="23"/>
      <c r="M596" s="23"/>
    </row>
    <row r="597" spans="12:13">
      <c r="L597" s="23"/>
      <c r="M597" s="23"/>
    </row>
    <row r="598" spans="12:13">
      <c r="L598" s="23"/>
      <c r="M598" s="23"/>
    </row>
    <row r="599" spans="12:13">
      <c r="L599" s="23"/>
      <c r="M599" s="23"/>
    </row>
    <row r="600" spans="12:13">
      <c r="L600" s="23"/>
      <c r="M600" s="23"/>
    </row>
    <row r="601" spans="12:13">
      <c r="L601" s="23"/>
      <c r="M601" s="23"/>
    </row>
    <row r="602" spans="12:13">
      <c r="L602" s="23"/>
      <c r="M602" s="23"/>
    </row>
    <row r="603" spans="12:13">
      <c r="L603" s="23"/>
      <c r="M603" s="23"/>
    </row>
    <row r="604" spans="12:13">
      <c r="L604" s="23"/>
      <c r="M604" s="23"/>
    </row>
    <row r="605" spans="12:13">
      <c r="L605" s="23"/>
      <c r="M605" s="23"/>
    </row>
    <row r="606" spans="12:13">
      <c r="L606" s="23"/>
      <c r="M606" s="23"/>
    </row>
    <row r="607" spans="12:13">
      <c r="L607" s="23"/>
      <c r="M607" s="23"/>
    </row>
    <row r="608" spans="12:13">
      <c r="L608" s="23"/>
      <c r="M608" s="23"/>
    </row>
    <row r="609" spans="12:13">
      <c r="L609" s="23"/>
      <c r="M609" s="23"/>
    </row>
    <row r="610" spans="12:13">
      <c r="L610" s="23"/>
      <c r="M610" s="23"/>
    </row>
    <row r="611" spans="12:13">
      <c r="L611" s="23"/>
      <c r="M611" s="23"/>
    </row>
    <row r="612" spans="12:13">
      <c r="L612" s="23"/>
      <c r="M612" s="23"/>
    </row>
    <row r="613" spans="12:13">
      <c r="L613" s="23"/>
      <c r="M613" s="23"/>
    </row>
    <row r="614" spans="12:13">
      <c r="L614" s="23"/>
      <c r="M614" s="23"/>
    </row>
    <row r="615" spans="12:13">
      <c r="L615" s="23"/>
      <c r="M615" s="23"/>
    </row>
    <row r="616" spans="12:13">
      <c r="L616" s="23"/>
      <c r="M616" s="23"/>
    </row>
    <row r="617" spans="12:13">
      <c r="L617" s="23"/>
      <c r="M617" s="23"/>
    </row>
    <row r="618" spans="12:13">
      <c r="L618" s="23"/>
      <c r="M618" s="23"/>
    </row>
    <row r="619" spans="12:13">
      <c r="L619" s="23"/>
      <c r="M619" s="23"/>
    </row>
    <row r="620" spans="12:13">
      <c r="L620" s="23"/>
      <c r="M620" s="23"/>
    </row>
    <row r="621" spans="12:13">
      <c r="L621" s="23"/>
      <c r="M621" s="23"/>
    </row>
    <row r="622" spans="12:13">
      <c r="L622" s="23"/>
      <c r="M622" s="23"/>
    </row>
    <row r="623" spans="12:13">
      <c r="L623" s="23"/>
      <c r="M623" s="23"/>
    </row>
    <row r="624" spans="12:13">
      <c r="L624" s="23"/>
      <c r="M624" s="23"/>
    </row>
    <row r="625" spans="12:13">
      <c r="L625" s="23"/>
      <c r="M625" s="23"/>
    </row>
    <row r="626" spans="12:13">
      <c r="L626" s="23"/>
      <c r="M626" s="23"/>
    </row>
    <row r="627" spans="12:13">
      <c r="L627" s="23"/>
      <c r="M627" s="23"/>
    </row>
    <row r="628" spans="12:13">
      <c r="L628" s="23"/>
      <c r="M628" s="23"/>
    </row>
    <row r="629" spans="12:13">
      <c r="L629" s="23"/>
      <c r="M629" s="23"/>
    </row>
    <row r="630" spans="12:13">
      <c r="L630" s="23"/>
      <c r="M630" s="23"/>
    </row>
    <row r="631" spans="12:13">
      <c r="L631" s="23"/>
      <c r="M631" s="23"/>
    </row>
    <row r="632" spans="12:13">
      <c r="L632" s="23"/>
      <c r="M632" s="23"/>
    </row>
    <row r="633" spans="12:13">
      <c r="L633" s="23"/>
      <c r="M633" s="23"/>
    </row>
    <row r="634" spans="12:13">
      <c r="L634" s="23"/>
      <c r="M634" s="23"/>
    </row>
    <row r="635" spans="12:13">
      <c r="L635" s="23"/>
      <c r="M635" s="23"/>
    </row>
    <row r="636" spans="12:13">
      <c r="L636" s="23"/>
      <c r="M636" s="23"/>
    </row>
    <row r="637" spans="12:13">
      <c r="L637" s="23"/>
      <c r="M637" s="23"/>
    </row>
    <row r="638" spans="12:13">
      <c r="L638" s="23"/>
      <c r="M638" s="23"/>
    </row>
    <row r="639" spans="12:13">
      <c r="L639" s="23"/>
      <c r="M639" s="23"/>
    </row>
    <row r="640" spans="12:13">
      <c r="L640" s="23"/>
      <c r="M640" s="23"/>
    </row>
    <row r="641" spans="12:13">
      <c r="L641" s="23"/>
      <c r="M641" s="23"/>
    </row>
    <row r="642" spans="12:13">
      <c r="L642" s="23"/>
      <c r="M642" s="23"/>
    </row>
    <row r="643" spans="12:13">
      <c r="L643" s="23"/>
      <c r="M643" s="23"/>
    </row>
    <row r="644" spans="12:13">
      <c r="L644" s="23"/>
      <c r="M644" s="23"/>
    </row>
    <row r="645" spans="12:13">
      <c r="L645" s="23"/>
      <c r="M645" s="23"/>
    </row>
    <row r="646" spans="12:13">
      <c r="L646" s="23"/>
      <c r="M646" s="23"/>
    </row>
    <row r="647" spans="12:13">
      <c r="L647" s="23"/>
      <c r="M647" s="23"/>
    </row>
    <row r="648" spans="12:13">
      <c r="L648" s="23"/>
      <c r="M648" s="23"/>
    </row>
    <row r="649" spans="12:13">
      <c r="L649" s="23"/>
      <c r="M649" s="23"/>
    </row>
    <row r="650" spans="12:13">
      <c r="L650" s="23"/>
      <c r="M650" s="23"/>
    </row>
    <row r="651" spans="12:13">
      <c r="L651" s="23"/>
      <c r="M651" s="23"/>
    </row>
    <row r="652" spans="12:13">
      <c r="L652" s="23"/>
      <c r="M652" s="23"/>
    </row>
    <row r="653" spans="12:13">
      <c r="L653" s="23"/>
      <c r="M653" s="23"/>
    </row>
    <row r="654" spans="12:13">
      <c r="L654" s="23"/>
      <c r="M654" s="23"/>
    </row>
    <row r="655" spans="12:13">
      <c r="L655" s="23"/>
      <c r="M655" s="23"/>
    </row>
    <row r="656" spans="12:13">
      <c r="L656" s="23"/>
      <c r="M656" s="23"/>
    </row>
    <row r="657" spans="12:13">
      <c r="L657" s="23"/>
      <c r="M657" s="23"/>
    </row>
    <row r="658" spans="12:13">
      <c r="L658" s="23"/>
      <c r="M658" s="23"/>
    </row>
    <row r="659" spans="12:13">
      <c r="L659" s="23"/>
      <c r="M659" s="23"/>
    </row>
    <row r="660" spans="12:13">
      <c r="L660" s="23"/>
      <c r="M660" s="23"/>
    </row>
    <row r="661" spans="12:13">
      <c r="L661" s="23"/>
      <c r="M661" s="23"/>
    </row>
    <row r="662" spans="12:13">
      <c r="L662" s="23"/>
      <c r="M662" s="23"/>
    </row>
    <row r="663" spans="12:13">
      <c r="L663" s="23"/>
      <c r="M663" s="23"/>
    </row>
    <row r="664" spans="12:13">
      <c r="L664" s="23"/>
      <c r="M664" s="23"/>
    </row>
    <row r="665" spans="12:13">
      <c r="L665" s="23"/>
      <c r="M665" s="23"/>
    </row>
    <row r="666" spans="12:13">
      <c r="L666" s="23"/>
      <c r="M666" s="23"/>
    </row>
    <row r="667" spans="12:13">
      <c r="L667" s="23"/>
      <c r="M667" s="23"/>
    </row>
    <row r="668" spans="12:13">
      <c r="L668" s="23"/>
      <c r="M668" s="23"/>
    </row>
    <row r="669" spans="12:13">
      <c r="L669" s="23"/>
      <c r="M669" s="23"/>
    </row>
    <row r="670" spans="12:13">
      <c r="L670" s="23"/>
      <c r="M670" s="23"/>
    </row>
    <row r="671" spans="12:13">
      <c r="L671" s="23"/>
      <c r="M671" s="23"/>
    </row>
    <row r="672" spans="12:13">
      <c r="L672" s="23"/>
      <c r="M672" s="23"/>
    </row>
    <row r="673" spans="12:13">
      <c r="L673" s="23"/>
      <c r="M673" s="23"/>
    </row>
    <row r="674" spans="12:13">
      <c r="L674" s="23"/>
      <c r="M674" s="23"/>
    </row>
    <row r="675" spans="12:13">
      <c r="L675" s="23"/>
      <c r="M675" s="23"/>
    </row>
    <row r="676" spans="12:13">
      <c r="L676" s="23"/>
      <c r="M676" s="23"/>
    </row>
    <row r="677" spans="12:13">
      <c r="L677" s="23"/>
      <c r="M677" s="23"/>
    </row>
    <row r="678" spans="12:13">
      <c r="L678" s="23"/>
      <c r="M678" s="23"/>
    </row>
    <row r="679" spans="12:13">
      <c r="L679" s="23"/>
      <c r="M679" s="23"/>
    </row>
    <row r="680" spans="12:13">
      <c r="L680" s="23"/>
      <c r="M680" s="23"/>
    </row>
    <row r="681" spans="12:13">
      <c r="L681" s="23"/>
      <c r="M681" s="23"/>
    </row>
    <row r="682" spans="12:13">
      <c r="L682" s="23"/>
      <c r="M682" s="23"/>
    </row>
    <row r="683" spans="12:13">
      <c r="L683" s="23"/>
      <c r="M683" s="23"/>
    </row>
    <row r="684" spans="12:13">
      <c r="L684" s="23"/>
      <c r="M684" s="23"/>
    </row>
    <row r="685" spans="12:13">
      <c r="L685" s="23"/>
      <c r="M685" s="23"/>
    </row>
    <row r="686" spans="12:13">
      <c r="L686" s="23"/>
      <c r="M686" s="23"/>
    </row>
    <row r="687" spans="12:13">
      <c r="L687" s="23"/>
      <c r="M687" s="23"/>
    </row>
    <row r="688" spans="12:13">
      <c r="L688" s="23"/>
      <c r="M688" s="23"/>
    </row>
    <row r="689" spans="12:13">
      <c r="L689" s="23"/>
      <c r="M689" s="23"/>
    </row>
    <row r="690" spans="12:13">
      <c r="L690" s="23"/>
      <c r="M690" s="23"/>
    </row>
    <row r="691" spans="12:13">
      <c r="L691" s="23"/>
      <c r="M691" s="23"/>
    </row>
    <row r="692" spans="12:13">
      <c r="L692" s="23"/>
      <c r="M692" s="23"/>
    </row>
    <row r="693" spans="12:13">
      <c r="L693" s="23"/>
      <c r="M693" s="23"/>
    </row>
    <row r="694" spans="12:13">
      <c r="L694" s="23"/>
      <c r="M694" s="23"/>
    </row>
    <row r="695" spans="12:13">
      <c r="L695" s="23"/>
      <c r="M695" s="23"/>
    </row>
    <row r="696" spans="12:13">
      <c r="L696" s="23"/>
      <c r="M696" s="23"/>
    </row>
    <row r="697" spans="12:13">
      <c r="L697" s="23"/>
      <c r="M697" s="23"/>
    </row>
    <row r="698" spans="12:13">
      <c r="L698" s="23"/>
      <c r="M698" s="23"/>
    </row>
    <row r="699" spans="12:13">
      <c r="L699" s="23"/>
      <c r="M699" s="23"/>
    </row>
    <row r="700" spans="12:13">
      <c r="L700" s="23"/>
      <c r="M700" s="23"/>
    </row>
    <row r="701" spans="12:13">
      <c r="L701" s="23"/>
      <c r="M701" s="23"/>
    </row>
    <row r="702" spans="12:13">
      <c r="L702" s="23"/>
      <c r="M702" s="23"/>
    </row>
    <row r="703" spans="12:13">
      <c r="L703" s="23"/>
      <c r="M703" s="23"/>
    </row>
    <row r="704" spans="12:13">
      <c r="L704" s="23"/>
      <c r="M704" s="23"/>
    </row>
    <row r="705" spans="12:13">
      <c r="L705" s="23"/>
      <c r="M705" s="23"/>
    </row>
    <row r="706" spans="12:13">
      <c r="L706" s="23"/>
      <c r="M706" s="23"/>
    </row>
    <row r="707" spans="12:13">
      <c r="L707" s="23"/>
      <c r="M707" s="23"/>
    </row>
    <row r="708" spans="12:13">
      <c r="L708" s="23"/>
      <c r="M708" s="23"/>
    </row>
    <row r="709" spans="12:13">
      <c r="L709" s="23"/>
      <c r="M709" s="23"/>
    </row>
    <row r="710" spans="12:13">
      <c r="L710" s="23"/>
      <c r="M710" s="23"/>
    </row>
    <row r="711" spans="12:13">
      <c r="L711" s="23"/>
      <c r="M711" s="23"/>
    </row>
    <row r="712" spans="12:13">
      <c r="L712" s="23"/>
      <c r="M712" s="23"/>
    </row>
    <row r="713" spans="12:13">
      <c r="L713" s="23"/>
      <c r="M713" s="23"/>
    </row>
    <row r="714" spans="12:13">
      <c r="L714" s="23"/>
      <c r="M714" s="23"/>
    </row>
    <row r="715" spans="12:13">
      <c r="L715" s="23"/>
      <c r="M715" s="23"/>
    </row>
    <row r="716" spans="12:13">
      <c r="L716" s="23"/>
      <c r="M716" s="23"/>
    </row>
    <row r="717" spans="12:13">
      <c r="L717" s="23"/>
      <c r="M717" s="23"/>
    </row>
    <row r="718" spans="12:13">
      <c r="L718" s="23"/>
      <c r="M718" s="23"/>
    </row>
    <row r="719" spans="12:13">
      <c r="L719" s="23"/>
      <c r="M719" s="23"/>
    </row>
    <row r="720" spans="12:13">
      <c r="L720" s="23"/>
      <c r="M720" s="23"/>
    </row>
    <row r="721" spans="12:13">
      <c r="L721" s="23"/>
      <c r="M721" s="23"/>
    </row>
    <row r="722" spans="12:13">
      <c r="L722" s="23"/>
      <c r="M722" s="23"/>
    </row>
    <row r="723" spans="12:13">
      <c r="L723" s="23"/>
      <c r="M723" s="23"/>
    </row>
    <row r="724" spans="12:13">
      <c r="L724" s="23"/>
      <c r="M724" s="23"/>
    </row>
    <row r="725" spans="12:13">
      <c r="L725" s="23"/>
      <c r="M725" s="23"/>
    </row>
    <row r="726" spans="12:13">
      <c r="L726" s="23"/>
      <c r="M726" s="23"/>
    </row>
    <row r="727" spans="12:13">
      <c r="L727" s="23"/>
      <c r="M727" s="23"/>
    </row>
    <row r="728" spans="12:13">
      <c r="L728" s="23"/>
      <c r="M728" s="23"/>
    </row>
    <row r="729" spans="12:13">
      <c r="L729" s="23"/>
      <c r="M729" s="23"/>
    </row>
    <row r="730" spans="12:13">
      <c r="L730" s="23"/>
      <c r="M730" s="23"/>
    </row>
    <row r="731" spans="12:13">
      <c r="L731" s="23"/>
      <c r="M731" s="23"/>
    </row>
    <row r="732" spans="12:13">
      <c r="L732" s="23"/>
      <c r="M732" s="23"/>
    </row>
    <row r="733" spans="12:13">
      <c r="L733" s="23"/>
      <c r="M733" s="23"/>
    </row>
    <row r="734" spans="12:13">
      <c r="L734" s="23"/>
      <c r="M734" s="23"/>
    </row>
    <row r="735" spans="12:13">
      <c r="L735" s="23"/>
      <c r="M735" s="23"/>
    </row>
    <row r="736" spans="12:13">
      <c r="L736" s="23"/>
      <c r="M736" s="23"/>
    </row>
    <row r="737" spans="12:13">
      <c r="L737" s="23"/>
      <c r="M737" s="23"/>
    </row>
    <row r="738" spans="12:13">
      <c r="L738" s="23"/>
      <c r="M738" s="23"/>
    </row>
    <row r="739" spans="12:13">
      <c r="L739" s="23"/>
      <c r="M739" s="23"/>
    </row>
    <row r="740" spans="12:13">
      <c r="L740" s="23"/>
      <c r="M740" s="23"/>
    </row>
    <row r="741" spans="12:13">
      <c r="L741" s="23"/>
      <c r="M741" s="23"/>
    </row>
    <row r="742" spans="12:13">
      <c r="L742" s="23"/>
      <c r="M742" s="23"/>
    </row>
    <row r="743" spans="12:13">
      <c r="L743" s="23"/>
      <c r="M743" s="23"/>
    </row>
    <row r="744" spans="12:13">
      <c r="L744" s="23"/>
      <c r="M744" s="23"/>
    </row>
    <row r="745" spans="12:13">
      <c r="L745" s="23"/>
      <c r="M745" s="23"/>
    </row>
    <row r="746" spans="12:13">
      <c r="L746" s="23"/>
      <c r="M746" s="23"/>
    </row>
    <row r="747" spans="12:13">
      <c r="L747" s="23"/>
      <c r="M747" s="23"/>
    </row>
    <row r="748" spans="12:13">
      <c r="L748" s="23"/>
      <c r="M748" s="23"/>
    </row>
    <row r="749" spans="12:13">
      <c r="L749" s="23"/>
      <c r="M749" s="23"/>
    </row>
    <row r="750" spans="12:13">
      <c r="L750" s="23"/>
      <c r="M750" s="23"/>
    </row>
    <row r="751" spans="12:13">
      <c r="L751" s="23"/>
      <c r="M751" s="23"/>
    </row>
    <row r="752" spans="12:13">
      <c r="L752" s="23"/>
      <c r="M752" s="23"/>
    </row>
    <row r="753" spans="12:13">
      <c r="L753" s="23"/>
      <c r="M753" s="23"/>
    </row>
    <row r="754" spans="12:13">
      <c r="L754" s="23"/>
      <c r="M754" s="23"/>
    </row>
    <row r="755" spans="12:13">
      <c r="L755" s="23"/>
      <c r="M755" s="23"/>
    </row>
    <row r="756" spans="12:13">
      <c r="L756" s="23"/>
      <c r="M756" s="23"/>
    </row>
    <row r="757" spans="12:13">
      <c r="L757" s="23"/>
      <c r="M757" s="23"/>
    </row>
    <row r="758" spans="12:13">
      <c r="L758" s="23"/>
      <c r="M758" s="23"/>
    </row>
    <row r="759" spans="12:13">
      <c r="L759" s="23"/>
      <c r="M759" s="23"/>
    </row>
    <row r="760" spans="12:13">
      <c r="L760" s="23"/>
      <c r="M760" s="23"/>
    </row>
    <row r="761" spans="12:13">
      <c r="L761" s="23"/>
      <c r="M761" s="23"/>
    </row>
    <row r="762" spans="12:13">
      <c r="L762" s="23"/>
      <c r="M762" s="23"/>
    </row>
    <row r="763" spans="12:13">
      <c r="L763" s="23"/>
      <c r="M763" s="23"/>
    </row>
    <row r="764" spans="12:13">
      <c r="L764" s="23"/>
      <c r="M764" s="23"/>
    </row>
    <row r="765" spans="12:13">
      <c r="L765" s="23"/>
      <c r="M765" s="23"/>
    </row>
    <row r="766" spans="12:13">
      <c r="L766" s="23"/>
      <c r="M766" s="23"/>
    </row>
    <row r="767" spans="12:13">
      <c r="L767" s="23"/>
      <c r="M767" s="23"/>
    </row>
    <row r="768" spans="12:13">
      <c r="L768" s="23"/>
      <c r="M768" s="23"/>
    </row>
    <row r="769" spans="12:13">
      <c r="L769" s="23"/>
      <c r="M769" s="23"/>
    </row>
    <row r="770" spans="12:13">
      <c r="L770" s="23"/>
      <c r="M770" s="23"/>
    </row>
    <row r="771" spans="12:13">
      <c r="L771" s="23"/>
      <c r="M771" s="23"/>
    </row>
    <row r="772" spans="12:13">
      <c r="L772" s="23"/>
      <c r="M772" s="23"/>
    </row>
    <row r="773" spans="12:13">
      <c r="L773" s="23"/>
      <c r="M773" s="23"/>
    </row>
    <row r="774" spans="12:13">
      <c r="L774" s="23"/>
      <c r="M774" s="23"/>
    </row>
    <row r="775" spans="12:13">
      <c r="L775" s="23"/>
      <c r="M775" s="23"/>
    </row>
    <row r="776" spans="12:13">
      <c r="L776" s="23"/>
      <c r="M776" s="23"/>
    </row>
    <row r="777" spans="12:13">
      <c r="L777" s="23"/>
      <c r="M777" s="23"/>
    </row>
    <row r="778" spans="12:13">
      <c r="L778" s="23"/>
      <c r="M778" s="23"/>
    </row>
    <row r="779" spans="12:13">
      <c r="L779" s="23"/>
      <c r="M779" s="23"/>
    </row>
    <row r="780" spans="12:13">
      <c r="L780" s="23"/>
      <c r="M780" s="23"/>
    </row>
    <row r="781" spans="12:13">
      <c r="L781" s="23"/>
      <c r="M781" s="23"/>
    </row>
    <row r="782" spans="12:13">
      <c r="L782" s="23"/>
      <c r="M782" s="23"/>
    </row>
    <row r="783" spans="12:13">
      <c r="L783" s="23"/>
      <c r="M783" s="23"/>
    </row>
    <row r="784" spans="12:13">
      <c r="L784" s="23"/>
      <c r="M784" s="23"/>
    </row>
    <row r="785" spans="12:13">
      <c r="L785" s="23"/>
      <c r="M785" s="23"/>
    </row>
    <row r="786" spans="12:13">
      <c r="L786" s="23"/>
      <c r="M786" s="23"/>
    </row>
    <row r="787" spans="12:13">
      <c r="L787" s="23"/>
      <c r="M787" s="23"/>
    </row>
    <row r="788" spans="12:13">
      <c r="L788" s="23"/>
      <c r="M788" s="23"/>
    </row>
    <row r="789" spans="12:13">
      <c r="L789" s="23"/>
      <c r="M789" s="23"/>
    </row>
    <row r="790" spans="12:13">
      <c r="L790" s="23"/>
      <c r="M790" s="23"/>
    </row>
    <row r="791" spans="12:13">
      <c r="L791" s="23"/>
      <c r="M791" s="23"/>
    </row>
    <row r="792" spans="12:13">
      <c r="L792" s="23"/>
      <c r="M792" s="23"/>
    </row>
    <row r="793" spans="12:13">
      <c r="L793" s="23"/>
      <c r="M793" s="23"/>
    </row>
    <row r="794" spans="12:13">
      <c r="L794" s="23"/>
      <c r="M794" s="23"/>
    </row>
    <row r="795" spans="12:13">
      <c r="L795" s="23"/>
      <c r="M795" s="23"/>
    </row>
    <row r="796" spans="12:13">
      <c r="L796" s="23"/>
      <c r="M796" s="23"/>
    </row>
    <row r="797" spans="12:13">
      <c r="L797" s="23"/>
      <c r="M797" s="23"/>
    </row>
    <row r="798" spans="12:13">
      <c r="L798" s="23"/>
      <c r="M798" s="23"/>
    </row>
    <row r="799" spans="12:13">
      <c r="L799" s="23"/>
      <c r="M799" s="23"/>
    </row>
    <row r="800" spans="12:13">
      <c r="L800" s="23"/>
      <c r="M800" s="23"/>
    </row>
    <row r="801" spans="12:13">
      <c r="L801" s="23"/>
      <c r="M801" s="23"/>
    </row>
    <row r="802" spans="12:13">
      <c r="L802" s="23"/>
      <c r="M802" s="23"/>
    </row>
    <row r="803" spans="12:13">
      <c r="L803" s="23"/>
      <c r="M803" s="23"/>
    </row>
    <row r="804" spans="12:13">
      <c r="L804" s="23"/>
      <c r="M804" s="23"/>
    </row>
    <row r="805" spans="12:13">
      <c r="L805" s="23"/>
      <c r="M805" s="23"/>
    </row>
    <row r="806" spans="12:13">
      <c r="L806" s="23"/>
      <c r="M806" s="23"/>
    </row>
    <row r="807" spans="12:13">
      <c r="L807" s="23"/>
      <c r="M807" s="23"/>
    </row>
    <row r="808" spans="12:13">
      <c r="L808" s="23"/>
      <c r="M808" s="23"/>
    </row>
    <row r="809" spans="12:13">
      <c r="L809" s="23"/>
      <c r="M809" s="23"/>
    </row>
    <row r="810" spans="12:13">
      <c r="L810" s="23"/>
      <c r="M810" s="23"/>
    </row>
    <row r="811" spans="12:13">
      <c r="L811" s="23"/>
      <c r="M811" s="23"/>
    </row>
    <row r="812" spans="12:13">
      <c r="L812" s="23"/>
      <c r="M812" s="23"/>
    </row>
    <row r="813" spans="12:13">
      <c r="L813" s="23"/>
      <c r="M813" s="23"/>
    </row>
    <row r="814" spans="12:13">
      <c r="L814" s="23"/>
      <c r="M814" s="23"/>
    </row>
    <row r="815" spans="12:13">
      <c r="L815" s="23"/>
      <c r="M815" s="23"/>
    </row>
    <row r="816" spans="12:13">
      <c r="L816" s="23"/>
      <c r="M816" s="23"/>
    </row>
    <row r="817" spans="12:13">
      <c r="L817" s="23"/>
      <c r="M817" s="23"/>
    </row>
    <row r="818" spans="12:13">
      <c r="L818" s="23"/>
      <c r="M818" s="23"/>
    </row>
    <row r="819" spans="12:13">
      <c r="L819" s="23"/>
      <c r="M819" s="23"/>
    </row>
    <row r="820" spans="12:13">
      <c r="L820" s="23"/>
      <c r="M820" s="23"/>
    </row>
    <row r="821" spans="12:13">
      <c r="L821" s="23"/>
      <c r="M821" s="23"/>
    </row>
    <row r="822" spans="12:13">
      <c r="L822" s="23"/>
      <c r="M822" s="23"/>
    </row>
    <row r="823" spans="12:13">
      <c r="L823" s="23"/>
      <c r="M823" s="23"/>
    </row>
    <row r="824" spans="12:13">
      <c r="L824" s="23"/>
      <c r="M824" s="23"/>
    </row>
    <row r="825" spans="12:13">
      <c r="L825" s="23"/>
      <c r="M825" s="23"/>
    </row>
    <row r="826" spans="12:13">
      <c r="L826" s="23"/>
      <c r="M826" s="23"/>
    </row>
    <row r="827" spans="12:13">
      <c r="L827" s="23"/>
      <c r="M827" s="23"/>
    </row>
    <row r="828" spans="12:13">
      <c r="L828" s="23"/>
      <c r="M828" s="23"/>
    </row>
    <row r="829" spans="12:13">
      <c r="L829" s="23"/>
      <c r="M829" s="23"/>
    </row>
    <row r="830" spans="12:13">
      <c r="L830" s="23"/>
      <c r="M830" s="23"/>
    </row>
    <row r="831" spans="12:13">
      <c r="L831" s="23"/>
      <c r="M831" s="23"/>
    </row>
    <row r="832" spans="12:13">
      <c r="L832" s="23"/>
      <c r="M832" s="23"/>
    </row>
    <row r="833" spans="12:13">
      <c r="L833" s="23"/>
      <c r="M833" s="23"/>
    </row>
    <row r="834" spans="12:13">
      <c r="L834" s="23"/>
      <c r="M834" s="23"/>
    </row>
    <row r="835" spans="12:13">
      <c r="L835" s="23"/>
      <c r="M835" s="23"/>
    </row>
    <row r="836" spans="12:13">
      <c r="L836" s="23"/>
      <c r="M836" s="23"/>
    </row>
    <row r="837" spans="12:13">
      <c r="L837" s="23"/>
      <c r="M837" s="23"/>
    </row>
    <row r="838" spans="12:13">
      <c r="L838" s="23"/>
      <c r="M838" s="23"/>
    </row>
    <row r="839" spans="12:13">
      <c r="L839" s="23"/>
      <c r="M839" s="23"/>
    </row>
    <row r="840" spans="12:13">
      <c r="L840" s="23"/>
      <c r="M840" s="23"/>
    </row>
    <row r="841" spans="12:13">
      <c r="L841" s="23"/>
      <c r="M841" s="23"/>
    </row>
    <row r="842" spans="12:13">
      <c r="L842" s="23"/>
      <c r="M842" s="23"/>
    </row>
    <row r="843" spans="12:13">
      <c r="L843" s="23"/>
      <c r="M843" s="23"/>
    </row>
    <row r="844" spans="12:13">
      <c r="L844" s="23"/>
      <c r="M844" s="23"/>
    </row>
    <row r="845" spans="12:13">
      <c r="L845" s="23"/>
      <c r="M845" s="23"/>
    </row>
    <row r="846" spans="12:13">
      <c r="L846" s="23"/>
      <c r="M846" s="23"/>
    </row>
    <row r="847" spans="12:13">
      <c r="L847" s="23"/>
      <c r="M847" s="23"/>
    </row>
    <row r="848" spans="12:13">
      <c r="L848" s="23"/>
      <c r="M848" s="23"/>
    </row>
    <row r="849" spans="12:13">
      <c r="L849" s="23"/>
      <c r="M849" s="23"/>
    </row>
    <row r="850" spans="12:13">
      <c r="L850" s="23"/>
      <c r="M850" s="23"/>
    </row>
    <row r="851" spans="12:13">
      <c r="L851" s="23"/>
      <c r="M851" s="23"/>
    </row>
    <row r="852" spans="12:13">
      <c r="L852" s="23"/>
      <c r="M852" s="23"/>
    </row>
    <row r="853" spans="12:13">
      <c r="L853" s="23"/>
      <c r="M853" s="23"/>
    </row>
    <row r="854" spans="12:13">
      <c r="L854" s="23"/>
      <c r="M854" s="23"/>
    </row>
    <row r="855" spans="12:13">
      <c r="L855" s="23"/>
      <c r="M855" s="23"/>
    </row>
    <row r="856" spans="12:13">
      <c r="L856" s="23"/>
      <c r="M856" s="23"/>
    </row>
    <row r="857" spans="12:13">
      <c r="L857" s="23"/>
      <c r="M857" s="23"/>
    </row>
    <row r="858" spans="12:13">
      <c r="L858" s="23"/>
      <c r="M858" s="23"/>
    </row>
    <row r="859" spans="12:13">
      <c r="L859" s="23"/>
      <c r="M859" s="23"/>
    </row>
    <row r="860" spans="12:13">
      <c r="L860" s="23"/>
      <c r="M860" s="23"/>
    </row>
    <row r="861" spans="12:13">
      <c r="L861" s="23"/>
      <c r="M861" s="23"/>
    </row>
    <row r="862" spans="12:13">
      <c r="L862" s="23"/>
      <c r="M862" s="23"/>
    </row>
    <row r="863" spans="12:13">
      <c r="L863" s="23"/>
      <c r="M863" s="23"/>
    </row>
    <row r="864" spans="12:13">
      <c r="L864" s="23"/>
      <c r="M864" s="23"/>
    </row>
    <row r="865" spans="12:13">
      <c r="L865" s="23"/>
      <c r="M865" s="23"/>
    </row>
    <row r="866" spans="12:13">
      <c r="L866" s="23"/>
      <c r="M866" s="23"/>
    </row>
    <row r="867" spans="12:13">
      <c r="L867" s="23"/>
      <c r="M867" s="23"/>
    </row>
    <row r="868" spans="12:13">
      <c r="L868" s="23"/>
      <c r="M868" s="23"/>
    </row>
    <row r="869" spans="12:13">
      <c r="L869" s="23"/>
      <c r="M869" s="23"/>
    </row>
    <row r="870" spans="12:13">
      <c r="L870" s="23"/>
      <c r="M870" s="23"/>
    </row>
    <row r="871" spans="12:13">
      <c r="L871" s="23"/>
      <c r="M871" s="23"/>
    </row>
    <row r="872" spans="12:13">
      <c r="L872" s="23"/>
      <c r="M872" s="23"/>
    </row>
    <row r="873" spans="12:13">
      <c r="L873" s="23"/>
      <c r="M873" s="23"/>
    </row>
    <row r="874" spans="12:13">
      <c r="L874" s="23"/>
      <c r="M874" s="23"/>
    </row>
    <row r="875" spans="12:13">
      <c r="L875" s="23"/>
      <c r="M875" s="23"/>
    </row>
    <row r="876" spans="12:13">
      <c r="L876" s="23"/>
      <c r="M876" s="23"/>
    </row>
    <row r="877" spans="12:13">
      <c r="L877" s="23"/>
      <c r="M877" s="23"/>
    </row>
    <row r="878" spans="12:13">
      <c r="L878" s="23"/>
      <c r="M878" s="23"/>
    </row>
    <row r="879" spans="12:13">
      <c r="L879" s="23"/>
      <c r="M879" s="23"/>
    </row>
    <row r="880" spans="12:13">
      <c r="L880" s="23"/>
      <c r="M880" s="23"/>
    </row>
    <row r="881" spans="12:13">
      <c r="L881" s="23"/>
      <c r="M881" s="23"/>
    </row>
    <row r="882" spans="12:13">
      <c r="L882" s="23"/>
      <c r="M882" s="23"/>
    </row>
    <row r="883" spans="12:13">
      <c r="L883" s="23"/>
      <c r="M883" s="23"/>
    </row>
    <row r="884" spans="12:13">
      <c r="L884" s="23"/>
      <c r="M884" s="23"/>
    </row>
    <row r="885" spans="12:13">
      <c r="L885" s="23"/>
      <c r="M885" s="23"/>
    </row>
    <row r="886" spans="12:13">
      <c r="L886" s="23"/>
      <c r="M886" s="23"/>
    </row>
    <row r="887" spans="12:13">
      <c r="L887" s="23"/>
      <c r="M887" s="23"/>
    </row>
    <row r="888" spans="12:13">
      <c r="L888" s="23"/>
      <c r="M888" s="23"/>
    </row>
    <row r="889" spans="12:13">
      <c r="L889" s="23"/>
      <c r="M889" s="23"/>
    </row>
    <row r="890" spans="12:13">
      <c r="L890" s="23"/>
      <c r="M890" s="23"/>
    </row>
    <row r="891" spans="12:13">
      <c r="L891" s="23"/>
      <c r="M891" s="23"/>
    </row>
    <row r="892" spans="12:13">
      <c r="L892" s="23"/>
      <c r="M892" s="23"/>
    </row>
    <row r="893" spans="12:13">
      <c r="L893" s="23"/>
      <c r="M893" s="23"/>
    </row>
    <row r="894" spans="12:13">
      <c r="L894" s="23"/>
      <c r="M894" s="23"/>
    </row>
    <row r="895" spans="12:13">
      <c r="L895" s="23"/>
      <c r="M895" s="23"/>
    </row>
    <row r="896" spans="12:13">
      <c r="L896" s="23"/>
      <c r="M896" s="23"/>
    </row>
    <row r="897" spans="12:13">
      <c r="L897" s="23"/>
      <c r="M897" s="23"/>
    </row>
    <row r="898" spans="12:13">
      <c r="L898" s="23"/>
      <c r="M898" s="23"/>
    </row>
    <row r="899" spans="12:13">
      <c r="L899" s="23"/>
      <c r="M899" s="23"/>
    </row>
    <row r="900" spans="12:13">
      <c r="L900" s="23"/>
      <c r="M900" s="23"/>
    </row>
    <row r="901" spans="12:13">
      <c r="L901" s="23"/>
      <c r="M901" s="23"/>
    </row>
    <row r="902" spans="12:13">
      <c r="L902" s="23"/>
      <c r="M902" s="23"/>
    </row>
    <row r="903" spans="12:13">
      <c r="L903" s="23"/>
      <c r="M903" s="23"/>
    </row>
    <row r="904" spans="12:13">
      <c r="L904" s="23"/>
      <c r="M904" s="23"/>
    </row>
    <row r="905" spans="12:13">
      <c r="L905" s="23"/>
      <c r="M905" s="23"/>
    </row>
    <row r="906" spans="12:13">
      <c r="L906" s="23"/>
      <c r="M906" s="23"/>
    </row>
    <row r="907" spans="12:13">
      <c r="L907" s="23"/>
      <c r="M907" s="23"/>
    </row>
    <row r="908" spans="12:13">
      <c r="L908" s="23"/>
      <c r="M908" s="23"/>
    </row>
    <row r="909" spans="12:13">
      <c r="L909" s="23"/>
      <c r="M909" s="23"/>
    </row>
    <row r="910" spans="12:13">
      <c r="L910" s="23"/>
      <c r="M910" s="23"/>
    </row>
    <row r="911" spans="12:13">
      <c r="L911" s="23"/>
      <c r="M911" s="23"/>
    </row>
    <row r="912" spans="12:13">
      <c r="L912" s="23"/>
      <c r="M912" s="23"/>
    </row>
    <row r="913" spans="12:13">
      <c r="L913" s="23"/>
      <c r="M913" s="23"/>
    </row>
    <row r="914" spans="12:13">
      <c r="L914" s="23"/>
      <c r="M914" s="23"/>
    </row>
    <row r="915" spans="12:13">
      <c r="L915" s="23"/>
      <c r="M915" s="23"/>
    </row>
    <row r="916" spans="12:13">
      <c r="L916" s="23"/>
      <c r="M916" s="23"/>
    </row>
    <row r="917" spans="12:13">
      <c r="L917" s="23"/>
      <c r="M917" s="23"/>
    </row>
    <row r="918" spans="12:13">
      <c r="L918" s="23"/>
      <c r="M918" s="23"/>
    </row>
    <row r="919" spans="12:13">
      <c r="L919" s="23"/>
      <c r="M919" s="23"/>
    </row>
    <row r="920" spans="12:13">
      <c r="L920" s="23"/>
      <c r="M920" s="23"/>
    </row>
    <row r="921" spans="12:13">
      <c r="L921" s="23"/>
      <c r="M921" s="23"/>
    </row>
    <row r="922" spans="12:13">
      <c r="L922" s="23"/>
      <c r="M922" s="23"/>
    </row>
    <row r="923" spans="12:13">
      <c r="L923" s="23"/>
      <c r="M923" s="23"/>
    </row>
    <row r="924" spans="12:13">
      <c r="L924" s="23"/>
      <c r="M924" s="23"/>
    </row>
    <row r="925" spans="12:13">
      <c r="L925" s="23"/>
      <c r="M925" s="23"/>
    </row>
    <row r="926" spans="12:13">
      <c r="L926" s="23"/>
      <c r="M926" s="23"/>
    </row>
    <row r="927" spans="12:13">
      <c r="L927" s="23"/>
      <c r="M927" s="23"/>
    </row>
    <row r="928" spans="12:13">
      <c r="L928" s="23"/>
      <c r="M928" s="23"/>
    </row>
    <row r="929" spans="12:13">
      <c r="L929" s="23"/>
      <c r="M929" s="23"/>
    </row>
    <row r="930" spans="12:13">
      <c r="L930" s="23"/>
      <c r="M930" s="23"/>
    </row>
    <row r="931" spans="12:13">
      <c r="L931" s="23"/>
      <c r="M931" s="23"/>
    </row>
    <row r="932" spans="12:13">
      <c r="L932" s="23"/>
      <c r="M932" s="23"/>
    </row>
    <row r="933" spans="12:13">
      <c r="L933" s="23"/>
      <c r="M933" s="23"/>
    </row>
    <row r="934" spans="12:13">
      <c r="L934" s="23"/>
      <c r="M934" s="23"/>
    </row>
    <row r="935" spans="12:13">
      <c r="L935" s="23"/>
      <c r="M935" s="23"/>
    </row>
    <row r="936" spans="12:13">
      <c r="L936" s="23"/>
      <c r="M936" s="23"/>
    </row>
    <row r="937" spans="12:13">
      <c r="L937" s="23"/>
      <c r="M937" s="23"/>
    </row>
    <row r="938" spans="12:13">
      <c r="L938" s="23"/>
      <c r="M938" s="23"/>
    </row>
    <row r="939" spans="12:13">
      <c r="L939" s="23"/>
      <c r="M939" s="23"/>
    </row>
    <row r="940" spans="12:13">
      <c r="L940" s="23"/>
      <c r="M940" s="23"/>
    </row>
    <row r="941" spans="12:13">
      <c r="L941" s="23"/>
      <c r="M941" s="23"/>
    </row>
    <row r="942" spans="12:13">
      <c r="L942" s="23"/>
      <c r="M942" s="23"/>
    </row>
    <row r="943" spans="12:13">
      <c r="L943" s="23"/>
      <c r="M943" s="23"/>
    </row>
    <row r="944" spans="12:13">
      <c r="L944" s="23"/>
      <c r="M944" s="23"/>
    </row>
    <row r="945" spans="12:13">
      <c r="L945" s="23"/>
      <c r="M945" s="23"/>
    </row>
    <row r="946" spans="12:13">
      <c r="L946" s="23"/>
      <c r="M946" s="23"/>
    </row>
    <row r="947" spans="12:13">
      <c r="L947" s="23"/>
      <c r="M947" s="23"/>
    </row>
    <row r="948" spans="12:13">
      <c r="L948" s="23"/>
      <c r="M948" s="23"/>
    </row>
    <row r="949" spans="12:13">
      <c r="L949" s="23"/>
      <c r="M949" s="23"/>
    </row>
    <row r="950" spans="12:13">
      <c r="L950" s="23"/>
      <c r="M950" s="23"/>
    </row>
    <row r="951" spans="12:13">
      <c r="L951" s="23"/>
      <c r="M951" s="23"/>
    </row>
    <row r="952" spans="12:13">
      <c r="L952" s="23"/>
      <c r="M952" s="23"/>
    </row>
    <row r="953" spans="12:13">
      <c r="L953" s="23"/>
      <c r="M953" s="23"/>
    </row>
    <row r="954" spans="12:13">
      <c r="L954" s="23"/>
      <c r="M954" s="23"/>
    </row>
    <row r="955" spans="12:13">
      <c r="L955" s="23"/>
      <c r="M955" s="23"/>
    </row>
    <row r="956" spans="12:13">
      <c r="L956" s="23"/>
      <c r="M956" s="23"/>
    </row>
    <row r="957" spans="12:13">
      <c r="L957" s="23"/>
      <c r="M957" s="23"/>
    </row>
    <row r="958" spans="12:13">
      <c r="L958" s="23"/>
      <c r="M958" s="23"/>
    </row>
    <row r="959" spans="12:13">
      <c r="L959" s="23"/>
      <c r="M959" s="23"/>
    </row>
    <row r="960" spans="12:13">
      <c r="L960" s="23"/>
      <c r="M960" s="23"/>
    </row>
    <row r="961" spans="12:13">
      <c r="L961" s="23"/>
      <c r="M961" s="23"/>
    </row>
    <row r="962" spans="12:13">
      <c r="L962" s="23"/>
      <c r="M962" s="23"/>
    </row>
    <row r="963" spans="12:13">
      <c r="L963" s="23"/>
      <c r="M963" s="23"/>
    </row>
    <row r="964" spans="12:13">
      <c r="L964" s="23"/>
      <c r="M964" s="23"/>
    </row>
    <row r="965" spans="12:13">
      <c r="L965" s="23"/>
      <c r="M965" s="23"/>
    </row>
    <row r="966" spans="12:13">
      <c r="L966" s="23"/>
      <c r="M966" s="23"/>
    </row>
    <row r="967" spans="12:13">
      <c r="L967" s="23"/>
      <c r="M967" s="23"/>
    </row>
    <row r="968" spans="12:13">
      <c r="L968" s="23"/>
      <c r="M968" s="23"/>
    </row>
    <row r="969" spans="12:13">
      <c r="L969" s="23"/>
      <c r="M969" s="23"/>
    </row>
    <row r="970" spans="12:13">
      <c r="L970" s="23"/>
      <c r="M970" s="23"/>
    </row>
    <row r="971" spans="12:13">
      <c r="L971" s="23"/>
      <c r="M971" s="23"/>
    </row>
    <row r="972" spans="12:13">
      <c r="L972" s="23"/>
      <c r="M972" s="23"/>
    </row>
    <row r="973" spans="12:13">
      <c r="L973" s="23"/>
      <c r="M973" s="23"/>
    </row>
    <row r="974" spans="12:13">
      <c r="L974" s="23"/>
      <c r="M974" s="23"/>
    </row>
    <row r="975" spans="12:13">
      <c r="L975" s="23"/>
      <c r="M975" s="23"/>
    </row>
    <row r="976" spans="12:13">
      <c r="L976" s="23"/>
      <c r="M976" s="23"/>
    </row>
    <row r="977" spans="12:13">
      <c r="L977" s="23"/>
      <c r="M977" s="23"/>
    </row>
    <row r="978" spans="12:13">
      <c r="L978" s="23"/>
      <c r="M978" s="23"/>
    </row>
    <row r="979" spans="12:13">
      <c r="L979" s="23"/>
      <c r="M979" s="23"/>
    </row>
    <row r="980" spans="12:13">
      <c r="L980" s="23"/>
      <c r="M980" s="23"/>
    </row>
    <row r="981" spans="12:13">
      <c r="L981" s="23"/>
      <c r="M981" s="23"/>
    </row>
    <row r="982" spans="12:13">
      <c r="L982" s="23"/>
      <c r="M982" s="23"/>
    </row>
    <row r="983" spans="12:13">
      <c r="L983" s="23"/>
      <c r="M983" s="23"/>
    </row>
    <row r="984" spans="12:13">
      <c r="L984" s="23"/>
      <c r="M984" s="23"/>
    </row>
    <row r="985" spans="12:13">
      <c r="L985" s="23"/>
      <c r="M985" s="23"/>
    </row>
    <row r="986" spans="12:13">
      <c r="L986" s="23"/>
      <c r="M986" s="23"/>
    </row>
    <row r="987" spans="12:13">
      <c r="L987" s="23"/>
      <c r="M987" s="23"/>
    </row>
    <row r="988" spans="12:13">
      <c r="L988" s="23"/>
      <c r="M988" s="23"/>
    </row>
    <row r="989" spans="12:13">
      <c r="L989" s="23"/>
      <c r="M989" s="23"/>
    </row>
    <row r="990" spans="12:13">
      <c r="L990" s="23"/>
      <c r="M990" s="23"/>
    </row>
    <row r="991" spans="12:13">
      <c r="L991" s="23"/>
      <c r="M991" s="23"/>
    </row>
    <row r="992" spans="12:13">
      <c r="L992" s="23"/>
      <c r="M992" s="23"/>
    </row>
    <row r="993" spans="12:13">
      <c r="L993" s="23"/>
      <c r="M993" s="23"/>
    </row>
    <row r="994" spans="12:13">
      <c r="L994" s="23"/>
      <c r="M994" s="23"/>
    </row>
    <row r="995" spans="12:13">
      <c r="L995" s="23"/>
      <c r="M995" s="23"/>
    </row>
    <row r="996" spans="12:13">
      <c r="L996" s="23"/>
      <c r="M996" s="23"/>
    </row>
    <row r="997" spans="12:13">
      <c r="L997" s="23"/>
      <c r="M997" s="23"/>
    </row>
    <row r="998" spans="12:13">
      <c r="L998" s="23"/>
      <c r="M998" s="23"/>
    </row>
    <row r="999" spans="12:13">
      <c r="L999" s="23"/>
      <c r="M999" s="23"/>
    </row>
    <row r="1000" spans="12:13">
      <c r="L1000" s="23"/>
      <c r="M1000" s="23"/>
    </row>
    <row r="1001" spans="12:13">
      <c r="L1001" s="23"/>
      <c r="M1001" s="23"/>
    </row>
    <row r="1002" spans="12:13">
      <c r="L1002" s="23"/>
      <c r="M1002" s="23"/>
    </row>
    <row r="1003" spans="12:13">
      <c r="L1003" s="23"/>
      <c r="M1003" s="23"/>
    </row>
    <row r="1004" spans="12:13">
      <c r="L1004" s="23"/>
      <c r="M1004" s="23"/>
    </row>
    <row r="1005" spans="12:13">
      <c r="L1005" s="23"/>
      <c r="M1005" s="23"/>
    </row>
    <row r="1006" spans="12:13">
      <c r="L1006" s="23"/>
      <c r="M1006" s="23"/>
    </row>
    <row r="1007" spans="12:13">
      <c r="L1007" s="23"/>
      <c r="M1007" s="23"/>
    </row>
    <row r="1008" spans="12:13">
      <c r="L1008" s="23"/>
      <c r="M1008" s="23"/>
    </row>
    <row r="1009" spans="12:13">
      <c r="L1009" s="23"/>
      <c r="M1009" s="23"/>
    </row>
    <row r="1010" spans="12:13">
      <c r="L1010" s="23"/>
      <c r="M1010" s="23"/>
    </row>
    <row r="1011" spans="12:13">
      <c r="L1011" s="23"/>
      <c r="M1011" s="23"/>
    </row>
    <row r="1012" spans="12:13">
      <c r="L1012" s="23"/>
      <c r="M1012" s="23"/>
    </row>
    <row r="1013" spans="12:13">
      <c r="L1013" s="23"/>
      <c r="M1013" s="23"/>
    </row>
    <row r="1014" spans="12:13">
      <c r="L1014" s="23"/>
      <c r="M1014" s="23"/>
    </row>
    <row r="1015" spans="12:13">
      <c r="L1015" s="23"/>
      <c r="M1015" s="23"/>
    </row>
    <row r="1016" spans="12:13">
      <c r="L1016" s="23"/>
      <c r="M1016" s="23"/>
    </row>
    <row r="1017" spans="12:13">
      <c r="L1017" s="23"/>
      <c r="M1017" s="23"/>
    </row>
    <row r="1018" spans="12:13">
      <c r="L1018" s="23"/>
      <c r="M1018" s="23"/>
    </row>
    <row r="1019" spans="12:13">
      <c r="L1019" s="23"/>
      <c r="M1019" s="23"/>
    </row>
    <row r="1020" spans="12:13">
      <c r="L1020" s="23"/>
      <c r="M1020" s="23"/>
    </row>
    <row r="1021" spans="12:13">
      <c r="L1021" s="23"/>
      <c r="M1021" s="23"/>
    </row>
    <row r="1022" spans="12:13">
      <c r="L1022" s="23"/>
      <c r="M1022" s="23"/>
    </row>
    <row r="1023" spans="12:13">
      <c r="L1023" s="23"/>
      <c r="M1023" s="23"/>
    </row>
    <row r="1024" spans="12:13">
      <c r="L1024" s="23"/>
      <c r="M1024" s="23"/>
    </row>
    <row r="1025" spans="12:13">
      <c r="L1025" s="23"/>
      <c r="M1025" s="23"/>
    </row>
    <row r="1026" spans="12:13">
      <c r="L1026" s="23"/>
      <c r="M1026" s="23"/>
    </row>
    <row r="1027" spans="12:13">
      <c r="L1027" s="23"/>
      <c r="M1027" s="23"/>
    </row>
    <row r="1028" spans="12:13">
      <c r="L1028" s="23"/>
      <c r="M1028" s="23"/>
    </row>
    <row r="1029" spans="12:13">
      <c r="L1029" s="23"/>
      <c r="M1029" s="23"/>
    </row>
    <row r="1030" spans="12:13">
      <c r="L1030" s="23"/>
      <c r="M1030" s="23"/>
    </row>
    <row r="1031" spans="12:13">
      <c r="L1031" s="23"/>
      <c r="M1031" s="23"/>
    </row>
    <row r="1032" spans="12:13">
      <c r="L1032" s="23"/>
      <c r="M1032" s="23"/>
    </row>
    <row r="1033" spans="12:13">
      <c r="L1033" s="23"/>
      <c r="M1033" s="23"/>
    </row>
    <row r="1034" spans="12:13">
      <c r="L1034" s="23"/>
      <c r="M1034" s="23"/>
    </row>
    <row r="1035" spans="12:13">
      <c r="L1035" s="23"/>
      <c r="M1035" s="23"/>
    </row>
    <row r="1036" spans="12:13">
      <c r="L1036" s="23"/>
      <c r="M1036" s="23"/>
    </row>
    <row r="1037" spans="12:13">
      <c r="L1037" s="23"/>
      <c r="M1037" s="23"/>
    </row>
    <row r="1038" spans="12:13">
      <c r="L1038" s="23"/>
      <c r="M1038" s="23"/>
    </row>
    <row r="1039" spans="12:13">
      <c r="L1039" s="23"/>
      <c r="M1039" s="23"/>
    </row>
    <row r="1040" spans="12:13">
      <c r="L1040" s="23"/>
      <c r="M1040" s="23"/>
    </row>
    <row r="1041" spans="12:13">
      <c r="L1041" s="23"/>
      <c r="M1041" s="23"/>
    </row>
    <row r="1042" spans="12:13">
      <c r="L1042" s="23"/>
      <c r="M1042" s="23"/>
    </row>
    <row r="1043" spans="12:13">
      <c r="L1043" s="23"/>
      <c r="M1043" s="23"/>
    </row>
    <row r="1044" spans="12:13">
      <c r="L1044" s="23"/>
      <c r="M1044" s="23"/>
    </row>
    <row r="1045" spans="12:13">
      <c r="L1045" s="23"/>
      <c r="M1045" s="23"/>
    </row>
    <row r="1046" spans="12:13">
      <c r="L1046" s="23"/>
      <c r="M1046" s="23"/>
    </row>
    <row r="1047" spans="12:13">
      <c r="L1047" s="23"/>
      <c r="M1047" s="23"/>
    </row>
    <row r="1048" spans="12:13">
      <c r="L1048" s="23"/>
      <c r="M1048" s="23"/>
    </row>
    <row r="1049" spans="12:13">
      <c r="L1049" s="23"/>
      <c r="M1049" s="23"/>
    </row>
    <row r="1050" spans="12:13">
      <c r="L1050" s="23"/>
      <c r="M1050" s="23"/>
    </row>
    <row r="1051" spans="12:13">
      <c r="L1051" s="23"/>
      <c r="M1051" s="23"/>
    </row>
    <row r="1052" spans="12:13">
      <c r="L1052" s="23"/>
      <c r="M1052" s="23"/>
    </row>
    <row r="1053" spans="12:13">
      <c r="L1053" s="23"/>
      <c r="M1053" s="23"/>
    </row>
    <row r="1054" spans="12:13">
      <c r="L1054" s="23"/>
      <c r="M1054" s="23"/>
    </row>
    <row r="1055" spans="12:13">
      <c r="L1055" s="23"/>
      <c r="M1055" s="23"/>
    </row>
    <row r="1056" spans="12:13">
      <c r="L1056" s="23"/>
      <c r="M1056" s="23"/>
    </row>
    <row r="1057" spans="12:13">
      <c r="L1057" s="23"/>
      <c r="M1057" s="23"/>
    </row>
    <row r="1058" spans="12:13">
      <c r="L1058" s="23"/>
      <c r="M1058" s="23"/>
    </row>
    <row r="1059" spans="12:13">
      <c r="L1059" s="23"/>
      <c r="M1059" s="23"/>
    </row>
    <row r="1060" spans="12:13">
      <c r="L1060" s="23"/>
      <c r="M1060" s="23"/>
    </row>
    <row r="1061" spans="12:13">
      <c r="L1061" s="23"/>
      <c r="M1061" s="23"/>
    </row>
    <row r="1062" spans="12:13">
      <c r="L1062" s="23"/>
      <c r="M1062" s="23"/>
    </row>
    <row r="1063" spans="12:13">
      <c r="L1063" s="23"/>
      <c r="M1063" s="23"/>
    </row>
    <row r="1064" spans="12:13">
      <c r="L1064" s="23"/>
      <c r="M1064" s="23"/>
    </row>
    <row r="1065" spans="12:13">
      <c r="L1065" s="23"/>
      <c r="M1065" s="23"/>
    </row>
    <row r="1066" spans="12:13">
      <c r="L1066" s="23"/>
      <c r="M1066" s="23"/>
    </row>
    <row r="1067" spans="12:13">
      <c r="L1067" s="23"/>
      <c r="M1067" s="23"/>
    </row>
    <row r="1068" spans="12:13">
      <c r="L1068" s="23"/>
      <c r="M1068" s="23"/>
    </row>
    <row r="1069" spans="12:13">
      <c r="L1069" s="23"/>
      <c r="M1069" s="23"/>
    </row>
    <row r="1070" spans="12:13">
      <c r="L1070" s="23"/>
      <c r="M1070" s="23"/>
    </row>
    <row r="1071" spans="12:13">
      <c r="L1071" s="23"/>
      <c r="M1071" s="23"/>
    </row>
    <row r="1072" spans="12:13">
      <c r="L1072" s="23"/>
      <c r="M1072" s="23"/>
    </row>
    <row r="1073" spans="12:13">
      <c r="L1073" s="23"/>
      <c r="M1073" s="23"/>
    </row>
    <row r="1074" spans="12:13">
      <c r="L1074" s="23"/>
      <c r="M1074" s="23"/>
    </row>
    <row r="1075" spans="12:13">
      <c r="L1075" s="23"/>
      <c r="M1075" s="23"/>
    </row>
    <row r="1076" spans="12:13">
      <c r="L1076" s="23"/>
      <c r="M1076" s="23"/>
    </row>
    <row r="1077" spans="12:13">
      <c r="L1077" s="23"/>
      <c r="M1077" s="23"/>
    </row>
    <row r="1078" spans="12:13">
      <c r="L1078" s="23"/>
      <c r="M1078" s="23"/>
    </row>
    <row r="1079" spans="12:13">
      <c r="L1079" s="23"/>
      <c r="M1079" s="23"/>
    </row>
    <row r="1080" spans="12:13">
      <c r="L1080" s="23"/>
      <c r="M1080" s="23"/>
    </row>
    <row r="1081" spans="12:13">
      <c r="L1081" s="23"/>
      <c r="M1081" s="23"/>
    </row>
    <row r="1082" spans="12:13">
      <c r="L1082" s="23"/>
      <c r="M1082" s="23"/>
    </row>
    <row r="1083" spans="12:13">
      <c r="L1083" s="23"/>
      <c r="M1083" s="23"/>
    </row>
    <row r="1084" spans="12:13">
      <c r="L1084" s="23"/>
      <c r="M1084" s="23"/>
    </row>
    <row r="1085" spans="12:13">
      <c r="L1085" s="23"/>
      <c r="M1085" s="23"/>
    </row>
    <row r="1086" spans="12:13">
      <c r="L1086" s="23"/>
      <c r="M1086" s="23"/>
    </row>
    <row r="1087" spans="12:13">
      <c r="L1087" s="23"/>
      <c r="M1087" s="23"/>
    </row>
    <row r="1088" spans="12:13">
      <c r="L1088" s="23"/>
      <c r="M1088" s="23"/>
    </row>
    <row r="1089" spans="12:13">
      <c r="L1089" s="23"/>
      <c r="M1089" s="23"/>
    </row>
    <row r="1090" spans="12:13">
      <c r="L1090" s="23"/>
      <c r="M1090" s="23"/>
    </row>
    <row r="1091" spans="12:13">
      <c r="L1091" s="23"/>
      <c r="M1091" s="23"/>
    </row>
    <row r="1092" spans="12:13">
      <c r="L1092" s="23"/>
      <c r="M1092" s="23"/>
    </row>
    <row r="1093" spans="12:13">
      <c r="L1093" s="23"/>
      <c r="M1093" s="23"/>
    </row>
    <row r="1094" spans="12:13">
      <c r="L1094" s="23"/>
      <c r="M1094" s="23"/>
    </row>
    <row r="1095" spans="12:13">
      <c r="L1095" s="23"/>
      <c r="M1095" s="23"/>
    </row>
    <row r="1096" spans="12:13">
      <c r="L1096" s="23"/>
      <c r="M1096" s="23"/>
    </row>
    <row r="1097" spans="12:13">
      <c r="L1097" s="23"/>
      <c r="M1097" s="23"/>
    </row>
    <row r="1098" spans="12:13">
      <c r="L1098" s="23"/>
      <c r="M1098" s="23"/>
    </row>
    <row r="1099" spans="12:13">
      <c r="L1099" s="23"/>
      <c r="M1099" s="23"/>
    </row>
    <row r="1100" spans="12:13">
      <c r="L1100" s="23"/>
      <c r="M1100" s="23"/>
    </row>
    <row r="1101" spans="12:13">
      <c r="L1101" s="23"/>
      <c r="M1101" s="23"/>
    </row>
    <row r="1102" spans="12:13">
      <c r="L1102" s="23"/>
      <c r="M1102" s="23"/>
    </row>
    <row r="1103" spans="12:13">
      <c r="L1103" s="23"/>
      <c r="M1103" s="23"/>
    </row>
    <row r="1104" spans="12:13">
      <c r="L1104" s="23"/>
      <c r="M1104" s="23"/>
    </row>
    <row r="1105" spans="12:13">
      <c r="L1105" s="23"/>
      <c r="M1105" s="23"/>
    </row>
    <row r="1106" spans="12:13">
      <c r="L1106" s="23"/>
      <c r="M1106" s="23"/>
    </row>
    <row r="1107" spans="12:13">
      <c r="L1107" s="23"/>
      <c r="M1107" s="23"/>
    </row>
    <row r="1108" spans="12:13">
      <c r="L1108" s="23"/>
      <c r="M1108" s="23"/>
    </row>
    <row r="1109" spans="12:13">
      <c r="L1109" s="23"/>
      <c r="M1109" s="23"/>
    </row>
    <row r="1110" spans="12:13">
      <c r="L1110" s="23"/>
      <c r="M1110" s="23"/>
    </row>
    <row r="1111" spans="12:13">
      <c r="L1111" s="23"/>
      <c r="M1111" s="23"/>
    </row>
    <row r="1112" spans="12:13">
      <c r="L1112" s="23"/>
      <c r="M1112" s="23"/>
    </row>
    <row r="1113" spans="12:13">
      <c r="L1113" s="23"/>
      <c r="M1113" s="23"/>
    </row>
    <row r="1114" spans="12:13">
      <c r="L1114" s="23"/>
      <c r="M1114" s="23"/>
    </row>
    <row r="1115" spans="12:13">
      <c r="L1115" s="23"/>
      <c r="M1115" s="23"/>
    </row>
    <row r="1116" spans="12:13">
      <c r="L1116" s="23"/>
      <c r="M1116" s="23"/>
    </row>
    <row r="1117" spans="12:13">
      <c r="L1117" s="23"/>
      <c r="M1117" s="23"/>
    </row>
    <row r="1118" spans="12:13">
      <c r="L1118" s="23"/>
      <c r="M1118" s="23"/>
    </row>
    <row r="1119" spans="12:13">
      <c r="L1119" s="23"/>
      <c r="M1119" s="23"/>
    </row>
    <row r="1120" spans="12:13">
      <c r="L1120" s="23"/>
      <c r="M1120" s="23"/>
    </row>
    <row r="1121" spans="12:13">
      <c r="L1121" s="23"/>
      <c r="M1121" s="23"/>
    </row>
    <row r="1122" spans="12:13">
      <c r="L1122" s="23"/>
      <c r="M1122" s="23"/>
    </row>
    <row r="1123" spans="12:13">
      <c r="L1123" s="23"/>
      <c r="M1123" s="23"/>
    </row>
    <row r="1124" spans="12:13">
      <c r="L1124" s="23"/>
      <c r="M1124" s="23"/>
    </row>
    <row r="1125" spans="12:13">
      <c r="L1125" s="23"/>
      <c r="M1125" s="23"/>
    </row>
    <row r="1126" spans="12:13">
      <c r="L1126" s="23"/>
      <c r="M1126" s="23"/>
    </row>
    <row r="1127" spans="12:13">
      <c r="L1127" s="23"/>
      <c r="M1127" s="23"/>
    </row>
    <row r="1128" spans="12:13">
      <c r="L1128" s="23"/>
      <c r="M1128" s="23"/>
    </row>
    <row r="1129" spans="12:13">
      <c r="L1129" s="23"/>
      <c r="M1129" s="23"/>
    </row>
    <row r="1130" spans="12:13">
      <c r="L1130" s="23"/>
      <c r="M1130" s="23"/>
    </row>
    <row r="1131" spans="12:13">
      <c r="L1131" s="23"/>
      <c r="M1131" s="23"/>
    </row>
    <row r="1132" spans="12:13">
      <c r="L1132" s="23"/>
      <c r="M1132" s="23"/>
    </row>
    <row r="1133" spans="12:13">
      <c r="L1133" s="23"/>
      <c r="M1133" s="23"/>
    </row>
    <row r="1134" spans="12:13">
      <c r="L1134" s="23"/>
      <c r="M1134" s="23"/>
    </row>
    <row r="1135" spans="12:13">
      <c r="L1135" s="23"/>
      <c r="M1135" s="23"/>
    </row>
    <row r="1136" spans="12:13">
      <c r="L1136" s="23"/>
      <c r="M1136" s="23"/>
    </row>
    <row r="1137" spans="12:13">
      <c r="L1137" s="23"/>
      <c r="M1137" s="23"/>
    </row>
    <row r="1138" spans="12:13">
      <c r="L1138" s="23"/>
      <c r="M1138" s="23"/>
    </row>
    <row r="1139" spans="12:13">
      <c r="L1139" s="23"/>
      <c r="M1139" s="23"/>
    </row>
    <row r="1140" spans="12:13">
      <c r="L1140" s="23"/>
      <c r="M1140" s="23"/>
    </row>
    <row r="1141" spans="12:13">
      <c r="L1141" s="23"/>
      <c r="M1141" s="23"/>
    </row>
    <row r="1142" spans="12:13">
      <c r="L1142" s="23"/>
      <c r="M1142" s="23"/>
    </row>
    <row r="1143" spans="12:13">
      <c r="L1143" s="23"/>
      <c r="M1143" s="23"/>
    </row>
    <row r="1144" spans="12:13">
      <c r="L1144" s="23"/>
      <c r="M1144" s="23"/>
    </row>
    <row r="1145" spans="12:13">
      <c r="L1145" s="23"/>
      <c r="M1145" s="23"/>
    </row>
    <row r="1146" spans="12:13">
      <c r="L1146" s="23"/>
      <c r="M1146" s="23"/>
    </row>
    <row r="1147" spans="12:13">
      <c r="L1147" s="23"/>
      <c r="M1147" s="23"/>
    </row>
    <row r="1148" spans="12:13">
      <c r="L1148" s="23"/>
      <c r="M1148" s="23"/>
    </row>
    <row r="1149" spans="12:13">
      <c r="L1149" s="23"/>
      <c r="M1149" s="23"/>
    </row>
    <row r="1150" spans="12:13">
      <c r="L1150" s="23"/>
      <c r="M1150" s="23"/>
    </row>
    <row r="1151" spans="12:13">
      <c r="L1151" s="23"/>
      <c r="M1151" s="23"/>
    </row>
    <row r="1152" spans="12:13">
      <c r="L1152" s="23"/>
      <c r="M1152" s="23"/>
    </row>
    <row r="1153" spans="12:13">
      <c r="L1153" s="23"/>
      <c r="M1153" s="23"/>
    </row>
    <row r="1154" spans="12:13">
      <c r="L1154" s="23"/>
      <c r="M1154" s="23"/>
    </row>
    <row r="1155" spans="12:13">
      <c r="L1155" s="23"/>
      <c r="M1155" s="23"/>
    </row>
    <row r="1156" spans="12:13">
      <c r="L1156" s="23"/>
      <c r="M1156" s="23"/>
    </row>
    <row r="1157" spans="12:13">
      <c r="L1157" s="23"/>
      <c r="M1157" s="23"/>
    </row>
    <row r="1158" spans="12:13">
      <c r="L1158" s="23"/>
      <c r="M1158" s="23"/>
    </row>
    <row r="1159" spans="12:13">
      <c r="L1159" s="23"/>
      <c r="M1159" s="23"/>
    </row>
    <row r="1160" spans="12:13">
      <c r="L1160" s="23"/>
      <c r="M1160" s="23"/>
    </row>
    <row r="1161" spans="12:13">
      <c r="L1161" s="23"/>
      <c r="M1161" s="23"/>
    </row>
    <row r="1162" spans="12:13">
      <c r="L1162" s="23"/>
      <c r="M1162" s="23"/>
    </row>
    <row r="1163" spans="12:13">
      <c r="L1163" s="23"/>
      <c r="M1163" s="23"/>
    </row>
    <row r="1164" spans="12:13">
      <c r="L1164" s="23"/>
      <c r="M1164" s="23"/>
    </row>
    <row r="1165" spans="12:13">
      <c r="L1165" s="23"/>
      <c r="M1165" s="23"/>
    </row>
    <row r="1166" spans="12:13">
      <c r="L1166" s="23"/>
      <c r="M1166" s="23"/>
    </row>
    <row r="1167" spans="12:13">
      <c r="L1167" s="23"/>
      <c r="M1167" s="23"/>
    </row>
    <row r="1168" spans="12:13">
      <c r="L1168" s="23"/>
      <c r="M1168" s="23"/>
    </row>
    <row r="1169" spans="12:13">
      <c r="L1169" s="23"/>
      <c r="M1169" s="23"/>
    </row>
    <row r="1170" spans="12:13">
      <c r="L1170" s="23"/>
      <c r="M1170" s="23"/>
    </row>
    <row r="1171" spans="12:13">
      <c r="L1171" s="23"/>
      <c r="M1171" s="23"/>
    </row>
    <row r="1172" spans="12:13">
      <c r="L1172" s="23"/>
      <c r="M1172" s="23"/>
    </row>
    <row r="1173" spans="12:13">
      <c r="L1173" s="23"/>
      <c r="M1173" s="23"/>
    </row>
    <row r="1174" spans="12:13">
      <c r="L1174" s="23"/>
      <c r="M1174" s="23"/>
    </row>
    <row r="1175" spans="12:13">
      <c r="L1175" s="23"/>
      <c r="M1175" s="23"/>
    </row>
    <row r="1176" spans="12:13">
      <c r="L1176" s="23"/>
      <c r="M1176" s="23"/>
    </row>
    <row r="1177" spans="12:13">
      <c r="L1177" s="23"/>
      <c r="M1177" s="23"/>
    </row>
    <row r="1178" spans="12:13">
      <c r="L1178" s="23"/>
      <c r="M1178" s="23"/>
    </row>
    <row r="1179" spans="12:13">
      <c r="L1179" s="23"/>
      <c r="M1179" s="23"/>
    </row>
    <row r="1180" spans="12:13">
      <c r="L1180" s="23"/>
      <c r="M1180" s="23"/>
    </row>
    <row r="1181" spans="12:13">
      <c r="L1181" s="23"/>
      <c r="M1181" s="23"/>
    </row>
    <row r="1182" spans="12:13">
      <c r="L1182" s="23"/>
      <c r="M1182" s="23"/>
    </row>
    <row r="1183" spans="12:13">
      <c r="L1183" s="23"/>
      <c r="M1183" s="23"/>
    </row>
    <row r="1184" spans="12:13">
      <c r="L1184" s="23"/>
      <c r="M1184" s="23"/>
    </row>
    <row r="1185" spans="12:13">
      <c r="L1185" s="23"/>
      <c r="M1185" s="23"/>
    </row>
    <row r="1186" spans="12:13">
      <c r="L1186" s="23"/>
      <c r="M1186" s="23"/>
    </row>
    <row r="1187" spans="12:13">
      <c r="L1187" s="23"/>
      <c r="M1187" s="23"/>
    </row>
    <row r="1188" spans="12:13">
      <c r="L1188" s="23"/>
      <c r="M1188" s="23"/>
    </row>
    <row r="1189" spans="12:13">
      <c r="L1189" s="23"/>
      <c r="M1189" s="23"/>
    </row>
    <row r="1190" spans="12:13">
      <c r="L1190" s="23"/>
      <c r="M1190" s="23"/>
    </row>
    <row r="1191" spans="12:13">
      <c r="L1191" s="23"/>
      <c r="M1191" s="23"/>
    </row>
    <row r="1192" spans="12:13">
      <c r="L1192" s="23"/>
      <c r="M1192" s="23"/>
    </row>
    <row r="1193" spans="12:13">
      <c r="L1193" s="23"/>
      <c r="M1193" s="23"/>
    </row>
    <row r="1194" spans="12:13">
      <c r="L1194" s="23"/>
      <c r="M1194" s="23"/>
    </row>
    <row r="1195" spans="12:13">
      <c r="L1195" s="23"/>
      <c r="M1195" s="23"/>
    </row>
    <row r="1196" spans="12:13">
      <c r="L1196" s="23"/>
      <c r="M1196" s="23"/>
    </row>
    <row r="1197" spans="12:13">
      <c r="L1197" s="23"/>
      <c r="M1197" s="23"/>
    </row>
    <row r="1198" spans="12:13">
      <c r="L1198" s="23"/>
      <c r="M1198" s="23"/>
    </row>
    <row r="1199" spans="12:13">
      <c r="L1199" s="23"/>
      <c r="M1199" s="23"/>
    </row>
    <row r="1200" spans="12:13">
      <c r="L1200" s="23"/>
      <c r="M1200" s="23"/>
    </row>
    <row r="1201" spans="12:13">
      <c r="L1201" s="23"/>
      <c r="M1201" s="23"/>
    </row>
    <row r="1202" spans="12:13">
      <c r="L1202" s="23"/>
      <c r="M1202" s="23"/>
    </row>
    <row r="1203" spans="12:13">
      <c r="L1203" s="23"/>
      <c r="M1203" s="23"/>
    </row>
    <row r="1204" spans="12:13">
      <c r="L1204" s="23"/>
      <c r="M1204" s="23"/>
    </row>
    <row r="1205" spans="12:13">
      <c r="L1205" s="23"/>
      <c r="M1205" s="23"/>
    </row>
    <row r="1206" spans="12:13">
      <c r="L1206" s="23"/>
      <c r="M1206" s="23"/>
    </row>
    <row r="1207" spans="12:13">
      <c r="L1207" s="23"/>
      <c r="M1207" s="23"/>
    </row>
    <row r="1208" spans="12:13">
      <c r="L1208" s="23"/>
      <c r="M1208" s="23"/>
    </row>
    <row r="1209" spans="12:13">
      <c r="L1209" s="23"/>
      <c r="M1209" s="23"/>
    </row>
    <row r="1210" spans="12:13">
      <c r="L1210" s="23"/>
      <c r="M1210" s="23"/>
    </row>
    <row r="1211" spans="12:13">
      <c r="L1211" s="23"/>
      <c r="M1211" s="23"/>
    </row>
    <row r="1212" spans="12:13">
      <c r="L1212" s="23"/>
      <c r="M1212" s="23"/>
    </row>
    <row r="1213" spans="12:13">
      <c r="L1213" s="23"/>
      <c r="M1213" s="23"/>
    </row>
    <row r="1214" spans="12:13">
      <c r="L1214" s="23"/>
      <c r="M1214" s="23"/>
    </row>
    <row r="1215" spans="12:13">
      <c r="L1215" s="23"/>
      <c r="M1215" s="23"/>
    </row>
    <row r="1216" spans="12:13">
      <c r="L1216" s="23"/>
      <c r="M1216" s="23"/>
    </row>
    <row r="1217" spans="12:13">
      <c r="L1217" s="23"/>
      <c r="M1217" s="23"/>
    </row>
    <row r="1218" spans="12:13">
      <c r="L1218" s="23"/>
      <c r="M1218" s="23"/>
    </row>
    <row r="1219" spans="12:13">
      <c r="L1219" s="23"/>
      <c r="M1219" s="23"/>
    </row>
    <row r="1220" spans="12:13">
      <c r="L1220" s="23"/>
      <c r="M1220" s="23"/>
    </row>
    <row r="1221" spans="12:13">
      <c r="L1221" s="23"/>
      <c r="M1221" s="23"/>
    </row>
    <row r="1222" spans="12:13">
      <c r="L1222" s="23"/>
      <c r="M1222" s="23"/>
    </row>
    <row r="1223" spans="12:13">
      <c r="L1223" s="23"/>
      <c r="M1223" s="23"/>
    </row>
    <row r="1224" spans="12:13">
      <c r="L1224" s="23"/>
      <c r="M1224" s="23"/>
    </row>
    <row r="1225" spans="12:13">
      <c r="L1225" s="23"/>
      <c r="M1225" s="23"/>
    </row>
    <row r="1226" spans="12:13">
      <c r="L1226" s="23"/>
      <c r="M1226" s="23"/>
    </row>
    <row r="1227" spans="12:13">
      <c r="L1227" s="23"/>
      <c r="M1227" s="23"/>
    </row>
    <row r="1228" spans="12:13">
      <c r="L1228" s="23"/>
      <c r="M1228" s="23"/>
    </row>
    <row r="1229" spans="12:13">
      <c r="L1229" s="23"/>
      <c r="M1229" s="23"/>
    </row>
    <row r="1230" spans="12:13">
      <c r="L1230" s="23"/>
      <c r="M1230" s="23"/>
    </row>
    <row r="1231" spans="12:13">
      <c r="L1231" s="23"/>
      <c r="M1231" s="23"/>
    </row>
    <row r="1232" spans="12:13">
      <c r="L1232" s="23"/>
      <c r="M1232" s="23"/>
    </row>
    <row r="1233" spans="12:13">
      <c r="L1233" s="23"/>
      <c r="M1233" s="23"/>
    </row>
    <row r="1234" spans="12:13">
      <c r="L1234" s="23"/>
      <c r="M1234" s="23"/>
    </row>
    <row r="1235" spans="12:13">
      <c r="L1235" s="23"/>
      <c r="M1235" s="23"/>
    </row>
    <row r="1236" spans="12:13">
      <c r="L1236" s="23"/>
      <c r="M1236" s="23"/>
    </row>
    <row r="1237" spans="12:13">
      <c r="L1237" s="23"/>
      <c r="M1237" s="23"/>
    </row>
    <row r="1238" spans="12:13">
      <c r="L1238" s="23"/>
      <c r="M1238" s="23"/>
    </row>
    <row r="1239" spans="12:13">
      <c r="L1239" s="23"/>
      <c r="M1239" s="23"/>
    </row>
    <row r="1240" spans="12:13">
      <c r="L1240" s="23"/>
      <c r="M1240" s="23"/>
    </row>
    <row r="1241" spans="12:13">
      <c r="L1241" s="23"/>
      <c r="M1241" s="23"/>
    </row>
    <row r="1242" spans="12:13">
      <c r="L1242" s="23"/>
      <c r="M1242" s="23"/>
    </row>
    <row r="1243" spans="12:13">
      <c r="L1243" s="23"/>
      <c r="M1243" s="23"/>
    </row>
    <row r="1244" spans="12:13">
      <c r="L1244" s="23"/>
      <c r="M1244" s="23"/>
    </row>
    <row r="1245" spans="12:13">
      <c r="L1245" s="23"/>
      <c r="M1245" s="23"/>
    </row>
    <row r="1246" spans="12:13">
      <c r="L1246" s="23"/>
      <c r="M1246" s="23"/>
    </row>
    <row r="1247" spans="12:13">
      <c r="L1247" s="23"/>
      <c r="M1247" s="23"/>
    </row>
    <row r="1248" spans="12:13">
      <c r="L1248" s="23"/>
      <c r="M1248" s="23"/>
    </row>
    <row r="1249" spans="12:13">
      <c r="L1249" s="23"/>
      <c r="M1249" s="23"/>
    </row>
    <row r="1250" spans="12:13">
      <c r="L1250" s="23"/>
      <c r="M1250" s="23"/>
    </row>
    <row r="1251" spans="12:13">
      <c r="L1251" s="23"/>
      <c r="M1251" s="23"/>
    </row>
    <row r="1252" spans="12:13">
      <c r="L1252" s="23"/>
      <c r="M1252" s="23"/>
    </row>
    <row r="1253" spans="12:13">
      <c r="L1253" s="23"/>
      <c r="M1253" s="23"/>
    </row>
    <row r="1254" spans="12:13">
      <c r="L1254" s="23"/>
      <c r="M1254" s="23"/>
    </row>
    <row r="1255" spans="12:13">
      <c r="L1255" s="23"/>
      <c r="M1255" s="23"/>
    </row>
    <row r="1256" spans="12:13">
      <c r="L1256" s="23"/>
      <c r="M1256" s="23"/>
    </row>
    <row r="1257" spans="12:13">
      <c r="L1257" s="23"/>
      <c r="M1257" s="23"/>
    </row>
    <row r="1258" spans="12:13">
      <c r="L1258" s="23"/>
      <c r="M1258" s="23"/>
    </row>
    <row r="1259" spans="12:13">
      <c r="L1259" s="23"/>
      <c r="M1259" s="23"/>
    </row>
    <row r="1260" spans="12:13">
      <c r="L1260" s="23"/>
      <c r="M1260" s="23"/>
    </row>
    <row r="1261" spans="12:13">
      <c r="L1261" s="23"/>
      <c r="M1261" s="23"/>
    </row>
    <row r="1262" spans="12:13">
      <c r="L1262" s="23"/>
      <c r="M1262" s="23"/>
    </row>
    <row r="1263" spans="12:13">
      <c r="L1263" s="23"/>
      <c r="M1263" s="23"/>
    </row>
    <row r="1264" spans="12:13">
      <c r="L1264" s="23"/>
      <c r="M1264" s="23"/>
    </row>
    <row r="1265" spans="12:13">
      <c r="L1265" s="23"/>
      <c r="M1265" s="23"/>
    </row>
    <row r="1266" spans="12:13">
      <c r="L1266" s="23"/>
      <c r="M1266" s="23"/>
    </row>
    <row r="1267" spans="12:13">
      <c r="L1267" s="23"/>
      <c r="M1267" s="23"/>
    </row>
    <row r="1268" spans="12:13">
      <c r="L1268" s="23"/>
      <c r="M1268" s="23"/>
    </row>
    <row r="1269" spans="12:13">
      <c r="L1269" s="23"/>
      <c r="M1269" s="23"/>
    </row>
    <row r="1270" spans="12:13">
      <c r="L1270" s="23"/>
      <c r="M1270" s="23"/>
    </row>
    <row r="1271" spans="12:13">
      <c r="L1271" s="23"/>
      <c r="M1271" s="23"/>
    </row>
    <row r="1272" spans="12:13">
      <c r="L1272" s="23"/>
      <c r="M1272" s="23"/>
    </row>
    <row r="1273" spans="12:13">
      <c r="L1273" s="23"/>
      <c r="M1273" s="23"/>
    </row>
    <row r="1274" spans="12:13">
      <c r="L1274" s="23"/>
      <c r="M1274" s="23"/>
    </row>
    <row r="1275" spans="12:13">
      <c r="L1275" s="23"/>
      <c r="M1275" s="23"/>
    </row>
    <row r="1276" spans="12:13">
      <c r="L1276" s="23"/>
      <c r="M1276" s="23"/>
    </row>
    <row r="1277" spans="12:13">
      <c r="L1277" s="23"/>
      <c r="M1277" s="23"/>
    </row>
    <row r="1278" spans="12:13">
      <c r="L1278" s="23"/>
      <c r="M1278" s="23"/>
    </row>
    <row r="1279" spans="12:13">
      <c r="L1279" s="23"/>
      <c r="M1279" s="23"/>
    </row>
    <row r="1280" spans="12:13">
      <c r="L1280" s="23"/>
      <c r="M1280" s="23"/>
    </row>
    <row r="1281" spans="12:13">
      <c r="L1281" s="23"/>
      <c r="M1281" s="23"/>
    </row>
    <row r="1282" spans="12:13">
      <c r="L1282" s="23"/>
      <c r="M1282" s="23"/>
    </row>
    <row r="1283" spans="12:13">
      <c r="L1283" s="23"/>
      <c r="M1283" s="23"/>
    </row>
    <row r="1284" spans="12:13">
      <c r="L1284" s="23"/>
      <c r="M1284" s="23"/>
    </row>
    <row r="1285" spans="12:13">
      <c r="L1285" s="23"/>
      <c r="M1285" s="23"/>
    </row>
    <row r="1286" spans="12:13">
      <c r="L1286" s="23"/>
      <c r="M1286" s="23"/>
    </row>
    <row r="1287" spans="12:13">
      <c r="L1287" s="23"/>
      <c r="M1287" s="23"/>
    </row>
    <row r="1288" spans="12:13">
      <c r="L1288" s="23"/>
      <c r="M1288" s="23"/>
    </row>
    <row r="1289" spans="12:13">
      <c r="L1289" s="23"/>
      <c r="M1289" s="23"/>
    </row>
    <row r="1290" spans="12:13">
      <c r="L1290" s="23"/>
      <c r="M1290" s="23"/>
    </row>
    <row r="1291" spans="12:13">
      <c r="L1291" s="23"/>
      <c r="M1291" s="23"/>
    </row>
    <row r="1292" spans="12:13">
      <c r="L1292" s="23"/>
      <c r="M1292" s="23"/>
    </row>
    <row r="1293" spans="12:13">
      <c r="L1293" s="23"/>
      <c r="M1293" s="23"/>
    </row>
    <row r="1294" spans="12:13">
      <c r="L1294" s="23"/>
      <c r="M1294" s="23"/>
    </row>
    <row r="1295" spans="12:13">
      <c r="L1295" s="23"/>
      <c r="M1295" s="23"/>
    </row>
    <row r="1296" spans="12:13">
      <c r="L1296" s="23"/>
      <c r="M1296" s="23"/>
    </row>
    <row r="1297" spans="12:13">
      <c r="L1297" s="23"/>
      <c r="M1297" s="23"/>
    </row>
    <row r="1298" spans="12:13">
      <c r="L1298" s="23"/>
      <c r="M1298" s="23"/>
    </row>
    <row r="1299" spans="12:13">
      <c r="L1299" s="23"/>
      <c r="M1299" s="23"/>
    </row>
    <row r="1300" spans="12:13">
      <c r="L1300" s="23"/>
      <c r="M1300" s="23"/>
    </row>
    <row r="1301" spans="12:13">
      <c r="L1301" s="23"/>
      <c r="M1301" s="23"/>
    </row>
    <row r="1302" spans="12:13">
      <c r="L1302" s="23"/>
      <c r="M1302" s="23"/>
    </row>
    <row r="1303" spans="12:13">
      <c r="L1303" s="23"/>
      <c r="M1303" s="23"/>
    </row>
    <row r="1304" spans="12:13">
      <c r="L1304" s="23"/>
      <c r="M1304" s="23"/>
    </row>
    <row r="1305" spans="12:13">
      <c r="L1305" s="23"/>
      <c r="M1305" s="23"/>
    </row>
    <row r="1306" spans="12:13">
      <c r="L1306" s="23"/>
      <c r="M1306" s="23"/>
    </row>
    <row r="1307" spans="12:13">
      <c r="L1307" s="23"/>
      <c r="M1307" s="23"/>
    </row>
    <row r="1308" spans="12:13">
      <c r="L1308" s="23"/>
      <c r="M1308" s="23"/>
    </row>
    <row r="1309" spans="12:13">
      <c r="L1309" s="23"/>
      <c r="M1309" s="23"/>
    </row>
    <row r="1310" spans="12:13">
      <c r="L1310" s="23"/>
      <c r="M1310" s="23"/>
    </row>
    <row r="1311" spans="12:13">
      <c r="L1311" s="23"/>
      <c r="M1311" s="23"/>
    </row>
    <row r="1312" spans="12:13">
      <c r="L1312" s="23"/>
      <c r="M1312" s="23"/>
    </row>
    <row r="1313" spans="12:13">
      <c r="L1313" s="23"/>
      <c r="M1313" s="23"/>
    </row>
    <row r="1314" spans="12:13">
      <c r="L1314" s="23"/>
      <c r="M1314" s="23"/>
    </row>
    <row r="1315" spans="12:13">
      <c r="L1315" s="23"/>
      <c r="M1315" s="23"/>
    </row>
    <row r="1316" spans="12:13">
      <c r="L1316" s="23"/>
      <c r="M1316" s="23"/>
    </row>
    <row r="1317" spans="12:13">
      <c r="L1317" s="23"/>
      <c r="M1317" s="23"/>
    </row>
    <row r="1318" spans="12:13">
      <c r="L1318" s="23"/>
      <c r="M1318" s="23"/>
    </row>
    <row r="1319" spans="12:13">
      <c r="L1319" s="23"/>
      <c r="M1319" s="23"/>
    </row>
    <row r="1320" spans="12:13">
      <c r="L1320" s="23"/>
      <c r="M1320" s="23"/>
    </row>
    <row r="1321" spans="12:13">
      <c r="L1321" s="23"/>
      <c r="M1321" s="23"/>
    </row>
    <row r="1322" spans="12:13">
      <c r="L1322" s="23"/>
      <c r="M1322" s="23"/>
    </row>
    <row r="1323" spans="12:13">
      <c r="L1323" s="23"/>
      <c r="M1323" s="23"/>
    </row>
    <row r="1324" spans="12:13">
      <c r="L1324" s="23"/>
      <c r="M1324" s="23"/>
    </row>
    <row r="1325" spans="12:13">
      <c r="L1325" s="23"/>
      <c r="M1325" s="23"/>
    </row>
    <row r="1326" spans="12:13">
      <c r="L1326" s="23"/>
      <c r="M1326" s="23"/>
    </row>
    <row r="1327" spans="12:13">
      <c r="L1327" s="23"/>
      <c r="M1327" s="23"/>
    </row>
    <row r="1328" spans="12:13">
      <c r="L1328" s="23"/>
      <c r="M1328" s="23"/>
    </row>
    <row r="1329" spans="12:13">
      <c r="L1329" s="23"/>
      <c r="M1329" s="23"/>
    </row>
    <row r="1330" spans="12:13">
      <c r="L1330" s="23"/>
      <c r="M1330" s="23"/>
    </row>
    <row r="1331" spans="12:13">
      <c r="L1331" s="23"/>
      <c r="M1331" s="23"/>
    </row>
    <row r="1332" spans="12:13">
      <c r="L1332" s="23"/>
      <c r="M1332" s="23"/>
    </row>
    <row r="1333" spans="12:13">
      <c r="L1333" s="23"/>
      <c r="M1333" s="23"/>
    </row>
    <row r="1334" spans="12:13">
      <c r="L1334" s="23"/>
      <c r="M1334" s="23"/>
    </row>
    <row r="1335" spans="12:13">
      <c r="L1335" s="23"/>
      <c r="M1335" s="23"/>
    </row>
    <row r="1336" spans="12:13">
      <c r="L1336" s="23"/>
      <c r="M1336" s="23"/>
    </row>
    <row r="1337" spans="12:13">
      <c r="L1337" s="23"/>
      <c r="M1337" s="23"/>
    </row>
    <row r="1338" spans="12:13">
      <c r="L1338" s="23"/>
      <c r="M1338" s="23"/>
    </row>
    <row r="1339" spans="12:13">
      <c r="L1339" s="23"/>
      <c r="M1339" s="23"/>
    </row>
    <row r="1340" spans="12:13">
      <c r="L1340" s="23"/>
      <c r="M1340" s="23"/>
    </row>
    <row r="1341" spans="12:13">
      <c r="L1341" s="23"/>
      <c r="M1341" s="23"/>
    </row>
    <row r="1342" spans="12:13">
      <c r="L1342" s="23"/>
      <c r="M1342" s="23"/>
    </row>
    <row r="1343" spans="12:13">
      <c r="L1343" s="23"/>
      <c r="M1343" s="23"/>
    </row>
    <row r="1344" spans="12:13">
      <c r="L1344" s="23"/>
      <c r="M1344" s="23"/>
    </row>
    <row r="1345" spans="12:13">
      <c r="L1345" s="23"/>
      <c r="M1345" s="23"/>
    </row>
    <row r="1346" spans="12:13">
      <c r="L1346" s="23"/>
      <c r="M1346" s="23"/>
    </row>
    <row r="1347" spans="12:13">
      <c r="L1347" s="23"/>
      <c r="M1347" s="23"/>
    </row>
    <row r="1348" spans="12:13">
      <c r="L1348" s="23"/>
      <c r="M1348" s="23"/>
    </row>
    <row r="1349" spans="12:13">
      <c r="L1349" s="23"/>
      <c r="M1349" s="23"/>
    </row>
    <row r="1350" spans="12:13">
      <c r="L1350" s="23"/>
      <c r="M1350" s="23"/>
    </row>
    <row r="1351" spans="12:13">
      <c r="L1351" s="23"/>
      <c r="M1351" s="23"/>
    </row>
    <row r="1352" spans="12:13">
      <c r="L1352" s="23"/>
      <c r="M1352" s="23"/>
    </row>
    <row r="1353" spans="12:13">
      <c r="L1353" s="23"/>
      <c r="M1353" s="23"/>
    </row>
    <row r="1354" spans="12:13">
      <c r="L1354" s="23"/>
      <c r="M1354" s="23"/>
    </row>
    <row r="1355" spans="12:13">
      <c r="L1355" s="23"/>
      <c r="M1355" s="23"/>
    </row>
    <row r="1356" spans="12:13">
      <c r="L1356" s="23"/>
      <c r="M1356" s="23"/>
    </row>
    <row r="1357" spans="12:13">
      <c r="L1357" s="23"/>
      <c r="M1357" s="23"/>
    </row>
    <row r="1358" spans="12:13">
      <c r="L1358" s="23"/>
      <c r="M1358" s="23"/>
    </row>
    <row r="1359" spans="12:13">
      <c r="L1359" s="23"/>
      <c r="M1359" s="23"/>
    </row>
    <row r="1360" spans="12:13">
      <c r="L1360" s="23"/>
      <c r="M1360" s="23"/>
    </row>
    <row r="1361" spans="12:13">
      <c r="L1361" s="23"/>
      <c r="M1361" s="23"/>
    </row>
    <row r="1362" spans="12:13">
      <c r="L1362" s="23"/>
      <c r="M1362" s="23"/>
    </row>
    <row r="1363" spans="12:13">
      <c r="L1363" s="23"/>
      <c r="M1363" s="23"/>
    </row>
    <row r="1364" spans="12:13">
      <c r="L1364" s="23"/>
      <c r="M1364" s="23"/>
    </row>
    <row r="1365" spans="12:13">
      <c r="L1365" s="23"/>
      <c r="M1365" s="23"/>
    </row>
    <row r="1366" spans="12:13">
      <c r="L1366" s="23"/>
      <c r="M1366" s="23"/>
    </row>
    <row r="1367" spans="12:13">
      <c r="L1367" s="23"/>
      <c r="M1367" s="23"/>
    </row>
    <row r="1368" spans="12:13">
      <c r="L1368" s="23"/>
      <c r="M1368" s="23"/>
    </row>
    <row r="1369" spans="12:13">
      <c r="L1369" s="23"/>
      <c r="M1369" s="23"/>
    </row>
    <row r="1370" spans="12:13">
      <c r="L1370" s="23"/>
      <c r="M1370" s="23"/>
    </row>
    <row r="1371" spans="12:13">
      <c r="L1371" s="23"/>
      <c r="M1371" s="23"/>
    </row>
    <row r="1372" spans="12:13">
      <c r="L1372" s="23"/>
      <c r="M1372" s="23"/>
    </row>
    <row r="1373" spans="12:13">
      <c r="L1373" s="23"/>
      <c r="M1373" s="23"/>
    </row>
    <row r="1374" spans="12:13">
      <c r="L1374" s="23"/>
      <c r="M1374" s="23"/>
    </row>
    <row r="1375" spans="12:13">
      <c r="L1375" s="23"/>
      <c r="M1375" s="23"/>
    </row>
    <row r="1376" spans="12:13">
      <c r="L1376" s="23"/>
      <c r="M1376" s="23"/>
    </row>
    <row r="1377" spans="12:13">
      <c r="L1377" s="23"/>
      <c r="M1377" s="23"/>
    </row>
    <row r="1378" spans="12:13">
      <c r="L1378" s="23"/>
      <c r="M1378" s="23"/>
    </row>
    <row r="1379" spans="12:13">
      <c r="L1379" s="23"/>
      <c r="M1379" s="23"/>
    </row>
    <row r="1380" spans="12:13">
      <c r="L1380" s="23"/>
      <c r="M1380" s="23"/>
    </row>
    <row r="1381" spans="12:13">
      <c r="L1381" s="23"/>
      <c r="M1381" s="23"/>
    </row>
    <row r="1382" spans="12:13">
      <c r="L1382" s="23"/>
      <c r="M1382" s="23"/>
    </row>
    <row r="1383" spans="12:13">
      <c r="L1383" s="23"/>
      <c r="M1383" s="23"/>
    </row>
    <row r="1384" spans="12:13">
      <c r="L1384" s="23"/>
      <c r="M1384" s="23"/>
    </row>
    <row r="1385" spans="12:13">
      <c r="L1385" s="23"/>
      <c r="M1385" s="23"/>
    </row>
    <row r="1386" spans="12:13">
      <c r="L1386" s="23"/>
      <c r="M1386" s="23"/>
    </row>
    <row r="1387" spans="12:13">
      <c r="L1387" s="23"/>
      <c r="M1387" s="23"/>
    </row>
    <row r="1388" spans="12:13">
      <c r="L1388" s="23"/>
      <c r="M1388" s="23"/>
    </row>
    <row r="1389" spans="12:13">
      <c r="L1389" s="23"/>
      <c r="M1389" s="23"/>
    </row>
    <row r="1390" spans="12:13">
      <c r="L1390" s="23"/>
      <c r="M1390" s="23"/>
    </row>
    <row r="1391" spans="12:13">
      <c r="L1391" s="23"/>
      <c r="M1391" s="23"/>
    </row>
    <row r="1392" spans="12:13">
      <c r="L1392" s="23"/>
      <c r="M1392" s="23"/>
    </row>
    <row r="1393" spans="12:13">
      <c r="L1393" s="23"/>
      <c r="M1393" s="23"/>
    </row>
    <row r="1394" spans="12:13">
      <c r="L1394" s="23"/>
      <c r="M1394" s="23"/>
    </row>
    <row r="1395" spans="12:13">
      <c r="L1395" s="23"/>
      <c r="M1395" s="23"/>
    </row>
    <row r="1396" spans="12:13">
      <c r="L1396" s="23"/>
      <c r="M1396" s="23"/>
    </row>
    <row r="1397" spans="12:13">
      <c r="L1397" s="23"/>
      <c r="M1397" s="23"/>
    </row>
    <row r="1398" spans="12:13">
      <c r="L1398" s="23"/>
      <c r="M1398" s="23"/>
    </row>
    <row r="1399" spans="12:13">
      <c r="L1399" s="23"/>
      <c r="M1399" s="23"/>
    </row>
    <row r="1400" spans="12:13">
      <c r="L1400" s="23"/>
      <c r="M1400" s="23"/>
    </row>
    <row r="1401" spans="12:13">
      <c r="L1401" s="23"/>
      <c r="M1401" s="23"/>
    </row>
    <row r="1402" spans="12:13">
      <c r="L1402" s="23"/>
      <c r="M1402" s="23"/>
    </row>
    <row r="1403" spans="12:13">
      <c r="L1403" s="23"/>
      <c r="M1403" s="23"/>
    </row>
    <row r="1404" spans="12:13">
      <c r="L1404" s="23"/>
      <c r="M1404" s="23"/>
    </row>
    <row r="1405" spans="12:13">
      <c r="L1405" s="23"/>
      <c r="M1405" s="23"/>
    </row>
    <row r="1406" spans="12:13">
      <c r="L1406" s="23"/>
      <c r="M1406" s="23"/>
    </row>
    <row r="1407" spans="12:13">
      <c r="L1407" s="23"/>
      <c r="M1407" s="23"/>
    </row>
    <row r="1408" spans="12:13">
      <c r="L1408" s="23"/>
      <c r="M1408" s="23"/>
    </row>
    <row r="1409" spans="12:13">
      <c r="L1409" s="23"/>
      <c r="M1409" s="23"/>
    </row>
    <row r="1410" spans="12:13">
      <c r="L1410" s="23"/>
      <c r="M1410" s="23"/>
    </row>
    <row r="1411" spans="12:13">
      <c r="L1411" s="23"/>
      <c r="M1411" s="23"/>
    </row>
    <row r="1412" spans="12:13">
      <c r="L1412" s="23"/>
      <c r="M1412" s="23"/>
    </row>
    <row r="1413" spans="12:13">
      <c r="L1413" s="23"/>
      <c r="M1413" s="23"/>
    </row>
    <row r="1414" spans="12:13">
      <c r="L1414" s="23"/>
      <c r="M1414" s="23"/>
    </row>
    <row r="1415" spans="12:13">
      <c r="L1415" s="23"/>
      <c r="M1415" s="23"/>
    </row>
    <row r="1416" spans="12:13">
      <c r="L1416" s="23"/>
      <c r="M1416" s="23"/>
    </row>
    <row r="1417" spans="12:13">
      <c r="L1417" s="23"/>
      <c r="M1417" s="23"/>
    </row>
    <row r="1418" spans="12:13">
      <c r="L1418" s="23"/>
      <c r="M1418" s="23"/>
    </row>
    <row r="1419" spans="12:13">
      <c r="L1419" s="23"/>
      <c r="M1419" s="23"/>
    </row>
    <row r="1420" spans="12:13">
      <c r="L1420" s="23"/>
      <c r="M1420" s="23"/>
    </row>
    <row r="1421" spans="12:13">
      <c r="L1421" s="23"/>
      <c r="M1421" s="23"/>
    </row>
    <row r="1422" spans="12:13">
      <c r="L1422" s="23"/>
      <c r="M1422" s="23"/>
    </row>
    <row r="1423" spans="12:13">
      <c r="L1423" s="23"/>
      <c r="M1423" s="23"/>
    </row>
    <row r="1424" spans="12:13">
      <c r="L1424" s="23"/>
      <c r="M1424" s="23"/>
    </row>
    <row r="1425" spans="12:13">
      <c r="L1425" s="23"/>
      <c r="M1425" s="23"/>
    </row>
    <row r="1426" spans="12:13">
      <c r="L1426" s="23"/>
      <c r="M1426" s="23"/>
    </row>
    <row r="1427" spans="12:13">
      <c r="L1427" s="23"/>
      <c r="M1427" s="23"/>
    </row>
    <row r="1428" spans="12:13">
      <c r="L1428" s="23"/>
      <c r="M1428" s="23"/>
    </row>
    <row r="1429" spans="12:13">
      <c r="L1429" s="23"/>
      <c r="M1429" s="23"/>
    </row>
    <row r="1430" spans="12:13">
      <c r="L1430" s="23"/>
      <c r="M1430" s="23"/>
    </row>
    <row r="1431" spans="12:13">
      <c r="L1431" s="23"/>
      <c r="M1431" s="23"/>
    </row>
    <row r="1432" spans="12:13">
      <c r="L1432" s="23"/>
      <c r="M1432" s="23"/>
    </row>
    <row r="1433" spans="12:13">
      <c r="L1433" s="23"/>
      <c r="M1433" s="23"/>
    </row>
    <row r="1434" spans="12:13">
      <c r="L1434" s="23"/>
      <c r="M1434" s="23"/>
    </row>
    <row r="1435" spans="12:13">
      <c r="L1435" s="23"/>
      <c r="M1435" s="23"/>
    </row>
    <row r="1436" spans="12:13">
      <c r="L1436" s="23"/>
      <c r="M1436" s="23"/>
    </row>
    <row r="1437" spans="12:13">
      <c r="L1437" s="23"/>
      <c r="M1437" s="23"/>
    </row>
    <row r="1438" spans="12:13">
      <c r="L1438" s="23"/>
      <c r="M1438" s="23"/>
    </row>
    <row r="1439" spans="12:13">
      <c r="L1439" s="23"/>
      <c r="M1439" s="23"/>
    </row>
    <row r="1440" spans="12:13">
      <c r="L1440" s="23"/>
      <c r="M1440" s="23"/>
    </row>
    <row r="1441" spans="12:13">
      <c r="L1441" s="23"/>
      <c r="M1441" s="23"/>
    </row>
    <row r="1442" spans="12:13">
      <c r="L1442" s="23"/>
      <c r="M1442" s="23"/>
    </row>
    <row r="1443" spans="12:13">
      <c r="L1443" s="23"/>
      <c r="M1443" s="23"/>
    </row>
    <row r="1444" spans="12:13">
      <c r="L1444" s="23"/>
      <c r="M1444" s="23"/>
    </row>
    <row r="1445" spans="12:13">
      <c r="L1445" s="23"/>
      <c r="M1445" s="23"/>
    </row>
    <row r="1446" spans="12:13">
      <c r="L1446" s="23"/>
      <c r="M1446" s="23"/>
    </row>
    <row r="1447" spans="12:13">
      <c r="L1447" s="23"/>
      <c r="M1447" s="23"/>
    </row>
    <row r="1448" spans="12:13">
      <c r="L1448" s="23"/>
      <c r="M1448" s="23"/>
    </row>
    <row r="1449" spans="12:13">
      <c r="L1449" s="23"/>
      <c r="M1449" s="23"/>
    </row>
    <row r="1450" spans="12:13">
      <c r="L1450" s="23"/>
      <c r="M1450" s="23"/>
    </row>
    <row r="1451" spans="12:13">
      <c r="L1451" s="23"/>
      <c r="M1451" s="23"/>
    </row>
    <row r="1452" spans="12:13">
      <c r="L1452" s="23"/>
      <c r="M1452" s="23"/>
    </row>
    <row r="1453" spans="12:13">
      <c r="L1453" s="23"/>
      <c r="M1453" s="23"/>
    </row>
    <row r="1454" spans="12:13">
      <c r="L1454" s="23"/>
      <c r="M1454" s="23"/>
    </row>
    <row r="1455" spans="12:13">
      <c r="L1455" s="23"/>
      <c r="M1455" s="23"/>
    </row>
    <row r="1456" spans="12:13">
      <c r="L1456" s="23"/>
      <c r="M1456" s="23"/>
    </row>
    <row r="1457" spans="12:13">
      <c r="L1457" s="23"/>
      <c r="M1457" s="23"/>
    </row>
    <row r="1458" spans="12:13">
      <c r="L1458" s="23"/>
      <c r="M1458" s="23"/>
    </row>
    <row r="1459" spans="12:13">
      <c r="L1459" s="23"/>
      <c r="M1459" s="23"/>
    </row>
    <row r="1460" spans="12:13">
      <c r="L1460" s="23"/>
      <c r="M1460" s="23"/>
    </row>
    <row r="1461" spans="12:13">
      <c r="L1461" s="23"/>
      <c r="M1461" s="23"/>
    </row>
    <row r="1462" spans="12:13">
      <c r="L1462" s="23"/>
      <c r="M1462" s="23"/>
    </row>
    <row r="1463" spans="12:13">
      <c r="L1463" s="23"/>
      <c r="M1463" s="23"/>
    </row>
    <row r="1464" spans="12:13">
      <c r="L1464" s="23"/>
      <c r="M1464" s="23"/>
    </row>
    <row r="1465" spans="12:13">
      <c r="L1465" s="23"/>
      <c r="M1465" s="23"/>
    </row>
    <row r="1466" spans="12:13">
      <c r="L1466" s="23"/>
      <c r="M1466" s="23"/>
    </row>
    <row r="1467" spans="12:13">
      <c r="L1467" s="23"/>
      <c r="M1467" s="23"/>
    </row>
    <row r="1468" spans="12:13">
      <c r="L1468" s="23"/>
      <c r="M1468" s="23"/>
    </row>
    <row r="1469" spans="12:13">
      <c r="L1469" s="23"/>
      <c r="M1469" s="23"/>
    </row>
    <row r="1470" spans="12:13">
      <c r="L1470" s="23"/>
      <c r="M1470" s="23"/>
    </row>
    <row r="1471" spans="12:13">
      <c r="L1471" s="23"/>
      <c r="M1471" s="23"/>
    </row>
    <row r="1472" spans="12:13">
      <c r="L1472" s="23"/>
      <c r="M1472" s="23"/>
    </row>
    <row r="1473" spans="12:13">
      <c r="L1473" s="23"/>
      <c r="M1473" s="23"/>
    </row>
    <row r="1474" spans="12:13">
      <c r="L1474" s="23"/>
      <c r="M1474" s="23"/>
    </row>
    <row r="1475" spans="12:13">
      <c r="L1475" s="23"/>
      <c r="M1475" s="23"/>
    </row>
    <row r="1476" spans="12:13">
      <c r="L1476" s="23"/>
      <c r="M1476" s="23"/>
    </row>
    <row r="1477" spans="12:13">
      <c r="L1477" s="23"/>
      <c r="M1477" s="23"/>
    </row>
    <row r="1478" spans="12:13">
      <c r="L1478" s="23"/>
      <c r="M1478" s="23"/>
    </row>
    <row r="1479" spans="12:13">
      <c r="L1479" s="23"/>
      <c r="M1479" s="23"/>
    </row>
    <row r="1480" spans="12:13">
      <c r="L1480" s="23"/>
      <c r="M1480" s="23"/>
    </row>
    <row r="1481" spans="12:13">
      <c r="L1481" s="23"/>
      <c r="M1481" s="23"/>
    </row>
    <row r="1482" spans="12:13">
      <c r="L1482" s="23"/>
      <c r="M1482" s="23"/>
    </row>
    <row r="1483" spans="12:13">
      <c r="L1483" s="23"/>
      <c r="M1483" s="23"/>
    </row>
    <row r="1484" spans="12:13">
      <c r="L1484" s="23"/>
      <c r="M1484" s="23"/>
    </row>
    <row r="1485" spans="12:13">
      <c r="L1485" s="23"/>
      <c r="M1485" s="23"/>
    </row>
    <row r="1486" spans="12:13">
      <c r="L1486" s="23"/>
      <c r="M1486" s="23"/>
    </row>
    <row r="1487" spans="12:13">
      <c r="L1487" s="23"/>
      <c r="M1487" s="23"/>
    </row>
    <row r="1488" spans="12:13">
      <c r="L1488" s="23"/>
      <c r="M1488" s="23"/>
    </row>
    <row r="1489" spans="12:13">
      <c r="L1489" s="23"/>
      <c r="M1489" s="23"/>
    </row>
    <row r="1490" spans="12:13">
      <c r="L1490" s="23"/>
      <c r="M1490" s="23"/>
    </row>
    <row r="1491" spans="12:13">
      <c r="L1491" s="23"/>
      <c r="M1491" s="23"/>
    </row>
    <row r="1492" spans="12:13">
      <c r="L1492" s="23"/>
      <c r="M1492" s="23"/>
    </row>
    <row r="1493" spans="12:13">
      <c r="L1493" s="23"/>
      <c r="M1493" s="23"/>
    </row>
    <row r="1494" spans="12:13">
      <c r="L1494" s="23"/>
      <c r="M1494" s="23"/>
    </row>
    <row r="1495" spans="12:13">
      <c r="L1495" s="23"/>
      <c r="M1495" s="23"/>
    </row>
    <row r="1496" spans="12:13">
      <c r="L1496" s="23"/>
      <c r="M1496" s="23"/>
    </row>
    <row r="1497" spans="12:13">
      <c r="L1497" s="23"/>
      <c r="M1497" s="23"/>
    </row>
    <row r="1498" spans="12:13">
      <c r="L1498" s="23"/>
      <c r="M1498" s="23"/>
    </row>
    <row r="1499" spans="12:13">
      <c r="L1499" s="23"/>
      <c r="M1499" s="23"/>
    </row>
    <row r="1500" spans="12:13">
      <c r="L1500" s="23"/>
      <c r="M1500" s="23"/>
    </row>
    <row r="1501" spans="12:13">
      <c r="L1501" s="23"/>
      <c r="M1501" s="23"/>
    </row>
    <row r="1502" spans="12:13">
      <c r="L1502" s="23"/>
      <c r="M1502" s="23"/>
    </row>
    <row r="1503" spans="12:13">
      <c r="L1503" s="23"/>
      <c r="M1503" s="23"/>
    </row>
    <row r="1504" spans="12:13">
      <c r="L1504" s="23"/>
      <c r="M1504" s="23"/>
    </row>
    <row r="1505" spans="12:13">
      <c r="L1505" s="23"/>
      <c r="M1505" s="23"/>
    </row>
    <row r="1506" spans="12:13">
      <c r="L1506" s="23"/>
      <c r="M1506" s="23"/>
    </row>
    <row r="1507" spans="12:13">
      <c r="L1507" s="23"/>
      <c r="M1507" s="23"/>
    </row>
    <row r="1508" spans="12:13">
      <c r="L1508" s="23"/>
      <c r="M1508" s="23"/>
    </row>
    <row r="1509" spans="12:13">
      <c r="L1509" s="23"/>
      <c r="M1509" s="23"/>
    </row>
    <row r="1510" spans="12:13">
      <c r="L1510" s="23"/>
      <c r="M1510" s="23"/>
    </row>
    <row r="1511" spans="12:13">
      <c r="L1511" s="23"/>
      <c r="M1511" s="23"/>
    </row>
    <row r="1512" spans="12:13">
      <c r="L1512" s="23"/>
      <c r="M1512" s="23"/>
    </row>
    <row r="1513" spans="12:13">
      <c r="L1513" s="23"/>
      <c r="M1513" s="23"/>
    </row>
    <row r="1514" spans="12:13">
      <c r="L1514" s="23"/>
      <c r="M1514" s="23"/>
    </row>
    <row r="1515" spans="12:13">
      <c r="L1515" s="23"/>
      <c r="M1515" s="23"/>
    </row>
    <row r="1516" spans="12:13">
      <c r="L1516" s="23"/>
      <c r="M1516" s="23"/>
    </row>
    <row r="1517" spans="12:13">
      <c r="L1517" s="23"/>
      <c r="M1517" s="23"/>
    </row>
    <row r="1518" spans="12:13">
      <c r="L1518" s="23"/>
      <c r="M1518" s="23"/>
    </row>
    <row r="1519" spans="12:13">
      <c r="L1519" s="23"/>
      <c r="M1519" s="23"/>
    </row>
    <row r="1520" spans="12:13">
      <c r="L1520" s="23"/>
      <c r="M1520" s="23"/>
    </row>
    <row r="1521" spans="12:13">
      <c r="L1521" s="23"/>
      <c r="M1521" s="23"/>
    </row>
    <row r="1522" spans="12:13">
      <c r="L1522" s="23"/>
      <c r="M1522" s="23"/>
    </row>
    <row r="1523" spans="12:13">
      <c r="L1523" s="23"/>
      <c r="M1523" s="23"/>
    </row>
    <row r="1524" spans="12:13">
      <c r="L1524" s="23"/>
      <c r="M1524" s="23"/>
    </row>
    <row r="1525" spans="12:13">
      <c r="L1525" s="23"/>
      <c r="M1525" s="23"/>
    </row>
    <row r="1526" spans="12:13">
      <c r="L1526" s="23"/>
      <c r="M1526" s="23"/>
    </row>
    <row r="1527" spans="12:13">
      <c r="L1527" s="23"/>
      <c r="M1527" s="23"/>
    </row>
    <row r="1528" spans="12:13">
      <c r="L1528" s="23"/>
      <c r="M1528" s="23"/>
    </row>
    <row r="1529" spans="12:13">
      <c r="L1529" s="23"/>
      <c r="M1529" s="23"/>
    </row>
    <row r="1530" spans="12:13">
      <c r="L1530" s="23"/>
      <c r="M1530" s="23"/>
    </row>
    <row r="1531" spans="12:13">
      <c r="L1531" s="23"/>
      <c r="M1531" s="23"/>
    </row>
    <row r="1532" spans="12:13">
      <c r="L1532" s="23"/>
      <c r="M1532" s="23"/>
    </row>
    <row r="1533" spans="12:13">
      <c r="L1533" s="23"/>
      <c r="M1533" s="23"/>
    </row>
    <row r="1534" spans="12:13">
      <c r="L1534" s="23"/>
      <c r="M1534" s="23"/>
    </row>
    <row r="1535" spans="12:13">
      <c r="L1535" s="23"/>
      <c r="M1535" s="23"/>
    </row>
    <row r="1536" spans="12:13">
      <c r="L1536" s="23"/>
      <c r="M1536" s="23"/>
    </row>
    <row r="1537" spans="12:13">
      <c r="L1537" s="23"/>
      <c r="M1537" s="23"/>
    </row>
    <row r="1538" spans="12:13">
      <c r="L1538" s="23"/>
      <c r="M1538" s="23"/>
    </row>
    <row r="1539" spans="12:13">
      <c r="L1539" s="23"/>
      <c r="M1539" s="23"/>
    </row>
    <row r="1540" spans="12:13">
      <c r="L1540" s="23"/>
      <c r="M1540" s="23"/>
    </row>
    <row r="1541" spans="12:13">
      <c r="L1541" s="23"/>
      <c r="M1541" s="23"/>
    </row>
    <row r="1542" spans="12:13">
      <c r="L1542" s="23"/>
      <c r="M1542" s="23"/>
    </row>
    <row r="1543" spans="12:13">
      <c r="L1543" s="23"/>
      <c r="M1543" s="23"/>
    </row>
    <row r="1544" spans="12:13">
      <c r="L1544" s="23"/>
      <c r="M1544" s="23"/>
    </row>
    <row r="1545" spans="12:13">
      <c r="L1545" s="23"/>
      <c r="M1545" s="23"/>
    </row>
    <row r="1546" spans="12:13">
      <c r="L1546" s="23"/>
      <c r="M1546" s="23"/>
    </row>
    <row r="1547" spans="12:13">
      <c r="L1547" s="23"/>
      <c r="M1547" s="23"/>
    </row>
    <row r="1548" spans="12:13">
      <c r="L1548" s="23"/>
      <c r="M1548" s="23"/>
    </row>
    <row r="1549" spans="12:13">
      <c r="L1549" s="23"/>
      <c r="M1549" s="23"/>
    </row>
    <row r="1550" spans="12:13">
      <c r="L1550" s="23"/>
      <c r="M1550" s="23"/>
    </row>
    <row r="1551" spans="12:13">
      <c r="L1551" s="23"/>
      <c r="M1551" s="23"/>
    </row>
    <row r="1552" spans="12:13">
      <c r="L1552" s="23"/>
      <c r="M1552" s="23"/>
    </row>
    <row r="1553" spans="12:13">
      <c r="L1553" s="23"/>
      <c r="M1553" s="23"/>
    </row>
    <row r="1554" spans="12:13">
      <c r="L1554" s="23"/>
      <c r="M1554" s="23"/>
    </row>
    <row r="1555" spans="12:13">
      <c r="L1555" s="23"/>
      <c r="M1555" s="23"/>
    </row>
    <row r="1556" spans="12:13">
      <c r="L1556" s="23"/>
      <c r="M1556" s="23"/>
    </row>
    <row r="1557" spans="12:13">
      <c r="L1557" s="23"/>
      <c r="M1557" s="23"/>
    </row>
    <row r="1558" spans="12:13">
      <c r="L1558" s="23"/>
      <c r="M1558" s="23"/>
    </row>
    <row r="1559" spans="12:13">
      <c r="L1559" s="23"/>
      <c r="M1559" s="23"/>
    </row>
    <row r="1560" spans="12:13">
      <c r="L1560" s="23"/>
      <c r="M1560" s="23"/>
    </row>
    <row r="1561" spans="12:13">
      <c r="L1561" s="23"/>
      <c r="M1561" s="23"/>
    </row>
    <row r="1562" spans="12:13">
      <c r="L1562" s="23"/>
      <c r="M1562" s="23"/>
    </row>
    <row r="1563" spans="12:13">
      <c r="L1563" s="23"/>
      <c r="M1563" s="23"/>
    </row>
    <row r="1564" spans="12:13">
      <c r="L1564" s="23"/>
      <c r="M1564" s="23"/>
    </row>
    <row r="1565" spans="12:13">
      <c r="L1565" s="23"/>
      <c r="M1565" s="23"/>
    </row>
    <row r="1566" spans="12:13">
      <c r="L1566" s="23"/>
      <c r="M1566" s="23"/>
    </row>
    <row r="1567" spans="12:13">
      <c r="L1567" s="23"/>
      <c r="M1567" s="23"/>
    </row>
    <row r="1568" spans="12:13">
      <c r="L1568" s="23"/>
      <c r="M1568" s="23"/>
    </row>
    <row r="1569" spans="12:13">
      <c r="L1569" s="23"/>
      <c r="M1569" s="23"/>
    </row>
    <row r="1570" spans="12:13">
      <c r="L1570" s="23"/>
      <c r="M1570" s="23"/>
    </row>
    <row r="1571" spans="12:13">
      <c r="L1571" s="23"/>
      <c r="M1571" s="23"/>
    </row>
    <row r="1572" spans="12:13">
      <c r="L1572" s="23"/>
      <c r="M1572" s="23"/>
    </row>
    <row r="1573" spans="12:13">
      <c r="L1573" s="23"/>
      <c r="M1573" s="23"/>
    </row>
    <row r="1574" spans="12:13">
      <c r="L1574" s="23"/>
      <c r="M1574" s="23"/>
    </row>
    <row r="1575" spans="12:13">
      <c r="L1575" s="23"/>
      <c r="M1575" s="23"/>
    </row>
    <row r="1576" spans="12:13">
      <c r="L1576" s="23"/>
      <c r="M1576" s="23"/>
    </row>
    <row r="1577" spans="12:13">
      <c r="L1577" s="23"/>
      <c r="M1577" s="23"/>
    </row>
    <row r="1578" spans="12:13">
      <c r="L1578" s="23"/>
      <c r="M1578" s="23"/>
    </row>
    <row r="1579" spans="12:13">
      <c r="L1579" s="23"/>
      <c r="M1579" s="23"/>
    </row>
    <row r="1580" spans="12:13">
      <c r="L1580" s="23"/>
      <c r="M1580" s="23"/>
    </row>
    <row r="1581" spans="12:13">
      <c r="L1581" s="23"/>
      <c r="M1581" s="23"/>
    </row>
    <row r="1582" spans="12:13">
      <c r="L1582" s="23"/>
      <c r="M1582" s="23"/>
    </row>
    <row r="1583" spans="12:13">
      <c r="L1583" s="23"/>
      <c r="M1583" s="23"/>
    </row>
    <row r="1584" spans="12:13">
      <c r="L1584" s="23"/>
      <c r="M1584" s="23"/>
    </row>
    <row r="1585" spans="12:13">
      <c r="L1585" s="23"/>
      <c r="M1585" s="23"/>
    </row>
    <row r="1586" spans="12:13">
      <c r="L1586" s="23"/>
      <c r="M1586" s="23"/>
    </row>
    <row r="1587" spans="12:13">
      <c r="L1587" s="23"/>
      <c r="M1587" s="23"/>
    </row>
    <row r="1588" spans="12:13">
      <c r="L1588" s="23"/>
      <c r="M1588" s="23"/>
    </row>
    <row r="1589" spans="12:13">
      <c r="L1589" s="23"/>
      <c r="M1589" s="23"/>
    </row>
    <row r="1590" spans="12:13">
      <c r="L1590" s="23"/>
      <c r="M1590" s="23"/>
    </row>
    <row r="1591" spans="12:13">
      <c r="L1591" s="23"/>
      <c r="M1591" s="23"/>
    </row>
    <row r="1592" spans="12:13">
      <c r="L1592" s="23"/>
      <c r="M1592" s="23"/>
    </row>
    <row r="1593" spans="12:13">
      <c r="L1593" s="23"/>
      <c r="M1593" s="23"/>
    </row>
    <row r="1594" spans="12:13">
      <c r="L1594" s="23"/>
      <c r="M1594" s="23"/>
    </row>
    <row r="1595" spans="12:13">
      <c r="L1595" s="23"/>
      <c r="M1595" s="23"/>
    </row>
    <row r="1596" spans="12:13">
      <c r="L1596" s="23"/>
      <c r="M1596" s="23"/>
    </row>
    <row r="1597" spans="12:13">
      <c r="L1597" s="23"/>
      <c r="M1597" s="23"/>
    </row>
    <row r="1598" spans="12:13">
      <c r="L1598" s="23"/>
      <c r="M1598" s="23"/>
    </row>
    <row r="1599" spans="12:13">
      <c r="L1599" s="23"/>
      <c r="M1599" s="23"/>
    </row>
    <row r="1600" spans="12:13">
      <c r="L1600" s="23"/>
      <c r="M1600" s="23"/>
    </row>
    <row r="1601" spans="12:13">
      <c r="L1601" s="23"/>
      <c r="M1601" s="23"/>
    </row>
    <row r="1602" spans="12:13">
      <c r="L1602" s="23"/>
      <c r="M1602" s="23"/>
    </row>
    <row r="1603" spans="12:13">
      <c r="L1603" s="23"/>
      <c r="M1603" s="23"/>
    </row>
    <row r="1604" spans="12:13">
      <c r="L1604" s="23"/>
      <c r="M1604" s="23"/>
    </row>
    <row r="1605" spans="12:13">
      <c r="L1605" s="23"/>
      <c r="M1605" s="23"/>
    </row>
    <row r="1606" spans="12:13">
      <c r="L1606" s="23"/>
      <c r="M1606" s="23"/>
    </row>
    <row r="1607" spans="12:13">
      <c r="L1607" s="23"/>
      <c r="M1607" s="23"/>
    </row>
    <row r="1608" spans="12:13">
      <c r="L1608" s="23"/>
      <c r="M1608" s="23"/>
    </row>
    <row r="1609" spans="12:13">
      <c r="L1609" s="23"/>
      <c r="M1609" s="23"/>
    </row>
    <row r="1610" spans="12:13">
      <c r="L1610" s="23"/>
      <c r="M1610" s="23"/>
    </row>
    <row r="1611" spans="12:13">
      <c r="L1611" s="23"/>
      <c r="M1611" s="23"/>
    </row>
    <row r="1612" spans="12:13">
      <c r="L1612" s="23"/>
      <c r="M1612" s="23"/>
    </row>
    <row r="1613" spans="12:13">
      <c r="L1613" s="23"/>
      <c r="M1613" s="23"/>
    </row>
    <row r="1614" spans="12:13">
      <c r="L1614" s="23"/>
      <c r="M1614" s="23"/>
    </row>
    <row r="1615" spans="12:13">
      <c r="L1615" s="23"/>
      <c r="M1615" s="23"/>
    </row>
    <row r="1616" spans="12:13">
      <c r="L1616" s="23"/>
      <c r="M1616" s="23"/>
    </row>
    <row r="1617" spans="12:13">
      <c r="L1617" s="23"/>
      <c r="M1617" s="23"/>
    </row>
    <row r="1618" spans="12:13">
      <c r="L1618" s="23"/>
      <c r="M1618" s="23"/>
    </row>
    <row r="1619" spans="12:13">
      <c r="L1619" s="23"/>
      <c r="M1619" s="23"/>
    </row>
    <row r="1620" spans="12:13">
      <c r="L1620" s="23"/>
      <c r="M1620" s="23"/>
    </row>
    <row r="1621" spans="12:13">
      <c r="L1621" s="23"/>
      <c r="M1621" s="23"/>
    </row>
    <row r="1622" spans="12:13">
      <c r="L1622" s="23"/>
      <c r="M1622" s="23"/>
    </row>
    <row r="1623" spans="12:13">
      <c r="L1623" s="23"/>
      <c r="M1623" s="23"/>
    </row>
    <row r="1624" spans="12:13">
      <c r="L1624" s="23"/>
      <c r="M1624" s="23"/>
    </row>
    <row r="1625" spans="12:13">
      <c r="L1625" s="23"/>
      <c r="M1625" s="23"/>
    </row>
    <row r="1626" spans="12:13">
      <c r="L1626" s="23"/>
      <c r="M1626" s="23"/>
    </row>
    <row r="1627" spans="12:13">
      <c r="L1627" s="23"/>
      <c r="M1627" s="23"/>
    </row>
    <row r="1628" spans="12:13">
      <c r="L1628" s="23"/>
      <c r="M1628" s="23"/>
    </row>
    <row r="1629" spans="12:13">
      <c r="L1629" s="23"/>
      <c r="M1629" s="23"/>
    </row>
    <row r="1630" spans="12:13">
      <c r="L1630" s="23"/>
      <c r="M1630" s="23"/>
    </row>
    <row r="1631" spans="12:13">
      <c r="L1631" s="23"/>
      <c r="M1631" s="23"/>
    </row>
    <row r="1632" spans="12:13">
      <c r="L1632" s="23"/>
      <c r="M1632" s="23"/>
    </row>
    <row r="1633" spans="12:13">
      <c r="L1633" s="23"/>
      <c r="M1633" s="23"/>
    </row>
    <row r="1634" spans="12:13">
      <c r="L1634" s="23"/>
      <c r="M1634" s="23"/>
    </row>
    <row r="1635" spans="12:13">
      <c r="L1635" s="23"/>
      <c r="M1635" s="23"/>
    </row>
    <row r="1636" spans="12:13">
      <c r="L1636" s="23"/>
      <c r="M1636" s="23"/>
    </row>
    <row r="1637" spans="12:13">
      <c r="L1637" s="23"/>
      <c r="M1637" s="23"/>
    </row>
    <row r="1638" spans="12:13">
      <c r="L1638" s="23"/>
      <c r="M1638" s="23"/>
    </row>
    <row r="1639" spans="12:13">
      <c r="L1639" s="23"/>
      <c r="M1639" s="23"/>
    </row>
    <row r="1640" spans="12:13">
      <c r="L1640" s="23"/>
      <c r="M1640" s="23"/>
    </row>
    <row r="1641" spans="12:13">
      <c r="L1641" s="23"/>
      <c r="M1641" s="23"/>
    </row>
    <row r="1642" spans="12:13">
      <c r="L1642" s="23"/>
      <c r="M1642" s="23"/>
    </row>
    <row r="1643" spans="12:13">
      <c r="L1643" s="23"/>
      <c r="M1643" s="23"/>
    </row>
    <row r="1644" spans="12:13">
      <c r="L1644" s="23"/>
      <c r="M1644" s="23"/>
    </row>
    <row r="1645" spans="12:13">
      <c r="L1645" s="23"/>
      <c r="M1645" s="23"/>
    </row>
    <row r="1646" spans="12:13">
      <c r="L1646" s="23"/>
      <c r="M1646" s="23"/>
    </row>
    <row r="1647" spans="12:13">
      <c r="L1647" s="23"/>
      <c r="M1647" s="23"/>
    </row>
    <row r="1648" spans="12:13">
      <c r="L1648" s="23"/>
      <c r="M1648" s="23"/>
    </row>
    <row r="1649" spans="12:13">
      <c r="L1649" s="23"/>
      <c r="M1649" s="23"/>
    </row>
    <row r="1650" spans="12:13">
      <c r="L1650" s="23"/>
      <c r="M1650" s="23"/>
    </row>
    <row r="1651" spans="12:13">
      <c r="L1651" s="23"/>
      <c r="M1651" s="23"/>
    </row>
    <row r="1652" spans="12:13">
      <c r="L1652" s="23"/>
      <c r="M1652" s="23"/>
    </row>
    <row r="1653" spans="12:13">
      <c r="L1653" s="23"/>
      <c r="M1653" s="23"/>
    </row>
    <row r="1654" spans="12:13">
      <c r="L1654" s="23"/>
      <c r="M1654" s="23"/>
    </row>
    <row r="1655" spans="12:13">
      <c r="L1655" s="23"/>
      <c r="M1655" s="23"/>
    </row>
    <row r="1656" spans="12:13">
      <c r="L1656" s="23"/>
      <c r="M1656" s="23"/>
    </row>
    <row r="1657" spans="12:13">
      <c r="L1657" s="23"/>
      <c r="M1657" s="23"/>
    </row>
    <row r="1658" spans="12:13">
      <c r="L1658" s="23"/>
      <c r="M1658" s="23"/>
    </row>
    <row r="1659" spans="12:13">
      <c r="L1659" s="23"/>
      <c r="M1659" s="23"/>
    </row>
    <row r="1660" spans="12:13">
      <c r="L1660" s="23"/>
      <c r="M1660" s="23"/>
    </row>
    <row r="1661" spans="12:13">
      <c r="L1661" s="23"/>
      <c r="M1661" s="23"/>
    </row>
    <row r="1662" spans="12:13">
      <c r="L1662" s="23"/>
      <c r="M1662" s="23"/>
    </row>
    <row r="1663" spans="12:13">
      <c r="L1663" s="23"/>
      <c r="M1663" s="23"/>
    </row>
    <row r="1664" spans="12:13">
      <c r="L1664" s="23"/>
      <c r="M1664" s="23"/>
    </row>
    <row r="1665" spans="12:13">
      <c r="L1665" s="23"/>
      <c r="M1665" s="23"/>
    </row>
    <row r="1666" spans="12:13">
      <c r="L1666" s="23"/>
      <c r="M1666" s="23"/>
    </row>
    <row r="1667" spans="12:13">
      <c r="L1667" s="23"/>
      <c r="M1667" s="23"/>
    </row>
    <row r="1668" spans="12:13">
      <c r="L1668" s="23"/>
      <c r="M1668" s="23"/>
    </row>
    <row r="1669" spans="12:13">
      <c r="L1669" s="23"/>
      <c r="M1669" s="23"/>
    </row>
    <row r="1670" spans="12:13">
      <c r="L1670" s="23"/>
      <c r="M1670" s="23"/>
    </row>
    <row r="1671" spans="12:13">
      <c r="L1671" s="23"/>
      <c r="M1671" s="23"/>
    </row>
    <row r="1672" spans="12:13">
      <c r="L1672" s="23"/>
      <c r="M1672" s="23"/>
    </row>
    <row r="1673" spans="12:13">
      <c r="L1673" s="23"/>
      <c r="M1673" s="23"/>
    </row>
    <row r="1674" spans="12:13">
      <c r="L1674" s="23"/>
      <c r="M1674" s="23"/>
    </row>
    <row r="1675" spans="12:13">
      <c r="L1675" s="23"/>
      <c r="M1675" s="23"/>
    </row>
    <row r="1676" spans="12:13">
      <c r="L1676" s="23"/>
      <c r="M1676" s="23"/>
    </row>
    <row r="1677" spans="12:13">
      <c r="L1677" s="23"/>
      <c r="M1677" s="23"/>
    </row>
    <row r="1678" spans="12:13">
      <c r="L1678" s="23"/>
      <c r="M1678" s="23"/>
    </row>
    <row r="1679" spans="12:13">
      <c r="L1679" s="23"/>
      <c r="M1679" s="23"/>
    </row>
    <row r="1680" spans="12:13">
      <c r="L1680" s="23"/>
      <c r="M1680" s="23"/>
    </row>
    <row r="1681" spans="12:13">
      <c r="L1681" s="23"/>
      <c r="M1681" s="23"/>
    </row>
    <row r="1682" spans="12:13">
      <c r="L1682" s="23"/>
      <c r="M1682" s="23"/>
    </row>
    <row r="1683" spans="12:13">
      <c r="L1683" s="23"/>
      <c r="M1683" s="23"/>
    </row>
    <row r="1684" spans="12:13">
      <c r="L1684" s="23"/>
      <c r="M1684" s="23"/>
    </row>
    <row r="1685" spans="12:13">
      <c r="L1685" s="23"/>
      <c r="M1685" s="23"/>
    </row>
    <row r="1686" spans="12:13">
      <c r="L1686" s="23"/>
      <c r="M1686" s="23"/>
    </row>
    <row r="1687" spans="12:13">
      <c r="L1687" s="23"/>
      <c r="M1687" s="23"/>
    </row>
    <row r="1688" spans="12:13">
      <c r="L1688" s="23"/>
      <c r="M1688" s="23"/>
    </row>
    <row r="1689" spans="12:13">
      <c r="L1689" s="23"/>
      <c r="M1689" s="23"/>
    </row>
    <row r="1690" spans="12:13">
      <c r="L1690" s="23"/>
      <c r="M1690" s="23"/>
    </row>
    <row r="1691" spans="12:13">
      <c r="L1691" s="23"/>
      <c r="M1691" s="23"/>
    </row>
    <row r="1692" spans="12:13">
      <c r="L1692" s="23"/>
      <c r="M1692" s="23"/>
    </row>
    <row r="1693" spans="12:13">
      <c r="L1693" s="23"/>
      <c r="M1693" s="23"/>
    </row>
    <row r="1694" spans="12:13">
      <c r="L1694" s="23"/>
      <c r="M1694" s="23"/>
    </row>
    <row r="1695" spans="12:13">
      <c r="L1695" s="23"/>
      <c r="M1695" s="23"/>
    </row>
    <row r="1696" spans="12:13">
      <c r="L1696" s="23"/>
      <c r="M1696" s="23"/>
    </row>
    <row r="1697" spans="12:13">
      <c r="L1697" s="23"/>
      <c r="M1697" s="23"/>
    </row>
    <row r="1698" spans="12:13">
      <c r="L1698" s="23"/>
      <c r="M1698" s="23"/>
    </row>
    <row r="1699" spans="12:13">
      <c r="L1699" s="23"/>
      <c r="M1699" s="23"/>
    </row>
    <row r="1700" spans="12:13">
      <c r="L1700" s="23"/>
      <c r="M1700" s="23"/>
    </row>
    <row r="1701" spans="12:13">
      <c r="L1701" s="23"/>
      <c r="M1701" s="23"/>
    </row>
    <row r="1702" spans="12:13">
      <c r="L1702" s="23"/>
      <c r="M1702" s="23"/>
    </row>
    <row r="1703" spans="12:13">
      <c r="L1703" s="23"/>
      <c r="M1703" s="23"/>
    </row>
    <row r="1704" spans="12:13">
      <c r="L1704" s="23"/>
      <c r="M1704" s="23"/>
    </row>
    <row r="1705" spans="12:13">
      <c r="L1705" s="23"/>
      <c r="M1705" s="23"/>
    </row>
    <row r="1706" spans="12:13">
      <c r="L1706" s="23"/>
      <c r="M1706" s="23"/>
    </row>
    <row r="1707" spans="12:13">
      <c r="L1707" s="23"/>
      <c r="M1707" s="23"/>
    </row>
    <row r="1708" spans="12:13">
      <c r="L1708" s="23"/>
      <c r="M1708" s="23"/>
    </row>
    <row r="1709" spans="12:13">
      <c r="L1709" s="23"/>
      <c r="M1709" s="23"/>
    </row>
    <row r="1710" spans="12:13">
      <c r="L1710" s="23"/>
      <c r="M1710" s="23"/>
    </row>
    <row r="1711" spans="12:13">
      <c r="L1711" s="23"/>
      <c r="M1711" s="23"/>
    </row>
    <row r="1712" spans="12:13">
      <c r="L1712" s="23"/>
      <c r="M1712" s="23"/>
    </row>
    <row r="1713" spans="12:13">
      <c r="L1713" s="23"/>
      <c r="M1713" s="23"/>
    </row>
    <row r="1714" spans="12:13">
      <c r="L1714" s="23"/>
      <c r="M1714" s="23"/>
    </row>
    <row r="1715" spans="12:13">
      <c r="L1715" s="23"/>
      <c r="M1715" s="23"/>
    </row>
    <row r="1716" spans="12:13">
      <c r="L1716" s="23"/>
      <c r="M1716" s="23"/>
    </row>
    <row r="1717" spans="12:13">
      <c r="L1717" s="23"/>
      <c r="M1717" s="23"/>
    </row>
    <row r="1718" spans="12:13">
      <c r="L1718" s="23"/>
      <c r="M1718" s="23"/>
    </row>
    <row r="1719" spans="12:13">
      <c r="L1719" s="23"/>
      <c r="M1719" s="23"/>
    </row>
    <row r="1720" spans="12:13">
      <c r="L1720" s="23"/>
      <c r="M1720" s="23"/>
    </row>
    <row r="1721" spans="12:13">
      <c r="L1721" s="23"/>
      <c r="M1721" s="23"/>
    </row>
    <row r="1722" spans="12:13">
      <c r="L1722" s="23"/>
      <c r="M1722" s="23"/>
    </row>
    <row r="1723" spans="12:13">
      <c r="L1723" s="23"/>
      <c r="M1723" s="23"/>
    </row>
    <row r="1724" spans="12:13">
      <c r="L1724" s="23"/>
      <c r="M1724" s="23"/>
    </row>
    <row r="1725" spans="12:13">
      <c r="L1725" s="23"/>
      <c r="M1725" s="23"/>
    </row>
    <row r="1726" spans="12:13">
      <c r="L1726" s="23"/>
      <c r="M1726" s="23"/>
    </row>
    <row r="1727" spans="12:13">
      <c r="L1727" s="23"/>
      <c r="M1727" s="23"/>
    </row>
    <row r="1728" spans="12:13">
      <c r="L1728" s="23"/>
      <c r="M1728" s="23"/>
    </row>
    <row r="1729" spans="12:13">
      <c r="L1729" s="23"/>
      <c r="M1729" s="23"/>
    </row>
    <row r="1730" spans="12:13">
      <c r="L1730" s="23"/>
      <c r="M1730" s="23"/>
    </row>
    <row r="1731" spans="12:13">
      <c r="L1731" s="23"/>
      <c r="M1731" s="23"/>
    </row>
    <row r="1732" spans="12:13">
      <c r="L1732" s="23"/>
      <c r="M1732" s="23"/>
    </row>
    <row r="1733" spans="12:13">
      <c r="L1733" s="23"/>
      <c r="M1733" s="23"/>
    </row>
    <row r="1734" spans="12:13">
      <c r="L1734" s="23"/>
      <c r="M1734" s="23"/>
    </row>
    <row r="1735" spans="12:13">
      <c r="L1735" s="23"/>
      <c r="M1735" s="23"/>
    </row>
    <row r="1736" spans="12:13">
      <c r="L1736" s="23"/>
      <c r="M1736" s="23"/>
    </row>
    <row r="1737" spans="12:13">
      <c r="L1737" s="23"/>
      <c r="M1737" s="23"/>
    </row>
    <row r="1738" spans="12:13">
      <c r="L1738" s="23"/>
      <c r="M1738" s="23"/>
    </row>
    <row r="1739" spans="12:13">
      <c r="L1739" s="23"/>
      <c r="M1739" s="23"/>
    </row>
    <row r="1740" spans="12:13">
      <c r="L1740" s="23"/>
      <c r="M1740" s="23"/>
    </row>
    <row r="1741" spans="12:13">
      <c r="L1741" s="23"/>
      <c r="M1741" s="23"/>
    </row>
    <row r="1742" spans="12:13">
      <c r="L1742" s="23"/>
      <c r="M1742" s="23"/>
    </row>
    <row r="1743" spans="12:13">
      <c r="L1743" s="23"/>
      <c r="M1743" s="23"/>
    </row>
    <row r="1744" spans="12:13">
      <c r="L1744" s="23"/>
      <c r="M1744" s="23"/>
    </row>
    <row r="1745" spans="12:13">
      <c r="L1745" s="23"/>
      <c r="M1745" s="23"/>
    </row>
    <row r="1746" spans="12:13">
      <c r="L1746" s="23"/>
      <c r="M1746" s="23"/>
    </row>
    <row r="1747" spans="12:13">
      <c r="L1747" s="23"/>
      <c r="M1747" s="23"/>
    </row>
    <row r="1748" spans="12:13">
      <c r="L1748" s="23"/>
      <c r="M1748" s="23"/>
    </row>
    <row r="1749" spans="12:13">
      <c r="L1749" s="23"/>
      <c r="M1749" s="23"/>
    </row>
    <row r="1750" spans="12:13">
      <c r="L1750" s="23"/>
      <c r="M1750" s="23"/>
    </row>
    <row r="1751" spans="12:13">
      <c r="L1751" s="23"/>
      <c r="M1751" s="23"/>
    </row>
    <row r="1752" spans="12:13">
      <c r="L1752" s="23"/>
      <c r="M1752" s="23"/>
    </row>
    <row r="1753" spans="12:13">
      <c r="L1753" s="23"/>
      <c r="M1753" s="23"/>
    </row>
    <row r="1754" spans="12:13">
      <c r="L1754" s="23"/>
      <c r="M1754" s="23"/>
    </row>
    <row r="1755" spans="12:13">
      <c r="L1755" s="23"/>
      <c r="M1755" s="23"/>
    </row>
    <row r="1756" spans="12:13">
      <c r="L1756" s="23"/>
      <c r="M1756" s="23"/>
    </row>
    <row r="1757" spans="12:13">
      <c r="L1757" s="23"/>
      <c r="M1757" s="23"/>
    </row>
    <row r="1758" spans="12:13">
      <c r="L1758" s="23"/>
      <c r="M1758" s="23"/>
    </row>
    <row r="1759" spans="12:13">
      <c r="L1759" s="23"/>
      <c r="M1759" s="23"/>
    </row>
    <row r="1760" spans="12:13">
      <c r="L1760" s="23"/>
      <c r="M1760" s="23"/>
    </row>
    <row r="1761" spans="12:13">
      <c r="L1761" s="23"/>
      <c r="M1761" s="23"/>
    </row>
    <row r="1762" spans="12:13">
      <c r="L1762" s="23"/>
      <c r="M1762" s="23"/>
    </row>
    <row r="1763" spans="12:13">
      <c r="L1763" s="23"/>
      <c r="M1763" s="23"/>
    </row>
    <row r="1764" spans="12:13">
      <c r="L1764" s="23"/>
      <c r="M1764" s="23"/>
    </row>
    <row r="1765" spans="12:13">
      <c r="L1765" s="23"/>
      <c r="M1765" s="23"/>
    </row>
    <row r="1766" spans="12:13">
      <c r="L1766" s="23"/>
      <c r="M1766" s="23"/>
    </row>
    <row r="1767" spans="12:13">
      <c r="L1767" s="23"/>
      <c r="M1767" s="23"/>
    </row>
    <row r="1768" spans="12:13">
      <c r="L1768" s="23"/>
      <c r="M1768" s="23"/>
    </row>
    <row r="1769" spans="12:13">
      <c r="L1769" s="23"/>
      <c r="M1769" s="23"/>
    </row>
    <row r="1770" spans="12:13">
      <c r="L1770" s="23"/>
      <c r="M1770" s="23"/>
    </row>
    <row r="1771" spans="12:13">
      <c r="L1771" s="23"/>
      <c r="M1771" s="23"/>
    </row>
    <row r="1772" spans="12:13">
      <c r="L1772" s="23"/>
      <c r="M1772" s="23"/>
    </row>
    <row r="1773" spans="12:13">
      <c r="L1773" s="23"/>
      <c r="M1773" s="23"/>
    </row>
    <row r="1774" spans="12:13">
      <c r="L1774" s="23"/>
      <c r="M1774" s="23"/>
    </row>
    <row r="1775" spans="12:13">
      <c r="L1775" s="23"/>
      <c r="M1775" s="23"/>
    </row>
    <row r="1776" spans="12:13">
      <c r="L1776" s="23"/>
      <c r="M1776" s="23"/>
    </row>
    <row r="1777" spans="12:13">
      <c r="L1777" s="23"/>
      <c r="M1777" s="23"/>
    </row>
    <row r="1778" spans="12:13">
      <c r="L1778" s="23"/>
      <c r="M1778" s="23"/>
    </row>
    <row r="1779" spans="12:13">
      <c r="L1779" s="23"/>
      <c r="M1779" s="23"/>
    </row>
    <row r="1780" spans="12:13">
      <c r="L1780" s="23"/>
      <c r="M1780" s="23"/>
    </row>
    <row r="1781" spans="12:13">
      <c r="L1781" s="23"/>
      <c r="M1781" s="23"/>
    </row>
    <row r="1782" spans="12:13">
      <c r="L1782" s="23"/>
      <c r="M1782" s="23"/>
    </row>
    <row r="1783" spans="12:13">
      <c r="L1783" s="23"/>
      <c r="M1783" s="23"/>
    </row>
    <row r="1784" spans="12:13">
      <c r="L1784" s="23"/>
      <c r="M1784" s="23"/>
    </row>
    <row r="1785" spans="12:13">
      <c r="L1785" s="23"/>
      <c r="M1785" s="23"/>
    </row>
    <row r="1786" spans="12:13">
      <c r="L1786" s="23"/>
      <c r="M1786" s="23"/>
    </row>
    <row r="1787" spans="12:13">
      <c r="L1787" s="23"/>
      <c r="M1787" s="23"/>
    </row>
    <row r="1788" spans="12:13">
      <c r="L1788" s="23"/>
      <c r="M1788" s="23"/>
    </row>
    <row r="1789" spans="12:13">
      <c r="L1789" s="23"/>
      <c r="M1789" s="23"/>
    </row>
    <row r="1790" spans="12:13">
      <c r="L1790" s="23"/>
      <c r="M1790" s="23"/>
    </row>
    <row r="1791" spans="12:13">
      <c r="L1791" s="23"/>
      <c r="M1791" s="23"/>
    </row>
    <row r="1792" spans="12:13">
      <c r="L1792" s="23"/>
      <c r="M1792" s="23"/>
    </row>
    <row r="1793" spans="12:13">
      <c r="L1793" s="23"/>
      <c r="M1793" s="23"/>
    </row>
    <row r="1794" spans="12:13">
      <c r="L1794" s="23"/>
      <c r="M1794" s="23"/>
    </row>
    <row r="1795" spans="12:13">
      <c r="L1795" s="23"/>
      <c r="M1795" s="23"/>
    </row>
    <row r="1796" spans="12:13">
      <c r="L1796" s="23"/>
      <c r="M1796" s="23"/>
    </row>
    <row r="1797" spans="12:13">
      <c r="L1797" s="23"/>
      <c r="M1797" s="23"/>
    </row>
    <row r="1798" spans="12:13">
      <c r="L1798" s="23"/>
      <c r="M1798" s="23"/>
    </row>
    <row r="1799" spans="12:13">
      <c r="L1799" s="23"/>
      <c r="M1799" s="23"/>
    </row>
    <row r="1800" spans="12:13">
      <c r="L1800" s="23"/>
      <c r="M1800" s="23"/>
    </row>
    <row r="1801" spans="12:13">
      <c r="L1801" s="23"/>
      <c r="M1801" s="23"/>
    </row>
    <row r="1802" spans="12:13">
      <c r="L1802" s="23"/>
      <c r="M1802" s="23"/>
    </row>
    <row r="1803" spans="12:13">
      <c r="L1803" s="23"/>
      <c r="M1803" s="23"/>
    </row>
    <row r="1804" spans="12:13">
      <c r="L1804" s="23"/>
      <c r="M1804" s="23"/>
    </row>
    <row r="1805" spans="12:13">
      <c r="L1805" s="23"/>
      <c r="M1805" s="23"/>
    </row>
    <row r="1806" spans="12:13">
      <c r="L1806" s="23"/>
      <c r="M1806" s="23"/>
    </row>
    <row r="1807" spans="12:13">
      <c r="L1807" s="23"/>
      <c r="M1807" s="23"/>
    </row>
    <row r="1808" spans="12:13">
      <c r="L1808" s="23"/>
      <c r="M1808" s="23"/>
    </row>
    <row r="1809" spans="12:13">
      <c r="L1809" s="23"/>
      <c r="M1809" s="23"/>
    </row>
    <row r="1810" spans="12:13">
      <c r="L1810" s="23"/>
      <c r="M1810" s="23"/>
    </row>
    <row r="1811" spans="12:13">
      <c r="L1811" s="23"/>
      <c r="M1811" s="23"/>
    </row>
    <row r="1812" spans="12:13">
      <c r="L1812" s="23"/>
      <c r="M1812" s="23"/>
    </row>
    <row r="1813" spans="12:13">
      <c r="L1813" s="23"/>
      <c r="M1813" s="23"/>
    </row>
    <row r="1814" spans="12:13">
      <c r="L1814" s="23"/>
      <c r="M1814" s="23"/>
    </row>
    <row r="1815" spans="12:13">
      <c r="L1815" s="23"/>
      <c r="M1815" s="23"/>
    </row>
    <row r="1816" spans="12:13">
      <c r="L1816" s="23"/>
      <c r="M1816" s="23"/>
    </row>
    <row r="1817" spans="12:13">
      <c r="L1817" s="23"/>
      <c r="M1817" s="23"/>
    </row>
    <row r="1818" spans="12:13">
      <c r="L1818" s="23"/>
      <c r="M1818" s="23"/>
    </row>
    <row r="1819" spans="12:13">
      <c r="L1819" s="23"/>
      <c r="M1819" s="23"/>
    </row>
    <row r="1820" spans="12:13">
      <c r="L1820" s="23"/>
      <c r="M1820" s="23"/>
    </row>
    <row r="1821" spans="12:13">
      <c r="L1821" s="23"/>
      <c r="M1821" s="23"/>
    </row>
    <row r="1822" spans="12:13">
      <c r="L1822" s="23"/>
      <c r="M1822" s="23"/>
    </row>
    <row r="1823" spans="12:13">
      <c r="L1823" s="23"/>
      <c r="M1823" s="23"/>
    </row>
    <row r="1824" spans="12:13">
      <c r="L1824" s="23"/>
      <c r="M1824" s="23"/>
    </row>
    <row r="1825" spans="12:13">
      <c r="L1825" s="23"/>
      <c r="M1825" s="23"/>
    </row>
    <row r="1826" spans="12:13">
      <c r="L1826" s="23"/>
      <c r="M1826" s="23"/>
    </row>
    <row r="1827" spans="12:13">
      <c r="L1827" s="23"/>
      <c r="M1827" s="23"/>
    </row>
    <row r="1828" spans="12:13">
      <c r="L1828" s="23"/>
      <c r="M1828" s="23"/>
    </row>
    <row r="1829" spans="12:13">
      <c r="L1829" s="23"/>
      <c r="M1829" s="23"/>
    </row>
    <row r="1830" spans="12:13">
      <c r="L1830" s="23"/>
      <c r="M1830" s="23"/>
    </row>
    <row r="1831" spans="12:13">
      <c r="L1831" s="23"/>
      <c r="M1831" s="23"/>
    </row>
    <row r="1832" spans="12:13">
      <c r="L1832" s="23"/>
      <c r="M1832" s="23"/>
    </row>
    <row r="1833" spans="12:13">
      <c r="L1833" s="23"/>
      <c r="M1833" s="23"/>
    </row>
    <row r="1834" spans="12:13">
      <c r="L1834" s="23"/>
      <c r="M1834" s="23"/>
    </row>
    <row r="1835" spans="12:13">
      <c r="L1835" s="23"/>
      <c r="M1835" s="23"/>
    </row>
    <row r="1836" spans="12:13">
      <c r="L1836" s="23"/>
      <c r="M1836" s="23"/>
    </row>
    <row r="1837" spans="12:13">
      <c r="L1837" s="23"/>
      <c r="M1837" s="23"/>
    </row>
    <row r="1838" spans="12:13">
      <c r="L1838" s="23"/>
      <c r="M1838" s="23"/>
    </row>
    <row r="1839" spans="12:13">
      <c r="L1839" s="23"/>
      <c r="M1839" s="23"/>
    </row>
    <row r="1840" spans="12:13">
      <c r="L1840" s="23"/>
      <c r="M1840" s="23"/>
    </row>
    <row r="1841" spans="12:13">
      <c r="L1841" s="23"/>
      <c r="M1841" s="23"/>
    </row>
    <row r="1842" spans="12:13">
      <c r="L1842" s="23"/>
      <c r="M1842" s="23"/>
    </row>
    <row r="1843" spans="12:13">
      <c r="L1843" s="23"/>
      <c r="M1843" s="23"/>
    </row>
    <row r="1844" spans="12:13">
      <c r="L1844" s="23"/>
      <c r="M1844" s="23"/>
    </row>
    <row r="1845" spans="12:13">
      <c r="L1845" s="23"/>
      <c r="M1845" s="23"/>
    </row>
    <row r="1846" spans="12:13">
      <c r="L1846" s="23"/>
      <c r="M1846" s="23"/>
    </row>
    <row r="1847" spans="12:13">
      <c r="L1847" s="23"/>
      <c r="M1847" s="23"/>
    </row>
    <row r="1848" spans="12:13">
      <c r="L1848" s="23"/>
      <c r="M1848" s="23"/>
    </row>
    <row r="1849" spans="12:13">
      <c r="L1849" s="23"/>
      <c r="M1849" s="23"/>
    </row>
    <row r="1850" spans="12:13">
      <c r="L1850" s="23"/>
      <c r="M1850" s="23"/>
    </row>
    <row r="1851" spans="12:13">
      <c r="L1851" s="23"/>
      <c r="M1851" s="23"/>
    </row>
    <row r="1852" spans="12:13">
      <c r="L1852" s="23"/>
      <c r="M1852" s="23"/>
    </row>
    <row r="1853" spans="12:13">
      <c r="L1853" s="23"/>
      <c r="M1853" s="23"/>
    </row>
    <row r="1854" spans="12:13">
      <c r="L1854" s="23"/>
      <c r="M1854" s="23"/>
    </row>
    <row r="1855" spans="12:13">
      <c r="L1855" s="23"/>
      <c r="M1855" s="23"/>
    </row>
    <row r="1856" spans="12:13">
      <c r="L1856" s="23"/>
      <c r="M1856" s="23"/>
    </row>
    <row r="1857" spans="12:13">
      <c r="L1857" s="23"/>
      <c r="M1857" s="23"/>
    </row>
    <row r="1858" spans="12:13">
      <c r="L1858" s="23"/>
      <c r="M1858" s="23"/>
    </row>
    <row r="1859" spans="12:13">
      <c r="L1859" s="23"/>
      <c r="M1859" s="23"/>
    </row>
    <row r="1860" spans="12:13">
      <c r="L1860" s="23"/>
      <c r="M1860" s="23"/>
    </row>
    <row r="1861" spans="12:13">
      <c r="L1861" s="23"/>
      <c r="M1861" s="23"/>
    </row>
    <row r="1862" spans="12:13">
      <c r="L1862" s="23"/>
      <c r="M1862" s="23"/>
    </row>
    <row r="1863" spans="12:13">
      <c r="L1863" s="23"/>
      <c r="M1863" s="23"/>
    </row>
    <row r="1864" spans="12:13">
      <c r="L1864" s="23"/>
      <c r="M1864" s="23"/>
    </row>
    <row r="1865" spans="12:13">
      <c r="L1865" s="23"/>
      <c r="M1865" s="23"/>
    </row>
    <row r="1866" spans="12:13">
      <c r="L1866" s="23"/>
      <c r="M1866" s="23"/>
    </row>
    <row r="1867" spans="12:13">
      <c r="L1867" s="23"/>
      <c r="M1867" s="23"/>
    </row>
    <row r="1868" spans="12:13">
      <c r="L1868" s="23"/>
      <c r="M1868" s="23"/>
    </row>
    <row r="1869" spans="12:13">
      <c r="L1869" s="23"/>
      <c r="M1869" s="23"/>
    </row>
    <row r="1870" spans="12:13">
      <c r="L1870" s="23"/>
      <c r="M1870" s="23"/>
    </row>
    <row r="1871" spans="12:13">
      <c r="L1871" s="23"/>
      <c r="M1871" s="23"/>
    </row>
    <row r="1872" spans="12:13">
      <c r="L1872" s="23"/>
      <c r="M1872" s="23"/>
    </row>
    <row r="1873" spans="12:13">
      <c r="L1873" s="23"/>
      <c r="M1873" s="23"/>
    </row>
    <row r="1874" spans="12:13">
      <c r="L1874" s="23"/>
      <c r="M1874" s="23"/>
    </row>
    <row r="1875" spans="12:13">
      <c r="L1875" s="23"/>
      <c r="M1875" s="23"/>
    </row>
    <row r="1876" spans="12:13">
      <c r="L1876" s="23"/>
      <c r="M1876" s="23"/>
    </row>
    <row r="1877" spans="12:13">
      <c r="L1877" s="23"/>
      <c r="M1877" s="23"/>
    </row>
    <row r="1878" spans="12:13">
      <c r="L1878" s="23"/>
      <c r="M1878" s="23"/>
    </row>
    <row r="1879" spans="12:13">
      <c r="L1879" s="23"/>
      <c r="M1879" s="23"/>
    </row>
    <row r="1880" spans="12:13">
      <c r="L1880" s="23"/>
      <c r="M1880" s="23"/>
    </row>
    <row r="1881" spans="12:13">
      <c r="L1881" s="23"/>
      <c r="M1881" s="23"/>
    </row>
    <row r="1882" spans="12:13">
      <c r="L1882" s="23"/>
      <c r="M1882" s="23"/>
    </row>
    <row r="1883" spans="12:13">
      <c r="L1883" s="23"/>
      <c r="M1883" s="23"/>
    </row>
    <row r="1884" spans="12:13">
      <c r="L1884" s="23"/>
      <c r="M1884" s="23"/>
    </row>
    <row r="1885" spans="12:13">
      <c r="L1885" s="23"/>
      <c r="M1885" s="23"/>
    </row>
    <row r="1886" spans="12:13">
      <c r="L1886" s="23"/>
      <c r="M1886" s="23"/>
    </row>
    <row r="1887" spans="12:13">
      <c r="L1887" s="23"/>
      <c r="M1887" s="23"/>
    </row>
    <row r="1888" spans="12:13">
      <c r="L1888" s="23"/>
      <c r="M1888" s="23"/>
    </row>
    <row r="1889" spans="12:13">
      <c r="L1889" s="23"/>
      <c r="M1889" s="23"/>
    </row>
    <row r="1890" spans="12:13">
      <c r="L1890" s="23"/>
      <c r="M1890" s="23"/>
    </row>
    <row r="1891" spans="12:13">
      <c r="L1891" s="23"/>
      <c r="M1891" s="23"/>
    </row>
    <row r="1892" spans="12:13">
      <c r="L1892" s="23"/>
      <c r="M1892" s="23"/>
    </row>
    <row r="1893" spans="12:13">
      <c r="L1893" s="23"/>
      <c r="M1893" s="23"/>
    </row>
    <row r="1894" spans="12:13">
      <c r="L1894" s="23"/>
      <c r="M1894" s="23"/>
    </row>
    <row r="1895" spans="12:13">
      <c r="L1895" s="23"/>
      <c r="M1895" s="23"/>
    </row>
    <row r="1896" spans="12:13">
      <c r="L1896" s="23"/>
      <c r="M1896" s="23"/>
    </row>
    <row r="1897" spans="12:13">
      <c r="L1897" s="23"/>
      <c r="M1897" s="23"/>
    </row>
    <row r="1898" spans="12:13">
      <c r="L1898" s="23"/>
      <c r="M1898" s="23"/>
    </row>
    <row r="1899" spans="12:13">
      <c r="L1899" s="23"/>
      <c r="M1899" s="23"/>
    </row>
    <row r="1900" spans="12:13">
      <c r="L1900" s="23"/>
      <c r="M1900" s="23"/>
    </row>
    <row r="1901" spans="12:13">
      <c r="L1901" s="23"/>
      <c r="M1901" s="23"/>
    </row>
    <row r="1902" spans="12:13">
      <c r="L1902" s="23"/>
      <c r="M1902" s="23"/>
    </row>
    <row r="1903" spans="12:13">
      <c r="L1903" s="23"/>
      <c r="M1903" s="23"/>
    </row>
    <row r="1904" spans="12:13">
      <c r="L1904" s="23"/>
      <c r="M1904" s="23"/>
    </row>
    <row r="1905" spans="12:13">
      <c r="L1905" s="23"/>
      <c r="M1905" s="23"/>
    </row>
    <row r="1906" spans="12:13">
      <c r="L1906" s="23"/>
      <c r="M1906" s="23"/>
    </row>
    <row r="1907" spans="12:13">
      <c r="L1907" s="23"/>
      <c r="M1907" s="23"/>
    </row>
    <row r="1908" spans="12:13">
      <c r="L1908" s="23"/>
      <c r="M1908" s="23"/>
    </row>
    <row r="1909" spans="12:13">
      <c r="L1909" s="23"/>
      <c r="M1909" s="23"/>
    </row>
    <row r="1910" spans="12:13">
      <c r="L1910" s="23"/>
      <c r="M1910" s="23"/>
    </row>
    <row r="1911" spans="12:13">
      <c r="L1911" s="23"/>
      <c r="M1911" s="23"/>
    </row>
    <row r="1912" spans="12:13">
      <c r="L1912" s="23"/>
      <c r="M1912" s="23"/>
    </row>
    <row r="1913" spans="12:13">
      <c r="L1913" s="23"/>
      <c r="M1913" s="23"/>
    </row>
    <row r="1914" spans="12:13">
      <c r="L1914" s="23"/>
      <c r="M1914" s="23"/>
    </row>
    <row r="1915" spans="12:13">
      <c r="L1915" s="23"/>
      <c r="M1915" s="23"/>
    </row>
    <row r="1916" spans="12:13">
      <c r="L1916" s="23"/>
      <c r="M1916" s="23"/>
    </row>
    <row r="1917" spans="12:13">
      <c r="L1917" s="23"/>
      <c r="M1917" s="23"/>
    </row>
    <row r="1918" spans="12:13">
      <c r="L1918" s="23"/>
      <c r="M1918" s="23"/>
    </row>
    <row r="1919" spans="12:13">
      <c r="L1919" s="23"/>
      <c r="M1919" s="23"/>
    </row>
    <row r="1920" spans="12:13">
      <c r="L1920" s="23"/>
      <c r="M1920" s="23"/>
    </row>
    <row r="1921" spans="12:13">
      <c r="L1921" s="23"/>
      <c r="M1921" s="23"/>
    </row>
    <row r="1922" spans="12:13">
      <c r="L1922" s="23"/>
      <c r="M1922" s="23"/>
    </row>
    <row r="1923" spans="12:13">
      <c r="L1923" s="23"/>
      <c r="M1923" s="23"/>
    </row>
    <row r="1924" spans="12:13">
      <c r="L1924" s="23"/>
      <c r="M1924" s="23"/>
    </row>
    <row r="1925" spans="12:13">
      <c r="L1925" s="23"/>
      <c r="M1925" s="23"/>
    </row>
    <row r="1926" spans="12:13">
      <c r="L1926" s="23"/>
      <c r="M1926" s="23"/>
    </row>
    <row r="1927" spans="12:13">
      <c r="L1927" s="23"/>
      <c r="M1927" s="23"/>
    </row>
    <row r="1928" spans="12:13">
      <c r="L1928" s="23"/>
      <c r="M1928" s="23"/>
    </row>
    <row r="1929" spans="12:13">
      <c r="L1929" s="23"/>
      <c r="M1929" s="23"/>
    </row>
    <row r="1930" spans="12:13">
      <c r="L1930" s="23"/>
      <c r="M1930" s="23"/>
    </row>
    <row r="1931" spans="12:13">
      <c r="L1931" s="23"/>
      <c r="M1931" s="23"/>
    </row>
    <row r="1932" spans="12:13">
      <c r="L1932" s="23"/>
      <c r="M1932" s="23"/>
    </row>
    <row r="1933" spans="12:13">
      <c r="L1933" s="23"/>
      <c r="M1933" s="23"/>
    </row>
    <row r="1934" spans="12:13">
      <c r="L1934" s="23"/>
      <c r="M1934" s="23"/>
    </row>
    <row r="1935" spans="12:13">
      <c r="L1935" s="23"/>
      <c r="M1935" s="23"/>
    </row>
    <row r="1936" spans="12:13">
      <c r="L1936" s="23"/>
      <c r="M1936" s="23"/>
    </row>
    <row r="1937" spans="12:13">
      <c r="L1937" s="23"/>
      <c r="M1937" s="23"/>
    </row>
    <row r="1938" spans="12:13">
      <c r="L1938" s="23"/>
      <c r="M1938" s="23"/>
    </row>
    <row r="1939" spans="12:13">
      <c r="L1939" s="23"/>
      <c r="M1939" s="23"/>
    </row>
    <row r="1940" spans="12:13">
      <c r="L1940" s="23"/>
      <c r="M1940" s="23"/>
    </row>
    <row r="1941" spans="12:13">
      <c r="L1941" s="23"/>
      <c r="M1941" s="23"/>
    </row>
    <row r="1942" spans="12:13">
      <c r="L1942" s="23"/>
      <c r="M1942" s="23"/>
    </row>
    <row r="1943" spans="12:13">
      <c r="L1943" s="23"/>
      <c r="M1943" s="23"/>
    </row>
    <row r="1944" spans="12:13">
      <c r="L1944" s="23"/>
      <c r="M1944" s="23"/>
    </row>
    <row r="1945" spans="12:13">
      <c r="L1945" s="23"/>
      <c r="M1945" s="23"/>
    </row>
    <row r="1946" spans="12:13">
      <c r="L1946" s="23"/>
      <c r="M1946" s="23"/>
    </row>
    <row r="1947" spans="12:13">
      <c r="L1947" s="23"/>
      <c r="M1947" s="23"/>
    </row>
    <row r="1948" spans="12:13">
      <c r="L1948" s="23"/>
      <c r="M1948" s="23"/>
    </row>
    <row r="1949" spans="12:13">
      <c r="L1949" s="23"/>
      <c r="M1949" s="23"/>
    </row>
    <row r="1950" spans="12:13">
      <c r="L1950" s="23"/>
      <c r="M1950" s="23"/>
    </row>
    <row r="1951" spans="12:13">
      <c r="L1951" s="23"/>
      <c r="M1951" s="23"/>
    </row>
    <row r="1952" spans="12:13">
      <c r="L1952" s="23"/>
      <c r="M1952" s="23"/>
    </row>
    <row r="1953" spans="12:13">
      <c r="L1953" s="23"/>
      <c r="M1953" s="23"/>
    </row>
    <row r="1954" spans="12:13">
      <c r="L1954" s="23"/>
      <c r="M1954" s="23"/>
    </row>
    <row r="1955" spans="12:13">
      <c r="L1955" s="23"/>
      <c r="M1955" s="23"/>
    </row>
    <row r="1956" spans="12:13">
      <c r="L1956" s="23"/>
      <c r="M1956" s="23"/>
    </row>
    <row r="1957" spans="12:13">
      <c r="L1957" s="23"/>
      <c r="M1957" s="23"/>
    </row>
    <row r="1958" spans="12:13">
      <c r="L1958" s="23"/>
      <c r="M1958" s="23"/>
    </row>
    <row r="1959" spans="12:13">
      <c r="L1959" s="23"/>
      <c r="M1959" s="23"/>
    </row>
    <row r="1960" spans="12:13">
      <c r="L1960" s="23"/>
      <c r="M1960" s="23"/>
    </row>
    <row r="1961" spans="12:13">
      <c r="L1961" s="23"/>
      <c r="M1961" s="23"/>
    </row>
    <row r="1962" spans="12:13">
      <c r="L1962" s="23"/>
      <c r="M1962" s="23"/>
    </row>
    <row r="1963" spans="12:13">
      <c r="L1963" s="23"/>
      <c r="M1963" s="23"/>
    </row>
    <row r="1964" spans="12:13">
      <c r="L1964" s="23"/>
      <c r="M1964" s="23"/>
    </row>
    <row r="1965" spans="12:13">
      <c r="L1965" s="23"/>
      <c r="M1965" s="23"/>
    </row>
    <row r="1966" spans="12:13">
      <c r="L1966" s="23"/>
      <c r="M1966" s="23"/>
    </row>
    <row r="1967" spans="12:13">
      <c r="L1967" s="23"/>
      <c r="M1967" s="23"/>
    </row>
    <row r="1968" spans="12:13">
      <c r="L1968" s="23"/>
      <c r="M1968" s="23"/>
    </row>
    <row r="1969" spans="12:13">
      <c r="L1969" s="23"/>
      <c r="M1969" s="23"/>
    </row>
    <row r="1970" spans="12:13">
      <c r="L1970" s="23"/>
      <c r="M1970" s="23"/>
    </row>
    <row r="1971" spans="12:13">
      <c r="L1971" s="23"/>
      <c r="M1971" s="23"/>
    </row>
    <row r="1972" spans="12:13">
      <c r="L1972" s="23"/>
      <c r="M1972" s="23"/>
    </row>
    <row r="1973" spans="12:13">
      <c r="L1973" s="23"/>
      <c r="M1973" s="23"/>
    </row>
    <row r="1974" spans="12:13">
      <c r="L1974" s="23"/>
      <c r="M1974" s="23"/>
    </row>
    <row r="1975" spans="12:13">
      <c r="L1975" s="23"/>
      <c r="M1975" s="23"/>
    </row>
    <row r="1976" spans="12:13">
      <c r="L1976" s="23"/>
      <c r="M1976" s="23"/>
    </row>
    <row r="1977" spans="12:13">
      <c r="L1977" s="23"/>
      <c r="M1977" s="23"/>
    </row>
    <row r="1978" spans="12:13">
      <c r="L1978" s="23"/>
      <c r="M1978" s="23"/>
    </row>
    <row r="1979" spans="12:13">
      <c r="L1979" s="23"/>
      <c r="M1979" s="23"/>
    </row>
    <row r="1980" spans="12:13">
      <c r="L1980" s="23"/>
      <c r="M1980" s="23"/>
    </row>
    <row r="1981" spans="12:13">
      <c r="L1981" s="23"/>
      <c r="M1981" s="23"/>
    </row>
    <row r="1982" spans="12:13">
      <c r="L1982" s="23"/>
      <c r="M1982" s="23"/>
    </row>
    <row r="1983" spans="12:13">
      <c r="L1983" s="23"/>
      <c r="M1983" s="23"/>
    </row>
    <row r="1984" spans="12:13">
      <c r="L1984" s="23"/>
      <c r="M1984" s="23"/>
    </row>
    <row r="1985" spans="12:13">
      <c r="L1985" s="23"/>
      <c r="M1985" s="23"/>
    </row>
    <row r="1986" spans="12:13">
      <c r="L1986" s="23"/>
      <c r="M1986" s="23"/>
    </row>
    <row r="1987" spans="12:13">
      <c r="L1987" s="23"/>
      <c r="M1987" s="23"/>
    </row>
    <row r="1988" spans="12:13">
      <c r="L1988" s="23"/>
      <c r="M1988" s="23"/>
    </row>
    <row r="1989" spans="12:13">
      <c r="L1989" s="23"/>
      <c r="M1989" s="23"/>
    </row>
    <row r="1990" spans="12:13">
      <c r="L1990" s="23"/>
      <c r="M1990" s="23"/>
    </row>
    <row r="1991" spans="12:13">
      <c r="L1991" s="23"/>
      <c r="M1991" s="23"/>
    </row>
    <row r="1992" spans="12:13">
      <c r="L1992" s="23"/>
      <c r="M1992" s="23"/>
    </row>
    <row r="1993" spans="12:13">
      <c r="L1993" s="23"/>
      <c r="M1993" s="23"/>
    </row>
    <row r="1994" spans="12:13">
      <c r="L1994" s="23"/>
      <c r="M1994" s="23"/>
    </row>
    <row r="1995" spans="12:13">
      <c r="L1995" s="23"/>
      <c r="M1995" s="23"/>
    </row>
    <row r="1996" spans="12:13">
      <c r="L1996" s="23"/>
      <c r="M1996" s="23"/>
    </row>
    <row r="1997" spans="12:13">
      <c r="L1997" s="23"/>
      <c r="M1997" s="23"/>
    </row>
    <row r="1998" spans="12:13">
      <c r="L1998" s="23"/>
      <c r="M1998" s="23"/>
    </row>
    <row r="1999" spans="12:13">
      <c r="L1999" s="23"/>
      <c r="M1999" s="23"/>
    </row>
    <row r="2000" spans="12:13">
      <c r="L2000" s="23"/>
      <c r="M2000" s="23"/>
    </row>
    <row r="2001" spans="12:13">
      <c r="L2001" s="23"/>
      <c r="M2001" s="23"/>
    </row>
    <row r="2002" spans="12:13">
      <c r="L2002" s="23"/>
      <c r="M2002" s="23"/>
    </row>
    <row r="2003" spans="12:13">
      <c r="L2003" s="23"/>
      <c r="M2003" s="23"/>
    </row>
    <row r="2004" spans="12:13">
      <c r="L2004" s="23"/>
      <c r="M2004" s="23"/>
    </row>
    <row r="2005" spans="12:13">
      <c r="L2005" s="23"/>
      <c r="M2005" s="23"/>
    </row>
    <row r="2006" spans="12:13">
      <c r="L2006" s="23"/>
      <c r="M2006" s="23"/>
    </row>
    <row r="2007" spans="12:13">
      <c r="L2007" s="23"/>
      <c r="M2007" s="23"/>
    </row>
    <row r="2008" spans="12:13">
      <c r="L2008" s="23"/>
      <c r="M2008" s="23"/>
    </row>
    <row r="2009" spans="12:13">
      <c r="L2009" s="23"/>
      <c r="M2009" s="23"/>
    </row>
    <row r="2010" spans="12:13">
      <c r="L2010" s="23"/>
      <c r="M2010" s="23"/>
    </row>
    <row r="2011" spans="12:13">
      <c r="L2011" s="23"/>
      <c r="M2011" s="23"/>
    </row>
    <row r="2012" spans="12:13">
      <c r="L2012" s="23"/>
      <c r="M2012" s="23"/>
    </row>
    <row r="2013" spans="12:13">
      <c r="L2013" s="23"/>
      <c r="M2013" s="23"/>
    </row>
    <row r="2014" spans="12:13">
      <c r="L2014" s="23"/>
      <c r="M2014" s="23"/>
    </row>
    <row r="2015" spans="12:13">
      <c r="L2015" s="23"/>
      <c r="M2015" s="23"/>
    </row>
    <row r="2016" spans="12:13">
      <c r="L2016" s="23"/>
      <c r="M2016" s="23"/>
    </row>
    <row r="2017" spans="12:13">
      <c r="L2017" s="23"/>
      <c r="M2017" s="23"/>
    </row>
    <row r="2018" spans="12:13">
      <c r="L2018" s="23"/>
      <c r="M2018" s="23"/>
    </row>
    <row r="2019" spans="12:13">
      <c r="L2019" s="23"/>
      <c r="M2019" s="23"/>
    </row>
    <row r="2020" spans="12:13">
      <c r="L2020" s="23"/>
      <c r="M2020" s="23"/>
    </row>
    <row r="2021" spans="12:13">
      <c r="L2021" s="23"/>
      <c r="M2021" s="23"/>
    </row>
    <row r="2022" spans="12:13">
      <c r="L2022" s="23"/>
      <c r="M2022" s="23"/>
    </row>
    <row r="2023" spans="12:13">
      <c r="L2023" s="23"/>
      <c r="M2023" s="23"/>
    </row>
    <row r="2024" spans="12:13">
      <c r="L2024" s="23"/>
      <c r="M2024" s="23"/>
    </row>
    <row r="2025" spans="12:13">
      <c r="L2025" s="23"/>
      <c r="M2025" s="23"/>
    </row>
    <row r="2026" spans="12:13">
      <c r="L2026" s="23"/>
      <c r="M2026" s="23"/>
    </row>
    <row r="2027" spans="12:13">
      <c r="L2027" s="23"/>
      <c r="M2027" s="23"/>
    </row>
    <row r="2028" spans="12:13">
      <c r="L2028" s="23"/>
      <c r="M2028" s="23"/>
    </row>
    <row r="2029" spans="12:13">
      <c r="L2029" s="23"/>
      <c r="M2029" s="23"/>
    </row>
    <row r="2030" spans="12:13">
      <c r="L2030" s="23"/>
      <c r="M2030" s="23"/>
    </row>
    <row r="2031" spans="12:13">
      <c r="L2031" s="23"/>
      <c r="M2031" s="23"/>
    </row>
    <row r="2032" spans="12:13">
      <c r="L2032" s="23"/>
      <c r="M2032" s="23"/>
    </row>
    <row r="2033" spans="12:13">
      <c r="L2033" s="23"/>
      <c r="M2033" s="23"/>
    </row>
    <row r="2034" spans="12:13">
      <c r="L2034" s="23"/>
      <c r="M2034" s="23"/>
    </row>
    <row r="2035" spans="12:13">
      <c r="L2035" s="23"/>
      <c r="M2035" s="23"/>
    </row>
    <row r="2036" spans="12:13">
      <c r="L2036" s="23"/>
      <c r="M2036" s="23"/>
    </row>
    <row r="2037" spans="12:13">
      <c r="L2037" s="23"/>
      <c r="M2037" s="23"/>
    </row>
    <row r="2038" spans="12:13">
      <c r="L2038" s="23"/>
      <c r="M2038" s="23"/>
    </row>
    <row r="2039" spans="12:13">
      <c r="L2039" s="23"/>
      <c r="M2039" s="23"/>
    </row>
    <row r="2040" spans="12:13">
      <c r="L2040" s="23"/>
      <c r="M2040" s="23"/>
    </row>
    <row r="2041" spans="12:13">
      <c r="L2041" s="23"/>
      <c r="M2041" s="23"/>
    </row>
    <row r="2042" spans="12:13">
      <c r="L2042" s="23"/>
      <c r="M2042" s="23"/>
    </row>
    <row r="2043" spans="12:13">
      <c r="L2043" s="23"/>
      <c r="M2043" s="23"/>
    </row>
    <row r="2044" spans="12:13">
      <c r="L2044" s="23"/>
      <c r="M2044" s="23"/>
    </row>
    <row r="2045" spans="12:13">
      <c r="L2045" s="23"/>
      <c r="M2045" s="23"/>
    </row>
    <row r="2046" spans="12:13">
      <c r="L2046" s="23"/>
      <c r="M2046" s="23"/>
    </row>
    <row r="2047" spans="12:13">
      <c r="L2047" s="23"/>
      <c r="M2047" s="23"/>
    </row>
    <row r="2048" spans="12:13">
      <c r="L2048" s="23"/>
      <c r="M2048" s="23"/>
    </row>
    <row r="2049" spans="12:13">
      <c r="L2049" s="23"/>
      <c r="M2049" s="23"/>
    </row>
    <row r="2050" spans="12:13">
      <c r="L2050" s="23"/>
      <c r="M2050" s="23"/>
    </row>
    <row r="2051" spans="12:13">
      <c r="L2051" s="23"/>
      <c r="M2051" s="23"/>
    </row>
    <row r="2052" spans="12:13">
      <c r="L2052" s="23"/>
      <c r="M2052" s="23"/>
    </row>
    <row r="2053" spans="12:13">
      <c r="L2053" s="23"/>
      <c r="M2053" s="23"/>
    </row>
    <row r="2054" spans="12:13">
      <c r="L2054" s="23"/>
      <c r="M2054" s="23"/>
    </row>
    <row r="2055" spans="12:13">
      <c r="L2055" s="23"/>
      <c r="M2055" s="23"/>
    </row>
    <row r="2056" spans="12:13">
      <c r="L2056" s="23"/>
      <c r="M2056" s="23"/>
    </row>
    <row r="2057" spans="12:13">
      <c r="L2057" s="23"/>
      <c r="M2057" s="23"/>
    </row>
    <row r="2058" spans="12:13">
      <c r="L2058" s="23"/>
      <c r="M2058" s="23"/>
    </row>
    <row r="2059" spans="12:13">
      <c r="L2059" s="23"/>
      <c r="M2059" s="23"/>
    </row>
    <row r="2060" spans="12:13">
      <c r="L2060" s="23"/>
      <c r="M2060" s="23"/>
    </row>
    <row r="2061" spans="12:13">
      <c r="L2061" s="23"/>
      <c r="M2061" s="23"/>
    </row>
    <row r="2062" spans="12:13">
      <c r="L2062" s="23"/>
      <c r="M2062" s="23"/>
    </row>
    <row r="2063" spans="12:13">
      <c r="L2063" s="23"/>
      <c r="M2063" s="23"/>
    </row>
    <row r="2064" spans="12:13">
      <c r="L2064" s="23"/>
      <c r="M2064" s="23"/>
    </row>
    <row r="2065" spans="12:13">
      <c r="L2065" s="23"/>
      <c r="M2065" s="23"/>
    </row>
    <row r="2066" spans="12:13">
      <c r="L2066" s="23"/>
      <c r="M2066" s="23"/>
    </row>
    <row r="2067" spans="12:13">
      <c r="L2067" s="23"/>
      <c r="M2067" s="23"/>
    </row>
    <row r="2068" spans="12:13">
      <c r="L2068" s="23"/>
      <c r="M2068" s="23"/>
    </row>
    <row r="2069" spans="12:13">
      <c r="L2069" s="23"/>
      <c r="M2069" s="23"/>
    </row>
    <row r="2070" spans="12:13">
      <c r="L2070" s="23"/>
      <c r="M2070" s="23"/>
    </row>
    <row r="2071" spans="12:13">
      <c r="L2071" s="23"/>
      <c r="M2071" s="23"/>
    </row>
    <row r="2072" spans="12:13">
      <c r="L2072" s="23"/>
      <c r="M2072" s="23"/>
    </row>
    <row r="2073" spans="12:13">
      <c r="L2073" s="23"/>
      <c r="M2073" s="23"/>
    </row>
    <row r="2074" spans="12:13">
      <c r="L2074" s="23"/>
      <c r="M2074" s="23"/>
    </row>
    <row r="2075" spans="12:13">
      <c r="L2075" s="23"/>
      <c r="M2075" s="23"/>
    </row>
    <row r="2076" spans="12:13">
      <c r="L2076" s="23"/>
      <c r="M2076" s="23"/>
    </row>
    <row r="2077" spans="12:13">
      <c r="L2077" s="23"/>
      <c r="M2077" s="23"/>
    </row>
    <row r="2078" spans="12:13">
      <c r="L2078" s="23"/>
      <c r="M2078" s="23"/>
    </row>
    <row r="2079" spans="12:13">
      <c r="L2079" s="23"/>
      <c r="M2079" s="23"/>
    </row>
    <row r="2080" spans="12:13">
      <c r="L2080" s="23"/>
      <c r="M2080" s="23"/>
    </row>
    <row r="2081" spans="12:13">
      <c r="L2081" s="23"/>
      <c r="M2081" s="23"/>
    </row>
    <row r="2082" spans="12:13">
      <c r="L2082" s="23"/>
      <c r="M2082" s="23"/>
    </row>
    <row r="2083" spans="12:13">
      <c r="L2083" s="23"/>
      <c r="M2083" s="23"/>
    </row>
    <row r="2084" spans="12:13">
      <c r="L2084" s="23"/>
      <c r="M2084" s="23"/>
    </row>
    <row r="2085" spans="12:13">
      <c r="L2085" s="23"/>
      <c r="M2085" s="23"/>
    </row>
    <row r="2086" spans="12:13">
      <c r="L2086" s="23"/>
      <c r="M2086" s="23"/>
    </row>
    <row r="2087" spans="12:13">
      <c r="L2087" s="23"/>
      <c r="M2087" s="23"/>
    </row>
    <row r="2088" spans="12:13">
      <c r="L2088" s="23"/>
      <c r="M2088" s="23"/>
    </row>
    <row r="2089" spans="12:13">
      <c r="L2089" s="23"/>
      <c r="M2089" s="23"/>
    </row>
    <row r="2090" spans="12:13">
      <c r="L2090" s="23"/>
      <c r="M2090" s="23"/>
    </row>
    <row r="2091" spans="12:13">
      <c r="L2091" s="23"/>
      <c r="M2091" s="23"/>
    </row>
    <row r="2092" spans="12:13">
      <c r="L2092" s="23"/>
      <c r="M2092" s="23"/>
    </row>
    <row r="2093" spans="12:13">
      <c r="L2093" s="23"/>
      <c r="M2093" s="23"/>
    </row>
    <row r="2094" spans="12:13">
      <c r="L2094" s="23"/>
      <c r="M2094" s="23"/>
    </row>
    <row r="2095" spans="12:13">
      <c r="L2095" s="23"/>
      <c r="M2095" s="23"/>
    </row>
    <row r="2096" spans="12:13">
      <c r="L2096" s="23"/>
      <c r="M2096" s="23"/>
    </row>
    <row r="2097" spans="12:13">
      <c r="L2097" s="23"/>
      <c r="M2097" s="23"/>
    </row>
    <row r="2098" spans="12:13">
      <c r="L2098" s="23"/>
      <c r="M2098" s="23"/>
    </row>
    <row r="2099" spans="12:13">
      <c r="L2099" s="23"/>
      <c r="M2099" s="23"/>
    </row>
    <row r="2100" spans="12:13">
      <c r="L2100" s="23"/>
      <c r="M2100" s="23"/>
    </row>
    <row r="2101" spans="12:13">
      <c r="L2101" s="23"/>
      <c r="M2101" s="23"/>
    </row>
    <row r="2102" spans="12:13">
      <c r="L2102" s="23"/>
      <c r="M2102" s="23"/>
    </row>
    <row r="2103" spans="12:13">
      <c r="L2103" s="23"/>
      <c r="M2103" s="23"/>
    </row>
    <row r="2104" spans="12:13">
      <c r="L2104" s="23"/>
      <c r="M2104" s="23"/>
    </row>
    <row r="2105" spans="12:13">
      <c r="L2105" s="23"/>
      <c r="M2105" s="23"/>
    </row>
    <row r="2106" spans="12:13">
      <c r="L2106" s="23"/>
      <c r="M2106" s="23"/>
    </row>
    <row r="2107" spans="12:13">
      <c r="L2107" s="23"/>
      <c r="M2107" s="23"/>
    </row>
    <row r="2108" spans="12:13">
      <c r="L2108" s="23"/>
      <c r="M2108" s="23"/>
    </row>
    <row r="2109" spans="12:13">
      <c r="L2109" s="23"/>
      <c r="M2109" s="23"/>
    </row>
    <row r="2110" spans="12:13">
      <c r="L2110" s="23"/>
      <c r="M2110" s="23"/>
    </row>
    <row r="2111" spans="12:13">
      <c r="L2111" s="23"/>
      <c r="M2111" s="23"/>
    </row>
    <row r="2112" spans="12:13">
      <c r="L2112" s="23"/>
      <c r="M2112" s="23"/>
    </row>
    <row r="2113" spans="12:13">
      <c r="L2113" s="23"/>
      <c r="M2113" s="23"/>
    </row>
    <row r="2114" spans="12:13">
      <c r="L2114" s="23"/>
      <c r="M2114" s="23"/>
    </row>
    <row r="2115" spans="12:13">
      <c r="L2115" s="23"/>
      <c r="M2115" s="23"/>
    </row>
    <row r="2116" spans="12:13">
      <c r="L2116" s="23"/>
      <c r="M2116" s="23"/>
    </row>
    <row r="2117" spans="12:13">
      <c r="L2117" s="23"/>
      <c r="M2117" s="23"/>
    </row>
    <row r="2118" spans="12:13">
      <c r="L2118" s="23"/>
      <c r="M2118" s="23"/>
    </row>
    <row r="2119" spans="12:13">
      <c r="L2119" s="23"/>
      <c r="M2119" s="23"/>
    </row>
    <row r="2120" spans="12:13">
      <c r="L2120" s="23"/>
      <c r="M2120" s="23"/>
    </row>
    <row r="2121" spans="12:13">
      <c r="L2121" s="23"/>
      <c r="M2121" s="23"/>
    </row>
    <row r="2122" spans="12:13">
      <c r="L2122" s="23"/>
      <c r="M2122" s="23"/>
    </row>
    <row r="2123" spans="12:13">
      <c r="L2123" s="23"/>
      <c r="M2123" s="23"/>
    </row>
    <row r="2124" spans="12:13">
      <c r="L2124" s="23"/>
      <c r="M2124" s="23"/>
    </row>
    <row r="2125" spans="12:13">
      <c r="L2125" s="23"/>
      <c r="M2125" s="23"/>
    </row>
    <row r="2126" spans="12:13">
      <c r="L2126" s="23"/>
      <c r="M2126" s="23"/>
    </row>
    <row r="2127" spans="12:13">
      <c r="L2127" s="23"/>
      <c r="M2127" s="23"/>
    </row>
    <row r="2128" spans="12:13">
      <c r="L2128" s="23"/>
      <c r="M2128" s="23"/>
    </row>
    <row r="2129" spans="12:13">
      <c r="L2129" s="23"/>
      <c r="M2129" s="23"/>
    </row>
    <row r="2130" spans="12:13">
      <c r="L2130" s="23"/>
      <c r="M2130" s="23"/>
    </row>
    <row r="2131" spans="12:13">
      <c r="L2131" s="23"/>
      <c r="M2131" s="23"/>
    </row>
    <row r="2132" spans="12:13">
      <c r="L2132" s="23"/>
      <c r="M2132" s="23"/>
    </row>
    <row r="2133" spans="12:13">
      <c r="L2133" s="23"/>
      <c r="M2133" s="23"/>
    </row>
    <row r="2134" spans="12:13">
      <c r="L2134" s="23"/>
      <c r="M2134" s="23"/>
    </row>
    <row r="2135" spans="12:13">
      <c r="L2135" s="23"/>
      <c r="M2135" s="23"/>
    </row>
    <row r="2136" spans="12:13">
      <c r="L2136" s="23"/>
      <c r="M2136" s="23"/>
    </row>
    <row r="2137" spans="12:13">
      <c r="L2137" s="23"/>
      <c r="M2137" s="23"/>
    </row>
    <row r="2138" spans="12:13">
      <c r="L2138" s="23"/>
      <c r="M2138" s="23"/>
    </row>
    <row r="2139" spans="12:13">
      <c r="L2139" s="23"/>
      <c r="M2139" s="23"/>
    </row>
    <row r="2140" spans="12:13">
      <c r="L2140" s="23"/>
      <c r="M2140" s="23"/>
    </row>
    <row r="2141" spans="12:13">
      <c r="L2141" s="23"/>
      <c r="M2141" s="23"/>
    </row>
    <row r="2142" spans="12:13">
      <c r="L2142" s="23"/>
      <c r="M2142" s="23"/>
    </row>
    <row r="2143" spans="12:13">
      <c r="L2143" s="23"/>
      <c r="M2143" s="23"/>
    </row>
    <row r="2144" spans="12:13">
      <c r="L2144" s="23"/>
      <c r="M2144" s="23"/>
    </row>
    <row r="2145" spans="12:13">
      <c r="L2145" s="23"/>
      <c r="M2145" s="23"/>
    </row>
    <row r="2146" spans="12:13">
      <c r="L2146" s="23"/>
      <c r="M2146" s="23"/>
    </row>
    <row r="2147" spans="12:13">
      <c r="L2147" s="23"/>
      <c r="M2147" s="23"/>
    </row>
    <row r="2148" spans="12:13">
      <c r="L2148" s="23"/>
      <c r="M2148" s="23"/>
    </row>
    <row r="2149" spans="12:13">
      <c r="L2149" s="23"/>
      <c r="M2149" s="23"/>
    </row>
    <row r="2150" spans="12:13">
      <c r="L2150" s="23"/>
      <c r="M2150" s="23"/>
    </row>
    <row r="2151" spans="12:13">
      <c r="L2151" s="23"/>
      <c r="M2151" s="23"/>
    </row>
    <row r="2152" spans="12:13">
      <c r="L2152" s="23"/>
      <c r="M2152" s="23"/>
    </row>
    <row r="2153" spans="12:13">
      <c r="L2153" s="23"/>
      <c r="M2153" s="23"/>
    </row>
    <row r="2154" spans="12:13">
      <c r="L2154" s="23"/>
      <c r="M2154" s="23"/>
    </row>
    <row r="2155" spans="12:13">
      <c r="L2155" s="23"/>
      <c r="M2155" s="23"/>
    </row>
    <row r="2156" spans="12:13">
      <c r="L2156" s="23"/>
      <c r="M2156" s="23"/>
    </row>
    <row r="2157" spans="12:13">
      <c r="L2157" s="23"/>
      <c r="M2157" s="23"/>
    </row>
    <row r="2158" spans="12:13">
      <c r="L2158" s="23"/>
      <c r="M2158" s="23"/>
    </row>
    <row r="2159" spans="12:13">
      <c r="L2159" s="23"/>
      <c r="M2159" s="23"/>
    </row>
    <row r="2160" spans="12:13">
      <c r="L2160" s="23"/>
      <c r="M2160" s="23"/>
    </row>
    <row r="2161" spans="12:13">
      <c r="L2161" s="23"/>
      <c r="M2161" s="23"/>
    </row>
    <row r="2162" spans="12:13">
      <c r="L2162" s="23"/>
      <c r="M2162" s="23"/>
    </row>
    <row r="2163" spans="12:13">
      <c r="L2163" s="23"/>
      <c r="M2163" s="23"/>
    </row>
    <row r="2164" spans="12:13">
      <c r="L2164" s="23"/>
      <c r="M2164" s="23"/>
    </row>
    <row r="2165" spans="12:13">
      <c r="L2165" s="23"/>
      <c r="M2165" s="23"/>
    </row>
    <row r="2166" spans="12:13">
      <c r="L2166" s="23"/>
      <c r="M2166" s="23"/>
    </row>
    <row r="2167" spans="12:13">
      <c r="L2167" s="23"/>
      <c r="M2167" s="23"/>
    </row>
    <row r="2168" spans="12:13">
      <c r="L2168" s="23"/>
      <c r="M2168" s="23"/>
    </row>
    <row r="2169" spans="12:13">
      <c r="L2169" s="23"/>
      <c r="M2169" s="23"/>
    </row>
    <row r="2170" spans="12:13">
      <c r="L2170" s="23"/>
      <c r="M2170" s="23"/>
    </row>
    <row r="2171" spans="12:13">
      <c r="L2171" s="23"/>
      <c r="M2171" s="23"/>
    </row>
    <row r="2172" spans="12:13">
      <c r="L2172" s="23"/>
      <c r="M2172" s="23"/>
    </row>
    <row r="2173" spans="12:13">
      <c r="L2173" s="23"/>
      <c r="M2173" s="23"/>
    </row>
    <row r="2174" spans="12:13">
      <c r="L2174" s="23"/>
      <c r="M2174" s="23"/>
    </row>
    <row r="2175" spans="12:13">
      <c r="L2175" s="23"/>
      <c r="M2175" s="23"/>
    </row>
    <row r="2176" spans="12:13">
      <c r="L2176" s="23"/>
      <c r="M2176" s="23"/>
    </row>
    <row r="2177" spans="12:13">
      <c r="L2177" s="23"/>
      <c r="M2177" s="23"/>
    </row>
    <row r="2178" spans="12:13">
      <c r="L2178" s="23"/>
      <c r="M2178" s="23"/>
    </row>
    <row r="2179" spans="12:13">
      <c r="L2179" s="23"/>
      <c r="M2179" s="23"/>
    </row>
    <row r="2180" spans="12:13">
      <c r="L2180" s="23"/>
      <c r="M2180" s="23"/>
    </row>
    <row r="2181" spans="12:13">
      <c r="L2181" s="23"/>
      <c r="M2181" s="23"/>
    </row>
    <row r="2182" spans="12:13">
      <c r="L2182" s="23"/>
      <c r="M2182" s="23"/>
    </row>
    <row r="2183" spans="12:13">
      <c r="L2183" s="23"/>
      <c r="M2183" s="23"/>
    </row>
    <row r="2184" spans="12:13">
      <c r="L2184" s="23"/>
      <c r="M2184" s="23"/>
    </row>
    <row r="2185" spans="12:13">
      <c r="L2185" s="23"/>
      <c r="M2185" s="23"/>
    </row>
    <row r="2186" spans="12:13">
      <c r="L2186" s="23"/>
      <c r="M2186" s="23"/>
    </row>
    <row r="2187" spans="12:13">
      <c r="L2187" s="23"/>
      <c r="M2187" s="23"/>
    </row>
    <row r="2188" spans="12:13">
      <c r="L2188" s="23"/>
      <c r="M2188" s="23"/>
    </row>
    <row r="2189" spans="12:13">
      <c r="L2189" s="23"/>
      <c r="M2189" s="23"/>
    </row>
    <row r="2190" spans="12:13">
      <c r="L2190" s="23"/>
      <c r="M2190" s="23"/>
    </row>
    <row r="2191" spans="12:13">
      <c r="L2191" s="23"/>
      <c r="M2191" s="23"/>
    </row>
    <row r="2192" spans="12:13">
      <c r="L2192" s="23"/>
      <c r="M2192" s="23"/>
    </row>
    <row r="2193" spans="12:13">
      <c r="L2193" s="23"/>
      <c r="M2193" s="23"/>
    </row>
    <row r="2194" spans="12:13">
      <c r="L2194" s="23"/>
      <c r="M2194" s="23"/>
    </row>
    <row r="2195" spans="12:13">
      <c r="L2195" s="23"/>
      <c r="M2195" s="23"/>
    </row>
    <row r="2196" spans="12:13">
      <c r="L2196" s="23"/>
      <c r="M2196" s="23"/>
    </row>
    <row r="2197" spans="12:13">
      <c r="L2197" s="23"/>
      <c r="M2197" s="23"/>
    </row>
    <row r="2198" spans="12:13">
      <c r="L2198" s="23"/>
      <c r="M2198" s="23"/>
    </row>
    <row r="2199" spans="12:13">
      <c r="L2199" s="23"/>
      <c r="M2199" s="23"/>
    </row>
    <row r="2200" spans="12:13">
      <c r="L2200" s="23"/>
      <c r="M2200" s="23"/>
    </row>
    <row r="2201" spans="12:13">
      <c r="L2201" s="23"/>
      <c r="M2201" s="23"/>
    </row>
    <row r="2202" spans="12:13">
      <c r="L2202" s="23"/>
      <c r="M2202" s="23"/>
    </row>
    <row r="2203" spans="12:13">
      <c r="L2203" s="23"/>
      <c r="M2203" s="23"/>
    </row>
    <row r="2204" spans="12:13">
      <c r="L2204" s="23"/>
      <c r="M2204" s="23"/>
    </row>
    <row r="2205" spans="12:13">
      <c r="L2205" s="23"/>
      <c r="M2205" s="23"/>
    </row>
    <row r="2206" spans="12:13">
      <c r="L2206" s="23"/>
      <c r="M2206" s="23"/>
    </row>
    <row r="2207" spans="12:13">
      <c r="L2207" s="23"/>
      <c r="M2207" s="23"/>
    </row>
    <row r="2208" spans="12:13">
      <c r="L2208" s="23"/>
      <c r="M2208" s="23"/>
    </row>
    <row r="2209" spans="12:13">
      <c r="L2209" s="23"/>
      <c r="M2209" s="23"/>
    </row>
    <row r="2210" spans="12:13">
      <c r="L2210" s="23"/>
      <c r="M2210" s="23"/>
    </row>
    <row r="2211" spans="12:13">
      <c r="L2211" s="23"/>
      <c r="M2211" s="23"/>
    </row>
    <row r="2212" spans="12:13">
      <c r="L2212" s="23"/>
      <c r="M2212" s="23"/>
    </row>
    <row r="2213" spans="12:13">
      <c r="L2213" s="23"/>
      <c r="M2213" s="23"/>
    </row>
    <row r="2214" spans="12:13">
      <c r="L2214" s="23"/>
      <c r="M2214" s="23"/>
    </row>
    <row r="2215" spans="12:13">
      <c r="L2215" s="23"/>
      <c r="M2215" s="23"/>
    </row>
    <row r="2216" spans="12:13">
      <c r="L2216" s="23"/>
      <c r="M2216" s="23"/>
    </row>
    <row r="2217" spans="12:13">
      <c r="L2217" s="23"/>
      <c r="M2217" s="23"/>
    </row>
    <row r="2218" spans="12:13">
      <c r="L2218" s="23"/>
      <c r="M2218" s="23"/>
    </row>
    <row r="2219" spans="12:13">
      <c r="L2219" s="23"/>
      <c r="M2219" s="23"/>
    </row>
    <row r="2220" spans="12:13">
      <c r="L2220" s="23"/>
      <c r="M2220" s="23"/>
    </row>
    <row r="2221" spans="12:13">
      <c r="L2221" s="23"/>
      <c r="M2221" s="23"/>
    </row>
    <row r="2222" spans="12:13">
      <c r="L2222" s="23"/>
      <c r="M2222" s="23"/>
    </row>
    <row r="2223" spans="12:13">
      <c r="L2223" s="23"/>
      <c r="M2223" s="23"/>
    </row>
    <row r="2224" spans="12:13">
      <c r="L2224" s="23"/>
      <c r="M2224" s="23"/>
    </row>
    <row r="2225" spans="12:13">
      <c r="L2225" s="23"/>
      <c r="M2225" s="23"/>
    </row>
    <row r="2226" spans="12:13">
      <c r="L2226" s="23"/>
      <c r="M2226" s="23"/>
    </row>
    <row r="2227" spans="12:13">
      <c r="L2227" s="23"/>
      <c r="M2227" s="23"/>
    </row>
    <row r="2228" spans="12:13">
      <c r="L2228" s="23"/>
      <c r="M2228" s="23"/>
    </row>
    <row r="2229" spans="12:13">
      <c r="L2229" s="23"/>
      <c r="M2229" s="23"/>
    </row>
    <row r="2230" spans="12:13">
      <c r="L2230" s="23"/>
      <c r="M2230" s="23"/>
    </row>
    <row r="2231" spans="12:13">
      <c r="L2231" s="23"/>
      <c r="M2231" s="23"/>
    </row>
    <row r="2232" spans="12:13">
      <c r="L2232" s="23"/>
      <c r="M2232" s="23"/>
    </row>
    <row r="2233" spans="12:13">
      <c r="L2233" s="23"/>
      <c r="M2233" s="23"/>
    </row>
    <row r="2234" spans="12:13">
      <c r="L2234" s="23"/>
      <c r="M2234" s="23"/>
    </row>
    <row r="2235" spans="12:13">
      <c r="L2235" s="23"/>
      <c r="M2235" s="23"/>
    </row>
    <row r="2236" spans="12:13">
      <c r="L2236" s="23"/>
      <c r="M2236" s="23"/>
    </row>
    <row r="2237" spans="12:13">
      <c r="L2237" s="23"/>
      <c r="M2237" s="23"/>
    </row>
    <row r="2238" spans="12:13">
      <c r="L2238" s="23"/>
      <c r="M2238" s="23"/>
    </row>
    <row r="2239" spans="12:13">
      <c r="L2239" s="23"/>
      <c r="M2239" s="23"/>
    </row>
    <row r="2240" spans="12:13">
      <c r="L2240" s="23"/>
      <c r="M2240" s="23"/>
    </row>
    <row r="2241" spans="12:13">
      <c r="L2241" s="23"/>
      <c r="M2241" s="23"/>
    </row>
    <row r="2242" spans="12:13">
      <c r="L2242" s="23"/>
      <c r="M2242" s="23"/>
    </row>
    <row r="2243" spans="12:13">
      <c r="L2243" s="23"/>
      <c r="M2243" s="23"/>
    </row>
    <row r="2244" spans="12:13">
      <c r="L2244" s="23"/>
      <c r="M2244" s="23"/>
    </row>
    <row r="2245" spans="12:13">
      <c r="L2245" s="23"/>
      <c r="M2245" s="23"/>
    </row>
    <row r="2246" spans="12:13">
      <c r="L2246" s="23"/>
      <c r="M2246" s="23"/>
    </row>
    <row r="2247" spans="12:13">
      <c r="L2247" s="23"/>
      <c r="M2247" s="23"/>
    </row>
    <row r="2248" spans="12:13">
      <c r="L2248" s="23"/>
      <c r="M2248" s="23"/>
    </row>
    <row r="2249" spans="12:13">
      <c r="L2249" s="23"/>
      <c r="M2249" s="23"/>
    </row>
    <row r="2250" spans="12:13">
      <c r="L2250" s="23"/>
      <c r="M2250" s="23"/>
    </row>
    <row r="2251" spans="12:13">
      <c r="L2251" s="23"/>
      <c r="M2251" s="23"/>
    </row>
    <row r="2252" spans="12:13">
      <c r="L2252" s="23"/>
      <c r="M2252" s="23"/>
    </row>
    <row r="2253" spans="12:13">
      <c r="L2253" s="23"/>
      <c r="M2253" s="23"/>
    </row>
    <row r="2254" spans="12:13">
      <c r="L2254" s="23"/>
      <c r="M2254" s="23"/>
    </row>
    <row r="2255" spans="12:13">
      <c r="L2255" s="23"/>
      <c r="M2255" s="23"/>
    </row>
    <row r="2256" spans="12:13">
      <c r="L2256" s="23"/>
      <c r="M2256" s="23"/>
    </row>
    <row r="2257" spans="12:13">
      <c r="L2257" s="23"/>
      <c r="M2257" s="23"/>
    </row>
    <row r="2258" spans="12:13">
      <c r="L2258" s="23"/>
      <c r="M2258" s="23"/>
    </row>
    <row r="2259" spans="12:13">
      <c r="L2259" s="23"/>
      <c r="M2259" s="23"/>
    </row>
    <row r="2260" spans="12:13">
      <c r="L2260" s="23"/>
      <c r="M2260" s="23"/>
    </row>
    <row r="2261" spans="12:13">
      <c r="L2261" s="23"/>
      <c r="M2261" s="23"/>
    </row>
    <row r="2262" spans="12:13">
      <c r="L2262" s="23"/>
      <c r="M2262" s="23"/>
    </row>
    <row r="2263" spans="12:13">
      <c r="L2263" s="23"/>
      <c r="M2263" s="23"/>
    </row>
    <row r="2264" spans="12:13">
      <c r="L2264" s="23"/>
      <c r="M2264" s="23"/>
    </row>
    <row r="2265" spans="12:13">
      <c r="L2265" s="23"/>
      <c r="M2265" s="23"/>
    </row>
    <row r="2266" spans="12:13">
      <c r="L2266" s="23"/>
      <c r="M2266" s="23"/>
    </row>
    <row r="2267" spans="12:13">
      <c r="L2267" s="23"/>
      <c r="M2267" s="23"/>
    </row>
    <row r="2268" spans="12:13">
      <c r="L2268" s="23"/>
      <c r="M2268" s="23"/>
    </row>
    <row r="2269" spans="12:13">
      <c r="L2269" s="23"/>
      <c r="M2269" s="23"/>
    </row>
    <row r="2270" spans="12:13">
      <c r="L2270" s="23"/>
      <c r="M2270" s="23"/>
    </row>
    <row r="2271" spans="12:13">
      <c r="L2271" s="23"/>
      <c r="M2271" s="23"/>
    </row>
    <row r="2272" spans="12:13">
      <c r="L2272" s="23"/>
      <c r="M2272" s="23"/>
    </row>
    <row r="2273" spans="12:13">
      <c r="L2273" s="23"/>
      <c r="M2273" s="23"/>
    </row>
    <row r="2274" spans="12:13">
      <c r="L2274" s="23"/>
      <c r="M2274" s="23"/>
    </row>
    <row r="2275" spans="12:13">
      <c r="L2275" s="23"/>
      <c r="M2275" s="23"/>
    </row>
    <row r="2276" spans="12:13">
      <c r="L2276" s="23"/>
      <c r="M2276" s="23"/>
    </row>
    <row r="2277" spans="12:13">
      <c r="L2277" s="23"/>
      <c r="M2277" s="23"/>
    </row>
    <row r="2278" spans="12:13">
      <c r="L2278" s="23"/>
      <c r="M2278" s="23"/>
    </row>
    <row r="2279" spans="12:13">
      <c r="L2279" s="23"/>
      <c r="M2279" s="23"/>
    </row>
    <row r="2280" spans="12:13">
      <c r="L2280" s="23"/>
      <c r="M2280" s="23"/>
    </row>
    <row r="2281" spans="12:13">
      <c r="L2281" s="23"/>
      <c r="M2281" s="23"/>
    </row>
    <row r="2282" spans="12:13">
      <c r="L2282" s="23"/>
      <c r="M2282" s="23"/>
    </row>
    <row r="2283" spans="12:13">
      <c r="L2283" s="23"/>
      <c r="M2283" s="23"/>
    </row>
    <row r="2284" spans="12:13">
      <c r="L2284" s="23"/>
      <c r="M2284" s="23"/>
    </row>
    <row r="2285" spans="12:13">
      <c r="L2285" s="23"/>
      <c r="M2285" s="23"/>
    </row>
    <row r="2286" spans="12:13">
      <c r="L2286" s="23"/>
      <c r="M2286" s="23"/>
    </row>
    <row r="2287" spans="12:13">
      <c r="L2287" s="23"/>
      <c r="M2287" s="23"/>
    </row>
    <row r="2288" spans="12:13">
      <c r="L2288" s="23"/>
      <c r="M2288" s="23"/>
    </row>
    <row r="2289" spans="12:13">
      <c r="L2289" s="23"/>
      <c r="M2289" s="23"/>
    </row>
    <row r="2290" spans="12:13">
      <c r="L2290" s="23"/>
      <c r="M2290" s="23"/>
    </row>
    <row r="2291" spans="12:13">
      <c r="L2291" s="23"/>
      <c r="M2291" s="23"/>
    </row>
    <row r="2292" spans="12:13">
      <c r="L2292" s="23"/>
      <c r="M2292" s="23"/>
    </row>
    <row r="2293" spans="12:13">
      <c r="L2293" s="23"/>
      <c r="M2293" s="23"/>
    </row>
    <row r="2294" spans="12:13">
      <c r="L2294" s="23"/>
      <c r="M2294" s="23"/>
    </row>
    <row r="2295" spans="12:13">
      <c r="L2295" s="23"/>
      <c r="M2295" s="23"/>
    </row>
    <row r="2296" spans="12:13">
      <c r="L2296" s="23"/>
      <c r="M2296" s="23"/>
    </row>
    <row r="2297" spans="12:13">
      <c r="L2297" s="23"/>
      <c r="M2297" s="23"/>
    </row>
    <row r="2298" spans="12:13">
      <c r="L2298" s="23"/>
      <c r="M2298" s="23"/>
    </row>
    <row r="2299" spans="12:13">
      <c r="L2299" s="23"/>
      <c r="M2299" s="23"/>
    </row>
    <row r="2300" spans="12:13">
      <c r="L2300" s="23"/>
      <c r="M2300" s="23"/>
    </row>
    <row r="2301" spans="12:13">
      <c r="L2301" s="23"/>
      <c r="M2301" s="23"/>
    </row>
    <row r="2302" spans="12:13">
      <c r="L2302" s="23"/>
      <c r="M2302" s="23"/>
    </row>
    <row r="2303" spans="12:13">
      <c r="L2303" s="23"/>
      <c r="M2303" s="23"/>
    </row>
    <row r="2304" spans="12:13">
      <c r="L2304" s="23"/>
      <c r="M2304" s="23"/>
    </row>
    <row r="2305" spans="12:13">
      <c r="L2305" s="23"/>
      <c r="M2305" s="23"/>
    </row>
    <row r="2306" spans="12:13">
      <c r="L2306" s="23"/>
      <c r="M2306" s="23"/>
    </row>
    <row r="2307" spans="12:13">
      <c r="L2307" s="23"/>
      <c r="M2307" s="23"/>
    </row>
    <row r="2308" spans="12:13">
      <c r="L2308" s="23"/>
      <c r="M2308" s="23"/>
    </row>
    <row r="2309" spans="12:13">
      <c r="L2309" s="23"/>
      <c r="M2309" s="23"/>
    </row>
    <row r="2310" spans="12:13">
      <c r="L2310" s="23"/>
      <c r="M2310" s="23"/>
    </row>
    <row r="2311" spans="12:13">
      <c r="L2311" s="23"/>
      <c r="M2311" s="23"/>
    </row>
    <row r="2312" spans="12:13">
      <c r="L2312" s="23"/>
      <c r="M2312" s="23"/>
    </row>
    <row r="2313" spans="12:13">
      <c r="L2313" s="23"/>
      <c r="M2313" s="23"/>
    </row>
    <row r="2314" spans="12:13">
      <c r="L2314" s="23"/>
      <c r="M2314" s="23"/>
    </row>
    <row r="2315" spans="12:13">
      <c r="L2315" s="23"/>
      <c r="M2315" s="23"/>
    </row>
    <row r="2316" spans="12:13">
      <c r="L2316" s="23"/>
      <c r="M2316" s="23"/>
    </row>
    <row r="2317" spans="12:13">
      <c r="L2317" s="23"/>
      <c r="M2317" s="23"/>
    </row>
    <row r="2318" spans="12:13">
      <c r="L2318" s="23"/>
      <c r="M2318" s="23"/>
    </row>
    <row r="2319" spans="12:13">
      <c r="L2319" s="23"/>
      <c r="M2319" s="23"/>
    </row>
    <row r="2320" spans="12:13">
      <c r="L2320" s="23"/>
      <c r="M2320" s="23"/>
    </row>
    <row r="2321" spans="12:13">
      <c r="L2321" s="23"/>
      <c r="M2321" s="23"/>
    </row>
    <row r="2322" spans="12:13">
      <c r="L2322" s="23"/>
      <c r="M2322" s="23"/>
    </row>
    <row r="2323" spans="12:13">
      <c r="L2323" s="23"/>
      <c r="M2323" s="23"/>
    </row>
    <row r="2324" spans="12:13">
      <c r="L2324" s="23"/>
      <c r="M2324" s="23"/>
    </row>
    <row r="2325" spans="12:13">
      <c r="L2325" s="23"/>
      <c r="M2325" s="23"/>
    </row>
    <row r="2326" spans="12:13">
      <c r="L2326" s="23"/>
      <c r="M2326" s="23"/>
    </row>
    <row r="2327" spans="12:13">
      <c r="L2327" s="23"/>
      <c r="M2327" s="23"/>
    </row>
    <row r="2328" spans="12:13">
      <c r="L2328" s="23"/>
      <c r="M2328" s="23"/>
    </row>
    <row r="2329" spans="12:13">
      <c r="L2329" s="23"/>
      <c r="M2329" s="23"/>
    </row>
    <row r="2330" spans="12:13">
      <c r="L2330" s="23"/>
      <c r="M2330" s="23"/>
    </row>
    <row r="2331" spans="12:13">
      <c r="L2331" s="23"/>
      <c r="M2331" s="23"/>
    </row>
    <row r="2332" spans="12:13">
      <c r="L2332" s="23"/>
      <c r="M2332" s="23"/>
    </row>
    <row r="2333" spans="12:13">
      <c r="L2333" s="23"/>
      <c r="M2333" s="23"/>
    </row>
    <row r="2334" spans="12:13">
      <c r="L2334" s="23"/>
      <c r="M2334" s="23"/>
    </row>
    <row r="2335" spans="12:13">
      <c r="L2335" s="23"/>
      <c r="M2335" s="23"/>
    </row>
    <row r="2336" spans="12:13">
      <c r="L2336" s="23"/>
      <c r="M2336" s="23"/>
    </row>
    <row r="2337" spans="12:13">
      <c r="L2337" s="23"/>
      <c r="M2337" s="23"/>
    </row>
    <row r="2338" spans="12:13">
      <c r="L2338" s="23"/>
      <c r="M2338" s="23"/>
    </row>
    <row r="2339" spans="12:13">
      <c r="L2339" s="23"/>
      <c r="M2339" s="23"/>
    </row>
    <row r="2340" spans="12:13">
      <c r="L2340" s="23"/>
      <c r="M2340" s="23"/>
    </row>
    <row r="2341" spans="12:13">
      <c r="L2341" s="23"/>
      <c r="M2341" s="23"/>
    </row>
    <row r="2342" spans="12:13">
      <c r="L2342" s="23"/>
      <c r="M2342" s="23"/>
    </row>
    <row r="2343" spans="12:13">
      <c r="L2343" s="23"/>
      <c r="M2343" s="23"/>
    </row>
    <row r="2344" spans="12:13">
      <c r="L2344" s="23"/>
      <c r="M2344" s="23"/>
    </row>
    <row r="2345" spans="12:13">
      <c r="L2345" s="23"/>
      <c r="M2345" s="23"/>
    </row>
    <row r="2346" spans="12:13">
      <c r="L2346" s="23"/>
      <c r="M2346" s="23"/>
    </row>
    <row r="2347" spans="12:13">
      <c r="L2347" s="23"/>
      <c r="M2347" s="23"/>
    </row>
    <row r="2348" spans="12:13">
      <c r="L2348" s="23"/>
      <c r="M2348" s="23"/>
    </row>
    <row r="2349" spans="12:13">
      <c r="L2349" s="23"/>
      <c r="M2349" s="23"/>
    </row>
    <row r="2350" spans="12:13">
      <c r="L2350" s="23"/>
      <c r="M2350" s="23"/>
    </row>
    <row r="2351" spans="12:13">
      <c r="L2351" s="23"/>
      <c r="M2351" s="23"/>
    </row>
    <row r="2352" spans="12:13">
      <c r="L2352" s="23"/>
      <c r="M2352" s="23"/>
    </row>
    <row r="2353" spans="12:13">
      <c r="L2353" s="23"/>
      <c r="M2353" s="23"/>
    </row>
    <row r="2354" spans="12:13">
      <c r="L2354" s="23"/>
      <c r="M2354" s="23"/>
    </row>
    <row r="2355" spans="12:13">
      <c r="L2355" s="23"/>
      <c r="M2355" s="23"/>
    </row>
    <row r="2356" spans="12:13">
      <c r="L2356" s="23"/>
      <c r="M2356" s="23"/>
    </row>
    <row r="2357" spans="12:13">
      <c r="L2357" s="23"/>
      <c r="M2357" s="23"/>
    </row>
    <row r="2358" spans="12:13">
      <c r="L2358" s="23"/>
      <c r="M2358" s="23"/>
    </row>
    <row r="2359" spans="12:13">
      <c r="L2359" s="23"/>
      <c r="M2359" s="23"/>
    </row>
    <row r="2360" spans="12:13">
      <c r="L2360" s="23"/>
      <c r="M2360" s="23"/>
    </row>
    <row r="2361" spans="12:13">
      <c r="L2361" s="23"/>
      <c r="M2361" s="23"/>
    </row>
    <row r="2362" spans="12:13">
      <c r="L2362" s="23"/>
      <c r="M2362" s="23"/>
    </row>
    <row r="2363" spans="12:13">
      <c r="L2363" s="23"/>
      <c r="M2363" s="23"/>
    </row>
    <row r="2364" spans="12:13">
      <c r="L2364" s="23"/>
      <c r="M2364" s="23"/>
    </row>
    <row r="2365" spans="12:13">
      <c r="L2365" s="23"/>
      <c r="M2365" s="23"/>
    </row>
    <row r="2366" spans="12:13">
      <c r="L2366" s="23"/>
      <c r="M2366" s="23"/>
    </row>
    <row r="2367" spans="12:13">
      <c r="L2367" s="23"/>
      <c r="M2367" s="23"/>
    </row>
    <row r="2368" spans="12:13">
      <c r="L2368" s="23"/>
      <c r="M2368" s="23"/>
    </row>
    <row r="2369" spans="12:13">
      <c r="L2369" s="23"/>
      <c r="M2369" s="23"/>
    </row>
    <row r="2370" spans="12:13">
      <c r="L2370" s="23"/>
      <c r="M2370" s="23"/>
    </row>
    <row r="2371" spans="12:13">
      <c r="L2371" s="23"/>
      <c r="M2371" s="23"/>
    </row>
    <row r="2372" spans="12:13">
      <c r="L2372" s="23"/>
      <c r="M2372" s="23"/>
    </row>
    <row r="2373" spans="12:13">
      <c r="L2373" s="23"/>
      <c r="M2373" s="23"/>
    </row>
    <row r="2374" spans="12:13">
      <c r="L2374" s="23"/>
      <c r="M2374" s="23"/>
    </row>
    <row r="2375" spans="12:13">
      <c r="L2375" s="23"/>
      <c r="M2375" s="23"/>
    </row>
    <row r="2376" spans="12:13">
      <c r="L2376" s="23"/>
      <c r="M2376" s="23"/>
    </row>
    <row r="2377" spans="12:13">
      <c r="L2377" s="23"/>
      <c r="M2377" s="23"/>
    </row>
    <row r="2378" spans="12:13">
      <c r="L2378" s="23"/>
      <c r="M2378" s="23"/>
    </row>
    <row r="2379" spans="12:13">
      <c r="L2379" s="23"/>
      <c r="M2379" s="23"/>
    </row>
  </sheetData>
  <mergeCells count="6">
    <mergeCell ref="R12:AH12"/>
    <mergeCell ref="D24:N24"/>
    <mergeCell ref="D28:F28"/>
    <mergeCell ref="C1:O1"/>
    <mergeCell ref="D4:E4"/>
    <mergeCell ref="D12:N12"/>
  </mergeCells>
  <phoneticPr fontId="20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68"/>
  <sheetViews>
    <sheetView workbookViewId="0">
      <selection activeCell="F17" sqref="F17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25"/>
  </cols>
  <sheetData>
    <row r="1" spans="1:17" ht="15" customHeight="1">
      <c r="A1" t="s">
        <v>269</v>
      </c>
      <c r="B1" t="s">
        <v>57</v>
      </c>
      <c r="C1" t="s">
        <v>64</v>
      </c>
      <c r="D1" t="s">
        <v>219</v>
      </c>
      <c r="E1" t="s">
        <v>65</v>
      </c>
      <c r="F1" t="s">
        <v>266</v>
      </c>
      <c r="G1" t="s">
        <v>194</v>
      </c>
      <c r="H1" t="s">
        <v>66</v>
      </c>
      <c r="I1" t="s">
        <v>67</v>
      </c>
      <c r="J1" t="s">
        <v>249</v>
      </c>
      <c r="K1" t="s">
        <v>250</v>
      </c>
      <c r="L1" t="s">
        <v>251</v>
      </c>
      <c r="M1" t="s">
        <v>106</v>
      </c>
      <c r="N1" t="s">
        <v>252</v>
      </c>
      <c r="O1" t="s">
        <v>253</v>
      </c>
      <c r="P1" t="s">
        <v>264</v>
      </c>
      <c r="Q1" t="s">
        <v>267</v>
      </c>
    </row>
    <row r="2" spans="1:17" s="25" customFormat="1">
      <c r="A2" s="120"/>
      <c r="B2"/>
      <c r="C2"/>
      <c r="D2"/>
      <c r="E2"/>
      <c r="F2"/>
      <c r="G2"/>
      <c r="H2"/>
      <c r="I2" s="164"/>
      <c r="J2"/>
      <c r="K2"/>
      <c r="L2" s="163"/>
      <c r="M2"/>
      <c r="N2"/>
      <c r="O2"/>
      <c r="P2"/>
      <c r="Q2"/>
    </row>
    <row r="3" spans="1:17" s="25" customFormat="1"/>
    <row r="4" spans="1:17" s="25" customFormat="1"/>
    <row r="5" spans="1:17" s="25" customFormat="1"/>
    <row r="6" spans="1:17" s="25" customFormat="1"/>
    <row r="7" spans="1:17" s="25" customFormat="1"/>
    <row r="8" spans="1:17" s="25" customFormat="1"/>
    <row r="9" spans="1:17" s="25" customFormat="1"/>
    <row r="10" spans="1:17" s="25" customFormat="1"/>
    <row r="11" spans="1:17" s="25" customFormat="1"/>
    <row r="12" spans="1:17" s="25" customFormat="1"/>
    <row r="13" spans="1:17" s="25" customFormat="1"/>
    <row r="14" spans="1:17" s="25" customFormat="1"/>
    <row r="15" spans="1:17" s="25" customFormat="1"/>
    <row r="16" spans="1:17" s="25" customFormat="1"/>
    <row r="17" s="25" customFormat="1"/>
    <row r="18" s="25" customFormat="1"/>
    <row r="19" s="25" customFormat="1"/>
    <row r="20" s="25" customFormat="1"/>
    <row r="21" s="25" customFormat="1"/>
    <row r="22" s="25" customFormat="1"/>
    <row r="23" s="25" customFormat="1"/>
    <row r="24" s="25" customFormat="1"/>
    <row r="25" s="25" customFormat="1"/>
    <row r="26" s="25" customFormat="1"/>
    <row r="27" s="25" customFormat="1"/>
    <row r="28" s="25" customFormat="1"/>
    <row r="29" s="25" customFormat="1"/>
    <row r="30" s="25" customFormat="1"/>
    <row r="31" s="25" customFormat="1"/>
    <row r="32" s="25" customFormat="1"/>
    <row r="33" s="25" customFormat="1"/>
    <row r="34" s="25" customFormat="1"/>
    <row r="35" s="25" customFormat="1"/>
    <row r="36" s="25" customFormat="1"/>
    <row r="37" s="25" customFormat="1"/>
    <row r="38" s="25" customFormat="1"/>
    <row r="39" s="25" customFormat="1"/>
    <row r="40" s="25" customFormat="1"/>
    <row r="41" s="25" customFormat="1"/>
    <row r="42" s="25" customFormat="1"/>
    <row r="43" s="25" customFormat="1"/>
    <row r="44" s="25" customFormat="1"/>
    <row r="45" s="25" customFormat="1"/>
    <row r="46" s="25" customFormat="1"/>
    <row r="47" s="25" customFormat="1"/>
    <row r="48" s="25" customFormat="1"/>
    <row r="49" s="25" customFormat="1"/>
    <row r="50" s="25" customFormat="1"/>
    <row r="51" s="25" customFormat="1"/>
    <row r="52" s="25" customFormat="1"/>
    <row r="53" s="25" customFormat="1"/>
    <row r="54" s="25" customFormat="1"/>
    <row r="55" s="25" customFormat="1"/>
    <row r="56" s="25" customFormat="1"/>
    <row r="57" s="25" customFormat="1"/>
    <row r="58" s="25" customFormat="1"/>
    <row r="59" s="25" customFormat="1"/>
    <row r="60" s="25" customFormat="1"/>
    <row r="61" s="25" customFormat="1"/>
    <row r="62" s="25" customFormat="1"/>
    <row r="63" s="25" customFormat="1"/>
    <row r="64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pans="1:17" s="25" customFormat="1"/>
    <row r="82" spans="1:17" s="25" customFormat="1"/>
    <row r="83" spans="1:17" s="25" customFormat="1"/>
    <row r="84" spans="1:17" s="25" customFormat="1"/>
    <row r="85" spans="1:17" s="25" customFormat="1"/>
    <row r="86" spans="1:17" s="25" customFormat="1"/>
    <row r="87" spans="1:17" s="25" customFormat="1"/>
    <row r="88" spans="1:17" s="25" customFormat="1"/>
    <row r="89" spans="1:17" s="25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25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25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25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25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25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25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25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25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25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25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25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25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25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25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25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25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25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25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25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25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25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25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25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25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25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25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25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25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25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25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25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25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25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25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25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25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25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25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25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25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25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25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25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25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25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25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25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25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25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25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25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25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25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25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25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25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25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25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25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25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25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25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25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25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25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25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25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25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25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25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25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25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25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25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25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25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25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25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25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25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25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25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25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25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25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25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25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25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25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25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25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25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25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25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25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25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25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25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25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25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25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25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25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25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25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25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25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25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25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25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25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25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25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25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25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25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25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25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25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25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25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25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25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25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25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25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25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25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25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25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25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25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25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25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25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25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25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25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25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25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25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25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25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25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25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25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25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25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25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25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25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25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25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25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25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25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25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25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25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25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25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25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25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25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25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25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25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25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25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25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25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25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25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25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25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25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25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25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25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25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25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25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25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25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25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25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25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25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25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25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25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25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25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25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25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25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25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25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25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25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25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25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25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25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25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25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25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25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25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25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25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25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25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25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25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25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25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25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25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25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25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25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25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25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25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25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25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25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25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25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25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25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25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25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25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25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25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25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25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25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25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25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25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25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25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25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25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25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25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25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25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25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25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25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25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25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25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25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25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25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25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25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25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25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25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25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25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25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25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25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25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25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25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25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25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25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25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25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25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25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25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25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25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25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25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25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25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25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25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25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25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25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25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25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25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25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25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25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25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25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25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25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25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25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25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25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25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25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25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25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25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25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25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25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25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25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25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25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25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25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25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25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25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25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25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25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25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25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25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25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25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25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25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25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25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25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25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25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25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25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25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25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25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25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25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25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25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25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25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25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25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25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25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25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25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25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25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25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25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25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25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25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25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25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25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25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25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25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25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25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25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25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25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25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25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25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25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25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25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25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25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25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25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25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25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25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25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25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25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25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25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25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25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25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25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25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25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25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25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25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25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25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25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25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25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25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25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25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25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25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25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25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25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25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25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25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25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25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25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25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25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25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25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25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25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25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25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25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25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25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25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25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25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25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25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25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25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25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25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25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25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25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25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  <row r="533" spans="1:17" s="25" customFormat="1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</row>
    <row r="534" spans="1:17" s="25" customFormat="1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</row>
    <row r="535" spans="1:17" s="25" customFormat="1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</row>
    <row r="536" spans="1:17" s="25" customFormat="1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</row>
    <row r="537" spans="1:17" s="25" customFormat="1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</row>
    <row r="538" spans="1:17" s="25" customFormat="1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</row>
    <row r="539" spans="1:17" s="25" customFormat="1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</row>
    <row r="540" spans="1:17" s="25" customFormat="1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</row>
    <row r="541" spans="1:17" s="25" customFormat="1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</row>
    <row r="542" spans="1:17" s="25" customFormat="1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</row>
    <row r="543" spans="1:17" s="25" customFormat="1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</row>
    <row r="544" spans="1:17" s="25" customFormat="1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</row>
    <row r="545" spans="1:17" s="25" customFormat="1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</row>
    <row r="546" spans="1:17" s="25" customFormat="1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</row>
    <row r="547" spans="1:17" s="25" customFormat="1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</row>
    <row r="548" spans="1:17" s="25" customFormat="1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</row>
    <row r="549" spans="1:17" s="25" customFormat="1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</row>
    <row r="550" spans="1:17" s="25" customFormat="1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</row>
    <row r="551" spans="1:17" s="25" customFormat="1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</row>
    <row r="552" spans="1:17" s="25" customFormat="1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</row>
    <row r="553" spans="1:17" s="25" customFormat="1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</row>
    <row r="554" spans="1:17" s="25" customFormat="1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</row>
    <row r="555" spans="1:17" s="25" customFormat="1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</row>
    <row r="556" spans="1:17" s="25" customFormat="1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</row>
    <row r="557" spans="1:17" s="25" customFormat="1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</row>
    <row r="558" spans="1:17" s="25" customFormat="1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</row>
    <row r="559" spans="1:17" s="25" customFormat="1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</row>
    <row r="560" spans="1:17" s="25" customFormat="1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</row>
    <row r="561" spans="1:17" s="25" customFormat="1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</row>
    <row r="562" spans="1:17" s="25" customFormat="1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</row>
    <row r="563" spans="1:17" s="25" customFormat="1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</row>
    <row r="564" spans="1:17" s="25" customFormat="1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</row>
    <row r="565" spans="1:17" s="25" customFormat="1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</row>
    <row r="566" spans="1:17" s="25" customFormat="1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</row>
    <row r="567" spans="1:17" s="25" customFormat="1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</row>
    <row r="568" spans="1:17" s="25" customFormat="1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</row>
  </sheetData>
  <dataValidations count="6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30EF3961-06B7-CD45-8E54-F2F312C750CB}">
      <formula1>LISTE_MT_JOURNAL</formula1>
    </dataValidation>
    <dataValidation type="list" allowBlank="1" showErrorMessage="1" sqref="C2" xr:uid="{4DC4CFB7-5377-464C-9A5F-7937525E19A7}">
      <formula1>LISTE_JOUEURS_JOURNAL</formula1>
    </dataValidation>
    <dataValidation type="list" allowBlank="1" showErrorMessage="1" sqref="E2" xr:uid="{3B14BACB-7D48-034A-A7B7-FE47B8280AF7}">
      <formula1>LISTE_ACTIONS_JOURNAL</formula1>
    </dataValidation>
    <dataValidation type="list" allowBlank="1" showErrorMessage="1" sqref="G2" xr:uid="{7E21D261-3C67-C342-8A62-F9D55E643517}">
      <formula1>LISTE_EQUIPES_JOURNAL</formula1>
    </dataValidation>
    <dataValidation type="list" allowBlank="1" showErrorMessage="1" sqref="F2" xr:uid="{5C272DA3-0B45-244A-A7FE-10497EDB37AD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K1053"/>
  <sheetViews>
    <sheetView topLeftCell="B1" workbookViewId="0">
      <selection activeCell="B6" sqref="B6:B7"/>
    </sheetView>
  </sheetViews>
  <sheetFormatPr baseColWidth="10" defaultRowHeight="13"/>
  <cols>
    <col min="1" max="1" width="12.83203125" style="25" customWidth="1"/>
    <col min="2" max="2" width="14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25"/>
    <col min="23" max="23" width="12.33203125" style="25" bestFit="1" customWidth="1"/>
    <col min="24" max="24" width="13.83203125" style="25" bestFit="1" customWidth="1"/>
    <col min="25" max="30" width="10.83203125" style="25"/>
    <col min="31" max="31" width="15.6640625" style="25" customWidth="1"/>
    <col min="32" max="33" width="10.83203125" style="25"/>
  </cols>
  <sheetData>
    <row r="1" spans="2:37" s="25" customFormat="1"/>
    <row r="2" spans="2:37" s="25" customFormat="1"/>
    <row r="3" spans="2:37" s="25" customFormat="1" ht="20" customHeight="1">
      <c r="B3" s="265" t="str">
        <f>"Stats par joueur - Match "&amp;IF('Compo'!C14="Aller","A",IF('Compo'!C14="Retour","R","PF"))&amp;'Compo'!C16&amp;IF('Compo'!C12="Extérieur"," : "&amp;'Compo'!C10&amp;" / MXV"," : MXV / "&amp;'Compo'!C10)&amp;" "&amp;'Compo'!C20</f>
        <v>Stats par joueur - Match PFMT1 : MXV / RC Trie Première</v>
      </c>
      <c r="C3" s="266"/>
      <c r="D3" s="266"/>
      <c r="E3" s="266"/>
      <c r="F3" s="266"/>
      <c r="G3" s="266"/>
      <c r="H3" s="266"/>
      <c r="I3" s="266"/>
      <c r="J3" s="266"/>
      <c r="K3" s="266"/>
      <c r="L3" s="266"/>
      <c r="M3" s="266"/>
      <c r="N3" s="266"/>
      <c r="O3" s="266"/>
      <c r="P3" s="266"/>
      <c r="Q3" s="266"/>
      <c r="R3" s="266"/>
      <c r="S3" s="266"/>
      <c r="T3" s="266"/>
    </row>
    <row r="4" spans="2:37" s="25" customFormat="1" ht="20" customHeight="1">
      <c r="B4" s="265"/>
      <c r="C4" s="266"/>
      <c r="D4" s="266"/>
      <c r="E4" s="266"/>
      <c r="F4" s="266"/>
      <c r="G4" s="266"/>
      <c r="H4" s="266"/>
      <c r="I4" s="266"/>
      <c r="J4" s="266"/>
      <c r="K4" s="266"/>
      <c r="L4" s="266"/>
      <c r="M4" s="266"/>
      <c r="N4" s="266"/>
      <c r="O4" s="266"/>
      <c r="P4" s="266"/>
      <c r="Q4" s="266"/>
      <c r="R4" s="266"/>
      <c r="S4" s="266"/>
      <c r="T4" s="266"/>
    </row>
    <row r="5" spans="2:37" s="25" customFormat="1"/>
    <row r="6" spans="2:37" ht="14" customHeight="1">
      <c r="B6" s="257" t="s">
        <v>64</v>
      </c>
      <c r="C6" s="239" t="str">
        <f>ACT_PL_NORMAL</f>
        <v>Plaquage normal</v>
      </c>
      <c r="D6" s="240"/>
      <c r="E6" s="239" t="str">
        <f>ACT_PL_OFF</f>
        <v>Plaquage offensif</v>
      </c>
      <c r="F6" s="240"/>
      <c r="G6" s="239" t="str">
        <f>ACT_PL_RATE</f>
        <v>Plaquage raté</v>
      </c>
      <c r="H6" s="240"/>
      <c r="I6" s="239" t="str">
        <f>ACT_PL_A2</f>
        <v>Plaquage à 2</v>
      </c>
      <c r="J6" s="242"/>
      <c r="K6" s="242" t="str">
        <f>ACT_PL_HAUT</f>
        <v>Plaquage haut</v>
      </c>
      <c r="L6" s="240"/>
      <c r="M6" s="242" t="str">
        <f>ACT_GRATTAGE</f>
        <v>Grattage</v>
      </c>
      <c r="N6" s="240"/>
      <c r="O6" s="242" t="str">
        <f>ACT_FRANCHISSEMENT</f>
        <v>Franchissement</v>
      </c>
      <c r="P6" s="240"/>
      <c r="Q6" s="242" t="str">
        <f>ACT_AVANCEE</f>
        <v>Avancée au contact</v>
      </c>
      <c r="R6" s="240"/>
      <c r="S6" s="242" t="str">
        <f>ACT_ATT_NULLE</f>
        <v>Recul ou sans progression</v>
      </c>
      <c r="T6" s="240"/>
      <c r="U6" s="229" t="s">
        <v>286</v>
      </c>
      <c r="V6" s="230"/>
      <c r="W6" s="230"/>
      <c r="X6" s="230"/>
      <c r="Y6" s="230"/>
      <c r="Z6" s="231"/>
      <c r="AF6"/>
      <c r="AG6"/>
    </row>
    <row r="7" spans="2:37" ht="13" customHeight="1">
      <c r="B7" s="258"/>
      <c r="C7" s="77" t="s">
        <v>97</v>
      </c>
      <c r="D7" s="78" t="s">
        <v>94</v>
      </c>
      <c r="E7" s="79" t="s">
        <v>97</v>
      </c>
      <c r="F7" s="79" t="s">
        <v>94</v>
      </c>
      <c r="G7" s="77" t="s">
        <v>97</v>
      </c>
      <c r="H7" s="78" t="s">
        <v>94</v>
      </c>
      <c r="I7" s="77" t="s">
        <v>97</v>
      </c>
      <c r="J7" s="78" t="s">
        <v>94</v>
      </c>
      <c r="K7" s="77" t="s">
        <v>97</v>
      </c>
      <c r="L7" s="78" t="s">
        <v>94</v>
      </c>
      <c r="M7" s="79" t="s">
        <v>97</v>
      </c>
      <c r="N7" s="78" t="s">
        <v>94</v>
      </c>
      <c r="O7" s="79" t="s">
        <v>97</v>
      </c>
      <c r="P7" s="78" t="s">
        <v>94</v>
      </c>
      <c r="Q7" s="79" t="s">
        <v>97</v>
      </c>
      <c r="R7" s="78" t="s">
        <v>94</v>
      </c>
      <c r="S7" s="79" t="s">
        <v>97</v>
      </c>
      <c r="T7" s="78" t="s">
        <v>94</v>
      </c>
      <c r="U7" s="95" t="str">
        <f>ACT_PEN_MAUL</f>
        <v>Maul</v>
      </c>
      <c r="V7" s="95" t="str">
        <f>ACT_PEN_HORS_JEU</f>
        <v>Hors-jeu</v>
      </c>
      <c r="W7" s="95" t="str">
        <f>ACT_PEN_PL_A_2</f>
        <v>Plaquage à 2</v>
      </c>
      <c r="X7" s="95" t="str">
        <f>ACT_PEN_PL_HAUT</f>
        <v>Plaquage haut</v>
      </c>
      <c r="Y7" s="95" t="str">
        <f>ACT_PEN_RUCK</f>
        <v>Ruck</v>
      </c>
      <c r="Z7" s="95" t="str">
        <f>ACT_PEN_UNKNOWN</f>
        <v>?</v>
      </c>
      <c r="AF7"/>
      <c r="AG7"/>
    </row>
    <row r="8" spans="2:37">
      <c r="B8" s="56" t="e" cm="1" vm="1">
        <f t="array" ref="B8">_xlfn._xlws.SORT(_xlfn._xlws.FILTER(COMPO[Nom du joueur],(COMPO[Nom du joueur]&lt;&gt;"")*(COMPO[Nom du joueur]&lt;&gt;"Collectif")*(COMPO[Nom du joueur]&lt;&gt;"?")))</f>
        <v>#VALUE!</v>
      </c>
      <c r="C8" s="61" t="str">
        <f>IF(COUNTIFS(JournalActions[Joueur],$B8,JournalActions[Action],$C$6,JournalActions[Mi-temps],C$7)=0,"",COUNTIFS(JournalActions[Joueur],$B8,JournalActions[Action],$C$6,JournalActions[Mi-temps],C$7))</f>
        <v/>
      </c>
      <c r="D8" s="62" t="str">
        <f>IF(COUNTIFS(JournalActions[Joueur],$B8,JournalActions[Action],$C$6,JournalActions[Mi-temps],D$7)=0,"",COUNTIFS(JournalActions[Joueur],$B8,JournalActions[Action],$C$6,JournalActions[Mi-temps],D$7))</f>
        <v/>
      </c>
      <c r="E8" s="61" t="str">
        <f>IF(COUNTIFS(JournalActions[Joueur],$B8,JournalActions[Action],$E$6,JournalActions[Mi-temps],E$7)=0,"",COUNTIFS(JournalActions[Joueur],$B8,JournalActions[Action],$E$6,JournalActions[Mi-temps],E$7))</f>
        <v/>
      </c>
      <c r="F8" s="63" t="str">
        <f>IF(COUNTIFS(JournalActions[Joueur],$B8,JournalActions[Action],$E$6,JournalActions[Mi-temps],F$7)=0,"",COUNTIFS(JournalActions[Joueur],$B8,JournalActions[Action],$E$6,JournalActions[Mi-temps],F$7))</f>
        <v/>
      </c>
      <c r="G8" s="61" t="str">
        <f>IF(COUNTIFS(JournalActions[Joueur],$B8,JournalActions[Action],$G$6,JournalActions[Mi-temps],G$7)=0,"",COUNTIFS(JournalActions[Joueur],$B8,JournalActions[Action],$G$6,JournalActions[Mi-temps],G$7))</f>
        <v/>
      </c>
      <c r="H8" s="62" t="str">
        <f>IF(COUNTIFS(JournalActions[Joueur],$B8,JournalActions[Action],$G$6,JournalActions[Mi-temps],H$7)=0,"",COUNTIFS(JournalActions[Joueur],$B8,JournalActions[Action],$G$6,JournalActions[Mi-temps],H$7))</f>
        <v/>
      </c>
      <c r="I8" s="61" t="str">
        <f>IF(COUNTIFS(JournalActions[Joueur],$B8,JournalActions[Action],$I$6,JournalActions[Mi-temps],I$7)=0,"",COUNTIFS(JournalActions[Joueur],$B8,JournalActions[Action],$I$6,JournalActions[Mi-temps],I$7))</f>
        <v/>
      </c>
      <c r="J8" s="62" t="str">
        <f>IF(COUNTIFS(JournalActions[Joueur],$B8,JournalActions[Action],$I$6,JournalActions[Mi-temps],J$7)=0,"",COUNTIFS(JournalActions[Joueur],$B8,JournalActions[Action],$I$6,JournalActions[Mi-temps],J$7))</f>
        <v/>
      </c>
      <c r="K8" s="61" t="str">
        <f>IF(COUNTIFS(JournalActions[Joueur],$B8,JournalActions[Action],$K$6,JournalActions[Mi-temps],K$7)=0,"",COUNTIFS(JournalActions[Joueur],$B8,JournalActions[Action],$K$6,JournalActions[Mi-temps],K$7))</f>
        <v/>
      </c>
      <c r="L8" s="62" t="str">
        <f>IF(COUNTIFS(JournalActions[Joueur],$B8,JournalActions[Action],$K$6,JournalActions[Mi-temps],L$7)=0,"",COUNTIFS(JournalActions[Joueur],$B8,JournalActions[Action],$K$6,JournalActions[Mi-temps],L$7))</f>
        <v/>
      </c>
      <c r="M8" s="61" t="str">
        <f>IF(COUNTIFS(JournalActions[Joueur],$B8,JournalActions[Action],$M$6,JournalActions[Mi-temps],M$7)=0,"",COUNTIFS(JournalActions[Joueur],$B8,JournalActions[Action],$M$6,JournalActions[Mi-temps],M$7))</f>
        <v/>
      </c>
      <c r="N8" s="62" t="str">
        <f>IF(COUNTIFS(JournalActions[Joueur],$B8,JournalActions[Action],$M$6,JournalActions[Mi-temps],N$7)=0,"",COUNTIFS(JournalActions[Joueur],$B8,JournalActions[Action],$M$6,JournalActions[Mi-temps],N$7))</f>
        <v/>
      </c>
      <c r="O8" s="61" t="str">
        <f>IF(COUNTIFS(JournalActions[Joueur],$B8,JournalActions[Action],$O$6,JournalActions[Mi-temps],O$7)=0,"",COUNTIFS(JournalActions[Joueur],$B8,JournalActions[Action],$O$6,JournalActions[Mi-temps],O$7))</f>
        <v/>
      </c>
      <c r="P8" s="62" t="str">
        <f>IF(COUNTIFS(JournalActions[Joueur],$B8,JournalActions[Action],$O$6,JournalActions[Mi-temps],P$7)=0,"",COUNTIFS(JournalActions[Joueur],$B8,JournalActions[Action],$O$6,JournalActions[Mi-temps],P$7))</f>
        <v/>
      </c>
      <c r="Q8" s="61" t="str">
        <f>IF(COUNTIFS(JournalActions[Joueur],$B8,JournalActions[Action],$Q$6,JournalActions[Mi-temps],Q$7)=0,"",COUNTIFS(JournalActions[Joueur],$B8,JournalActions[Action],$Q$6,JournalActions[Mi-temps],Q$7))</f>
        <v/>
      </c>
      <c r="R8" s="62" t="str">
        <f>IF(COUNTIFS(JournalActions[Joueur],$B8,JournalActions[Action],$Q$6,JournalActions[Mi-temps],R$7)=0,"",COUNTIFS(JournalActions[Joueur],$B8,JournalActions[Action],$Q$6,JournalActions[Mi-temps],R$7))</f>
        <v/>
      </c>
      <c r="S8" s="61" t="str">
        <f>IF(COUNTIFS(JournalActions[Joueur],$B8,JournalActions[Action],$S$6,JournalActions[Mi-temps],S$7)=0,"",COUNTIFS(JournalActions[Joueur],$B8,JournalActions[Action],$S$6,JournalActions[Mi-temps],S$7))</f>
        <v/>
      </c>
      <c r="T8" s="62" t="str">
        <f>IF(COUNTIFS(JournalActions[Joueur],$B8,JournalActions[Action],$S$6,JournalActions[Mi-temps],T$7)=0,"",COUNTIFS(JournalActions[Joueur],$B8,JournalActions[Action],$S$6,JournalActions[Mi-temps],T$7))</f>
        <v/>
      </c>
      <c r="U8" s="89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89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89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89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89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89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56"/>
      <c r="C9" s="56" t="str">
        <f>IF(COUNTIFS(JournalActions[Joueur],$B9,JournalActions[Action],$C$6,JournalActions[Mi-temps],C$7)=0,"",COUNTIFS(JournalActions[Joueur],$B9,JournalActions[Action],$C$6,JournalActions[Mi-temps],C$7))</f>
        <v/>
      </c>
      <c r="D9" s="57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56" t="str">
        <f>IF(COUNTIFS(JournalActions[Joueur],$B9,JournalActions[Action],$G$6,JournalActions[Mi-temps],G$7)=0,"",COUNTIFS(JournalActions[Joueur],$B9,JournalActions[Action],$G$6,JournalActions[Mi-temps],G$7))</f>
        <v/>
      </c>
      <c r="H9" s="57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56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56" t="str">
        <f>IF(COUNTIFS(JournalActions[Joueur],$B9,JournalActions[Action],$M$6,JournalActions[Mi-temps],M$7)=0,"",COUNTIFS(JournalActions[Joueur],$B9,JournalActions[Action],$M$6,JournalActions[Mi-temps],M$7))</f>
        <v/>
      </c>
      <c r="N9" s="57" t="str">
        <f>IF(COUNTIFS(JournalActions[Joueur],$B9,JournalActions[Action],$M$6,JournalActions[Mi-temps],N$7)=0,"",COUNTIFS(JournalActions[Joueur],$B9,JournalActions[Action],$M$6,JournalActions[Mi-temps],N$7))</f>
        <v/>
      </c>
      <c r="O9" s="56" t="str">
        <f>IF(COUNTIFS(JournalActions[Joueur],$B9,JournalActions[Action],$O$6,JournalActions[Mi-temps],O$7)=0,"",COUNTIFS(JournalActions[Joueur],$B9,JournalActions[Action],$O$6,JournalActions[Mi-temps],O$7))</f>
        <v/>
      </c>
      <c r="P9" s="57" t="str">
        <f>IF(COUNTIFS(JournalActions[Joueur],$B9,JournalActions[Action],$O$6,JournalActions[Mi-temps],P$7)=0,"",COUNTIFS(JournalActions[Joueur],$B9,JournalActions[Action],$O$6,JournalActions[Mi-temps],P$7))</f>
        <v/>
      </c>
      <c r="Q9" s="56" t="str">
        <f>IF(COUNTIFS(JournalActions[Joueur],$B9,JournalActions[Action],$Q$6,JournalActions[Mi-temps],Q$7)=0,"",COUNTIFS(JournalActions[Joueur],$B9,JournalActions[Action],$Q$6,JournalActions[Mi-temps],Q$7))</f>
        <v/>
      </c>
      <c r="R9" s="57" t="str">
        <f>IF(COUNTIFS(JournalActions[Joueur],$B9,JournalActions[Action],$Q$6,JournalActions[Mi-temps],R$7)=0,"",COUNTIFS(JournalActions[Joueur],$B9,JournalActions[Action],$Q$6,JournalActions[Mi-temps],R$7))</f>
        <v/>
      </c>
      <c r="S9" s="56" t="str">
        <f>IF(COUNTIFS(JournalActions[Joueur],$B9,JournalActions[Action],$S$6,JournalActions[Mi-temps],S$7)=0,"",COUNTIFS(JournalActions[Joueur],$B9,JournalActions[Action],$S$6,JournalActions[Mi-temps],S$7))</f>
        <v/>
      </c>
      <c r="T9" s="57" t="str">
        <f>IF(COUNTIFS(JournalActions[Joueur],$B9,JournalActions[Action],$S$6,JournalActions[Mi-temps],T$7)=0,"",COUNTIFS(JournalActions[Joueur],$B9,JournalActions[Action],$S$6,JournalActions[Mi-temps],T$7))</f>
        <v/>
      </c>
      <c r="U9" s="96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96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96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96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96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96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56"/>
      <c r="C10" s="56" t="str">
        <f>IF(COUNTIFS(JournalActions[Joueur],$B10,JournalActions[Action],$C$6,JournalActions[Mi-temps],C$7)=0,"",COUNTIFS(JournalActions[Joueur],$B10,JournalActions[Action],$C$6,JournalActions[Mi-temps],C$7))</f>
        <v/>
      </c>
      <c r="D10" s="57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56" t="str">
        <f>IF(COUNTIFS(JournalActions[Joueur],$B10,JournalActions[Action],$G$6,JournalActions[Mi-temps],G$7)=0,"",COUNTIFS(JournalActions[Joueur],$B10,JournalActions[Action],$G$6,JournalActions[Mi-temps],G$7))</f>
        <v/>
      </c>
      <c r="H10" s="57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56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56" t="str">
        <f>IF(COUNTIFS(JournalActions[Joueur],$B10,JournalActions[Action],$M$6,JournalActions[Mi-temps],M$7)=0,"",COUNTIFS(JournalActions[Joueur],$B10,JournalActions[Action],$M$6,JournalActions[Mi-temps],M$7))</f>
        <v/>
      </c>
      <c r="N10" s="57" t="str">
        <f>IF(COUNTIFS(JournalActions[Joueur],$B10,JournalActions[Action],$M$6,JournalActions[Mi-temps],N$7)=0,"",COUNTIFS(JournalActions[Joueur],$B10,JournalActions[Action],$M$6,JournalActions[Mi-temps],N$7))</f>
        <v/>
      </c>
      <c r="O10" s="56" t="str">
        <f>IF(COUNTIFS(JournalActions[Joueur],$B10,JournalActions[Action],$O$6,JournalActions[Mi-temps],O$7)=0,"",COUNTIFS(JournalActions[Joueur],$B10,JournalActions[Action],$O$6,JournalActions[Mi-temps],O$7))</f>
        <v/>
      </c>
      <c r="P10" s="57" t="str">
        <f>IF(COUNTIFS(JournalActions[Joueur],$B10,JournalActions[Action],$O$6,JournalActions[Mi-temps],P$7)=0,"",COUNTIFS(JournalActions[Joueur],$B10,JournalActions[Action],$O$6,JournalActions[Mi-temps],P$7))</f>
        <v/>
      </c>
      <c r="Q10" s="56" t="str">
        <f>IF(COUNTIFS(JournalActions[Joueur],$B10,JournalActions[Action],$Q$6,JournalActions[Mi-temps],Q$7)=0,"",COUNTIFS(JournalActions[Joueur],$B10,JournalActions[Action],$Q$6,JournalActions[Mi-temps],Q$7))</f>
        <v/>
      </c>
      <c r="R10" s="57" t="str">
        <f>IF(COUNTIFS(JournalActions[Joueur],$B10,JournalActions[Action],$Q$6,JournalActions[Mi-temps],R$7)=0,"",COUNTIFS(JournalActions[Joueur],$B10,JournalActions[Action],$Q$6,JournalActions[Mi-temps],R$7))</f>
        <v/>
      </c>
      <c r="S10" s="56" t="str">
        <f>IF(COUNTIFS(JournalActions[Joueur],$B10,JournalActions[Action],$S$6,JournalActions[Mi-temps],S$7)=0,"",COUNTIFS(JournalActions[Joueur],$B10,JournalActions[Action],$S$6,JournalActions[Mi-temps],S$7))</f>
        <v/>
      </c>
      <c r="T10" s="57" t="str">
        <f>IF(COUNTIFS(JournalActions[Joueur],$B10,JournalActions[Action],$S$6,JournalActions[Mi-temps],T$7)=0,"",COUNTIFS(JournalActions[Joueur],$B10,JournalActions[Action],$S$6,JournalActions[Mi-temps],T$7))</f>
        <v/>
      </c>
      <c r="U10" s="96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96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96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96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96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96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56"/>
      <c r="C11" s="56" t="str">
        <f>IF(COUNTIFS(JournalActions[Joueur],$B11,JournalActions[Action],$C$6,JournalActions[Mi-temps],C$7)=0,"",COUNTIFS(JournalActions[Joueur],$B11,JournalActions[Action],$C$6,JournalActions[Mi-temps],C$7))</f>
        <v/>
      </c>
      <c r="D11" s="57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56" t="str">
        <f>IF(COUNTIFS(JournalActions[Joueur],$B11,JournalActions[Action],$G$6,JournalActions[Mi-temps],G$7)=0,"",COUNTIFS(JournalActions[Joueur],$B11,JournalActions[Action],$G$6,JournalActions[Mi-temps],G$7))</f>
        <v/>
      </c>
      <c r="H11" s="57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56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56" t="str">
        <f>IF(COUNTIFS(JournalActions[Joueur],$B11,JournalActions[Action],$M$6,JournalActions[Mi-temps],M$7)=0,"",COUNTIFS(JournalActions[Joueur],$B11,JournalActions[Action],$M$6,JournalActions[Mi-temps],M$7))</f>
        <v/>
      </c>
      <c r="N11" s="57" t="str">
        <f>IF(COUNTIFS(JournalActions[Joueur],$B11,JournalActions[Action],$M$6,JournalActions[Mi-temps],N$7)=0,"",COUNTIFS(JournalActions[Joueur],$B11,JournalActions[Action],$M$6,JournalActions[Mi-temps],N$7))</f>
        <v/>
      </c>
      <c r="O11" s="56" t="str">
        <f>IF(COUNTIFS(JournalActions[Joueur],$B11,JournalActions[Action],$O$6,JournalActions[Mi-temps],O$7)=0,"",COUNTIFS(JournalActions[Joueur],$B11,JournalActions[Action],$O$6,JournalActions[Mi-temps],O$7))</f>
        <v/>
      </c>
      <c r="P11" s="57" t="str">
        <f>IF(COUNTIFS(JournalActions[Joueur],$B11,JournalActions[Action],$O$6,JournalActions[Mi-temps],P$7)=0,"",COUNTIFS(JournalActions[Joueur],$B11,JournalActions[Action],$O$6,JournalActions[Mi-temps],P$7))</f>
        <v/>
      </c>
      <c r="Q11" s="56" t="str">
        <f>IF(COUNTIFS(JournalActions[Joueur],$B11,JournalActions[Action],$Q$6,JournalActions[Mi-temps],Q$7)=0,"",COUNTIFS(JournalActions[Joueur],$B11,JournalActions[Action],$Q$6,JournalActions[Mi-temps],Q$7))</f>
        <v/>
      </c>
      <c r="R11" s="57" t="str">
        <f>IF(COUNTIFS(JournalActions[Joueur],$B11,JournalActions[Action],$Q$6,JournalActions[Mi-temps],R$7)=0,"",COUNTIFS(JournalActions[Joueur],$B11,JournalActions[Action],$Q$6,JournalActions[Mi-temps],R$7))</f>
        <v/>
      </c>
      <c r="S11" s="56" t="str">
        <f>IF(COUNTIFS(JournalActions[Joueur],$B11,JournalActions[Action],$S$6,JournalActions[Mi-temps],S$7)=0,"",COUNTIFS(JournalActions[Joueur],$B11,JournalActions[Action],$S$6,JournalActions[Mi-temps],S$7))</f>
        <v/>
      </c>
      <c r="T11" s="57" t="str">
        <f>IF(COUNTIFS(JournalActions[Joueur],$B11,JournalActions[Action],$S$6,JournalActions[Mi-temps],T$7)=0,"",COUNTIFS(JournalActions[Joueur],$B11,JournalActions[Action],$S$6,JournalActions[Mi-temps],T$7))</f>
        <v/>
      </c>
      <c r="U11" s="96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96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96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96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96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96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56"/>
      <c r="C12" s="56" t="str">
        <f>IF(COUNTIFS(JournalActions[Joueur],$B12,JournalActions[Action],$C$6,JournalActions[Mi-temps],C$7)=0,"",COUNTIFS(JournalActions[Joueur],$B12,JournalActions[Action],$C$6,JournalActions[Mi-temps],C$7))</f>
        <v/>
      </c>
      <c r="D12" s="57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56" t="str">
        <f>IF(COUNTIFS(JournalActions[Joueur],$B12,JournalActions[Action],$G$6,JournalActions[Mi-temps],G$7)=0,"",COUNTIFS(JournalActions[Joueur],$B12,JournalActions[Action],$G$6,JournalActions[Mi-temps],G$7))</f>
        <v/>
      </c>
      <c r="H12" s="57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56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56" t="str">
        <f>IF(COUNTIFS(JournalActions[Joueur],$B12,JournalActions[Action],$M$6,JournalActions[Mi-temps],M$7)=0,"",COUNTIFS(JournalActions[Joueur],$B12,JournalActions[Action],$M$6,JournalActions[Mi-temps],M$7))</f>
        <v/>
      </c>
      <c r="N12" s="57" t="str">
        <f>IF(COUNTIFS(JournalActions[Joueur],$B12,JournalActions[Action],$M$6,JournalActions[Mi-temps],N$7)=0,"",COUNTIFS(JournalActions[Joueur],$B12,JournalActions[Action],$M$6,JournalActions[Mi-temps],N$7))</f>
        <v/>
      </c>
      <c r="O12" s="56" t="str">
        <f>IF(COUNTIFS(JournalActions[Joueur],$B12,JournalActions[Action],$O$6,JournalActions[Mi-temps],O$7)=0,"",COUNTIFS(JournalActions[Joueur],$B12,JournalActions[Action],$O$6,JournalActions[Mi-temps],O$7))</f>
        <v/>
      </c>
      <c r="P12" s="57" t="str">
        <f>IF(COUNTIFS(JournalActions[Joueur],$B12,JournalActions[Action],$O$6,JournalActions[Mi-temps],P$7)=0,"",COUNTIFS(JournalActions[Joueur],$B12,JournalActions[Action],$O$6,JournalActions[Mi-temps],P$7))</f>
        <v/>
      </c>
      <c r="Q12" s="56" t="str">
        <f>IF(COUNTIFS(JournalActions[Joueur],$B12,JournalActions[Action],$Q$6,JournalActions[Mi-temps],Q$7)=0,"",COUNTIFS(JournalActions[Joueur],$B12,JournalActions[Action],$Q$6,JournalActions[Mi-temps],Q$7))</f>
        <v/>
      </c>
      <c r="R12" s="57" t="str">
        <f>IF(COUNTIFS(JournalActions[Joueur],$B12,JournalActions[Action],$Q$6,JournalActions[Mi-temps],R$7)=0,"",COUNTIFS(JournalActions[Joueur],$B12,JournalActions[Action],$Q$6,JournalActions[Mi-temps],R$7))</f>
        <v/>
      </c>
      <c r="S12" s="56" t="str">
        <f>IF(COUNTIFS(JournalActions[Joueur],$B12,JournalActions[Action],$S$6,JournalActions[Mi-temps],S$7)=0,"",COUNTIFS(JournalActions[Joueur],$B12,JournalActions[Action],$S$6,JournalActions[Mi-temps],S$7))</f>
        <v/>
      </c>
      <c r="T12" s="57" t="str">
        <f>IF(COUNTIFS(JournalActions[Joueur],$B12,JournalActions[Action],$S$6,JournalActions[Mi-temps],T$7)=0,"",COUNTIFS(JournalActions[Joueur],$B12,JournalActions[Action],$S$6,JournalActions[Mi-temps],T$7))</f>
        <v/>
      </c>
      <c r="U12" s="96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96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96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96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96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96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56"/>
      <c r="C13" s="56" t="str">
        <f>IF(COUNTIFS(JournalActions[Joueur],$B13,JournalActions[Action],$C$6,JournalActions[Mi-temps],C$7)=0,"",COUNTIFS(JournalActions[Joueur],$B13,JournalActions[Action],$C$6,JournalActions[Mi-temps],C$7))</f>
        <v/>
      </c>
      <c r="D13" s="57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56" t="str">
        <f>IF(COUNTIFS(JournalActions[Joueur],$B13,JournalActions[Action],$G$6,JournalActions[Mi-temps],G$7)=0,"",COUNTIFS(JournalActions[Joueur],$B13,JournalActions[Action],$G$6,JournalActions[Mi-temps],G$7))</f>
        <v/>
      </c>
      <c r="H13" s="57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56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56" t="str">
        <f>IF(COUNTIFS(JournalActions[Joueur],$B13,JournalActions[Action],$M$6,JournalActions[Mi-temps],M$7)=0,"",COUNTIFS(JournalActions[Joueur],$B13,JournalActions[Action],$M$6,JournalActions[Mi-temps],M$7))</f>
        <v/>
      </c>
      <c r="N13" s="57" t="str">
        <f>IF(COUNTIFS(JournalActions[Joueur],$B13,JournalActions[Action],$M$6,JournalActions[Mi-temps],N$7)=0,"",COUNTIFS(JournalActions[Joueur],$B13,JournalActions[Action],$M$6,JournalActions[Mi-temps],N$7))</f>
        <v/>
      </c>
      <c r="O13" s="56" t="str">
        <f>IF(COUNTIFS(JournalActions[Joueur],$B13,JournalActions[Action],$O$6,JournalActions[Mi-temps],O$7)=0,"",COUNTIFS(JournalActions[Joueur],$B13,JournalActions[Action],$O$6,JournalActions[Mi-temps],O$7))</f>
        <v/>
      </c>
      <c r="P13" s="57" t="str">
        <f>IF(COUNTIFS(JournalActions[Joueur],$B13,JournalActions[Action],$O$6,JournalActions[Mi-temps],P$7)=0,"",COUNTIFS(JournalActions[Joueur],$B13,JournalActions[Action],$O$6,JournalActions[Mi-temps],P$7))</f>
        <v/>
      </c>
      <c r="Q13" s="56" t="str">
        <f>IF(COUNTIFS(JournalActions[Joueur],$B13,JournalActions[Action],$Q$6,JournalActions[Mi-temps],Q$7)=0,"",COUNTIFS(JournalActions[Joueur],$B13,JournalActions[Action],$Q$6,JournalActions[Mi-temps],Q$7))</f>
        <v/>
      </c>
      <c r="R13" s="57" t="str">
        <f>IF(COUNTIFS(JournalActions[Joueur],$B13,JournalActions[Action],$Q$6,JournalActions[Mi-temps],R$7)=0,"",COUNTIFS(JournalActions[Joueur],$B13,JournalActions[Action],$Q$6,JournalActions[Mi-temps],R$7))</f>
        <v/>
      </c>
      <c r="S13" s="56" t="str">
        <f>IF(COUNTIFS(JournalActions[Joueur],$B13,JournalActions[Action],$S$6,JournalActions[Mi-temps],S$7)=0,"",COUNTIFS(JournalActions[Joueur],$B13,JournalActions[Action],$S$6,JournalActions[Mi-temps],S$7))</f>
        <v/>
      </c>
      <c r="T13" s="57" t="str">
        <f>IF(COUNTIFS(JournalActions[Joueur],$B13,JournalActions[Action],$S$6,JournalActions[Mi-temps],T$7)=0,"",COUNTIFS(JournalActions[Joueur],$B13,JournalActions[Action],$S$6,JournalActions[Mi-temps],T$7))</f>
        <v/>
      </c>
      <c r="U13" s="96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96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96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96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96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96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25"/>
      <c r="AI13" s="25"/>
      <c r="AJ13" s="25"/>
      <c r="AK13" s="25"/>
    </row>
    <row r="14" spans="2:37">
      <c r="B14" s="56"/>
      <c r="C14" s="56" t="str">
        <f>IF(COUNTIFS(JournalActions[Joueur],$B14,JournalActions[Action],$C$6,JournalActions[Mi-temps],C$7)=0,"",COUNTIFS(JournalActions[Joueur],$B14,JournalActions[Action],$C$6,JournalActions[Mi-temps],C$7))</f>
        <v/>
      </c>
      <c r="D14" s="57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56" t="str">
        <f>IF(COUNTIFS(JournalActions[Joueur],$B14,JournalActions[Action],$G$6,JournalActions[Mi-temps],G$7)=0,"",COUNTIFS(JournalActions[Joueur],$B14,JournalActions[Action],$G$6,JournalActions[Mi-temps],G$7))</f>
        <v/>
      </c>
      <c r="H14" s="57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56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56" t="str">
        <f>IF(COUNTIFS(JournalActions[Joueur],$B14,JournalActions[Action],$M$6,JournalActions[Mi-temps],M$7)=0,"",COUNTIFS(JournalActions[Joueur],$B14,JournalActions[Action],$M$6,JournalActions[Mi-temps],M$7))</f>
        <v/>
      </c>
      <c r="N14" s="57" t="str">
        <f>IF(COUNTIFS(JournalActions[Joueur],$B14,JournalActions[Action],$M$6,JournalActions[Mi-temps],N$7)=0,"",COUNTIFS(JournalActions[Joueur],$B14,JournalActions[Action],$M$6,JournalActions[Mi-temps],N$7))</f>
        <v/>
      </c>
      <c r="O14" s="56" t="str">
        <f>IF(COUNTIFS(JournalActions[Joueur],$B14,JournalActions[Action],$O$6,JournalActions[Mi-temps],O$7)=0,"",COUNTIFS(JournalActions[Joueur],$B14,JournalActions[Action],$O$6,JournalActions[Mi-temps],O$7))</f>
        <v/>
      </c>
      <c r="P14" s="57" t="str">
        <f>IF(COUNTIFS(JournalActions[Joueur],$B14,JournalActions[Action],$O$6,JournalActions[Mi-temps],P$7)=0,"",COUNTIFS(JournalActions[Joueur],$B14,JournalActions[Action],$O$6,JournalActions[Mi-temps],P$7))</f>
        <v/>
      </c>
      <c r="Q14" s="56" t="str">
        <f>IF(COUNTIFS(JournalActions[Joueur],$B14,JournalActions[Action],$Q$6,JournalActions[Mi-temps],Q$7)=0,"",COUNTIFS(JournalActions[Joueur],$B14,JournalActions[Action],$Q$6,JournalActions[Mi-temps],Q$7))</f>
        <v/>
      </c>
      <c r="R14" s="57" t="str">
        <f>IF(COUNTIFS(JournalActions[Joueur],$B14,JournalActions[Action],$Q$6,JournalActions[Mi-temps],R$7)=0,"",COUNTIFS(JournalActions[Joueur],$B14,JournalActions[Action],$Q$6,JournalActions[Mi-temps],R$7))</f>
        <v/>
      </c>
      <c r="S14" s="56" t="str">
        <f>IF(COUNTIFS(JournalActions[Joueur],$B14,JournalActions[Action],$S$6,JournalActions[Mi-temps],S$7)=0,"",COUNTIFS(JournalActions[Joueur],$B14,JournalActions[Action],$S$6,JournalActions[Mi-temps],S$7))</f>
        <v/>
      </c>
      <c r="T14" s="57" t="str">
        <f>IF(COUNTIFS(JournalActions[Joueur],$B14,JournalActions[Action],$S$6,JournalActions[Mi-temps],T$7)=0,"",COUNTIFS(JournalActions[Joueur],$B14,JournalActions[Action],$S$6,JournalActions[Mi-temps],T$7))</f>
        <v/>
      </c>
      <c r="U14" s="96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96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96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96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96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96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25"/>
      <c r="AI14" s="25"/>
      <c r="AJ14" s="25"/>
      <c r="AK14" s="25"/>
    </row>
    <row r="15" spans="2:37">
      <c r="B15" s="56"/>
      <c r="C15" s="56" t="str">
        <f>IF(COUNTIFS(JournalActions[Joueur],$B15,JournalActions[Action],$C$6,JournalActions[Mi-temps],C$7)=0,"",COUNTIFS(JournalActions[Joueur],$B15,JournalActions[Action],$C$6,JournalActions[Mi-temps],C$7))</f>
        <v/>
      </c>
      <c r="D15" s="57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56" t="str">
        <f>IF(COUNTIFS(JournalActions[Joueur],$B15,JournalActions[Action],$G$6,JournalActions[Mi-temps],G$7)=0,"",COUNTIFS(JournalActions[Joueur],$B15,JournalActions[Action],$G$6,JournalActions[Mi-temps],G$7))</f>
        <v/>
      </c>
      <c r="H15" s="57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56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56" t="str">
        <f>IF(COUNTIFS(JournalActions[Joueur],$B15,JournalActions[Action],$M$6,JournalActions[Mi-temps],M$7)=0,"",COUNTIFS(JournalActions[Joueur],$B15,JournalActions[Action],$M$6,JournalActions[Mi-temps],M$7))</f>
        <v/>
      </c>
      <c r="N15" s="57" t="str">
        <f>IF(COUNTIFS(JournalActions[Joueur],$B15,JournalActions[Action],$M$6,JournalActions[Mi-temps],N$7)=0,"",COUNTIFS(JournalActions[Joueur],$B15,JournalActions[Action],$M$6,JournalActions[Mi-temps],N$7))</f>
        <v/>
      </c>
      <c r="O15" s="56" t="str">
        <f>IF(COUNTIFS(JournalActions[Joueur],$B15,JournalActions[Action],$O$6,JournalActions[Mi-temps],O$7)=0,"",COUNTIFS(JournalActions[Joueur],$B15,JournalActions[Action],$O$6,JournalActions[Mi-temps],O$7))</f>
        <v/>
      </c>
      <c r="P15" s="57" t="str">
        <f>IF(COUNTIFS(JournalActions[Joueur],$B15,JournalActions[Action],$O$6,JournalActions[Mi-temps],P$7)=0,"",COUNTIFS(JournalActions[Joueur],$B15,JournalActions[Action],$O$6,JournalActions[Mi-temps],P$7))</f>
        <v/>
      </c>
      <c r="Q15" s="56" t="str">
        <f>IF(COUNTIFS(JournalActions[Joueur],$B15,JournalActions[Action],$Q$6,JournalActions[Mi-temps],Q$7)=0,"",COUNTIFS(JournalActions[Joueur],$B15,JournalActions[Action],$Q$6,JournalActions[Mi-temps],Q$7))</f>
        <v/>
      </c>
      <c r="R15" s="57" t="str">
        <f>IF(COUNTIFS(JournalActions[Joueur],$B15,JournalActions[Action],$Q$6,JournalActions[Mi-temps],R$7)=0,"",COUNTIFS(JournalActions[Joueur],$B15,JournalActions[Action],$Q$6,JournalActions[Mi-temps],R$7))</f>
        <v/>
      </c>
      <c r="S15" s="56" t="str">
        <f>IF(COUNTIFS(JournalActions[Joueur],$B15,JournalActions[Action],$S$6,JournalActions[Mi-temps],S$7)=0,"",COUNTIFS(JournalActions[Joueur],$B15,JournalActions[Action],$S$6,JournalActions[Mi-temps],S$7))</f>
        <v/>
      </c>
      <c r="T15" s="57" t="str">
        <f>IF(COUNTIFS(JournalActions[Joueur],$B15,JournalActions[Action],$S$6,JournalActions[Mi-temps],T$7)=0,"",COUNTIFS(JournalActions[Joueur],$B15,JournalActions[Action],$S$6,JournalActions[Mi-temps],T$7))</f>
        <v/>
      </c>
      <c r="U15" s="96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96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96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96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96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96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25"/>
      <c r="AI15" s="25"/>
      <c r="AJ15" s="25"/>
      <c r="AK15" s="25"/>
    </row>
    <row r="16" spans="2:37">
      <c r="B16" s="56"/>
      <c r="C16" s="56" t="str">
        <f>IF(COUNTIFS(JournalActions[Joueur],$B16,JournalActions[Action],$C$6,JournalActions[Mi-temps],C$7)=0,"",COUNTIFS(JournalActions[Joueur],$B16,JournalActions[Action],$C$6,JournalActions[Mi-temps],C$7))</f>
        <v/>
      </c>
      <c r="D16" s="57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56" t="str">
        <f>IF(COUNTIFS(JournalActions[Joueur],$B16,JournalActions[Action],$G$6,JournalActions[Mi-temps],G$7)=0,"",COUNTIFS(JournalActions[Joueur],$B16,JournalActions[Action],$G$6,JournalActions[Mi-temps],G$7))</f>
        <v/>
      </c>
      <c r="H16" s="57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56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56" t="str">
        <f>IF(COUNTIFS(JournalActions[Joueur],$B16,JournalActions[Action],$M$6,JournalActions[Mi-temps],M$7)=0,"",COUNTIFS(JournalActions[Joueur],$B16,JournalActions[Action],$M$6,JournalActions[Mi-temps],M$7))</f>
        <v/>
      </c>
      <c r="N16" s="57" t="str">
        <f>IF(COUNTIFS(JournalActions[Joueur],$B16,JournalActions[Action],$M$6,JournalActions[Mi-temps],N$7)=0,"",COUNTIFS(JournalActions[Joueur],$B16,JournalActions[Action],$M$6,JournalActions[Mi-temps],N$7))</f>
        <v/>
      </c>
      <c r="O16" s="56" t="str">
        <f>IF(COUNTIFS(JournalActions[Joueur],$B16,JournalActions[Action],$O$6,JournalActions[Mi-temps],O$7)=0,"",COUNTIFS(JournalActions[Joueur],$B16,JournalActions[Action],$O$6,JournalActions[Mi-temps],O$7))</f>
        <v/>
      </c>
      <c r="P16" s="57" t="str">
        <f>IF(COUNTIFS(JournalActions[Joueur],$B16,JournalActions[Action],$O$6,JournalActions[Mi-temps],P$7)=0,"",COUNTIFS(JournalActions[Joueur],$B16,JournalActions[Action],$O$6,JournalActions[Mi-temps],P$7))</f>
        <v/>
      </c>
      <c r="Q16" s="56" t="str">
        <f>IF(COUNTIFS(JournalActions[Joueur],$B16,JournalActions[Action],$Q$6,JournalActions[Mi-temps],Q$7)=0,"",COUNTIFS(JournalActions[Joueur],$B16,JournalActions[Action],$Q$6,JournalActions[Mi-temps],Q$7))</f>
        <v/>
      </c>
      <c r="R16" s="57" t="str">
        <f>IF(COUNTIFS(JournalActions[Joueur],$B16,JournalActions[Action],$Q$6,JournalActions[Mi-temps],R$7)=0,"",COUNTIFS(JournalActions[Joueur],$B16,JournalActions[Action],$Q$6,JournalActions[Mi-temps],R$7))</f>
        <v/>
      </c>
      <c r="S16" s="56" t="str">
        <f>IF(COUNTIFS(JournalActions[Joueur],$B16,JournalActions[Action],$S$6,JournalActions[Mi-temps],S$7)=0,"",COUNTIFS(JournalActions[Joueur],$B16,JournalActions[Action],$S$6,JournalActions[Mi-temps],S$7))</f>
        <v/>
      </c>
      <c r="T16" s="57" t="str">
        <f>IF(COUNTIFS(JournalActions[Joueur],$B16,JournalActions[Action],$S$6,JournalActions[Mi-temps],T$7)=0,"",COUNTIFS(JournalActions[Joueur],$B16,JournalActions[Action],$S$6,JournalActions[Mi-temps],T$7))</f>
        <v/>
      </c>
      <c r="U16" s="96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96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96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96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96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96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25"/>
      <c r="AI16" s="25"/>
      <c r="AJ16" s="25"/>
      <c r="AK16" s="25"/>
    </row>
    <row r="17" spans="2:37">
      <c r="B17" s="56"/>
      <c r="C17" s="56" t="str">
        <f>IF(COUNTIFS(JournalActions[Joueur],$B17,JournalActions[Action],$C$6,JournalActions[Mi-temps],C$7)=0,"",COUNTIFS(JournalActions[Joueur],$B17,JournalActions[Action],$C$6,JournalActions[Mi-temps],C$7))</f>
        <v/>
      </c>
      <c r="D17" s="57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56" t="str">
        <f>IF(COUNTIFS(JournalActions[Joueur],$B17,JournalActions[Action],$G$6,JournalActions[Mi-temps],G$7)=0,"",COUNTIFS(JournalActions[Joueur],$B17,JournalActions[Action],$G$6,JournalActions[Mi-temps],G$7))</f>
        <v/>
      </c>
      <c r="H17" s="57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56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56" t="str">
        <f>IF(COUNTIFS(JournalActions[Joueur],$B17,JournalActions[Action],$M$6,JournalActions[Mi-temps],M$7)=0,"",COUNTIFS(JournalActions[Joueur],$B17,JournalActions[Action],$M$6,JournalActions[Mi-temps],M$7))</f>
        <v/>
      </c>
      <c r="N17" s="57" t="str">
        <f>IF(COUNTIFS(JournalActions[Joueur],$B17,JournalActions[Action],$M$6,JournalActions[Mi-temps],N$7)=0,"",COUNTIFS(JournalActions[Joueur],$B17,JournalActions[Action],$M$6,JournalActions[Mi-temps],N$7))</f>
        <v/>
      </c>
      <c r="O17" s="56" t="str">
        <f>IF(COUNTIFS(JournalActions[Joueur],$B17,JournalActions[Action],$O$6,JournalActions[Mi-temps],O$7)=0,"",COUNTIFS(JournalActions[Joueur],$B17,JournalActions[Action],$O$6,JournalActions[Mi-temps],O$7))</f>
        <v/>
      </c>
      <c r="P17" s="57" t="str">
        <f>IF(COUNTIFS(JournalActions[Joueur],$B17,JournalActions[Action],$O$6,JournalActions[Mi-temps],P$7)=0,"",COUNTIFS(JournalActions[Joueur],$B17,JournalActions[Action],$O$6,JournalActions[Mi-temps],P$7))</f>
        <v/>
      </c>
      <c r="Q17" s="56" t="str">
        <f>IF(COUNTIFS(JournalActions[Joueur],$B17,JournalActions[Action],$Q$6,JournalActions[Mi-temps],Q$7)=0,"",COUNTIFS(JournalActions[Joueur],$B17,JournalActions[Action],$Q$6,JournalActions[Mi-temps],Q$7))</f>
        <v/>
      </c>
      <c r="R17" s="57" t="str">
        <f>IF(COUNTIFS(JournalActions[Joueur],$B17,JournalActions[Action],$Q$6,JournalActions[Mi-temps],R$7)=0,"",COUNTIFS(JournalActions[Joueur],$B17,JournalActions[Action],$Q$6,JournalActions[Mi-temps],R$7))</f>
        <v/>
      </c>
      <c r="S17" s="56" t="str">
        <f>IF(COUNTIFS(JournalActions[Joueur],$B17,JournalActions[Action],$S$6,JournalActions[Mi-temps],S$7)=0,"",COUNTIFS(JournalActions[Joueur],$B17,JournalActions[Action],$S$6,JournalActions[Mi-temps],S$7))</f>
        <v/>
      </c>
      <c r="T17" s="57" t="str">
        <f>IF(COUNTIFS(JournalActions[Joueur],$B17,JournalActions[Action],$S$6,JournalActions[Mi-temps],T$7)=0,"",COUNTIFS(JournalActions[Joueur],$B17,JournalActions[Action],$S$6,JournalActions[Mi-temps],T$7))</f>
        <v/>
      </c>
      <c r="U17" s="96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96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96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96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96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96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25"/>
      <c r="AI17" s="25"/>
      <c r="AJ17" s="25"/>
      <c r="AK17" s="25"/>
    </row>
    <row r="18" spans="2:37">
      <c r="B18" s="56"/>
      <c r="C18" s="56" t="str">
        <f>IF(COUNTIFS(JournalActions[Joueur],$B18,JournalActions[Action],$C$6,JournalActions[Mi-temps],C$7)=0,"",COUNTIFS(JournalActions[Joueur],$B18,JournalActions[Action],$C$6,JournalActions[Mi-temps],C$7))</f>
        <v/>
      </c>
      <c r="D18" s="57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56" t="str">
        <f>IF(COUNTIFS(JournalActions[Joueur],$B18,JournalActions[Action],$G$6,JournalActions[Mi-temps],G$7)=0,"",COUNTIFS(JournalActions[Joueur],$B18,JournalActions[Action],$G$6,JournalActions[Mi-temps],G$7))</f>
        <v/>
      </c>
      <c r="H18" s="57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56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56" t="str">
        <f>IF(COUNTIFS(JournalActions[Joueur],$B18,JournalActions[Action],$M$6,JournalActions[Mi-temps],M$7)=0,"",COUNTIFS(JournalActions[Joueur],$B18,JournalActions[Action],$M$6,JournalActions[Mi-temps],M$7))</f>
        <v/>
      </c>
      <c r="N18" s="57" t="str">
        <f>IF(COUNTIFS(JournalActions[Joueur],$B18,JournalActions[Action],$M$6,JournalActions[Mi-temps],N$7)=0,"",COUNTIFS(JournalActions[Joueur],$B18,JournalActions[Action],$M$6,JournalActions[Mi-temps],N$7))</f>
        <v/>
      </c>
      <c r="O18" s="56" t="str">
        <f>IF(COUNTIFS(JournalActions[Joueur],$B18,JournalActions[Action],$O$6,JournalActions[Mi-temps],O$7)=0,"",COUNTIFS(JournalActions[Joueur],$B18,JournalActions[Action],$O$6,JournalActions[Mi-temps],O$7))</f>
        <v/>
      </c>
      <c r="P18" s="57" t="str">
        <f>IF(COUNTIFS(JournalActions[Joueur],$B18,JournalActions[Action],$O$6,JournalActions[Mi-temps],P$7)=0,"",COUNTIFS(JournalActions[Joueur],$B18,JournalActions[Action],$O$6,JournalActions[Mi-temps],P$7))</f>
        <v/>
      </c>
      <c r="Q18" s="56" t="str">
        <f>IF(COUNTIFS(JournalActions[Joueur],$B18,JournalActions[Action],$Q$6,JournalActions[Mi-temps],Q$7)=0,"",COUNTIFS(JournalActions[Joueur],$B18,JournalActions[Action],$Q$6,JournalActions[Mi-temps],Q$7))</f>
        <v/>
      </c>
      <c r="R18" s="57" t="str">
        <f>IF(COUNTIFS(JournalActions[Joueur],$B18,JournalActions[Action],$Q$6,JournalActions[Mi-temps],R$7)=0,"",COUNTIFS(JournalActions[Joueur],$B18,JournalActions[Action],$Q$6,JournalActions[Mi-temps],R$7))</f>
        <v/>
      </c>
      <c r="S18" s="56" t="str">
        <f>IF(COUNTIFS(JournalActions[Joueur],$B18,JournalActions[Action],$S$6,JournalActions[Mi-temps],S$7)=0,"",COUNTIFS(JournalActions[Joueur],$B18,JournalActions[Action],$S$6,JournalActions[Mi-temps],S$7))</f>
        <v/>
      </c>
      <c r="T18" s="57" t="str">
        <f>IF(COUNTIFS(JournalActions[Joueur],$B18,JournalActions[Action],$S$6,JournalActions[Mi-temps],T$7)=0,"",COUNTIFS(JournalActions[Joueur],$B18,JournalActions[Action],$S$6,JournalActions[Mi-temps],T$7))</f>
        <v/>
      </c>
      <c r="U18" s="96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96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96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96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96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96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25"/>
      <c r="AI18" s="25"/>
      <c r="AJ18" s="25"/>
      <c r="AK18" s="25"/>
    </row>
    <row r="19" spans="2:37">
      <c r="B19" s="56"/>
      <c r="C19" s="56" t="str">
        <f>IF(COUNTIFS(JournalActions[Joueur],$B19,JournalActions[Action],$C$6,JournalActions[Mi-temps],C$7)=0,"",COUNTIFS(JournalActions[Joueur],$B19,JournalActions[Action],$C$6,JournalActions[Mi-temps],C$7))</f>
        <v/>
      </c>
      <c r="D19" s="57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56" t="str">
        <f>IF(COUNTIFS(JournalActions[Joueur],$B19,JournalActions[Action],$G$6,JournalActions[Mi-temps],G$7)=0,"",COUNTIFS(JournalActions[Joueur],$B19,JournalActions[Action],$G$6,JournalActions[Mi-temps],G$7))</f>
        <v/>
      </c>
      <c r="H19" s="57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56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56" t="str">
        <f>IF(COUNTIFS(JournalActions[Joueur],$B19,JournalActions[Action],$M$6,JournalActions[Mi-temps],M$7)=0,"",COUNTIFS(JournalActions[Joueur],$B19,JournalActions[Action],$M$6,JournalActions[Mi-temps],M$7))</f>
        <v/>
      </c>
      <c r="N19" s="57" t="str">
        <f>IF(COUNTIFS(JournalActions[Joueur],$B19,JournalActions[Action],$M$6,JournalActions[Mi-temps],N$7)=0,"",COUNTIFS(JournalActions[Joueur],$B19,JournalActions[Action],$M$6,JournalActions[Mi-temps],N$7))</f>
        <v/>
      </c>
      <c r="O19" s="56" t="str">
        <f>IF(COUNTIFS(JournalActions[Joueur],$B19,JournalActions[Action],$O$6,JournalActions[Mi-temps],O$7)=0,"",COUNTIFS(JournalActions[Joueur],$B19,JournalActions[Action],$O$6,JournalActions[Mi-temps],O$7))</f>
        <v/>
      </c>
      <c r="P19" s="57" t="str">
        <f>IF(COUNTIFS(JournalActions[Joueur],$B19,JournalActions[Action],$O$6,JournalActions[Mi-temps],P$7)=0,"",COUNTIFS(JournalActions[Joueur],$B19,JournalActions[Action],$O$6,JournalActions[Mi-temps],P$7))</f>
        <v/>
      </c>
      <c r="Q19" s="56" t="str">
        <f>IF(COUNTIFS(JournalActions[Joueur],$B19,JournalActions[Action],$Q$6,JournalActions[Mi-temps],Q$7)=0,"",COUNTIFS(JournalActions[Joueur],$B19,JournalActions[Action],$Q$6,JournalActions[Mi-temps],Q$7))</f>
        <v/>
      </c>
      <c r="R19" s="57" t="str">
        <f>IF(COUNTIFS(JournalActions[Joueur],$B19,JournalActions[Action],$Q$6,JournalActions[Mi-temps],R$7)=0,"",COUNTIFS(JournalActions[Joueur],$B19,JournalActions[Action],$Q$6,JournalActions[Mi-temps],R$7))</f>
        <v/>
      </c>
      <c r="S19" s="56" t="str">
        <f>IF(COUNTIFS(JournalActions[Joueur],$B19,JournalActions[Action],$S$6,JournalActions[Mi-temps],S$7)=0,"",COUNTIFS(JournalActions[Joueur],$B19,JournalActions[Action],$S$6,JournalActions[Mi-temps],S$7))</f>
        <v/>
      </c>
      <c r="T19" s="57" t="str">
        <f>IF(COUNTIFS(JournalActions[Joueur],$B19,JournalActions[Action],$S$6,JournalActions[Mi-temps],T$7)=0,"",COUNTIFS(JournalActions[Joueur],$B19,JournalActions[Action],$S$6,JournalActions[Mi-temps],T$7))</f>
        <v/>
      </c>
      <c r="U19" s="96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96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96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96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96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96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25"/>
      <c r="AI19" s="25"/>
      <c r="AJ19" s="25"/>
      <c r="AK19" s="25"/>
    </row>
    <row r="20" spans="2:37">
      <c r="B20" s="56"/>
      <c r="C20" s="56" t="str">
        <f>IF(COUNTIFS(JournalActions[Joueur],$B20,JournalActions[Action],$C$6,JournalActions[Mi-temps],C$7)=0,"",COUNTIFS(JournalActions[Joueur],$B20,JournalActions[Action],$C$6,JournalActions[Mi-temps],C$7))</f>
        <v/>
      </c>
      <c r="D20" s="57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56" t="str">
        <f>IF(COUNTIFS(JournalActions[Joueur],$B20,JournalActions[Action],$G$6,JournalActions[Mi-temps],G$7)=0,"",COUNTIFS(JournalActions[Joueur],$B20,JournalActions[Action],$G$6,JournalActions[Mi-temps],G$7))</f>
        <v/>
      </c>
      <c r="H20" s="57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56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56" t="str">
        <f>IF(COUNTIFS(JournalActions[Joueur],$B20,JournalActions[Action],$M$6,JournalActions[Mi-temps],M$7)=0,"",COUNTIFS(JournalActions[Joueur],$B20,JournalActions[Action],$M$6,JournalActions[Mi-temps],M$7))</f>
        <v/>
      </c>
      <c r="N20" s="57" t="str">
        <f>IF(COUNTIFS(JournalActions[Joueur],$B20,JournalActions[Action],$M$6,JournalActions[Mi-temps],N$7)=0,"",COUNTIFS(JournalActions[Joueur],$B20,JournalActions[Action],$M$6,JournalActions[Mi-temps],N$7))</f>
        <v/>
      </c>
      <c r="O20" s="56" t="str">
        <f>IF(COUNTIFS(JournalActions[Joueur],$B20,JournalActions[Action],$O$6,JournalActions[Mi-temps],O$7)=0,"",COUNTIFS(JournalActions[Joueur],$B20,JournalActions[Action],$O$6,JournalActions[Mi-temps],O$7))</f>
        <v/>
      </c>
      <c r="P20" s="57" t="str">
        <f>IF(COUNTIFS(JournalActions[Joueur],$B20,JournalActions[Action],$O$6,JournalActions[Mi-temps],P$7)=0,"",COUNTIFS(JournalActions[Joueur],$B20,JournalActions[Action],$O$6,JournalActions[Mi-temps],P$7))</f>
        <v/>
      </c>
      <c r="Q20" s="56" t="str">
        <f>IF(COUNTIFS(JournalActions[Joueur],$B20,JournalActions[Action],$Q$6,JournalActions[Mi-temps],Q$7)=0,"",COUNTIFS(JournalActions[Joueur],$B20,JournalActions[Action],$Q$6,JournalActions[Mi-temps],Q$7))</f>
        <v/>
      </c>
      <c r="R20" s="57" t="str">
        <f>IF(COUNTIFS(JournalActions[Joueur],$B20,JournalActions[Action],$Q$6,JournalActions[Mi-temps],R$7)=0,"",COUNTIFS(JournalActions[Joueur],$B20,JournalActions[Action],$Q$6,JournalActions[Mi-temps],R$7))</f>
        <v/>
      </c>
      <c r="S20" s="56" t="str">
        <f>IF(COUNTIFS(JournalActions[Joueur],$B20,JournalActions[Action],$S$6,JournalActions[Mi-temps],S$7)=0,"",COUNTIFS(JournalActions[Joueur],$B20,JournalActions[Action],$S$6,JournalActions[Mi-temps],S$7))</f>
        <v/>
      </c>
      <c r="T20" s="57" t="str">
        <f>IF(COUNTIFS(JournalActions[Joueur],$B20,JournalActions[Action],$S$6,JournalActions[Mi-temps],T$7)=0,"",COUNTIFS(JournalActions[Joueur],$B20,JournalActions[Action],$S$6,JournalActions[Mi-temps],T$7))</f>
        <v/>
      </c>
      <c r="U20" s="96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96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96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96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96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96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56"/>
      <c r="C21" s="56" t="str">
        <f>IF(COUNTIFS(JournalActions[Joueur],$B21,JournalActions[Action],$C$6,JournalActions[Mi-temps],C$7)=0,"",COUNTIFS(JournalActions[Joueur],$B21,JournalActions[Action],$C$6,JournalActions[Mi-temps],C$7))</f>
        <v/>
      </c>
      <c r="D21" s="57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56" t="str">
        <f>IF(COUNTIFS(JournalActions[Joueur],$B21,JournalActions[Action],$G$6,JournalActions[Mi-temps],G$7)=0,"",COUNTIFS(JournalActions[Joueur],$B21,JournalActions[Action],$G$6,JournalActions[Mi-temps],G$7))</f>
        <v/>
      </c>
      <c r="H21" s="57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56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56" t="str">
        <f>IF(COUNTIFS(JournalActions[Joueur],$B21,JournalActions[Action],$M$6,JournalActions[Mi-temps],M$7)=0,"",COUNTIFS(JournalActions[Joueur],$B21,JournalActions[Action],$M$6,JournalActions[Mi-temps],M$7))</f>
        <v/>
      </c>
      <c r="N21" s="57" t="str">
        <f>IF(COUNTIFS(JournalActions[Joueur],$B21,JournalActions[Action],$M$6,JournalActions[Mi-temps],N$7)=0,"",COUNTIFS(JournalActions[Joueur],$B21,JournalActions[Action],$M$6,JournalActions[Mi-temps],N$7))</f>
        <v/>
      </c>
      <c r="O21" s="56" t="str">
        <f>IF(COUNTIFS(JournalActions[Joueur],$B21,JournalActions[Action],$O$6,JournalActions[Mi-temps],O$7)=0,"",COUNTIFS(JournalActions[Joueur],$B21,JournalActions[Action],$O$6,JournalActions[Mi-temps],O$7))</f>
        <v/>
      </c>
      <c r="P21" s="57" t="str">
        <f>IF(COUNTIFS(JournalActions[Joueur],$B21,JournalActions[Action],$O$6,JournalActions[Mi-temps],P$7)=0,"",COUNTIFS(JournalActions[Joueur],$B21,JournalActions[Action],$O$6,JournalActions[Mi-temps],P$7))</f>
        <v/>
      </c>
      <c r="Q21" s="56" t="str">
        <f>IF(COUNTIFS(JournalActions[Joueur],$B21,JournalActions[Action],$Q$6,JournalActions[Mi-temps],Q$7)=0,"",COUNTIFS(JournalActions[Joueur],$B21,JournalActions[Action],$Q$6,JournalActions[Mi-temps],Q$7))</f>
        <v/>
      </c>
      <c r="R21" s="57" t="str">
        <f>IF(COUNTIFS(JournalActions[Joueur],$B21,JournalActions[Action],$Q$6,JournalActions[Mi-temps],R$7)=0,"",COUNTIFS(JournalActions[Joueur],$B21,JournalActions[Action],$Q$6,JournalActions[Mi-temps],R$7))</f>
        <v/>
      </c>
      <c r="S21" s="56" t="str">
        <f>IF(COUNTIFS(JournalActions[Joueur],$B21,JournalActions[Action],$S$6,JournalActions[Mi-temps],S$7)=0,"",COUNTIFS(JournalActions[Joueur],$B21,JournalActions[Action],$S$6,JournalActions[Mi-temps],S$7))</f>
        <v/>
      </c>
      <c r="T21" s="57" t="str">
        <f>IF(COUNTIFS(JournalActions[Joueur],$B21,JournalActions[Action],$S$6,JournalActions[Mi-temps],T$7)=0,"",COUNTIFS(JournalActions[Joueur],$B21,JournalActions[Action],$S$6,JournalActions[Mi-temps],T$7))</f>
        <v/>
      </c>
      <c r="U21" s="96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96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96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96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96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96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56"/>
      <c r="C22" s="56" t="str">
        <f>IF(COUNTIFS(JournalActions[Joueur],$B22,JournalActions[Action],$C$6,JournalActions[Mi-temps],C$7)=0,"",COUNTIFS(JournalActions[Joueur],$B22,JournalActions[Action],$C$6,JournalActions[Mi-temps],C$7))</f>
        <v/>
      </c>
      <c r="D22" s="57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56" t="str">
        <f>IF(COUNTIFS(JournalActions[Joueur],$B22,JournalActions[Action],$G$6,JournalActions[Mi-temps],G$7)=0,"",COUNTIFS(JournalActions[Joueur],$B22,JournalActions[Action],$G$6,JournalActions[Mi-temps],G$7))</f>
        <v/>
      </c>
      <c r="H22" s="57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56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56" t="str">
        <f>IF(COUNTIFS(JournalActions[Joueur],$B22,JournalActions[Action],$M$6,JournalActions[Mi-temps],M$7)=0,"",COUNTIFS(JournalActions[Joueur],$B22,JournalActions[Action],$M$6,JournalActions[Mi-temps],M$7))</f>
        <v/>
      </c>
      <c r="N22" s="57" t="str">
        <f>IF(COUNTIFS(JournalActions[Joueur],$B22,JournalActions[Action],$M$6,JournalActions[Mi-temps],N$7)=0,"",COUNTIFS(JournalActions[Joueur],$B22,JournalActions[Action],$M$6,JournalActions[Mi-temps],N$7))</f>
        <v/>
      </c>
      <c r="O22" s="56" t="str">
        <f>IF(COUNTIFS(JournalActions[Joueur],$B22,JournalActions[Action],$O$6,JournalActions[Mi-temps],O$7)=0,"",COUNTIFS(JournalActions[Joueur],$B22,JournalActions[Action],$O$6,JournalActions[Mi-temps],O$7))</f>
        <v/>
      </c>
      <c r="P22" s="57" t="str">
        <f>IF(COUNTIFS(JournalActions[Joueur],$B22,JournalActions[Action],$O$6,JournalActions[Mi-temps],P$7)=0,"",COUNTIFS(JournalActions[Joueur],$B22,JournalActions[Action],$O$6,JournalActions[Mi-temps],P$7))</f>
        <v/>
      </c>
      <c r="Q22" s="56" t="str">
        <f>IF(COUNTIFS(JournalActions[Joueur],$B22,JournalActions[Action],$Q$6,JournalActions[Mi-temps],Q$7)=0,"",COUNTIFS(JournalActions[Joueur],$B22,JournalActions[Action],$Q$6,JournalActions[Mi-temps],Q$7))</f>
        <v/>
      </c>
      <c r="R22" s="57" t="str">
        <f>IF(COUNTIFS(JournalActions[Joueur],$B22,JournalActions[Action],$Q$6,JournalActions[Mi-temps],R$7)=0,"",COUNTIFS(JournalActions[Joueur],$B22,JournalActions[Action],$Q$6,JournalActions[Mi-temps],R$7))</f>
        <v/>
      </c>
      <c r="S22" s="56" t="str">
        <f>IF(COUNTIFS(JournalActions[Joueur],$B22,JournalActions[Action],$S$6,JournalActions[Mi-temps],S$7)=0,"",COUNTIFS(JournalActions[Joueur],$B22,JournalActions[Action],$S$6,JournalActions[Mi-temps],S$7))</f>
        <v/>
      </c>
      <c r="T22" s="57" t="str">
        <f>IF(COUNTIFS(JournalActions[Joueur],$B22,JournalActions[Action],$S$6,JournalActions[Mi-temps],T$7)=0,"",COUNTIFS(JournalActions[Joueur],$B22,JournalActions[Action],$S$6,JournalActions[Mi-temps],T$7))</f>
        <v/>
      </c>
      <c r="U22" s="96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96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96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96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96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96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56"/>
      <c r="C23" s="56" t="str">
        <f>IF(COUNTIFS(JournalActions[Joueur],$B23,JournalActions[Action],$C$6,JournalActions[Mi-temps],C$7)=0,"",COUNTIFS(JournalActions[Joueur],$B23,JournalActions[Action],$C$6,JournalActions[Mi-temps],C$7))</f>
        <v/>
      </c>
      <c r="D23" s="57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56" t="str">
        <f>IF(COUNTIFS(JournalActions[Joueur],$B23,JournalActions[Action],$G$6,JournalActions[Mi-temps],G$7)=0,"",COUNTIFS(JournalActions[Joueur],$B23,JournalActions[Action],$G$6,JournalActions[Mi-temps],G$7))</f>
        <v/>
      </c>
      <c r="H23" s="57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56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56" t="str">
        <f>IF(COUNTIFS(JournalActions[Joueur],$B23,JournalActions[Action],$M$6,JournalActions[Mi-temps],M$7)=0,"",COUNTIFS(JournalActions[Joueur],$B23,JournalActions[Action],$M$6,JournalActions[Mi-temps],M$7))</f>
        <v/>
      </c>
      <c r="N23" s="57" t="str">
        <f>IF(COUNTIFS(JournalActions[Joueur],$B23,JournalActions[Action],$M$6,JournalActions[Mi-temps],N$7)=0,"",COUNTIFS(JournalActions[Joueur],$B23,JournalActions[Action],$M$6,JournalActions[Mi-temps],N$7))</f>
        <v/>
      </c>
      <c r="O23" s="56" t="str">
        <f>IF(COUNTIFS(JournalActions[Joueur],$B23,JournalActions[Action],$O$6,JournalActions[Mi-temps],O$7)=0,"",COUNTIFS(JournalActions[Joueur],$B23,JournalActions[Action],$O$6,JournalActions[Mi-temps],O$7))</f>
        <v/>
      </c>
      <c r="P23" s="57" t="str">
        <f>IF(COUNTIFS(JournalActions[Joueur],$B23,JournalActions[Action],$O$6,JournalActions[Mi-temps],P$7)=0,"",COUNTIFS(JournalActions[Joueur],$B23,JournalActions[Action],$O$6,JournalActions[Mi-temps],P$7))</f>
        <v/>
      </c>
      <c r="Q23" s="56" t="str">
        <f>IF(COUNTIFS(JournalActions[Joueur],$B23,JournalActions[Action],$Q$6,JournalActions[Mi-temps],Q$7)=0,"",COUNTIFS(JournalActions[Joueur],$B23,JournalActions[Action],$Q$6,JournalActions[Mi-temps],Q$7))</f>
        <v/>
      </c>
      <c r="R23" s="57" t="str">
        <f>IF(COUNTIFS(JournalActions[Joueur],$B23,JournalActions[Action],$Q$6,JournalActions[Mi-temps],R$7)=0,"",COUNTIFS(JournalActions[Joueur],$B23,JournalActions[Action],$Q$6,JournalActions[Mi-temps],R$7))</f>
        <v/>
      </c>
      <c r="S23" s="56" t="str">
        <f>IF(COUNTIFS(JournalActions[Joueur],$B23,JournalActions[Action],$S$6,JournalActions[Mi-temps],S$7)=0,"",COUNTIFS(JournalActions[Joueur],$B23,JournalActions[Action],$S$6,JournalActions[Mi-temps],S$7))</f>
        <v/>
      </c>
      <c r="T23" s="57" t="str">
        <f>IF(COUNTIFS(JournalActions[Joueur],$B23,JournalActions[Action],$S$6,JournalActions[Mi-temps],T$7)=0,"",COUNTIFS(JournalActions[Joueur],$B23,JournalActions[Action],$S$6,JournalActions[Mi-temps],T$7))</f>
        <v/>
      </c>
      <c r="U23" s="96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96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96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96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96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96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56"/>
      <c r="C24" s="56" t="str">
        <f>IF(COUNTIFS(JournalActions[Joueur],$B24,JournalActions[Action],$C$6,JournalActions[Mi-temps],C$7)=0,"",COUNTIFS(JournalActions[Joueur],$B24,JournalActions[Action],$C$6,JournalActions[Mi-temps],C$7))</f>
        <v/>
      </c>
      <c r="D24" s="57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56" t="str">
        <f>IF(COUNTIFS(JournalActions[Joueur],$B24,JournalActions[Action],$G$6,JournalActions[Mi-temps],G$7)=0,"",COUNTIFS(JournalActions[Joueur],$B24,JournalActions[Action],$G$6,JournalActions[Mi-temps],G$7))</f>
        <v/>
      </c>
      <c r="H24" s="57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56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56" t="str">
        <f>IF(COUNTIFS(JournalActions[Joueur],$B24,JournalActions[Action],$M$6,JournalActions[Mi-temps],M$7)=0,"",COUNTIFS(JournalActions[Joueur],$B24,JournalActions[Action],$M$6,JournalActions[Mi-temps],M$7))</f>
        <v/>
      </c>
      <c r="N24" s="57" t="str">
        <f>IF(COUNTIFS(JournalActions[Joueur],$B24,JournalActions[Action],$M$6,JournalActions[Mi-temps],N$7)=0,"",COUNTIFS(JournalActions[Joueur],$B24,JournalActions[Action],$M$6,JournalActions[Mi-temps],N$7))</f>
        <v/>
      </c>
      <c r="O24" s="56" t="str">
        <f>IF(COUNTIFS(JournalActions[Joueur],$B24,JournalActions[Action],$O$6,JournalActions[Mi-temps],O$7)=0,"",COUNTIFS(JournalActions[Joueur],$B24,JournalActions[Action],$O$6,JournalActions[Mi-temps],O$7))</f>
        <v/>
      </c>
      <c r="P24" s="57" t="str">
        <f>IF(COUNTIFS(JournalActions[Joueur],$B24,JournalActions[Action],$O$6,JournalActions[Mi-temps],P$7)=0,"",COUNTIFS(JournalActions[Joueur],$B24,JournalActions[Action],$O$6,JournalActions[Mi-temps],P$7))</f>
        <v/>
      </c>
      <c r="Q24" s="56" t="str">
        <f>IF(COUNTIFS(JournalActions[Joueur],$B24,JournalActions[Action],$Q$6,JournalActions[Mi-temps],Q$7)=0,"",COUNTIFS(JournalActions[Joueur],$B24,JournalActions[Action],$Q$6,JournalActions[Mi-temps],Q$7))</f>
        <v/>
      </c>
      <c r="R24" s="57" t="str">
        <f>IF(COUNTIFS(JournalActions[Joueur],$B24,JournalActions[Action],$Q$6,JournalActions[Mi-temps],R$7)=0,"",COUNTIFS(JournalActions[Joueur],$B24,JournalActions[Action],$Q$6,JournalActions[Mi-temps],R$7))</f>
        <v/>
      </c>
      <c r="S24" s="56" t="str">
        <f>IF(COUNTIFS(JournalActions[Joueur],$B24,JournalActions[Action],$S$6,JournalActions[Mi-temps],S$7)=0,"",COUNTIFS(JournalActions[Joueur],$B24,JournalActions[Action],$S$6,JournalActions[Mi-temps],S$7))</f>
        <v/>
      </c>
      <c r="T24" s="57" t="str">
        <f>IF(COUNTIFS(JournalActions[Joueur],$B24,JournalActions[Action],$S$6,JournalActions[Mi-temps],T$7)=0,"",COUNTIFS(JournalActions[Joueur],$B24,JournalActions[Action],$S$6,JournalActions[Mi-temps],T$7))</f>
        <v/>
      </c>
      <c r="U24" s="96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96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96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96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96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96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56"/>
      <c r="C25" s="56" t="str">
        <f>IF(COUNTIFS(JournalActions[Joueur],$B25,JournalActions[Action],$C$6,JournalActions[Mi-temps],C$7)=0,"",COUNTIFS(JournalActions[Joueur],$B25,JournalActions[Action],$C$6,JournalActions[Mi-temps],C$7))</f>
        <v/>
      </c>
      <c r="D25" s="57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56" t="str">
        <f>IF(COUNTIFS(JournalActions[Joueur],$B25,JournalActions[Action],$G$6,JournalActions[Mi-temps],G$7)=0,"",COUNTIFS(JournalActions[Joueur],$B25,JournalActions[Action],$G$6,JournalActions[Mi-temps],G$7))</f>
        <v/>
      </c>
      <c r="H25" s="57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56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56" t="str">
        <f>IF(COUNTIFS(JournalActions[Joueur],$B25,JournalActions[Action],$M$6,JournalActions[Mi-temps],M$7)=0,"",COUNTIFS(JournalActions[Joueur],$B25,JournalActions[Action],$M$6,JournalActions[Mi-temps],M$7))</f>
        <v/>
      </c>
      <c r="N25" s="57" t="str">
        <f>IF(COUNTIFS(JournalActions[Joueur],$B25,JournalActions[Action],$M$6,JournalActions[Mi-temps],N$7)=0,"",COUNTIFS(JournalActions[Joueur],$B25,JournalActions[Action],$M$6,JournalActions[Mi-temps],N$7))</f>
        <v/>
      </c>
      <c r="O25" s="56" t="str">
        <f>IF(COUNTIFS(JournalActions[Joueur],$B25,JournalActions[Action],$O$6,JournalActions[Mi-temps],O$7)=0,"",COUNTIFS(JournalActions[Joueur],$B25,JournalActions[Action],$O$6,JournalActions[Mi-temps],O$7))</f>
        <v/>
      </c>
      <c r="P25" s="57" t="str">
        <f>IF(COUNTIFS(JournalActions[Joueur],$B25,JournalActions[Action],$O$6,JournalActions[Mi-temps],P$7)=0,"",COUNTIFS(JournalActions[Joueur],$B25,JournalActions[Action],$O$6,JournalActions[Mi-temps],P$7))</f>
        <v/>
      </c>
      <c r="Q25" s="56" t="str">
        <f>IF(COUNTIFS(JournalActions[Joueur],$B25,JournalActions[Action],$Q$6,JournalActions[Mi-temps],Q$7)=0,"",COUNTIFS(JournalActions[Joueur],$B25,JournalActions[Action],$Q$6,JournalActions[Mi-temps],Q$7))</f>
        <v/>
      </c>
      <c r="R25" s="57" t="str">
        <f>IF(COUNTIFS(JournalActions[Joueur],$B25,JournalActions[Action],$Q$6,JournalActions[Mi-temps],R$7)=0,"",COUNTIFS(JournalActions[Joueur],$B25,JournalActions[Action],$Q$6,JournalActions[Mi-temps],R$7))</f>
        <v/>
      </c>
      <c r="S25" s="56" t="str">
        <f>IF(COUNTIFS(JournalActions[Joueur],$B25,JournalActions[Action],$S$6,JournalActions[Mi-temps],S$7)=0,"",COUNTIFS(JournalActions[Joueur],$B25,JournalActions[Action],$S$6,JournalActions[Mi-temps],S$7))</f>
        <v/>
      </c>
      <c r="T25" s="57" t="str">
        <f>IF(COUNTIFS(JournalActions[Joueur],$B25,JournalActions[Action],$S$6,JournalActions[Mi-temps],T$7)=0,"",COUNTIFS(JournalActions[Joueur],$B25,JournalActions[Action],$S$6,JournalActions[Mi-temps],T$7))</f>
        <v/>
      </c>
      <c r="U25" s="96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96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96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96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96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96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56"/>
      <c r="C26" s="56" t="str">
        <f>IF(COUNTIFS(JournalActions[Joueur],$B26,JournalActions[Action],$C$6,JournalActions[Mi-temps],C$7)=0,"",COUNTIFS(JournalActions[Joueur],$B26,JournalActions[Action],$C$6,JournalActions[Mi-temps],C$7))</f>
        <v/>
      </c>
      <c r="D26" s="57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56" t="str">
        <f>IF(COUNTIFS(JournalActions[Joueur],$B26,JournalActions[Action],$G$6,JournalActions[Mi-temps],G$7)=0,"",COUNTIFS(JournalActions[Joueur],$B26,JournalActions[Action],$G$6,JournalActions[Mi-temps],G$7))</f>
        <v/>
      </c>
      <c r="H26" s="57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56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56" t="str">
        <f>IF(COUNTIFS(JournalActions[Joueur],$B26,JournalActions[Action],$M$6,JournalActions[Mi-temps],M$7)=0,"",COUNTIFS(JournalActions[Joueur],$B26,JournalActions[Action],$M$6,JournalActions[Mi-temps],M$7))</f>
        <v/>
      </c>
      <c r="N26" s="57" t="str">
        <f>IF(COUNTIFS(JournalActions[Joueur],$B26,JournalActions[Action],$M$6,JournalActions[Mi-temps],N$7)=0,"",COUNTIFS(JournalActions[Joueur],$B26,JournalActions[Action],$M$6,JournalActions[Mi-temps],N$7))</f>
        <v/>
      </c>
      <c r="O26" s="56" t="str">
        <f>IF(COUNTIFS(JournalActions[Joueur],$B26,JournalActions[Action],$O$6,JournalActions[Mi-temps],O$7)=0,"",COUNTIFS(JournalActions[Joueur],$B26,JournalActions[Action],$O$6,JournalActions[Mi-temps],O$7))</f>
        <v/>
      </c>
      <c r="P26" s="57" t="str">
        <f>IF(COUNTIFS(JournalActions[Joueur],$B26,JournalActions[Action],$O$6,JournalActions[Mi-temps],P$7)=0,"",COUNTIFS(JournalActions[Joueur],$B26,JournalActions[Action],$O$6,JournalActions[Mi-temps],P$7))</f>
        <v/>
      </c>
      <c r="Q26" s="56" t="str">
        <f>IF(COUNTIFS(JournalActions[Joueur],$B26,JournalActions[Action],$Q$6,JournalActions[Mi-temps],Q$7)=0,"",COUNTIFS(JournalActions[Joueur],$B26,JournalActions[Action],$Q$6,JournalActions[Mi-temps],Q$7))</f>
        <v/>
      </c>
      <c r="R26" s="57" t="str">
        <f>IF(COUNTIFS(JournalActions[Joueur],$B26,JournalActions[Action],$Q$6,JournalActions[Mi-temps],R$7)=0,"",COUNTIFS(JournalActions[Joueur],$B26,JournalActions[Action],$Q$6,JournalActions[Mi-temps],R$7))</f>
        <v/>
      </c>
      <c r="S26" s="56" t="str">
        <f>IF(COUNTIFS(JournalActions[Joueur],$B26,JournalActions[Action],$S$6,JournalActions[Mi-temps],S$7)=0,"",COUNTIFS(JournalActions[Joueur],$B26,JournalActions[Action],$S$6,JournalActions[Mi-temps],S$7))</f>
        <v/>
      </c>
      <c r="T26" s="57" t="str">
        <f>IF(COUNTIFS(JournalActions[Joueur],$B26,JournalActions[Action],$S$6,JournalActions[Mi-temps],T$7)=0,"",COUNTIFS(JournalActions[Joueur],$B26,JournalActions[Action],$S$6,JournalActions[Mi-temps],T$7))</f>
        <v/>
      </c>
      <c r="U26" s="96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96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96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96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96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96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56"/>
      <c r="C27" s="56" t="str">
        <f>IF(COUNTIFS(JournalActions[Joueur],$B27,JournalActions[Action],$C$6,JournalActions[Mi-temps],C$7)=0,"",COUNTIFS(JournalActions[Joueur],$B27,JournalActions[Action],$C$6,JournalActions[Mi-temps],C$7))</f>
        <v/>
      </c>
      <c r="D27" s="57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56" t="str">
        <f>IF(COUNTIFS(JournalActions[Joueur],$B27,JournalActions[Action],$G$6,JournalActions[Mi-temps],G$7)=0,"",COUNTIFS(JournalActions[Joueur],$B27,JournalActions[Action],$G$6,JournalActions[Mi-temps],G$7))</f>
        <v/>
      </c>
      <c r="H27" s="57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56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56" t="str">
        <f>IF(COUNTIFS(JournalActions[Joueur],$B27,JournalActions[Action],$M$6,JournalActions[Mi-temps],M$7)=0,"",COUNTIFS(JournalActions[Joueur],$B27,JournalActions[Action],$M$6,JournalActions[Mi-temps],M$7))</f>
        <v/>
      </c>
      <c r="N27" s="57" t="str">
        <f>IF(COUNTIFS(JournalActions[Joueur],$B27,JournalActions[Action],$M$6,JournalActions[Mi-temps],N$7)=0,"",COUNTIFS(JournalActions[Joueur],$B27,JournalActions[Action],$M$6,JournalActions[Mi-temps],N$7))</f>
        <v/>
      </c>
      <c r="O27" s="56" t="str">
        <f>IF(COUNTIFS(JournalActions[Joueur],$B27,JournalActions[Action],$O$6,JournalActions[Mi-temps],O$7)=0,"",COUNTIFS(JournalActions[Joueur],$B27,JournalActions[Action],$O$6,JournalActions[Mi-temps],O$7))</f>
        <v/>
      </c>
      <c r="P27" s="57" t="str">
        <f>IF(COUNTIFS(JournalActions[Joueur],$B27,JournalActions[Action],$O$6,JournalActions[Mi-temps],P$7)=0,"",COUNTIFS(JournalActions[Joueur],$B27,JournalActions[Action],$O$6,JournalActions[Mi-temps],P$7))</f>
        <v/>
      </c>
      <c r="Q27" s="56" t="str">
        <f>IF(COUNTIFS(JournalActions[Joueur],$B27,JournalActions[Action],$Q$6,JournalActions[Mi-temps],Q$7)=0,"",COUNTIFS(JournalActions[Joueur],$B27,JournalActions[Action],$Q$6,JournalActions[Mi-temps],Q$7))</f>
        <v/>
      </c>
      <c r="R27" s="57" t="str">
        <f>IF(COUNTIFS(JournalActions[Joueur],$B27,JournalActions[Action],$Q$6,JournalActions[Mi-temps],R$7)=0,"",COUNTIFS(JournalActions[Joueur],$B27,JournalActions[Action],$Q$6,JournalActions[Mi-temps],R$7))</f>
        <v/>
      </c>
      <c r="S27" s="56" t="str">
        <f>IF(COUNTIFS(JournalActions[Joueur],$B27,JournalActions[Action],$S$6,JournalActions[Mi-temps],S$7)=0,"",COUNTIFS(JournalActions[Joueur],$B27,JournalActions[Action],$S$6,JournalActions[Mi-temps],S$7))</f>
        <v/>
      </c>
      <c r="T27" s="57" t="str">
        <f>IF(COUNTIFS(JournalActions[Joueur],$B27,JournalActions[Action],$S$6,JournalActions[Mi-temps],T$7)=0,"",COUNTIFS(JournalActions[Joueur],$B27,JournalActions[Action],$S$6,JournalActions[Mi-temps],T$7))</f>
        <v/>
      </c>
      <c r="U27" s="96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96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96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96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96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96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56"/>
      <c r="C28" s="56" t="str">
        <f>IF(COUNTIFS(JournalActions[Joueur],$B28,JournalActions[Action],$C$6,JournalActions[Mi-temps],C$7)=0,"",COUNTIFS(JournalActions[Joueur],$B28,JournalActions[Action],$C$6,JournalActions[Mi-temps],C$7))</f>
        <v/>
      </c>
      <c r="D28" s="57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56" t="str">
        <f>IF(COUNTIFS(JournalActions[Joueur],$B28,JournalActions[Action],$G$6,JournalActions[Mi-temps],G$7)=0,"",COUNTIFS(JournalActions[Joueur],$B28,JournalActions[Action],$G$6,JournalActions[Mi-temps],G$7))</f>
        <v/>
      </c>
      <c r="H28" s="57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56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56" t="str">
        <f>IF(COUNTIFS(JournalActions[Joueur],$B28,JournalActions[Action],$M$6,JournalActions[Mi-temps],M$7)=0,"",COUNTIFS(JournalActions[Joueur],$B28,JournalActions[Action],$M$6,JournalActions[Mi-temps],M$7))</f>
        <v/>
      </c>
      <c r="N28" s="57" t="str">
        <f>IF(COUNTIFS(JournalActions[Joueur],$B28,JournalActions[Action],$M$6,JournalActions[Mi-temps],N$7)=0,"",COUNTIFS(JournalActions[Joueur],$B28,JournalActions[Action],$M$6,JournalActions[Mi-temps],N$7))</f>
        <v/>
      </c>
      <c r="O28" s="56" t="str">
        <f>IF(COUNTIFS(JournalActions[Joueur],$B28,JournalActions[Action],$O$6,JournalActions[Mi-temps],O$7)=0,"",COUNTIFS(JournalActions[Joueur],$B28,JournalActions[Action],$O$6,JournalActions[Mi-temps],O$7))</f>
        <v/>
      </c>
      <c r="P28" s="57" t="str">
        <f>IF(COUNTIFS(JournalActions[Joueur],$B28,JournalActions[Action],$O$6,JournalActions[Mi-temps],P$7)=0,"",COUNTIFS(JournalActions[Joueur],$B28,JournalActions[Action],$O$6,JournalActions[Mi-temps],P$7))</f>
        <v/>
      </c>
      <c r="Q28" s="56" t="str">
        <f>IF(COUNTIFS(JournalActions[Joueur],$B28,JournalActions[Action],$Q$6,JournalActions[Mi-temps],Q$7)=0,"",COUNTIFS(JournalActions[Joueur],$B28,JournalActions[Action],$Q$6,JournalActions[Mi-temps],Q$7))</f>
        <v/>
      </c>
      <c r="R28" s="57" t="str">
        <f>IF(COUNTIFS(JournalActions[Joueur],$B28,JournalActions[Action],$Q$6,JournalActions[Mi-temps],R$7)=0,"",COUNTIFS(JournalActions[Joueur],$B28,JournalActions[Action],$Q$6,JournalActions[Mi-temps],R$7))</f>
        <v/>
      </c>
      <c r="S28" s="56" t="str">
        <f>IF(COUNTIFS(JournalActions[Joueur],$B28,JournalActions[Action],$S$6,JournalActions[Mi-temps],S$7)=0,"",COUNTIFS(JournalActions[Joueur],$B28,JournalActions[Action],$S$6,JournalActions[Mi-temps],S$7))</f>
        <v/>
      </c>
      <c r="T28" s="57" t="str">
        <f>IF(COUNTIFS(JournalActions[Joueur],$B28,JournalActions[Action],$S$6,JournalActions[Mi-temps],T$7)=0,"",COUNTIFS(JournalActions[Joueur],$B28,JournalActions[Action],$S$6,JournalActions[Mi-temps],T$7))</f>
        <v/>
      </c>
      <c r="U28" s="96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96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96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96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96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96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56"/>
      <c r="C29" s="56" t="str">
        <f>IF(COUNTIFS(JournalActions[Joueur],$B29,JournalActions[Action],$C$6,JournalActions[Mi-temps],C$7)=0,"",COUNTIFS(JournalActions[Joueur],$B29,JournalActions[Action],$C$6,JournalActions[Mi-temps],C$7))</f>
        <v/>
      </c>
      <c r="D29" s="57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56" t="str">
        <f>IF(COUNTIFS(JournalActions[Joueur],$B29,JournalActions[Action],$G$6,JournalActions[Mi-temps],G$7)=0,"",COUNTIFS(JournalActions[Joueur],$B29,JournalActions[Action],$G$6,JournalActions[Mi-temps],G$7))</f>
        <v/>
      </c>
      <c r="H29" s="57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56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56" t="str">
        <f>IF(COUNTIFS(JournalActions[Joueur],$B29,JournalActions[Action],$M$6,JournalActions[Mi-temps],M$7)=0,"",COUNTIFS(JournalActions[Joueur],$B29,JournalActions[Action],$M$6,JournalActions[Mi-temps],M$7))</f>
        <v/>
      </c>
      <c r="N29" s="57" t="str">
        <f>IF(COUNTIFS(JournalActions[Joueur],$B29,JournalActions[Action],$M$6,JournalActions[Mi-temps],N$7)=0,"",COUNTIFS(JournalActions[Joueur],$B29,JournalActions[Action],$M$6,JournalActions[Mi-temps],N$7))</f>
        <v/>
      </c>
      <c r="O29" s="56" t="str">
        <f>IF(COUNTIFS(JournalActions[Joueur],$B29,JournalActions[Action],$O$6,JournalActions[Mi-temps],O$7)=0,"",COUNTIFS(JournalActions[Joueur],$B29,JournalActions[Action],$O$6,JournalActions[Mi-temps],O$7))</f>
        <v/>
      </c>
      <c r="P29" s="57" t="str">
        <f>IF(COUNTIFS(JournalActions[Joueur],$B29,JournalActions[Action],$O$6,JournalActions[Mi-temps],P$7)=0,"",COUNTIFS(JournalActions[Joueur],$B29,JournalActions[Action],$O$6,JournalActions[Mi-temps],P$7))</f>
        <v/>
      </c>
      <c r="Q29" s="56" t="str">
        <f>IF(COUNTIFS(JournalActions[Joueur],$B29,JournalActions[Action],$Q$6,JournalActions[Mi-temps],Q$7)=0,"",COUNTIFS(JournalActions[Joueur],$B29,JournalActions[Action],$Q$6,JournalActions[Mi-temps],Q$7))</f>
        <v/>
      </c>
      <c r="R29" s="57" t="str">
        <f>IF(COUNTIFS(JournalActions[Joueur],$B29,JournalActions[Action],$Q$6,JournalActions[Mi-temps],R$7)=0,"",COUNTIFS(JournalActions[Joueur],$B29,JournalActions[Action],$Q$6,JournalActions[Mi-temps],R$7))</f>
        <v/>
      </c>
      <c r="S29" s="56" t="str">
        <f>IF(COUNTIFS(JournalActions[Joueur],$B29,JournalActions[Action],$S$6,JournalActions[Mi-temps],S$7)=0,"",COUNTIFS(JournalActions[Joueur],$B29,JournalActions[Action],$S$6,JournalActions[Mi-temps],S$7))</f>
        <v/>
      </c>
      <c r="T29" s="57" t="str">
        <f>IF(COUNTIFS(JournalActions[Joueur],$B29,JournalActions[Action],$S$6,JournalActions[Mi-temps],T$7)=0,"",COUNTIFS(JournalActions[Joueur],$B29,JournalActions[Action],$S$6,JournalActions[Mi-temps],T$7))</f>
        <v/>
      </c>
      <c r="U29" s="96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96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96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96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96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96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54" t="s">
        <v>92</v>
      </c>
      <c r="C30" s="56" t="str">
        <f>IF(COUNTIFS(JournalActions[Joueur],$B30,JournalActions[Action],$C$6,JournalActions[Mi-temps],C$7)=0,"",COUNTIFS(JournalActions[Joueur],$B30,JournalActions[Action],$C$6,JournalActions[Mi-temps],C$7))</f>
        <v/>
      </c>
      <c r="D30" s="57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56" t="str">
        <f>IF(COUNTIFS(JournalActions[Joueur],$B30,JournalActions[Action],$G$6,JournalActions[Mi-temps],G$7)=0,"",COUNTIFS(JournalActions[Joueur],$B30,JournalActions[Action],$G$6,JournalActions[Mi-temps],G$7))</f>
        <v/>
      </c>
      <c r="H30" s="57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56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56" t="str">
        <f>IF(COUNTIFS(JournalActions[Joueur],$B30,JournalActions[Action],$M$6,JournalActions[Mi-temps],M$7)=0,"",COUNTIFS(JournalActions[Joueur],$B30,JournalActions[Action],$M$6,JournalActions[Mi-temps],M$7))</f>
        <v/>
      </c>
      <c r="N30" s="57" t="str">
        <f>IF(COUNTIFS(JournalActions[Joueur],$B30,JournalActions[Action],$M$6,JournalActions[Mi-temps],N$7)=0,"",COUNTIFS(JournalActions[Joueur],$B30,JournalActions[Action],$M$6,JournalActions[Mi-temps],N$7))</f>
        <v/>
      </c>
      <c r="O30" s="56" t="str">
        <f>IF(COUNTIFS(JournalActions[Joueur],$B30,JournalActions[Action],$O$6,JournalActions[Mi-temps],O$7)=0,"",COUNTIFS(JournalActions[Joueur],$B30,JournalActions[Action],$O$6,JournalActions[Mi-temps],O$7))</f>
        <v/>
      </c>
      <c r="P30" s="57" t="str">
        <f>IF(COUNTIFS(JournalActions[Joueur],$B30,JournalActions[Action],$O$6,JournalActions[Mi-temps],P$7)=0,"",COUNTIFS(JournalActions[Joueur],$B30,JournalActions[Action],$O$6,JournalActions[Mi-temps],P$7))</f>
        <v/>
      </c>
      <c r="Q30" s="56" t="str">
        <f>IF(COUNTIFS(JournalActions[Joueur],$B30,JournalActions[Action],$Q$6,JournalActions[Mi-temps],Q$7)=0,"",COUNTIFS(JournalActions[Joueur],$B30,JournalActions[Action],$Q$6,JournalActions[Mi-temps],Q$7))</f>
        <v/>
      </c>
      <c r="R30" s="57" t="str">
        <f>IF(COUNTIFS(JournalActions[Joueur],$B30,JournalActions[Action],$Q$6,JournalActions[Mi-temps],R$7)=0,"",COUNTIFS(JournalActions[Joueur],$B30,JournalActions[Action],$Q$6,JournalActions[Mi-temps],R$7))</f>
        <v/>
      </c>
      <c r="S30" s="56" t="str">
        <f>IF(COUNTIFS(JournalActions[Joueur],$B30,JournalActions[Action],$S$6,JournalActions[Mi-temps],S$7)=0,"",COUNTIFS(JournalActions[Joueur],$B30,JournalActions[Action],$S$6,JournalActions[Mi-temps],S$7))</f>
        <v/>
      </c>
      <c r="T30" s="57" t="str">
        <f>IF(COUNTIFS(JournalActions[Joueur],$B30,JournalActions[Action],$S$6,JournalActions[Mi-temps],T$7)=0,"",COUNTIFS(JournalActions[Joueur],$B30,JournalActions[Action],$S$6,JournalActions[Mi-temps],T$7))</f>
        <v/>
      </c>
      <c r="U30" s="96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96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96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96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96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96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55" t="s">
        <v>82</v>
      </c>
      <c r="C31" s="60" t="str">
        <f>IF(COUNTIFS(JournalActions[Joueur],$B31,JournalActions[Action],$C$6,JournalActions[Mi-temps],C$7)=0,"",COUNTIFS(JournalActions[Joueur],$B31,JournalActions[Action],$C$6,JournalActions[Mi-temps],C$7))</f>
        <v/>
      </c>
      <c r="D31" s="59" t="str">
        <f>IF(COUNTIFS(JournalActions[Joueur],$B31,JournalActions[Action],$C$6,JournalActions[Mi-temps],D$7)=0,"",COUNTIFS(JournalActions[Joueur],$B31,JournalActions[Action],$C$6,JournalActions[Mi-temps],D$7))</f>
        <v/>
      </c>
      <c r="E31" s="58" t="str">
        <f>IF(COUNTIFS(JournalActions[Joueur],$B31,JournalActions[Action],$E$6,JournalActions[Mi-temps],E$7)=0,"",COUNTIFS(JournalActions[Joueur],$B31,JournalActions[Action],$E$6,JournalActions[Mi-temps],E$7))</f>
        <v/>
      </c>
      <c r="F31" s="58" t="str">
        <f>IF(COUNTIFS(JournalActions[Joueur],$B31,JournalActions[Action],$E$6,JournalActions[Mi-temps],F$7)=0,"",COUNTIFS(JournalActions[Joueur],$B31,JournalActions[Action],$E$6,JournalActions[Mi-temps],F$7))</f>
        <v/>
      </c>
      <c r="G31" s="60" t="str">
        <f>IF(COUNTIFS(JournalActions[Joueur],$B31,JournalActions[Action],$G$6,JournalActions[Mi-temps],G$7)=0,"",COUNTIFS(JournalActions[Joueur],$B31,JournalActions[Action],$G$6,JournalActions[Mi-temps],G$7))</f>
        <v/>
      </c>
      <c r="H31" s="59" t="str">
        <f>IF(COUNTIFS(JournalActions[Joueur],$B31,JournalActions[Action],$G$6,JournalActions[Mi-temps],H$7)=0,"",COUNTIFS(JournalActions[Joueur],$B31,JournalActions[Action],$G$6,JournalActions[Mi-temps],H$7))</f>
        <v/>
      </c>
      <c r="I31" s="58" t="str">
        <f>IF(COUNTIFS(JournalActions[Joueur],$B31,JournalActions[Action],$I$6,JournalActions[Mi-temps],I$7)=0,"",COUNTIFS(JournalActions[Joueur],$B31,JournalActions[Action],$I$6,JournalActions[Mi-temps],I$7))</f>
        <v/>
      </c>
      <c r="J31" s="58" t="str">
        <f>IF(COUNTIFS(JournalActions[Joueur],$B31,JournalActions[Action],$I$6,JournalActions[Mi-temps],J$7)=0,"",COUNTIFS(JournalActions[Joueur],$B31,JournalActions[Action],$I$6,JournalActions[Mi-temps],J$7))</f>
        <v/>
      </c>
      <c r="K31" s="60" t="str">
        <f>IF(COUNTIFS(JournalActions[Joueur],$B31,JournalActions[Action],$K$6,JournalActions[Mi-temps],K$7)=0,"",COUNTIFS(JournalActions[Joueur],$B31,JournalActions[Action],$K$6,JournalActions[Mi-temps],K$7))</f>
        <v/>
      </c>
      <c r="L31" s="58" t="str">
        <f>IF(COUNTIFS(JournalActions[Joueur],$B31,JournalActions[Action],$K$6,JournalActions[Mi-temps],L$7)=0,"",COUNTIFS(JournalActions[Joueur],$B31,JournalActions[Action],$K$6,JournalActions[Mi-temps],L$7))</f>
        <v/>
      </c>
      <c r="M31" s="60" t="str">
        <f>IF(COUNTIFS(JournalActions[Joueur],$B31,JournalActions[Action],$M$6,JournalActions[Mi-temps],M$7)=0,"",COUNTIFS(JournalActions[Joueur],$B31,JournalActions[Action],$M$6,JournalActions[Mi-temps],M$7))</f>
        <v/>
      </c>
      <c r="N31" s="59" t="str">
        <f>IF(COUNTIFS(JournalActions[Joueur],$B31,JournalActions[Action],$M$6,JournalActions[Mi-temps],N$7)=0,"",COUNTIFS(JournalActions[Joueur],$B31,JournalActions[Action],$M$6,JournalActions[Mi-temps],N$7))</f>
        <v/>
      </c>
      <c r="O31" s="60" t="str">
        <f>IF(COUNTIFS(JournalActions[Joueur],$B31,JournalActions[Action],$O$6,JournalActions[Mi-temps],O$7)=0,"",COUNTIFS(JournalActions[Joueur],$B31,JournalActions[Action],$O$6,JournalActions[Mi-temps],O$7))</f>
        <v/>
      </c>
      <c r="P31" s="59" t="str">
        <f>IF(COUNTIFS(JournalActions[Joueur],$B31,JournalActions[Action],$O$6,JournalActions[Mi-temps],P$7)=0,"",COUNTIFS(JournalActions[Joueur],$B31,JournalActions[Action],$O$6,JournalActions[Mi-temps],P$7))</f>
        <v/>
      </c>
      <c r="Q31" s="60" t="str">
        <f>IF(COUNTIFS(JournalActions[Joueur],$B31,JournalActions[Action],$Q$6,JournalActions[Mi-temps],Q$7)=0,"",COUNTIFS(JournalActions[Joueur],$B31,JournalActions[Action],$Q$6,JournalActions[Mi-temps],Q$7))</f>
        <v/>
      </c>
      <c r="R31" s="59" t="str">
        <f>IF(COUNTIFS(JournalActions[Joueur],$B31,JournalActions[Action],$Q$6,JournalActions[Mi-temps],R$7)=0,"",COUNTIFS(JournalActions[Joueur],$B31,JournalActions[Action],$Q$6,JournalActions[Mi-temps],R$7))</f>
        <v/>
      </c>
      <c r="S31" s="60" t="str">
        <f>IF(COUNTIFS(JournalActions[Joueur],$B31,JournalActions[Action],$S$6,JournalActions[Mi-temps],S$7)=0,"",COUNTIFS(JournalActions[Joueur],$B31,JournalActions[Action],$S$6,JournalActions[Mi-temps],S$7))</f>
        <v/>
      </c>
      <c r="T31" s="59" t="str">
        <f>IF(COUNTIFS(JournalActions[Joueur],$B31,JournalActions[Action],$S$6,JournalActions[Mi-temps],T$7)=0,"",COUNTIFS(JournalActions[Joueur],$B31,JournalActions[Action],$S$6,JournalActions[Mi-temps],T$7))</f>
        <v/>
      </c>
      <c r="U31" s="97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97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97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97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97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97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25" customFormat="1" ht="22" customHeight="1">
      <c r="B32" s="80" t="s">
        <v>230</v>
      </c>
      <c r="C32" s="81">
        <f>SUM(C8:C31)</f>
        <v>0</v>
      </c>
      <c r="D32" s="82">
        <f t="shared" ref="D32:Z32" si="0">SUM(D8:D31)</f>
        <v>0</v>
      </c>
      <c r="E32" s="81">
        <f t="shared" si="0"/>
        <v>0</v>
      </c>
      <c r="F32" s="82">
        <f t="shared" si="0"/>
        <v>0</v>
      </c>
      <c r="G32" s="81">
        <f t="shared" si="0"/>
        <v>0</v>
      </c>
      <c r="H32" s="82">
        <f t="shared" si="0"/>
        <v>0</v>
      </c>
      <c r="I32" s="81">
        <f t="shared" si="0"/>
        <v>0</v>
      </c>
      <c r="J32" s="82">
        <f t="shared" si="0"/>
        <v>0</v>
      </c>
      <c r="K32" s="81">
        <f t="shared" si="0"/>
        <v>0</v>
      </c>
      <c r="L32" s="82">
        <f t="shared" si="0"/>
        <v>0</v>
      </c>
      <c r="M32" s="81">
        <f t="shared" si="0"/>
        <v>0</v>
      </c>
      <c r="N32" s="82">
        <f t="shared" si="0"/>
        <v>0</v>
      </c>
      <c r="O32" s="81">
        <f t="shared" ref="O32:P32" si="1">SUM(O8:O31)</f>
        <v>0</v>
      </c>
      <c r="P32" s="82">
        <f t="shared" si="1"/>
        <v>0</v>
      </c>
      <c r="Q32" s="81">
        <f t="shared" ref="Q32:T32" si="2">SUM(Q8:Q31)</f>
        <v>0</v>
      </c>
      <c r="R32" s="82">
        <f t="shared" si="2"/>
        <v>0</v>
      </c>
      <c r="S32" s="81">
        <f t="shared" si="2"/>
        <v>0</v>
      </c>
      <c r="T32" s="82">
        <f t="shared" si="2"/>
        <v>0</v>
      </c>
      <c r="U32" s="232">
        <f t="shared" si="0"/>
        <v>0</v>
      </c>
      <c r="V32" s="232">
        <f t="shared" si="0"/>
        <v>0</v>
      </c>
      <c r="W32" s="232">
        <f t="shared" si="0"/>
        <v>0</v>
      </c>
      <c r="X32" s="232">
        <f t="shared" si="0"/>
        <v>0</v>
      </c>
      <c r="Y32" s="232">
        <f t="shared" si="0"/>
        <v>0</v>
      </c>
      <c r="Z32" s="232">
        <f t="shared" si="0"/>
        <v>0</v>
      </c>
    </row>
    <row r="33" spans="2:33" s="69" customFormat="1" ht="25" customHeight="1">
      <c r="B33" s="83" t="s">
        <v>229</v>
      </c>
      <c r="C33" s="236">
        <f>C32+D32</f>
        <v>0</v>
      </c>
      <c r="D33" s="237"/>
      <c r="E33" s="238">
        <f t="shared" ref="E33" si="3">E32+F32</f>
        <v>0</v>
      </c>
      <c r="F33" s="238"/>
      <c r="G33" s="236">
        <f t="shared" ref="G33" si="4">G32+H32</f>
        <v>0</v>
      </c>
      <c r="H33" s="237"/>
      <c r="I33" s="236">
        <f>I32+J32</f>
        <v>0</v>
      </c>
      <c r="J33" s="237"/>
      <c r="K33" s="236">
        <f t="shared" ref="K33" si="5">K32+L32</f>
        <v>0</v>
      </c>
      <c r="L33" s="237"/>
      <c r="M33" s="238">
        <f t="shared" ref="M33" si="6">M32+N32</f>
        <v>0</v>
      </c>
      <c r="N33" s="237"/>
      <c r="O33" s="238">
        <f t="shared" ref="O33" si="7">O32+P32</f>
        <v>0</v>
      </c>
      <c r="P33" s="237"/>
      <c r="Q33" s="238">
        <f t="shared" ref="Q33" si="8">Q32+R32</f>
        <v>0</v>
      </c>
      <c r="R33" s="237"/>
      <c r="S33" s="238">
        <f t="shared" ref="S33" si="9">S32+T32</f>
        <v>0</v>
      </c>
      <c r="T33" s="237"/>
      <c r="U33" s="233"/>
      <c r="V33" s="233"/>
      <c r="W33" s="233"/>
      <c r="X33" s="233"/>
      <c r="Y33" s="233"/>
      <c r="Z33" s="233"/>
    </row>
    <row r="34" spans="2:33" s="25" customFormat="1"/>
    <row r="35" spans="2:33" s="25" customFormat="1"/>
    <row r="36" spans="2:33" ht="14">
      <c r="B36" s="84" t="s">
        <v>196</v>
      </c>
      <c r="C36" s="84" t="s">
        <v>265</v>
      </c>
      <c r="D36" s="85" t="s">
        <v>195</v>
      </c>
      <c r="E36" s="25"/>
      <c r="F36" s="25"/>
      <c r="G36" s="239" t="s">
        <v>224</v>
      </c>
      <c r="H36" s="240"/>
      <c r="J36" s="239" t="s">
        <v>78</v>
      </c>
      <c r="K36" s="239" t="s">
        <v>198</v>
      </c>
      <c r="L36" s="242"/>
      <c r="M36" s="240"/>
      <c r="N36" s="240" t="s">
        <v>225</v>
      </c>
      <c r="O36" s="25"/>
      <c r="P36" s="25"/>
      <c r="Q36" s="25"/>
      <c r="R36" s="25"/>
      <c r="S36" s="25"/>
      <c r="T36" s="25"/>
      <c r="AE36"/>
      <c r="AF36"/>
      <c r="AG36"/>
    </row>
    <row r="37" spans="2:33" ht="14">
      <c r="B37" s="64" t="s">
        <v>193</v>
      </c>
      <c r="C37" s="64">
        <f>COUNTIFS(JournalActions[Action],ACT_TO_NS_G,JournalActions[Mi-temps],"MT1")</f>
        <v>0</v>
      </c>
      <c r="D37" s="65">
        <f>COUNTIFS(JournalActions[Action],ACT_TO_NS_P,JournalActions[Mi-temps],"MT1")
+COUNTIFS(JournalActions[Action],ACT_TO_NS_PAS_DROIT,JournalActions[Mi-temps],"MT1")</f>
        <v>0</v>
      </c>
      <c r="E37" s="25"/>
      <c r="F37" s="25"/>
      <c r="G37" s="64" t="s">
        <v>198</v>
      </c>
      <c r="H37" s="65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0</v>
      </c>
      <c r="I37" s="25"/>
      <c r="J37" s="241"/>
      <c r="K37" s="98" t="s">
        <v>204</v>
      </c>
      <c r="L37" s="94" t="s">
        <v>223</v>
      </c>
      <c r="M37" s="99" t="s">
        <v>82</v>
      </c>
      <c r="N37" s="243"/>
      <c r="O37" s="25"/>
      <c r="P37" s="25"/>
      <c r="Q37" s="25"/>
      <c r="R37" s="25"/>
      <c r="S37" s="25"/>
      <c r="T37" s="25"/>
      <c r="AE37"/>
      <c r="AF37"/>
      <c r="AG37"/>
    </row>
    <row r="38" spans="2:33">
      <c r="B38" s="36" t="s">
        <v>226</v>
      </c>
      <c r="C38" s="36">
        <f>COUNTIFS(JournalActions[Action],ACT_TO_ADV_PERDUE,JournalActions[Mi-temps],"MT1")</f>
        <v>0</v>
      </c>
      <c r="D38" s="37">
        <f>COUNTIFS(JournalActions[Action],ACT_TO_ADV_VOLEE,JournalActions[Mi-temps],"MT1")
+COUNTIFS(JournalActions[Action],ACT_TO_ADV_PAS_DROIT,JournalActions[Mi-temps],"MT1")</f>
        <v>0</v>
      </c>
      <c r="E38" s="25"/>
      <c r="F38" s="25"/>
      <c r="G38" s="36" t="s">
        <v>199</v>
      </c>
      <c r="H38" s="37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38" s="25"/>
      <c r="J38" s="61" t="s">
        <v>97</v>
      </c>
      <c r="K38" s="96">
        <f>COUNTIFS(JournalActions[Action],ACT_PEN_CONTRE_NOUS,JournalActions[Mi-temps],"MT1",JournalActions[Groupe fautif],"Avant*")</f>
        <v>0</v>
      </c>
      <c r="L38" s="57">
        <f>COUNTIFS(JournalActions[Action],ACT_PEN_CONTRE_NOUS,JournalActions[Mi-temps],"MT1",JournalActions[Groupe fautif],"Trois-quarts*")</f>
        <v>0</v>
      </c>
      <c r="M38" s="57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N38" s="62">
        <f>COUNTIFS(JournalActions[Action],ACT_PEN_CONTRE_ADV,JournalActions[Mi-temps],"MT1")</f>
        <v>0</v>
      </c>
      <c r="O38" s="25"/>
      <c r="P38" s="25"/>
      <c r="Q38" s="25"/>
      <c r="R38" s="25"/>
      <c r="S38" s="25"/>
      <c r="T38" s="25"/>
      <c r="AE38"/>
      <c r="AF38"/>
      <c r="AG38"/>
    </row>
    <row r="39" spans="2:33">
      <c r="B39" s="25"/>
      <c r="C39" s="25"/>
      <c r="D39" s="25"/>
      <c r="E39" s="25"/>
      <c r="F39" s="25"/>
      <c r="G39" s="25"/>
      <c r="H39" s="25"/>
      <c r="I39" s="25"/>
      <c r="J39" s="36" t="s">
        <v>94</v>
      </c>
      <c r="K39" s="90">
        <f>COUNTIFS(JournalActions[Action],ACT_PEN_CONTRE_NOUS,JournalActions[Mi-temps],"MT2",JournalActions[Groupe fautif],"Avant")</f>
        <v>0</v>
      </c>
      <c r="L39" s="37">
        <f>COUNTIFS(JournalActions[Action],ACT_PEN_CONTRE_NOUS,JournalActions[Mi-temps],"MT2",JournalActions[Groupe fautif],"Trois-quarts*")</f>
        <v>0</v>
      </c>
      <c r="M39" s="37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N39" s="37">
        <f>COUNTIFS(JournalActions[Action],ACT_PEN_CONTRE_ADV,JournalActions[Mi-temps],"MT2")</f>
        <v>0</v>
      </c>
      <c r="O39" s="25"/>
      <c r="P39" s="25"/>
      <c r="Q39" s="25"/>
      <c r="R39" s="25"/>
      <c r="S39" s="25"/>
      <c r="T39" s="25"/>
      <c r="AE39"/>
      <c r="AF39"/>
      <c r="AG39"/>
    </row>
    <row r="40" spans="2:33" ht="14">
      <c r="B40" s="84" t="s">
        <v>197</v>
      </c>
      <c r="C40" s="84" t="s">
        <v>265</v>
      </c>
      <c r="D40" s="85" t="s">
        <v>195</v>
      </c>
      <c r="E40" s="25"/>
      <c r="F40" s="25"/>
      <c r="G40" s="239" t="s">
        <v>200</v>
      </c>
      <c r="H40" s="240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</row>
    <row r="41" spans="2:33" ht="14">
      <c r="B41" s="64" t="s">
        <v>193</v>
      </c>
      <c r="C41" s="64">
        <f>COUNTIFS(JournalActions[Action],ACT_TO_NS_G,JournalActions[Mi-temps],"MT2")</f>
        <v>0</v>
      </c>
      <c r="D41" s="65">
        <f>COUNTIFS(JournalActions[Action],ACT_TO_NS_P,JournalActions[Mi-temps],"MT2")
+COUNTIFS(JournalActions[Action],ACT_TO_NS_PAS_DROIT,JournalActions[Mi-temps],"MT2")</f>
        <v>0</v>
      </c>
      <c r="E41" s="25"/>
      <c r="F41" s="25"/>
      <c r="G41" s="64" t="s">
        <v>198</v>
      </c>
      <c r="H41" s="65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0</v>
      </c>
      <c r="I41" s="25"/>
      <c r="J41" s="86" t="s">
        <v>29</v>
      </c>
      <c r="K41" s="87"/>
      <c r="L41" s="88" t="s">
        <v>198</v>
      </c>
      <c r="M41" s="76" t="s">
        <v>225</v>
      </c>
      <c r="N41" s="25"/>
      <c r="O41" s="25"/>
      <c r="P41" s="25"/>
      <c r="Q41" s="25"/>
      <c r="R41" s="25"/>
      <c r="S41" s="25"/>
      <c r="T41" s="25"/>
    </row>
    <row r="42" spans="2:33">
      <c r="B42" s="36" t="s">
        <v>226</v>
      </c>
      <c r="C42" s="36">
        <f>COUNTIFS(JournalActions[Action],ACT_TO_ADV_PERDUE,JournalActions[Mi-temps],"MT2")</f>
        <v>0</v>
      </c>
      <c r="D42" s="37">
        <f>COUNTIFS(JournalActions[Action],ACT_TO_ADV_VOLEE,JournalActions[Mi-temps],"MT2")
+COUNTIFS(JournalActions[Action],ACT_TO_ADV_PAS_DROIT,JournalActions[Mi-temps],"MT2")</f>
        <v>0</v>
      </c>
      <c r="E42" s="25"/>
      <c r="F42" s="25"/>
      <c r="G42" s="36" t="s">
        <v>199</v>
      </c>
      <c r="H42" s="37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0</v>
      </c>
      <c r="I42" s="25"/>
      <c r="J42" s="234" t="s">
        <v>31</v>
      </c>
      <c r="K42" s="235"/>
      <c r="L42" s="66">
        <f>COUNTIFS(JournalActions[Action],ACT_PEN_CONTRE_NOUS,JournalActions[Motif penalite],ACT_PEN_MAUL)</f>
        <v>0</v>
      </c>
      <c r="M42" s="66">
        <f>COUNTIFS(JournalActions[Action],ACT_PEN_CONTRE_ADV,JournalActions[Motif penalite],ACT_PEN_MAUL)</f>
        <v>0</v>
      </c>
      <c r="N42" s="25"/>
      <c r="O42" s="25"/>
      <c r="P42" s="25"/>
      <c r="Q42" s="25"/>
      <c r="R42" s="25"/>
      <c r="S42" s="25"/>
      <c r="T42" s="25"/>
    </row>
    <row r="43" spans="2:33">
      <c r="B43" s="25"/>
      <c r="C43" s="25"/>
      <c r="D43" s="25"/>
      <c r="E43" s="25"/>
      <c r="F43" s="25"/>
      <c r="G43" s="25"/>
      <c r="H43" s="25"/>
      <c r="I43" s="25"/>
      <c r="J43" s="246" t="s">
        <v>33</v>
      </c>
      <c r="K43" s="247"/>
      <c r="L43" s="38">
        <f>COUNTIFS(JournalActions[Action],ACT_PEN_CONTRE_NOUS,JournalActions[Motif penalite],ACT_PEN_RUCK)</f>
        <v>0</v>
      </c>
      <c r="M43" s="38">
        <f>COUNTIFS(JournalActions[Action],ACT_PEN_CONTRE_ADV,JournalActions[Motif penalite],ACT_PEN_RUCK)</f>
        <v>0</v>
      </c>
      <c r="N43" s="25"/>
      <c r="O43" s="25"/>
      <c r="P43" s="25"/>
      <c r="Q43" s="25"/>
      <c r="R43" s="25"/>
      <c r="S43" s="25"/>
      <c r="T43" s="25"/>
    </row>
    <row r="44" spans="2:33" ht="14">
      <c r="B44" s="84" t="s">
        <v>287</v>
      </c>
      <c r="C44" s="84" t="s">
        <v>265</v>
      </c>
      <c r="D44" s="85" t="s">
        <v>195</v>
      </c>
      <c r="E44" s="25"/>
      <c r="F44" s="25"/>
      <c r="G44" s="239" t="s">
        <v>291</v>
      </c>
      <c r="H44" s="240"/>
      <c r="I44" s="25"/>
      <c r="J44" s="234" t="s">
        <v>35</v>
      </c>
      <c r="K44" s="235"/>
      <c r="L44" s="66">
        <f>COUNTIFS(JournalActions[Action],ACT_PEN_CONTRE_NOUS,JournalActions[Motif penalite],ACT_PEN_HORS_JEU)</f>
        <v>0</v>
      </c>
      <c r="M44" s="66">
        <f>COUNTIFS(JournalActions[Action],ACT_PEN_CONTRE_ADV,JournalActions[Motif penalite],ACT_PEN_HORS_JEU)</f>
        <v>0</v>
      </c>
      <c r="N44" s="25"/>
      <c r="O44" s="25"/>
      <c r="P44" s="25"/>
      <c r="Q44" s="25"/>
      <c r="R44" s="25"/>
      <c r="S44" s="25"/>
      <c r="T44" s="25"/>
    </row>
    <row r="45" spans="2:33">
      <c r="B45" s="64" t="s">
        <v>193</v>
      </c>
      <c r="C45" s="64">
        <f>COUNTIFS(JournalActions[Action],ACT_ME_NS_G,JournalActions[Mi-temps],"MT1")</f>
        <v>0</v>
      </c>
      <c r="D45" s="65">
        <f>COUNTIFS(JournalActions[Action],ACT_ME_NS_P,JournalActions[Mi-temps],"MT1")</f>
        <v>0</v>
      </c>
      <c r="E45" s="25"/>
      <c r="F45" s="25"/>
      <c r="G45" s="64" t="s">
        <v>97</v>
      </c>
      <c r="H45" s="105">
        <v>0</v>
      </c>
      <c r="I45" s="25"/>
      <c r="J45" s="246" t="s">
        <v>37</v>
      </c>
      <c r="K45" s="247"/>
      <c r="L45" s="38">
        <f>COUNTIFS(JournalActions[Action],ACT_PEN_CONTRE_NOUS,JournalActions[Motif penalite],ACT_PEN_PL_A_2)</f>
        <v>0</v>
      </c>
      <c r="M45" s="38">
        <f>COUNTIFS(JournalActions[Action],ACT_PEN_CONTRE_ADV,JournalActions[Motif penalite],ACT_PEN_PL_A_2)</f>
        <v>0</v>
      </c>
      <c r="N45" s="25"/>
      <c r="O45" s="25"/>
      <c r="P45" s="25"/>
      <c r="Q45" s="25"/>
      <c r="R45" s="25"/>
      <c r="S45" s="25"/>
      <c r="T45" s="25"/>
    </row>
    <row r="46" spans="2:33">
      <c r="B46" s="36" t="s">
        <v>226</v>
      </c>
      <c r="C46" s="36">
        <f>COUNTIFS(JournalActions[Action],ACT_ME_ADV_P,JournalActions[Mi-temps],"MT1")</f>
        <v>0</v>
      </c>
      <c r="D46" s="37">
        <f>COUNTIFS(JournalActions[Action],ACT_ME_ADV_G,JournalActions[Mi-temps],"MT1")</f>
        <v>0</v>
      </c>
      <c r="E46" s="25"/>
      <c r="F46" s="25"/>
      <c r="G46" s="36" t="s">
        <v>94</v>
      </c>
      <c r="H46" s="106">
        <v>0</v>
      </c>
      <c r="I46" s="25"/>
      <c r="J46" s="234" t="s">
        <v>39</v>
      </c>
      <c r="K46" s="235"/>
      <c r="L46" s="66">
        <f>COUNTIFS(JournalActions[Action],ACT_PEN_CONTRE_NOUS,JournalActions[Motif penalite],ACT_PEN_PL_HAUT)</f>
        <v>0</v>
      </c>
      <c r="M46" s="66">
        <f>COUNTIFS(JournalActions[Action],ACT_PEN_CONTRE_ADV,JournalActions[Motif penalite],ACT_PEN_PL_HAUT)</f>
        <v>0</v>
      </c>
      <c r="N46" s="25"/>
      <c r="O46" s="25"/>
      <c r="P46" s="25"/>
      <c r="Q46" s="25"/>
      <c r="R46" s="25"/>
      <c r="S46" s="25"/>
      <c r="T46" s="25"/>
    </row>
    <row r="47" spans="2:33">
      <c r="B47" s="25"/>
      <c r="C47" s="25"/>
      <c r="D47" s="25"/>
      <c r="E47" s="25"/>
      <c r="F47" s="25"/>
      <c r="G47" s="107" t="s">
        <v>292</v>
      </c>
      <c r="H47" s="108">
        <v>0</v>
      </c>
      <c r="I47" s="25"/>
      <c r="J47" s="246" t="s">
        <v>220</v>
      </c>
      <c r="K47" s="247"/>
      <c r="L47" s="38">
        <f>COUNTIFS(JournalActions[Action],ACT_PEN_CONTRE_NOUS,JournalActions[Motif penalite],"~?")</f>
        <v>0</v>
      </c>
      <c r="M47" s="38">
        <f>COUNTIFS(JournalActions[Action],ACT_PEN_CONTRE_ADV,JournalActions[Motif penalite],"~?")</f>
        <v>0</v>
      </c>
      <c r="N47" s="25"/>
      <c r="O47" s="25"/>
      <c r="P47" s="25"/>
      <c r="Q47" s="25"/>
      <c r="R47" s="25"/>
      <c r="S47" s="25"/>
      <c r="T47" s="25"/>
    </row>
    <row r="48" spans="2:33" ht="14">
      <c r="B48" s="84" t="s">
        <v>288</v>
      </c>
      <c r="C48" s="84" t="s">
        <v>265</v>
      </c>
      <c r="D48" s="85" t="s">
        <v>195</v>
      </c>
      <c r="E48" s="25"/>
      <c r="F48" s="25"/>
      <c r="G48" s="25"/>
      <c r="H48" s="25"/>
      <c r="I48" s="25"/>
      <c r="J48" s="68" t="s">
        <v>45</v>
      </c>
      <c r="K48" s="25"/>
      <c r="L48" s="25"/>
      <c r="M48" s="25"/>
      <c r="N48" s="25"/>
      <c r="O48" s="25"/>
      <c r="P48" s="25"/>
      <c r="Q48" s="25"/>
      <c r="R48" s="25"/>
      <c r="S48" s="25"/>
      <c r="T48" s="25"/>
    </row>
    <row r="49" spans="2:20">
      <c r="B49" s="64" t="s">
        <v>193</v>
      </c>
      <c r="C49" s="64">
        <f>COUNTIFS(JournalActions[Action],ACT_ME_NS_G,JournalActions[Mi-temps],"MT2")</f>
        <v>0</v>
      </c>
      <c r="D49" s="65">
        <f>COUNTIFS(JournalActions[Action],ACT_ME_NS_P,JournalActions[Mi-temps],"MT2")</f>
        <v>0</v>
      </c>
      <c r="E49" s="25"/>
      <c r="F49" s="25"/>
      <c r="G49" s="25"/>
      <c r="H49" s="25"/>
      <c r="I49" s="25"/>
      <c r="K49" s="67"/>
      <c r="L49" s="25"/>
      <c r="M49" s="25"/>
      <c r="N49" s="25"/>
      <c r="O49" s="25"/>
      <c r="P49" s="25"/>
      <c r="Q49" s="25"/>
      <c r="R49" s="25"/>
      <c r="S49" s="25"/>
      <c r="T49" s="25"/>
    </row>
    <row r="50" spans="2:20">
      <c r="B50" s="36" t="s">
        <v>226</v>
      </c>
      <c r="C50" s="36">
        <f>COUNTIFS(JournalActions[Action],ACT_ME_ADV_P,JournalActions[Mi-temps],"MT2")</f>
        <v>0</v>
      </c>
      <c r="D50" s="37">
        <f>COUNTIFS(JournalActions[Action],ACT_ME_ADV_G,JournalActions[Mi-temps],"MT2")</f>
        <v>0</v>
      </c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</row>
    <row r="51" spans="2:20"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</row>
    <row r="52" spans="2:20" s="25" customFormat="1"/>
    <row r="53" spans="2:20" s="25" customFormat="1"/>
    <row r="54" spans="2:20" s="25" customFormat="1"/>
    <row r="55" spans="2:20" s="25" customFormat="1" ht="14" thickBot="1"/>
    <row r="56" spans="2:20" s="25" customFormat="1">
      <c r="B56" s="248" t="s">
        <v>289</v>
      </c>
      <c r="C56" s="249"/>
      <c r="D56" s="249"/>
      <c r="E56" s="249"/>
      <c r="F56" s="249"/>
      <c r="G56" s="249"/>
      <c r="H56" s="249"/>
      <c r="I56" s="249"/>
      <c r="J56" s="249"/>
      <c r="K56" s="250"/>
    </row>
    <row r="57" spans="2:20" s="25" customFormat="1">
      <c r="B57" s="251"/>
      <c r="C57" s="252"/>
      <c r="D57" s="252"/>
      <c r="E57" s="252"/>
      <c r="F57" s="252"/>
      <c r="G57" s="252"/>
      <c r="H57" s="252"/>
      <c r="I57" s="252"/>
      <c r="J57" s="252"/>
      <c r="K57" s="253"/>
    </row>
    <row r="58" spans="2:20" s="25" customFormat="1" ht="14" thickBot="1">
      <c r="B58" s="254"/>
      <c r="C58" s="255"/>
      <c r="D58" s="255"/>
      <c r="E58" s="255"/>
      <c r="F58" s="255"/>
      <c r="G58" s="255"/>
      <c r="H58" s="255"/>
      <c r="I58" s="255"/>
      <c r="J58" s="255"/>
      <c r="K58" s="256"/>
    </row>
    <row r="59" spans="2:20" s="25" customFormat="1"/>
    <row r="60" spans="2:20" s="25" customFormat="1" ht="14">
      <c r="B60" s="257" t="s">
        <v>64</v>
      </c>
      <c r="C60" s="239" t="str">
        <f>ACT_TO_NS_G</f>
        <v>Touche à nous conservée</v>
      </c>
      <c r="D60" s="240"/>
      <c r="E60" s="239" t="str">
        <f>ACT_TO_ADV_VOLEE</f>
        <v>Touche à eux volée</v>
      </c>
      <c r="F60" s="240"/>
      <c r="H60" s="259" t="str">
        <f>ACT_TO_NS_P</f>
        <v>Touche à nous perdue</v>
      </c>
      <c r="I60" s="260"/>
      <c r="J60" s="259" t="str">
        <f>ACT_TO_NS_PAS_DROIT</f>
        <v>Touche à nous pas droite</v>
      </c>
      <c r="K60" s="260"/>
    </row>
    <row r="61" spans="2:20" s="25" customFormat="1" ht="14">
      <c r="B61" s="258"/>
      <c r="C61" s="98" t="s">
        <v>97</v>
      </c>
      <c r="D61" s="99" t="s">
        <v>94</v>
      </c>
      <c r="E61" s="98" t="s">
        <v>97</v>
      </c>
      <c r="F61" s="99" t="s">
        <v>94</v>
      </c>
      <c r="H61" s="100" t="s">
        <v>97</v>
      </c>
      <c r="I61" s="101" t="s">
        <v>94</v>
      </c>
      <c r="J61" s="100" t="s">
        <v>97</v>
      </c>
      <c r="K61" s="101" t="s">
        <v>94</v>
      </c>
    </row>
    <row r="62" spans="2:20" s="25" customFormat="1">
      <c r="B62" s="56" t="e" cm="1" vm="1">
        <f t="array" ref="B62">_xlfn._xlws.SORT(_xlfn._xlws.FILTER(COMPO[Nom du joueur],(COMPO[Nom du joueur]&lt;&gt;"")*(COMPO[Nom du joueur]&lt;&gt;"Collectif")*(COMPO[Nom du joueur]&lt;&gt;"?")))</f>
        <v>#VALUE!</v>
      </c>
      <c r="C62" s="56" t="str">
        <f>IF(COUNTIFS(JournalActions[Joueur],$B62,JournalActions[Action],$C$60,JournalActions[Mi-temps],C$61)=0,"",COUNTIFS(JournalActions[Joueur],$B62,JournalActions[Action],$C$60,JournalActions[Mi-temps],C$61))</f>
        <v/>
      </c>
      <c r="D62" s="57" t="str">
        <f>IF(COUNTIFS(JournalActions[Joueur],$B62,JournalActions[Action],$C$60,JournalActions[Mi-temps],D$61)=0,"",COUNTIFS(JournalActions[Joueur],$B62,JournalActions[Action],$C$60,JournalActions[Mi-temps],D$61))</f>
        <v/>
      </c>
      <c r="E62" s="56" t="str">
        <f>IF(COUNTIFS(JournalActions[Joueur],$B62,JournalActions[Action],$E$60,JournalActions[Mi-temps],E$61)=0,"",COUNTIFS(JournalActions[Joueur],$B62,JournalActions[Action],$E$60,JournalActions[Mi-temps],E$61))</f>
        <v/>
      </c>
      <c r="F62" s="57" t="str">
        <f>IF(COUNTIFS(JournalActions[Joueur],$B62,JournalActions[Action],$E$60,JournalActions[Mi-temps],F$61)=0,"",COUNTIFS(JournalActions[Joueur],$B62,JournalActions[Action],$E$60,JournalActions[Mi-temps],F$61))</f>
        <v/>
      </c>
      <c r="H62" s="56" t="str">
        <f>IF(COUNTIFS(JournalActions[Joueur],$B62,JournalActions[Action],$H$60,JournalActions[Mi-temps],H$61)=0,"",COUNTIFS(JournalActions[Joueur],$B62,JournalActions[Action],$H$60,JournalActions[Mi-temps],H$61))</f>
        <v/>
      </c>
      <c r="I62" s="57" t="str">
        <f>IF(COUNTIFS(JournalActions[Joueur],$B62,JournalActions[Action],$H$60,JournalActions[Mi-temps],I$61)=0,"",COUNTIFS(JournalActions[Joueur],$B62,JournalActions[Action],$H$60,JournalActions[Mi-temps],I$61))</f>
        <v/>
      </c>
      <c r="J62" s="56" t="str">
        <f>IF(COUNTIFS(JournalActions[Joueur],$B62,JournalActions[Action],$J$60,JournalActions[Mi-temps],J$61)=0,"",COUNTIFS(JournalActions[Joueur],$B62,JournalActions[Action],$J$60,JournalActions[Mi-temps],J$61))</f>
        <v/>
      </c>
      <c r="K62" s="57" t="str">
        <f>IF(COUNTIFS(JournalActions[Joueur],$B62,JournalActions[Action],$J$60,JournalActions[Mi-temps],K$61)=0,"",COUNTIFS(JournalActions[Joueur],$B62,JournalActions[Action],$J$60,JournalActions[Mi-temps],K$61))</f>
        <v/>
      </c>
    </row>
    <row r="63" spans="2:20" s="25" customFormat="1">
      <c r="B63" s="56"/>
      <c r="C63" s="56" t="str">
        <f>IF(COUNTIFS(JournalActions[Joueur],$B63,JournalActions[Action],$C$60,JournalActions[Mi-temps],C$61)=0,"",COUNTIFS(JournalActions[Joueur],$B63,JournalActions[Action],$C$60,JournalActions[Mi-temps],C$61))</f>
        <v/>
      </c>
      <c r="D63" s="57" t="str">
        <f>IF(COUNTIFS(JournalActions[Joueur],$B63,JournalActions[Action],$C$60,JournalActions[Mi-temps],D$61)=0,"",COUNTIFS(JournalActions[Joueur],$B63,JournalActions[Action],$C$60,JournalActions[Mi-temps],D$61))</f>
        <v/>
      </c>
      <c r="E63" s="56" t="str">
        <f>IF(COUNTIFS(JournalActions[Joueur],$B63,JournalActions[Action],$E$60,JournalActions[Mi-temps],E$61)=0,"",COUNTIFS(JournalActions[Joueur],$B63,JournalActions[Action],$E$60,JournalActions[Mi-temps],E$61))</f>
        <v/>
      </c>
      <c r="F63" s="57" t="str">
        <f>IF(COUNTIFS(JournalActions[Joueur],$B63,JournalActions[Action],$E$60,JournalActions[Mi-temps],F$61)=0,"",COUNTIFS(JournalActions[Joueur],$B63,JournalActions[Action],$E$60,JournalActions[Mi-temps],F$61))</f>
        <v/>
      </c>
      <c r="H63" s="56" t="str">
        <f>IF(COUNTIFS(JournalActions[Joueur],$B63,JournalActions[Action],$H$60,JournalActions[Mi-temps],H$61)=0,"",COUNTIFS(JournalActions[Joueur],$B63,JournalActions[Action],$H$60,JournalActions[Mi-temps],H$61))</f>
        <v/>
      </c>
      <c r="I63" s="57" t="str">
        <f>IF(COUNTIFS(JournalActions[Joueur],$B63,JournalActions[Action],$H$60,JournalActions[Mi-temps],I$61)=0,"",COUNTIFS(JournalActions[Joueur],$B63,JournalActions[Action],$H$60,JournalActions[Mi-temps],I$61))</f>
        <v/>
      </c>
      <c r="J63" s="56" t="str">
        <f>IF(COUNTIFS(JournalActions[Joueur],$B63,JournalActions[Action],$J$60,JournalActions[Mi-temps],J$61)=0,"",COUNTIFS(JournalActions[Joueur],$B63,JournalActions[Action],$J$60,JournalActions[Mi-temps],J$61))</f>
        <v/>
      </c>
      <c r="K63" s="57" t="str">
        <f>IF(COUNTIFS(JournalActions[Joueur],$B63,JournalActions[Action],$J$60,JournalActions[Mi-temps],K$61)=0,"",COUNTIFS(JournalActions[Joueur],$B63,JournalActions[Action],$J$60,JournalActions[Mi-temps],K$61))</f>
        <v/>
      </c>
    </row>
    <row r="64" spans="2:20" s="25" customFormat="1">
      <c r="B64" s="56"/>
      <c r="C64" s="56" t="str">
        <f>IF(COUNTIFS(JournalActions[Joueur],$B64,JournalActions[Action],$C$60,JournalActions[Mi-temps],C$61)=0,"",COUNTIFS(JournalActions[Joueur],$B64,JournalActions[Action],$C$60,JournalActions[Mi-temps],C$61))</f>
        <v/>
      </c>
      <c r="D64" s="57" t="str">
        <f>IF(COUNTIFS(JournalActions[Joueur],$B64,JournalActions[Action],$C$60,JournalActions[Mi-temps],D$61)=0,"",COUNTIFS(JournalActions[Joueur],$B64,JournalActions[Action],$C$60,JournalActions[Mi-temps],D$61))</f>
        <v/>
      </c>
      <c r="E64" s="56" t="str">
        <f>IF(COUNTIFS(JournalActions[Joueur],$B64,JournalActions[Action],$E$60,JournalActions[Mi-temps],E$61)=0,"",COUNTIFS(JournalActions[Joueur],$B64,JournalActions[Action],$E$60,JournalActions[Mi-temps],E$61))</f>
        <v/>
      </c>
      <c r="F64" s="57" t="str">
        <f>IF(COUNTIFS(JournalActions[Joueur],$B64,JournalActions[Action],$E$60,JournalActions[Mi-temps],F$61)=0,"",COUNTIFS(JournalActions[Joueur],$B64,JournalActions[Action],$E$60,JournalActions[Mi-temps],F$61))</f>
        <v/>
      </c>
      <c r="H64" s="56" t="str">
        <f>IF(COUNTIFS(JournalActions[Joueur],$B64,JournalActions[Action],$H$60,JournalActions[Mi-temps],H$61)=0,"",COUNTIFS(JournalActions[Joueur],$B64,JournalActions[Action],$H$60,JournalActions[Mi-temps],H$61))</f>
        <v/>
      </c>
      <c r="I64" s="57" t="str">
        <f>IF(COUNTIFS(JournalActions[Joueur],$B64,JournalActions[Action],$H$60,JournalActions[Mi-temps],I$61)=0,"",COUNTIFS(JournalActions[Joueur],$B64,JournalActions[Action],$H$60,JournalActions[Mi-temps],I$61))</f>
        <v/>
      </c>
      <c r="J64" s="56" t="str">
        <f>IF(COUNTIFS(JournalActions[Joueur],$B64,JournalActions[Action],$J$60,JournalActions[Mi-temps],J$61)=0,"",COUNTIFS(JournalActions[Joueur],$B64,JournalActions[Action],$J$60,JournalActions[Mi-temps],J$61))</f>
        <v/>
      </c>
      <c r="K64" s="57" t="str">
        <f>IF(COUNTIFS(JournalActions[Joueur],$B64,JournalActions[Action],$J$60,JournalActions[Mi-temps],K$61)=0,"",COUNTIFS(JournalActions[Joueur],$B64,JournalActions[Action],$J$60,JournalActions[Mi-temps],K$61))</f>
        <v/>
      </c>
    </row>
    <row r="65" spans="2:11" s="25" customFormat="1">
      <c r="B65" s="56"/>
      <c r="C65" s="56" t="str">
        <f>IF(COUNTIFS(JournalActions[Joueur],$B65,JournalActions[Action],$C$60,JournalActions[Mi-temps],C$61)=0,"",COUNTIFS(JournalActions[Joueur],$B65,JournalActions[Action],$C$60,JournalActions[Mi-temps],C$61))</f>
        <v/>
      </c>
      <c r="D65" s="57" t="str">
        <f>IF(COUNTIFS(JournalActions[Joueur],$B65,JournalActions[Action],$C$60,JournalActions[Mi-temps],D$61)=0,"",COUNTIFS(JournalActions[Joueur],$B65,JournalActions[Action],$C$60,JournalActions[Mi-temps],D$61))</f>
        <v/>
      </c>
      <c r="E65" s="56" t="str">
        <f>IF(COUNTIFS(JournalActions[Joueur],$B65,JournalActions[Action],$E$60,JournalActions[Mi-temps],E$61)=0,"",COUNTIFS(JournalActions[Joueur],$B65,JournalActions[Action],$E$60,JournalActions[Mi-temps],E$61))</f>
        <v/>
      </c>
      <c r="F65" s="57" t="str">
        <f>IF(COUNTIFS(JournalActions[Joueur],$B65,JournalActions[Action],$E$60,JournalActions[Mi-temps],F$61)=0,"",COUNTIFS(JournalActions[Joueur],$B65,JournalActions[Action],$E$60,JournalActions[Mi-temps],F$61))</f>
        <v/>
      </c>
      <c r="H65" s="56" t="str">
        <f>IF(COUNTIFS(JournalActions[Joueur],$B65,JournalActions[Action],$H$60,JournalActions[Mi-temps],H$61)=0,"",COUNTIFS(JournalActions[Joueur],$B65,JournalActions[Action],$H$60,JournalActions[Mi-temps],H$61))</f>
        <v/>
      </c>
      <c r="I65" s="57" t="str">
        <f>IF(COUNTIFS(JournalActions[Joueur],$B65,JournalActions[Action],$H$60,JournalActions[Mi-temps],I$61)=0,"",COUNTIFS(JournalActions[Joueur],$B65,JournalActions[Action],$H$60,JournalActions[Mi-temps],I$61))</f>
        <v/>
      </c>
      <c r="J65" s="56" t="str">
        <f>IF(COUNTIFS(JournalActions[Joueur],$B65,JournalActions[Action],$J$60,JournalActions[Mi-temps],J$61)=0,"",COUNTIFS(JournalActions[Joueur],$B65,JournalActions[Action],$J$60,JournalActions[Mi-temps],J$61))</f>
        <v/>
      </c>
      <c r="K65" s="57" t="str">
        <f>IF(COUNTIFS(JournalActions[Joueur],$B65,JournalActions[Action],$J$60,JournalActions[Mi-temps],K$61)=0,"",COUNTIFS(JournalActions[Joueur],$B65,JournalActions[Action],$J$60,JournalActions[Mi-temps],K$61))</f>
        <v/>
      </c>
    </row>
    <row r="66" spans="2:11" s="25" customFormat="1">
      <c r="B66" s="56"/>
      <c r="C66" s="56" t="str">
        <f>IF(COUNTIFS(JournalActions[Joueur],$B66,JournalActions[Action],$C$60,JournalActions[Mi-temps],C$61)=0,"",COUNTIFS(JournalActions[Joueur],$B66,JournalActions[Action],$C$60,JournalActions[Mi-temps],C$61))</f>
        <v/>
      </c>
      <c r="D66" s="57" t="str">
        <f>IF(COUNTIFS(JournalActions[Joueur],$B66,JournalActions[Action],$C$60,JournalActions[Mi-temps],D$61)=0,"",COUNTIFS(JournalActions[Joueur],$B66,JournalActions[Action],$C$60,JournalActions[Mi-temps],D$61))</f>
        <v/>
      </c>
      <c r="E66" s="56" t="str">
        <f>IF(COUNTIFS(JournalActions[Joueur],$B66,JournalActions[Action],$E$60,JournalActions[Mi-temps],E$61)=0,"",COUNTIFS(JournalActions[Joueur],$B66,JournalActions[Action],$E$60,JournalActions[Mi-temps],E$61))</f>
        <v/>
      </c>
      <c r="F66" s="57" t="str">
        <f>IF(COUNTIFS(JournalActions[Joueur],$B66,JournalActions[Action],$E$60,JournalActions[Mi-temps],F$61)=0,"",COUNTIFS(JournalActions[Joueur],$B66,JournalActions[Action],$E$60,JournalActions[Mi-temps],F$61))</f>
        <v/>
      </c>
      <c r="H66" s="56" t="str">
        <f>IF(COUNTIFS(JournalActions[Joueur],$B66,JournalActions[Action],$H$60,JournalActions[Mi-temps],H$61)=0,"",COUNTIFS(JournalActions[Joueur],$B66,JournalActions[Action],$H$60,JournalActions[Mi-temps],H$61))</f>
        <v/>
      </c>
      <c r="I66" s="57" t="str">
        <f>IF(COUNTIFS(JournalActions[Joueur],$B66,JournalActions[Action],$H$60,JournalActions[Mi-temps],I$61)=0,"",COUNTIFS(JournalActions[Joueur],$B66,JournalActions[Action],$H$60,JournalActions[Mi-temps],I$61))</f>
        <v/>
      </c>
      <c r="J66" s="56" t="str">
        <f>IF(COUNTIFS(JournalActions[Joueur],$B66,JournalActions[Action],$J$60,JournalActions[Mi-temps],J$61)=0,"",COUNTIFS(JournalActions[Joueur],$B66,JournalActions[Action],$J$60,JournalActions[Mi-temps],J$61))</f>
        <v/>
      </c>
      <c r="K66" s="57" t="str">
        <f>IF(COUNTIFS(JournalActions[Joueur],$B66,JournalActions[Action],$J$60,JournalActions[Mi-temps],K$61)=0,"",COUNTIFS(JournalActions[Joueur],$B66,JournalActions[Action],$J$60,JournalActions[Mi-temps],K$61))</f>
        <v/>
      </c>
    </row>
    <row r="67" spans="2:11" s="25" customFormat="1">
      <c r="B67" s="56"/>
      <c r="C67" s="56" t="str">
        <f>IF(COUNTIFS(JournalActions[Joueur],$B67,JournalActions[Action],$C$60,JournalActions[Mi-temps],C$61)=0,"",COUNTIFS(JournalActions[Joueur],$B67,JournalActions[Action],$C$60,JournalActions[Mi-temps],C$61))</f>
        <v/>
      </c>
      <c r="D67" s="57" t="str">
        <f>IF(COUNTIFS(JournalActions[Joueur],$B67,JournalActions[Action],$C$60,JournalActions[Mi-temps],D$61)=0,"",COUNTIFS(JournalActions[Joueur],$B67,JournalActions[Action],$C$60,JournalActions[Mi-temps],D$61))</f>
        <v/>
      </c>
      <c r="E67" s="56" t="str">
        <f>IF(COUNTIFS(JournalActions[Joueur],$B67,JournalActions[Action],$E$60,JournalActions[Mi-temps],E$61)=0,"",COUNTIFS(JournalActions[Joueur],$B67,JournalActions[Action],$E$60,JournalActions[Mi-temps],E$61))</f>
        <v/>
      </c>
      <c r="F67" s="57" t="str">
        <f>IF(COUNTIFS(JournalActions[Joueur],$B67,JournalActions[Action],$E$60,JournalActions[Mi-temps],F$61)=0,"",COUNTIFS(JournalActions[Joueur],$B67,JournalActions[Action],$E$60,JournalActions[Mi-temps],F$61))</f>
        <v/>
      </c>
      <c r="H67" s="56" t="str">
        <f>IF(COUNTIFS(JournalActions[Joueur],$B67,JournalActions[Action],$H$60,JournalActions[Mi-temps],H$61)=0,"",COUNTIFS(JournalActions[Joueur],$B67,JournalActions[Action],$H$60,JournalActions[Mi-temps],H$61))</f>
        <v/>
      </c>
      <c r="I67" s="57" t="str">
        <f>IF(COUNTIFS(JournalActions[Joueur],$B67,JournalActions[Action],$H$60,JournalActions[Mi-temps],I$61)=0,"",COUNTIFS(JournalActions[Joueur],$B67,JournalActions[Action],$H$60,JournalActions[Mi-temps],I$61))</f>
        <v/>
      </c>
      <c r="J67" s="56" t="str">
        <f>IF(COUNTIFS(JournalActions[Joueur],$B67,JournalActions[Action],$J$60,JournalActions[Mi-temps],J$61)=0,"",COUNTIFS(JournalActions[Joueur],$B67,JournalActions[Action],$J$60,JournalActions[Mi-temps],J$61))</f>
        <v/>
      </c>
      <c r="K67" s="57" t="str">
        <f>IF(COUNTIFS(JournalActions[Joueur],$B67,JournalActions[Action],$J$60,JournalActions[Mi-temps],K$61)=0,"",COUNTIFS(JournalActions[Joueur],$B67,JournalActions[Action],$J$60,JournalActions[Mi-temps],K$61))</f>
        <v/>
      </c>
    </row>
    <row r="68" spans="2:11" s="25" customFormat="1">
      <c r="B68" s="56"/>
      <c r="C68" s="56" t="str">
        <f>IF(COUNTIFS(JournalActions[Joueur],$B68,JournalActions[Action],$C$60,JournalActions[Mi-temps],C$61)=0,"",COUNTIFS(JournalActions[Joueur],$B68,JournalActions[Action],$C$60,JournalActions[Mi-temps],C$61))</f>
        <v/>
      </c>
      <c r="D68" s="57" t="str">
        <f>IF(COUNTIFS(JournalActions[Joueur],$B68,JournalActions[Action],$C$60,JournalActions[Mi-temps],D$61)=0,"",COUNTIFS(JournalActions[Joueur],$B68,JournalActions[Action],$C$60,JournalActions[Mi-temps],D$61))</f>
        <v/>
      </c>
      <c r="E68" s="56" t="str">
        <f>IF(COUNTIFS(JournalActions[Joueur],$B68,JournalActions[Action],$E$60,JournalActions[Mi-temps],E$61)=0,"",COUNTIFS(JournalActions[Joueur],$B68,JournalActions[Action],$E$60,JournalActions[Mi-temps],E$61))</f>
        <v/>
      </c>
      <c r="F68" s="57" t="str">
        <f>IF(COUNTIFS(JournalActions[Joueur],$B68,JournalActions[Action],$E$60,JournalActions[Mi-temps],F$61)=0,"",COUNTIFS(JournalActions[Joueur],$B68,JournalActions[Action],$E$60,JournalActions[Mi-temps],F$61))</f>
        <v/>
      </c>
      <c r="H68" s="56" t="str">
        <f>IF(COUNTIFS(JournalActions[Joueur],$B68,JournalActions[Action],$H$60,JournalActions[Mi-temps],H$61)=0,"",COUNTIFS(JournalActions[Joueur],$B68,JournalActions[Action],$H$60,JournalActions[Mi-temps],H$61))</f>
        <v/>
      </c>
      <c r="I68" s="57" t="str">
        <f>IF(COUNTIFS(JournalActions[Joueur],$B68,JournalActions[Action],$H$60,JournalActions[Mi-temps],I$61)=0,"",COUNTIFS(JournalActions[Joueur],$B68,JournalActions[Action],$H$60,JournalActions[Mi-temps],I$61))</f>
        <v/>
      </c>
      <c r="J68" s="56" t="str">
        <f>IF(COUNTIFS(JournalActions[Joueur],$B68,JournalActions[Action],$J$60,JournalActions[Mi-temps],J$61)=0,"",COUNTIFS(JournalActions[Joueur],$B68,JournalActions[Action],$J$60,JournalActions[Mi-temps],J$61))</f>
        <v/>
      </c>
      <c r="K68" s="57" t="str">
        <f>IF(COUNTIFS(JournalActions[Joueur],$B68,JournalActions[Action],$J$60,JournalActions[Mi-temps],K$61)=0,"",COUNTIFS(JournalActions[Joueur],$B68,JournalActions[Action],$J$60,JournalActions[Mi-temps],K$61))</f>
        <v/>
      </c>
    </row>
    <row r="69" spans="2:11" s="25" customFormat="1">
      <c r="B69" s="56"/>
      <c r="C69" s="56" t="str">
        <f>IF(COUNTIFS(JournalActions[Joueur],$B69,JournalActions[Action],$C$60,JournalActions[Mi-temps],C$61)=0,"",COUNTIFS(JournalActions[Joueur],$B69,JournalActions[Action],$C$60,JournalActions[Mi-temps],C$61))</f>
        <v/>
      </c>
      <c r="D69" s="57" t="str">
        <f>IF(COUNTIFS(JournalActions[Joueur],$B69,JournalActions[Action],$C$60,JournalActions[Mi-temps],D$61)=0,"",COUNTIFS(JournalActions[Joueur],$B69,JournalActions[Action],$C$60,JournalActions[Mi-temps],D$61))</f>
        <v/>
      </c>
      <c r="E69" s="56" t="str">
        <f>IF(COUNTIFS(JournalActions[Joueur],$B69,JournalActions[Action],$E$60,JournalActions[Mi-temps],E$61)=0,"",COUNTIFS(JournalActions[Joueur],$B69,JournalActions[Action],$E$60,JournalActions[Mi-temps],E$61))</f>
        <v/>
      </c>
      <c r="F69" s="57" t="str">
        <f>IF(COUNTIFS(JournalActions[Joueur],$B69,JournalActions[Action],$E$60,JournalActions[Mi-temps],F$61)=0,"",COUNTIFS(JournalActions[Joueur],$B69,JournalActions[Action],$E$60,JournalActions[Mi-temps],F$61))</f>
        <v/>
      </c>
      <c r="H69" s="56" t="str">
        <f>IF(COUNTIFS(JournalActions[Joueur],$B69,JournalActions[Action],$H$60,JournalActions[Mi-temps],H$61)=0,"",COUNTIFS(JournalActions[Joueur],$B69,JournalActions[Action],$H$60,JournalActions[Mi-temps],H$61))</f>
        <v/>
      </c>
      <c r="I69" s="57" t="str">
        <f>IF(COUNTIFS(JournalActions[Joueur],$B69,JournalActions[Action],$H$60,JournalActions[Mi-temps],I$61)=0,"",COUNTIFS(JournalActions[Joueur],$B69,JournalActions[Action],$H$60,JournalActions[Mi-temps],I$61))</f>
        <v/>
      </c>
      <c r="J69" s="56" t="str">
        <f>IF(COUNTIFS(JournalActions[Joueur],$B69,JournalActions[Action],$J$60,JournalActions[Mi-temps],J$61)=0,"",COUNTIFS(JournalActions[Joueur],$B69,JournalActions[Action],$J$60,JournalActions[Mi-temps],J$61))</f>
        <v/>
      </c>
      <c r="K69" s="57" t="str">
        <f>IF(COUNTIFS(JournalActions[Joueur],$B69,JournalActions[Action],$J$60,JournalActions[Mi-temps],K$61)=0,"",COUNTIFS(JournalActions[Joueur],$B69,JournalActions[Action],$J$60,JournalActions[Mi-temps],K$61))</f>
        <v/>
      </c>
    </row>
    <row r="70" spans="2:11" s="25" customFormat="1">
      <c r="B70" s="56"/>
      <c r="C70" s="56" t="str">
        <f>IF(COUNTIFS(JournalActions[Joueur],$B70,JournalActions[Action],$C$60,JournalActions[Mi-temps],C$61)=0,"",COUNTIFS(JournalActions[Joueur],$B70,JournalActions[Action],$C$60,JournalActions[Mi-temps],C$61))</f>
        <v/>
      </c>
      <c r="D70" s="57" t="str">
        <f>IF(COUNTIFS(JournalActions[Joueur],$B70,JournalActions[Action],$C$60,JournalActions[Mi-temps],D$61)=0,"",COUNTIFS(JournalActions[Joueur],$B70,JournalActions[Action],$C$60,JournalActions[Mi-temps],D$61))</f>
        <v/>
      </c>
      <c r="E70" s="56" t="str">
        <f>IF(COUNTIFS(JournalActions[Joueur],$B70,JournalActions[Action],$E$60,JournalActions[Mi-temps],E$61)=0,"",COUNTIFS(JournalActions[Joueur],$B70,JournalActions[Action],$E$60,JournalActions[Mi-temps],E$61))</f>
        <v/>
      </c>
      <c r="F70" s="57" t="str">
        <f>IF(COUNTIFS(JournalActions[Joueur],$B70,JournalActions[Action],$E$60,JournalActions[Mi-temps],F$61)=0,"",COUNTIFS(JournalActions[Joueur],$B70,JournalActions[Action],$E$60,JournalActions[Mi-temps],F$61))</f>
        <v/>
      </c>
      <c r="H70" s="56" t="str">
        <f>IF(COUNTIFS(JournalActions[Joueur],$B70,JournalActions[Action],$H$60,JournalActions[Mi-temps],H$61)=0,"",COUNTIFS(JournalActions[Joueur],$B70,JournalActions[Action],$H$60,JournalActions[Mi-temps],H$61))</f>
        <v/>
      </c>
      <c r="I70" s="57" t="str">
        <f>IF(COUNTIFS(JournalActions[Joueur],$B70,JournalActions[Action],$H$60,JournalActions[Mi-temps],I$61)=0,"",COUNTIFS(JournalActions[Joueur],$B70,JournalActions[Action],$H$60,JournalActions[Mi-temps],I$61))</f>
        <v/>
      </c>
      <c r="J70" s="56" t="str">
        <f>IF(COUNTIFS(JournalActions[Joueur],$B70,JournalActions[Action],$J$60,JournalActions[Mi-temps],J$61)=0,"",COUNTIFS(JournalActions[Joueur],$B70,JournalActions[Action],$J$60,JournalActions[Mi-temps],J$61))</f>
        <v/>
      </c>
      <c r="K70" s="57" t="str">
        <f>IF(COUNTIFS(JournalActions[Joueur],$B70,JournalActions[Action],$J$60,JournalActions[Mi-temps],K$61)=0,"",COUNTIFS(JournalActions[Joueur],$B70,JournalActions[Action],$J$60,JournalActions[Mi-temps],K$61))</f>
        <v/>
      </c>
    </row>
    <row r="71" spans="2:11" s="25" customFormat="1">
      <c r="B71" s="56"/>
      <c r="C71" s="56" t="str">
        <f>IF(COUNTIFS(JournalActions[Joueur],$B71,JournalActions[Action],$C$60,JournalActions[Mi-temps],C$61)=0,"",COUNTIFS(JournalActions[Joueur],$B71,JournalActions[Action],$C$60,JournalActions[Mi-temps],C$61))</f>
        <v/>
      </c>
      <c r="D71" s="57" t="str">
        <f>IF(COUNTIFS(JournalActions[Joueur],$B71,JournalActions[Action],$C$60,JournalActions[Mi-temps],D$61)=0,"",COUNTIFS(JournalActions[Joueur],$B71,JournalActions[Action],$C$60,JournalActions[Mi-temps],D$61))</f>
        <v/>
      </c>
      <c r="E71" s="56" t="str">
        <f>IF(COUNTIFS(JournalActions[Joueur],$B71,JournalActions[Action],$E$60,JournalActions[Mi-temps],E$61)=0,"",COUNTIFS(JournalActions[Joueur],$B71,JournalActions[Action],$E$60,JournalActions[Mi-temps],E$61))</f>
        <v/>
      </c>
      <c r="F71" s="57" t="str">
        <f>IF(COUNTIFS(JournalActions[Joueur],$B71,JournalActions[Action],$E$60,JournalActions[Mi-temps],F$61)=0,"",COUNTIFS(JournalActions[Joueur],$B71,JournalActions[Action],$E$60,JournalActions[Mi-temps],F$61))</f>
        <v/>
      </c>
      <c r="H71" s="56" t="str">
        <f>IF(COUNTIFS(JournalActions[Joueur],$B71,JournalActions[Action],$H$60,JournalActions[Mi-temps],H$61)=0,"",COUNTIFS(JournalActions[Joueur],$B71,JournalActions[Action],$H$60,JournalActions[Mi-temps],H$61))</f>
        <v/>
      </c>
      <c r="I71" s="57" t="str">
        <f>IF(COUNTIFS(JournalActions[Joueur],$B71,JournalActions[Action],$H$60,JournalActions[Mi-temps],I$61)=0,"",COUNTIFS(JournalActions[Joueur],$B71,JournalActions[Action],$H$60,JournalActions[Mi-temps],I$61))</f>
        <v/>
      </c>
      <c r="J71" s="56" t="str">
        <f>IF(COUNTIFS(JournalActions[Joueur],$B71,JournalActions[Action],$J$60,JournalActions[Mi-temps],J$61)=0,"",COUNTIFS(JournalActions[Joueur],$B71,JournalActions[Action],$J$60,JournalActions[Mi-temps],J$61))</f>
        <v/>
      </c>
      <c r="K71" s="57" t="str">
        <f>IF(COUNTIFS(JournalActions[Joueur],$B71,JournalActions[Action],$J$60,JournalActions[Mi-temps],K$61)=0,"",COUNTIFS(JournalActions[Joueur],$B71,JournalActions[Action],$J$60,JournalActions[Mi-temps],K$61))</f>
        <v/>
      </c>
    </row>
    <row r="72" spans="2:11" s="25" customFormat="1">
      <c r="B72" s="56"/>
      <c r="C72" s="56" t="str">
        <f>IF(COUNTIFS(JournalActions[Joueur],$B72,JournalActions[Action],$C$60,JournalActions[Mi-temps],C$61)=0,"",COUNTIFS(JournalActions[Joueur],$B72,JournalActions[Action],$C$60,JournalActions[Mi-temps],C$61))</f>
        <v/>
      </c>
      <c r="D72" s="57" t="str">
        <f>IF(COUNTIFS(JournalActions[Joueur],$B72,JournalActions[Action],$C$60,JournalActions[Mi-temps],D$61)=0,"",COUNTIFS(JournalActions[Joueur],$B72,JournalActions[Action],$C$60,JournalActions[Mi-temps],D$61))</f>
        <v/>
      </c>
      <c r="E72" s="56" t="str">
        <f>IF(COUNTIFS(JournalActions[Joueur],$B72,JournalActions[Action],$E$60,JournalActions[Mi-temps],E$61)=0,"",COUNTIFS(JournalActions[Joueur],$B72,JournalActions[Action],$E$60,JournalActions[Mi-temps],E$61))</f>
        <v/>
      </c>
      <c r="F72" s="57" t="str">
        <f>IF(COUNTIFS(JournalActions[Joueur],$B72,JournalActions[Action],$E$60,JournalActions[Mi-temps],F$61)=0,"",COUNTIFS(JournalActions[Joueur],$B72,JournalActions[Action],$E$60,JournalActions[Mi-temps],F$61))</f>
        <v/>
      </c>
      <c r="H72" s="56" t="str">
        <f>IF(COUNTIFS(JournalActions[Joueur],$B72,JournalActions[Action],$H$60,JournalActions[Mi-temps],H$61)=0,"",COUNTIFS(JournalActions[Joueur],$B72,JournalActions[Action],$H$60,JournalActions[Mi-temps],H$61))</f>
        <v/>
      </c>
      <c r="I72" s="57" t="str">
        <f>IF(COUNTIFS(JournalActions[Joueur],$B72,JournalActions[Action],$H$60,JournalActions[Mi-temps],I$61)=0,"",COUNTIFS(JournalActions[Joueur],$B72,JournalActions[Action],$H$60,JournalActions[Mi-temps],I$61))</f>
        <v/>
      </c>
      <c r="J72" s="56" t="str">
        <f>IF(COUNTIFS(JournalActions[Joueur],$B72,JournalActions[Action],$J$60,JournalActions[Mi-temps],J$61)=0,"",COUNTIFS(JournalActions[Joueur],$B72,JournalActions[Action],$J$60,JournalActions[Mi-temps],J$61))</f>
        <v/>
      </c>
      <c r="K72" s="57" t="str">
        <f>IF(COUNTIFS(JournalActions[Joueur],$B72,JournalActions[Action],$J$60,JournalActions[Mi-temps],K$61)=0,"",COUNTIFS(JournalActions[Joueur],$B72,JournalActions[Action],$J$60,JournalActions[Mi-temps],K$61))</f>
        <v/>
      </c>
    </row>
    <row r="73" spans="2:11" s="25" customFormat="1">
      <c r="B73" s="56"/>
      <c r="C73" s="56" t="str">
        <f>IF(COUNTIFS(JournalActions[Joueur],$B73,JournalActions[Action],$C$60,JournalActions[Mi-temps],C$61)=0,"",COUNTIFS(JournalActions[Joueur],$B73,JournalActions[Action],$C$60,JournalActions[Mi-temps],C$61))</f>
        <v/>
      </c>
      <c r="D73" s="57" t="str">
        <f>IF(COUNTIFS(JournalActions[Joueur],$B73,JournalActions[Action],$C$60,JournalActions[Mi-temps],D$61)=0,"",COUNTIFS(JournalActions[Joueur],$B73,JournalActions[Action],$C$60,JournalActions[Mi-temps],D$61))</f>
        <v/>
      </c>
      <c r="E73" s="56" t="str">
        <f>IF(COUNTIFS(JournalActions[Joueur],$B73,JournalActions[Action],$E$60,JournalActions[Mi-temps],E$61)=0,"",COUNTIFS(JournalActions[Joueur],$B73,JournalActions[Action],$E$60,JournalActions[Mi-temps],E$61))</f>
        <v/>
      </c>
      <c r="F73" s="57" t="str">
        <f>IF(COUNTIFS(JournalActions[Joueur],$B73,JournalActions[Action],$E$60,JournalActions[Mi-temps],F$61)=0,"",COUNTIFS(JournalActions[Joueur],$B73,JournalActions[Action],$E$60,JournalActions[Mi-temps],F$61))</f>
        <v/>
      </c>
      <c r="H73" s="56" t="str">
        <f>IF(COUNTIFS(JournalActions[Joueur],$B73,JournalActions[Action],$H$60,JournalActions[Mi-temps],H$61)=0,"",COUNTIFS(JournalActions[Joueur],$B73,JournalActions[Action],$H$60,JournalActions[Mi-temps],H$61))</f>
        <v/>
      </c>
      <c r="I73" s="57" t="str">
        <f>IF(COUNTIFS(JournalActions[Joueur],$B73,JournalActions[Action],$H$60,JournalActions[Mi-temps],I$61)=0,"",COUNTIFS(JournalActions[Joueur],$B73,JournalActions[Action],$H$60,JournalActions[Mi-temps],I$61))</f>
        <v/>
      </c>
      <c r="J73" s="56" t="str">
        <f>IF(COUNTIFS(JournalActions[Joueur],$B73,JournalActions[Action],$J$60,JournalActions[Mi-temps],J$61)=0,"",COUNTIFS(JournalActions[Joueur],$B73,JournalActions[Action],$J$60,JournalActions[Mi-temps],J$61))</f>
        <v/>
      </c>
      <c r="K73" s="57" t="str">
        <f>IF(COUNTIFS(JournalActions[Joueur],$B73,JournalActions[Action],$J$60,JournalActions[Mi-temps],K$61)=0,"",COUNTIFS(JournalActions[Joueur],$B73,JournalActions[Action],$J$60,JournalActions[Mi-temps],K$61))</f>
        <v/>
      </c>
    </row>
    <row r="74" spans="2:11" s="25" customFormat="1">
      <c r="B74" s="56"/>
      <c r="C74" s="56" t="str">
        <f>IF(COUNTIFS(JournalActions[Joueur],$B74,JournalActions[Action],$C$60,JournalActions[Mi-temps],C$61)=0,"",COUNTIFS(JournalActions[Joueur],$B74,JournalActions[Action],$C$60,JournalActions[Mi-temps],C$61))</f>
        <v/>
      </c>
      <c r="D74" s="57" t="str">
        <f>IF(COUNTIFS(JournalActions[Joueur],$B74,JournalActions[Action],$C$60,JournalActions[Mi-temps],D$61)=0,"",COUNTIFS(JournalActions[Joueur],$B74,JournalActions[Action],$C$60,JournalActions[Mi-temps],D$61))</f>
        <v/>
      </c>
      <c r="E74" s="56" t="str">
        <f>IF(COUNTIFS(JournalActions[Joueur],$B74,JournalActions[Action],$E$60,JournalActions[Mi-temps],E$61)=0,"",COUNTIFS(JournalActions[Joueur],$B74,JournalActions[Action],$E$60,JournalActions[Mi-temps],E$61))</f>
        <v/>
      </c>
      <c r="F74" s="57" t="str">
        <f>IF(COUNTIFS(JournalActions[Joueur],$B74,JournalActions[Action],$E$60,JournalActions[Mi-temps],F$61)=0,"",COUNTIFS(JournalActions[Joueur],$B74,JournalActions[Action],$E$60,JournalActions[Mi-temps],F$61))</f>
        <v/>
      </c>
      <c r="H74" s="56" t="str">
        <f>IF(COUNTIFS(JournalActions[Joueur],$B74,JournalActions[Action],$H$60,JournalActions[Mi-temps],H$61)=0,"",COUNTIFS(JournalActions[Joueur],$B74,JournalActions[Action],$H$60,JournalActions[Mi-temps],H$61))</f>
        <v/>
      </c>
      <c r="I74" s="57" t="str">
        <f>IF(COUNTIFS(JournalActions[Joueur],$B74,JournalActions[Action],$H$60,JournalActions[Mi-temps],I$61)=0,"",COUNTIFS(JournalActions[Joueur],$B74,JournalActions[Action],$H$60,JournalActions[Mi-temps],I$61))</f>
        <v/>
      </c>
      <c r="J74" s="56" t="str">
        <f>IF(COUNTIFS(JournalActions[Joueur],$B74,JournalActions[Action],$J$60,JournalActions[Mi-temps],J$61)=0,"",COUNTIFS(JournalActions[Joueur],$B74,JournalActions[Action],$J$60,JournalActions[Mi-temps],J$61))</f>
        <v/>
      </c>
      <c r="K74" s="57" t="str">
        <f>IF(COUNTIFS(JournalActions[Joueur],$B74,JournalActions[Action],$J$60,JournalActions[Mi-temps],K$61)=0,"",COUNTIFS(JournalActions[Joueur],$B74,JournalActions[Action],$J$60,JournalActions[Mi-temps],K$61))</f>
        <v/>
      </c>
    </row>
    <row r="75" spans="2:11" s="25" customFormat="1">
      <c r="B75" s="56"/>
      <c r="C75" s="56" t="str">
        <f>IF(COUNTIFS(JournalActions[Joueur],$B75,JournalActions[Action],$C$60,JournalActions[Mi-temps],C$61)=0,"",COUNTIFS(JournalActions[Joueur],$B75,JournalActions[Action],$C$60,JournalActions[Mi-temps],C$61))</f>
        <v/>
      </c>
      <c r="D75" s="57" t="str">
        <f>IF(COUNTIFS(JournalActions[Joueur],$B75,JournalActions[Action],$C$60,JournalActions[Mi-temps],D$61)=0,"",COUNTIFS(JournalActions[Joueur],$B75,JournalActions[Action],$C$60,JournalActions[Mi-temps],D$61))</f>
        <v/>
      </c>
      <c r="E75" s="56" t="str">
        <f>IF(COUNTIFS(JournalActions[Joueur],$B75,JournalActions[Action],$E$60,JournalActions[Mi-temps],E$61)=0,"",COUNTIFS(JournalActions[Joueur],$B75,JournalActions[Action],$E$60,JournalActions[Mi-temps],E$61))</f>
        <v/>
      </c>
      <c r="F75" s="57" t="str">
        <f>IF(COUNTIFS(JournalActions[Joueur],$B75,JournalActions[Action],$E$60,JournalActions[Mi-temps],F$61)=0,"",COUNTIFS(JournalActions[Joueur],$B75,JournalActions[Action],$E$60,JournalActions[Mi-temps],F$61))</f>
        <v/>
      </c>
      <c r="H75" s="56" t="str">
        <f>IF(COUNTIFS(JournalActions[Joueur],$B75,JournalActions[Action],$H$60,JournalActions[Mi-temps],H$61)=0,"",COUNTIFS(JournalActions[Joueur],$B75,JournalActions[Action],$H$60,JournalActions[Mi-temps],H$61))</f>
        <v/>
      </c>
      <c r="I75" s="57" t="str">
        <f>IF(COUNTIFS(JournalActions[Joueur],$B75,JournalActions[Action],$H$60,JournalActions[Mi-temps],I$61)=0,"",COUNTIFS(JournalActions[Joueur],$B75,JournalActions[Action],$H$60,JournalActions[Mi-temps],I$61))</f>
        <v/>
      </c>
      <c r="J75" s="56" t="str">
        <f>IF(COUNTIFS(JournalActions[Joueur],$B75,JournalActions[Action],$J$60,JournalActions[Mi-temps],J$61)=0,"",COUNTIFS(JournalActions[Joueur],$B75,JournalActions[Action],$J$60,JournalActions[Mi-temps],J$61))</f>
        <v/>
      </c>
      <c r="K75" s="57" t="str">
        <f>IF(COUNTIFS(JournalActions[Joueur],$B75,JournalActions[Action],$J$60,JournalActions[Mi-temps],K$61)=0,"",COUNTIFS(JournalActions[Joueur],$B75,JournalActions[Action],$J$60,JournalActions[Mi-temps],K$61))</f>
        <v/>
      </c>
    </row>
    <row r="76" spans="2:11" s="25" customFormat="1">
      <c r="B76" s="56"/>
      <c r="C76" s="56" t="str">
        <f>IF(COUNTIFS(JournalActions[Joueur],$B76,JournalActions[Action],$C$60,JournalActions[Mi-temps],C$61)=0,"",COUNTIFS(JournalActions[Joueur],$B76,JournalActions[Action],$C$60,JournalActions[Mi-temps],C$61))</f>
        <v/>
      </c>
      <c r="D76" s="57" t="str">
        <f>IF(COUNTIFS(JournalActions[Joueur],$B76,JournalActions[Action],$C$60,JournalActions[Mi-temps],D$61)=0,"",COUNTIFS(JournalActions[Joueur],$B76,JournalActions[Action],$C$60,JournalActions[Mi-temps],D$61))</f>
        <v/>
      </c>
      <c r="E76" s="56" t="str">
        <f>IF(COUNTIFS(JournalActions[Joueur],$B76,JournalActions[Action],$E$60,JournalActions[Mi-temps],E$61)=0,"",COUNTIFS(JournalActions[Joueur],$B76,JournalActions[Action],$E$60,JournalActions[Mi-temps],E$61))</f>
        <v/>
      </c>
      <c r="F76" s="57" t="str">
        <f>IF(COUNTIFS(JournalActions[Joueur],$B76,JournalActions[Action],$E$60,JournalActions[Mi-temps],F$61)=0,"",COUNTIFS(JournalActions[Joueur],$B76,JournalActions[Action],$E$60,JournalActions[Mi-temps],F$61))</f>
        <v/>
      </c>
      <c r="H76" s="56" t="str">
        <f>IF(COUNTIFS(JournalActions[Joueur],$B76,JournalActions[Action],$H$60,JournalActions[Mi-temps],H$61)=0,"",COUNTIFS(JournalActions[Joueur],$B76,JournalActions[Action],$H$60,JournalActions[Mi-temps],H$61))</f>
        <v/>
      </c>
      <c r="I76" s="57" t="str">
        <f>IF(COUNTIFS(JournalActions[Joueur],$B76,JournalActions[Action],$H$60,JournalActions[Mi-temps],I$61)=0,"",COUNTIFS(JournalActions[Joueur],$B76,JournalActions[Action],$H$60,JournalActions[Mi-temps],I$61))</f>
        <v/>
      </c>
      <c r="J76" s="56" t="str">
        <f>IF(COUNTIFS(JournalActions[Joueur],$B76,JournalActions[Action],$J$60,JournalActions[Mi-temps],J$61)=0,"",COUNTIFS(JournalActions[Joueur],$B76,JournalActions[Action],$J$60,JournalActions[Mi-temps],J$61))</f>
        <v/>
      </c>
      <c r="K76" s="57" t="str">
        <f>IF(COUNTIFS(JournalActions[Joueur],$B76,JournalActions[Action],$J$60,JournalActions[Mi-temps],K$61)=0,"",COUNTIFS(JournalActions[Joueur],$B76,JournalActions[Action],$J$60,JournalActions[Mi-temps],K$61))</f>
        <v/>
      </c>
    </row>
    <row r="77" spans="2:11" s="25" customFormat="1">
      <c r="B77" s="56"/>
      <c r="C77" s="56" t="str">
        <f>IF(COUNTIFS(JournalActions[Joueur],$B77,JournalActions[Action],$C$60,JournalActions[Mi-temps],C$61)=0,"",COUNTIFS(JournalActions[Joueur],$B77,JournalActions[Action],$C$60,JournalActions[Mi-temps],C$61))</f>
        <v/>
      </c>
      <c r="D77" s="57" t="str">
        <f>IF(COUNTIFS(JournalActions[Joueur],$B77,JournalActions[Action],$C$60,JournalActions[Mi-temps],D$61)=0,"",COUNTIFS(JournalActions[Joueur],$B77,JournalActions[Action],$C$60,JournalActions[Mi-temps],D$61))</f>
        <v/>
      </c>
      <c r="E77" s="56" t="str">
        <f>IF(COUNTIFS(JournalActions[Joueur],$B77,JournalActions[Action],$E$60,JournalActions[Mi-temps],E$61)=0,"",COUNTIFS(JournalActions[Joueur],$B77,JournalActions[Action],$E$60,JournalActions[Mi-temps],E$61))</f>
        <v/>
      </c>
      <c r="F77" s="57" t="str">
        <f>IF(COUNTIFS(JournalActions[Joueur],$B77,JournalActions[Action],$E$60,JournalActions[Mi-temps],F$61)=0,"",COUNTIFS(JournalActions[Joueur],$B77,JournalActions[Action],$E$60,JournalActions[Mi-temps],F$61))</f>
        <v/>
      </c>
      <c r="H77" s="56" t="str">
        <f>IF(COUNTIFS(JournalActions[Joueur],$B77,JournalActions[Action],$H$60,JournalActions[Mi-temps],H$61)=0,"",COUNTIFS(JournalActions[Joueur],$B77,JournalActions[Action],$H$60,JournalActions[Mi-temps],H$61))</f>
        <v/>
      </c>
      <c r="I77" s="57" t="str">
        <f>IF(COUNTIFS(JournalActions[Joueur],$B77,JournalActions[Action],$H$60,JournalActions[Mi-temps],I$61)=0,"",COUNTIFS(JournalActions[Joueur],$B77,JournalActions[Action],$H$60,JournalActions[Mi-temps],I$61))</f>
        <v/>
      </c>
      <c r="J77" s="56" t="str">
        <f>IF(COUNTIFS(JournalActions[Joueur],$B77,JournalActions[Action],$J$60,JournalActions[Mi-temps],J$61)=0,"",COUNTIFS(JournalActions[Joueur],$B77,JournalActions[Action],$J$60,JournalActions[Mi-temps],J$61))</f>
        <v/>
      </c>
      <c r="K77" s="57" t="str">
        <f>IF(COUNTIFS(JournalActions[Joueur],$B77,JournalActions[Action],$J$60,JournalActions[Mi-temps],K$61)=0,"",COUNTIFS(JournalActions[Joueur],$B77,JournalActions[Action],$J$60,JournalActions[Mi-temps],K$61))</f>
        <v/>
      </c>
    </row>
    <row r="78" spans="2:11" s="25" customFormat="1">
      <c r="B78" s="56"/>
      <c r="C78" s="56" t="str">
        <f>IF(COUNTIFS(JournalActions[Joueur],$B78,JournalActions[Action],$C$60,JournalActions[Mi-temps],C$61)=0,"",COUNTIFS(JournalActions[Joueur],$B78,JournalActions[Action],$C$60,JournalActions[Mi-temps],C$61))</f>
        <v/>
      </c>
      <c r="D78" s="57" t="str">
        <f>IF(COUNTIFS(JournalActions[Joueur],$B78,JournalActions[Action],$C$60,JournalActions[Mi-temps],D$61)=0,"",COUNTIFS(JournalActions[Joueur],$B78,JournalActions[Action],$C$60,JournalActions[Mi-temps],D$61))</f>
        <v/>
      </c>
      <c r="E78" s="56" t="str">
        <f>IF(COUNTIFS(JournalActions[Joueur],$B78,JournalActions[Action],$E$60,JournalActions[Mi-temps],E$61)=0,"",COUNTIFS(JournalActions[Joueur],$B78,JournalActions[Action],$E$60,JournalActions[Mi-temps],E$61))</f>
        <v/>
      </c>
      <c r="F78" s="57" t="str">
        <f>IF(COUNTIFS(JournalActions[Joueur],$B78,JournalActions[Action],$E$60,JournalActions[Mi-temps],F$61)=0,"",COUNTIFS(JournalActions[Joueur],$B78,JournalActions[Action],$E$60,JournalActions[Mi-temps],F$61))</f>
        <v/>
      </c>
      <c r="H78" s="56" t="str">
        <f>IF(COUNTIFS(JournalActions[Joueur],$B78,JournalActions[Action],$H$60,JournalActions[Mi-temps],H$61)=0,"",COUNTIFS(JournalActions[Joueur],$B78,JournalActions[Action],$H$60,JournalActions[Mi-temps],H$61))</f>
        <v/>
      </c>
      <c r="I78" s="57" t="str">
        <f>IF(COUNTIFS(JournalActions[Joueur],$B78,JournalActions[Action],$H$60,JournalActions[Mi-temps],I$61)=0,"",COUNTIFS(JournalActions[Joueur],$B78,JournalActions[Action],$H$60,JournalActions[Mi-temps],I$61))</f>
        <v/>
      </c>
      <c r="J78" s="56" t="str">
        <f>IF(COUNTIFS(JournalActions[Joueur],$B78,JournalActions[Action],$J$60,JournalActions[Mi-temps],J$61)=0,"",COUNTIFS(JournalActions[Joueur],$B78,JournalActions[Action],$J$60,JournalActions[Mi-temps],J$61))</f>
        <v/>
      </c>
      <c r="K78" s="57" t="str">
        <f>IF(COUNTIFS(JournalActions[Joueur],$B78,JournalActions[Action],$J$60,JournalActions[Mi-temps],K$61)=0,"",COUNTIFS(JournalActions[Joueur],$B78,JournalActions[Action],$J$60,JournalActions[Mi-temps],K$61))</f>
        <v/>
      </c>
    </row>
    <row r="79" spans="2:11" s="25" customFormat="1">
      <c r="B79" s="56"/>
      <c r="C79" s="56" t="str">
        <f>IF(COUNTIFS(JournalActions[Joueur],$B79,JournalActions[Action],$C$60,JournalActions[Mi-temps],C$61)=0,"",COUNTIFS(JournalActions[Joueur],$B79,JournalActions[Action],$C$60,JournalActions[Mi-temps],C$61))</f>
        <v/>
      </c>
      <c r="D79" s="57" t="str">
        <f>IF(COUNTIFS(JournalActions[Joueur],$B79,JournalActions[Action],$C$60,JournalActions[Mi-temps],D$61)=0,"",COUNTIFS(JournalActions[Joueur],$B79,JournalActions[Action],$C$60,JournalActions[Mi-temps],D$61))</f>
        <v/>
      </c>
      <c r="E79" s="56" t="str">
        <f>IF(COUNTIFS(JournalActions[Joueur],$B79,JournalActions[Action],$E$60,JournalActions[Mi-temps],E$61)=0,"",COUNTIFS(JournalActions[Joueur],$B79,JournalActions[Action],$E$60,JournalActions[Mi-temps],E$61))</f>
        <v/>
      </c>
      <c r="F79" s="57" t="str">
        <f>IF(COUNTIFS(JournalActions[Joueur],$B79,JournalActions[Action],$E$60,JournalActions[Mi-temps],F$61)=0,"",COUNTIFS(JournalActions[Joueur],$B79,JournalActions[Action],$E$60,JournalActions[Mi-temps],F$61))</f>
        <v/>
      </c>
      <c r="H79" s="56" t="str">
        <f>IF(COUNTIFS(JournalActions[Joueur],$B79,JournalActions[Action],$H$60,JournalActions[Mi-temps],H$61)=0,"",COUNTIFS(JournalActions[Joueur],$B79,JournalActions[Action],$H$60,JournalActions[Mi-temps],H$61))</f>
        <v/>
      </c>
      <c r="I79" s="57" t="str">
        <f>IF(COUNTIFS(JournalActions[Joueur],$B79,JournalActions[Action],$H$60,JournalActions[Mi-temps],I$61)=0,"",COUNTIFS(JournalActions[Joueur],$B79,JournalActions[Action],$H$60,JournalActions[Mi-temps],I$61))</f>
        <v/>
      </c>
      <c r="J79" s="56" t="str">
        <f>IF(COUNTIFS(JournalActions[Joueur],$B79,JournalActions[Action],$J$60,JournalActions[Mi-temps],J$61)=0,"",COUNTIFS(JournalActions[Joueur],$B79,JournalActions[Action],$J$60,JournalActions[Mi-temps],J$61))</f>
        <v/>
      </c>
      <c r="K79" s="57" t="str">
        <f>IF(COUNTIFS(JournalActions[Joueur],$B79,JournalActions[Action],$J$60,JournalActions[Mi-temps],K$61)=0,"",COUNTIFS(JournalActions[Joueur],$B79,JournalActions[Action],$J$60,JournalActions[Mi-temps],K$61))</f>
        <v/>
      </c>
    </row>
    <row r="80" spans="2:11" s="25" customFormat="1">
      <c r="B80" s="56"/>
      <c r="C80" s="56" t="str">
        <f>IF(COUNTIFS(JournalActions[Joueur],$B80,JournalActions[Action],$C$60,JournalActions[Mi-temps],C$61)=0,"",COUNTIFS(JournalActions[Joueur],$B80,JournalActions[Action],$C$60,JournalActions[Mi-temps],C$61))</f>
        <v/>
      </c>
      <c r="D80" s="57" t="str">
        <f>IF(COUNTIFS(JournalActions[Joueur],$B80,JournalActions[Action],$C$60,JournalActions[Mi-temps],D$61)=0,"",COUNTIFS(JournalActions[Joueur],$B80,JournalActions[Action],$C$60,JournalActions[Mi-temps],D$61))</f>
        <v/>
      </c>
      <c r="E80" s="56" t="str">
        <f>IF(COUNTIFS(JournalActions[Joueur],$B80,JournalActions[Action],$E$60,JournalActions[Mi-temps],E$61)=0,"",COUNTIFS(JournalActions[Joueur],$B80,JournalActions[Action],$E$60,JournalActions[Mi-temps],E$61))</f>
        <v/>
      </c>
      <c r="F80" s="57" t="str">
        <f>IF(COUNTIFS(JournalActions[Joueur],$B80,JournalActions[Action],$E$60,JournalActions[Mi-temps],F$61)=0,"",COUNTIFS(JournalActions[Joueur],$B80,JournalActions[Action],$E$60,JournalActions[Mi-temps],F$61))</f>
        <v/>
      </c>
      <c r="H80" s="56" t="str">
        <f>IF(COUNTIFS(JournalActions[Joueur],$B80,JournalActions[Action],$H$60,JournalActions[Mi-temps],H$61)=0,"",COUNTIFS(JournalActions[Joueur],$B80,JournalActions[Action],$H$60,JournalActions[Mi-temps],H$61))</f>
        <v/>
      </c>
      <c r="I80" s="57" t="str">
        <f>IF(COUNTIFS(JournalActions[Joueur],$B80,JournalActions[Action],$H$60,JournalActions[Mi-temps],I$61)=0,"",COUNTIFS(JournalActions[Joueur],$B80,JournalActions[Action],$H$60,JournalActions[Mi-temps],I$61))</f>
        <v/>
      </c>
      <c r="J80" s="56" t="str">
        <f>IF(COUNTIFS(JournalActions[Joueur],$B80,JournalActions[Action],$J$60,JournalActions[Mi-temps],J$61)=0,"",COUNTIFS(JournalActions[Joueur],$B80,JournalActions[Action],$J$60,JournalActions[Mi-temps],J$61))</f>
        <v/>
      </c>
      <c r="K80" s="57" t="str">
        <f>IF(COUNTIFS(JournalActions[Joueur],$B80,JournalActions[Action],$J$60,JournalActions[Mi-temps],K$61)=0,"",COUNTIFS(JournalActions[Joueur],$B80,JournalActions[Action],$J$60,JournalActions[Mi-temps],K$61))</f>
        <v/>
      </c>
    </row>
    <row r="81" spans="2:11" s="25" customFormat="1">
      <c r="B81" s="56"/>
      <c r="C81" s="56" t="str">
        <f>IF(COUNTIFS(JournalActions[Joueur],$B81,JournalActions[Action],$C$60,JournalActions[Mi-temps],C$61)=0,"",COUNTIFS(JournalActions[Joueur],$B81,JournalActions[Action],$C$60,JournalActions[Mi-temps],C$61))</f>
        <v/>
      </c>
      <c r="D81" s="57" t="str">
        <f>IF(COUNTIFS(JournalActions[Joueur],$B81,JournalActions[Action],$C$60,JournalActions[Mi-temps],D$61)=0,"",COUNTIFS(JournalActions[Joueur],$B81,JournalActions[Action],$C$60,JournalActions[Mi-temps],D$61))</f>
        <v/>
      </c>
      <c r="E81" s="56" t="str">
        <f>IF(COUNTIFS(JournalActions[Joueur],$B81,JournalActions[Action],$E$60,JournalActions[Mi-temps],E$61)=0,"",COUNTIFS(JournalActions[Joueur],$B81,JournalActions[Action],$E$60,JournalActions[Mi-temps],E$61))</f>
        <v/>
      </c>
      <c r="F81" s="57" t="str">
        <f>IF(COUNTIFS(JournalActions[Joueur],$B81,JournalActions[Action],$E$60,JournalActions[Mi-temps],F$61)=0,"",COUNTIFS(JournalActions[Joueur],$B81,JournalActions[Action],$E$60,JournalActions[Mi-temps],F$61))</f>
        <v/>
      </c>
      <c r="H81" s="56" t="str">
        <f>IF(COUNTIFS(JournalActions[Joueur],$B81,JournalActions[Action],$H$60,JournalActions[Mi-temps],H$61)=0,"",COUNTIFS(JournalActions[Joueur],$B81,JournalActions[Action],$H$60,JournalActions[Mi-temps],H$61))</f>
        <v/>
      </c>
      <c r="I81" s="57" t="str">
        <f>IF(COUNTIFS(JournalActions[Joueur],$B81,JournalActions[Action],$H$60,JournalActions[Mi-temps],I$61)=0,"",COUNTIFS(JournalActions[Joueur],$B81,JournalActions[Action],$H$60,JournalActions[Mi-temps],I$61))</f>
        <v/>
      </c>
      <c r="J81" s="56" t="str">
        <f>IF(COUNTIFS(JournalActions[Joueur],$B81,JournalActions[Action],$J$60,JournalActions[Mi-temps],J$61)=0,"",COUNTIFS(JournalActions[Joueur],$B81,JournalActions[Action],$J$60,JournalActions[Mi-temps],J$61))</f>
        <v/>
      </c>
      <c r="K81" s="57" t="str">
        <f>IF(COUNTIFS(JournalActions[Joueur],$B81,JournalActions[Action],$J$60,JournalActions[Mi-temps],K$61)=0,"",COUNTIFS(JournalActions[Joueur],$B81,JournalActions[Action],$J$60,JournalActions[Mi-temps],K$61))</f>
        <v/>
      </c>
    </row>
    <row r="82" spans="2:11" s="25" customFormat="1">
      <c r="B82" s="56"/>
      <c r="C82" s="56" t="str">
        <f>IF(COUNTIFS(JournalActions[Joueur],$B82,JournalActions[Action],$C$60,JournalActions[Mi-temps],C$61)=0,"",COUNTIFS(JournalActions[Joueur],$B82,JournalActions[Action],$C$60,JournalActions[Mi-temps],C$61))</f>
        <v/>
      </c>
      <c r="D82" s="57" t="str">
        <f>IF(COUNTIFS(JournalActions[Joueur],$B82,JournalActions[Action],$C$60,JournalActions[Mi-temps],D$61)=0,"",COUNTIFS(JournalActions[Joueur],$B82,JournalActions[Action],$C$60,JournalActions[Mi-temps],D$61))</f>
        <v/>
      </c>
      <c r="E82" s="56" t="str">
        <f>IF(COUNTIFS(JournalActions[Joueur],$B82,JournalActions[Action],$E$60,JournalActions[Mi-temps],E$61)=0,"",COUNTIFS(JournalActions[Joueur],$B82,JournalActions[Action],$E$60,JournalActions[Mi-temps],E$61))</f>
        <v/>
      </c>
      <c r="F82" s="57" t="str">
        <f>IF(COUNTIFS(JournalActions[Joueur],$B82,JournalActions[Action],$E$60,JournalActions[Mi-temps],F$61)=0,"",COUNTIFS(JournalActions[Joueur],$B82,JournalActions[Action],$E$60,JournalActions[Mi-temps],F$61))</f>
        <v/>
      </c>
      <c r="H82" s="56" t="str">
        <f>IF(COUNTIFS(JournalActions[Joueur],$B82,JournalActions[Action],$H$60,JournalActions[Mi-temps],H$61)=0,"",COUNTIFS(JournalActions[Joueur],$B82,JournalActions[Action],$H$60,JournalActions[Mi-temps],H$61))</f>
        <v/>
      </c>
      <c r="I82" s="57" t="str">
        <f>IF(COUNTIFS(JournalActions[Joueur],$B82,JournalActions[Action],$H$60,JournalActions[Mi-temps],I$61)=0,"",COUNTIFS(JournalActions[Joueur],$B82,JournalActions[Action],$H$60,JournalActions[Mi-temps],I$61))</f>
        <v/>
      </c>
      <c r="J82" s="56" t="str">
        <f>IF(COUNTIFS(JournalActions[Joueur],$B82,JournalActions[Action],$J$60,JournalActions[Mi-temps],J$61)=0,"",COUNTIFS(JournalActions[Joueur],$B82,JournalActions[Action],$J$60,JournalActions[Mi-temps],J$61))</f>
        <v/>
      </c>
      <c r="K82" s="57" t="str">
        <f>IF(COUNTIFS(JournalActions[Joueur],$B82,JournalActions[Action],$J$60,JournalActions[Mi-temps],K$61)=0,"",COUNTIFS(JournalActions[Joueur],$B82,JournalActions[Action],$J$60,JournalActions[Mi-temps],K$61))</f>
        <v/>
      </c>
    </row>
    <row r="83" spans="2:11" s="25" customFormat="1">
      <c r="B83" s="56"/>
      <c r="C83" s="56" t="str">
        <f>IF(COUNTIFS(JournalActions[Joueur],$B83,JournalActions[Action],$C$60,JournalActions[Mi-temps],C$61)=0,"",COUNTIFS(JournalActions[Joueur],$B83,JournalActions[Action],$C$60,JournalActions[Mi-temps],C$61))</f>
        <v/>
      </c>
      <c r="D83" s="57" t="str">
        <f>IF(COUNTIFS(JournalActions[Joueur],$B83,JournalActions[Action],$C$60,JournalActions[Mi-temps],D$61)=0,"",COUNTIFS(JournalActions[Joueur],$B83,JournalActions[Action],$C$60,JournalActions[Mi-temps],D$61))</f>
        <v/>
      </c>
      <c r="E83" s="110" t="str">
        <f>IF(COUNTIFS(JournalActions[Joueur],$B83,JournalActions[Action],$E$60,JournalActions[Mi-temps],E$61)=0,"",COUNTIFS(JournalActions[Joueur],$B83,JournalActions[Action],$E$60,JournalActions[Mi-temps],E$61))</f>
        <v/>
      </c>
      <c r="F83" s="57" t="str">
        <f>IF(COUNTIFS(JournalActions[Joueur],$B83,JournalActions[Action],$E$60,JournalActions[Mi-temps],F$61)=0,"",COUNTIFS(JournalActions[Joueur],$B83,JournalActions[Action],$E$60,JournalActions[Mi-temps],F$61))</f>
        <v/>
      </c>
      <c r="H83" s="56" t="str">
        <f>IF(COUNTIFS(JournalActions[Joueur],$B83,JournalActions[Action],$H$60,JournalActions[Mi-temps],H$61)=0,"",COUNTIFS(JournalActions[Joueur],$B83,JournalActions[Action],$H$60,JournalActions[Mi-temps],H$61))</f>
        <v/>
      </c>
      <c r="I83" s="57" t="str">
        <f>IF(COUNTIFS(JournalActions[Joueur],$B83,JournalActions[Action],$H$60,JournalActions[Mi-temps],I$61)=0,"",COUNTIFS(JournalActions[Joueur],$B83,JournalActions[Action],$H$60,JournalActions[Mi-temps],I$61))</f>
        <v/>
      </c>
      <c r="J83" s="56" t="str">
        <f>IF(COUNTIFS(JournalActions[Joueur],$B83,JournalActions[Action],$J$60,JournalActions[Mi-temps],J$61)=0,"",COUNTIFS(JournalActions[Joueur],$B83,JournalActions[Action],$J$60,JournalActions[Mi-temps],J$61))</f>
        <v/>
      </c>
      <c r="K83" s="57" t="str">
        <f>IF(COUNTIFS(JournalActions[Joueur],$B83,JournalActions[Action],$J$60,JournalActions[Mi-temps],K$61)=0,"",COUNTIFS(JournalActions[Joueur],$B83,JournalActions[Action],$J$60,JournalActions[Mi-temps],K$61))</f>
        <v/>
      </c>
    </row>
    <row r="84" spans="2:11" s="25" customFormat="1">
      <c r="B84" s="54" t="s">
        <v>92</v>
      </c>
      <c r="C84" s="56" t="str">
        <f>IF(COUNTIFS(JournalActions[Joueur],$B84,JournalActions[Action],$C$60,JournalActions[Mi-temps],C$61)=0,"",COUNTIFS(JournalActions[Joueur],$B84,JournalActions[Action],$C$60,JournalActions[Mi-temps],C$61))</f>
        <v/>
      </c>
      <c r="D84" s="57" t="str">
        <f>IF(COUNTIFS(JournalActions[Joueur],$B84,JournalActions[Action],$C$60,JournalActions[Mi-temps],D$61)=0,"",COUNTIFS(JournalActions[Joueur],$B84,JournalActions[Action],$C$60,JournalActions[Mi-temps],D$61))</f>
        <v/>
      </c>
      <c r="E84" s="56" t="str">
        <f>IF(COUNTIFS(JournalActions[Joueur],$B84,JournalActions[Action],$E$60,JournalActions[Mi-temps],E$61)=0,"",COUNTIFS(JournalActions[Joueur],$B84,JournalActions[Action],$E$60,JournalActions[Mi-temps],E$61))</f>
        <v/>
      </c>
      <c r="F84" s="57" t="str">
        <f>IF(COUNTIFS(JournalActions[Joueur],$B84,JournalActions[Action],$E$60,JournalActions[Mi-temps],F$61)=0,"",COUNTIFS(JournalActions[Joueur],$B84,JournalActions[Action],$E$60,JournalActions[Mi-temps],F$61))</f>
        <v/>
      </c>
      <c r="H84" s="56" t="str">
        <f>IF(COUNTIFS(JournalActions[Joueur],$B84,JournalActions[Action],$H$60,JournalActions[Mi-temps],H$61)=0,"",COUNTIFS(JournalActions[Joueur],$B84,JournalActions[Action],$H$60,JournalActions[Mi-temps],H$61))</f>
        <v/>
      </c>
      <c r="I84" s="57" t="str">
        <f>IF(COUNTIFS(JournalActions[Joueur],$B84,JournalActions[Action],$H$60,JournalActions[Mi-temps],I$61)=0,"",COUNTIFS(JournalActions[Joueur],$B84,JournalActions[Action],$H$60,JournalActions[Mi-temps],I$61))</f>
        <v/>
      </c>
      <c r="J84" s="56" t="str">
        <f>IF(COUNTIFS(JournalActions[Joueur],$B84,JournalActions[Action],$J$60,JournalActions[Mi-temps],J$61)=0,"",COUNTIFS(JournalActions[Joueur],$B84,JournalActions[Action],$J$60,JournalActions[Mi-temps],J$61))</f>
        <v/>
      </c>
      <c r="K84" s="57" t="str">
        <f>IF(COUNTIFS(JournalActions[Joueur],$B84,JournalActions[Action],$J$60,JournalActions[Mi-temps],K$61)=0,"",COUNTIFS(JournalActions[Joueur],$B84,JournalActions[Action],$J$60,JournalActions[Mi-temps],K$61))</f>
        <v/>
      </c>
    </row>
    <row r="85" spans="2:11" s="25" customFormat="1">
      <c r="B85" s="55" t="s">
        <v>82</v>
      </c>
      <c r="C85" s="56" t="str">
        <f>IF(COUNTIFS(JournalActions[Joueur],$B85,JournalActions[Action],$C$60,JournalActions[Mi-temps],C$61)=0,"",COUNTIFS(JournalActions[Joueur],$B85,JournalActions[Action],$C$60,JournalActions[Mi-temps],C$61))</f>
        <v/>
      </c>
      <c r="D85" s="57" t="str">
        <f>IF(COUNTIFS(JournalActions[Joueur],$B85,JournalActions[Action],$C$60,JournalActions[Mi-temps],D$61)=0,"",COUNTIFS(JournalActions[Joueur],$B85,JournalActions[Action],$C$60,JournalActions[Mi-temps],D$61))</f>
        <v/>
      </c>
      <c r="E85" s="56" t="str">
        <f>IF(COUNTIFS(JournalActions[Joueur],$B85,JournalActions[Action],$E$60,JournalActions[Mi-temps],E$61)=0,"",COUNTIFS(JournalActions[Joueur],$B85,JournalActions[Action],$E$60,JournalActions[Mi-temps],E$61))</f>
        <v/>
      </c>
      <c r="F85" s="57" t="str">
        <f>IF(COUNTIFS(JournalActions[Joueur],$B85,JournalActions[Action],$E$60,JournalActions[Mi-temps],F$61)=0,"",COUNTIFS(JournalActions[Joueur],$B85,JournalActions[Action],$E$60,JournalActions[Mi-temps],F$61))</f>
        <v/>
      </c>
      <c r="H85" s="56" t="str">
        <f>IF(COUNTIFS(JournalActions[Joueur],$B85,JournalActions[Action],$H$60,JournalActions[Mi-temps],H$61)=0,"",COUNTIFS(JournalActions[Joueur],$B85,JournalActions[Action],$H$60,JournalActions[Mi-temps],H$61))</f>
        <v/>
      </c>
      <c r="I85" s="57" t="str">
        <f>IF(COUNTIFS(JournalActions[Joueur],$B85,JournalActions[Action],$H$60,JournalActions[Mi-temps],I$61)=0,"",COUNTIFS(JournalActions[Joueur],$B85,JournalActions[Action],$H$60,JournalActions[Mi-temps],I$61))</f>
        <v/>
      </c>
      <c r="J85" s="56" t="str">
        <f>IF(COUNTIFS(JournalActions[Joueur],$B85,JournalActions[Action],$J$60,JournalActions[Mi-temps],J$61)=0,"",COUNTIFS(JournalActions[Joueur],$B85,JournalActions[Action],$J$60,JournalActions[Mi-temps],J$61))</f>
        <v/>
      </c>
      <c r="K85" s="57" t="str">
        <f>IF(COUNTIFS(JournalActions[Joueur],$B85,JournalActions[Action],$J$60,JournalActions[Mi-temps],K$61)=0,"",COUNTIFS(JournalActions[Joueur],$B85,JournalActions[Action],$J$60,JournalActions[Mi-temps],K$61))</f>
        <v/>
      </c>
    </row>
    <row r="86" spans="2:11" s="25" customFormat="1" ht="14">
      <c r="B86" s="80" t="s">
        <v>230</v>
      </c>
      <c r="C86" s="81">
        <f>SUM(C62:C85)</f>
        <v>0</v>
      </c>
      <c r="D86" s="82">
        <f t="shared" ref="D86" si="10">SUM(D62:D85)</f>
        <v>0</v>
      </c>
      <c r="E86" s="81">
        <f>SUM(E62:E85)</f>
        <v>0</v>
      </c>
      <c r="F86" s="82">
        <f t="shared" ref="F86" si="11">SUM(F62:F85)</f>
        <v>0</v>
      </c>
      <c r="H86" s="102">
        <f>SUM(H62:H85)</f>
        <v>0</v>
      </c>
      <c r="I86" s="103">
        <f>SUM(I62:I85)</f>
        <v>0</v>
      </c>
      <c r="J86" s="102">
        <f>SUM(J62:J85)</f>
        <v>0</v>
      </c>
      <c r="K86" s="103">
        <f t="shared" ref="K86" si="12">SUM(K62:K85)</f>
        <v>0</v>
      </c>
    </row>
    <row r="87" spans="2:11" s="25" customFormat="1" ht="16">
      <c r="B87" s="83" t="s">
        <v>229</v>
      </c>
      <c r="C87" s="236">
        <f>C86+D86</f>
        <v>0</v>
      </c>
      <c r="D87" s="237"/>
      <c r="E87" s="236">
        <f>E86+F86</f>
        <v>0</v>
      </c>
      <c r="F87" s="237"/>
      <c r="H87" s="244">
        <f>H86+I86</f>
        <v>0</v>
      </c>
      <c r="I87" s="245"/>
      <c r="J87" s="244">
        <f>J86+K86</f>
        <v>0</v>
      </c>
      <c r="K87" s="245"/>
    </row>
    <row r="88" spans="2:11" s="25" customFormat="1"/>
    <row r="89" spans="2:11" s="25" customFormat="1"/>
    <row r="90" spans="2:11" s="25" customFormat="1"/>
    <row r="91" spans="2:11" s="25" customFormat="1" ht="14" thickBot="1"/>
    <row r="92" spans="2:11" s="25" customFormat="1" ht="18" thickTop="1">
      <c r="B92" s="111" t="s">
        <v>447</v>
      </c>
      <c r="C92" s="113" t="s">
        <v>98</v>
      </c>
      <c r="D92" s="114" t="s">
        <v>164</v>
      </c>
      <c r="F92" s="261" t="s">
        <v>448</v>
      </c>
      <c r="G92" s="262"/>
      <c r="H92" s="113" t="s">
        <v>97</v>
      </c>
      <c r="I92" s="113" t="s">
        <v>94</v>
      </c>
      <c r="J92" s="113" t="s">
        <v>292</v>
      </c>
    </row>
    <row r="93" spans="2:11" s="25" customFormat="1" ht="16">
      <c r="B93" s="115" t="s">
        <v>293</v>
      </c>
      <c r="C93" s="112">
        <v>0</v>
      </c>
      <c r="D93" s="116">
        <v>0</v>
      </c>
      <c r="F93" s="263" t="s">
        <v>293</v>
      </c>
      <c r="G93" s="264"/>
      <c r="H93" s="112">
        <v>0</v>
      </c>
      <c r="I93" s="112">
        <v>0</v>
      </c>
      <c r="J93" s="112">
        <v>0</v>
      </c>
    </row>
    <row r="94" spans="2:11" s="25" customFormat="1" ht="16">
      <c r="B94" s="115" t="s">
        <v>294</v>
      </c>
      <c r="C94" s="112">
        <v>0</v>
      </c>
      <c r="D94" s="116">
        <v>0</v>
      </c>
      <c r="F94" s="263" t="s">
        <v>294</v>
      </c>
      <c r="G94" s="264"/>
      <c r="H94" s="112">
        <v>0</v>
      </c>
      <c r="I94" s="112">
        <v>0</v>
      </c>
      <c r="J94" s="112">
        <v>0</v>
      </c>
    </row>
    <row r="95" spans="2:11" s="25" customFormat="1" ht="16">
      <c r="B95" s="115" t="s">
        <v>295</v>
      </c>
      <c r="C95" s="112">
        <v>0</v>
      </c>
      <c r="D95" s="116">
        <v>0</v>
      </c>
      <c r="F95" s="263" t="s">
        <v>295</v>
      </c>
      <c r="G95" s="264"/>
      <c r="H95" s="112">
        <v>0</v>
      </c>
      <c r="I95" s="112">
        <v>0</v>
      </c>
      <c r="J95" s="112">
        <v>0</v>
      </c>
    </row>
    <row r="96" spans="2:11" s="25" customFormat="1" ht="16">
      <c r="B96" s="115" t="s">
        <v>296</v>
      </c>
      <c r="C96" s="112">
        <v>0</v>
      </c>
      <c r="D96" s="116">
        <v>0</v>
      </c>
      <c r="F96" s="263" t="s">
        <v>296</v>
      </c>
      <c r="G96" s="264"/>
      <c r="H96" s="112">
        <v>0</v>
      </c>
      <c r="I96" s="112">
        <v>0</v>
      </c>
      <c r="J96" s="112">
        <v>0</v>
      </c>
    </row>
    <row r="97" spans="2:10" s="25" customFormat="1" ht="17" thickBot="1">
      <c r="B97" s="117" t="s">
        <v>297</v>
      </c>
      <c r="C97" s="118">
        <v>0</v>
      </c>
      <c r="D97" s="119">
        <v>0</v>
      </c>
      <c r="F97" s="263" t="s">
        <v>449</v>
      </c>
      <c r="G97" s="264"/>
      <c r="H97" s="112">
        <v>0</v>
      </c>
      <c r="I97" s="112">
        <v>0</v>
      </c>
      <c r="J97" s="112">
        <v>0</v>
      </c>
    </row>
    <row r="98" spans="2:10" s="25" customFormat="1" ht="17" thickTop="1">
      <c r="F98" s="263" t="s">
        <v>450</v>
      </c>
      <c r="G98" s="264"/>
      <c r="H98" s="112">
        <v>0</v>
      </c>
      <c r="I98" s="112">
        <v>0</v>
      </c>
      <c r="J98" s="112">
        <v>0</v>
      </c>
    </row>
    <row r="99" spans="2:10" s="25" customFormat="1" ht="16">
      <c r="F99" s="263" t="s">
        <v>451</v>
      </c>
      <c r="G99" s="264"/>
      <c r="H99" s="112">
        <v>0</v>
      </c>
      <c r="I99" s="112">
        <v>0</v>
      </c>
      <c r="J99" s="112">
        <v>0</v>
      </c>
    </row>
    <row r="100" spans="2:10" s="25" customFormat="1" ht="16">
      <c r="F100" s="263" t="s">
        <v>452</v>
      </c>
      <c r="G100" s="264"/>
      <c r="H100" s="112">
        <v>0</v>
      </c>
      <c r="I100" s="112">
        <v>0</v>
      </c>
      <c r="J100" s="112">
        <v>0</v>
      </c>
    </row>
    <row r="101" spans="2:10" s="25" customFormat="1"/>
    <row r="102" spans="2:10" s="25" customFormat="1"/>
    <row r="103" spans="2:10" s="25" customFormat="1"/>
    <row r="104" spans="2:10" s="25" customFormat="1"/>
    <row r="105" spans="2:10" s="25" customFormat="1"/>
    <row r="106" spans="2:10" s="25" customFormat="1"/>
    <row r="107" spans="2:10" s="25" customFormat="1"/>
    <row r="108" spans="2:10" s="25" customFormat="1"/>
    <row r="109" spans="2:10" s="25" customFormat="1"/>
    <row r="110" spans="2:10" s="25" customFormat="1"/>
    <row r="111" spans="2:10" s="25" customFormat="1"/>
    <row r="112" spans="2:10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="25" customFormat="1"/>
    <row r="402" s="25" customFormat="1"/>
    <row r="403" s="25" customFormat="1"/>
    <row r="404" s="25" customFormat="1"/>
    <row r="405" s="25" customFormat="1"/>
    <row r="406" s="25" customFormat="1"/>
    <row r="407" s="25" customFormat="1"/>
    <row r="408" s="25" customFormat="1"/>
    <row r="409" s="25" customFormat="1"/>
    <row r="410" s="25" customFormat="1"/>
    <row r="411" s="25" customFormat="1"/>
    <row r="412" s="25" customFormat="1"/>
    <row r="413" s="25" customFormat="1"/>
    <row r="414" s="25" customFormat="1"/>
    <row r="415" s="25" customFormat="1"/>
    <row r="416" s="25" customFormat="1"/>
    <row r="417" s="25" customFormat="1"/>
    <row r="418" s="25" customFormat="1"/>
    <row r="419" s="25" customFormat="1"/>
    <row r="420" s="25" customFormat="1"/>
    <row r="421" s="25" customFormat="1"/>
    <row r="422" s="25" customFormat="1"/>
    <row r="423" s="25" customFormat="1"/>
    <row r="424" s="25" customFormat="1"/>
    <row r="425" s="25" customFormat="1"/>
    <row r="426" s="25" customFormat="1"/>
    <row r="427" s="25" customFormat="1"/>
    <row r="428" s="25" customFormat="1"/>
    <row r="429" s="25" customFormat="1"/>
    <row r="430" s="25" customFormat="1"/>
    <row r="431" s="25" customFormat="1"/>
    <row r="432" s="25" customFormat="1"/>
    <row r="433" s="25" customFormat="1"/>
    <row r="434" s="25" customFormat="1"/>
    <row r="435" s="25" customFormat="1"/>
    <row r="436" s="25" customFormat="1"/>
    <row r="437" s="25" customFormat="1"/>
    <row r="438" s="25" customFormat="1"/>
    <row r="439" s="25" customFormat="1"/>
    <row r="440" s="25" customFormat="1"/>
    <row r="441" s="25" customFormat="1"/>
    <row r="442" s="25" customFormat="1"/>
    <row r="443" s="25" customFormat="1"/>
    <row r="444" s="25" customFormat="1"/>
    <row r="445" s="25" customFormat="1"/>
    <row r="446" s="25" customFormat="1"/>
    <row r="447" s="25" customFormat="1"/>
    <row r="448" s="25" customFormat="1"/>
    <row r="449" s="25" customFormat="1"/>
    <row r="450" s="25" customFormat="1"/>
    <row r="451" s="25" customFormat="1"/>
    <row r="452" s="25" customFormat="1"/>
    <row r="453" s="25" customFormat="1"/>
    <row r="454" s="25" customFormat="1"/>
    <row r="455" s="25" customFormat="1"/>
    <row r="456" s="25" customFormat="1"/>
    <row r="457" s="25" customFormat="1"/>
    <row r="458" s="25" customFormat="1"/>
    <row r="459" s="25" customFormat="1"/>
    <row r="460" s="25" customFormat="1"/>
    <row r="461" s="25" customFormat="1"/>
    <row r="462" s="25" customFormat="1"/>
    <row r="463" s="25" customFormat="1"/>
    <row r="464" s="25" customFormat="1"/>
    <row r="465" s="25" customFormat="1"/>
    <row r="466" s="25" customFormat="1"/>
    <row r="467" s="25" customFormat="1"/>
    <row r="468" s="25" customFormat="1"/>
    <row r="469" s="25" customFormat="1"/>
    <row r="470" s="25" customFormat="1"/>
    <row r="471" s="25" customFormat="1"/>
    <row r="472" s="25" customFormat="1"/>
    <row r="473" s="25" customFormat="1"/>
    <row r="474" s="25" customFormat="1"/>
    <row r="475" s="25" customFormat="1"/>
    <row r="476" s="25" customFormat="1"/>
    <row r="477" s="25" customFormat="1"/>
    <row r="478" s="25" customFormat="1"/>
    <row r="479" s="25" customFormat="1"/>
    <row r="480" s="25" customFormat="1"/>
    <row r="481" s="25" customFormat="1"/>
    <row r="482" s="25" customFormat="1"/>
    <row r="483" s="25" customFormat="1"/>
    <row r="484" s="25" customFormat="1"/>
    <row r="485" s="25" customFormat="1"/>
    <row r="486" s="25" customFormat="1"/>
    <row r="487" s="25" customFormat="1"/>
    <row r="488" s="25" customFormat="1"/>
    <row r="489" s="25" customFormat="1"/>
    <row r="490" s="25" customFormat="1"/>
    <row r="491" s="25" customFormat="1"/>
    <row r="492" s="25" customFormat="1"/>
    <row r="493" s="25" customFormat="1"/>
    <row r="494" s="25" customFormat="1"/>
    <row r="495" s="25" customFormat="1"/>
    <row r="496" s="25" customFormat="1"/>
    <row r="497" s="25" customFormat="1"/>
    <row r="498" s="25" customFormat="1"/>
    <row r="499" s="25" customFormat="1"/>
    <row r="500" s="25" customFormat="1"/>
    <row r="501" s="25" customFormat="1"/>
    <row r="502" s="25" customFormat="1"/>
    <row r="503" s="25" customFormat="1"/>
    <row r="504" s="25" customFormat="1"/>
    <row r="505" s="25" customFormat="1"/>
    <row r="506" s="25" customFormat="1"/>
    <row r="507" s="25" customFormat="1"/>
    <row r="508" s="25" customFormat="1"/>
    <row r="509" s="25" customFormat="1"/>
    <row r="510" s="25" customFormat="1"/>
    <row r="511" s="25" customFormat="1"/>
    <row r="512" s="25" customFormat="1"/>
    <row r="513" s="25" customFormat="1"/>
    <row r="514" s="25" customFormat="1"/>
    <row r="515" s="25" customFormat="1"/>
    <row r="516" s="25" customFormat="1"/>
    <row r="517" s="25" customFormat="1"/>
    <row r="518" s="25" customFormat="1"/>
    <row r="519" s="25" customFormat="1"/>
    <row r="520" s="25" customFormat="1"/>
    <row r="521" s="25" customFormat="1"/>
    <row r="522" s="25" customFormat="1"/>
    <row r="523" s="25" customFormat="1"/>
    <row r="524" s="25" customFormat="1"/>
    <row r="525" s="25" customFormat="1"/>
    <row r="526" s="25" customFormat="1"/>
    <row r="527" s="25" customFormat="1"/>
    <row r="528" s="25" customFormat="1"/>
    <row r="529" s="25" customFormat="1"/>
    <row r="530" s="25" customFormat="1"/>
    <row r="531" s="25" customFormat="1"/>
    <row r="532" s="25" customFormat="1"/>
    <row r="533" s="25" customFormat="1"/>
    <row r="534" s="25" customFormat="1"/>
    <row r="535" s="25" customFormat="1"/>
    <row r="536" s="25" customFormat="1"/>
    <row r="537" s="25" customFormat="1"/>
    <row r="538" s="25" customFormat="1"/>
    <row r="539" s="25" customFormat="1"/>
    <row r="540" s="25" customFormat="1"/>
    <row r="541" s="25" customFormat="1"/>
    <row r="542" s="25" customFormat="1"/>
    <row r="543" s="25" customFormat="1"/>
    <row r="544" s="25" customFormat="1"/>
    <row r="545" s="25" customFormat="1"/>
    <row r="546" s="25" customFormat="1"/>
    <row r="547" s="25" customFormat="1"/>
    <row r="548" s="25" customFormat="1"/>
    <row r="549" s="25" customFormat="1"/>
    <row r="550" s="25" customFormat="1"/>
    <row r="551" s="25" customFormat="1"/>
    <row r="552" s="25" customFormat="1"/>
    <row r="553" s="25" customFormat="1"/>
    <row r="554" s="25" customFormat="1"/>
    <row r="555" s="25" customFormat="1"/>
    <row r="556" s="25" customFormat="1"/>
    <row r="557" s="25" customFormat="1"/>
    <row r="558" s="25" customFormat="1"/>
    <row r="559" s="25" customFormat="1"/>
    <row r="560" s="25" customFormat="1"/>
    <row r="561" s="25" customFormat="1"/>
    <row r="562" s="25" customFormat="1"/>
    <row r="563" s="25" customFormat="1"/>
    <row r="564" s="25" customFormat="1"/>
    <row r="565" s="25" customFormat="1"/>
    <row r="566" s="25" customFormat="1"/>
    <row r="567" s="25" customFormat="1"/>
    <row r="568" s="25" customFormat="1"/>
    <row r="569" s="25" customFormat="1"/>
    <row r="570" s="25" customFormat="1"/>
    <row r="571" s="25" customFormat="1"/>
    <row r="572" s="25" customFormat="1"/>
    <row r="573" s="25" customFormat="1"/>
    <row r="574" s="25" customFormat="1"/>
    <row r="575" s="25" customFormat="1"/>
    <row r="576" s="25" customFormat="1"/>
    <row r="577" s="25" customFormat="1"/>
    <row r="578" s="25" customFormat="1"/>
    <row r="579" s="25" customFormat="1"/>
    <row r="580" s="25" customFormat="1"/>
    <row r="581" s="25" customFormat="1"/>
    <row r="582" s="25" customFormat="1"/>
    <row r="583" s="25" customFormat="1"/>
    <row r="584" s="25" customFormat="1"/>
    <row r="585" s="25" customFormat="1"/>
    <row r="586" s="25" customFormat="1"/>
    <row r="587" s="25" customFormat="1"/>
    <row r="588" s="25" customFormat="1"/>
    <row r="589" s="25" customFormat="1"/>
    <row r="590" s="25" customFormat="1"/>
    <row r="591" s="25" customFormat="1"/>
    <row r="592" s="25" customFormat="1"/>
    <row r="593" s="25" customFormat="1"/>
    <row r="594" s="25" customFormat="1"/>
    <row r="595" s="25" customFormat="1"/>
    <row r="596" s="25" customFormat="1"/>
    <row r="597" s="25" customFormat="1"/>
    <row r="598" s="25" customFormat="1"/>
    <row r="599" s="25" customFormat="1"/>
    <row r="600" s="25" customFormat="1"/>
    <row r="601" s="25" customFormat="1"/>
    <row r="602" s="25" customFormat="1"/>
    <row r="603" s="25" customFormat="1"/>
    <row r="604" s="25" customFormat="1"/>
    <row r="605" s="25" customFormat="1"/>
    <row r="606" s="25" customFormat="1"/>
    <row r="607" s="25" customFormat="1"/>
    <row r="608" s="25" customFormat="1"/>
    <row r="609" s="25" customFormat="1"/>
    <row r="610" s="25" customFormat="1"/>
    <row r="611" s="25" customFormat="1"/>
    <row r="612" s="25" customFormat="1"/>
    <row r="613" s="25" customFormat="1"/>
    <row r="614" s="25" customFormat="1"/>
    <row r="615" s="25" customFormat="1"/>
    <row r="616" s="25" customFormat="1"/>
    <row r="617" s="25" customFormat="1"/>
    <row r="618" s="25" customFormat="1"/>
    <row r="619" s="25" customFormat="1"/>
    <row r="620" s="25" customFormat="1"/>
    <row r="621" s="25" customFormat="1"/>
    <row r="622" s="25" customFormat="1"/>
    <row r="623" s="25" customFormat="1"/>
    <row r="624" s="25" customFormat="1"/>
    <row r="625" s="25" customFormat="1"/>
    <row r="626" s="25" customFormat="1"/>
    <row r="627" s="25" customFormat="1"/>
    <row r="628" s="25" customFormat="1"/>
    <row r="629" s="25" customFormat="1"/>
    <row r="630" s="25" customFormat="1"/>
    <row r="631" s="25" customFormat="1"/>
    <row r="632" s="25" customFormat="1"/>
    <row r="633" s="25" customFormat="1"/>
    <row r="634" s="25" customFormat="1"/>
    <row r="635" s="25" customFormat="1"/>
    <row r="636" s="25" customFormat="1"/>
    <row r="637" s="25" customFormat="1"/>
    <row r="638" s="25" customFormat="1"/>
    <row r="639" s="25" customFormat="1"/>
    <row r="640" s="25" customFormat="1"/>
    <row r="641" s="25" customFormat="1"/>
    <row r="642" s="25" customFormat="1"/>
    <row r="643" s="25" customFormat="1"/>
    <row r="644" s="25" customFormat="1"/>
    <row r="645" s="25" customFormat="1"/>
    <row r="646" s="25" customFormat="1"/>
    <row r="647" s="25" customFormat="1"/>
    <row r="648" s="25" customFormat="1"/>
    <row r="649" s="25" customFormat="1"/>
    <row r="650" s="25" customFormat="1"/>
    <row r="651" s="25" customFormat="1"/>
    <row r="652" s="25" customFormat="1"/>
    <row r="653" s="25" customFormat="1"/>
    <row r="654" s="25" customFormat="1"/>
    <row r="655" s="25" customFormat="1"/>
    <row r="656" s="25" customFormat="1"/>
    <row r="657" s="25" customFormat="1"/>
    <row r="658" s="25" customFormat="1"/>
    <row r="659" s="25" customFormat="1"/>
    <row r="660" s="25" customFormat="1"/>
    <row r="661" s="25" customFormat="1"/>
    <row r="662" s="25" customFormat="1"/>
    <row r="663" s="25" customFormat="1"/>
    <row r="664" s="25" customFormat="1"/>
    <row r="665" s="25" customFormat="1"/>
    <row r="666" s="25" customFormat="1"/>
    <row r="667" s="25" customFormat="1"/>
    <row r="668" s="25" customFormat="1"/>
    <row r="669" s="25" customFormat="1"/>
    <row r="670" s="25" customFormat="1"/>
    <row r="671" s="25" customFormat="1"/>
    <row r="672" s="25" customFormat="1"/>
    <row r="673" s="25" customFormat="1"/>
    <row r="674" s="25" customFormat="1"/>
    <row r="675" s="25" customFormat="1"/>
    <row r="676" s="25" customFormat="1"/>
    <row r="677" s="25" customFormat="1"/>
    <row r="678" s="25" customFormat="1"/>
    <row r="679" s="25" customFormat="1"/>
    <row r="680" s="25" customFormat="1"/>
    <row r="681" s="25" customFormat="1"/>
    <row r="682" s="25" customFormat="1"/>
    <row r="683" s="25" customFormat="1"/>
    <row r="684" s="25" customFormat="1"/>
    <row r="685" s="25" customFormat="1"/>
    <row r="686" s="25" customFormat="1"/>
    <row r="687" s="25" customFormat="1"/>
    <row r="688" s="25" customFormat="1"/>
    <row r="689" s="25" customFormat="1"/>
    <row r="690" s="25" customFormat="1"/>
    <row r="691" s="25" customFormat="1"/>
    <row r="692" s="25" customFormat="1"/>
    <row r="693" s="25" customFormat="1"/>
    <row r="694" s="25" customFormat="1"/>
    <row r="695" s="25" customFormat="1"/>
    <row r="696" s="25" customFormat="1"/>
    <row r="697" s="25" customFormat="1"/>
    <row r="698" s="25" customFormat="1"/>
    <row r="699" s="25" customFormat="1"/>
    <row r="700" s="25" customFormat="1"/>
    <row r="701" s="25" customFormat="1"/>
    <row r="702" s="25" customFormat="1"/>
    <row r="703" s="25" customFormat="1"/>
    <row r="704" s="25" customFormat="1"/>
    <row r="705" s="25" customFormat="1"/>
    <row r="706" s="25" customFormat="1"/>
    <row r="707" s="25" customFormat="1"/>
    <row r="708" s="25" customFormat="1"/>
    <row r="709" s="25" customFormat="1"/>
    <row r="710" s="25" customFormat="1"/>
    <row r="711" s="25" customFormat="1"/>
    <row r="712" s="25" customFormat="1"/>
    <row r="713" s="25" customFormat="1"/>
    <row r="714" s="25" customFormat="1"/>
    <row r="715" s="25" customFormat="1"/>
    <row r="716" s="25" customFormat="1"/>
    <row r="717" s="25" customFormat="1"/>
    <row r="718" s="25" customFormat="1"/>
    <row r="719" s="25" customFormat="1"/>
    <row r="720" s="25" customFormat="1"/>
    <row r="721" s="25" customFormat="1"/>
    <row r="722" s="25" customFormat="1"/>
    <row r="723" s="25" customFormat="1"/>
    <row r="724" s="25" customFormat="1"/>
    <row r="725" s="25" customFormat="1"/>
    <row r="726" s="25" customFormat="1"/>
    <row r="727" s="25" customFormat="1"/>
    <row r="728" s="25" customFormat="1"/>
    <row r="729" s="25" customFormat="1"/>
    <row r="730" s="25" customFormat="1"/>
    <row r="731" s="25" customFormat="1"/>
    <row r="732" s="25" customFormat="1"/>
    <row r="733" s="25" customFormat="1"/>
    <row r="734" s="25" customFormat="1"/>
    <row r="735" s="25" customFormat="1"/>
    <row r="736" s="25" customFormat="1"/>
    <row r="737" s="25" customFormat="1"/>
    <row r="738" s="25" customFormat="1"/>
    <row r="739" s="25" customFormat="1"/>
    <row r="740" s="25" customFormat="1"/>
    <row r="741" s="25" customFormat="1"/>
    <row r="742" s="25" customFormat="1"/>
    <row r="743" s="25" customFormat="1"/>
    <row r="744" s="25" customFormat="1"/>
    <row r="745" s="25" customFormat="1"/>
    <row r="746" s="25" customFormat="1"/>
    <row r="747" s="25" customFormat="1"/>
    <row r="748" s="25" customFormat="1"/>
    <row r="749" s="25" customFormat="1"/>
    <row r="750" s="25" customFormat="1"/>
    <row r="751" s="25" customFormat="1"/>
    <row r="752" s="25" customFormat="1"/>
    <row r="753" s="25" customFormat="1"/>
    <row r="754" s="25" customFormat="1"/>
    <row r="755" s="25" customFormat="1"/>
    <row r="756" s="25" customFormat="1"/>
    <row r="757" s="25" customFormat="1"/>
    <row r="758" s="25" customFormat="1"/>
    <row r="759" s="25" customFormat="1"/>
    <row r="760" s="25" customFormat="1"/>
    <row r="761" s="25" customFormat="1"/>
    <row r="762" s="25" customFormat="1"/>
    <row r="763" s="25" customFormat="1"/>
    <row r="764" s="25" customFormat="1"/>
    <row r="765" s="25" customFormat="1"/>
    <row r="766" s="25" customFormat="1"/>
    <row r="767" s="25" customFormat="1"/>
    <row r="768" s="25" customFormat="1"/>
    <row r="769" s="25" customFormat="1"/>
    <row r="770" s="25" customFormat="1"/>
    <row r="771" s="25" customFormat="1"/>
    <row r="772" s="25" customFormat="1"/>
    <row r="773" s="25" customFormat="1"/>
    <row r="774" s="25" customFormat="1"/>
    <row r="775" s="25" customFormat="1"/>
    <row r="776" s="25" customFormat="1"/>
    <row r="777" s="25" customFormat="1"/>
    <row r="778" s="25" customFormat="1"/>
    <row r="779" s="25" customFormat="1"/>
    <row r="780" s="25" customFormat="1"/>
    <row r="781" s="25" customFormat="1"/>
    <row r="782" s="25" customFormat="1"/>
    <row r="783" s="25" customFormat="1"/>
    <row r="784" s="25" customFormat="1"/>
    <row r="785" s="25" customFormat="1"/>
    <row r="786" s="25" customFormat="1"/>
    <row r="787" s="25" customFormat="1"/>
    <row r="788" s="25" customFormat="1"/>
    <row r="789" s="25" customFormat="1"/>
    <row r="790" s="25" customFormat="1"/>
    <row r="791" s="25" customFormat="1"/>
    <row r="792" s="25" customFormat="1"/>
    <row r="793" s="25" customFormat="1"/>
    <row r="794" s="25" customFormat="1"/>
    <row r="795" s="25" customFormat="1"/>
    <row r="796" s="25" customFormat="1"/>
    <row r="797" s="25" customFormat="1"/>
    <row r="798" s="25" customFormat="1"/>
    <row r="799" s="25" customFormat="1"/>
    <row r="800" s="25" customFormat="1"/>
    <row r="801" s="25" customFormat="1"/>
    <row r="802" s="25" customFormat="1"/>
    <row r="803" s="25" customFormat="1"/>
    <row r="804" s="25" customFormat="1"/>
    <row r="805" s="25" customFormat="1"/>
    <row r="806" s="25" customFormat="1"/>
    <row r="807" s="25" customFormat="1"/>
    <row r="808" s="25" customFormat="1"/>
    <row r="809" s="25" customFormat="1"/>
    <row r="810" s="25" customFormat="1"/>
    <row r="811" s="25" customFormat="1"/>
    <row r="812" s="25" customFormat="1"/>
    <row r="813" s="25" customFormat="1"/>
    <row r="814" s="25" customFormat="1"/>
    <row r="815" s="25" customFormat="1"/>
    <row r="816" s="25" customFormat="1"/>
    <row r="817" s="25" customFormat="1"/>
    <row r="818" s="25" customFormat="1"/>
    <row r="819" s="25" customFormat="1"/>
    <row r="820" s="25" customFormat="1"/>
    <row r="821" s="25" customFormat="1"/>
    <row r="822" s="25" customFormat="1"/>
    <row r="823" s="25" customFormat="1"/>
    <row r="824" s="25" customFormat="1"/>
    <row r="825" s="25" customFormat="1"/>
    <row r="826" s="25" customFormat="1"/>
    <row r="827" s="25" customFormat="1"/>
    <row r="828" s="25" customFormat="1"/>
    <row r="829" s="25" customFormat="1"/>
    <row r="830" s="25" customFormat="1"/>
    <row r="831" s="25" customFormat="1"/>
    <row r="832" s="25" customFormat="1"/>
    <row r="833" s="25" customFormat="1"/>
    <row r="834" s="25" customFormat="1"/>
    <row r="835" s="25" customFormat="1"/>
    <row r="836" s="25" customFormat="1"/>
    <row r="837" s="25" customFormat="1"/>
    <row r="838" s="25" customFormat="1"/>
    <row r="839" s="25" customFormat="1"/>
    <row r="840" s="25" customFormat="1"/>
    <row r="841" s="25" customFormat="1"/>
    <row r="842" s="25" customFormat="1"/>
    <row r="843" s="25" customFormat="1"/>
    <row r="844" s="25" customFormat="1"/>
    <row r="845" s="25" customFormat="1"/>
    <row r="846" s="25" customFormat="1"/>
    <row r="847" s="25" customFormat="1"/>
    <row r="848" s="25" customFormat="1"/>
    <row r="849" s="25" customFormat="1"/>
    <row r="850" s="25" customFormat="1"/>
    <row r="851" s="25" customFormat="1"/>
    <row r="852" s="25" customFormat="1"/>
    <row r="853" s="25" customFormat="1"/>
    <row r="854" s="25" customFormat="1"/>
    <row r="855" s="25" customFormat="1"/>
    <row r="856" s="25" customFormat="1"/>
    <row r="857" s="25" customFormat="1"/>
    <row r="858" s="25" customFormat="1"/>
    <row r="859" s="25" customFormat="1"/>
    <row r="860" s="25" customFormat="1"/>
    <row r="861" s="25" customFormat="1"/>
    <row r="862" s="25" customFormat="1"/>
    <row r="863" s="25" customFormat="1"/>
    <row r="864" s="25" customFormat="1"/>
    <row r="865" s="25" customFormat="1"/>
    <row r="866" s="25" customFormat="1"/>
    <row r="867" s="25" customFormat="1"/>
    <row r="868" s="25" customFormat="1"/>
    <row r="869" s="25" customFormat="1"/>
    <row r="870" s="25" customFormat="1"/>
    <row r="871" s="25" customFormat="1"/>
    <row r="872" s="25" customFormat="1"/>
    <row r="873" s="25" customFormat="1"/>
    <row r="874" s="25" customFormat="1"/>
    <row r="875" s="25" customFormat="1"/>
    <row r="876" s="25" customFormat="1"/>
    <row r="877" s="25" customFormat="1"/>
    <row r="878" s="25" customFormat="1"/>
    <row r="879" s="25" customFormat="1"/>
    <row r="880" s="25" customFormat="1"/>
    <row r="881" s="25" customFormat="1"/>
    <row r="882" s="25" customFormat="1"/>
    <row r="883" s="25" customFormat="1"/>
    <row r="884" s="25" customFormat="1"/>
    <row r="885" s="25" customFormat="1"/>
    <row r="886" s="25" customFormat="1"/>
    <row r="887" s="25" customFormat="1"/>
    <row r="888" s="25" customFormat="1"/>
    <row r="889" s="25" customFormat="1"/>
    <row r="890" s="25" customFormat="1"/>
    <row r="891" s="25" customFormat="1"/>
    <row r="892" s="25" customFormat="1"/>
    <row r="893" s="25" customFormat="1"/>
    <row r="894" s="25" customFormat="1"/>
    <row r="895" s="25" customFormat="1"/>
    <row r="896" s="25" customFormat="1"/>
    <row r="897" s="25" customFormat="1"/>
    <row r="898" s="25" customFormat="1"/>
    <row r="899" s="25" customFormat="1"/>
    <row r="900" s="25" customFormat="1"/>
    <row r="901" s="25" customFormat="1"/>
    <row r="902" s="25" customFormat="1"/>
    <row r="903" s="25" customFormat="1"/>
    <row r="904" s="25" customFormat="1"/>
    <row r="905" s="25" customFormat="1"/>
    <row r="906" s="25" customFormat="1"/>
    <row r="907" s="25" customFormat="1"/>
    <row r="908" s="25" customFormat="1"/>
    <row r="909" s="25" customFormat="1"/>
    <row r="910" s="25" customFormat="1"/>
    <row r="911" s="25" customFormat="1"/>
    <row r="912" s="25" customFormat="1"/>
    <row r="913" s="25" customFormat="1"/>
    <row r="914" s="25" customFormat="1"/>
    <row r="915" s="25" customFormat="1"/>
    <row r="916" s="25" customFormat="1"/>
    <row r="917" s="25" customFormat="1"/>
    <row r="918" s="25" customFormat="1"/>
    <row r="919" s="25" customFormat="1"/>
    <row r="920" s="25" customFormat="1"/>
    <row r="921" s="25" customFormat="1"/>
    <row r="922" s="25" customFormat="1"/>
    <row r="923" s="25" customFormat="1"/>
    <row r="924" s="25" customFormat="1"/>
    <row r="925" s="25" customFormat="1"/>
    <row r="926" s="25" customFormat="1"/>
    <row r="927" s="25" customFormat="1"/>
    <row r="928" s="25" customFormat="1"/>
    <row r="929" s="25" customFormat="1"/>
    <row r="930" s="25" customFormat="1"/>
    <row r="931" s="25" customFormat="1"/>
    <row r="932" s="25" customFormat="1"/>
    <row r="933" s="25" customFormat="1"/>
    <row r="934" s="25" customFormat="1"/>
    <row r="935" s="25" customFormat="1"/>
    <row r="936" s="25" customFormat="1"/>
    <row r="937" s="25" customFormat="1"/>
    <row r="938" s="25" customFormat="1"/>
    <row r="939" s="25" customFormat="1"/>
    <row r="940" s="25" customFormat="1"/>
    <row r="941" s="25" customFormat="1"/>
    <row r="942" s="25" customFormat="1"/>
    <row r="943" s="25" customFormat="1"/>
    <row r="944" s="25" customFormat="1"/>
    <row r="945" s="25" customFormat="1"/>
    <row r="946" s="25" customFormat="1"/>
    <row r="947" s="25" customFormat="1"/>
    <row r="948" s="25" customFormat="1"/>
    <row r="949" s="25" customFormat="1"/>
    <row r="950" s="25" customFormat="1"/>
    <row r="951" s="25" customFormat="1"/>
    <row r="952" s="25" customFormat="1"/>
    <row r="953" s="25" customFormat="1"/>
    <row r="954" s="25" customFormat="1"/>
    <row r="955" s="25" customFormat="1"/>
    <row r="956" s="25" customFormat="1"/>
    <row r="957" s="25" customFormat="1"/>
    <row r="958" s="25" customFormat="1"/>
    <row r="959" s="25" customFormat="1"/>
    <row r="960" s="25" customFormat="1"/>
    <row r="961" s="25" customFormat="1"/>
    <row r="962" s="25" customFormat="1"/>
    <row r="963" s="25" customFormat="1"/>
    <row r="964" s="25" customFormat="1"/>
    <row r="965" s="25" customFormat="1"/>
    <row r="966" s="25" customFormat="1"/>
    <row r="967" s="25" customFormat="1"/>
    <row r="968" s="25" customFormat="1"/>
    <row r="969" s="25" customFormat="1"/>
    <row r="970" s="25" customFormat="1"/>
    <row r="971" s="25" customFormat="1"/>
    <row r="972" s="25" customFormat="1"/>
    <row r="973" s="25" customFormat="1"/>
    <row r="974" s="25" customFormat="1"/>
    <row r="975" s="25" customFormat="1"/>
    <row r="976" s="25" customFormat="1"/>
    <row r="977" s="25" customFormat="1"/>
    <row r="978" s="25" customFormat="1"/>
    <row r="979" s="25" customFormat="1"/>
    <row r="980" s="25" customFormat="1"/>
    <row r="981" s="25" customFormat="1"/>
    <row r="982" s="25" customFormat="1"/>
    <row r="983" s="25" customFormat="1"/>
    <row r="984" s="25" customFormat="1"/>
    <row r="985" s="25" customFormat="1"/>
    <row r="986" s="25" customFormat="1"/>
    <row r="987" s="25" customFormat="1"/>
    <row r="988" s="25" customFormat="1"/>
    <row r="989" s="25" customFormat="1"/>
    <row r="990" s="25" customFormat="1"/>
    <row r="991" s="25" customFormat="1"/>
    <row r="992" s="25" customFormat="1"/>
    <row r="993" s="25" customFormat="1"/>
    <row r="994" s="25" customFormat="1"/>
    <row r="995" s="25" customFormat="1"/>
    <row r="996" s="25" customFormat="1"/>
    <row r="997" s="25" customFormat="1"/>
    <row r="998" s="25" customFormat="1"/>
    <row r="999" s="25" customFormat="1"/>
    <row r="1000" s="25" customFormat="1"/>
    <row r="1001" s="25" customFormat="1"/>
    <row r="1002" s="25" customFormat="1"/>
    <row r="1003" s="25" customFormat="1"/>
    <row r="1004" s="25" customFormat="1"/>
    <row r="1005" s="25" customFormat="1"/>
    <row r="1006" s="25" customFormat="1"/>
    <row r="1007" s="25" customFormat="1"/>
    <row r="1008" s="25" customFormat="1"/>
    <row r="1009" s="25" customFormat="1"/>
    <row r="1010" s="25" customFormat="1"/>
    <row r="1011" s="25" customFormat="1"/>
    <row r="1012" s="25" customFormat="1"/>
    <row r="1013" s="25" customFormat="1"/>
    <row r="1014" s="25" customFormat="1"/>
    <row r="1015" s="25" customFormat="1"/>
    <row r="1016" s="25" customFormat="1"/>
    <row r="1017" s="25" customFormat="1"/>
    <row r="1018" s="25" customFormat="1"/>
    <row r="1019" s="25" customFormat="1"/>
    <row r="1020" s="25" customFormat="1"/>
    <row r="1021" s="25" customFormat="1"/>
    <row r="1022" s="25" customFormat="1"/>
    <row r="1023" s="25" customFormat="1"/>
    <row r="1024" s="25" customFormat="1"/>
    <row r="1025" s="25" customFormat="1"/>
    <row r="1026" s="25" customFormat="1"/>
    <row r="1027" s="25" customFormat="1"/>
    <row r="1028" s="25" customFormat="1"/>
    <row r="1029" s="25" customFormat="1"/>
    <row r="1030" s="25" customFormat="1"/>
    <row r="1031" s="25" customFormat="1"/>
    <row r="1032" s="25" customFormat="1"/>
    <row r="1033" s="25" customFormat="1"/>
    <row r="1034" s="25" customFormat="1"/>
    <row r="1035" s="25" customFormat="1"/>
    <row r="1036" s="25" customFormat="1"/>
    <row r="1037" s="25" customFormat="1"/>
    <row r="1038" s="25" customFormat="1"/>
    <row r="1039" s="25" customFormat="1"/>
    <row r="1040" s="25" customFormat="1"/>
    <row r="1041" s="25" customFormat="1"/>
    <row r="1042" s="25" customFormat="1"/>
    <row r="1043" s="25" customFormat="1"/>
    <row r="1044" s="25" customFormat="1"/>
    <row r="1045" s="25" customFormat="1"/>
    <row r="1046" s="25" customFormat="1"/>
    <row r="1047" s="25" customFormat="1"/>
    <row r="1048" s="25" customFormat="1"/>
    <row r="1049" s="25" customFormat="1"/>
    <row r="1050" s="25" customFormat="1"/>
    <row r="1051" s="25" customFormat="1"/>
    <row r="1052" s="25" customFormat="1"/>
    <row r="1053" s="25" customFormat="1"/>
  </sheetData>
  <mergeCells count="58"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  <mergeCell ref="F99:G99"/>
    <mergeCell ref="F100:G100"/>
    <mergeCell ref="F94:G94"/>
    <mergeCell ref="F95:G95"/>
    <mergeCell ref="F96:G96"/>
    <mergeCell ref="F97:G97"/>
    <mergeCell ref="F98:G98"/>
    <mergeCell ref="F92:G92"/>
    <mergeCell ref="F93:G93"/>
    <mergeCell ref="C87:D87"/>
    <mergeCell ref="E87:F87"/>
    <mergeCell ref="H87:I87"/>
    <mergeCell ref="J87:K87"/>
    <mergeCell ref="J43:K43"/>
    <mergeCell ref="J44:K44"/>
    <mergeCell ref="J45:K45"/>
    <mergeCell ref="J46:K46"/>
    <mergeCell ref="J47:K47"/>
    <mergeCell ref="B56:K58"/>
    <mergeCell ref="B60:B61"/>
    <mergeCell ref="C60:D60"/>
    <mergeCell ref="E60:F60"/>
    <mergeCell ref="H60:I60"/>
    <mergeCell ref="J60:K60"/>
    <mergeCell ref="G44:H44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U6:Z6"/>
    <mergeCell ref="U32:U33"/>
    <mergeCell ref="V32:V33"/>
    <mergeCell ref="W32:W33"/>
    <mergeCell ref="X32:X33"/>
    <mergeCell ref="Y32:Y33"/>
    <mergeCell ref="Z32:Z33"/>
  </mergeCells>
  <conditionalFormatting sqref="J38:N38 B8:Z31">
    <cfRule type="expression" dxfId="41" priority="6" stopIfTrue="1">
      <formula>ISEVEN(ROW())</formula>
    </cfRule>
  </conditionalFormatting>
  <conditionalFormatting sqref="B62:B85">
    <cfRule type="expression" dxfId="40" priority="5" stopIfTrue="1">
      <formula>ISEVEN(ROW())</formula>
    </cfRule>
  </conditionalFormatting>
  <conditionalFormatting sqref="C62:D85">
    <cfRule type="expression" dxfId="39" priority="4" stopIfTrue="1">
      <formula>ISEVEN(ROW())</formula>
    </cfRule>
  </conditionalFormatting>
  <conditionalFormatting sqref="H62:I85">
    <cfRule type="expression" dxfId="38" priority="3" stopIfTrue="1">
      <formula>ISEVEN(ROW())</formula>
    </cfRule>
  </conditionalFormatting>
  <conditionalFormatting sqref="J62:K85">
    <cfRule type="expression" dxfId="37" priority="2" stopIfTrue="1">
      <formula>ISEVEN(ROW())</formula>
    </cfRule>
  </conditionalFormatting>
  <conditionalFormatting sqref="E62:F85">
    <cfRule type="expression" dxfId="36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C1:R200"/>
  <sheetViews>
    <sheetView topLeftCell="O30" workbookViewId="0">
      <selection activeCell="R54" sqref="R54"/>
    </sheetView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</cols>
  <sheetData>
    <row r="1" spans="3:18" ht="30" customHeight="1">
      <c r="C1" s="40" t="s">
        <v>241</v>
      </c>
      <c r="D1" s="40"/>
      <c r="F1" s="47" t="s">
        <v>161</v>
      </c>
      <c r="G1" s="48" t="s">
        <v>162</v>
      </c>
      <c r="I1" s="52" t="s">
        <v>167</v>
      </c>
      <c r="K1" s="104" t="s">
        <v>165</v>
      </c>
      <c r="N1" t="s">
        <v>203</v>
      </c>
      <c r="Q1" s="52" t="s">
        <v>128</v>
      </c>
      <c r="R1" s="52" t="s">
        <v>168</v>
      </c>
    </row>
    <row r="2" spans="3:18" ht="30" customHeight="1">
      <c r="C2" s="44" t="s">
        <v>231</v>
      </c>
      <c r="D2" s="44"/>
      <c r="F2" s="42" t="s">
        <v>151</v>
      </c>
      <c r="G2" s="35"/>
      <c r="I2" s="43" t="s">
        <v>98</v>
      </c>
      <c r="K2" s="109" t="s">
        <v>92</v>
      </c>
      <c r="N2" t="s">
        <v>204</v>
      </c>
      <c r="Q2" s="43" t="s">
        <v>129</v>
      </c>
      <c r="R2" s="43" t="s">
        <v>58</v>
      </c>
    </row>
    <row r="3" spans="3:18" ht="30" customHeight="1">
      <c r="C3" s="44" t="s">
        <v>240</v>
      </c>
      <c r="D3" s="44"/>
      <c r="F3" s="45" t="s">
        <v>152</v>
      </c>
      <c r="G3" s="28"/>
      <c r="I3" s="53" t="s">
        <v>164</v>
      </c>
      <c r="K3" s="109" t="s">
        <v>82</v>
      </c>
      <c r="N3" t="s">
        <v>222</v>
      </c>
      <c r="Q3" s="46" t="s">
        <v>130</v>
      </c>
      <c r="R3" s="46" t="s">
        <v>108</v>
      </c>
    </row>
    <row r="4" spans="3:18" ht="30" customHeight="1">
      <c r="C4" s="44" t="s">
        <v>242</v>
      </c>
      <c r="D4" s="44"/>
      <c r="F4" s="42" t="s">
        <v>153</v>
      </c>
      <c r="G4" s="29"/>
      <c r="Q4" s="43" t="s">
        <v>131</v>
      </c>
      <c r="R4" s="43" t="s">
        <v>59</v>
      </c>
    </row>
    <row r="5" spans="3:18" ht="30" customHeight="1">
      <c r="C5" s="44"/>
      <c r="D5" s="44"/>
      <c r="F5" s="45" t="s">
        <v>154</v>
      </c>
      <c r="G5" s="30"/>
      <c r="I5" s="52" t="s">
        <v>166</v>
      </c>
      <c r="Q5" s="46" t="s">
        <v>132</v>
      </c>
      <c r="R5" s="46" t="s">
        <v>133</v>
      </c>
    </row>
    <row r="6" spans="3:18" ht="30" customHeight="1">
      <c r="C6" s="44" t="s">
        <v>243</v>
      </c>
      <c r="D6" s="44"/>
      <c r="F6" s="42" t="s">
        <v>156</v>
      </c>
      <c r="G6" s="31"/>
      <c r="I6" s="43" t="s">
        <v>97</v>
      </c>
      <c r="Q6" s="43" t="s">
        <v>134</v>
      </c>
      <c r="R6" s="43" t="s">
        <v>135</v>
      </c>
    </row>
    <row r="7" spans="3:18" ht="30" customHeight="1">
      <c r="C7" s="44" t="s">
        <v>232</v>
      </c>
      <c r="D7" s="44"/>
      <c r="F7" s="45" t="s">
        <v>155</v>
      </c>
      <c r="G7" s="39"/>
      <c r="I7" s="53" t="s">
        <v>94</v>
      </c>
      <c r="Q7" s="46" t="s">
        <v>136</v>
      </c>
      <c r="R7" s="46" t="s">
        <v>111</v>
      </c>
    </row>
    <row r="8" spans="3:18" ht="30" customHeight="1">
      <c r="C8" s="44" t="s">
        <v>244</v>
      </c>
      <c r="D8" s="44"/>
      <c r="F8" s="42" t="s">
        <v>157</v>
      </c>
      <c r="G8" s="24"/>
      <c r="Q8" s="43" t="s">
        <v>137</v>
      </c>
      <c r="R8" s="43" t="s">
        <v>109</v>
      </c>
    </row>
    <row r="9" spans="3:18" s="40" customFormat="1" ht="30" customHeight="1">
      <c r="C9" s="44" t="s">
        <v>245</v>
      </c>
      <c r="D9" s="44"/>
      <c r="F9" s="45" t="s">
        <v>158</v>
      </c>
      <c r="G9" s="32"/>
      <c r="K9"/>
      <c r="Q9" s="46" t="s">
        <v>138</v>
      </c>
      <c r="R9" s="46" t="s">
        <v>112</v>
      </c>
    </row>
    <row r="10" spans="3:18" ht="30" customHeight="1">
      <c r="C10" s="44" t="s">
        <v>445</v>
      </c>
      <c r="D10" s="44"/>
      <c r="F10" s="42" t="s">
        <v>159</v>
      </c>
      <c r="G10" s="33"/>
      <c r="I10" s="73" t="s">
        <v>268</v>
      </c>
      <c r="Q10" s="43" t="s">
        <v>139</v>
      </c>
      <c r="R10" s="43" t="s">
        <v>110</v>
      </c>
    </row>
    <row r="11" spans="3:18" s="40" customFormat="1" ht="30" customHeight="1">
      <c r="D11" s="44"/>
      <c r="F11" s="45" t="s">
        <v>300</v>
      </c>
      <c r="G11" s="121"/>
      <c r="K11"/>
      <c r="Q11" s="46" t="s">
        <v>140</v>
      </c>
      <c r="R11" s="46" t="s">
        <v>113</v>
      </c>
    </row>
    <row r="12" spans="3:18" ht="30" customHeight="1">
      <c r="C12" s="44" t="s">
        <v>246</v>
      </c>
      <c r="D12" s="44"/>
      <c r="F12" s="42" t="s">
        <v>301</v>
      </c>
      <c r="G12" s="122"/>
      <c r="Q12" s="46" t="s">
        <v>274</v>
      </c>
      <c r="R12" s="46" t="s">
        <v>275</v>
      </c>
    </row>
    <row r="13" spans="3:18" s="40" customFormat="1" ht="30" customHeight="1">
      <c r="C13" s="44" t="s">
        <v>233</v>
      </c>
      <c r="D13" s="44"/>
      <c r="F13" s="45" t="s">
        <v>302</v>
      </c>
      <c r="G13" s="123"/>
      <c r="K13"/>
      <c r="Q13" s="45" t="s">
        <v>228</v>
      </c>
      <c r="R13" s="93" t="s">
        <v>213</v>
      </c>
    </row>
    <row r="14" spans="3:18" ht="30" customHeight="1">
      <c r="C14" s="44" t="s">
        <v>247</v>
      </c>
      <c r="D14" s="44"/>
      <c r="F14" s="45"/>
      <c r="G14" s="40"/>
      <c r="I14" s="41" t="s">
        <v>174</v>
      </c>
      <c r="Q14" s="45" t="s">
        <v>227</v>
      </c>
      <c r="R14" s="93" t="s">
        <v>214</v>
      </c>
    </row>
    <row r="15" spans="3:18" s="40" customFormat="1" ht="30" customHeight="1">
      <c r="C15" s="44" t="s">
        <v>248</v>
      </c>
      <c r="D15" s="44"/>
      <c r="F15" s="42" t="s">
        <v>160</v>
      </c>
      <c r="G15" s="34"/>
      <c r="I15" s="40" t="s">
        <v>170</v>
      </c>
      <c r="K15"/>
      <c r="Q15" s="45" t="s">
        <v>141</v>
      </c>
      <c r="R15" s="93" t="s">
        <v>103</v>
      </c>
    </row>
    <row r="16" spans="3:18" ht="30" customHeight="1">
      <c r="C16" s="44"/>
      <c r="D16" s="44"/>
      <c r="I16" s="40" t="s">
        <v>171</v>
      </c>
      <c r="Q16" s="45" t="s">
        <v>142</v>
      </c>
      <c r="R16" s="93" t="s">
        <v>114</v>
      </c>
    </row>
    <row r="17" spans="3:18" s="40" customFormat="1" ht="30" customHeight="1">
      <c r="C17" s="44" t="s">
        <v>256</v>
      </c>
      <c r="D17" s="44"/>
      <c r="I17" s="40" t="s">
        <v>172</v>
      </c>
      <c r="K17"/>
      <c r="Q17" s="45" t="s">
        <v>143</v>
      </c>
      <c r="R17" s="93" t="s">
        <v>115</v>
      </c>
    </row>
    <row r="18" spans="3:18" ht="30" customHeight="1">
      <c r="C18" s="44" t="s">
        <v>257</v>
      </c>
      <c r="D18" s="44"/>
      <c r="I18" s="40" t="s">
        <v>173</v>
      </c>
      <c r="Q18" s="45" t="s">
        <v>144</v>
      </c>
      <c r="R18" s="93" t="s">
        <v>116</v>
      </c>
    </row>
    <row r="19" spans="3:18" ht="30" customHeight="1">
      <c r="C19" s="44" t="s">
        <v>258</v>
      </c>
      <c r="D19" s="44"/>
      <c r="I19" s="40" t="s">
        <v>270</v>
      </c>
      <c r="Q19" s="45" t="s">
        <v>145</v>
      </c>
      <c r="R19" s="93" t="s">
        <v>107</v>
      </c>
    </row>
    <row r="20" spans="3:18" ht="30" customHeight="1">
      <c r="C20" s="44" t="s">
        <v>259</v>
      </c>
      <c r="D20" s="44"/>
      <c r="I20" s="40" t="s">
        <v>271</v>
      </c>
      <c r="Q20" s="45" t="s">
        <v>146</v>
      </c>
      <c r="R20" s="93" t="s">
        <v>104</v>
      </c>
    </row>
    <row r="21" spans="3:18" ht="30" customHeight="1">
      <c r="C21" s="44" t="s">
        <v>260</v>
      </c>
      <c r="D21" s="44"/>
      <c r="Q21" s="45" t="s">
        <v>147</v>
      </c>
      <c r="R21" s="93" t="s">
        <v>105</v>
      </c>
    </row>
    <row r="22" spans="3:18" ht="30" customHeight="1">
      <c r="C22" s="44"/>
      <c r="D22" s="44"/>
      <c r="Q22" s="45" t="s">
        <v>148</v>
      </c>
      <c r="R22" s="93" t="s">
        <v>100</v>
      </c>
    </row>
    <row r="23" spans="3:18" ht="30" customHeight="1">
      <c r="C23" s="44"/>
      <c r="D23" s="44"/>
      <c r="Q23" s="45" t="s">
        <v>149</v>
      </c>
      <c r="R23" s="93" t="s">
        <v>101</v>
      </c>
    </row>
    <row r="24" spans="3:18" ht="30" customHeight="1">
      <c r="C24" s="44"/>
      <c r="D24" s="44"/>
      <c r="Q24" s="45" t="s">
        <v>150</v>
      </c>
      <c r="R24" s="93" t="s">
        <v>87</v>
      </c>
    </row>
    <row r="25" spans="3:18" ht="30" customHeight="1">
      <c r="Q25" s="45" t="s">
        <v>181</v>
      </c>
      <c r="R25" s="93" t="s">
        <v>183</v>
      </c>
    </row>
    <row r="26" spans="3:18" ht="30" customHeight="1">
      <c r="Q26" s="45" t="s">
        <v>182</v>
      </c>
      <c r="R26" s="93" t="s">
        <v>184</v>
      </c>
    </row>
    <row r="27" spans="3:18" ht="30" customHeight="1">
      <c r="Q27" s="45" t="s">
        <v>185</v>
      </c>
      <c r="R27" s="93" t="s">
        <v>186</v>
      </c>
    </row>
    <row r="28" spans="3:18" ht="30" customHeight="1">
      <c r="Q28" s="45" t="s">
        <v>187</v>
      </c>
      <c r="R28" s="93" t="s">
        <v>188</v>
      </c>
    </row>
    <row r="29" spans="3:18" ht="30" customHeight="1">
      <c r="Q29" s="45" t="s">
        <v>189</v>
      </c>
      <c r="R29" s="93" t="s">
        <v>60</v>
      </c>
    </row>
    <row r="30" spans="3:18" ht="30" customHeight="1">
      <c r="Q30" s="45" t="s">
        <v>190</v>
      </c>
      <c r="R30" s="93" t="s">
        <v>191</v>
      </c>
    </row>
    <row r="31" spans="3:18" ht="30" customHeight="1">
      <c r="Q31" s="45" t="s">
        <v>212</v>
      </c>
      <c r="R31" s="93" t="s">
        <v>206</v>
      </c>
    </row>
    <row r="32" spans="3:18" ht="30" customHeight="1">
      <c r="Q32" s="45" t="s">
        <v>215</v>
      </c>
      <c r="R32" s="93" t="s">
        <v>207</v>
      </c>
    </row>
    <row r="33" spans="17:18" ht="30" customHeight="1">
      <c r="Q33" s="45" t="s">
        <v>216</v>
      </c>
      <c r="R33" s="93" t="s">
        <v>208</v>
      </c>
    </row>
    <row r="34" spans="17:18" ht="30" customHeight="1">
      <c r="Q34" s="45" t="s">
        <v>217</v>
      </c>
      <c r="R34" s="93" t="s">
        <v>133</v>
      </c>
    </row>
    <row r="35" spans="17:18" ht="30" customHeight="1">
      <c r="Q35" s="45" t="s">
        <v>218</v>
      </c>
      <c r="R35" s="93" t="s">
        <v>135</v>
      </c>
    </row>
    <row r="36" spans="17:18" ht="30" customHeight="1">
      <c r="Q36" s="45" t="s">
        <v>221</v>
      </c>
      <c r="R36" s="93" t="s">
        <v>82</v>
      </c>
    </row>
    <row r="37" spans="17:18" ht="30" customHeight="1">
      <c r="Q37" s="53" t="s">
        <v>272</v>
      </c>
      <c r="R37" s="53" t="s">
        <v>273</v>
      </c>
    </row>
    <row r="38" spans="17:18" ht="30" customHeight="1">
      <c r="Q38" s="46" t="s">
        <v>278</v>
      </c>
      <c r="R38" s="46" t="s">
        <v>279</v>
      </c>
    </row>
    <row r="39" spans="17:18" ht="30" customHeight="1">
      <c r="Q39" s="46" t="s">
        <v>280</v>
      </c>
      <c r="R39" s="46" t="s">
        <v>281</v>
      </c>
    </row>
    <row r="40" spans="17:18" ht="30" customHeight="1">
      <c r="Q40" s="46" t="s">
        <v>282</v>
      </c>
      <c r="R40" s="46" t="s">
        <v>283</v>
      </c>
    </row>
    <row r="41" spans="17:18" ht="30" customHeight="1">
      <c r="Q41" s="53" t="s">
        <v>284</v>
      </c>
      <c r="R41" s="53" t="s">
        <v>285</v>
      </c>
    </row>
    <row r="42" spans="17:18" ht="30" customHeight="1">
      <c r="Q42" s="53" t="s">
        <v>303</v>
      </c>
      <c r="R42" s="53" t="s">
        <v>304</v>
      </c>
    </row>
    <row r="43" spans="17:18" ht="30" customHeight="1">
      <c r="Q43" s="53" t="s">
        <v>305</v>
      </c>
      <c r="R43" s="53" t="s">
        <v>306</v>
      </c>
    </row>
    <row r="44" spans="17:18" ht="30" customHeight="1">
      <c r="Q44" s="53" t="s">
        <v>307</v>
      </c>
      <c r="R44" s="53" t="s">
        <v>308</v>
      </c>
    </row>
    <row r="45" spans="17:18" ht="30" customHeight="1">
      <c r="Q45" s="53" t="s">
        <v>309</v>
      </c>
      <c r="R45" s="53" t="s">
        <v>315</v>
      </c>
    </row>
    <row r="46" spans="17:18" ht="30" customHeight="1">
      <c r="Q46" s="53" t="s">
        <v>310</v>
      </c>
      <c r="R46" s="53" t="s">
        <v>316</v>
      </c>
    </row>
    <row r="47" spans="17:18" ht="30" customHeight="1">
      <c r="Q47" s="53" t="s">
        <v>311</v>
      </c>
      <c r="R47" s="53" t="s">
        <v>317</v>
      </c>
    </row>
    <row r="48" spans="17:18" ht="30" customHeight="1">
      <c r="Q48" s="53" t="s">
        <v>312</v>
      </c>
      <c r="R48" s="53" t="s">
        <v>318</v>
      </c>
    </row>
    <row r="49" spans="17:18" ht="30" customHeight="1">
      <c r="Q49" s="53" t="s">
        <v>313</v>
      </c>
      <c r="R49" s="53" t="s">
        <v>319</v>
      </c>
    </row>
    <row r="50" spans="17:18" ht="30" customHeight="1">
      <c r="Q50" s="53" t="s">
        <v>314</v>
      </c>
      <c r="R50" s="53" t="s">
        <v>320</v>
      </c>
    </row>
    <row r="51" spans="17:18" ht="30" customHeight="1">
      <c r="Q51" s="46" t="s">
        <v>454</v>
      </c>
      <c r="R51" s="46" t="s">
        <v>457</v>
      </c>
    </row>
    <row r="52" spans="17:18" ht="30" customHeight="1">
      <c r="Q52" s="53" t="s">
        <v>455</v>
      </c>
      <c r="R52" s="53" t="s">
        <v>456</v>
      </c>
    </row>
    <row r="53" spans="17:18" ht="30" customHeight="1">
      <c r="Q53" s="53" t="s">
        <v>461</v>
      </c>
      <c r="R53" s="53" t="s">
        <v>464</v>
      </c>
    </row>
    <row r="54" spans="17:18" ht="30" customHeight="1">
      <c r="Q54" s="53" t="s">
        <v>462</v>
      </c>
      <c r="R54" s="53" t="s">
        <v>463</v>
      </c>
    </row>
    <row r="55" spans="17:18" ht="30" customHeight="1"/>
    <row r="56" spans="17:18" ht="30" customHeight="1"/>
    <row r="57" spans="17:18" ht="30" customHeight="1"/>
    <row r="58" spans="17:18" ht="30" customHeight="1"/>
    <row r="59" spans="17:18" ht="30" customHeight="1"/>
    <row r="60" spans="17:18" ht="30" customHeight="1"/>
    <row r="61" spans="17:18" ht="30" customHeight="1"/>
    <row r="62" spans="17:18" ht="30" customHeight="1"/>
    <row r="63" spans="17:18" ht="30" customHeight="1"/>
    <row r="64" spans="17:18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0" type="noConversion"/>
  <pageMargins left="0.7" right="0.7" top="0.75" bottom="0.75" header="0.3" footer="0.3"/>
  <pageSetup paperSize="9" orientation="portrait" horizontalDpi="0" verticalDpi="0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zoomScale="163" zoomScaleNormal="163" workbookViewId="0">
      <selection activeCell="D11" sqref="D11"/>
    </sheetView>
  </sheetViews>
  <sheetFormatPr baseColWidth="10" defaultColWidth="10.83203125" defaultRowHeight="13"/>
  <cols>
    <col min="1" max="3" width="10.83203125" style="25"/>
    <col min="4" max="4" width="27" style="25" customWidth="1"/>
    <col min="5" max="5" width="4.5" style="25" customWidth="1"/>
    <col min="6" max="6" width="7.5" style="25" customWidth="1"/>
    <col min="7" max="7" width="2.6640625" style="25" customWidth="1"/>
    <col min="8" max="16384" width="10.83203125" style="25"/>
  </cols>
  <sheetData>
    <row r="5" spans="3:7" ht="20">
      <c r="C5" s="267" t="s">
        <v>127</v>
      </c>
      <c r="D5" s="267"/>
      <c r="E5" s="267"/>
      <c r="F5" s="267"/>
      <c r="G5" s="267"/>
    </row>
    <row r="6" spans="3:7" ht="14" thickBot="1"/>
    <row r="7" spans="3:7">
      <c r="C7" s="153"/>
      <c r="D7" s="154"/>
      <c r="E7" s="154"/>
      <c r="F7" s="154"/>
      <c r="G7" s="155"/>
    </row>
    <row r="8" spans="3:7">
      <c r="C8" s="156"/>
      <c r="G8" s="157"/>
    </row>
    <row r="9" spans="3:7">
      <c r="C9" s="158" t="s">
        <v>125</v>
      </c>
      <c r="D9" s="162"/>
      <c r="G9" s="157"/>
    </row>
    <row r="10" spans="3:7">
      <c r="C10" s="158"/>
      <c r="G10" s="157"/>
    </row>
    <row r="11" spans="3:7">
      <c r="C11" s="158" t="s">
        <v>126</v>
      </c>
      <c r="D11" s="162"/>
      <c r="G11" s="157"/>
    </row>
    <row r="12" spans="3:7">
      <c r="C12" s="156"/>
      <c r="G12" s="157"/>
    </row>
    <row r="13" spans="3:7" ht="14" thickBot="1">
      <c r="C13" s="159"/>
      <c r="D13" s="160"/>
      <c r="E13" s="160"/>
      <c r="F13" s="160"/>
      <c r="G13" s="161"/>
    </row>
  </sheetData>
  <mergeCells count="1">
    <mergeCell ref="C5:G5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</sheetViews>
  <sheetFormatPr baseColWidth="10" defaultRowHeight="13"/>
  <cols>
    <col min="1" max="1" width="23" style="9" customWidth="1"/>
    <col min="2" max="3" width="13.6640625" style="17" customWidth="1"/>
    <col min="4" max="4" width="13.1640625" style="17" customWidth="1"/>
    <col min="5" max="5" width="13.83203125" style="17" customWidth="1"/>
    <col min="6" max="6" width="13.5" style="17" customWidth="1"/>
    <col min="7" max="7" width="17.33203125" style="17" customWidth="1"/>
    <col min="8" max="8" width="14.1640625" style="4" customWidth="1"/>
    <col min="9" max="9" width="14.1640625" style="17" customWidth="1"/>
    <col min="10" max="14" width="14.16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192</vt:i4>
      </vt:variant>
    </vt:vector>
  </HeadingPairs>
  <TitlesOfParts>
    <vt:vector size="199" baseType="lpstr">
      <vt:lpstr>Listes</vt:lpstr>
      <vt:lpstr>Compo</vt:lpstr>
      <vt:lpstr>Saisie vidéo</vt:lpstr>
      <vt:lpstr>Journal actions</vt:lpstr>
      <vt:lpstr>Stats match</vt:lpstr>
      <vt:lpstr>Paramètres</vt:lpstr>
      <vt:lpstr>Popup</vt:lpstr>
      <vt:lpstr>ACT_ARRACHAGE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LBL_CHGT_POSS_1</vt:lpstr>
      <vt:lpstr>LBL_CHGT_POSS_2</vt:lpstr>
      <vt:lpstr>LBL_MELEES</vt:lpstr>
      <vt:lpstr>LBL_MOTIF_PENALITE</vt:lpstr>
      <vt:lpstr>LBL_PENALITE</vt:lpstr>
      <vt:lpstr>LBL_PLAQUAGES</vt:lpstr>
      <vt:lpstr>LBL_POINTS</vt:lpstr>
      <vt:lpstr>LBL_POSITION_VIDEO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PALETTE_JOUEURS</vt:lpstr>
      <vt:lpstr>PHASE</vt:lpstr>
      <vt:lpstr>POPUP_ADD_PLAYER</vt:lpstr>
      <vt:lpstr>POPUP_NOM</vt:lpstr>
      <vt:lpstr>POPUP_PRENOM</vt:lpstr>
      <vt:lpstr>RESULTAT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2026-09-17T07:42:51Z</dcterms:modified>
</cp:coreProperties>
</file>