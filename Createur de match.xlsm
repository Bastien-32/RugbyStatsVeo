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E6F8048D-5870-5747-88A8-C91FFC1D53E4}" xr6:coauthVersionLast="47" xr6:coauthVersionMax="47" xr10:uidLastSave="{00000000-0000-0000-0000-000000000000}"/>
  <bookViews>
    <workbookView xWindow="17260" yWindow="660" windowWidth="17300" windowHeight="21680" activeTab="1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APP_VERSION">Paramètres!$T$2</definedName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" i="12" l="1"/>
  <c r="Q6" i="12"/>
  <c r="R31" i="12" s="1"/>
  <c r="O6" i="12"/>
  <c r="H42" i="12"/>
  <c r="H41" i="12"/>
  <c r="H38" i="12"/>
  <c r="H37" i="12"/>
  <c r="C1" i="2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<sst xmlns="http://schemas.openxmlformats.org/spreadsheetml/2006/main" count="469" uniqueCount="344">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</sst>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3" xfId="0" applyFont="1" applyFill="1" applyBorder="1" applyAlignment="1">
      <alignment horizontal="center" vertical="center"/>
    </xf>
    <xf numFmtId="0" fontId="38" fillId="30" borderId="44" xfId="0" applyFont="1" applyFill="1" applyBorder="1" applyAlignment="1">
      <alignment horizontal="center" vertical="center"/>
    </xf>
    <xf numFmtId="0" fontId="37" fillId="30" borderId="45" xfId="0" applyFont="1" applyFill="1" applyBorder="1" applyAlignment="1">
      <alignment horizontal="center" vertical="center"/>
    </xf>
    <xf numFmtId="0" fontId="37" fillId="16" borderId="46" xfId="0" applyFont="1" applyFill="1" applyBorder="1" applyAlignment="1">
      <alignment horizontal="center" vertical="center"/>
    </xf>
    <xf numFmtId="0" fontId="36" fillId="29" borderId="47" xfId="0" applyFont="1" applyFill="1" applyBorder="1" applyAlignment="1">
      <alignment horizontal="center" vertical="center"/>
    </xf>
    <xf numFmtId="0" fontId="38" fillId="16" borderId="48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4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32" borderId="44" xfId="0" applyFill="1" applyBorder="1" applyAlignment="1">
      <alignment horizontal="center" vertical="center" wrapText="1"/>
    </xf>
    <xf numFmtId="0" fontId="0" fillId="17" borderId="49" xfId="0" applyFill="1" applyBorder="1" applyAlignment="1">
      <alignment horizontal="center" vertical="center" wrapText="1"/>
    </xf>
    <xf numFmtId="0" fontId="3" fillId="17" borderId="51" xfId="0" applyFont="1" applyFill="1" applyBorder="1" applyAlignment="1">
      <alignment horizontal="center" vertical="center" wrapText="1"/>
    </xf>
    <xf numFmtId="0" fontId="0" fillId="17" borderId="51" xfId="0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/>
    </xf>
    <xf numFmtId="0" fontId="3" fillId="16" borderId="60" xfId="0" applyFont="1" applyFill="1" applyBorder="1" applyAlignment="1">
      <alignment horizontal="center" vertical="center" wrapText="1"/>
    </xf>
    <xf numFmtId="0" fontId="0" fillId="17" borderId="61" xfId="0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/>
    </xf>
    <xf numFmtId="0" fontId="0" fillId="17" borderId="59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17" borderId="57" xfId="0" applyFont="1" applyFill="1" applyBorder="1" applyAlignment="1">
      <alignment horizontal="center" vertical="center" wrapText="1"/>
    </xf>
    <xf numFmtId="0" fontId="0" fillId="17" borderId="62" xfId="0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0" fillId="17" borderId="51" xfId="0" applyFill="1" applyBorder="1" applyAlignment="1">
      <alignment horizontal="center" vertical="center"/>
    </xf>
    <xf numFmtId="0" fontId="0" fillId="16" borderId="49" xfId="0" applyFill="1" applyBorder="1" applyAlignment="1">
      <alignment horizontal="center" vertical="center"/>
    </xf>
    <xf numFmtId="0" fontId="0" fillId="16" borderId="64" xfId="0" applyFill="1" applyBorder="1" applyAlignment="1">
      <alignment horizontal="center" vertical="center"/>
    </xf>
    <xf numFmtId="0" fontId="0" fillId="16" borderId="51" xfId="0" applyFill="1" applyBorder="1" applyAlignment="1">
      <alignment horizontal="center" vertical="center"/>
    </xf>
    <xf numFmtId="0" fontId="0" fillId="17" borderId="65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6" xfId="0" applyFont="1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3" fillId="17" borderId="67" xfId="0" applyFont="1" applyFill="1" applyBorder="1" applyAlignment="1">
      <alignment horizontal="center" vertical="center" wrapText="1"/>
    </xf>
    <xf numFmtId="0" fontId="0" fillId="17" borderId="68" xfId="0" applyFill="1" applyBorder="1" applyAlignment="1">
      <alignment horizontal="center" vertical="center" wrapText="1"/>
    </xf>
    <xf numFmtId="0" fontId="18" fillId="16" borderId="51" xfId="0" applyFont="1" applyFill="1" applyBorder="1" applyAlignment="1">
      <alignment horizontal="center" vertical="center"/>
    </xf>
    <xf numFmtId="0" fontId="0" fillId="17" borderId="52" xfId="0" applyFill="1" applyBorder="1" applyAlignment="1">
      <alignment horizontal="center" vertical="center"/>
    </xf>
    <xf numFmtId="0" fontId="0" fillId="17" borderId="55" xfId="0" applyFill="1" applyBorder="1"/>
    <xf numFmtId="0" fontId="0" fillId="17" borderId="81" xfId="0" applyFill="1" applyBorder="1" applyAlignment="1">
      <alignment horizontal="center" vertical="center"/>
    </xf>
    <xf numFmtId="0" fontId="0" fillId="17" borderId="57" xfId="0" applyFill="1" applyBorder="1"/>
    <xf numFmtId="0" fontId="42" fillId="0" borderId="0" xfId="0" applyFont="1" applyAlignment="1">
      <alignment wrapText="1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87" xfId="0" applyFill="1" applyBorder="1"/>
    <xf numFmtId="0" fontId="0" fillId="17" borderId="88" xfId="0" applyFill="1" applyBorder="1"/>
    <xf numFmtId="0" fontId="0" fillId="17" borderId="87" xfId="0" applyFill="1" applyBorder="1" applyAlignment="1">
      <alignment horizontal="right"/>
    </xf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44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1" xfId="0" applyBorder="1"/>
    <xf numFmtId="0" fontId="0" fillId="0" borderId="54" xfId="0" applyBorder="1"/>
    <xf numFmtId="0" fontId="0" fillId="0" borderId="55" xfId="0" applyBorder="1"/>
    <xf numFmtId="0" fontId="0" fillId="0" borderId="70" xfId="0" applyBorder="1"/>
    <xf numFmtId="0" fontId="0" fillId="0" borderId="57" xfId="0" applyBorder="1"/>
    <xf numFmtId="0" fontId="0" fillId="0" borderId="56" xfId="0" applyBorder="1"/>
    <xf numFmtId="0" fontId="0" fillId="0" borderId="58" xfId="0" applyBorder="1"/>
    <xf numFmtId="0" fontId="0" fillId="0" borderId="68" xfId="0" applyBorder="1"/>
    <xf numFmtId="0" fontId="0" fillId="0" borderId="77" xfId="0" applyBorder="1"/>
    <xf numFmtId="0" fontId="0" fillId="0" borderId="75" xfId="0" applyBorder="1"/>
    <xf numFmtId="0" fontId="0" fillId="0" borderId="79" xfId="0" applyBorder="1"/>
    <xf numFmtId="0" fontId="0" fillId="0" borderId="78" xfId="0" applyBorder="1"/>
    <xf numFmtId="0" fontId="0" fillId="0" borderId="80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3" xfId="0" applyFont="1" applyFill="1" applyBorder="1" applyAlignment="1">
      <alignment horizontal="center" vertical="center" wrapText="1"/>
    </xf>
    <xf numFmtId="0" fontId="0" fillId="0" borderId="93" xfId="0" applyBorder="1"/>
    <xf numFmtId="0" fontId="0" fillId="17" borderId="77" xfId="0" applyFill="1" applyBorder="1"/>
    <xf numFmtId="0" fontId="0" fillId="17" borderId="92" xfId="0" applyFill="1" applyBorder="1"/>
    <xf numFmtId="0" fontId="0" fillId="0" borderId="50" xfId="0" applyBorder="1"/>
    <xf numFmtId="0" fontId="0" fillId="0" borderId="69" xfId="0" applyBorder="1"/>
    <xf numFmtId="0" fontId="0" fillId="0" borderId="52" xfId="0" applyBorder="1"/>
    <xf numFmtId="0" fontId="0" fillId="0" borderId="53" xfId="0" applyBorder="1"/>
    <xf numFmtId="0" fontId="0" fillId="0" borderId="71" xfId="0" applyBorder="1"/>
    <xf numFmtId="0" fontId="0" fillId="0" borderId="65" xfId="0" applyBorder="1"/>
    <xf numFmtId="0" fontId="8" fillId="10" borderId="0" xfId="0" applyFont="1" applyFill="1" applyAlignment="1">
      <alignment horizontal="center" vertical="center" wrapText="1"/>
    </xf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19" fillId="10" borderId="0" xfId="0" applyFont="1" applyFill="1" applyAlignment="1">
      <alignment horizontal="center" vertical="center" wrapText="1"/>
    </xf>
    <xf numFmtId="0" fontId="0" fillId="0" borderId="67" xfId="0" applyBorder="1"/>
    <xf numFmtId="0" fontId="0" fillId="0" borderId="95" xfId="0" applyBorder="1"/>
    <xf numFmtId="0" fontId="0" fillId="0" borderId="94" xfId="0" applyBorder="1"/>
    <xf numFmtId="0" fontId="0" fillId="0" borderId="82" xfId="0" applyBorder="1"/>
    <xf numFmtId="0" fontId="39" fillId="16" borderId="0" xfId="0" applyFont="1" applyFill="1" applyAlignment="1">
      <alignment horizontal="left" vertical="center"/>
    </xf>
    <xf numFmtId="0" fontId="0" fillId="0" borderId="83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53" xfId="0" applyFont="1" applyFill="1" applyBorder="1" applyAlignment="1">
      <alignment horizontal="center" vertical="center"/>
    </xf>
    <xf numFmtId="0" fontId="3" fillId="24" borderId="76" xfId="0" applyFont="1" applyFill="1" applyBorder="1" applyAlignment="1">
      <alignment horizontal="center" vertical="center"/>
    </xf>
    <xf numFmtId="0" fontId="3" fillId="24" borderId="57" xfId="0" applyFont="1" applyFill="1" applyBorder="1" applyAlignment="1">
      <alignment horizontal="center" vertical="center"/>
    </xf>
    <xf numFmtId="0" fontId="3" fillId="24" borderId="68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7" xfId="0" applyNumberFormat="1" applyFont="1" applyFill="1" applyBorder="1" applyAlignment="1">
      <alignment horizontal="center" vertical="center"/>
    </xf>
    <xf numFmtId="165" fontId="40" fillId="10" borderId="68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7" xfId="0" applyFont="1" applyFill="1" applyBorder="1" applyAlignment="1">
      <alignment horizontal="left" vertical="center" wrapText="1"/>
    </xf>
    <xf numFmtId="0" fontId="19" fillId="16" borderId="59" xfId="0" applyFont="1" applyFill="1" applyBorder="1" applyAlignment="1">
      <alignment horizontal="left" vertical="center" wrapText="1"/>
    </xf>
    <xf numFmtId="0" fontId="3" fillId="24" borderId="57" xfId="0" applyFont="1" applyFill="1" applyBorder="1" applyAlignment="1">
      <alignment horizontal="center" vertical="center" wrapText="1"/>
    </xf>
    <xf numFmtId="0" fontId="3" fillId="24" borderId="68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0" fillId="16" borderId="0" xfId="0" applyFill="1"/>
    <xf numFmtId="0" fontId="35" fillId="29" borderId="96" xfId="0" applyFont="1" applyFill="1" applyBorder="1" applyAlignment="1">
      <alignment horizontal="center" vertical="center"/>
    </xf>
    <xf numFmtId="0" fontId="37" fillId="30" borderId="97" xfId="0" applyFont="1" applyFill="1" applyBorder="1" applyAlignment="1">
      <alignment horizontal="center" vertical="center"/>
    </xf>
    <xf numFmtId="0" fontId="37" fillId="16" borderId="98" xfId="0" applyFont="1" applyFill="1" applyBorder="1" applyAlignment="1">
      <alignment horizontal="center" vertical="center"/>
    </xf>
    <xf numFmtId="0" fontId="36" fillId="29" borderId="99" xfId="0" applyFont="1" applyFill="1" applyBorder="1" applyAlignment="1">
      <alignment horizontal="center" vertical="center"/>
    </xf>
    <xf numFmtId="0" fontId="38" fillId="16" borderId="100" xfId="0" applyFont="1" applyFill="1" applyBorder="1" applyAlignment="1">
      <alignment horizontal="center" vertical="center"/>
    </xf>
    <xf numFmtId="0" fontId="36" fillId="29" borderId="101" xfId="0" applyFont="1" applyFill="1" applyBorder="1" applyAlignment="1">
      <alignment horizontal="center" vertical="center"/>
    </xf>
    <xf numFmtId="0" fontId="38" fillId="30" borderId="102" xfId="0" applyFont="1" applyFill="1" applyBorder="1" applyAlignment="1">
      <alignment horizontal="center" vertical="center"/>
    </xf>
    <xf numFmtId="0" fontId="38" fillId="16" borderId="103" xfId="0" applyFont="1" applyFill="1" applyBorder="1" applyAlignment="1">
      <alignment horizontal="center" vertical="center"/>
    </xf>
    <xf numFmtId="0" fontId="35" fillId="29" borderId="104" xfId="0" applyFont="1" applyFill="1" applyBorder="1" applyAlignment="1">
      <alignment horizontal="center" vertical="center"/>
    </xf>
    <xf numFmtId="0" fontId="35" fillId="29" borderId="105" xfId="0" applyFont="1" applyFill="1" applyBorder="1" applyAlignment="1">
      <alignment horizontal="center" vertical="center"/>
    </xf>
    <xf numFmtId="0" fontId="37" fillId="30" borderId="98" xfId="0" applyFont="1" applyFill="1" applyBorder="1" applyAlignment="1">
      <alignment horizontal="center" vertical="center"/>
    </xf>
    <xf numFmtId="0" fontId="36" fillId="29" borderId="106" xfId="0" applyFont="1" applyFill="1" applyBorder="1" applyAlignment="1">
      <alignment horizontal="center" vertical="center"/>
    </xf>
    <xf numFmtId="0" fontId="38" fillId="30" borderId="100" xfId="0" applyFont="1" applyFill="1" applyBorder="1" applyAlignment="1">
      <alignment horizontal="center" vertical="center"/>
    </xf>
    <xf numFmtId="0" fontId="36" fillId="29" borderId="107" xfId="0" applyFont="1" applyFill="1" applyBorder="1" applyAlignment="1">
      <alignment horizontal="center" vertical="center"/>
    </xf>
    <xf numFmtId="0" fontId="36" fillId="29" borderId="108" xfId="0" applyFont="1" applyFill="1" applyBorder="1" applyAlignment="1">
      <alignment horizontal="center" vertical="center"/>
    </xf>
    <xf numFmtId="0" fontId="38" fillId="30" borderId="103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56" dataDxfId="55">
  <autoFilter ref="A1:F2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54"/>
    <tableColumn id="2" xr3:uid="{0C1B8A30-A3B8-DA4D-B893-C4C99FF33E90}" name="nom" dataDxfId="53"/>
    <tableColumn id="3" xr3:uid="{8AE5AF32-0026-9B41-8B0B-16B9ED0F3727}" name="prenom" dataDxfId="52"/>
    <tableColumn id="6" xr3:uid="{D5D3A7D0-7C7D-684B-8AA7-DABBCC7051CF}" name="1ère ligne" dataDxfId="51"/>
    <tableColumn id="4" xr3:uid="{4CE41A86-7158-6B42-B932-A5275F10AB48}" name="prenom NOM" dataDxfId="50"/>
    <tableColumn id="5" xr3:uid="{EB017694-E6D2-7440-91BF-61113926AB7D}" name="NOM Prénom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48" dataDxfId="47">
  <autoFilter ref="J1:J2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42" dataDxfId="40" headerRowBorderDxfId="41" tableBorderDxfId="39" totalsRowBorderDxfId="38">
  <autoFilter ref="Q1:R54" xr:uid="{6D1F5F0A-5FD5-AC4E-A195-33A78A5E0E58}"/>
  <tableColumns count="2">
    <tableColumn id="1" xr3:uid="{8A0D5429-5616-B849-BD27-167A576FE99E}" name="Nom de cellule à créer" dataDxfId="37"/>
    <tableColumn id="2" xr3:uid="{19545507-672A-9F40-8818-E4C9060AA52B}" name="Libellé" dataDxfId="3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5" headerRowBorderDxfId="34" tableBorderDxfId="33" totalsRowBorderDxfId="3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1" headerRowBorderDxfId="30" tableBorderDxfId="29" totalsRowBorderDxfId="2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7" dataDxfId="26">
  <autoFilter ref="I14:I20" xr:uid="{CC940AF9-E81A-F746-8EAD-392809C3CFBE}"/>
  <tableColumns count="1">
    <tableColumn id="1" xr3:uid="{816CA1DF-3681-2948-A622-26353E2B9A97}" name="LISTE_LECTEUR_VIDEO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4" dataDxfId="23">
  <autoFilter ref="C1:C4" xr:uid="{61FC7709-08E5-D048-A38B-441B18CF5D35}"/>
  <tableColumns count="1">
    <tableColumn id="1" xr3:uid="{C41B523D-40DA-AF48-A2C2-015B04960B0A}" name="LIEU_MATCH" dataDxfId="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1" dataDxfId="20">
  <autoFilter ref="C6:C10" xr:uid="{86EA01CF-5567-6445-9906-AD2B60CA0A8A}"/>
  <tableColumns count="1">
    <tableColumn id="1" xr3:uid="{B57F8324-6F25-7B40-9B20-1BFDF9708631}" name="PHASE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8" dataDxfId="17">
  <autoFilter ref="C12:C15" xr:uid="{DAA9B017-78F0-D447-B788-CF8333AEAC38}"/>
  <tableColumns count="1">
    <tableColumn id="1" xr3:uid="{C5E86C3D-762A-054E-B864-5A67DBB9A8CA}" name="RESULTAT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5" dataDxfId="14">
  <autoFilter ref="C17:C21" xr:uid="{F661D9E2-619C-DA44-92C5-8A09E8E281AC}"/>
  <tableColumns count="1">
    <tableColumn id="1" xr3:uid="{ADD3AF05-089E-D149-9728-7C2A6F62FA22}" name="EQUIPE_NIV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12" dataDxfId="10" headerRowBorderDxfId="11" tableBorderDxfId="9" totalsRowBorderDxfId="8">
  <autoFilter ref="K1:K3" xr:uid="{391966D0-8F83-3948-82BB-835638F7D3FE}"/>
  <tableColumns count="1">
    <tableColumn id="1" xr3:uid="{F45BF991-6668-F741-B07C-7905B99AC752}" name="LISTE_JOUEURS_JOURNAL" dataDxfId="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6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9" sqref="I19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0" t="s">
        <v>121</v>
      </c>
      <c r="C1" s="200" t="s">
        <v>122</v>
      </c>
      <c r="D1" s="200" t="s">
        <v>340</v>
      </c>
      <c r="E1" s="200" t="s">
        <v>123</v>
      </c>
      <c r="F1" s="200" t="s">
        <v>162</v>
      </c>
      <c r="J1" t="s">
        <v>320</v>
      </c>
    </row>
    <row r="2" spans="1:10">
      <c r="B2" s="148"/>
      <c r="C2" s="148"/>
      <c r="D2" s="148"/>
      <c r="J2"/>
    </row>
    <row r="3" spans="1:10">
      <c r="A3" s="263"/>
      <c r="B3" s="263"/>
      <c r="C3" s="263"/>
      <c r="D3" s="263"/>
      <c r="E3" s="263"/>
      <c r="F3" s="263"/>
      <c r="J3" s="263"/>
    </row>
    <row r="4" spans="1:10">
      <c r="A4" s="263"/>
      <c r="B4" s="263"/>
      <c r="C4" s="263"/>
      <c r="D4" s="263"/>
      <c r="E4" s="263"/>
      <c r="F4" s="263"/>
      <c r="J4" s="263"/>
    </row>
    <row r="5" spans="1:10">
      <c r="A5" s="263"/>
      <c r="B5" s="263"/>
      <c r="C5" s="263"/>
      <c r="D5" s="263"/>
      <c r="E5" s="263"/>
      <c r="F5" s="263"/>
      <c r="J5" s="263"/>
    </row>
    <row r="6" spans="1:10">
      <c r="A6" s="263"/>
      <c r="B6" s="263"/>
      <c r="C6" s="263"/>
      <c r="D6" s="263"/>
      <c r="E6" s="263"/>
      <c r="F6" s="263"/>
      <c r="J6" s="263"/>
    </row>
    <row r="7" spans="1:10">
      <c r="A7" s="263"/>
      <c r="B7" s="263"/>
      <c r="C7" s="263"/>
      <c r="D7" s="263"/>
      <c r="E7" s="263"/>
      <c r="F7" s="263"/>
      <c r="J7" s="263"/>
    </row>
    <row r="8" spans="1:10">
      <c r="A8" s="263"/>
      <c r="B8" s="263"/>
      <c r="C8" s="263"/>
      <c r="D8" s="263"/>
      <c r="E8" s="263"/>
      <c r="F8" s="263"/>
      <c r="J8" s="263"/>
    </row>
    <row r="9" spans="1:10">
      <c r="A9" s="263"/>
      <c r="B9" s="263"/>
      <c r="C9" s="263"/>
      <c r="D9" s="263"/>
      <c r="E9" s="263"/>
      <c r="F9" s="263"/>
      <c r="J9" s="263"/>
    </row>
    <row r="10" spans="1:10">
      <c r="A10" s="263"/>
      <c r="B10" s="263"/>
      <c r="C10" s="263"/>
      <c r="D10" s="263"/>
      <c r="E10" s="263"/>
      <c r="F10" s="263"/>
      <c r="J10" s="263"/>
    </row>
    <row r="11" spans="1:10">
      <c r="A11" s="263"/>
      <c r="B11" s="263"/>
      <c r="C11" s="263"/>
      <c r="D11" s="263"/>
      <c r="E11" s="263"/>
      <c r="F11" s="263"/>
      <c r="J11" s="263"/>
    </row>
    <row r="12" spans="1:10">
      <c r="A12" s="263"/>
      <c r="B12" s="263"/>
      <c r="C12" s="263"/>
      <c r="D12" s="263"/>
      <c r="E12" s="263"/>
      <c r="F12" s="263"/>
    </row>
    <row r="13" spans="1:10">
      <c r="A13" s="263"/>
      <c r="B13" s="263"/>
      <c r="C13" s="263"/>
      <c r="D13" s="263"/>
      <c r="E13" s="263"/>
      <c r="F13" s="263"/>
    </row>
    <row r="14" spans="1:10">
      <c r="A14" s="263"/>
      <c r="B14" s="263"/>
      <c r="C14" s="263"/>
      <c r="D14" s="263"/>
      <c r="E14" s="263"/>
      <c r="F14" s="263"/>
    </row>
    <row r="15" spans="1:10">
      <c r="A15" s="263"/>
      <c r="B15" s="263"/>
      <c r="C15" s="263"/>
      <c r="D15" s="263"/>
      <c r="E15" s="263"/>
      <c r="F15" s="263"/>
    </row>
    <row r="16" spans="1:10">
      <c r="A16" s="263"/>
      <c r="B16" s="263"/>
      <c r="C16" s="263"/>
      <c r="D16" s="263"/>
      <c r="E16" s="263"/>
      <c r="F16" s="263"/>
    </row>
    <row r="17" spans="1:6">
      <c r="A17" s="263"/>
      <c r="B17" s="263"/>
      <c r="C17" s="263"/>
      <c r="D17" s="263"/>
      <c r="E17" s="263"/>
      <c r="F17" s="263"/>
    </row>
    <row r="18" spans="1:6">
      <c r="A18" s="263"/>
      <c r="B18" s="263"/>
      <c r="C18" s="263"/>
      <c r="D18" s="263"/>
      <c r="E18" s="263"/>
      <c r="F18" s="263"/>
    </row>
    <row r="19" spans="1:6">
      <c r="A19" s="263"/>
      <c r="B19" s="263"/>
      <c r="C19" s="263"/>
      <c r="D19" s="263"/>
      <c r="E19" s="263"/>
      <c r="F19" s="263"/>
    </row>
    <row r="20" spans="1:6">
      <c r="A20" s="263"/>
      <c r="B20" s="263"/>
      <c r="C20" s="263"/>
      <c r="D20" s="263"/>
      <c r="E20" s="263"/>
      <c r="F20" s="263"/>
    </row>
    <row r="21" spans="1:6">
      <c r="A21" s="263"/>
      <c r="B21" s="263"/>
      <c r="C21" s="263"/>
      <c r="D21" s="263"/>
      <c r="E21" s="263"/>
      <c r="F21" s="263"/>
    </row>
    <row r="22" spans="1:6">
      <c r="A22" s="263"/>
      <c r="B22" s="263"/>
      <c r="C22" s="263"/>
      <c r="D22" s="263"/>
      <c r="E22" s="263"/>
      <c r="F22" s="263"/>
    </row>
    <row r="23" spans="1:6">
      <c r="A23" s="263"/>
      <c r="B23" s="263"/>
      <c r="C23" s="263"/>
      <c r="D23" s="263"/>
      <c r="E23" s="263"/>
      <c r="F23" s="263"/>
    </row>
    <row r="24" spans="1:6">
      <c r="A24" s="263"/>
      <c r="B24" s="263"/>
      <c r="C24" s="263"/>
      <c r="D24" s="263"/>
      <c r="E24" s="263"/>
      <c r="F24" s="263"/>
    </row>
    <row r="25" spans="1:6">
      <c r="A25" s="263"/>
      <c r="B25" s="263"/>
      <c r="C25" s="263"/>
      <c r="D25" s="263"/>
      <c r="E25" s="263"/>
      <c r="F25" s="263"/>
    </row>
    <row r="26" spans="1:6" ht="12" customHeight="1">
      <c r="A26" s="263"/>
      <c r="B26" s="263"/>
      <c r="C26" s="263"/>
      <c r="D26" s="263"/>
      <c r="E26" s="263"/>
      <c r="F26" s="263"/>
    </row>
    <row r="27" spans="1:6" s="25" customFormat="1">
      <c r="A27" s="263"/>
      <c r="B27" s="263"/>
      <c r="C27" s="263"/>
      <c r="D27" s="263"/>
      <c r="E27" s="263"/>
      <c r="F27" s="263"/>
    </row>
    <row r="28" spans="1:6" s="25" customFormat="1">
      <c r="A28" s="263"/>
      <c r="B28" s="263"/>
      <c r="C28" s="263"/>
      <c r="D28" s="263"/>
      <c r="E28" s="263"/>
      <c r="F28" s="263"/>
    </row>
    <row r="29" spans="1:6" s="25" customFormat="1">
      <c r="A29" s="263"/>
      <c r="B29" s="263"/>
      <c r="C29" s="263"/>
      <c r="D29" s="263"/>
      <c r="E29" s="263"/>
      <c r="F29" s="263"/>
    </row>
    <row r="30" spans="1:6" s="25" customFormat="1">
      <c r="A30" s="263"/>
      <c r="B30" s="263"/>
      <c r="C30" s="263"/>
      <c r="D30" s="263"/>
      <c r="E30" s="263"/>
      <c r="F30" s="263"/>
    </row>
    <row r="31" spans="1:6" s="25" customFormat="1">
      <c r="A31" s="263"/>
      <c r="B31" s="263"/>
      <c r="C31" s="263"/>
      <c r="D31" s="263"/>
      <c r="E31" s="263"/>
      <c r="F31" s="263"/>
    </row>
    <row r="32" spans="1:6" s="25" customFormat="1">
      <c r="A32" s="263"/>
      <c r="B32" s="263"/>
      <c r="C32" s="263"/>
      <c r="D32" s="263"/>
      <c r="E32" s="263"/>
      <c r="F32" s="263"/>
    </row>
    <row r="33" spans="1:6" s="25" customFormat="1">
      <c r="A33" s="263"/>
      <c r="B33" s="263"/>
      <c r="C33" s="263"/>
      <c r="D33" s="263"/>
      <c r="E33" s="263"/>
      <c r="F33" s="263"/>
    </row>
    <row r="34" spans="1:6" s="25" customFormat="1">
      <c r="A34" s="263"/>
      <c r="B34" s="263"/>
      <c r="C34" s="263"/>
      <c r="D34" s="263"/>
      <c r="E34" s="263"/>
      <c r="F34" s="263"/>
    </row>
    <row r="35" spans="1:6" s="25" customFormat="1">
      <c r="A35" s="263"/>
      <c r="B35" s="263"/>
      <c r="C35" s="263"/>
      <c r="D35" s="263"/>
      <c r="E35" s="263"/>
      <c r="F35" s="263"/>
    </row>
    <row r="36" spans="1:6" s="25" customFormat="1">
      <c r="A36" s="263"/>
      <c r="B36" s="263"/>
      <c r="C36" s="263"/>
      <c r="D36" s="263"/>
      <c r="E36" s="263"/>
      <c r="F36" s="263"/>
    </row>
    <row r="37" spans="1:6" s="25" customFormat="1">
      <c r="A37" s="263"/>
      <c r="B37" s="263"/>
      <c r="C37" s="263"/>
      <c r="D37" s="263"/>
      <c r="E37" s="263"/>
      <c r="F37" s="263"/>
    </row>
    <row r="38" spans="1:6" s="25" customFormat="1">
      <c r="A38" s="263"/>
      <c r="B38" s="263"/>
      <c r="C38" s="263"/>
      <c r="D38" s="263"/>
      <c r="E38" s="263"/>
      <c r="F38" s="263"/>
    </row>
    <row r="39" spans="1:6" s="25" customFormat="1">
      <c r="A39" s="263"/>
      <c r="B39" s="263"/>
      <c r="C39" s="263"/>
      <c r="D39" s="263"/>
      <c r="E39" s="263"/>
      <c r="F39" s="263"/>
    </row>
    <row r="40" spans="1:6" s="25" customFormat="1">
      <c r="A40" s="263"/>
      <c r="B40" s="263"/>
      <c r="C40" s="263"/>
      <c r="D40" s="263"/>
      <c r="E40" s="263"/>
      <c r="F40" s="263"/>
    </row>
    <row r="41" spans="1:6" s="25" customFormat="1">
      <c r="A41" s="263"/>
      <c r="B41" s="263"/>
      <c r="C41" s="263"/>
      <c r="D41" s="263"/>
      <c r="E41" s="263"/>
      <c r="F41" s="263"/>
    </row>
    <row r="42" spans="1:6" s="25" customFormat="1">
      <c r="A42" s="263"/>
      <c r="B42" s="263"/>
      <c r="C42" s="263"/>
      <c r="D42" s="263"/>
      <c r="E42" s="263"/>
      <c r="F42" s="263"/>
    </row>
    <row r="43" spans="1:6" s="25" customFormat="1">
      <c r="A43" s="263"/>
      <c r="B43" s="263"/>
      <c r="C43" s="263"/>
      <c r="D43" s="263"/>
      <c r="E43" s="263"/>
      <c r="F43" s="263"/>
    </row>
    <row r="44" spans="1:6" s="25" customFormat="1">
      <c r="A44" s="263"/>
      <c r="B44" s="263"/>
      <c r="C44" s="263"/>
      <c r="D44" s="263"/>
      <c r="E44" s="263"/>
      <c r="F44" s="263"/>
    </row>
    <row r="45" spans="1:6" s="25" customFormat="1">
      <c r="A45" s="263"/>
      <c r="B45" s="263"/>
      <c r="C45" s="263"/>
      <c r="D45" s="263"/>
      <c r="E45" s="263"/>
      <c r="F45" s="263"/>
    </row>
    <row r="46" spans="1:6" s="25" customFormat="1">
      <c r="A46" s="263"/>
      <c r="B46" s="263"/>
      <c r="C46" s="263"/>
      <c r="D46" s="263"/>
      <c r="E46" s="263"/>
      <c r="F46" s="263"/>
    </row>
    <row r="47" spans="1:6" s="25" customFormat="1">
      <c r="A47" s="263"/>
      <c r="B47" s="263"/>
      <c r="C47" s="263"/>
      <c r="D47" s="263"/>
      <c r="E47" s="263"/>
      <c r="F47" s="263"/>
    </row>
    <row r="48" spans="1:6" s="25" customFormat="1">
      <c r="A48" s="263"/>
      <c r="B48" s="263"/>
      <c r="C48" s="263"/>
      <c r="D48" s="263"/>
      <c r="E48" s="263"/>
      <c r="F48" s="263"/>
    </row>
    <row r="49" spans="1:6" s="25" customFormat="1">
      <c r="A49" s="263"/>
      <c r="B49" s="263"/>
      <c r="C49" s="263"/>
      <c r="D49" s="263"/>
      <c r="E49" s="263"/>
      <c r="F49" s="263"/>
    </row>
    <row r="50" spans="1:6" s="25" customFormat="1">
      <c r="A50" s="263"/>
      <c r="B50" s="263"/>
      <c r="C50" s="263"/>
      <c r="D50" s="263"/>
      <c r="E50" s="263"/>
      <c r="F50" s="263"/>
    </row>
    <row r="51" spans="1:6" s="25" customFormat="1">
      <c r="A51" s="263"/>
      <c r="B51" s="263"/>
      <c r="C51" s="263"/>
      <c r="D51" s="263"/>
      <c r="E51" s="263"/>
      <c r="F51" s="263"/>
    </row>
    <row r="52" spans="1:6" s="25" customFormat="1">
      <c r="A52" s="263"/>
      <c r="B52" s="263"/>
      <c r="C52" s="263"/>
      <c r="D52" s="263"/>
      <c r="E52" s="263"/>
      <c r="F52" s="263"/>
    </row>
    <row r="53" spans="1:6" s="25" customFormat="1">
      <c r="A53" s="263"/>
      <c r="B53" s="263"/>
      <c r="C53" s="263"/>
      <c r="D53" s="263"/>
      <c r="E53" s="263"/>
      <c r="F53" s="263"/>
    </row>
    <row r="54" spans="1:6" s="25" customFormat="1">
      <c r="A54" s="263"/>
      <c r="B54" s="263"/>
      <c r="C54" s="263"/>
      <c r="D54" s="263"/>
      <c r="E54" s="263"/>
      <c r="F54" s="263"/>
    </row>
    <row r="55" spans="1:6" s="25" customFormat="1">
      <c r="A55" s="263"/>
      <c r="B55" s="263"/>
      <c r="C55" s="263"/>
      <c r="D55" s="263"/>
      <c r="E55" s="263"/>
      <c r="F55" s="263"/>
    </row>
    <row r="56" spans="1:6" s="25" customFormat="1">
      <c r="A56" s="263"/>
      <c r="B56" s="263"/>
      <c r="C56" s="263"/>
      <c r="D56" s="263"/>
      <c r="E56" s="263"/>
      <c r="F56" s="263"/>
    </row>
    <row r="57" spans="1:6" s="25" customFormat="1">
      <c r="A57" s="263"/>
      <c r="B57" s="263"/>
      <c r="C57" s="263"/>
      <c r="D57" s="263"/>
      <c r="E57" s="263"/>
      <c r="F57" s="263"/>
    </row>
    <row r="58" spans="1:6" s="25" customFormat="1">
      <c r="A58" s="263"/>
      <c r="B58" s="263"/>
      <c r="C58" s="263"/>
      <c r="D58" s="263"/>
      <c r="E58" s="263"/>
      <c r="F58" s="263"/>
    </row>
    <row r="59" spans="1:6" s="25" customFormat="1">
      <c r="A59" s="263"/>
      <c r="B59" s="263"/>
      <c r="C59" s="263"/>
      <c r="D59" s="263"/>
      <c r="E59" s="263"/>
      <c r="F59" s="263"/>
    </row>
    <row r="60" spans="1:6" s="25" customFormat="1">
      <c r="A60" s="263"/>
      <c r="B60" s="263"/>
      <c r="C60" s="263"/>
      <c r="D60" s="263"/>
      <c r="E60" s="263"/>
      <c r="F60" s="263"/>
    </row>
    <row r="61" spans="1:6" s="25" customFormat="1">
      <c r="A61" s="263"/>
      <c r="B61" s="263"/>
      <c r="C61" s="263"/>
      <c r="D61" s="263"/>
      <c r="E61" s="263"/>
      <c r="F61" s="263"/>
    </row>
    <row r="62" spans="1:6" s="25" customFormat="1">
      <c r="A62" s="263"/>
      <c r="B62" s="263"/>
      <c r="C62" s="263"/>
      <c r="D62" s="263"/>
      <c r="E62" s="263"/>
      <c r="F62" s="263"/>
    </row>
    <row r="63" spans="1:6" s="25" customFormat="1">
      <c r="A63" s="263"/>
      <c r="B63" s="263"/>
      <c r="C63" s="263"/>
      <c r="D63" s="263"/>
      <c r="E63" s="263"/>
      <c r="F63" s="263"/>
    </row>
    <row r="64" spans="1:6" s="25" customFormat="1">
      <c r="A64" s="263"/>
      <c r="B64" s="263"/>
      <c r="C64" s="263"/>
      <c r="D64" s="263"/>
      <c r="E64" s="263"/>
      <c r="F64" s="263"/>
    </row>
    <row r="65" spans="1:6" s="25" customFormat="1">
      <c r="A65" s="263"/>
      <c r="B65" s="263"/>
      <c r="C65" s="263"/>
      <c r="D65" s="263"/>
      <c r="E65" s="263"/>
      <c r="F65" s="263"/>
    </row>
    <row r="66" spans="1:6" s="25" customFormat="1">
      <c r="A66" s="263"/>
      <c r="B66" s="263"/>
      <c r="C66" s="263"/>
      <c r="D66" s="263"/>
      <c r="E66" s="263"/>
      <c r="F66" s="263"/>
    </row>
    <row r="67" spans="1:6" s="25" customFormat="1">
      <c r="A67" s="263"/>
      <c r="B67" s="263"/>
      <c r="C67" s="263"/>
      <c r="D67" s="263"/>
      <c r="E67" s="263"/>
      <c r="F67" s="263"/>
    </row>
    <row r="68" spans="1:6" s="25" customFormat="1">
      <c r="A68" s="263"/>
      <c r="B68" s="263"/>
      <c r="C68" s="263"/>
      <c r="D68" s="263"/>
      <c r="E68" s="263"/>
      <c r="F68" s="263"/>
    </row>
    <row r="69" spans="1:6" s="25" customFormat="1">
      <c r="A69" s="263"/>
      <c r="B69" s="263"/>
      <c r="C69" s="263"/>
      <c r="D69" s="263"/>
      <c r="E69" s="263"/>
      <c r="F69" s="263"/>
    </row>
    <row r="70" spans="1:6" s="25" customFormat="1">
      <c r="A70" s="263"/>
      <c r="B70" s="263"/>
      <c r="C70" s="263"/>
      <c r="D70" s="263"/>
      <c r="E70" s="263"/>
      <c r="F70" s="263"/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C39" sqref="C39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02" t="s">
        <v>253</v>
      </c>
      <c r="C2" s="202"/>
      <c r="E2" s="203" t="s">
        <v>254</v>
      </c>
      <c r="F2" s="204"/>
      <c r="G2" s="204"/>
      <c r="H2" s="205"/>
    </row>
    <row r="3" spans="1:8" ht="19" customHeight="1">
      <c r="B3" s="202"/>
      <c r="C3" s="202"/>
      <c r="E3" s="206"/>
      <c r="F3" s="207"/>
      <c r="G3" s="207"/>
      <c r="H3" s="208"/>
    </row>
    <row r="4" spans="1:8" ht="19" customHeight="1" thickBot="1">
      <c r="B4" s="202"/>
      <c r="C4" s="202"/>
      <c r="E4" s="209"/>
      <c r="F4" s="210"/>
      <c r="G4" s="210"/>
      <c r="H4" s="211"/>
    </row>
    <row r="5" spans="1:8" s="25" customFormat="1">
      <c r="A5" s="91"/>
      <c r="D5" s="91"/>
    </row>
    <row r="6" spans="1:8">
      <c r="B6" s="70" t="s">
        <v>233</v>
      </c>
      <c r="C6" s="71"/>
      <c r="E6" t="s">
        <v>118</v>
      </c>
      <c r="F6" t="s">
        <v>119</v>
      </c>
      <c r="G6" t="s">
        <v>201</v>
      </c>
      <c r="H6" t="s">
        <v>200</v>
      </c>
    </row>
    <row r="7" spans="1:8">
      <c r="B7" s="25"/>
      <c r="C7" s="25"/>
      <c r="E7">
        <v>1</v>
      </c>
      <c r="G7" t="s">
        <v>203</v>
      </c>
    </row>
    <row r="8" spans="1:8">
      <c r="B8" s="70" t="s">
        <v>262</v>
      </c>
      <c r="C8" s="71"/>
      <c r="E8">
        <v>2</v>
      </c>
      <c r="G8" t="s">
        <v>203</v>
      </c>
    </row>
    <row r="9" spans="1:8">
      <c r="B9" s="25"/>
      <c r="C9" s="25"/>
      <c r="E9">
        <v>3</v>
      </c>
      <c r="G9" t="s">
        <v>203</v>
      </c>
    </row>
    <row r="10" spans="1:8">
      <c r="B10" s="70" t="s">
        <v>234</v>
      </c>
      <c r="C10" s="71"/>
      <c r="E10">
        <v>4</v>
      </c>
      <c r="G10" t="s">
        <v>203</v>
      </c>
    </row>
    <row r="11" spans="1:8">
      <c r="B11" s="25"/>
      <c r="C11" s="25"/>
      <c r="E11">
        <v>5</v>
      </c>
      <c r="G11" t="s">
        <v>203</v>
      </c>
    </row>
    <row r="12" spans="1:8">
      <c r="B12" s="70" t="s">
        <v>261</v>
      </c>
      <c r="C12" s="71"/>
      <c r="E12">
        <v>6</v>
      </c>
      <c r="G12" t="s">
        <v>203</v>
      </c>
    </row>
    <row r="13" spans="1:8">
      <c r="B13" s="25"/>
      <c r="C13" s="25"/>
      <c r="E13">
        <v>7</v>
      </c>
      <c r="G13" t="s">
        <v>203</v>
      </c>
    </row>
    <row r="14" spans="1:8">
      <c r="B14" s="70" t="s">
        <v>235</v>
      </c>
      <c r="C14" s="71"/>
      <c r="E14">
        <v>8</v>
      </c>
      <c r="G14" t="s">
        <v>203</v>
      </c>
    </row>
    <row r="15" spans="1:8">
      <c r="B15" s="25"/>
      <c r="C15" s="92"/>
      <c r="E15" s="63">
        <v>9</v>
      </c>
      <c r="F15" s="63"/>
      <c r="G15" s="63" t="s">
        <v>221</v>
      </c>
      <c r="H15" s="63"/>
    </row>
    <row r="16" spans="1:8">
      <c r="B16" s="70" t="s">
        <v>236</v>
      </c>
      <c r="C16" s="72"/>
      <c r="E16">
        <v>10</v>
      </c>
      <c r="G16" t="s">
        <v>221</v>
      </c>
    </row>
    <row r="17" spans="1:8">
      <c r="B17" s="25"/>
      <c r="C17" s="25"/>
      <c r="E17">
        <v>11</v>
      </c>
      <c r="G17" t="s">
        <v>221</v>
      </c>
    </row>
    <row r="18" spans="1:8">
      <c r="B18" s="70" t="s">
        <v>237</v>
      </c>
      <c r="C18" s="71"/>
      <c r="E18">
        <v>12</v>
      </c>
      <c r="G18" t="s">
        <v>221</v>
      </c>
    </row>
    <row r="19" spans="1:8">
      <c r="B19" s="25"/>
      <c r="C19" s="92"/>
      <c r="E19">
        <v>13</v>
      </c>
      <c r="G19" t="s">
        <v>221</v>
      </c>
    </row>
    <row r="20" spans="1:8">
      <c r="B20" s="70" t="s">
        <v>260</v>
      </c>
      <c r="C20" s="71"/>
      <c r="E20">
        <v>14</v>
      </c>
      <c r="G20" t="s">
        <v>221</v>
      </c>
    </row>
    <row r="21" spans="1:8">
      <c r="B21" s="25"/>
      <c r="C21" s="25"/>
      <c r="E21" s="58">
        <v>15</v>
      </c>
      <c r="F21" s="58"/>
      <c r="G21" s="58" t="s">
        <v>221</v>
      </c>
      <c r="H21" s="58"/>
    </row>
    <row r="22" spans="1:8">
      <c r="B22" s="25"/>
      <c r="C22" s="25"/>
      <c r="E22">
        <v>16</v>
      </c>
      <c r="G22" t="s">
        <v>203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1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1" t="str">
        <f>"Match "&amp;IF('Compo'!C14="Aller","A",IF('Compo'!C14="Retour","R",IF('Compo'!C14="Amical","AMI","PF")))&amp;" "&amp;'Compo'!C16&amp;IF('Compo'!C12="Extérieur"," : "&amp;'Compo'!C10&amp;" / MXV"," : MXV / "&amp;'Compo'!C10)</f>
        <v xml:space="preserve">Match PF  : MXV / 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5"/>
      <c r="AZ1" s="175" t="s">
        <v>175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1"/>
      <c r="E3" s="121"/>
      <c r="F3" s="120"/>
      <c r="G3" s="122"/>
      <c r="H3" s="120"/>
      <c r="I3" s="122"/>
      <c r="J3" s="122"/>
      <c r="K3" s="122"/>
      <c r="L3" s="120"/>
      <c r="M3" s="122"/>
      <c r="N3" s="120"/>
      <c r="O3" s="133"/>
      <c r="P3" s="145"/>
      <c r="Q3" s="161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3"/>
      <c r="AD3" s="170"/>
      <c r="AE3" s="166"/>
      <c r="AF3" s="166"/>
      <c r="AG3" s="166"/>
      <c r="AH3" s="166"/>
      <c r="AI3" s="169"/>
    </row>
    <row r="4" spans="1:52" ht="42" customHeight="1">
      <c r="A4" s="25"/>
      <c r="B4" s="25"/>
      <c r="C4" s="123"/>
      <c r="D4" s="222" t="s">
        <v>174</v>
      </c>
      <c r="E4" s="223"/>
      <c r="F4" s="35" t="s">
        <v>89</v>
      </c>
      <c r="G4" s="124"/>
      <c r="H4" s="35" t="s">
        <v>106</v>
      </c>
      <c r="I4" s="125"/>
      <c r="J4" s="126"/>
      <c r="K4" s="127"/>
      <c r="L4" s="28" t="s">
        <v>93</v>
      </c>
      <c r="M4" s="128"/>
      <c r="N4" s="28" t="s">
        <v>94</v>
      </c>
      <c r="O4" s="146"/>
      <c r="P4" s="145"/>
      <c r="Q4" s="164"/>
      <c r="R4" s="175" t="s">
        <v>88</v>
      </c>
      <c r="S4" s="170"/>
      <c r="T4" s="39" t="s">
        <v>79</v>
      </c>
      <c r="U4" s="170"/>
      <c r="V4" s="39" t="s">
        <v>102</v>
      </c>
      <c r="W4" s="170"/>
      <c r="X4" s="39" t="s">
        <v>191</v>
      </c>
      <c r="Y4" s="170"/>
      <c r="Z4" s="39" t="s">
        <v>80</v>
      </c>
      <c r="AA4" s="170"/>
      <c r="AB4" s="39" t="s">
        <v>81</v>
      </c>
      <c r="AC4" s="173"/>
      <c r="AD4" s="170"/>
      <c r="AE4" s="166"/>
      <c r="AF4" s="166"/>
      <c r="AG4" s="166"/>
      <c r="AH4" s="166"/>
      <c r="AI4" s="169"/>
    </row>
    <row r="5" spans="1:52" ht="10" customHeight="1" thickBot="1">
      <c r="A5" s="25"/>
      <c r="B5" s="25"/>
      <c r="C5" s="123"/>
      <c r="D5" s="129"/>
      <c r="E5" s="129"/>
      <c r="F5" s="130"/>
      <c r="G5" s="131"/>
      <c r="H5" s="130"/>
      <c r="I5" s="131"/>
      <c r="J5" s="131"/>
      <c r="K5" s="131"/>
      <c r="L5" s="130"/>
      <c r="M5" s="131"/>
      <c r="N5" s="132"/>
      <c r="O5" s="49"/>
      <c r="P5" s="145"/>
      <c r="Q5" s="167"/>
      <c r="R5" s="172"/>
      <c r="S5" s="168"/>
      <c r="T5" s="172"/>
      <c r="U5" s="168"/>
      <c r="V5" s="172"/>
      <c r="W5" s="168"/>
      <c r="X5" s="172"/>
      <c r="Y5" s="168"/>
      <c r="Z5" s="172"/>
      <c r="AA5" s="168"/>
      <c r="AB5" s="172"/>
      <c r="AC5" s="174"/>
      <c r="AD5" s="170"/>
      <c r="AE5" s="166"/>
      <c r="AF5" s="166"/>
      <c r="AG5" s="166"/>
      <c r="AH5" s="166"/>
      <c r="AI5" s="169"/>
    </row>
    <row r="6" spans="1:52" ht="10" customHeight="1" thickTop="1" thickBot="1">
      <c r="A6" s="25"/>
      <c r="B6" s="25"/>
      <c r="C6" s="133"/>
      <c r="D6" s="121"/>
      <c r="E6" s="121"/>
      <c r="F6" s="122"/>
      <c r="G6" s="122"/>
      <c r="H6" s="122"/>
      <c r="I6" s="122"/>
      <c r="J6" s="122"/>
      <c r="K6" s="122"/>
      <c r="L6" s="122"/>
      <c r="M6" s="122"/>
      <c r="N6" s="122"/>
      <c r="O6" s="133"/>
      <c r="P6" s="147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66"/>
      <c r="AE6" s="166"/>
      <c r="AF6" s="166"/>
      <c r="AG6" s="166"/>
      <c r="AH6" s="166"/>
      <c r="AI6" s="169"/>
    </row>
    <row r="7" spans="1:52" ht="10" customHeight="1" thickTop="1">
      <c r="A7" s="25"/>
      <c r="B7" s="25"/>
      <c r="C7" s="51"/>
      <c r="D7" s="135"/>
      <c r="E7" s="136"/>
      <c r="F7" s="134"/>
      <c r="G7" s="136"/>
      <c r="H7" s="134"/>
      <c r="I7" s="136"/>
      <c r="J7" s="134"/>
      <c r="K7" s="136"/>
      <c r="L7" s="134"/>
      <c r="M7" s="136"/>
      <c r="N7" s="136"/>
      <c r="O7" s="136"/>
      <c r="P7" s="145"/>
      <c r="Q7" s="161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3"/>
      <c r="AD7" s="170"/>
      <c r="AE7" s="166"/>
      <c r="AF7" s="166"/>
      <c r="AG7" s="166"/>
      <c r="AH7" s="166"/>
      <c r="AI7" s="169"/>
    </row>
    <row r="8" spans="1:52" ht="26" customHeight="1">
      <c r="A8" s="25"/>
      <c r="B8" s="25"/>
      <c r="C8" s="137"/>
      <c r="D8" s="138" t="s">
        <v>296</v>
      </c>
      <c r="E8" s="139"/>
      <c r="F8" s="33"/>
      <c r="G8" s="140"/>
      <c r="H8" s="117"/>
      <c r="I8" s="140"/>
      <c r="J8" s="118"/>
      <c r="K8" s="140"/>
      <c r="L8" s="119"/>
      <c r="M8" s="125"/>
      <c r="N8" s="131"/>
      <c r="O8" s="144"/>
      <c r="P8" s="145"/>
      <c r="Q8" s="164"/>
      <c r="R8" s="175" t="s">
        <v>99</v>
      </c>
      <c r="S8" s="170"/>
      <c r="T8" s="31" t="s">
        <v>83</v>
      </c>
      <c r="U8" s="170"/>
      <c r="V8" s="31" t="s">
        <v>84</v>
      </c>
      <c r="W8" s="170"/>
      <c r="X8" s="31" t="s">
        <v>85</v>
      </c>
      <c r="Y8" s="170"/>
      <c r="Z8" s="31" t="s">
        <v>86</v>
      </c>
      <c r="AA8" s="170"/>
      <c r="AB8" s="24" t="s">
        <v>87</v>
      </c>
      <c r="AC8" s="173"/>
      <c r="AD8" s="170"/>
      <c r="AE8" s="166"/>
      <c r="AF8" s="166"/>
      <c r="AG8" s="166"/>
      <c r="AH8" s="166"/>
      <c r="AI8" s="169"/>
    </row>
    <row r="9" spans="1:52" ht="10" customHeight="1" thickBot="1">
      <c r="A9" s="25"/>
      <c r="B9" s="25"/>
      <c r="C9" s="123"/>
      <c r="D9" s="141"/>
      <c r="E9" s="129"/>
      <c r="F9" s="130"/>
      <c r="G9" s="131"/>
      <c r="H9" s="130"/>
      <c r="I9" s="131"/>
      <c r="J9" s="130"/>
      <c r="K9" s="131"/>
      <c r="L9" s="130"/>
      <c r="M9" s="131"/>
      <c r="N9" s="142"/>
      <c r="O9" s="49"/>
      <c r="P9" s="145"/>
      <c r="Q9" s="167"/>
      <c r="R9" s="172"/>
      <c r="S9" s="168"/>
      <c r="T9" s="172"/>
      <c r="U9" s="168"/>
      <c r="V9" s="172"/>
      <c r="W9" s="168"/>
      <c r="X9" s="172"/>
      <c r="Y9" s="168"/>
      <c r="Z9" s="172"/>
      <c r="AA9" s="168"/>
      <c r="AB9" s="172"/>
      <c r="AC9" s="174"/>
      <c r="AD9" s="170"/>
      <c r="AE9" s="166"/>
      <c r="AF9" s="166"/>
      <c r="AG9" s="166"/>
      <c r="AH9" s="166"/>
      <c r="AI9" s="169"/>
    </row>
    <row r="10" spans="1:52" ht="10" customHeight="1" thickTop="1" thickBot="1">
      <c r="A10" s="25"/>
      <c r="B10" s="25"/>
      <c r="C10" s="136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36"/>
      <c r="P10" s="147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66"/>
      <c r="AE10" s="166"/>
      <c r="AF10" s="166"/>
      <c r="AG10" s="166"/>
      <c r="AH10" s="166"/>
      <c r="AI10" s="169"/>
    </row>
    <row r="11" spans="1:52" ht="10" customHeight="1" thickTop="1">
      <c r="A11" s="25"/>
      <c r="B11" s="25" t="s">
        <v>95</v>
      </c>
      <c r="C11" s="161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80"/>
      <c r="O11" s="163"/>
      <c r="P11" s="178"/>
      <c r="Q11" s="161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3"/>
    </row>
    <row r="12" spans="1:52" ht="15" customHeight="1">
      <c r="A12" s="25"/>
      <c r="B12" s="25"/>
      <c r="C12" s="164"/>
      <c r="D12" s="224" t="s">
        <v>68</v>
      </c>
      <c r="E12" s="224"/>
      <c r="F12" s="224"/>
      <c r="G12" s="224"/>
      <c r="H12" s="224"/>
      <c r="I12" s="224"/>
      <c r="J12" s="224"/>
      <c r="K12" s="224"/>
      <c r="L12" s="224"/>
      <c r="M12" s="225"/>
      <c r="N12" s="226"/>
      <c r="O12" s="165"/>
      <c r="P12" s="178"/>
      <c r="Q12" s="164"/>
      <c r="R12" s="212" t="s">
        <v>69</v>
      </c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3"/>
      <c r="AH12" s="214"/>
      <c r="AI12" s="173"/>
    </row>
    <row r="13" spans="1:52">
      <c r="A13" s="25"/>
      <c r="B13" s="25"/>
      <c r="C13" s="164"/>
      <c r="D13" s="181"/>
      <c r="E13" s="166"/>
      <c r="F13" s="181"/>
      <c r="G13" s="166"/>
      <c r="H13" s="181"/>
      <c r="I13" s="166"/>
      <c r="J13" s="181"/>
      <c r="K13" s="166"/>
      <c r="L13" s="181"/>
      <c r="M13" s="166"/>
      <c r="N13" s="181"/>
      <c r="O13" s="165"/>
      <c r="P13" s="178"/>
      <c r="Q13" s="164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65"/>
    </row>
    <row r="14" spans="1:52" ht="42" customHeight="1">
      <c r="A14" s="25"/>
      <c r="B14" s="25"/>
      <c r="C14" s="185"/>
      <c r="D14" s="186">
        <v>1</v>
      </c>
      <c r="E14" s="188"/>
      <c r="F14" s="186">
        <v>2</v>
      </c>
      <c r="G14" s="188"/>
      <c r="H14" s="186">
        <v>3</v>
      </c>
      <c r="I14" s="188"/>
      <c r="J14" s="186">
        <v>4</v>
      </c>
      <c r="K14" s="188"/>
      <c r="L14" s="186">
        <v>5</v>
      </c>
      <c r="M14" s="188"/>
      <c r="N14" s="186">
        <v>6</v>
      </c>
      <c r="O14" s="189"/>
      <c r="P14" s="178"/>
      <c r="Q14" s="164"/>
      <c r="R14" s="175" t="s">
        <v>319</v>
      </c>
      <c r="S14" s="170"/>
      <c r="T14" s="29" t="s">
        <v>72</v>
      </c>
      <c r="U14" s="170"/>
      <c r="V14" s="29" t="s">
        <v>70</v>
      </c>
      <c r="W14" s="170"/>
      <c r="X14" s="29" t="s">
        <v>73</v>
      </c>
      <c r="Y14" s="170"/>
      <c r="Z14" s="29" t="s">
        <v>74</v>
      </c>
      <c r="AA14" s="170"/>
      <c r="AB14" s="29" t="s">
        <v>71</v>
      </c>
      <c r="AC14" s="170"/>
      <c r="AD14" s="175" t="s">
        <v>276</v>
      </c>
      <c r="AE14" s="170"/>
      <c r="AF14" s="29" t="s">
        <v>75</v>
      </c>
      <c r="AG14" s="170"/>
      <c r="AH14" s="29" t="s">
        <v>76</v>
      </c>
      <c r="AI14" s="173"/>
    </row>
    <row r="15" spans="1:52" ht="10" customHeight="1">
      <c r="A15" s="25"/>
      <c r="B15" s="25"/>
      <c r="C15" s="164"/>
      <c r="D15" s="187"/>
      <c r="E15" s="166"/>
      <c r="F15" s="187"/>
      <c r="G15" s="166"/>
      <c r="H15" s="187"/>
      <c r="I15" s="166"/>
      <c r="J15" s="187"/>
      <c r="K15" s="166"/>
      <c r="L15" s="187"/>
      <c r="M15" s="166"/>
      <c r="N15" s="187"/>
      <c r="O15" s="165"/>
      <c r="P15" s="178"/>
      <c r="Q15" s="164"/>
      <c r="R15" s="171"/>
      <c r="S15" s="166"/>
      <c r="T15" s="171"/>
      <c r="U15" s="166"/>
      <c r="V15" s="171"/>
      <c r="W15" s="166"/>
      <c r="X15" s="171"/>
      <c r="Y15" s="166"/>
      <c r="Z15" s="171"/>
      <c r="AA15" s="166"/>
      <c r="AB15" s="171"/>
      <c r="AC15" s="166"/>
      <c r="AD15" s="171"/>
      <c r="AE15" s="166"/>
      <c r="AF15" s="171"/>
      <c r="AG15" s="166"/>
      <c r="AH15" s="171"/>
      <c r="AI15" s="165"/>
    </row>
    <row r="16" spans="1:52" ht="42" customHeight="1">
      <c r="A16" s="25"/>
      <c r="B16" s="25"/>
      <c r="C16" s="185"/>
      <c r="D16" s="186">
        <v>7</v>
      </c>
      <c r="E16" s="188"/>
      <c r="F16" s="186">
        <v>8</v>
      </c>
      <c r="G16" s="188"/>
      <c r="H16" s="186">
        <v>9</v>
      </c>
      <c r="I16" s="188"/>
      <c r="J16" s="186">
        <v>10</v>
      </c>
      <c r="K16" s="188"/>
      <c r="L16" s="186">
        <v>11</v>
      </c>
      <c r="M16" s="188"/>
      <c r="N16" s="186">
        <v>12</v>
      </c>
      <c r="O16" s="189"/>
      <c r="P16" s="178"/>
      <c r="Q16" s="164"/>
      <c r="R16" s="175" t="s">
        <v>275</v>
      </c>
      <c r="S16" s="170"/>
      <c r="T16" s="29" t="s">
        <v>75</v>
      </c>
      <c r="U16" s="170"/>
      <c r="V16" s="29" t="s">
        <v>76</v>
      </c>
      <c r="W16" s="170"/>
      <c r="X16" s="29" t="s">
        <v>96</v>
      </c>
      <c r="Y16" s="170"/>
      <c r="Z16" s="166"/>
      <c r="AA16" s="166"/>
      <c r="AB16" s="176" t="s">
        <v>335</v>
      </c>
      <c r="AC16" s="170"/>
      <c r="AD16" s="39" t="s">
        <v>297</v>
      </c>
      <c r="AE16" s="170"/>
      <c r="AF16" s="39" t="s">
        <v>333</v>
      </c>
      <c r="AG16" s="170"/>
      <c r="AH16" s="39" t="s">
        <v>334</v>
      </c>
      <c r="AI16" s="173"/>
    </row>
    <row r="17" spans="1:35" ht="10" customHeight="1">
      <c r="A17" s="25"/>
      <c r="B17" s="25"/>
      <c r="C17" s="164"/>
      <c r="D17" s="187"/>
      <c r="E17" s="166"/>
      <c r="F17" s="187"/>
      <c r="G17" s="166"/>
      <c r="H17" s="187"/>
      <c r="I17" s="166"/>
      <c r="J17" s="187"/>
      <c r="K17" s="166"/>
      <c r="L17" s="187"/>
      <c r="M17" s="166"/>
      <c r="N17" s="187"/>
      <c r="O17" s="165"/>
      <c r="P17" s="178"/>
      <c r="Q17" s="164"/>
      <c r="R17" s="171"/>
      <c r="S17" s="166"/>
      <c r="T17" s="171"/>
      <c r="U17" s="166"/>
      <c r="V17" s="171"/>
      <c r="W17" s="166"/>
      <c r="X17" s="171"/>
      <c r="Y17" s="166"/>
      <c r="Z17" s="166"/>
      <c r="AA17" s="166"/>
      <c r="AB17" s="171"/>
      <c r="AC17" s="166"/>
      <c r="AD17" s="171"/>
      <c r="AE17" s="166"/>
      <c r="AF17" s="171"/>
      <c r="AG17" s="166"/>
      <c r="AH17" s="171"/>
      <c r="AI17" s="165"/>
    </row>
    <row r="18" spans="1:35" ht="42" customHeight="1">
      <c r="A18" s="25"/>
      <c r="B18" s="25"/>
      <c r="C18" s="185"/>
      <c r="D18" s="186">
        <v>13</v>
      </c>
      <c r="E18" s="188"/>
      <c r="F18" s="186">
        <v>14</v>
      </c>
      <c r="G18" s="188"/>
      <c r="H18" s="186">
        <v>15</v>
      </c>
      <c r="I18" s="188"/>
      <c r="J18" s="186">
        <v>16</v>
      </c>
      <c r="K18" s="188"/>
      <c r="L18" s="186">
        <v>17</v>
      </c>
      <c r="M18" s="188"/>
      <c r="N18" s="186">
        <v>18</v>
      </c>
      <c r="O18" s="189"/>
      <c r="P18" s="178"/>
      <c r="Q18" s="164"/>
      <c r="R18" s="175" t="s">
        <v>175</v>
      </c>
      <c r="S18" s="170"/>
      <c r="T18" s="29" t="s">
        <v>176</v>
      </c>
      <c r="U18" s="170"/>
      <c r="V18" s="29" t="s">
        <v>177</v>
      </c>
      <c r="W18" s="170"/>
      <c r="X18" s="29" t="s">
        <v>178</v>
      </c>
      <c r="Y18" s="170"/>
      <c r="Z18" s="29" t="s">
        <v>179</v>
      </c>
      <c r="AA18" s="170"/>
      <c r="AB18" s="29" t="s">
        <v>60</v>
      </c>
      <c r="AC18" s="170"/>
      <c r="AD18" s="29" t="s">
        <v>77</v>
      </c>
      <c r="AE18" s="170"/>
      <c r="AF18" s="29" t="s">
        <v>272</v>
      </c>
      <c r="AG18" s="170"/>
      <c r="AH18" s="29" t="s">
        <v>328</v>
      </c>
      <c r="AI18" s="173"/>
    </row>
    <row r="19" spans="1:35" s="25" customFormat="1" ht="10" customHeight="1">
      <c r="C19" s="164"/>
      <c r="D19" s="187"/>
      <c r="E19" s="166"/>
      <c r="F19" s="187"/>
      <c r="G19" s="166"/>
      <c r="H19" s="187"/>
      <c r="I19" s="166"/>
      <c r="J19" s="187"/>
      <c r="K19" s="166"/>
      <c r="L19" s="187"/>
      <c r="M19" s="166"/>
      <c r="N19" s="187"/>
      <c r="O19" s="165"/>
      <c r="P19" s="178"/>
      <c r="Q19" s="164"/>
      <c r="R19" s="171"/>
      <c r="S19" s="166"/>
      <c r="T19" s="171"/>
      <c r="U19" s="166"/>
      <c r="V19" s="171"/>
      <c r="W19" s="166"/>
      <c r="X19" s="171"/>
      <c r="Y19" s="166"/>
      <c r="Z19" s="171"/>
      <c r="AA19" s="166"/>
      <c r="AB19" s="171"/>
      <c r="AC19" s="166"/>
      <c r="AD19" s="171"/>
      <c r="AE19" s="166"/>
      <c r="AF19" s="171"/>
      <c r="AG19" s="166"/>
      <c r="AH19" s="171"/>
      <c r="AI19" s="165"/>
    </row>
    <row r="20" spans="1:35" ht="42" customHeight="1">
      <c r="A20" s="25"/>
      <c r="B20" s="25"/>
      <c r="C20" s="185"/>
      <c r="D20" s="186">
        <v>19</v>
      </c>
      <c r="E20" s="188"/>
      <c r="F20" s="186">
        <v>20</v>
      </c>
      <c r="G20" s="188"/>
      <c r="H20" s="186">
        <v>21</v>
      </c>
      <c r="I20" s="188"/>
      <c r="J20" s="186">
        <v>22</v>
      </c>
      <c r="K20" s="188"/>
      <c r="L20" s="190" t="s">
        <v>92</v>
      </c>
      <c r="M20" s="188"/>
      <c r="N20" s="190" t="s">
        <v>82</v>
      </c>
      <c r="O20" s="184"/>
      <c r="P20" s="178"/>
      <c r="Q20" s="164"/>
      <c r="R20" s="175" t="s">
        <v>116</v>
      </c>
      <c r="S20" s="170"/>
      <c r="T20" s="30" t="s">
        <v>209</v>
      </c>
      <c r="U20" s="170"/>
      <c r="V20" s="30" t="s">
        <v>210</v>
      </c>
      <c r="W20" s="170"/>
      <c r="X20" s="175" t="s">
        <v>204</v>
      </c>
      <c r="Y20" s="170"/>
      <c r="Z20" s="30" t="s">
        <v>205</v>
      </c>
      <c r="AA20" s="170"/>
      <c r="AB20" s="30" t="s">
        <v>206</v>
      </c>
      <c r="AC20" s="170"/>
      <c r="AD20" s="30" t="s">
        <v>207</v>
      </c>
      <c r="AE20" s="170"/>
      <c r="AF20" s="30" t="s">
        <v>208</v>
      </c>
      <c r="AG20" s="170"/>
      <c r="AH20" s="30" t="s">
        <v>134</v>
      </c>
      <c r="AI20" s="173"/>
    </row>
    <row r="21" spans="1:35" ht="10" customHeight="1" thickBot="1">
      <c r="A21" s="25"/>
      <c r="B21" s="25"/>
      <c r="C21" s="164"/>
      <c r="D21" s="191"/>
      <c r="E21" s="166"/>
      <c r="F21" s="191"/>
      <c r="G21" s="166"/>
      <c r="H21" s="191"/>
      <c r="I21" s="166"/>
      <c r="J21" s="191"/>
      <c r="K21" s="166"/>
      <c r="L21" s="191"/>
      <c r="M21" s="166"/>
      <c r="N21" s="192"/>
      <c r="O21" s="177"/>
      <c r="P21" s="179"/>
      <c r="Q21" s="167"/>
      <c r="R21" s="172"/>
      <c r="S21" s="168"/>
      <c r="T21" s="172"/>
      <c r="U21" s="168"/>
      <c r="V21" s="172"/>
      <c r="W21" s="168"/>
      <c r="X21" s="172"/>
      <c r="Y21" s="168"/>
      <c r="Z21" s="172"/>
      <c r="AA21" s="168"/>
      <c r="AB21" s="172"/>
      <c r="AC21" s="168"/>
      <c r="AD21" s="172"/>
      <c r="AE21" s="168"/>
      <c r="AF21" s="172"/>
      <c r="AG21" s="168"/>
      <c r="AH21" s="172"/>
      <c r="AI21" s="174"/>
    </row>
    <row r="22" spans="1:35" ht="10" customHeight="1" thickTop="1" thickBot="1">
      <c r="A22" s="25"/>
      <c r="B22" s="25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93"/>
      <c r="P22" s="25"/>
    </row>
    <row r="23" spans="1:35" ht="10" customHeight="1" thickTop="1">
      <c r="A23" s="25"/>
      <c r="B23" s="25"/>
      <c r="C23" s="16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80"/>
      <c r="O23" s="163"/>
      <c r="P23" s="25"/>
    </row>
    <row r="24" spans="1:35" ht="15" customHeight="1">
      <c r="A24" s="25"/>
      <c r="B24" s="25"/>
      <c r="C24" s="164"/>
      <c r="D24" s="215" t="s">
        <v>90</v>
      </c>
      <c r="E24" s="215"/>
      <c r="F24" s="215"/>
      <c r="G24" s="215"/>
      <c r="H24" s="215"/>
      <c r="I24" s="215"/>
      <c r="J24" s="215"/>
      <c r="K24" s="215"/>
      <c r="L24" s="215"/>
      <c r="M24" s="216"/>
      <c r="N24" s="217"/>
      <c r="O24" s="165"/>
      <c r="P24" s="25"/>
    </row>
    <row r="25" spans="1:35" s="25" customFormat="1" ht="10" customHeight="1">
      <c r="C25" s="164"/>
      <c r="D25" s="182"/>
      <c r="E25" s="166"/>
      <c r="F25" s="166"/>
      <c r="G25" s="166"/>
      <c r="H25" s="166"/>
      <c r="I25" s="166"/>
      <c r="J25" s="166"/>
      <c r="K25" s="166"/>
      <c r="L25" s="166"/>
      <c r="M25" s="166"/>
      <c r="N25" s="166"/>
      <c r="O25" s="165"/>
    </row>
    <row r="26" spans="1:35" ht="15" customHeight="1">
      <c r="A26" s="25"/>
      <c r="B26" s="25"/>
      <c r="C26" s="194"/>
      <c r="D26" s="195" t="s">
        <v>91</v>
      </c>
      <c r="E26" s="166"/>
      <c r="F26" s="166"/>
      <c r="G26" s="166"/>
      <c r="H26" s="166"/>
      <c r="I26" s="166"/>
      <c r="J26" s="166"/>
      <c r="K26" s="166"/>
      <c r="L26" s="166"/>
      <c r="M26" s="166"/>
      <c r="N26" s="166"/>
      <c r="O26" s="165"/>
      <c r="P26" s="25"/>
    </row>
    <row r="27" spans="1:35" ht="10" customHeight="1">
      <c r="A27" s="25"/>
      <c r="B27" s="25"/>
      <c r="C27" s="164"/>
      <c r="D27" s="166"/>
      <c r="E27" s="166"/>
      <c r="F27" s="182"/>
      <c r="G27" s="166"/>
      <c r="H27" s="181"/>
      <c r="I27" s="166"/>
      <c r="J27" s="181"/>
      <c r="K27" s="166"/>
      <c r="L27" s="181"/>
      <c r="M27" s="166"/>
      <c r="N27" s="181"/>
      <c r="O27" s="165"/>
      <c r="P27" s="25"/>
    </row>
    <row r="28" spans="1:35" ht="42" customHeight="1">
      <c r="A28" s="25"/>
      <c r="B28" s="25"/>
      <c r="C28" s="164"/>
      <c r="D28" s="218">
        <v>0</v>
      </c>
      <c r="E28" s="219"/>
      <c r="F28" s="220"/>
      <c r="G28" s="196"/>
      <c r="H28" s="197" t="s">
        <v>62</v>
      </c>
      <c r="I28" s="188"/>
      <c r="J28" s="198" t="s">
        <v>61</v>
      </c>
      <c r="K28" s="188"/>
      <c r="L28" s="197" t="s">
        <v>168</v>
      </c>
      <c r="M28" s="188"/>
      <c r="N28" s="199" t="s">
        <v>63</v>
      </c>
      <c r="O28" s="184"/>
      <c r="P28" s="25"/>
      <c r="R28" s="25" t="s">
        <v>117</v>
      </c>
    </row>
    <row r="29" spans="1:35" ht="90" customHeight="1" thickBot="1">
      <c r="A29" s="25"/>
      <c r="B29" s="25"/>
      <c r="C29" s="164"/>
      <c r="D29" s="166"/>
      <c r="E29" s="166"/>
      <c r="F29" s="166"/>
      <c r="G29" s="166"/>
      <c r="H29" s="191"/>
      <c r="I29" s="166"/>
      <c r="J29" s="191"/>
      <c r="K29" s="166"/>
      <c r="L29" s="191"/>
      <c r="M29" s="166"/>
      <c r="N29" s="192"/>
      <c r="O29" s="177"/>
      <c r="P29" s="25"/>
    </row>
    <row r="30" spans="1:35" ht="106" customHeight="1" thickTop="1">
      <c r="A30" s="25"/>
      <c r="B30" s="25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93"/>
      <c r="P30" s="25"/>
    </row>
    <row r="31" spans="1:35" ht="10" customHeight="1">
      <c r="A31" s="25"/>
      <c r="B31" s="25"/>
      <c r="C31" s="166"/>
      <c r="D31" s="166"/>
      <c r="E31" s="166"/>
      <c r="F31" s="166"/>
      <c r="G31" s="166"/>
      <c r="H31" s="166"/>
      <c r="I31" s="166"/>
      <c r="J31" s="166"/>
      <c r="K31" s="166"/>
      <c r="L31" s="166"/>
      <c r="M31" s="166"/>
      <c r="N31" s="166"/>
      <c r="O31" s="169"/>
      <c r="P31" s="25"/>
    </row>
    <row r="32" spans="1:35" ht="42" customHeight="1">
      <c r="A32" s="25"/>
      <c r="B32" s="25"/>
      <c r="C32" s="166"/>
      <c r="D32" s="166"/>
      <c r="E32" s="166"/>
      <c r="F32" s="166"/>
      <c r="G32" s="166"/>
      <c r="H32" s="166"/>
      <c r="I32" s="166"/>
      <c r="J32" s="166"/>
      <c r="K32" s="166"/>
      <c r="L32" s="166"/>
      <c r="M32" s="166"/>
      <c r="N32" s="166"/>
      <c r="O32" s="169"/>
      <c r="P32" s="25"/>
    </row>
    <row r="33" spans="1:21" ht="15" customHeight="1">
      <c r="A33" s="25"/>
      <c r="B33" s="25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9"/>
      <c r="P33" s="25"/>
    </row>
    <row r="34" spans="1:21" ht="15" customHeight="1">
      <c r="A34" s="25"/>
      <c r="B34" s="25"/>
      <c r="C34" s="166"/>
      <c r="D34" s="166"/>
      <c r="E34" s="166"/>
      <c r="F34" s="166"/>
      <c r="G34" s="166"/>
      <c r="H34" s="166"/>
      <c r="I34" s="166"/>
      <c r="J34" s="166"/>
      <c r="K34" s="166"/>
      <c r="L34" s="166"/>
      <c r="M34" s="166"/>
      <c r="N34" s="166"/>
      <c r="O34" s="169"/>
      <c r="P34" s="25"/>
    </row>
    <row r="35" spans="1:21" ht="15" customHeight="1">
      <c r="A35" s="25"/>
      <c r="B35" s="25"/>
      <c r="C35" s="166"/>
      <c r="D35" s="166"/>
      <c r="E35" s="166"/>
      <c r="F35" s="166"/>
      <c r="G35" s="166"/>
      <c r="H35" s="166"/>
      <c r="I35" s="166"/>
      <c r="J35" s="166"/>
      <c r="K35" s="166"/>
      <c r="L35" s="166"/>
      <c r="M35" s="166"/>
      <c r="N35" s="166"/>
      <c r="O35" s="169"/>
      <c r="P35" s="25"/>
    </row>
    <row r="36" spans="1:21" ht="15" customHeight="1">
      <c r="A36" s="25"/>
      <c r="B36" s="25"/>
      <c r="C36" s="166"/>
      <c r="D36" s="166"/>
      <c r="E36" s="166"/>
      <c r="F36" s="166"/>
      <c r="G36" s="166"/>
      <c r="H36" s="166"/>
      <c r="I36" s="166"/>
      <c r="J36" s="166"/>
      <c r="K36" s="166"/>
      <c r="L36" s="166"/>
      <c r="M36" s="166"/>
      <c r="N36" s="166"/>
      <c r="O36" s="169"/>
      <c r="P36" s="25"/>
    </row>
    <row r="37" spans="1:21" ht="15" customHeight="1">
      <c r="A37" s="25"/>
      <c r="B37" s="25"/>
      <c r="C37" s="166"/>
      <c r="D37" s="166"/>
      <c r="E37" s="166"/>
      <c r="F37" s="166"/>
      <c r="G37" s="166"/>
      <c r="H37" s="166"/>
      <c r="I37" s="166"/>
      <c r="J37" s="166"/>
      <c r="K37" s="166"/>
      <c r="L37" s="166"/>
      <c r="M37" s="166"/>
      <c r="N37" s="166"/>
      <c r="O37" s="169"/>
      <c r="P37" s="25"/>
    </row>
    <row r="38" spans="1:21" ht="15" customHeight="1">
      <c r="A38" s="25"/>
      <c r="B38" s="25"/>
      <c r="C38" s="166"/>
      <c r="D38" s="166"/>
      <c r="E38" s="166"/>
      <c r="F38" s="166"/>
      <c r="G38" s="166"/>
      <c r="H38" s="166"/>
      <c r="I38" s="166"/>
      <c r="J38" s="166"/>
      <c r="K38" s="166"/>
      <c r="L38" s="166"/>
      <c r="M38" s="166"/>
      <c r="N38" s="166"/>
      <c r="O38" s="169"/>
      <c r="P38" s="25"/>
    </row>
    <row r="39" spans="1:21" ht="15" customHeight="1">
      <c r="A39" s="25"/>
      <c r="B39" s="25"/>
      <c r="C39" s="166"/>
      <c r="D39" s="166"/>
      <c r="E39" s="166"/>
      <c r="F39" s="166"/>
      <c r="G39" s="166"/>
      <c r="H39" s="166"/>
      <c r="I39" s="166"/>
      <c r="J39" s="166"/>
      <c r="K39" s="166"/>
      <c r="L39" s="166"/>
      <c r="M39" s="166"/>
      <c r="N39" s="166"/>
      <c r="O39" s="169"/>
      <c r="P39" s="25"/>
    </row>
    <row r="40" spans="1:21" ht="15" customHeight="1">
      <c r="A40" s="25"/>
      <c r="B40" s="25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166"/>
      <c r="O40" s="169"/>
      <c r="P40" s="25"/>
      <c r="R40" s="26"/>
      <c r="S40" s="26"/>
    </row>
    <row r="41" spans="1:21" ht="15" customHeight="1">
      <c r="A41" s="25"/>
      <c r="B41" s="25"/>
      <c r="C41" s="166"/>
      <c r="D41" s="166"/>
      <c r="E41" s="166"/>
      <c r="F41" s="166"/>
      <c r="G41" s="166"/>
      <c r="H41" s="166"/>
      <c r="I41" s="166"/>
      <c r="J41" s="166"/>
      <c r="K41" s="166"/>
      <c r="L41" s="166"/>
      <c r="M41" s="166"/>
      <c r="N41" s="166"/>
      <c r="O41" s="169"/>
      <c r="P41" s="25"/>
      <c r="R41" s="26"/>
      <c r="S41" s="26"/>
    </row>
    <row r="42" spans="1:21" ht="15" customHeight="1">
      <c r="A42" s="25"/>
      <c r="B42" s="25"/>
      <c r="C42" s="166"/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6"/>
      <c r="O42" s="169"/>
      <c r="P42" s="25"/>
    </row>
    <row r="43" spans="1:21" s="25" customFormat="1" ht="15" customHeight="1">
      <c r="C43" s="166"/>
      <c r="D43" s="166"/>
      <c r="E43" s="166"/>
      <c r="F43" s="166"/>
      <c r="G43" s="166"/>
      <c r="H43" s="166"/>
      <c r="I43" s="166"/>
      <c r="J43" s="166"/>
      <c r="K43" s="166"/>
      <c r="L43" s="166"/>
      <c r="M43" s="166"/>
      <c r="N43" s="166"/>
      <c r="O43" s="169"/>
    </row>
    <row r="44" spans="1:21" ht="15" customHeight="1">
      <c r="A44" s="25"/>
      <c r="B44" s="25"/>
      <c r="C44" s="166"/>
      <c r="D44" s="166"/>
      <c r="E44" s="166"/>
      <c r="F44" s="166"/>
      <c r="G44" s="166"/>
      <c r="H44" s="166"/>
      <c r="I44" s="166"/>
      <c r="J44" s="166"/>
      <c r="K44" s="166"/>
      <c r="L44" s="166"/>
      <c r="M44" s="166"/>
      <c r="N44" s="166"/>
      <c r="O44" s="169"/>
      <c r="P44" s="25"/>
    </row>
    <row r="45" spans="1:21" ht="15" customHeight="1">
      <c r="A45" s="25"/>
      <c r="B45" s="25"/>
      <c r="C45" s="166"/>
      <c r="D45" s="166"/>
      <c r="E45" s="166"/>
      <c r="F45" s="166"/>
      <c r="G45" s="166"/>
      <c r="H45" s="166"/>
      <c r="I45" s="166"/>
      <c r="J45" s="166"/>
      <c r="K45" s="166"/>
      <c r="L45" s="166"/>
      <c r="M45" s="166"/>
      <c r="N45" s="166"/>
      <c r="O45" s="169"/>
      <c r="P45" s="25"/>
      <c r="Q45" s="27"/>
      <c r="T45" s="26"/>
      <c r="U45" s="26"/>
    </row>
    <row r="46" spans="1:21" ht="15" customHeight="1">
      <c r="A46" s="25"/>
      <c r="B46" s="25"/>
      <c r="C46" s="166"/>
      <c r="D46" s="166"/>
      <c r="E46" s="166"/>
      <c r="F46" s="166"/>
      <c r="G46" s="166"/>
      <c r="H46" s="166"/>
      <c r="I46" s="166"/>
      <c r="J46" s="166"/>
      <c r="K46" s="166"/>
      <c r="L46" s="166"/>
      <c r="M46" s="166"/>
      <c r="N46" s="166"/>
      <c r="O46" s="169"/>
      <c r="P46" s="25"/>
      <c r="U46" s="26"/>
    </row>
    <row r="47" spans="1:21" ht="15" customHeight="1">
      <c r="A47" s="25"/>
      <c r="B47" s="25"/>
      <c r="C47" s="166"/>
      <c r="D47" s="166"/>
      <c r="E47" s="166"/>
      <c r="F47" s="166"/>
      <c r="G47" s="166"/>
      <c r="H47" s="166"/>
      <c r="I47" s="166"/>
      <c r="J47" s="166"/>
      <c r="K47" s="166"/>
      <c r="L47" s="166"/>
      <c r="M47" s="166"/>
      <c r="N47" s="166"/>
      <c r="O47" s="169"/>
      <c r="P47" s="25"/>
      <c r="U47" s="26"/>
    </row>
    <row r="48" spans="1:21" ht="15" customHeight="1">
      <c r="A48" s="25"/>
      <c r="B48" s="25"/>
      <c r="C48" s="166"/>
      <c r="D48" s="166"/>
      <c r="E48" s="166"/>
      <c r="F48" s="166"/>
      <c r="G48" s="166"/>
      <c r="H48" s="166"/>
      <c r="I48" s="166"/>
      <c r="J48" s="166"/>
      <c r="K48" s="166"/>
      <c r="L48" s="166"/>
      <c r="M48" s="166"/>
      <c r="N48" s="166"/>
      <c r="O48" s="169"/>
      <c r="P48" s="25"/>
      <c r="Q48" s="25" t="s">
        <v>117</v>
      </c>
      <c r="U48" s="26"/>
    </row>
    <row r="49" spans="1:18" ht="15" customHeight="1">
      <c r="A49" s="25"/>
      <c r="B49" s="25"/>
      <c r="C49" s="166"/>
      <c r="D49" s="166"/>
      <c r="E49" s="166"/>
      <c r="F49" s="166"/>
      <c r="G49" s="166"/>
      <c r="H49" s="166"/>
      <c r="I49" s="166"/>
      <c r="J49" s="166"/>
      <c r="K49" s="166"/>
      <c r="L49" s="166"/>
      <c r="M49" s="166"/>
      <c r="N49" s="166"/>
      <c r="O49" s="169"/>
      <c r="P49" s="25"/>
    </row>
    <row r="50" spans="1:18" ht="15" customHeight="1">
      <c r="A50" s="25"/>
      <c r="B50" s="25"/>
      <c r="C50" s="166"/>
      <c r="D50" s="166"/>
      <c r="E50" s="166"/>
      <c r="F50" s="166"/>
      <c r="G50" s="166"/>
      <c r="H50" s="166"/>
      <c r="I50" s="166"/>
      <c r="J50" s="166"/>
      <c r="K50" s="166"/>
      <c r="L50" s="166"/>
      <c r="M50" s="166"/>
      <c r="N50" s="166"/>
      <c r="O50" s="169"/>
      <c r="P50" s="25"/>
    </row>
    <row r="51" spans="1:18" ht="15" customHeight="1">
      <c r="A51" s="25"/>
      <c r="B51" s="25"/>
      <c r="C51" s="166"/>
      <c r="D51" s="166"/>
      <c r="E51" s="166"/>
      <c r="F51" s="166"/>
      <c r="G51" s="166"/>
      <c r="H51" s="166"/>
      <c r="I51" s="166"/>
      <c r="J51" s="166"/>
      <c r="K51" s="166"/>
      <c r="L51" s="166"/>
      <c r="M51" s="166"/>
      <c r="N51" s="166"/>
      <c r="O51" s="169"/>
      <c r="P51" s="25"/>
      <c r="R51" s="25" t="s">
        <v>117</v>
      </c>
    </row>
    <row r="52" spans="1:18" ht="15" customHeight="1">
      <c r="A52" s="25"/>
      <c r="B52" s="25"/>
      <c r="C52" s="166"/>
      <c r="D52" s="166"/>
      <c r="E52" s="166"/>
      <c r="F52" s="166"/>
      <c r="G52" s="166"/>
      <c r="H52" s="166"/>
      <c r="I52" s="166"/>
      <c r="J52" s="166"/>
      <c r="K52" s="166"/>
      <c r="L52" s="166"/>
      <c r="M52" s="166"/>
      <c r="N52" s="166"/>
      <c r="O52" s="169"/>
      <c r="P52" s="25"/>
    </row>
    <row r="53" spans="1:18" s="25" customFormat="1" ht="15" customHeight="1"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3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268</v>
      </c>
      <c r="B1" t="s">
        <v>57</v>
      </c>
      <c r="C1" t="s">
        <v>64</v>
      </c>
      <c r="D1" t="s">
        <v>218</v>
      </c>
      <c r="E1" t="s">
        <v>65</v>
      </c>
      <c r="F1" t="s">
        <v>265</v>
      </c>
      <c r="G1" t="s">
        <v>193</v>
      </c>
      <c r="H1" t="s">
        <v>66</v>
      </c>
      <c r="I1" t="s">
        <v>67</v>
      </c>
      <c r="J1" t="s">
        <v>248</v>
      </c>
      <c r="K1" t="s">
        <v>249</v>
      </c>
      <c r="L1" t="s">
        <v>250</v>
      </c>
      <c r="M1" t="s">
        <v>106</v>
      </c>
      <c r="N1" t="s">
        <v>251</v>
      </c>
      <c r="O1" t="s">
        <v>252</v>
      </c>
      <c r="P1" t="s">
        <v>263</v>
      </c>
      <c r="Q1" t="s">
        <v>266</v>
      </c>
    </row>
    <row r="2" spans="1:17" s="25" customFormat="1">
      <c r="A2" s="116"/>
      <c r="B2"/>
      <c r="C2"/>
      <c r="D2"/>
      <c r="E2"/>
      <c r="F2"/>
      <c r="G2"/>
      <c r="H2"/>
      <c r="I2" s="160"/>
      <c r="J2"/>
      <c r="K2"/>
      <c r="L2" s="15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H93" sqref="H93:J100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60" t="str">
        <f>"Stats par joueur - Match "&amp;IF('Compo'!C14="Aller","A",IF('Compo'!C14="Retour","R","PF"))&amp;'Compo'!C16&amp;IF('Compo'!C12="Extérieur"," : "&amp;'Compo'!C10&amp;" / MXV"," : MXV / "&amp;'Compo'!C10)&amp;" "&amp;'Compo'!C20</f>
        <v xml:space="preserve">Stats par joueur - Match PF : MXV /  </v>
      </c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</row>
    <row r="4" spans="2:37" s="25" customFormat="1" ht="20" customHeigh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</row>
    <row r="5" spans="2:37" s="25" customFormat="1"/>
    <row r="6" spans="2:37" ht="14" customHeight="1">
      <c r="B6" s="255" t="s">
        <v>64</v>
      </c>
      <c r="C6" s="237" t="str">
        <f>ACT_PL_NORMAL</f>
        <v>Plaquage normal</v>
      </c>
      <c r="D6" s="238"/>
      <c r="E6" s="237" t="str">
        <f>ACT_PL_OFF</f>
        <v>Plaquage offensif</v>
      </c>
      <c r="F6" s="238"/>
      <c r="G6" s="237" t="str">
        <f>ACT_PL_RATE</f>
        <v>Plaquage raté</v>
      </c>
      <c r="H6" s="238"/>
      <c r="I6" s="237" t="str">
        <f>ACT_PL_A2</f>
        <v>Plaquage à 2</v>
      </c>
      <c r="J6" s="240"/>
      <c r="K6" s="240" t="str">
        <f>ACT_PL_HAUT</f>
        <v>Plaquage haut</v>
      </c>
      <c r="L6" s="238"/>
      <c r="M6" s="240" t="str">
        <f>ACT_GRATTAGE</f>
        <v>Grattage</v>
      </c>
      <c r="N6" s="238"/>
      <c r="O6" s="240" t="str">
        <f>ACT_FRANCHISSEMENT</f>
        <v>Franchissement</v>
      </c>
      <c r="P6" s="238"/>
      <c r="Q6" s="240" t="str">
        <f>ACT_AVANCEE</f>
        <v>Avancée au contact</v>
      </c>
      <c r="R6" s="238"/>
      <c r="S6" s="240" t="str">
        <f>ACT_ATT_NULLE</f>
        <v>Recul ou sans progression</v>
      </c>
      <c r="T6" s="238"/>
      <c r="U6" s="227" t="s">
        <v>285</v>
      </c>
      <c r="V6" s="228"/>
      <c r="W6" s="228"/>
      <c r="X6" s="228"/>
      <c r="Y6" s="228"/>
      <c r="Z6" s="229"/>
      <c r="AF6"/>
      <c r="AG6"/>
    </row>
    <row r="7" spans="2:37" ht="13" customHeight="1">
      <c r="B7" s="256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229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30">
        <f t="shared" si="0"/>
        <v>0</v>
      </c>
      <c r="V32" s="230">
        <f t="shared" si="0"/>
        <v>0</v>
      </c>
      <c r="W32" s="230">
        <f t="shared" si="0"/>
        <v>0</v>
      </c>
      <c r="X32" s="230">
        <f t="shared" si="0"/>
        <v>0</v>
      </c>
      <c r="Y32" s="230">
        <f t="shared" si="0"/>
        <v>0</v>
      </c>
      <c r="Z32" s="230">
        <f t="shared" si="0"/>
        <v>0</v>
      </c>
    </row>
    <row r="33" spans="2:33" s="69" customFormat="1" ht="25" customHeight="1">
      <c r="B33" s="83" t="s">
        <v>228</v>
      </c>
      <c r="C33" s="234">
        <f>C32+D32</f>
        <v>0</v>
      </c>
      <c r="D33" s="235"/>
      <c r="E33" s="236">
        <f t="shared" ref="E33" si="3">E32+F32</f>
        <v>0</v>
      </c>
      <c r="F33" s="236"/>
      <c r="G33" s="234">
        <f t="shared" ref="G33" si="4">G32+H32</f>
        <v>0</v>
      </c>
      <c r="H33" s="235"/>
      <c r="I33" s="234">
        <f>I32+J32</f>
        <v>0</v>
      </c>
      <c r="J33" s="235"/>
      <c r="K33" s="234">
        <f t="shared" ref="K33" si="5">K32+L32</f>
        <v>0</v>
      </c>
      <c r="L33" s="235"/>
      <c r="M33" s="236">
        <f t="shared" ref="M33" si="6">M32+N32</f>
        <v>0</v>
      </c>
      <c r="N33" s="235"/>
      <c r="O33" s="236">
        <f t="shared" ref="O33" si="7">O32+P32</f>
        <v>0</v>
      </c>
      <c r="P33" s="235"/>
      <c r="Q33" s="236">
        <f t="shared" ref="Q33" si="8">Q32+R32</f>
        <v>0</v>
      </c>
      <c r="R33" s="235"/>
      <c r="S33" s="236">
        <f t="shared" ref="S33" si="9">S32+T32</f>
        <v>0</v>
      </c>
      <c r="T33" s="235"/>
      <c r="U33" s="231"/>
      <c r="V33" s="231"/>
      <c r="W33" s="231"/>
      <c r="X33" s="231"/>
      <c r="Y33" s="231"/>
      <c r="Z33" s="231"/>
    </row>
    <row r="34" spans="2:33" s="25" customFormat="1"/>
    <row r="35" spans="2:33" s="25" customFormat="1"/>
    <row r="36" spans="2:33" ht="14">
      <c r="B36" s="84" t="s">
        <v>195</v>
      </c>
      <c r="C36" s="84" t="s">
        <v>264</v>
      </c>
      <c r="D36" s="85" t="s">
        <v>194</v>
      </c>
      <c r="E36" s="25"/>
      <c r="F36" s="25"/>
      <c r="G36" s="237" t="s">
        <v>223</v>
      </c>
      <c r="H36" s="238"/>
      <c r="J36" s="237" t="s">
        <v>78</v>
      </c>
      <c r="K36" s="237" t="s">
        <v>197</v>
      </c>
      <c r="L36" s="240"/>
      <c r="M36" s="238"/>
      <c r="N36" s="238" t="s">
        <v>224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192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197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39"/>
      <c r="K37" s="98" t="s">
        <v>203</v>
      </c>
      <c r="L37" s="94" t="s">
        <v>222</v>
      </c>
      <c r="M37" s="99" t="s">
        <v>82</v>
      </c>
      <c r="N37" s="241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225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198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196</v>
      </c>
      <c r="C40" s="84" t="s">
        <v>264</v>
      </c>
      <c r="D40" s="85" t="s">
        <v>194</v>
      </c>
      <c r="E40" s="25"/>
      <c r="F40" s="25"/>
      <c r="G40" s="237" t="s">
        <v>199</v>
      </c>
      <c r="H40" s="238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192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197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197</v>
      </c>
      <c r="M41" s="76" t="s">
        <v>224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225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198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32" t="s">
        <v>31</v>
      </c>
      <c r="K42" s="233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44" t="s">
        <v>33</v>
      </c>
      <c r="K43" s="245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286</v>
      </c>
      <c r="C44" s="84" t="s">
        <v>264</v>
      </c>
      <c r="D44" s="85" t="s">
        <v>194</v>
      </c>
      <c r="E44" s="25"/>
      <c r="F44" s="25"/>
      <c r="G44" s="237" t="s">
        <v>289</v>
      </c>
      <c r="H44" s="238"/>
      <c r="I44" s="25"/>
      <c r="J44" s="232" t="s">
        <v>35</v>
      </c>
      <c r="K44" s="233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192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44" t="s">
        <v>37</v>
      </c>
      <c r="K45" s="245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225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32" t="s">
        <v>39</v>
      </c>
      <c r="K46" s="233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290</v>
      </c>
      <c r="H47" s="108">
        <v>0</v>
      </c>
      <c r="I47" s="25"/>
      <c r="J47" s="244" t="s">
        <v>219</v>
      </c>
      <c r="K47" s="245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287</v>
      </c>
      <c r="C48" s="84" t="s">
        <v>264</v>
      </c>
      <c r="D48" s="85" t="s">
        <v>194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192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225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46" t="s">
        <v>288</v>
      </c>
      <c r="C56" s="247"/>
      <c r="D56" s="247"/>
      <c r="E56" s="247"/>
      <c r="F56" s="247"/>
      <c r="G56" s="247"/>
      <c r="H56" s="247"/>
      <c r="I56" s="247"/>
      <c r="J56" s="247"/>
      <c r="K56" s="248"/>
    </row>
    <row r="57" spans="2:20" s="25" customFormat="1">
      <c r="B57" s="249"/>
      <c r="C57" s="250"/>
      <c r="D57" s="250"/>
      <c r="E57" s="250"/>
      <c r="F57" s="250"/>
      <c r="G57" s="250"/>
      <c r="H57" s="250"/>
      <c r="I57" s="250"/>
      <c r="J57" s="250"/>
      <c r="K57" s="251"/>
    </row>
    <row r="58" spans="2:20" s="25" customFormat="1" ht="14" thickBot="1">
      <c r="B58" s="252"/>
      <c r="C58" s="253"/>
      <c r="D58" s="253"/>
      <c r="E58" s="253"/>
      <c r="F58" s="253"/>
      <c r="G58" s="253"/>
      <c r="H58" s="253"/>
      <c r="I58" s="253"/>
      <c r="J58" s="253"/>
      <c r="K58" s="254"/>
    </row>
    <row r="59" spans="2:20" s="25" customFormat="1"/>
    <row r="60" spans="2:20" s="25" customFormat="1" ht="14">
      <c r="B60" s="255" t="s">
        <v>64</v>
      </c>
      <c r="C60" s="237" t="str">
        <f>ACT_TO_NS_G</f>
        <v>Touche à nous conservée</v>
      </c>
      <c r="D60" s="238"/>
      <c r="E60" s="237" t="str">
        <f>ACT_TO_ADV_VOLEE</f>
        <v>Touche à eux volée</v>
      </c>
      <c r="F60" s="238"/>
      <c r="H60" s="257" t="str">
        <f>ACT_TO_NS_P</f>
        <v>Touche à nous perdue</v>
      </c>
      <c r="I60" s="258"/>
      <c r="J60" s="257" t="str">
        <f>ACT_TO_NS_PAS_DROIT</f>
        <v>Touche à nous pas droite</v>
      </c>
      <c r="K60" s="258"/>
    </row>
    <row r="61" spans="2:20" s="25" customFormat="1" ht="14">
      <c r="B61" s="256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229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228</v>
      </c>
      <c r="C87" s="234">
        <f>C86+D86</f>
        <v>0</v>
      </c>
      <c r="D87" s="235"/>
      <c r="E87" s="234">
        <f>E86+F86</f>
        <v>0</v>
      </c>
      <c r="F87" s="235"/>
      <c r="H87" s="242">
        <f>H86+I86</f>
        <v>0</v>
      </c>
      <c r="I87" s="243"/>
      <c r="J87" s="242">
        <f>J86+K86</f>
        <v>0</v>
      </c>
      <c r="K87" s="243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322</v>
      </c>
      <c r="C92" s="112" t="s">
        <v>98</v>
      </c>
      <c r="D92" s="113" t="s">
        <v>163</v>
      </c>
      <c r="F92" s="272" t="s">
        <v>323</v>
      </c>
      <c r="G92" s="273"/>
      <c r="H92" s="265" t="s">
        <v>97</v>
      </c>
      <c r="I92" s="265" t="s">
        <v>94</v>
      </c>
      <c r="J92" s="274" t="s">
        <v>290</v>
      </c>
    </row>
    <row r="93" spans="2:11" s="25" customFormat="1" ht="17" thickBot="1">
      <c r="B93" s="114" t="s">
        <v>291</v>
      </c>
      <c r="C93" s="111">
        <v>0</v>
      </c>
      <c r="D93" s="115">
        <v>0</v>
      </c>
      <c r="F93" s="275" t="s">
        <v>291</v>
      </c>
      <c r="G93" s="259"/>
      <c r="H93" s="111">
        <v>0</v>
      </c>
      <c r="I93" s="111">
        <v>0</v>
      </c>
      <c r="J93" s="276">
        <v>0</v>
      </c>
    </row>
    <row r="94" spans="2:11" s="25" customFormat="1" ht="17">
      <c r="B94" s="264" t="s">
        <v>322</v>
      </c>
      <c r="C94" s="265" t="s">
        <v>98</v>
      </c>
      <c r="D94" s="266" t="s">
        <v>163</v>
      </c>
      <c r="F94" s="275" t="s">
        <v>292</v>
      </c>
      <c r="G94" s="259"/>
      <c r="H94" s="111">
        <v>0</v>
      </c>
      <c r="I94" s="111">
        <v>0</v>
      </c>
      <c r="J94" s="276">
        <v>0</v>
      </c>
    </row>
    <row r="95" spans="2:11" s="25" customFormat="1" ht="16">
      <c r="B95" s="267" t="s">
        <v>291</v>
      </c>
      <c r="C95" s="111">
        <v>0</v>
      </c>
      <c r="D95" s="268">
        <v>0</v>
      </c>
      <c r="F95" s="275" t="s">
        <v>293</v>
      </c>
      <c r="G95" s="259"/>
      <c r="H95" s="111">
        <v>0</v>
      </c>
      <c r="I95" s="111">
        <v>0</v>
      </c>
      <c r="J95" s="276">
        <v>0</v>
      </c>
    </row>
    <row r="96" spans="2:11" s="25" customFormat="1" ht="16">
      <c r="B96" s="267" t="s">
        <v>292</v>
      </c>
      <c r="C96" s="111">
        <v>0</v>
      </c>
      <c r="D96" s="268">
        <v>0</v>
      </c>
      <c r="F96" s="275" t="s">
        <v>294</v>
      </c>
      <c r="G96" s="259"/>
      <c r="H96" s="111">
        <v>0</v>
      </c>
      <c r="I96" s="111">
        <v>0</v>
      </c>
      <c r="J96" s="276">
        <v>0</v>
      </c>
    </row>
    <row r="97" spans="2:10" s="25" customFormat="1" ht="16">
      <c r="B97" s="267" t="s">
        <v>293</v>
      </c>
      <c r="C97" s="111">
        <v>0</v>
      </c>
      <c r="D97" s="268">
        <v>0</v>
      </c>
      <c r="F97" s="275" t="s">
        <v>324</v>
      </c>
      <c r="G97" s="259"/>
      <c r="H97" s="111">
        <v>0</v>
      </c>
      <c r="I97" s="111">
        <v>0</v>
      </c>
      <c r="J97" s="276">
        <v>0</v>
      </c>
    </row>
    <row r="98" spans="2:10" s="25" customFormat="1" ht="16">
      <c r="B98" s="267" t="s">
        <v>294</v>
      </c>
      <c r="C98" s="111">
        <v>0</v>
      </c>
      <c r="D98" s="268">
        <v>0</v>
      </c>
      <c r="F98" s="275" t="s">
        <v>325</v>
      </c>
      <c r="G98" s="259"/>
      <c r="H98" s="111">
        <v>0</v>
      </c>
      <c r="I98" s="111">
        <v>0</v>
      </c>
      <c r="J98" s="276">
        <v>0</v>
      </c>
    </row>
    <row r="99" spans="2:10" s="25" customFormat="1" ht="17" thickBot="1">
      <c r="B99" s="269" t="s">
        <v>295</v>
      </c>
      <c r="C99" s="270">
        <v>0</v>
      </c>
      <c r="D99" s="271">
        <v>0</v>
      </c>
      <c r="F99" s="275" t="s">
        <v>326</v>
      </c>
      <c r="G99" s="259"/>
      <c r="H99" s="111">
        <v>0</v>
      </c>
      <c r="I99" s="111">
        <v>0</v>
      </c>
      <c r="J99" s="276">
        <v>0</v>
      </c>
    </row>
    <row r="100" spans="2:10" s="25" customFormat="1" ht="17" thickBot="1">
      <c r="F100" s="277" t="s">
        <v>327</v>
      </c>
      <c r="G100" s="278"/>
      <c r="H100" s="270">
        <v>0</v>
      </c>
      <c r="I100" s="270">
        <v>0</v>
      </c>
      <c r="J100" s="279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" priority="6" stopIfTrue="1">
      <formula>ISEVEN(ROW())</formula>
    </cfRule>
  </conditionalFormatting>
  <conditionalFormatting sqref="B62:B85">
    <cfRule type="expression" dxfId="4" priority="5" stopIfTrue="1">
      <formula>ISEVEN(ROW())</formula>
    </cfRule>
  </conditionalFormatting>
  <conditionalFormatting sqref="C62:D85">
    <cfRule type="expression" dxfId="3" priority="4" stopIfTrue="1">
      <formula>ISEVEN(ROW())</formula>
    </cfRule>
  </conditionalFormatting>
  <conditionalFormatting sqref="H62:I85">
    <cfRule type="expression" dxfId="2" priority="3" stopIfTrue="1">
      <formula>ISEVEN(ROW())</formula>
    </cfRule>
  </conditionalFormatting>
  <conditionalFormatting sqref="J62:K85">
    <cfRule type="expression" dxfId="1" priority="2" stopIfTrue="1">
      <formula>ISEVEN(ROW())</formula>
    </cfRule>
  </conditionalFormatting>
  <conditionalFormatting sqref="E62:F85">
    <cfRule type="expression" dxfId="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T200"/>
  <sheetViews>
    <sheetView topLeftCell="B1" workbookViewId="0">
      <selection activeCell="I13" sqref="I13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240</v>
      </c>
      <c r="D1" s="40"/>
      <c r="F1" s="47" t="s">
        <v>160</v>
      </c>
      <c r="G1" s="48" t="s">
        <v>161</v>
      </c>
      <c r="I1" s="52" t="s">
        <v>166</v>
      </c>
      <c r="K1" s="104" t="s">
        <v>164</v>
      </c>
      <c r="N1" t="s">
        <v>202</v>
      </c>
      <c r="Q1" s="52" t="s">
        <v>127</v>
      </c>
      <c r="R1" s="52" t="s">
        <v>167</v>
      </c>
    </row>
    <row r="2" spans="3:20" ht="30" customHeight="1">
      <c r="C2" s="44" t="s">
        <v>230</v>
      </c>
      <c r="D2" s="44"/>
      <c r="F2" s="42" t="s">
        <v>150</v>
      </c>
      <c r="G2" s="35"/>
      <c r="I2" s="43" t="s">
        <v>98</v>
      </c>
      <c r="K2" s="280" t="s">
        <v>92</v>
      </c>
      <c r="N2" t="s">
        <v>203</v>
      </c>
      <c r="Q2" s="43" t="s">
        <v>128</v>
      </c>
      <c r="R2" s="43" t="s">
        <v>58</v>
      </c>
      <c r="T2" t="inlineStr">
        <is>
          <t>1.0.2</t>
        </is>
      </c>
    </row>
    <row r="3" spans="3:18" ht="30" customHeight="1">
      <c r="C3" s="44" t="s">
        <v>239</v>
      </c>
      <c r="D3" s="44"/>
      <c r="F3" s="45" t="s">
        <v>151</v>
      </c>
      <c r="G3" s="28"/>
      <c r="I3" s="53" t="s">
        <v>163</v>
      </c>
      <c r="K3" s="280" t="s">
        <v>82</v>
      </c>
      <c r="N3" t="s">
        <v>221</v>
      </c>
      <c r="Q3" s="46" t="s">
        <v>129</v>
      </c>
      <c r="R3" s="46" t="s">
        <v>108</v>
      </c>
    </row>
    <row r="4" spans="3:18" ht="30" customHeight="1">
      <c r="C4" s="44" t="s">
        <v>241</v>
      </c>
      <c r="D4" s="44"/>
      <c r="F4" s="42" t="s">
        <v>152</v>
      </c>
      <c r="G4" s="29"/>
      <c r="Q4" s="43" t="s">
        <v>130</v>
      </c>
      <c r="R4" s="43" t="s">
        <v>59</v>
      </c>
    </row>
    <row r="5" spans="3:18" ht="30" customHeight="1">
      <c r="C5" s="44"/>
      <c r="D5" s="44"/>
      <c r="F5" s="45" t="s">
        <v>153</v>
      </c>
      <c r="G5" s="30"/>
      <c r="I5" s="52" t="s">
        <v>165</v>
      </c>
      <c r="K5" s="41" t="s">
        <v>341</v>
      </c>
      <c r="Q5" s="46" t="s">
        <v>131</v>
      </c>
      <c r="R5" s="46" t="s">
        <v>132</v>
      </c>
    </row>
    <row r="6" spans="3:18" ht="30" customHeight="1">
      <c r="C6" s="44" t="s">
        <v>242</v>
      </c>
      <c r="D6" s="44"/>
      <c r="F6" s="42" t="s">
        <v>155</v>
      </c>
      <c r="G6" s="31"/>
      <c r="I6" s="43" t="s">
        <v>97</v>
      </c>
      <c r="K6" t="s">
        <v>342</v>
      </c>
      <c r="Q6" s="43" t="s">
        <v>133</v>
      </c>
      <c r="R6" s="43" t="s">
        <v>134</v>
      </c>
    </row>
    <row r="7" spans="3:18" ht="30" customHeight="1">
      <c r="C7" s="44" t="s">
        <v>231</v>
      </c>
      <c r="D7" s="44"/>
      <c r="F7" s="45" t="s">
        <v>154</v>
      </c>
      <c r="G7" s="39"/>
      <c r="I7" s="53" t="s">
        <v>94</v>
      </c>
      <c r="K7" t="s">
        <v>343</v>
      </c>
      <c r="Q7" s="46" t="s">
        <v>135</v>
      </c>
      <c r="R7" s="46" t="s">
        <v>111</v>
      </c>
    </row>
    <row r="8" spans="3:18" ht="30" customHeight="1">
      <c r="C8" s="44" t="s">
        <v>243</v>
      </c>
      <c r="D8" s="44"/>
      <c r="F8" s="42" t="s">
        <v>156</v>
      </c>
      <c r="G8" s="24"/>
      <c r="Q8" s="43" t="s">
        <v>136</v>
      </c>
      <c r="R8" s="43" t="s">
        <v>109</v>
      </c>
    </row>
    <row r="9" spans="3:18" s="40" customFormat="1" ht="30" customHeight="1">
      <c r="C9" s="44" t="s">
        <v>244</v>
      </c>
      <c r="D9" s="44"/>
      <c r="F9" s="45" t="s">
        <v>157</v>
      </c>
      <c r="G9" s="32"/>
      <c r="K9"/>
      <c r="Q9" s="46" t="s">
        <v>137</v>
      </c>
      <c r="R9" s="46" t="s">
        <v>112</v>
      </c>
    </row>
    <row r="10" spans="3:18" ht="30" customHeight="1">
      <c r="C10" s="44" t="s">
        <v>321</v>
      </c>
      <c r="D10" s="44"/>
      <c r="F10" s="42" t="s">
        <v>158</v>
      </c>
      <c r="G10" s="33"/>
      <c r="I10" s="73" t="s">
        <v>267</v>
      </c>
      <c r="Q10" s="43" t="s">
        <v>138</v>
      </c>
      <c r="R10" s="43" t="s">
        <v>110</v>
      </c>
    </row>
    <row r="11" spans="3:18" s="40" customFormat="1" ht="30" customHeight="1">
      <c r="D11" s="44"/>
      <c r="F11" s="45" t="s">
        <v>298</v>
      </c>
      <c r="G11" s="117"/>
      <c r="K11"/>
      <c r="Q11" s="46" t="s">
        <v>139</v>
      </c>
      <c r="R11" s="46" t="s">
        <v>113</v>
      </c>
    </row>
    <row r="12" spans="3:18" ht="30" customHeight="1">
      <c r="C12" s="44" t="s">
        <v>245</v>
      </c>
      <c r="D12" s="44"/>
      <c r="F12" s="42" t="s">
        <v>299</v>
      </c>
      <c r="G12" s="118"/>
      <c r="Q12" s="46" t="s">
        <v>273</v>
      </c>
      <c r="R12" s="46" t="s">
        <v>274</v>
      </c>
    </row>
    <row r="13" spans="3:18" s="40" customFormat="1" ht="30" customHeight="1">
      <c r="C13" s="44" t="s">
        <v>232</v>
      </c>
      <c r="D13" s="44"/>
      <c r="F13" s="45" t="s">
        <v>300</v>
      </c>
      <c r="G13" s="119"/>
      <c r="K13"/>
      <c r="Q13" s="45" t="s">
        <v>227</v>
      </c>
      <c r="R13" s="93" t="s">
        <v>212</v>
      </c>
    </row>
    <row r="14" spans="3:18" ht="30" customHeight="1">
      <c r="C14" s="44" t="s">
        <v>246</v>
      </c>
      <c r="D14" s="44"/>
      <c r="F14" s="45"/>
      <c r="G14" s="40"/>
      <c r="I14" s="41" t="s">
        <v>173</v>
      </c>
      <c r="Q14" s="45" t="s">
        <v>226</v>
      </c>
      <c r="R14" s="93" t="s">
        <v>213</v>
      </c>
    </row>
    <row r="15" spans="3:18" s="40" customFormat="1" ht="30" customHeight="1">
      <c r="C15" s="44" t="s">
        <v>247</v>
      </c>
      <c r="D15" s="44"/>
      <c r="F15" s="42" t="s">
        <v>159</v>
      </c>
      <c r="G15" s="34"/>
      <c r="I15" s="40" t="s">
        <v>169</v>
      </c>
      <c r="K15"/>
      <c r="Q15" s="45" t="s">
        <v>140</v>
      </c>
      <c r="R15" s="93" t="s">
        <v>103</v>
      </c>
    </row>
    <row r="16" spans="3:18" ht="30" customHeight="1">
      <c r="C16" s="44"/>
      <c r="D16" s="44"/>
      <c r="I16" s="40" t="s">
        <v>170</v>
      </c>
      <c r="Q16" s="45" t="s">
        <v>141</v>
      </c>
      <c r="R16" s="93" t="s">
        <v>114</v>
      </c>
    </row>
    <row r="17" spans="3:18" s="40" customFormat="1" ht="30" customHeight="1">
      <c r="C17" s="44" t="s">
        <v>255</v>
      </c>
      <c r="D17" s="44"/>
      <c r="I17" s="40" t="s">
        <v>171</v>
      </c>
      <c r="K17"/>
      <c r="Q17" s="45" t="s">
        <v>142</v>
      </c>
      <c r="R17" s="93" t="s">
        <v>115</v>
      </c>
    </row>
    <row r="18" spans="3:18" ht="30" customHeight="1">
      <c r="C18" s="44" t="s">
        <v>256</v>
      </c>
      <c r="D18" s="44"/>
      <c r="I18" s="40" t="s">
        <v>172</v>
      </c>
      <c r="Q18" s="45" t="s">
        <v>143</v>
      </c>
      <c r="R18" s="93" t="s">
        <v>116</v>
      </c>
    </row>
    <row r="19" spans="3:18" ht="30" customHeight="1">
      <c r="C19" s="44" t="s">
        <v>257</v>
      </c>
      <c r="D19" s="44"/>
      <c r="I19" s="40" t="s">
        <v>269</v>
      </c>
      <c r="Q19" s="45" t="s">
        <v>144</v>
      </c>
      <c r="R19" s="93" t="s">
        <v>107</v>
      </c>
    </row>
    <row r="20" spans="3:18" ht="30" customHeight="1">
      <c r="C20" s="44" t="s">
        <v>258</v>
      </c>
      <c r="D20" s="44"/>
      <c r="I20" s="40" t="s">
        <v>270</v>
      </c>
      <c r="Q20" s="45" t="s">
        <v>145</v>
      </c>
      <c r="R20" s="93" t="s">
        <v>104</v>
      </c>
    </row>
    <row r="21" spans="3:18" ht="30" customHeight="1">
      <c r="C21" s="44" t="s">
        <v>259</v>
      </c>
      <c r="D21" s="44"/>
      <c r="Q21" s="45" t="s">
        <v>146</v>
      </c>
      <c r="R21" s="93" t="s">
        <v>105</v>
      </c>
    </row>
    <row r="22" spans="3:18" ht="30" customHeight="1">
      <c r="C22" s="44"/>
      <c r="D22" s="44"/>
      <c r="Q22" s="45" t="s">
        <v>147</v>
      </c>
      <c r="R22" s="93" t="s">
        <v>100</v>
      </c>
    </row>
    <row r="23" spans="3:18" ht="30" customHeight="1">
      <c r="C23" s="44"/>
      <c r="D23" s="44"/>
      <c r="Q23" s="45" t="s">
        <v>148</v>
      </c>
      <c r="R23" s="93" t="s">
        <v>101</v>
      </c>
    </row>
    <row r="24" spans="3:18" ht="30" customHeight="1">
      <c r="C24" s="44"/>
      <c r="D24" s="44"/>
      <c r="Q24" s="45" t="s">
        <v>149</v>
      </c>
      <c r="R24" s="93" t="s">
        <v>87</v>
      </c>
    </row>
    <row r="25" spans="3:18" ht="30" customHeight="1">
      <c r="Q25" s="45" t="s">
        <v>180</v>
      </c>
      <c r="R25" s="93" t="s">
        <v>182</v>
      </c>
    </row>
    <row r="26" spans="3:18" ht="30" customHeight="1">
      <c r="Q26" s="45" t="s">
        <v>181</v>
      </c>
      <c r="R26" s="93" t="s">
        <v>183</v>
      </c>
    </row>
    <row r="27" spans="3:18" ht="30" customHeight="1">
      <c r="Q27" s="45" t="s">
        <v>184</v>
      </c>
      <c r="R27" s="93" t="s">
        <v>185</v>
      </c>
    </row>
    <row r="28" spans="3:18" ht="30" customHeight="1">
      <c r="Q28" s="45" t="s">
        <v>186</v>
      </c>
      <c r="R28" s="93" t="s">
        <v>187</v>
      </c>
    </row>
    <row r="29" spans="3:18" ht="30" customHeight="1">
      <c r="Q29" s="45" t="s">
        <v>188</v>
      </c>
      <c r="R29" s="93" t="s">
        <v>60</v>
      </c>
    </row>
    <row r="30" spans="3:18" ht="30" customHeight="1">
      <c r="Q30" s="45" t="s">
        <v>189</v>
      </c>
      <c r="R30" s="93" t="s">
        <v>190</v>
      </c>
    </row>
    <row r="31" spans="3:18" ht="30" customHeight="1">
      <c r="Q31" s="45" t="s">
        <v>211</v>
      </c>
      <c r="R31" s="93" t="s">
        <v>205</v>
      </c>
    </row>
    <row r="32" spans="3:18" ht="30" customHeight="1">
      <c r="Q32" s="45" t="s">
        <v>214</v>
      </c>
      <c r="R32" s="93" t="s">
        <v>206</v>
      </c>
    </row>
    <row r="33" spans="17:18" ht="30" customHeight="1">
      <c r="Q33" s="45" t="s">
        <v>215</v>
      </c>
      <c r="R33" s="93" t="s">
        <v>207</v>
      </c>
    </row>
    <row r="34" spans="17:18" ht="30" customHeight="1">
      <c r="Q34" s="45" t="s">
        <v>216</v>
      </c>
      <c r="R34" s="93" t="s">
        <v>132</v>
      </c>
    </row>
    <row r="35" spans="17:18" ht="30" customHeight="1">
      <c r="Q35" s="45" t="s">
        <v>217</v>
      </c>
      <c r="R35" s="93" t="s">
        <v>134</v>
      </c>
    </row>
    <row r="36" spans="17:18" ht="30" customHeight="1">
      <c r="Q36" s="45" t="s">
        <v>220</v>
      </c>
      <c r="R36" s="93" t="s">
        <v>82</v>
      </c>
    </row>
    <row r="37" spans="17:18" ht="30" customHeight="1">
      <c r="Q37" s="53" t="s">
        <v>271</v>
      </c>
      <c r="R37" s="53" t="s">
        <v>272</v>
      </c>
    </row>
    <row r="38" spans="17:18" ht="30" customHeight="1">
      <c r="Q38" s="46" t="s">
        <v>277</v>
      </c>
      <c r="R38" s="46" t="s">
        <v>278</v>
      </c>
    </row>
    <row r="39" spans="17:18" ht="30" customHeight="1">
      <c r="Q39" s="46" t="s">
        <v>279</v>
      </c>
      <c r="R39" s="46" t="s">
        <v>280</v>
      </c>
    </row>
    <row r="40" spans="17:18" ht="30" customHeight="1">
      <c r="Q40" s="46" t="s">
        <v>281</v>
      </c>
      <c r="R40" s="46" t="s">
        <v>282</v>
      </c>
    </row>
    <row r="41" spans="17:18" ht="30" customHeight="1">
      <c r="Q41" s="53" t="s">
        <v>283</v>
      </c>
      <c r="R41" s="53" t="s">
        <v>284</v>
      </c>
    </row>
    <row r="42" spans="17:18" ht="30" customHeight="1">
      <c r="Q42" s="53" t="s">
        <v>301</v>
      </c>
      <c r="R42" s="53" t="s">
        <v>302</v>
      </c>
    </row>
    <row r="43" spans="17:18" ht="30" customHeight="1">
      <c r="Q43" s="53" t="s">
        <v>303</v>
      </c>
      <c r="R43" s="53" t="s">
        <v>304</v>
      </c>
    </row>
    <row r="44" spans="17:18" ht="30" customHeight="1">
      <c r="Q44" s="53" t="s">
        <v>305</v>
      </c>
      <c r="R44" s="53" t="s">
        <v>306</v>
      </c>
    </row>
    <row r="45" spans="17:18" ht="30" customHeight="1">
      <c r="Q45" s="53" t="s">
        <v>307</v>
      </c>
      <c r="R45" s="53" t="s">
        <v>313</v>
      </c>
    </row>
    <row r="46" spans="17:18" ht="30" customHeight="1">
      <c r="Q46" s="53" t="s">
        <v>308</v>
      </c>
      <c r="R46" s="53" t="s">
        <v>314</v>
      </c>
    </row>
    <row r="47" spans="17:18" ht="30" customHeight="1">
      <c r="Q47" s="53" t="s">
        <v>309</v>
      </c>
      <c r="R47" s="53" t="s">
        <v>315</v>
      </c>
    </row>
    <row r="48" spans="17:18" ht="30" customHeight="1">
      <c r="Q48" s="53" t="s">
        <v>310</v>
      </c>
      <c r="R48" s="53" t="s">
        <v>316</v>
      </c>
    </row>
    <row r="49" spans="17:18" ht="30" customHeight="1">
      <c r="Q49" s="53" t="s">
        <v>311</v>
      </c>
      <c r="R49" s="53" t="s">
        <v>317</v>
      </c>
    </row>
    <row r="50" spans="17:18" ht="30" customHeight="1">
      <c r="Q50" s="53" t="s">
        <v>312</v>
      </c>
      <c r="R50" s="53" t="s">
        <v>318</v>
      </c>
    </row>
    <row r="51" spans="17:18" ht="30" customHeight="1">
      <c r="Q51" s="46" t="s">
        <v>329</v>
      </c>
      <c r="R51" s="46" t="s">
        <v>332</v>
      </c>
    </row>
    <row r="52" spans="17:18" ht="30" customHeight="1">
      <c r="Q52" s="53" t="s">
        <v>330</v>
      </c>
      <c r="R52" s="53" t="s">
        <v>331</v>
      </c>
    </row>
    <row r="53" spans="17:18" ht="30" customHeight="1">
      <c r="Q53" s="53" t="s">
        <v>336</v>
      </c>
      <c r="R53" s="53" t="s">
        <v>339</v>
      </c>
    </row>
    <row r="54" spans="17:18" ht="30" customHeight="1">
      <c r="Q54" s="53" t="s">
        <v>337</v>
      </c>
      <c r="R54" s="53" t="s">
        <v>338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2" t="s">
        <v>126</v>
      </c>
      <c r="D5" s="262"/>
      <c r="E5" s="262"/>
      <c r="F5" s="262"/>
      <c r="G5" s="262"/>
    </row>
    <row r="6" spans="3:7" ht="14" thickBot="1"/>
    <row r="7" spans="3:7">
      <c r="C7" s="149"/>
      <c r="D7" s="150"/>
      <c r="E7" s="150"/>
      <c r="F7" s="150"/>
      <c r="G7" s="151"/>
    </row>
    <row r="8" spans="3:7">
      <c r="C8" s="152"/>
      <c r="G8" s="153"/>
    </row>
    <row r="9" spans="3:7">
      <c r="C9" s="154" t="s">
        <v>124</v>
      </c>
      <c r="D9" s="158"/>
      <c r="G9" s="153"/>
    </row>
    <row r="10" spans="3:7">
      <c r="C10" s="154"/>
      <c r="G10" s="153"/>
    </row>
    <row r="11" spans="3:7">
      <c r="C11" s="154" t="s">
        <v>125</v>
      </c>
      <c r="D11" s="158"/>
      <c r="G11" s="153"/>
    </row>
    <row r="12" spans="3:7">
      <c r="C12" s="152"/>
      <c r="G12" s="153"/>
    </row>
    <row r="13" spans="3:7" ht="14" thickBot="1">
      <c r="C13" s="155"/>
      <c r="D13" s="156"/>
      <c r="E13" s="156"/>
      <c r="F13" s="156"/>
      <c r="G13" s="157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2026-09-23T12:42:37Z</dcterms:modified>
</cp:coreProperties>
</file>