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61560A8B-FC91-7046-9272-AE8849C51F83}" xr6:coauthVersionLast="47" xr6:coauthVersionMax="47" xr10:uidLastSave="{00000000-0000-0000-0000-000000000000}"/>
  <bookViews>
    <workbookView xWindow="13560" yWindow="660" windowWidth="21000" windowHeight="1682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r:id="rId9"/>
    <sheet name="Popup melee" sheetId="20" r:id="rId10"/>
    <sheet name="Popup penalite" sheetId="21" r:id="rId11"/>
    <sheet name="Popup remplacement" sheetId="26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3" l="1"/>
  <c r="E15" i="3"/>
  <c r="F66" i="3"/>
  <c r="E66" i="3"/>
  <c r="B62" i="12" a="1"/>
  <c r="B62" i="12" s="1"/>
  <c r="B8" i="12" a="1"/>
  <c r="B8" i="12" s="1"/>
  <c r="B3" i="12"/>
  <c r="C1" i="2"/>
  <c r="E2" i="7"/>
  <c r="N7" i="18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<sst xmlns="http://schemas.openxmlformats.org/spreadsheetml/2006/main" count="847" uniqueCount="595">
  <si>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</si>
  <si>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</si>
  <si>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</si>
  <si>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</si>
  <si>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</si>
  <si>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</si>
  <si>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</si>
  <si>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</si>
  <si>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</si>
  <si>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</si>
  <si>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</si>
  <si>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</si>
  <si>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</si>
  <si>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</si>
  <si>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</si>
  <si>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</si>
  <si>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</si>
  <si>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</si>
  <si>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</si>
  <si>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</si>
  <si>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</si>
  <si>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</si>
  <si>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</si>
  <si>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</si>
  <si>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</si>
  <si>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</si>
  <si>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</si>
  <si>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</si>
  <si>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</si>
  <si>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</si>
  <si>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</si>
  <si>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</si>
  <si>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</si>
  <si>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</si>
  <si>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</si>
  <si>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</si>
  <si>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</si>
  <si>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</si>
  <si>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</si>
  <si>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</si>
  <si>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</si>
  <si>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</si>
  <si>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</si>
  <si>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</si>
  <si>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</si>
  <si>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</si>
  <si>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</si>
  <si>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</si>
  <si>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</si>
  <si>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</si>
  <si>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</si>
  <si>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</si>
  <si>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</si>
  <si>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</si>
  <si>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</si>
  <si>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</si>
  <si>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</si>
  <si>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</si>
  <si>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</si>
  <si>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</si>
  <si>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</si>
  <si>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</si>
  <si>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</si>
  <si>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</si>
  <si>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</si>
  <si>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</si>
  <si>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</si>
  <si>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</si>
  <si>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</si>
  <si>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</si>
  <si>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</si>
  <si>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</si>
  <si>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</si>
  <si>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</si>
  <si>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</si>
  <si>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</si>
  <si>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</si>
  <si>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</si>
  <si>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</si>
  <si>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</si>
  <si>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</si>
  <si>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</si>
  <si>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</si>
  <si>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</si>
  <si>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</si>
  <si>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</si>
  <si>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</si>
  <si>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</si>
  <si>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</si>
  <si>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</si>
  <si>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</si>
  <si>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</si>
  <si>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</si>
  <si>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</si>
  <si>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</si>
  <si>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</si>
  <si>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</si>
  <si>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</si>
  <si>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</si>
  <si>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</si>
  <si>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</si>
  <si>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</si>
  <si>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</si>
  <si>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</si>
  <si>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</si>
  <si>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</si>
  <si>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</si>
  <si>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</si>
  <si>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</si>
  <si>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</si>
  <si>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</si>
  <si>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</si>
  <si>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</si>
  <si>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</si>
  <si>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</si>
  <si>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</si>
  <si>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</si>
  <si>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</si>
  <si>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</si>
  <si>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</si>
  <si>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</si>
  <si>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</si>
  <si>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</si>
  <si>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</si>
  <si>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</si>
  <si>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</si>
  <si>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</si>
  <si>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</si>
  <si>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</si>
  <si>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</si>
  <si>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</si>
  <si>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</si>
  <si>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</si>
  <si>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</si>
  <si>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</si>
  <si>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</si>
  <si>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</si>
  <si>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</si>
  <si>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</si>
  <si>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</si>
  <si>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</si>
  <si>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</si>
  <si>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</si>
  <si>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</si>
  <si>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</si>
  <si>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</si>
  <si>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</si>
  <si>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</si>
  <si>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</si>
  <si>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</si>
  <si>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</si>
  <si>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</si>
  <si>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</si>
  <si>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</si>
  <si>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</si>
  <si>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</si>
  <si>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</si>
  <si>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</si>
  <si>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</si>
  <si>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</si>
  <si>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</si>
  <si>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</si>
  <si>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</si>
  <si>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</si>
  <si>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</si>
  <si>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</si>
  <si>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</si>
  <si>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</si>
  <si>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</si>
  <si>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</si>
  <si>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</si>
  <si>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</si>
  <si>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</si>
  <si>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</si>
  <si>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</si>
  <si>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</si>
  <si>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</si>
  <si>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</si>
  <si>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</si>
  <si>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</si>
  <si>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</si>
  <si>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</si>
  <si>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</si>
  <si>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</si>
  <si>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</si>
  <si>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</si>
  <si>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</si>
  <si>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</si>
  <si>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</si>
  <si>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</si>
  <si>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</si>
  <si>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</si>
  <si>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</si>
  <si>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</si>
  <si>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</si>
  <si>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</si>
  <si>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</si>
  <si>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</si>
  <si>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</si>
  <si>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</si>
  <si>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</si>
  <si>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</si>
  <si>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</si>
  <si>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</si>
  <si>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</si>
  <si>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</si>
  <si>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</si>
  <si>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</si>
  <si>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</si>
  <si>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</si>
  <si>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</si>
  <si>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</si>
  <si>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</si>
  <si>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</si>
  <si>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</si>
  <si>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</si>
  <si>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</si>
  <si>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</si>
  <si>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</si>
  <si>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</si>
  <si>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</si>
  <si>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</si>
  <si>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</si>
  <si>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</si>
  <si>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</si>
  <si>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</si>
  <si>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</si>
  <si>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</si>
  <si>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</si>
  <si>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</si>
  <si>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</si>
  <si>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</si>
  <si>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</si>
  <si>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</si>
  <si>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</si>
  <si>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</si>
  <si>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</si>
  <si>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</si>
  <si>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</si>
  <si>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</si>
  <si>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</si>
  <si>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</si>
  <si>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</si>
  <si>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</si>
  <si>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</si>
  <si>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</si>
  <si>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</si>
  <si>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</si>
  <si>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</si>
  <si>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</si>
  <si>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</si>
  <si>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</si>
  <si>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</si>
  <si>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</si>
  <si>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</si>
  <si>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</si>
  <si>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</si>
  <si>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</si>
  <si>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</si>
  <si>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</si>
  <si>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</si>
  <si>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</si>
  <si>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</si>
  <si>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</si>
  <si>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</si>
  <si>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</si>
  <si>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</si>
  <si>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</si>
  <si>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</si>
  <si>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</si>
  <si>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</si>
  <si>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</si>
  <si>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</si>
  <si>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</si>
  <si>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</si>
  <si>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</si>
  <si>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</si>
  <si>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</si>
  <si>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</si>
  <si>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</si>
  <si>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</si>
  <si>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</si>
  <si>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</si>
  <si>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</si>
  <si>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</si>
  <si>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</si>
  <si>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</si>
  <si>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</si>
  <si>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</si>
  <si>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</si>
  <si>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</si>
  <si>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</si>
  <si>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</si>
  <si>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</si>
  <si>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</si>
  <si>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</si>
  <si>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</si>
  <si>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</si>
  <si>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</si>
  <si>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</si>
  <si>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</si>
  <si>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</si>
  <si>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</si>
  <si>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</si>
  <si>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</si>
  <si>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</si>
  <si>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</si>
  <si>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</si>
  <si>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</si>
  <si>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</si>
  <si>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</si>
  <si>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</si>
  <si>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</si>
  <si>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</si>
  <si>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</si>
  <si>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</si>
  <si>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</si>
  <si>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</si>
  <si>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</si>
  <si>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</si>
  <si>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</si>
  <si>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</si>
  <si>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</si>
  <si>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</si>
  <si>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</si>
  <si>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</si>
  <si>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</si>
  <si>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</si>
  <si>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</si>
  <si>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</si>
  <si>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</si>
  <si>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</si>
  <si>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</si>
  <si>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</si>
  <si>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</si>
  <si>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</si>
  <si>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</si>
  <si>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</si>
  <si>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</si>
  <si>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</si>
  <si>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</si>
  <si>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</si>
  <si>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</si>
  <si>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</si>
  <si>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</si>
  <si>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</si>
  <si>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</si>
  <si>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</si>
  <si>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</si>
  <si>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</si>
  <si>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</si>
  <si>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</si>
  <si>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</si>
  <si>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</si>
  <si>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</si>
  <si>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</si>
  <si>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</si>
  <si>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</si>
  <si>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</si>
  <si>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</si>
  <si>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</si>
  <si>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</si>
  <si>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</si>
  <si>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</si>
  <si>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</si>
  <si>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</si>
  <si>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</si>
  <si>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</si>
  <si>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</si>
  <si>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</si>
  <si>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</si>
  <si>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</si>
  <si>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</si>
  <si>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</si>
  <si>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</si>
  <si>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</si>
  <si>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</si>
  <si>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</si>
  <si>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</si>
  <si>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</si>
  <si>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</si>
  <si>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</si>
  <si>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</si>
  <si>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</si>
  <si>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</si>
  <si>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</si>
  <si>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</si>
  <si>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</si>
  <si>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</si>
  <si>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</si>
  <si>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</si>
  <si>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</si>
  <si>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</si>
  <si>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</si>
  <si>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</si>
  <si>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</si>
  <si>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</si>
  <si>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</si>
  <si>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</si>
  <si>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</si>
  <si>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</si>
  <si>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</si>
  <si>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</si>
  <si>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</si>
  <si>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</si>
  <si>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</si>
  <si>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</si>
  <si>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</si>
  <si>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</si>
  <si>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</si>
  <si>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</si>
  <si>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</si>
  <si>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</si>
  <si>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</si>
  <si>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</si>
  <si>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</si>
  <si>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</si>
  <si>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</si>
  <si>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</si>
  <si>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</si>
  <si>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</si>
  <si>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</si>
  <si>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</si>
  <si>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</si>
  <si>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</si>
  <si>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</si>
  <si>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</si>
  <si>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</si>
  <si>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</si>
  <si>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</si>
  <si>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</si>
  <si>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</si>
  <si>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</si>
  <si>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</si>
  <si>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</si>
  <si>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</si>
  <si>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</si>
  <si>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</si>
  <si>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</si>
  <si>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</si>
  <si>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</si>
  <si>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</si>
  <si>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</si>
  <si>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</si>
  <si>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</si>
  <si>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</si>
  <si>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</si>
  <si>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</si>
  <si>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</si>
  <si>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</si>
  <si>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</si>
  <si>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</si>
  <si>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</si>
  <si>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</si>
  <si>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</si>
  <si>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</si>
  <si>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</si>
  <si>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</si>
  <si>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</si>
  <si>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</si>
  <si>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</si>
  <si>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</si>
  <si>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</si>
  <si>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</si>
  <si>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</si>
  <si>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</si>
  <si>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</si>
  <si>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</si>
  <si>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</si>
  <si>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</si>
  <si>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</si>
  <si>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</si>
  <si>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</si>
  <si>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</si>
  <si>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</si>
  <si>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</si>
  <si>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</si>
  <si>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</si>
  <si>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</si>
  <si>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</si>
  <si>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</si>
  <si>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</si>
  <si>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</si>
  <si>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</si>
  <si>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</si>
  <si>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</si>
  <si>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</si>
  <si>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</si>
  <si>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</si>
  <si>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</si>
  <si>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</si>
  <si>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</si>
  <si>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</si>
  <si>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</si>
  <si>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</si>
  <si>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</si>
  <si>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</si>
  <si>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</si>
  <si>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</si>
  <si>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</si>
  <si>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</si>
  <si>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</si>
  <si>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</si>
  <si>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</si>
  <si>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</si>
  <si>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</si>
  <si>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</si>
  <si>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</si>
  <si>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</si>
  <si>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</si>
  <si>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</si>
  <si>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</si>
  <si>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</si>
  <si>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</si>
  <si>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</si>
  <si>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</si>
  <si>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</si>
  <si>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</si>
  <si>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r>
      <t xml:space="preserve">1
</t>
    </r>
    <r>
      <rPr>
        <sz val="9"/>
        <color rgb="FF000000"/>
        <rFont val="Arial"/>
        <family val="2"/>
      </rPr>
      <t>ABADIE</t>
    </r>
  </si>
  <si>
    <r>
      <t xml:space="preserve">2
</t>
    </r>
    <r>
      <rPr>
        <sz val="9"/>
        <color rgb="FF000000"/>
        <rFont val="Arial"/>
        <family val="2"/>
      </rPr>
      <t>RICHIARDONNE</t>
    </r>
  </si>
  <si>
    <r>
      <t xml:space="preserve">3
</t>
    </r>
    <r>
      <rPr>
        <sz val="9"/>
        <color rgb="FF000000"/>
        <rFont val="Arial"/>
        <family val="2"/>
      </rPr>
      <t>BAUP</t>
    </r>
  </si>
  <si>
    <r>
      <t xml:space="preserve">4
</t>
    </r>
    <r>
      <rPr>
        <sz val="9"/>
        <color rgb="FF000000"/>
        <rFont val="Arial"/>
        <family val="2"/>
      </rPr>
      <t>DUTREY</t>
    </r>
  </si>
  <si>
    <r>
      <t xml:space="preserve">9
</t>
    </r>
    <r>
      <rPr>
        <sz val="9"/>
        <color rgb="FF000000"/>
        <rFont val="Arial"/>
        <family val="2"/>
      </rPr>
      <t>MOUDENS</t>
    </r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</si>
  <si>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</si>
  <si>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11
</t>
    </r>
    <r>
      <rPr>
        <sz val="9"/>
        <color rgb="FF000000"/>
        <rFont val="Arial"/>
        <family val="2"/>
      </rPr>
      <t>BOURREC</t>
    </r>
  </si>
  <si>
    <r>
      <t xml:space="preserve">12
</t>
    </r>
    <r>
      <rPr>
        <sz val="9"/>
        <color rgb="FF000000"/>
        <rFont val="Arial"/>
        <family val="2"/>
      </rPr>
      <t>LAUDET</t>
    </r>
  </si>
  <si>
    <r>
      <t xml:space="preserve">13
</t>
    </r>
    <r>
      <rPr>
        <sz val="9"/>
        <color rgb="FF000000"/>
        <rFont val="Arial"/>
        <family val="2"/>
      </rPr>
      <t>KAPFER</t>
    </r>
  </si>
  <si>
    <r>
      <t xml:space="preserve">14
</t>
    </r>
    <r>
      <rPr>
        <sz val="9"/>
        <color rgb="FF000000"/>
        <rFont val="Arial"/>
        <family val="2"/>
      </rPr>
      <t>JOUNAUX</t>
    </r>
  </si>
  <si>
    <r>
      <t xml:space="preserve">15
</t>
    </r>
    <r>
      <rPr>
        <sz val="9"/>
        <color rgb="FF000000"/>
        <rFont val="Arial"/>
        <family val="2"/>
      </rPr>
      <t>SALLES</t>
    </r>
  </si>
  <si>
    <r>
      <t xml:space="preserve">5
</t>
    </r>
    <r>
      <rPr>
        <sz val="9"/>
        <color rgb="FF000000"/>
        <rFont val="Arial"/>
        <family val="2"/>
      </rPr>
      <t>ABADIE</t>
    </r>
  </si>
  <si>
    <t>MULLIER Victor</t>
  </si>
  <si>
    <r>
      <t xml:space="preserve">6
</t>
    </r>
    <r>
      <rPr>
        <sz val="9"/>
        <color rgb="FF000000"/>
        <rFont val="Arial"/>
        <family val="2"/>
      </rPr>
      <t>MULLIER</t>
    </r>
  </si>
  <si>
    <r>
      <t xml:space="preserve">7
</t>
    </r>
    <r>
      <rPr>
        <sz val="9"/>
        <color rgb="FF000000"/>
        <rFont val="Arial"/>
        <family val="2"/>
      </rPr>
      <t>BIFFI</t>
    </r>
  </si>
  <si>
    <r>
      <t xml:space="preserve">8
</t>
    </r>
    <r>
      <rPr>
        <sz val="9"/>
        <color rgb="FF000000"/>
        <rFont val="Arial"/>
        <family val="2"/>
      </rPr>
      <t>BARATGIN</t>
    </r>
  </si>
  <si>
    <r>
      <t xml:space="preserve">16
</t>
    </r>
    <r>
      <rPr>
        <sz val="9"/>
        <color rgb="FF000000"/>
        <rFont val="Arial"/>
        <family val="2"/>
      </rPr>
      <t>DALLA ROSA</t>
    </r>
  </si>
  <si>
    <t>GALLINARO Pierrick</t>
  </si>
  <si>
    <r>
      <t xml:space="preserve">17
</t>
    </r>
    <r>
      <rPr>
        <sz val="9"/>
        <color rgb="FF000000"/>
        <rFont val="Arial"/>
        <family val="2"/>
      </rPr>
      <t>GALLINARO</t>
    </r>
  </si>
  <si>
    <t>STEFANI Titouan</t>
  </si>
  <si>
    <r>
      <t xml:space="preserve">18
</t>
    </r>
    <r>
      <rPr>
        <sz val="9"/>
        <color rgb="FF000000"/>
        <rFont val="Arial"/>
        <family val="2"/>
      </rPr>
      <t>STEFANI</t>
    </r>
  </si>
  <si>
    <r>
      <t xml:space="preserve">19
</t>
    </r>
    <r>
      <rPr>
        <sz val="9"/>
        <color rgb="FF000000"/>
        <rFont val="Arial"/>
        <family val="2"/>
      </rPr>
      <t>LOUREIRO LABAZUY</t>
    </r>
  </si>
  <si>
    <r>
      <t xml:space="preserve">20
</t>
    </r>
    <r>
      <rPr>
        <sz val="9"/>
        <color rgb="FF000000"/>
        <rFont val="Arial"/>
        <family val="2"/>
      </rPr>
      <t>ABADIE</t>
    </r>
  </si>
  <si>
    <r>
      <t xml:space="preserve">21
</t>
    </r>
    <r>
      <rPr>
        <sz val="9"/>
        <color rgb="FF000000"/>
        <rFont val="Arial"/>
        <family val="2"/>
      </rPr>
      <t>CESCA</t>
    </r>
  </si>
  <si>
    <t>SOUVILLE Quentin</t>
  </si>
  <si>
    <r>
      <t xml:space="preserve">22
</t>
    </r>
    <r>
      <rPr>
        <sz val="9"/>
        <color rgb="FF000000"/>
        <rFont val="Arial"/>
        <family val="2"/>
      </rPr>
      <t>SOUVILLE</t>
    </r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</si>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</sst>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sz val="9"/>
      <color rgb="FF000000"/>
      <name val="Arial"/>
      <family val="2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</fills>
  <borders count="9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48" fillId="0" borderId="6" xfId="0" applyFont="1" applyBorder="1" applyAlignment="1">
      <alignment horizontal="left" vertical="center" wrapText="1"/>
    </xf>
    <xf numFmtId="0" fontId="48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46" fillId="34" borderId="0" xfId="0" applyFont="1" applyFill="1" applyAlignment="1">
      <alignment horizontal="center" vertical="center"/>
    </xf>
    <xf numFmtId="0" fontId="43" fillId="14" borderId="90" xfId="0" applyFont="1" applyFill="1" applyBorder="1" applyAlignment="1">
      <alignment horizontal="center" vertical="center"/>
    </xf>
    <xf numFmtId="0" fontId="50" fillId="37" borderId="90" xfId="0" applyFont="1" applyFill="1" applyBorder="1" applyAlignment="1">
      <alignment horizontal="center" vertical="center" wrapText="1"/>
    </xf>
    <xf numFmtId="0" fontId="43" fillId="37" borderId="90" xfId="0" applyFont="1" applyFill="1" applyBorder="1" applyAlignment="1">
      <alignment horizontal="center" vertical="center" wrapText="1"/>
    </xf>
    <xf numFmtId="0" fontId="46" fillId="35" borderId="0" xfId="0" applyFont="1" applyFill="1" applyAlignment="1">
      <alignment horizontal="center" vertical="center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7" dataDxfId="66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5"/>
    <tableColumn id="2" xr3:uid="{0C1B8A30-A3B8-DA4D-B893-C4C99FF33E90}" name="nom" dataDxfId="64"/>
    <tableColumn id="3" xr3:uid="{8AE5AF32-0026-9B41-8B0B-16B9ED0F3727}" name="prenom" dataDxfId="63"/>
    <tableColumn id="6" xr3:uid="{D5D3A7D0-7C7D-684B-8AA7-DABBCC7051CF}" name="1ère ligne" dataDxfId="62"/>
    <tableColumn id="4" xr3:uid="{4CE41A86-7158-6B42-B932-A5275F10AB48}" name="prenom NOM" dataDxfId="61">
      <calculatedColumnFormula>LstEffectif[[#This Row],[prenom]] &amp; " " &amp; LstEffectif[[#This Row],[nom]]</calculatedColumnFormula>
    </tableColumn>
    <tableColumn id="5" xr3:uid="{EB017694-E6D2-7440-91BF-61113926AB7D}" name="NOM Prénom" dataDxfId="6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9" dataDxfId="58">
  <autoFilter ref="J1:J11" xr:uid="{037D6424-D1EC-894D-B963-D36ABCA682C4}"/>
  <tableColumns count="1">
    <tableColumn id="1" xr3:uid="{63806632-B9ED-294D-800A-F2FDB2EC48D2}" name="EQUIPES_A_AFFRONTER" dataDxfId="5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416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516</v>
      </c>
      <c r="C66" s="127" t="s">
        <v>515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topLeftCell="M1" workbookViewId="0">
      <selection activeCell="D35" sqref="D35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8"/>
      <c r="D1" s="68"/>
    </row>
    <row r="2" spans="1:8" ht="19" customHeight="1">
      <c r="B2" s="215" t="s">
        <v>202</v>
      </c>
      <c r="C2" s="215"/>
      <c r="E2" s="216" t="str">
        <f>"FEUILLE COMPO "&amp;MATCH_NOUS</f>
        <v>FEUILLE COMPO MXV</v>
      </c>
      <c r="F2" s="217"/>
      <c r="G2" s="217"/>
      <c r="H2" s="218"/>
    </row>
    <row r="3" spans="1:8" ht="19" customHeight="1">
      <c r="B3" s="215"/>
      <c r="C3" s="215"/>
      <c r="E3" s="219"/>
      <c r="F3" s="220"/>
      <c r="G3" s="220"/>
      <c r="H3" s="221"/>
    </row>
    <row r="4" spans="1:8" ht="19" customHeight="1" thickBot="1">
      <c r="B4" s="215"/>
      <c r="C4" s="215"/>
      <c r="E4" s="222"/>
      <c r="F4" s="223"/>
      <c r="G4" s="223"/>
      <c r="H4" s="224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46292</v>
      </c>
      <c r="E8">
        <v>2</v>
      </c>
      <c r="F8" t="s">
        <v>500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513</v>
      </c>
      <c r="C10" s="48" t="s">
        <v>514</v>
      </c>
      <c r="E10">
        <v>4</v>
      </c>
      <c r="F10" t="s">
        <v>517</v>
      </c>
      <c r="G10" t="s">
        <v>154</v>
      </c>
    </row>
    <row r="11" spans="1:8">
      <c r="E11">
        <v>5</v>
      </c>
      <c r="F11" t="s">
        <v>491</v>
      </c>
      <c r="G11" t="s">
        <v>154</v>
      </c>
    </row>
    <row r="12" spans="1:8">
      <c r="B12" s="47" t="s">
        <v>183</v>
      </c>
      <c r="C12" s="48" t="s">
        <v>384</v>
      </c>
      <c r="E12">
        <v>6</v>
      </c>
      <c r="F12" t="s">
        <v>530</v>
      </c>
      <c r="G12" t="s">
        <v>154</v>
      </c>
    </row>
    <row r="13" spans="1:8">
      <c r="B13" s="3"/>
      <c r="C13" s="3"/>
      <c r="E13">
        <v>7</v>
      </c>
      <c r="F13" t="s">
        <v>501</v>
      </c>
      <c r="G13" t="s">
        <v>154</v>
      </c>
    </row>
    <row r="14" spans="1:8">
      <c r="B14" s="47" t="s">
        <v>209</v>
      </c>
      <c r="C14" s="48" t="s">
        <v>188</v>
      </c>
      <c r="E14">
        <v>8</v>
      </c>
      <c r="F14" t="s">
        <v>492</v>
      </c>
      <c r="G14" t="s">
        <v>154</v>
      </c>
    </row>
    <row r="15" spans="1:8">
      <c r="B15" s="3"/>
      <c r="C15" s="3"/>
      <c r="E15" s="40">
        <v>9</v>
      </c>
      <c r="F15" s="40" t="s">
        <v>493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494</v>
      </c>
      <c r="G16" t="s">
        <v>170</v>
      </c>
    </row>
    <row r="17" spans="1:8">
      <c r="B17" s="3"/>
      <c r="C17" s="69"/>
      <c r="E17">
        <v>11</v>
      </c>
      <c r="F17" t="s">
        <v>495</v>
      </c>
      <c r="G17" t="s">
        <v>170</v>
      </c>
    </row>
    <row r="18" spans="1:8">
      <c r="B18" s="47" t="s">
        <v>185</v>
      </c>
      <c r="C18" s="49">
        <v>2</v>
      </c>
      <c r="E18">
        <v>12</v>
      </c>
      <c r="F18" t="s">
        <v>496</v>
      </c>
      <c r="G18" t="s">
        <v>170</v>
      </c>
    </row>
    <row r="19" spans="1:8">
      <c r="B19" s="3"/>
      <c r="C19" s="3"/>
      <c r="E19">
        <v>13</v>
      </c>
      <c r="F19" t="s">
        <v>497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498</v>
      </c>
      <c r="G20" t="s">
        <v>170</v>
      </c>
    </row>
    <row r="21" spans="1:8">
      <c r="B21" s="3"/>
      <c r="C21" s="69"/>
      <c r="E21" s="35">
        <v>15</v>
      </c>
      <c r="F21" s="35" t="s">
        <v>499</v>
      </c>
      <c r="G21" s="35" t="s">
        <v>170</v>
      </c>
      <c r="H21" s="35"/>
    </row>
    <row r="22" spans="1:8">
      <c r="B22" s="47" t="s">
        <v>208</v>
      </c>
      <c r="C22" s="48" t="s">
        <v>204</v>
      </c>
      <c r="E22">
        <v>16</v>
      </c>
      <c r="F22" t="s">
        <v>489</v>
      </c>
      <c r="G22" t="s">
        <v>154</v>
      </c>
    </row>
    <row r="23" spans="1:8">
      <c r="B23" s="3"/>
      <c r="C23" s="3"/>
      <c r="E23">
        <v>17</v>
      </c>
      <c r="F23" t="s">
        <v>535</v>
      </c>
      <c r="G23" t="s">
        <v>154</v>
      </c>
    </row>
    <row r="24" spans="1:8">
      <c r="B24" s="3"/>
      <c r="C24" s="3"/>
      <c r="E24">
        <v>18</v>
      </c>
      <c r="F24" t="s">
        <v>537</v>
      </c>
      <c r="G24" t="s">
        <v>154</v>
      </c>
    </row>
    <row r="25" spans="1:8">
      <c r="B25" s="3"/>
      <c r="C25" s="3"/>
      <c r="E25">
        <v>19</v>
      </c>
      <c r="F25" t="s">
        <v>487</v>
      </c>
      <c r="G25" t="s">
        <v>154</v>
      </c>
    </row>
    <row r="26" spans="1:8">
      <c r="B26" s="3"/>
      <c r="C26" s="3"/>
      <c r="E26">
        <v>20</v>
      </c>
      <c r="F26" t="s">
        <v>503</v>
      </c>
      <c r="G26" t="s">
        <v>170</v>
      </c>
    </row>
    <row r="27" spans="1:8">
      <c r="B27" s="3"/>
      <c r="C27" s="3"/>
      <c r="E27">
        <v>21</v>
      </c>
      <c r="F27" t="s">
        <v>502</v>
      </c>
      <c r="G27" t="s">
        <v>170</v>
      </c>
    </row>
    <row r="28" spans="1:8">
      <c r="B28" s="3"/>
      <c r="C28" s="3"/>
      <c r="E28">
        <v>22</v>
      </c>
      <c r="F28" t="s">
        <v>542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2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3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3"/>
      <c r="AZ1" s="173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75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9"/>
      <c r="AD3" s="198"/>
      <c r="AE3" s="185"/>
      <c r="AF3" s="185"/>
      <c r="AG3" s="185"/>
      <c r="AH3" s="185"/>
      <c r="AI3" s="192"/>
    </row>
    <row r="4" spans="1:52" ht="42" customHeight="1">
      <c r="A4" s="3"/>
      <c r="B4" s="3"/>
      <c r="C4" s="102"/>
      <c r="D4" s="235" t="s">
        <v>125</v>
      </c>
      <c r="E4" s="236"/>
      <c r="F4" s="12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6" t="s">
        <v>44</v>
      </c>
      <c r="O4" s="125"/>
      <c r="P4" s="124"/>
      <c r="Q4" s="180"/>
      <c r="R4" s="173" t="s">
        <v>38</v>
      </c>
      <c r="S4" s="198"/>
      <c r="T4" s="16" t="s">
        <v>29</v>
      </c>
      <c r="U4" s="198"/>
      <c r="V4" s="16" t="s">
        <v>52</v>
      </c>
      <c r="W4" s="198"/>
      <c r="X4" s="16" t="s">
        <v>142</v>
      </c>
      <c r="Y4" s="198"/>
      <c r="Z4" s="16" t="s">
        <v>30</v>
      </c>
      <c r="AA4" s="198"/>
      <c r="AB4" s="16" t="s">
        <v>31</v>
      </c>
      <c r="AC4" s="202"/>
      <c r="AD4" s="198"/>
      <c r="AE4" s="185"/>
      <c r="AF4" s="185"/>
      <c r="AG4" s="185"/>
      <c r="AH4" s="185"/>
      <c r="AI4" s="192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195"/>
      <c r="R5" s="201"/>
      <c r="S5" s="196"/>
      <c r="T5" s="201"/>
      <c r="U5" s="196"/>
      <c r="V5" s="201"/>
      <c r="W5" s="196"/>
      <c r="X5" s="201"/>
      <c r="Y5" s="196"/>
      <c r="Z5" s="201"/>
      <c r="AA5" s="196"/>
      <c r="AB5" s="201"/>
      <c r="AC5" s="203"/>
      <c r="AD5" s="198"/>
      <c r="AE5" s="185"/>
      <c r="AF5" s="185"/>
      <c r="AG5" s="185"/>
      <c r="AH5" s="185"/>
      <c r="AI5" s="192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99"/>
      <c r="AC6" s="199"/>
      <c r="AD6" s="185"/>
      <c r="AE6" s="185"/>
      <c r="AF6" s="185"/>
      <c r="AG6" s="185"/>
      <c r="AH6" s="185"/>
      <c r="AI6" s="192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75"/>
      <c r="R7" s="178"/>
      <c r="S7" s="178"/>
      <c r="T7" s="178"/>
      <c r="U7" s="178"/>
      <c r="V7" s="178"/>
      <c r="W7" s="178"/>
      <c r="X7" s="178"/>
      <c r="Y7" s="178"/>
      <c r="Z7" s="178"/>
      <c r="AA7" s="178"/>
      <c r="AB7" s="178"/>
      <c r="AC7" s="179"/>
      <c r="AD7" s="198"/>
      <c r="AE7" s="185"/>
      <c r="AF7" s="185"/>
      <c r="AG7" s="185"/>
      <c r="AH7" s="185"/>
      <c r="AI7" s="192"/>
    </row>
    <row r="8" spans="1:52" ht="26" customHeight="1">
      <c r="A8" s="3"/>
      <c r="B8" s="3"/>
      <c r="C8" s="116"/>
      <c r="D8" s="117" t="s">
        <v>245</v>
      </c>
      <c r="E8" s="118"/>
      <c r="F8" s="166"/>
      <c r="G8" s="119"/>
      <c r="H8" s="97"/>
      <c r="I8" s="119"/>
      <c r="J8" s="98"/>
      <c r="K8" s="119"/>
      <c r="L8" s="167"/>
      <c r="M8" s="104"/>
      <c r="N8" s="110"/>
      <c r="O8" s="123"/>
      <c r="P8" s="124"/>
      <c r="Q8" s="180"/>
      <c r="R8" s="173" t="s">
        <v>49</v>
      </c>
      <c r="S8" s="198"/>
      <c r="T8" s="9" t="s">
        <v>33</v>
      </c>
      <c r="U8" s="198"/>
      <c r="V8" s="9" t="s">
        <v>34</v>
      </c>
      <c r="W8" s="198"/>
      <c r="X8" s="9" t="s">
        <v>35</v>
      </c>
      <c r="Y8" s="198"/>
      <c r="Z8" s="9" t="s">
        <v>36</v>
      </c>
      <c r="AA8" s="198"/>
      <c r="AB8" s="2" t="s">
        <v>37</v>
      </c>
      <c r="AC8" s="202"/>
      <c r="AD8" s="198"/>
      <c r="AE8" s="185"/>
      <c r="AF8" s="12" t="s">
        <v>544</v>
      </c>
      <c r="AG8" s="198"/>
      <c r="AH8" s="185"/>
      <c r="AI8" s="192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195"/>
      <c r="R9" s="201"/>
      <c r="S9" s="196"/>
      <c r="T9" s="201"/>
      <c r="U9" s="196"/>
      <c r="V9" s="201"/>
      <c r="W9" s="196"/>
      <c r="X9" s="201"/>
      <c r="Y9" s="196"/>
      <c r="Z9" s="201"/>
      <c r="AA9" s="196"/>
      <c r="AB9" s="201"/>
      <c r="AC9" s="203"/>
      <c r="AD9" s="198"/>
      <c r="AE9" s="185"/>
      <c r="AF9" s="199"/>
      <c r="AG9" s="185"/>
      <c r="AH9" s="185"/>
      <c r="AI9" s="192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85"/>
      <c r="AE10" s="185"/>
      <c r="AF10" s="185"/>
      <c r="AG10" s="185"/>
      <c r="AH10" s="185"/>
      <c r="AI10" s="192"/>
    </row>
    <row r="11" spans="1:52" ht="10" customHeight="1" thickTop="1">
      <c r="A11" s="3"/>
      <c r="B11" s="3" t="s">
        <v>45</v>
      </c>
      <c r="C11" s="175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7"/>
      <c r="O11" s="179"/>
      <c r="P11" s="171"/>
      <c r="Q11" s="175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9"/>
    </row>
    <row r="12" spans="1:52" ht="15" customHeight="1">
      <c r="A12" s="3"/>
      <c r="B12" s="3"/>
      <c r="C12" s="180"/>
      <c r="D12" s="237" t="s">
        <v>18</v>
      </c>
      <c r="E12" s="237"/>
      <c r="F12" s="237"/>
      <c r="G12" s="237"/>
      <c r="H12" s="237"/>
      <c r="I12" s="237"/>
      <c r="J12" s="237"/>
      <c r="K12" s="237"/>
      <c r="L12" s="237"/>
      <c r="M12" s="238"/>
      <c r="N12" s="239"/>
      <c r="O12" s="184"/>
      <c r="P12" s="171"/>
      <c r="Q12" s="180"/>
      <c r="R12" s="225" t="s">
        <v>19</v>
      </c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6"/>
      <c r="AH12" s="227"/>
      <c r="AI12" s="202"/>
    </row>
    <row r="13" spans="1:52">
      <c r="A13" s="3"/>
      <c r="B13" s="3"/>
      <c r="C13" s="180"/>
      <c r="D13" s="181"/>
      <c r="E13" s="185"/>
      <c r="F13" s="181"/>
      <c r="G13" s="185"/>
      <c r="H13" s="181"/>
      <c r="I13" s="185"/>
      <c r="J13" s="181"/>
      <c r="K13" s="185"/>
      <c r="L13" s="181"/>
      <c r="M13" s="185"/>
      <c r="N13" s="181"/>
      <c r="O13" s="184"/>
      <c r="P13" s="171"/>
      <c r="Q13" s="180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84"/>
    </row>
    <row r="14" spans="1:52" ht="42" customHeight="1">
      <c r="A14" s="3"/>
      <c r="B14" s="3"/>
      <c r="C14" s="187"/>
      <c r="D14" s="212" t="s">
        <v>518</v>
      </c>
      <c r="E14" s="189"/>
      <c r="F14" s="212" t="s">
        <v>519</v>
      </c>
      <c r="G14" s="189"/>
      <c r="H14" s="212" t="s">
        <v>520</v>
      </c>
      <c r="I14" s="189"/>
      <c r="J14" s="212" t="s">
        <v>521</v>
      </c>
      <c r="K14" s="189"/>
      <c r="L14" s="212" t="s">
        <v>529</v>
      </c>
      <c r="M14" s="189"/>
      <c r="N14" s="212" t="s">
        <v>531</v>
      </c>
      <c r="O14" s="190"/>
      <c r="P14" s="171"/>
      <c r="Q14" s="180"/>
      <c r="R14" s="173" t="s">
        <v>268</v>
      </c>
      <c r="S14" s="198"/>
      <c r="T14" s="7" t="s">
        <v>22</v>
      </c>
      <c r="U14" s="198"/>
      <c r="V14" s="7" t="s">
        <v>20</v>
      </c>
      <c r="W14" s="198"/>
      <c r="X14" s="7" t="s">
        <v>23</v>
      </c>
      <c r="Y14" s="198"/>
      <c r="Z14" s="7" t="s">
        <v>24</v>
      </c>
      <c r="AA14" s="198"/>
      <c r="AB14" s="7" t="s">
        <v>21</v>
      </c>
      <c r="AC14" s="198"/>
      <c r="AD14" s="173" t="s">
        <v>224</v>
      </c>
      <c r="AE14" s="198"/>
      <c r="AF14" s="7" t="s">
        <v>25</v>
      </c>
      <c r="AG14" s="198"/>
      <c r="AH14" s="7" t="s">
        <v>26</v>
      </c>
      <c r="AI14" s="202"/>
    </row>
    <row r="15" spans="1:52" ht="10" customHeight="1">
      <c r="A15" s="3"/>
      <c r="B15" s="3"/>
      <c r="C15" s="180"/>
      <c r="D15" s="188"/>
      <c r="E15" s="185"/>
      <c r="F15" s="188"/>
      <c r="G15" s="185"/>
      <c r="H15" s="188"/>
      <c r="I15" s="185"/>
      <c r="J15" s="188"/>
      <c r="K15" s="185"/>
      <c r="L15" s="188"/>
      <c r="M15" s="185"/>
      <c r="N15" s="188"/>
      <c r="O15" s="184"/>
      <c r="P15" s="171"/>
      <c r="Q15" s="180"/>
      <c r="R15" s="199"/>
      <c r="S15" s="185"/>
      <c r="T15" s="199"/>
      <c r="U15" s="185"/>
      <c r="V15" s="199"/>
      <c r="W15" s="185"/>
      <c r="X15" s="199"/>
      <c r="Y15" s="185"/>
      <c r="Z15" s="199"/>
      <c r="AA15" s="185"/>
      <c r="AB15" s="199"/>
      <c r="AC15" s="185"/>
      <c r="AD15" s="199"/>
      <c r="AE15" s="185"/>
      <c r="AF15" s="199"/>
      <c r="AG15" s="185"/>
      <c r="AH15" s="199"/>
      <c r="AI15" s="184"/>
    </row>
    <row r="16" spans="1:52" ht="42" customHeight="1">
      <c r="A16" s="3"/>
      <c r="B16" s="3"/>
      <c r="C16" s="187"/>
      <c r="D16" s="212" t="s">
        <v>532</v>
      </c>
      <c r="E16" s="189"/>
      <c r="F16" s="212" t="s">
        <v>533</v>
      </c>
      <c r="G16" s="189"/>
      <c r="H16" s="212" t="s">
        <v>522</v>
      </c>
      <c r="I16" s="189"/>
      <c r="J16" s="212" t="s">
        <v>523</v>
      </c>
      <c r="K16" s="189"/>
      <c r="L16" s="212" t="s">
        <v>524</v>
      </c>
      <c r="M16" s="189"/>
      <c r="N16" s="212" t="s">
        <v>525</v>
      </c>
      <c r="O16" s="190"/>
      <c r="P16" s="171"/>
      <c r="Q16" s="180"/>
      <c r="R16" s="173" t="s">
        <v>223</v>
      </c>
      <c r="S16" s="198"/>
      <c r="T16" s="7" t="s">
        <v>25</v>
      </c>
      <c r="U16" s="198"/>
      <c r="V16" s="7" t="s">
        <v>26</v>
      </c>
      <c r="W16" s="198"/>
      <c r="X16" s="7" t="s">
        <v>46</v>
      </c>
      <c r="Y16" s="198"/>
      <c r="Z16" s="185"/>
      <c r="AA16" s="185"/>
      <c r="AB16" s="174" t="s">
        <v>406</v>
      </c>
      <c r="AC16" s="198"/>
      <c r="AD16" s="16" t="s">
        <v>246</v>
      </c>
      <c r="AE16" s="198"/>
      <c r="AF16" s="16" t="s">
        <v>404</v>
      </c>
      <c r="AG16" s="198"/>
      <c r="AH16" s="16" t="s">
        <v>405</v>
      </c>
      <c r="AI16" s="202"/>
    </row>
    <row r="17" spans="1:35" ht="10" customHeight="1">
      <c r="A17" s="3"/>
      <c r="B17" s="3"/>
      <c r="C17" s="180"/>
      <c r="D17" s="188"/>
      <c r="E17" s="185"/>
      <c r="F17" s="188"/>
      <c r="G17" s="185"/>
      <c r="H17" s="188"/>
      <c r="I17" s="185"/>
      <c r="J17" s="188"/>
      <c r="K17" s="185"/>
      <c r="L17" s="188"/>
      <c r="M17" s="185"/>
      <c r="N17" s="188"/>
      <c r="O17" s="184"/>
      <c r="P17" s="171"/>
      <c r="Q17" s="180"/>
      <c r="R17" s="199"/>
      <c r="S17" s="185"/>
      <c r="T17" s="199"/>
      <c r="U17" s="185"/>
      <c r="V17" s="199"/>
      <c r="W17" s="185"/>
      <c r="X17" s="199"/>
      <c r="Y17" s="185"/>
      <c r="Z17" s="185"/>
      <c r="AA17" s="185"/>
      <c r="AB17" s="199"/>
      <c r="AC17" s="185"/>
      <c r="AD17" s="199"/>
      <c r="AE17" s="185"/>
      <c r="AF17" s="199"/>
      <c r="AG17" s="185"/>
      <c r="AH17" s="199"/>
      <c r="AI17" s="184"/>
    </row>
    <row r="18" spans="1:35" ht="42" customHeight="1">
      <c r="A18" s="3"/>
      <c r="B18" s="3"/>
      <c r="C18" s="187"/>
      <c r="D18" s="212" t="s">
        <v>526</v>
      </c>
      <c r="E18" s="189"/>
      <c r="F18" s="212" t="s">
        <v>527</v>
      </c>
      <c r="G18" s="189"/>
      <c r="H18" s="212" t="s">
        <v>528</v>
      </c>
      <c r="I18" s="189"/>
      <c r="J18" s="212" t="s">
        <v>534</v>
      </c>
      <c r="K18" s="189"/>
      <c r="L18" s="212" t="s">
        <v>536</v>
      </c>
      <c r="M18" s="189"/>
      <c r="N18" s="212" t="s">
        <v>538</v>
      </c>
      <c r="O18" s="190"/>
      <c r="P18" s="171"/>
      <c r="Q18" s="180"/>
      <c r="R18" s="173" t="s">
        <v>126</v>
      </c>
      <c r="S18" s="198"/>
      <c r="T18" s="7" t="s">
        <v>127</v>
      </c>
      <c r="U18" s="198"/>
      <c r="V18" s="7" t="s">
        <v>128</v>
      </c>
      <c r="W18" s="198"/>
      <c r="X18" s="7" t="s">
        <v>129</v>
      </c>
      <c r="Y18" s="198"/>
      <c r="Z18" s="7" t="s">
        <v>130</v>
      </c>
      <c r="AA18" s="198"/>
      <c r="AB18" s="7" t="s">
        <v>10</v>
      </c>
      <c r="AC18" s="198"/>
      <c r="AD18" s="7" t="s">
        <v>27</v>
      </c>
      <c r="AE18" s="198"/>
      <c r="AF18" s="7" t="s">
        <v>220</v>
      </c>
      <c r="AG18" s="198"/>
      <c r="AH18" s="7" t="s">
        <v>399</v>
      </c>
      <c r="AI18" s="202"/>
    </row>
    <row r="19" spans="1:35" s="3" customFormat="1" ht="10" customHeight="1">
      <c r="C19" s="180"/>
      <c r="D19" s="188"/>
      <c r="E19" s="185"/>
      <c r="F19" s="188"/>
      <c r="G19" s="185"/>
      <c r="H19" s="188"/>
      <c r="I19" s="185"/>
      <c r="J19" s="188"/>
      <c r="K19" s="185"/>
      <c r="L19" s="188"/>
      <c r="M19" s="185"/>
      <c r="N19" s="188"/>
      <c r="O19" s="184"/>
      <c r="P19" s="171"/>
      <c r="Q19" s="180"/>
      <c r="R19" s="199"/>
      <c r="S19" s="185"/>
      <c r="T19" s="199"/>
      <c r="U19" s="185"/>
      <c r="V19" s="199"/>
      <c r="W19" s="185"/>
      <c r="X19" s="199"/>
      <c r="Y19" s="185"/>
      <c r="Z19" s="199"/>
      <c r="AA19" s="185"/>
      <c r="AB19" s="199"/>
      <c r="AC19" s="185"/>
      <c r="AD19" s="199"/>
      <c r="AE19" s="185"/>
      <c r="AF19" s="199"/>
      <c r="AG19" s="185"/>
      <c r="AH19" s="199"/>
      <c r="AI19" s="184"/>
    </row>
    <row r="20" spans="1:35" ht="42" customHeight="1">
      <c r="A20" s="3"/>
      <c r="B20" s="3"/>
      <c r="C20" s="187"/>
      <c r="D20" s="212" t="s">
        <v>539</v>
      </c>
      <c r="E20" s="189"/>
      <c r="F20" s="212" t="s">
        <v>540</v>
      </c>
      <c r="G20" s="189"/>
      <c r="H20" s="212" t="s">
        <v>541</v>
      </c>
      <c r="I20" s="189"/>
      <c r="J20" s="212" t="s">
        <v>543</v>
      </c>
      <c r="K20" s="189"/>
      <c r="L20" s="204" t="s">
        <v>42</v>
      </c>
      <c r="M20" s="189"/>
      <c r="N20" s="204" t="s">
        <v>32</v>
      </c>
      <c r="O20" s="186"/>
      <c r="P20" s="171"/>
      <c r="Q20" s="180"/>
      <c r="R20" s="173" t="s">
        <v>66</v>
      </c>
      <c r="S20" s="198"/>
      <c r="T20" s="8" t="s">
        <v>158</v>
      </c>
      <c r="U20" s="198"/>
      <c r="V20" s="8" t="s">
        <v>159</v>
      </c>
      <c r="W20" s="198"/>
      <c r="X20" s="185"/>
      <c r="Y20" s="185"/>
      <c r="Z20" s="173" t="s">
        <v>512</v>
      </c>
      <c r="AA20" s="198"/>
      <c r="AB20" s="8" t="s">
        <v>158</v>
      </c>
      <c r="AC20" s="198"/>
      <c r="AD20" s="8" t="s">
        <v>159</v>
      </c>
      <c r="AE20" s="198"/>
      <c r="AF20" s="185"/>
      <c r="AG20" s="185"/>
      <c r="AH20" s="185"/>
      <c r="AI20" s="184"/>
    </row>
    <row r="21" spans="1:35" ht="10" customHeight="1" thickBot="1">
      <c r="A21" s="3"/>
      <c r="B21" s="3"/>
      <c r="C21" s="180"/>
      <c r="D21" s="191"/>
      <c r="E21" s="185"/>
      <c r="F21" s="191"/>
      <c r="G21" s="185"/>
      <c r="H21" s="191"/>
      <c r="I21" s="185"/>
      <c r="J21" s="191"/>
      <c r="K21" s="185"/>
      <c r="L21" s="191"/>
      <c r="M21" s="185"/>
      <c r="N21" s="197"/>
      <c r="O21" s="176"/>
      <c r="P21" s="172"/>
      <c r="Q21" s="195"/>
      <c r="R21" s="201"/>
      <c r="S21" s="196"/>
      <c r="T21" s="201"/>
      <c r="U21" s="196"/>
      <c r="V21" s="201"/>
      <c r="W21" s="196"/>
      <c r="X21" s="196"/>
      <c r="Y21" s="196"/>
      <c r="Z21" s="201"/>
      <c r="AA21" s="196"/>
      <c r="AB21" s="201"/>
      <c r="AC21" s="196"/>
      <c r="AD21" s="201"/>
      <c r="AE21" s="196"/>
      <c r="AF21" s="196"/>
      <c r="AG21" s="196"/>
      <c r="AH21" s="196"/>
      <c r="AI21" s="203"/>
    </row>
    <row r="22" spans="1:35" ht="10" customHeight="1" thickTop="1" thickBot="1">
      <c r="A22" s="3"/>
      <c r="B22" s="3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200"/>
      <c r="P22" s="3"/>
    </row>
    <row r="23" spans="1:35" ht="10" customHeight="1" thickTop="1">
      <c r="A23" s="3"/>
      <c r="B23" s="3"/>
      <c r="C23" s="175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7"/>
      <c r="O23" s="179"/>
      <c r="P23" s="3"/>
    </row>
    <row r="24" spans="1:35" ht="15" customHeight="1">
      <c r="A24" s="3"/>
      <c r="B24" s="3"/>
      <c r="C24" s="180"/>
      <c r="D24" s="228" t="s">
        <v>40</v>
      </c>
      <c r="E24" s="228"/>
      <c r="F24" s="228"/>
      <c r="G24" s="228"/>
      <c r="H24" s="228"/>
      <c r="I24" s="228"/>
      <c r="J24" s="228"/>
      <c r="K24" s="228"/>
      <c r="L24" s="228"/>
      <c r="M24" s="229"/>
      <c r="N24" s="230"/>
      <c r="O24" s="184"/>
      <c r="P24" s="3"/>
    </row>
    <row r="25" spans="1:35" s="3" customFormat="1" ht="10" customHeight="1">
      <c r="C25" s="180"/>
      <c r="D25" s="182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4"/>
    </row>
    <row r="26" spans="1:35" ht="15" customHeight="1">
      <c r="A26" s="3"/>
      <c r="B26" s="3"/>
      <c r="C26" s="193"/>
      <c r="D26" s="205" t="s">
        <v>41</v>
      </c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4"/>
      <c r="P26" s="3"/>
    </row>
    <row r="27" spans="1:35" ht="10" customHeight="1">
      <c r="A27" s="3"/>
      <c r="B27" s="3"/>
      <c r="C27" s="180"/>
      <c r="D27" s="185"/>
      <c r="E27" s="185"/>
      <c r="F27" s="182"/>
      <c r="G27" s="185"/>
      <c r="H27" s="181"/>
      <c r="I27" s="185"/>
      <c r="J27" s="181"/>
      <c r="K27" s="185"/>
      <c r="L27" s="181"/>
      <c r="M27" s="185"/>
      <c r="N27" s="181"/>
      <c r="O27" s="184"/>
      <c r="P27" s="3"/>
    </row>
    <row r="28" spans="1:35" ht="42" customHeight="1">
      <c r="A28" s="3"/>
      <c r="B28" s="3"/>
      <c r="C28" s="180"/>
      <c r="D28" s="231">
        <v>4.6202466238425922E-2</v>
      </c>
      <c r="E28" s="232"/>
      <c r="F28" s="233"/>
      <c r="G28" s="194"/>
      <c r="H28" s="206" t="s">
        <v>12</v>
      </c>
      <c r="I28" s="189"/>
      <c r="J28" s="207" t="s">
        <v>11</v>
      </c>
      <c r="K28" s="189"/>
      <c r="L28" s="206" t="s">
        <v>119</v>
      </c>
      <c r="M28" s="189"/>
      <c r="N28" s="208" t="s">
        <v>13</v>
      </c>
      <c r="O28" s="186"/>
      <c r="P28" s="3"/>
      <c r="R28" s="3" t="s">
        <v>67</v>
      </c>
    </row>
    <row r="29" spans="1:35" ht="90" customHeight="1" thickBot="1">
      <c r="A29" s="3"/>
      <c r="B29" s="3"/>
      <c r="C29" s="180"/>
      <c r="D29" s="185"/>
      <c r="E29" s="185"/>
      <c r="F29" s="185"/>
      <c r="G29" s="185"/>
      <c r="H29" s="191"/>
      <c r="I29" s="185"/>
      <c r="J29" s="191"/>
      <c r="K29" s="185"/>
      <c r="L29" s="191"/>
      <c r="M29" s="185"/>
      <c r="N29" s="197"/>
      <c r="O29" s="176"/>
      <c r="P29" s="3"/>
    </row>
    <row r="30" spans="1:35" ht="106" customHeight="1" thickTop="1">
      <c r="A30" s="3"/>
      <c r="B30" s="3"/>
      <c r="C30" s="178"/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200"/>
      <c r="P30" s="3"/>
    </row>
    <row r="31" spans="1:35" ht="10" customHeight="1">
      <c r="A31" s="3"/>
      <c r="B31" s="3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92"/>
      <c r="P31" s="3"/>
    </row>
    <row r="32" spans="1:35" ht="10" customHeight="1">
      <c r="A32" s="3"/>
      <c r="B32" s="3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92"/>
      <c r="P32" s="3"/>
    </row>
    <row r="33" spans="1:21" ht="15" customHeight="1">
      <c r="A33" s="3"/>
      <c r="B33" s="3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92"/>
      <c r="P33" s="3"/>
    </row>
    <row r="34" spans="1:21" ht="15" customHeight="1">
      <c r="A34" s="3"/>
      <c r="B34" s="3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92"/>
      <c r="P34" s="3"/>
    </row>
    <row r="35" spans="1:21" ht="15" customHeight="1">
      <c r="A35" s="3"/>
      <c r="B35" s="3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92"/>
      <c r="P35" s="3"/>
    </row>
    <row r="36" spans="1:21" ht="15" customHeight="1">
      <c r="A36" s="3"/>
      <c r="B36" s="3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92"/>
      <c r="P36" s="3"/>
    </row>
    <row r="37" spans="1:21" ht="15" customHeight="1">
      <c r="A37" s="3"/>
      <c r="B37" s="3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92"/>
      <c r="P37" s="3"/>
    </row>
    <row r="38" spans="1:21" ht="15" customHeight="1">
      <c r="A38" s="3"/>
      <c r="B38" s="3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92"/>
      <c r="P38" s="3"/>
    </row>
    <row r="39" spans="1:21" ht="15" customHeight="1">
      <c r="A39" s="3"/>
      <c r="B39" s="3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92"/>
      <c r="P39" s="3"/>
    </row>
    <row r="40" spans="1:21" ht="15" customHeight="1">
      <c r="A40" s="3"/>
      <c r="B40" s="3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92"/>
      <c r="P40" s="3"/>
      <c r="R40" s="4"/>
      <c r="S40" s="4"/>
    </row>
    <row r="41" spans="1:21" ht="15" customHeight="1">
      <c r="A41" s="3"/>
      <c r="B41" s="3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92"/>
      <c r="P41" s="3"/>
      <c r="R41" s="4"/>
      <c r="S41" s="4"/>
    </row>
    <row r="42" spans="1:21" ht="15" customHeight="1">
      <c r="A42" s="3"/>
      <c r="B42" s="3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92"/>
      <c r="P42" s="3"/>
    </row>
    <row r="43" spans="1:21" s="3" customFormat="1" ht="15" customHeight="1"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92"/>
    </row>
    <row r="44" spans="1:21" ht="15" customHeight="1">
      <c r="A44" s="3"/>
      <c r="B44" s="3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92"/>
      <c r="P44" s="3"/>
    </row>
    <row r="45" spans="1:21" ht="15" customHeight="1">
      <c r="A45" s="3"/>
      <c r="B45" s="3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92"/>
      <c r="P45" s="3"/>
      <c r="Q45" s="5"/>
      <c r="T45" s="4"/>
      <c r="U45" s="4"/>
    </row>
    <row r="46" spans="1:21" ht="15" customHeight="1">
      <c r="A46" s="3"/>
      <c r="B46" s="3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92"/>
      <c r="P46" s="3"/>
      <c r="U46" s="4"/>
    </row>
    <row r="47" spans="1:21" ht="15" customHeight="1">
      <c r="A47" s="3"/>
      <c r="B47" s="3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92"/>
      <c r="P47" s="3"/>
      <c r="U47" s="4"/>
    </row>
    <row r="48" spans="1:21" ht="15" customHeight="1">
      <c r="A48" s="3"/>
      <c r="B48" s="3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92"/>
      <c r="P48" s="3"/>
      <c r="Q48" s="3" t="s">
        <v>67</v>
      </c>
      <c r="U48" s="4"/>
    </row>
    <row r="49" spans="1:18" ht="15" customHeight="1">
      <c r="A49" s="3"/>
      <c r="B49" s="3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92"/>
      <c r="P49" s="3"/>
    </row>
    <row r="50" spans="1:18" ht="15" customHeight="1">
      <c r="A50" s="3"/>
      <c r="B50" s="3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92"/>
      <c r="P50" s="3"/>
    </row>
    <row r="51" spans="1:18" ht="15" customHeight="1">
      <c r="A51" s="3"/>
      <c r="B51" s="3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3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A3" sqref="A2:Q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96"/>
      <c r="B2"/>
      <c r="C2"/>
      <c r="D2"/>
      <c r="E2"/>
      <c r="F2"/>
      <c r="G2"/>
      <c r="H2"/>
      <c r="I2" s="214"/>
      <c r="J2"/>
      <c r="K2"/>
      <c r="L2" s="213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CEB17851-2BD7-EF45-A1ED-DAC13FB84FFA}">
      <formula1>LISTE_MT_JOURNAL</formula1>
    </dataValidation>
    <dataValidation type="list" allowBlank="1" showErrorMessage="1" sqref="C2" xr:uid="{591689AB-599D-2C47-B8D9-E93EA33ADDFA}">
      <formula1>LISTE_JOUEURS_JOURNAL</formula1>
    </dataValidation>
    <dataValidation type="list" allowBlank="1" showErrorMessage="1" sqref="E2" xr:uid="{0454D2F0-3E49-014F-9DDE-18F62C7A74A8}">
      <formula1>LISTE_ACTIONS_JOURNAL</formula1>
    </dataValidation>
    <dataValidation type="list" allowBlank="1" showErrorMessage="1" sqref="G2" xr:uid="{5DADE9A4-5477-0644-87E8-E23B8B07DB1A}">
      <formula1>LISTE_EQUIPES_JOURNAL</formula1>
    </dataValidation>
    <dataValidation type="list" allowBlank="1" showErrorMessage="1" sqref="F2" xr:uid="{858AA66A-0959-C24E-8D70-87A29572081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27" workbookViewId="0">
      <selection activeCell="B63" sqref="B6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</row>
    <row r="4" spans="2:37" s="3" customFormat="1" ht="20" customHeight="1">
      <c r="B4" s="240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41"/>
    </row>
    <row r="5" spans="2:37" s="3" customFormat="1"/>
    <row r="6" spans="2:37" ht="14" customHeight="1">
      <c r="B6" s="246" t="s">
        <v>14</v>
      </c>
      <c r="C6" s="248" t="str">
        <f>ACT_PL_NORMAL</f>
        <v>Plaquage normal</v>
      </c>
      <c r="D6" s="243"/>
      <c r="E6" s="248" t="str">
        <f>ACT_PL_OFF</f>
        <v>Plaquage offensif</v>
      </c>
      <c r="F6" s="243"/>
      <c r="G6" s="248" t="str">
        <f>ACT_PL_RATE</f>
        <v>Plaquage raté</v>
      </c>
      <c r="H6" s="243"/>
      <c r="I6" s="248" t="str">
        <f>ACT_PL_A2</f>
        <v>Plaquage à 2</v>
      </c>
      <c r="J6" s="242"/>
      <c r="K6" s="242" t="str">
        <f>ACT_PL_HAUT</f>
        <v>Plaquage haut</v>
      </c>
      <c r="L6" s="243"/>
      <c r="M6" s="242" t="str">
        <f>ACT_GRATTAGE</f>
        <v>Grattage</v>
      </c>
      <c r="N6" s="243"/>
      <c r="O6" s="242" t="str">
        <f>ACT_FRANCHISSEMENT</f>
        <v>Franchissement</v>
      </c>
      <c r="P6" s="243"/>
      <c r="Q6" s="242" t="str">
        <f>ACT_AVANCEE</f>
        <v>Avancée au contact</v>
      </c>
      <c r="R6" s="243"/>
      <c r="S6" s="242" t="str">
        <f>ACT_ATT_NULLE</f>
        <v>Recul ou sans progression</v>
      </c>
      <c r="T6" s="243"/>
      <c r="U6" s="273" t="s">
        <v>233</v>
      </c>
      <c r="V6" s="274"/>
      <c r="W6" s="274"/>
      <c r="X6" s="274"/>
      <c r="Y6" s="274"/>
      <c r="Z6" s="275"/>
      <c r="AF6"/>
      <c r="AG6"/>
    </row>
    <row r="7" spans="2:37" ht="13" customHeight="1">
      <c r="B7" s="247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76">
        <f t="shared" si="0"/>
        <v>0</v>
      </c>
      <c r="V32" s="276">
        <f t="shared" si="0"/>
        <v>0</v>
      </c>
      <c r="W32" s="276">
        <f t="shared" si="0"/>
        <v>0</v>
      </c>
      <c r="X32" s="276">
        <f t="shared" si="0"/>
        <v>0</v>
      </c>
      <c r="Y32" s="276">
        <f t="shared" si="0"/>
        <v>0</v>
      </c>
      <c r="Z32" s="276">
        <f t="shared" si="0"/>
        <v>0</v>
      </c>
    </row>
    <row r="33" spans="2:33" s="46" customFormat="1" ht="25" customHeight="1">
      <c r="B33" s="60" t="s">
        <v>177</v>
      </c>
      <c r="C33" s="253">
        <f>C32+D32</f>
        <v>0</v>
      </c>
      <c r="D33" s="245"/>
      <c r="E33" s="244">
        <f t="shared" ref="E33" si="3">E32+F32</f>
        <v>0</v>
      </c>
      <c r="F33" s="244"/>
      <c r="G33" s="253">
        <f t="shared" ref="G33" si="4">G32+H32</f>
        <v>0</v>
      </c>
      <c r="H33" s="245"/>
      <c r="I33" s="253">
        <f>I32+J32</f>
        <v>0</v>
      </c>
      <c r="J33" s="245"/>
      <c r="K33" s="253">
        <f t="shared" ref="K33" si="5">K32+L32</f>
        <v>0</v>
      </c>
      <c r="L33" s="245"/>
      <c r="M33" s="244">
        <f t="shared" ref="M33" si="6">M32+N32</f>
        <v>0</v>
      </c>
      <c r="N33" s="245"/>
      <c r="O33" s="244">
        <f t="shared" ref="O33" si="7">O32+P32</f>
        <v>0</v>
      </c>
      <c r="P33" s="245"/>
      <c r="Q33" s="244">
        <f t="shared" ref="Q33" si="8">Q32+R32</f>
        <v>0</v>
      </c>
      <c r="R33" s="245"/>
      <c r="S33" s="244">
        <f t="shared" ref="S33" si="9">S32+T32</f>
        <v>0</v>
      </c>
      <c r="T33" s="245"/>
      <c r="U33" s="277"/>
      <c r="V33" s="277"/>
      <c r="W33" s="277"/>
      <c r="X33" s="277"/>
      <c r="Y33" s="277"/>
      <c r="Z33" s="277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2" t="s">
        <v>145</v>
      </c>
      <c r="E36" s="62" t="s">
        <v>481</v>
      </c>
      <c r="F36" s="3"/>
      <c r="G36" s="248" t="s">
        <v>172</v>
      </c>
      <c r="H36" s="243"/>
      <c r="J36" s="248" t="s">
        <v>28</v>
      </c>
      <c r="K36" s="248" t="s">
        <v>148</v>
      </c>
      <c r="L36" s="242"/>
      <c r="M36" s="243"/>
      <c r="N36" s="243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0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71"/>
      <c r="K37" s="75" t="s">
        <v>154</v>
      </c>
      <c r="L37" s="71" t="s">
        <v>171</v>
      </c>
      <c r="M37" s="76" t="s">
        <v>32</v>
      </c>
      <c r="N37" s="272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51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2" t="s">
        <v>145</v>
      </c>
      <c r="E40" s="62" t="s">
        <v>481</v>
      </c>
      <c r="F40" s="3"/>
      <c r="G40" s="248" t="s">
        <v>150</v>
      </c>
      <c r="H40" s="24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50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51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58" t="s">
        <v>1</v>
      </c>
      <c r="K42" s="259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56" t="s">
        <v>2</v>
      </c>
      <c r="K43" s="257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48" t="s">
        <v>238</v>
      </c>
      <c r="H44" s="243"/>
      <c r="I44" s="3"/>
      <c r="J44" s="258" t="s">
        <v>3</v>
      </c>
      <c r="K44" s="259"/>
      <c r="L44" s="43">
        <f>COUNTIFS(JournalActions[Action],ACT_PEN_CONTRE_NOUS,JournalActions[Motif penalite],ACT_PEN_HORS_JEU)</f>
        <v>0</v>
      </c>
      <c r="M44" s="43">
        <f>COUNTIFS(JournalActions[Action],ACT_PEN_CONTRE_ADV,JournalActions[Motif penalite],ACT_PEN_HORS_JEU)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56" t="s">
        <v>4</v>
      </c>
      <c r="K45" s="257"/>
      <c r="L45" s="15">
        <f>COUNTIFS(JournalActions[Action],ACT_PEN_CONTRE_NOUS,JournalActions[Motif penalite],ACT_PEN_PL_A_2)</f>
        <v>0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58" t="s">
        <v>5</v>
      </c>
      <c r="K46" s="259"/>
      <c r="L46" s="43">
        <f>COUNTIFS(JournalActions[Action],ACT_PEN_CONTRE_NOUS,JournalActions[Motif penalite],ACT_PEN_PL_HAUT)</f>
        <v>0</v>
      </c>
      <c r="M46" s="43">
        <f>COUNTIFS(JournalActions[Action],ACT_PEN_CONTRE_ADV,JournalActions[Motif penalite],ACT_PEN_PL_HAUT)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56" t="s">
        <v>168</v>
      </c>
      <c r="K47" s="257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0" t="s">
        <v>236</v>
      </c>
      <c r="C56" s="261"/>
      <c r="D56" s="261"/>
      <c r="E56" s="261"/>
      <c r="F56" s="261"/>
      <c r="G56" s="261"/>
      <c r="H56" s="261"/>
      <c r="I56" s="261"/>
      <c r="J56" s="261"/>
      <c r="K56" s="262"/>
    </row>
    <row r="57" spans="2:20" s="3" customFormat="1">
      <c r="B57" s="263"/>
      <c r="C57" s="264"/>
      <c r="D57" s="264"/>
      <c r="E57" s="264"/>
      <c r="F57" s="264"/>
      <c r="G57" s="264"/>
      <c r="H57" s="264"/>
      <c r="I57" s="264"/>
      <c r="J57" s="264"/>
      <c r="K57" s="265"/>
    </row>
    <row r="58" spans="2:20" s="3" customFormat="1" ht="14" thickBot="1">
      <c r="B58" s="266"/>
      <c r="C58" s="267"/>
      <c r="D58" s="267"/>
      <c r="E58" s="267"/>
      <c r="F58" s="267"/>
      <c r="G58" s="267"/>
      <c r="H58" s="267"/>
      <c r="I58" s="267"/>
      <c r="J58" s="267"/>
      <c r="K58" s="268"/>
    </row>
    <row r="59" spans="2:20" s="3" customFormat="1"/>
    <row r="60" spans="2:20" s="3" customFormat="1" ht="14">
      <c r="B60" s="246" t="s">
        <v>14</v>
      </c>
      <c r="C60" s="248" t="str">
        <f>ACT_TO_NS_G</f>
        <v>Touche à nous conservée</v>
      </c>
      <c r="D60" s="243"/>
      <c r="E60" s="248" t="str">
        <f>ACT_TO_ADV_VOLEE</f>
        <v>Touche à eux volée</v>
      </c>
      <c r="F60" s="243"/>
      <c r="H60" s="269" t="str">
        <f>ACT_TO_NS_P</f>
        <v>Touche à nous perdue</v>
      </c>
      <c r="I60" s="270"/>
      <c r="J60" s="269" t="str">
        <f>ACT_TO_NS_PAS_DROIT</f>
        <v>Touche à nous pas droite</v>
      </c>
      <c r="K60" s="270"/>
    </row>
    <row r="61" spans="2:20" s="3" customFormat="1" ht="14">
      <c r="B61" s="247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 t="str">
        <f>IF(COUNTIFS(JournalActions[Joueur],$B65,JournalActions[Action],$C$60,JournalActions[Mi-temps],D$61)=0,"",COUNTIFS(JournalActions[Joueur],$B65,JournalActions[Action],$C$60,JournalActions[Mi-temps],D$61))</f>
        <v/>
      </c>
      <c r="E65" s="33" t="str">
        <f>IF(COUNTIFS(JournalActions[Joueur],$B65,JournalActions[Action],$E$60,JournalActions[Mi-temps],E$61)=0,"",COUNTIFS(JournalActions[Joueur],$B65,JournalActions[Action],$E$60,JournalActions[Mi-temps],E$61))</f>
        <v/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 t="str">
        <f>IF(COUNTIFS(JournalActions[Joueur],$B65,JournalActions[Action],$H$60,JournalActions[Mi-temps],I$61)=0,"",COUNTIFS(JournalActions[Joueur],$B65,JournalActions[Action],$H$60,JournalActions[Mi-temps],I$61))</f>
        <v/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 t="str">
        <f>IF(COUNTIFS(JournalActions[Joueur],$B67,JournalActions[Action],$E$60,JournalActions[Mi-temps],E$61)=0,"",COUNTIFS(JournalActions[Joueur],$B67,JournalActions[Action],$E$60,JournalActions[Mi-temps],E$61))</f>
        <v/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 t="str">
        <f>IF(COUNTIFS(JournalActions[Joueur],$B67,JournalActions[Action],$H$60,JournalActions[Mi-temps],H$61)=0,"",COUNTIFS(JournalActions[Joueur],$B67,JournalActions[Action],$H$60,JournalActions[Mi-temps],H$61))</f>
        <v/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0</v>
      </c>
      <c r="E86" s="58">
        <f>SUM(E62:E85)</f>
        <v>0</v>
      </c>
      <c r="F86" s="59">
        <f t="shared" ref="F86" si="11">SUM(F62:F85)</f>
        <v>0</v>
      </c>
      <c r="H86" s="79">
        <f>SUM(H62:H85)</f>
        <v>0</v>
      </c>
      <c r="I86" s="80">
        <f>SUM(I62:I85)</f>
        <v>0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53">
        <f>C86+D86</f>
        <v>0</v>
      </c>
      <c r="D87" s="245"/>
      <c r="E87" s="253">
        <f>E86+F86</f>
        <v>0</v>
      </c>
      <c r="F87" s="245"/>
      <c r="H87" s="254">
        <f>H86+I86</f>
        <v>0</v>
      </c>
      <c r="I87" s="255"/>
      <c r="J87" s="254">
        <f>J86+K86</f>
        <v>0</v>
      </c>
      <c r="K87" s="255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51" t="s">
        <v>394</v>
      </c>
      <c r="G92" s="252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49" t="s">
        <v>240</v>
      </c>
      <c r="G93" s="250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49" t="s">
        <v>241</v>
      </c>
      <c r="G94" s="250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49" t="s">
        <v>242</v>
      </c>
      <c r="G95" s="250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49" t="s">
        <v>243</v>
      </c>
      <c r="G96" s="250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49" t="s">
        <v>395</v>
      </c>
      <c r="G97" s="250"/>
      <c r="H97" s="88">
        <v>0</v>
      </c>
      <c r="I97" s="88">
        <v>0</v>
      </c>
      <c r="J97" s="88">
        <v>0</v>
      </c>
    </row>
    <row r="98" spans="2:10" s="3" customFormat="1" ht="17" thickTop="1">
      <c r="F98" s="249" t="s">
        <v>396</v>
      </c>
      <c r="G98" s="250"/>
      <c r="H98" s="88">
        <v>0</v>
      </c>
      <c r="I98" s="88">
        <v>0</v>
      </c>
      <c r="J98" s="88">
        <v>0</v>
      </c>
    </row>
    <row r="99" spans="2:10" s="3" customFormat="1" ht="16">
      <c r="F99" s="249" t="s">
        <v>397</v>
      </c>
      <c r="G99" s="250"/>
      <c r="H99" s="88">
        <v>0</v>
      </c>
      <c r="I99" s="88">
        <v>0</v>
      </c>
      <c r="J99" s="88">
        <v>0</v>
      </c>
    </row>
    <row r="100" spans="2:10" s="3" customFormat="1" ht="16">
      <c r="F100" s="249" t="s">
        <v>398</v>
      </c>
      <c r="G100" s="250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3" priority="6" stopIfTrue="1">
      <formula>ISEVEN(ROW())</formula>
    </cfRule>
  </conditionalFormatting>
  <conditionalFormatting sqref="B62:B85">
    <cfRule type="expression" dxfId="52" priority="5" stopIfTrue="1">
      <formula>ISEVEN(ROW())</formula>
    </cfRule>
  </conditionalFormatting>
  <conditionalFormatting sqref="C62:D85">
    <cfRule type="expression" dxfId="51" priority="4" stopIfTrue="1">
      <formula>ISEVEN(ROW())</formula>
    </cfRule>
  </conditionalFormatting>
  <conditionalFormatting sqref="H62:I85">
    <cfRule type="expression" dxfId="50" priority="3" stopIfTrue="1">
      <formula>ISEVEN(ROW())</formula>
    </cfRule>
  </conditionalFormatting>
  <conditionalFormatting sqref="J62:K85">
    <cfRule type="expression" dxfId="49" priority="2" stopIfTrue="1">
      <formula>ISEVEN(ROW())</formula>
    </cfRule>
  </conditionalFormatting>
  <conditionalFormatting sqref="E62:F85">
    <cfRule type="expression" dxfId="4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E26" sqref="E26:E2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452</v>
      </c>
      <c r="L1" s="140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49"/>
      <c r="L3" s="149"/>
      <c r="R3" s="138"/>
      <c r="S3" s="138"/>
      <c r="T3" s="138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41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55" t="s">
        <v>223</v>
      </c>
      <c r="B5" s="156" t="s">
        <v>212</v>
      </c>
      <c r="C5" s="156" t="s">
        <v>145</v>
      </c>
      <c r="D5" s="156" t="s">
        <v>481</v>
      </c>
      <c r="L5" s="159" t="s">
        <v>482</v>
      </c>
      <c r="M5" s="160" t="s">
        <v>212</v>
      </c>
      <c r="N5" s="160" t="s">
        <v>145</v>
      </c>
      <c r="Z5" t="s">
        <v>429</v>
      </c>
      <c r="AB5" t="s">
        <v>438</v>
      </c>
      <c r="AC5">
        <v>5</v>
      </c>
    </row>
    <row r="6" spans="1:32">
      <c r="A6" s="157" t="s">
        <v>143</v>
      </c>
      <c r="B6" s="158">
        <f>COUNTIFS(DetailTouches[Lance pour],"N",DetailTouches[Issue],"G")</f>
        <v>0</v>
      </c>
      <c r="C6" s="158">
        <f>COUNTIFS(DetailTouches[Lance pour],"N",DetailTouches[Issue],"P")</f>
        <v>0</v>
      </c>
      <c r="D6" s="158">
        <f>COUNTIFS(DetailTouches[Lance pour],"N",DetailTouches[Issue],"ND")</f>
        <v>0</v>
      </c>
      <c r="L6" s="161" t="s">
        <v>143</v>
      </c>
      <c r="M6" s="162">
        <f>COUNTIFS(DetailMelees[Introduction pour],"N",DetailMelees[Issue],"G")</f>
        <v>0</v>
      </c>
      <c r="N6" s="162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53" t="s">
        <v>174</v>
      </c>
      <c r="B7" s="154">
        <f>COUNTIFS(DetailTouches[Lance pour],"E",DetailTouches[Issue],"P")</f>
        <v>0</v>
      </c>
      <c r="C7" s="154">
        <f>COUNTIFS(DetailTouches[Lance pour],"E",DetailTouches[Issue],"G")</f>
        <v>0</v>
      </c>
      <c r="D7" s="154">
        <f>COUNTIFS(DetailTouches[Lance pour],"E",DetailTouches[Issue],"ND")</f>
        <v>0</v>
      </c>
      <c r="L7" s="153" t="s">
        <v>174</v>
      </c>
      <c r="M7" s="154">
        <f>COUNTIFS(DetailMelees[Introduction pour],"E",DetailMelees[Issue],"P")</f>
        <v>0</v>
      </c>
      <c r="N7" s="154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AB9" t="s">
        <v>442</v>
      </c>
    </row>
    <row r="10" spans="1:32">
      <c r="AB10" t="s">
        <v>443</v>
      </c>
    </row>
    <row r="11" spans="1:32">
      <c r="AB11" t="s">
        <v>444</v>
      </c>
    </row>
    <row r="12" spans="1:32">
      <c r="AB12" t="s">
        <v>445</v>
      </c>
    </row>
  </sheetData>
  <conditionalFormatting sqref="D3">
    <cfRule type="expression" dxfId="47" priority="1" stopIfTrue="1">
      <formula>($C3&amp;$D3)="NP"</formula>
    </cfRule>
    <cfRule type="expression" dxfId="46" priority="2" stopIfTrue="1">
      <formula>($C3&amp;$D3)="EG"</formula>
    </cfRule>
  </conditionalFormatting>
  <conditionalFormatting sqref="G3">
    <cfRule type="expression" dxfId="45" priority="3" stopIfTrue="1">
      <formula>$G3="F"</formula>
    </cfRule>
    <cfRule type="expression" dxfId="44" priority="4" stopIfTrue="1">
      <formula>$G3="C"</formula>
    </cfRule>
  </conditionalFormatting>
  <conditionalFormatting sqref="O3">
    <cfRule type="expression" dxfId="43" priority="5" stopIfTrue="1">
      <formula>($N3&amp;$O3)="NP"</formula>
    </cfRule>
    <cfRule type="expression" dxfId="42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211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211" t="s">
        <v>500</v>
      </c>
      <c r="N3" t="s">
        <v>170</v>
      </c>
      <c r="Q3" s="23" t="s">
        <v>80</v>
      </c>
      <c r="R3" s="23" t="s">
        <v>58</v>
      </c>
      <c r="AA3" t="s">
        <v>503</v>
      </c>
    </row>
    <row r="4" spans="1:27" ht="30" customHeight="1">
      <c r="C4" s="21" t="s">
        <v>190</v>
      </c>
      <c r="D4" s="21"/>
      <c r="F4" s="19" t="s">
        <v>103</v>
      </c>
      <c r="G4" s="7"/>
      <c r="K4" s="211" t="s">
        <v>490</v>
      </c>
      <c r="Q4" s="20" t="s">
        <v>81</v>
      </c>
      <c r="R4" s="20" t="s">
        <v>9</v>
      </c>
      <c r="AA4" t="s">
        <v>492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211" t="s">
        <v>517</v>
      </c>
      <c r="Q5" s="23" t="s">
        <v>82</v>
      </c>
      <c r="R5" s="23" t="s">
        <v>83</v>
      </c>
      <c r="AA5" t="s">
        <v>490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211" t="s">
        <v>491</v>
      </c>
      <c r="Q6" s="20" t="s">
        <v>84</v>
      </c>
      <c r="R6" s="20" t="s">
        <v>85</v>
      </c>
      <c r="AA6" t="s">
        <v>501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211" t="s">
        <v>530</v>
      </c>
      <c r="Q7" s="23" t="s">
        <v>86</v>
      </c>
      <c r="R7" s="23" t="s">
        <v>61</v>
      </c>
      <c r="AA7" t="s">
        <v>495</v>
      </c>
    </row>
    <row r="8" spans="1:27" ht="30" customHeight="1">
      <c r="C8" s="21" t="s">
        <v>192</v>
      </c>
      <c r="D8" s="21"/>
      <c r="F8" s="19" t="s">
        <v>107</v>
      </c>
      <c r="G8" s="2"/>
      <c r="K8" s="211" t="s">
        <v>501</v>
      </c>
      <c r="Q8" s="20" t="s">
        <v>87</v>
      </c>
      <c r="R8" s="20" t="s">
        <v>59</v>
      </c>
      <c r="AA8" t="s">
        <v>502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211" t="s">
        <v>492</v>
      </c>
      <c r="Q9" s="23" t="s">
        <v>88</v>
      </c>
      <c r="R9" s="23" t="s">
        <v>62</v>
      </c>
      <c r="AA9" s="17" t="s">
        <v>494</v>
      </c>
    </row>
    <row r="10" spans="1:27" ht="30" customHeight="1">
      <c r="C10" s="21" t="s">
        <v>392</v>
      </c>
      <c r="D10" s="21"/>
      <c r="F10" s="19" t="s">
        <v>109</v>
      </c>
      <c r="G10" s="166"/>
      <c r="I10" s="50" t="s">
        <v>215</v>
      </c>
      <c r="K10" s="211" t="s">
        <v>493</v>
      </c>
      <c r="Q10" s="20" t="s">
        <v>89</v>
      </c>
      <c r="R10" s="20" t="s">
        <v>60</v>
      </c>
      <c r="AA10" t="s">
        <v>489</v>
      </c>
    </row>
    <row r="11" spans="1:27" s="17" customFormat="1" ht="30" customHeight="1">
      <c r="D11" s="21"/>
      <c r="F11" s="22" t="s">
        <v>247</v>
      </c>
      <c r="G11" s="97"/>
      <c r="K11" s="211" t="s">
        <v>494</v>
      </c>
      <c r="Q11" s="23" t="s">
        <v>90</v>
      </c>
      <c r="R11" s="23" t="s">
        <v>63</v>
      </c>
      <c r="AA11" s="17" t="s">
        <v>517</v>
      </c>
    </row>
    <row r="12" spans="1:27" ht="30" customHeight="1">
      <c r="C12" s="21" t="s">
        <v>194</v>
      </c>
      <c r="D12" s="21"/>
      <c r="F12" s="19" t="s">
        <v>248</v>
      </c>
      <c r="G12" s="98"/>
      <c r="K12" s="211" t="s">
        <v>495</v>
      </c>
      <c r="Q12" s="23" t="s">
        <v>221</v>
      </c>
      <c r="R12" s="23" t="s">
        <v>222</v>
      </c>
      <c r="AA12" t="s">
        <v>535</v>
      </c>
    </row>
    <row r="13" spans="1:27" s="17" customFormat="1" ht="30" customHeight="1">
      <c r="C13" s="21" t="s">
        <v>181</v>
      </c>
      <c r="D13" s="21"/>
      <c r="F13" s="22" t="s">
        <v>249</v>
      </c>
      <c r="G13" s="167"/>
      <c r="K13" s="211" t="s">
        <v>496</v>
      </c>
      <c r="Q13" s="22" t="s">
        <v>176</v>
      </c>
      <c r="R13" s="70" t="s">
        <v>161</v>
      </c>
      <c r="AA13" s="17" t="s">
        <v>498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211" t="s">
        <v>497</v>
      </c>
      <c r="Q14" s="22" t="s">
        <v>175</v>
      </c>
      <c r="R14" s="70" t="s">
        <v>162</v>
      </c>
      <c r="AA14" t="s">
        <v>497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211" t="s">
        <v>498</v>
      </c>
      <c r="Q15" s="22" t="s">
        <v>91</v>
      </c>
      <c r="R15" s="70" t="s">
        <v>53</v>
      </c>
      <c r="AA15" s="17" t="s">
        <v>496</v>
      </c>
    </row>
    <row r="16" spans="1:27" ht="30" customHeight="1">
      <c r="C16" s="21"/>
      <c r="D16" s="21"/>
      <c r="I16" s="17" t="s">
        <v>121</v>
      </c>
      <c r="K16" s="211" t="s">
        <v>499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64"/>
      <c r="I17" s="17" t="s">
        <v>122</v>
      </c>
      <c r="K17" s="211" t="s">
        <v>489</v>
      </c>
      <c r="Q17" s="22" t="s">
        <v>93</v>
      </c>
      <c r="R17" s="70" t="s">
        <v>65</v>
      </c>
      <c r="AA17" s="17" t="s">
        <v>493</v>
      </c>
    </row>
    <row r="18" spans="3:27" ht="30" customHeight="1">
      <c r="C18" s="21" t="s">
        <v>204</v>
      </c>
      <c r="D18" s="21"/>
      <c r="F18" s="17" t="s">
        <v>486</v>
      </c>
      <c r="G18" s="165"/>
      <c r="I18" s="17" t="s">
        <v>123</v>
      </c>
      <c r="K18" s="211" t="s">
        <v>535</v>
      </c>
      <c r="Q18" s="22" t="s">
        <v>94</v>
      </c>
      <c r="R18" s="70" t="s">
        <v>66</v>
      </c>
      <c r="AA18" t="s">
        <v>530</v>
      </c>
    </row>
    <row r="19" spans="3:27" ht="30" customHeight="1">
      <c r="C19" s="21" t="s">
        <v>205</v>
      </c>
      <c r="D19" s="21"/>
      <c r="F19" s="17"/>
      <c r="I19" s="17" t="s">
        <v>217</v>
      </c>
      <c r="K19" s="211" t="s">
        <v>537</v>
      </c>
      <c r="Q19" s="22" t="s">
        <v>95</v>
      </c>
      <c r="R19" s="70" t="s">
        <v>57</v>
      </c>
      <c r="AA19" t="s">
        <v>500</v>
      </c>
    </row>
    <row r="20" spans="3:27" ht="30" customHeight="1">
      <c r="C20" s="21" t="s">
        <v>206</v>
      </c>
      <c r="D20" s="21"/>
      <c r="I20" s="17" t="s">
        <v>218</v>
      </c>
      <c r="K20" s="211" t="s">
        <v>487</v>
      </c>
      <c r="Q20" s="22" t="s">
        <v>96</v>
      </c>
      <c r="R20" s="70" t="s">
        <v>54</v>
      </c>
      <c r="AA20" t="s">
        <v>499</v>
      </c>
    </row>
    <row r="21" spans="3:27" ht="30" customHeight="1">
      <c r="C21" s="21" t="s">
        <v>207</v>
      </c>
      <c r="D21" s="21"/>
      <c r="K21" s="211" t="s">
        <v>503</v>
      </c>
      <c r="Q21" s="22" t="s">
        <v>97</v>
      </c>
      <c r="R21" s="70" t="s">
        <v>55</v>
      </c>
      <c r="AA21" t="s">
        <v>542</v>
      </c>
    </row>
    <row r="22" spans="3:27" ht="30" customHeight="1">
      <c r="C22" s="21"/>
      <c r="D22" s="21"/>
      <c r="K22" s="211" t="s">
        <v>502</v>
      </c>
      <c r="Q22" s="22" t="s">
        <v>98</v>
      </c>
      <c r="R22" s="70" t="s">
        <v>50</v>
      </c>
      <c r="AA22" t="s">
        <v>537</v>
      </c>
    </row>
    <row r="23" spans="3:27" ht="30" customHeight="1">
      <c r="C23" s="21"/>
      <c r="D23" s="21"/>
      <c r="K23" s="211" t="s">
        <v>542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211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211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09" t="s">
        <v>508</v>
      </c>
      <c r="R55" s="209" t="s">
        <v>510</v>
      </c>
    </row>
    <row r="56" spans="17:18" ht="30" customHeight="1">
      <c r="Q56" s="210" t="s">
        <v>509</v>
      </c>
      <c r="R56" s="210" t="s">
        <v>511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8" t="s">
        <v>77</v>
      </c>
      <c r="D5" s="278"/>
      <c r="E5" s="278"/>
      <c r="F5" s="278"/>
      <c r="G5" s="278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471</v>
      </c>
    </row>
    <row r="4" spans="2:4">
      <c r="B4" s="144" t="s">
        <v>453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454</v>
      </c>
      <c r="C6" s="145"/>
    </row>
    <row r="7" spans="2:4">
      <c r="B7" s="144" t="s">
        <v>455</v>
      </c>
      <c r="C7" s="145"/>
    </row>
    <row r="9" spans="2:4">
      <c r="B9" s="143" t="s">
        <v>456</v>
      </c>
      <c r="C9" s="146"/>
    </row>
    <row r="10" spans="2:4">
      <c r="B10" s="143" t="s">
        <v>472</v>
      </c>
      <c r="C10" s="146"/>
    </row>
    <row r="11" spans="2:4">
      <c r="B11" s="143" t="s">
        <v>458</v>
      </c>
      <c r="C11" s="146"/>
    </row>
    <row r="12" spans="2:4">
      <c r="B12" s="143" t="s">
        <v>459</v>
      </c>
      <c r="C12" s="146"/>
    </row>
    <row r="13" spans="2:4">
      <c r="B13" s="143" t="s">
        <v>460</v>
      </c>
      <c r="C13" s="146"/>
    </row>
    <row r="14" spans="2:4">
      <c r="B14" s="143" t="s">
        <v>461</v>
      </c>
      <c r="C14" s="146"/>
    </row>
    <row r="16" spans="2:4" ht="24" customHeight="1">
      <c r="B16" s="147" t="s">
        <v>474</v>
      </c>
      <c r="C16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475</v>
      </c>
    </row>
    <row r="4" spans="2:4">
      <c r="B4" s="144" t="s">
        <v>453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480</v>
      </c>
      <c r="C6" s="145"/>
    </row>
    <row r="7" spans="2:4">
      <c r="B7" s="144" t="s">
        <v>455</v>
      </c>
      <c r="C7" s="145"/>
    </row>
    <row r="9" spans="2:4">
      <c r="B9" s="143" t="s">
        <v>463</v>
      </c>
      <c r="C9" s="146"/>
    </row>
    <row r="10" spans="2:4">
      <c r="B10" s="143" t="s">
        <v>464</v>
      </c>
      <c r="C10" s="146"/>
    </row>
    <row r="11" spans="2:4">
      <c r="B11" s="143" t="s">
        <v>476</v>
      </c>
      <c r="C11" s="146"/>
    </row>
    <row r="12" spans="2:4">
      <c r="B12" s="143" t="s">
        <v>461</v>
      </c>
      <c r="C12" s="146"/>
    </row>
    <row r="14" spans="2:4" ht="24" customHeight="1">
      <c r="B14" s="147" t="s">
        <v>474</v>
      </c>
      <c r="C14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546</v>
      </c>
    </row>
    <row r="4" spans="2:21" ht="14" customHeight="1">
      <c r="B4" s="144" t="s">
        <v>453</v>
      </c>
      <c r="C4" s="284"/>
      <c r="D4" s="284"/>
      <c r="E4" s="279" t="s">
        <v>11</v>
      </c>
      <c r="F4" s="279"/>
      <c r="K4" s="285" t="s">
        <v>547</v>
      </c>
      <c r="L4" s="285"/>
      <c r="M4" s="285"/>
      <c r="N4" s="285"/>
      <c r="O4" s="285"/>
      <c r="P4" s="285"/>
      <c r="Q4" s="285"/>
      <c r="R4" s="285"/>
      <c r="S4" s="285"/>
      <c r="T4" s="285"/>
      <c r="U4" s="285"/>
    </row>
    <row r="5" spans="2:21" ht="15" customHeight="1">
      <c r="B5" s="144" t="s">
        <v>7</v>
      </c>
      <c r="C5" s="284"/>
      <c r="D5" s="284"/>
      <c r="K5" s="285"/>
      <c r="L5" s="285"/>
      <c r="M5" s="285"/>
      <c r="N5" s="285"/>
      <c r="O5" s="285"/>
      <c r="P5" s="285"/>
      <c r="Q5" s="285"/>
      <c r="R5" s="285"/>
      <c r="S5" s="285"/>
      <c r="T5" s="285"/>
      <c r="U5" s="285"/>
    </row>
    <row r="6" spans="2:21">
      <c r="B6" s="144" t="s">
        <v>483</v>
      </c>
      <c r="C6" s="284"/>
      <c r="D6" s="284"/>
    </row>
    <row r="7" spans="2:21" ht="20" customHeight="1">
      <c r="K7" s="281" t="s">
        <v>573</v>
      </c>
      <c r="L7" s="282"/>
      <c r="M7" s="282"/>
      <c r="O7" s="281" t="s">
        <v>574</v>
      </c>
      <c r="P7" s="282"/>
      <c r="Q7" s="282"/>
      <c r="S7" s="281" t="s">
        <v>575</v>
      </c>
      <c r="T7" s="282"/>
      <c r="U7" s="282"/>
    </row>
    <row r="8" spans="2:21" ht="10" customHeight="1"/>
    <row r="9" spans="2:21" ht="20" customHeight="1">
      <c r="B9" s="280" t="s">
        <v>548</v>
      </c>
      <c r="C9" s="280"/>
      <c r="E9" s="280" t="s">
        <v>555</v>
      </c>
      <c r="F9" s="280"/>
      <c r="H9" s="280" t="s">
        <v>566</v>
      </c>
      <c r="I9" s="280"/>
      <c r="M9" s="281" t="s">
        <v>576</v>
      </c>
      <c r="N9" s="282"/>
      <c r="O9" s="282"/>
      <c r="Q9" s="281" t="s">
        <v>577</v>
      </c>
      <c r="R9" s="282"/>
      <c r="S9" s="282"/>
    </row>
    <row r="10" spans="2:21" ht="10" customHeight="1"/>
    <row r="11" spans="2:21" ht="20" customHeight="1">
      <c r="E11" s="280" t="s">
        <v>556</v>
      </c>
      <c r="F11" s="280"/>
      <c r="H11" s="280" t="s">
        <v>567</v>
      </c>
      <c r="I11" s="280"/>
      <c r="K11" s="281" t="s">
        <v>578</v>
      </c>
      <c r="L11" s="282"/>
      <c r="M11" s="282"/>
      <c r="O11" s="281" t="s">
        <v>579</v>
      </c>
      <c r="P11" s="282"/>
      <c r="Q11" s="282"/>
      <c r="S11" s="281" t="s">
        <v>580</v>
      </c>
      <c r="T11" s="282"/>
      <c r="U11" s="282"/>
    </row>
    <row r="12" spans="2:21" ht="10" customHeight="1"/>
    <row r="13" spans="2:21" ht="20" customHeight="1">
      <c r="B13" s="280" t="s">
        <v>549</v>
      </c>
      <c r="C13" s="280"/>
      <c r="E13" s="280" t="s">
        <v>557</v>
      </c>
      <c r="F13" s="280"/>
      <c r="H13" s="280" t="s">
        <v>568</v>
      </c>
      <c r="I13" s="280"/>
      <c r="M13" s="281" t="s">
        <v>581</v>
      </c>
      <c r="N13" s="282"/>
      <c r="O13" s="282"/>
    </row>
    <row r="14" spans="2:21" ht="10" customHeight="1"/>
    <row r="15" spans="2:21" ht="20" customHeight="1">
      <c r="B15" s="280" t="s">
        <v>550</v>
      </c>
      <c r="C15" s="280"/>
      <c r="E15" s="280" t="s">
        <v>558</v>
      </c>
      <c r="F15" s="280"/>
      <c r="H15" s="280" t="s">
        <v>569</v>
      </c>
      <c r="I15" s="280"/>
      <c r="P15" s="281" t="s">
        <v>582</v>
      </c>
      <c r="Q15" s="282"/>
      <c r="R15" s="282"/>
    </row>
    <row r="16" spans="2:21" ht="10" customHeight="1"/>
    <row r="17" spans="2:21" ht="20" customHeight="1">
      <c r="B17" s="280" t="s">
        <v>551</v>
      </c>
      <c r="C17" s="280"/>
      <c r="E17" s="280" t="s">
        <v>559</v>
      </c>
      <c r="F17" s="280"/>
      <c r="H17" s="280" t="s">
        <v>570</v>
      </c>
      <c r="I17" s="280"/>
      <c r="M17" s="281" t="s">
        <v>583</v>
      </c>
      <c r="N17" s="282"/>
      <c r="O17" s="282"/>
      <c r="Q17" s="281" t="s">
        <v>584</v>
      </c>
      <c r="R17" s="282"/>
      <c r="S17" s="282"/>
    </row>
    <row r="18" spans="2:21" ht="10" customHeight="1"/>
    <row r="19" spans="2:21" ht="20" customHeight="1">
      <c r="E19" s="280" t="s">
        <v>560</v>
      </c>
      <c r="F19" s="280"/>
      <c r="H19" s="280" t="s">
        <v>571</v>
      </c>
      <c r="I19" s="280"/>
      <c r="K19" s="281" t="s">
        <v>585</v>
      </c>
      <c r="L19" s="282"/>
      <c r="M19" s="282"/>
      <c r="O19" s="281" t="s">
        <v>586</v>
      </c>
      <c r="P19" s="282"/>
      <c r="Q19" s="282"/>
      <c r="S19" s="281" t="s">
        <v>587</v>
      </c>
      <c r="T19" s="282"/>
      <c r="U19" s="282"/>
    </row>
    <row r="20" spans="2:21" ht="10" customHeight="1"/>
    <row r="21" spans="2:21" ht="20" customHeight="1">
      <c r="B21" s="280" t="s">
        <v>552</v>
      </c>
      <c r="C21" s="280"/>
      <c r="E21" s="280" t="s">
        <v>561</v>
      </c>
      <c r="F21" s="280"/>
      <c r="K21" s="281" t="s">
        <v>588</v>
      </c>
      <c r="L21" s="282"/>
      <c r="M21" s="282"/>
      <c r="O21" s="281" t="s">
        <v>589</v>
      </c>
      <c r="P21" s="282"/>
      <c r="Q21" s="282"/>
      <c r="S21" s="281" t="s">
        <v>590</v>
      </c>
      <c r="T21" s="282"/>
      <c r="U21" s="282"/>
    </row>
    <row r="22" spans="2:21" ht="10" customHeight="1"/>
    <row r="23" spans="2:21" ht="20" customHeight="1">
      <c r="B23" s="280" t="s">
        <v>553</v>
      </c>
      <c r="C23" s="280"/>
      <c r="E23" s="280" t="s">
        <v>562</v>
      </c>
      <c r="F23" s="280"/>
      <c r="H23" s="280" t="s">
        <v>545</v>
      </c>
      <c r="I23" s="280"/>
      <c r="K23" s="281" t="s">
        <v>591</v>
      </c>
      <c r="L23" s="282"/>
      <c r="M23" s="282"/>
      <c r="O23" s="281" t="s">
        <v>592</v>
      </c>
      <c r="P23" s="282"/>
      <c r="Q23" s="282"/>
      <c r="S23" s="281" t="s">
        <v>593</v>
      </c>
      <c r="T23" s="282"/>
      <c r="U23" s="282"/>
    </row>
    <row r="24" spans="2:21" ht="10" customHeight="1"/>
    <row r="25" spans="2:21" ht="20" customHeight="1">
      <c r="B25" s="280" t="s">
        <v>554</v>
      </c>
      <c r="C25" s="280"/>
      <c r="E25" s="280" t="s">
        <v>563</v>
      </c>
      <c r="F25" s="280"/>
      <c r="H25" s="280" t="s">
        <v>157</v>
      </c>
      <c r="I25" s="280"/>
      <c r="O25" s="281" t="s">
        <v>594</v>
      </c>
      <c r="P25" s="282"/>
      <c r="Q25" s="282"/>
    </row>
    <row r="26" spans="2:21" ht="10" customHeight="1"/>
    <row r="27" spans="2:21" ht="20" customHeight="1">
      <c r="E27" s="280" t="s">
        <v>564</v>
      </c>
      <c r="F27" s="280"/>
      <c r="H27" s="280" t="s">
        <v>572</v>
      </c>
      <c r="I27" s="280"/>
      <c r="K27" s="281" t="s">
        <v>42</v>
      </c>
      <c r="L27" s="282"/>
      <c r="M27" s="282"/>
      <c r="S27" s="281" t="s">
        <v>32</v>
      </c>
      <c r="T27" s="282"/>
      <c r="U27" s="282"/>
    </row>
    <row r="28" spans="2:21" ht="10" customHeight="1"/>
    <row r="29" spans="2:21" ht="20" customHeight="1">
      <c r="E29" s="280" t="s">
        <v>565</v>
      </c>
      <c r="F29" s="280"/>
      <c r="H29" s="280" t="s">
        <v>168</v>
      </c>
      <c r="I29" s="280"/>
    </row>
    <row r="30" spans="2:21" ht="10" customHeight="1"/>
    <row r="31" spans="2:21" ht="9" customHeight="1"/>
    <row r="32" spans="2:21" ht="26" customHeight="1">
      <c r="B32" s="283" t="s">
        <v>474</v>
      </c>
      <c r="C32" s="283"/>
      <c r="D32" s="168"/>
      <c r="E32" s="279" t="s">
        <v>484</v>
      </c>
      <c r="F32" s="279"/>
      <c r="G32" s="279"/>
      <c r="H32" s="279"/>
      <c r="I32" s="168"/>
    </row>
  </sheetData>
  <mergeCells count="59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5" width="16.83203125" style="143" customWidth="1"/>
    <col min="6" max="9" width="10.83203125" style="143"/>
    <col min="10" max="13" width="0" style="143" hidden="1" customWidth="1"/>
    <col min="14" max="16384" width="10.83203125" style="143"/>
  </cols>
  <sheetData>
    <row r="2" spans="2:5" ht="21">
      <c r="B2" s="142" t="s">
        <v>504</v>
      </c>
    </row>
    <row r="4" spans="2:5">
      <c r="B4" s="144" t="s">
        <v>453</v>
      </c>
      <c r="D4" s="145"/>
      <c r="E4" s="148" t="s">
        <v>11</v>
      </c>
    </row>
    <row r="5" spans="2:5">
      <c r="B5" s="163" t="s">
        <v>507</v>
      </c>
      <c r="D5" s="169"/>
    </row>
    <row r="7" spans="2:5">
      <c r="B7" s="163" t="s">
        <v>505</v>
      </c>
      <c r="D7" s="163" t="s">
        <v>506</v>
      </c>
    </row>
    <row r="8" spans="2:5">
      <c r="B8" s="170"/>
      <c r="D8" s="170"/>
    </row>
    <row r="9" spans="2:5">
      <c r="B9" s="170"/>
      <c r="D9" s="170"/>
    </row>
    <row r="10" spans="2:5">
      <c r="B10" s="170"/>
      <c r="D10" s="170"/>
    </row>
    <row r="11" spans="2:5">
      <c r="B11" s="170"/>
      <c r="D11" s="170"/>
    </row>
    <row r="12" spans="2:5">
      <c r="B12" s="170"/>
      <c r="D12" s="170"/>
    </row>
    <row r="14" spans="2:5" ht="26" customHeight="1">
      <c r="B14" s="147" t="s">
        <v>474</v>
      </c>
      <c r="C14" s="168"/>
      <c r="D14" s="148" t="s">
        <v>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241</vt:i4>
      </vt:variant>
    </vt:vector>
  </HeadingPairs>
  <TitlesOfParts>
    <vt:vector size="253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2026-09-28T14:17:42Z</dcterms:modified>
</cp:coreProperties>
</file>